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Maximo\Downloads\"/>
    </mc:Choice>
  </mc:AlternateContent>
  <xr:revisionPtr revIDLastSave="0" documentId="13_ncr:1_{39F0859A-CC24-4EF6-B89B-BA49749148B3}" xr6:coauthVersionLast="47" xr6:coauthVersionMax="47" xr10:uidLastSave="{00000000-0000-0000-0000-000000000000}"/>
  <bookViews>
    <workbookView xWindow="-120" yWindow="-120" windowWidth="29040" windowHeight="15840" firstSheet="2" activeTab="15" xr2:uid="{00000000-000D-0000-FFFF-FFFF00000000}"/>
  </bookViews>
  <sheets>
    <sheet name="Hoja9" sheetId="20" state="hidden" r:id="rId1"/>
    <sheet name="Gerencia de Infraestructura" sheetId="22" r:id="rId2"/>
    <sheet name="Gerencias y Oficinas" sheetId="23" r:id="rId3"/>
    <sheet name="GRDE" sheetId="25" r:id="rId4"/>
    <sheet name="GRRNyDA" sheetId="26" r:id="rId5"/>
    <sheet name="PETT" sheetId="27" r:id="rId6"/>
    <sheet name="PECSA" sheetId="28" r:id="rId7"/>
    <sheet name="DS" sheetId="29" r:id="rId8"/>
    <sheet name="DEPI" sheetId="30" r:id="rId9"/>
    <sheet name="ABS" sheetId="31" r:id="rId10"/>
    <sheet name="002" sheetId="32" r:id="rId11"/>
    <sheet name="003" sheetId="33" r:id="rId12"/>
    <sheet name="005" sheetId="34" r:id="rId13"/>
    <sheet name="100" sheetId="35" r:id="rId14"/>
    <sheet name="302" sheetId="37" r:id="rId15"/>
    <sheet name="UEs-ABS" sheetId="36" r:id="rId16"/>
    <sheet name="Hoja4" sheetId="24" state="hidden" r:id="rId17"/>
  </sheets>
  <externalReferences>
    <externalReference r:id="rId18"/>
    <externalReference r:id="rId19"/>
    <externalReference r:id="rId20"/>
    <externalReference r:id="rId21"/>
  </externalReferences>
  <definedNames>
    <definedName name="_xlnm._FilterDatabase" localSheetId="1" hidden="1">'Gerencia de Infraestructura'!#REF!</definedName>
    <definedName name="_xlnm._FilterDatabase" localSheetId="2" hidden="1">'Gerencias y Oficinas'!$A$6:$I$381</definedName>
    <definedName name="_xlnm.Print_Area" localSheetId="1">'Gerencia de Infraestructura'!$A$1:$I$905</definedName>
    <definedName name="_xlnm.Print_Area" localSheetId="2">'Gerencias y Oficinas'!$A$1:$I$389</definedName>
    <definedName name="_xlnm.Print_Area" localSheetId="6">PECSA!$A$1:$I$13</definedName>
    <definedName name="DATOS">Hoja9!$A$1:$AE$2500</definedName>
    <definedName name="rojiso" localSheetId="1">OBTENER.CELDA(38,#REF!)</definedName>
    <definedName name="rojiso" localSheetId="2">OBTENER.CELDA(38,#REF!)</definedName>
    <definedName name="rojiso" localSheetId="16">OBTENER.CELDA(38,#REF!)</definedName>
    <definedName name="rojiso">OBTENER.CELDA(38,#REF!)</definedName>
    <definedName name="_xlnm.Print_Titles" localSheetId="8">DEPI!$1:$5</definedName>
    <definedName name="_xlnm.Print_Titles" localSheetId="7">DS!$1:$6</definedName>
    <definedName name="_xlnm.Print_Titles" localSheetId="1">'Gerencia de Infraestructura'!$1:$6</definedName>
    <definedName name="_xlnm.Print_Titles" localSheetId="2">'Gerencias y Oficinas'!$1:$5</definedName>
    <definedName name="_xlnm.Print_Titles" localSheetId="3">GRDE!$1:$6</definedName>
    <definedName name="_xlnm.Print_Titles" localSheetId="4">GRRNyDA!$1:$6</definedName>
    <definedName name="_xlnm.Print_Titles" localSheetId="16">Hoja4!$23:$23</definedName>
    <definedName name="_xlnm.Print_Titles" localSheetId="6">PECSA!$1:$5</definedName>
    <definedName name="_xlnm.Print_Titles" localSheetId="5">PETT!$1:$5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37" l="1"/>
  <c r="A16" i="35" l="1"/>
  <c r="A15" i="35"/>
  <c r="A13" i="35"/>
  <c r="A12" i="35"/>
  <c r="I11" i="35"/>
  <c r="A11" i="35"/>
  <c r="A10" i="35"/>
  <c r="A9" i="35"/>
  <c r="A8" i="35"/>
  <c r="A7" i="35"/>
  <c r="A14" i="34"/>
  <c r="A13" i="34"/>
  <c r="A12" i="34"/>
  <c r="A11" i="34"/>
  <c r="A10" i="34"/>
  <c r="A9" i="34"/>
  <c r="A25" i="33"/>
  <c r="A24" i="33"/>
  <c r="A23" i="33"/>
  <c r="A22" i="33"/>
  <c r="A21" i="33"/>
  <c r="A20" i="33"/>
  <c r="A19" i="33"/>
  <c r="A18" i="33"/>
  <c r="I17" i="33"/>
  <c r="A17" i="33"/>
  <c r="A16" i="33"/>
  <c r="A15" i="33"/>
  <c r="A14" i="33"/>
  <c r="I13" i="33"/>
  <c r="A13" i="33"/>
  <c r="A12" i="33"/>
  <c r="A11" i="33"/>
  <c r="I10" i="33"/>
  <c r="A10" i="33"/>
  <c r="I9" i="33"/>
  <c r="A9" i="33"/>
  <c r="I8" i="33"/>
  <c r="A8" i="33"/>
  <c r="A7" i="33"/>
  <c r="A10" i="32"/>
  <c r="A9" i="32"/>
  <c r="A7" i="32"/>
  <c r="D769" i="22" l="1"/>
  <c r="E769" i="22"/>
  <c r="F769" i="22"/>
  <c r="G769" i="22"/>
  <c r="H769" i="22"/>
  <c r="C769" i="22"/>
  <c r="D294" i="22"/>
  <c r="E294" i="22"/>
  <c r="F294" i="22"/>
  <c r="G294" i="22"/>
  <c r="H294" i="22"/>
  <c r="C294" i="22"/>
  <c r="A170" i="22"/>
  <c r="A171" i="22"/>
  <c r="D171" i="22"/>
  <c r="E171" i="22"/>
  <c r="F171" i="22"/>
  <c r="G171" i="22"/>
  <c r="H171" i="22"/>
  <c r="A169" i="22"/>
  <c r="A183" i="22"/>
  <c r="A155" i="22"/>
  <c r="A153" i="22"/>
  <c r="A181" i="22"/>
  <c r="A150" i="22"/>
  <c r="A151" i="22"/>
  <c r="D151" i="22"/>
  <c r="E151" i="22"/>
  <c r="F151" i="22"/>
  <c r="G151" i="22"/>
  <c r="H151" i="22"/>
  <c r="I171" i="22" l="1"/>
  <c r="I151" i="22"/>
  <c r="D217" i="22" l="1"/>
  <c r="E217" i="22"/>
  <c r="F217" i="22"/>
  <c r="G217" i="22"/>
  <c r="H217" i="22"/>
  <c r="C217" i="22"/>
  <c r="E216" i="22"/>
  <c r="F216" i="22"/>
  <c r="G216" i="22"/>
  <c r="H216" i="22"/>
  <c r="D216" i="22"/>
  <c r="A216" i="22"/>
  <c r="I216" i="22" l="1"/>
  <c r="A52" i="29" l="1"/>
  <c r="H82" i="25"/>
  <c r="G82" i="25"/>
  <c r="F82" i="25"/>
  <c r="E82" i="25"/>
  <c r="D82" i="25"/>
  <c r="A82" i="25"/>
  <c r="E195" i="22"/>
  <c r="F195" i="22"/>
  <c r="G195" i="22"/>
  <c r="H195" i="22"/>
  <c r="E82" i="23"/>
  <c r="F82" i="23"/>
  <c r="G82" i="23"/>
  <c r="H82" i="23"/>
  <c r="D82" i="23"/>
  <c r="A82" i="23"/>
  <c r="I82" i="23" l="1"/>
  <c r="I82" i="25"/>
  <c r="A293" i="22"/>
  <c r="E293" i="22" l="1"/>
  <c r="F293" i="22"/>
  <c r="G293" i="22"/>
  <c r="H293" i="22"/>
  <c r="D293" i="22"/>
  <c r="A380" i="23" l="1"/>
  <c r="A378" i="23"/>
  <c r="A374" i="23"/>
  <c r="A373" i="23"/>
  <c r="A366" i="23"/>
  <c r="A367" i="23"/>
  <c r="A368" i="23"/>
  <c r="A369" i="23"/>
  <c r="A370" i="23"/>
  <c r="A371" i="23"/>
  <c r="A365" i="23"/>
  <c r="A356" i="23"/>
  <c r="A357" i="23"/>
  <c r="A358" i="23"/>
  <c r="A359" i="23"/>
  <c r="A360" i="23"/>
  <c r="A355" i="23"/>
  <c r="A343" i="23"/>
  <c r="A324" i="23"/>
  <c r="A325" i="23"/>
  <c r="A326" i="23"/>
  <c r="A327" i="23"/>
  <c r="A328" i="23"/>
  <c r="A329" i="23"/>
  <c r="A330" i="23"/>
  <c r="A331" i="23"/>
  <c r="A332" i="23"/>
  <c r="A333" i="23"/>
  <c r="A334" i="23"/>
  <c r="A335" i="23"/>
  <c r="A336" i="23"/>
  <c r="A337" i="23"/>
  <c r="A338" i="23"/>
  <c r="A339" i="23"/>
  <c r="A340" i="23"/>
  <c r="A341" i="23"/>
  <c r="A323" i="23"/>
  <c r="A320" i="23"/>
  <c r="A319" i="23"/>
  <c r="A317" i="23"/>
  <c r="A303" i="23"/>
  <c r="A304" i="23"/>
  <c r="A305" i="23"/>
  <c r="A306" i="23"/>
  <c r="A307" i="23"/>
  <c r="A308" i="23"/>
  <c r="A309" i="23"/>
  <c r="A310" i="23"/>
  <c r="A311" i="23"/>
  <c r="A302" i="23"/>
  <c r="A279" i="23"/>
  <c r="A277" i="23"/>
  <c r="A276" i="23"/>
  <c r="A264" i="23"/>
  <c r="A265" i="23"/>
  <c r="A266" i="23"/>
  <c r="A267" i="23"/>
  <c r="A268" i="23"/>
  <c r="A269" i="23"/>
  <c r="A270" i="23"/>
  <c r="A271" i="23"/>
  <c r="A272" i="23"/>
  <c r="A273" i="23"/>
  <c r="A274" i="23"/>
  <c r="A263"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35" i="23"/>
  <c r="A230" i="23"/>
  <c r="A226" i="23"/>
  <c r="A222" i="23"/>
  <c r="A223" i="23"/>
  <c r="A221" i="23"/>
  <c r="A201" i="23"/>
  <c r="A202" i="23"/>
  <c r="A203" i="23"/>
  <c r="A204" i="23"/>
  <c r="A205" i="23"/>
  <c r="A206" i="23"/>
  <c r="A200" i="23"/>
  <c r="A198" i="23"/>
  <c r="A195" i="23"/>
  <c r="A196" i="23"/>
  <c r="A194" i="23"/>
  <c r="A90" i="23"/>
  <c r="A91" i="23"/>
  <c r="A92" i="23"/>
  <c r="A93" i="23"/>
  <c r="A94" i="23"/>
  <c r="A95" i="23"/>
  <c r="A89" i="23"/>
  <c r="A85" i="23"/>
  <c r="A86" i="23"/>
  <c r="A87" i="23"/>
  <c r="A84"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19" i="23"/>
  <c r="A17" i="23"/>
  <c r="A16" i="23"/>
  <c r="A14" i="23"/>
  <c r="A13" i="23"/>
  <c r="A9" i="23"/>
  <c r="A8" i="23"/>
  <c r="A10" i="23"/>
  <c r="A11" i="23"/>
  <c r="A839" i="22"/>
  <c r="A796" i="22"/>
  <c r="A754" i="22"/>
  <c r="A745" i="22"/>
  <c r="A742" i="22"/>
  <c r="A740" i="22"/>
  <c r="A731" i="22"/>
  <c r="A734" i="22"/>
  <c r="A737" i="22"/>
  <c r="A728" i="22"/>
  <c r="A726" i="22"/>
  <c r="A724" i="22"/>
  <c r="A721" i="22"/>
  <c r="A719" i="22"/>
  <c r="A716" i="22"/>
  <c r="A714" i="22"/>
  <c r="A708" i="22"/>
  <c r="A711" i="22"/>
  <c r="A705" i="22"/>
  <c r="A702" i="22"/>
  <c r="A700" i="22"/>
  <c r="A698" i="22"/>
  <c r="A686" i="22"/>
  <c r="A689" i="22"/>
  <c r="A692" i="22"/>
  <c r="A695" i="22"/>
  <c r="A683" i="22"/>
  <c r="A680" i="22"/>
  <c r="A676" i="22"/>
  <c r="A664" i="22"/>
  <c r="A667" i="22"/>
  <c r="A670" i="22"/>
  <c r="A673" i="22"/>
  <c r="A661" i="22"/>
  <c r="A653" i="22"/>
  <c r="A656" i="22"/>
  <c r="A641" i="22"/>
  <c r="A644" i="22"/>
  <c r="A647" i="22"/>
  <c r="A650" i="22"/>
  <c r="A638" i="22"/>
  <c r="A636" i="22"/>
  <c r="A630" i="22"/>
  <c r="A633" i="22"/>
  <c r="A627" i="22"/>
  <c r="A625" i="22"/>
  <c r="A622" i="22"/>
  <c r="A620" i="22"/>
  <c r="A614" i="22"/>
  <c r="A611" i="22"/>
  <c r="A609" i="22"/>
  <c r="A603" i="22"/>
  <c r="A606" i="22"/>
  <c r="A600" i="22"/>
  <c r="A597" i="22"/>
  <c r="A594" i="22"/>
  <c r="A591" i="22"/>
  <c r="A588" i="22"/>
  <c r="A585" i="22"/>
  <c r="A582" i="22"/>
  <c r="A580" i="22"/>
  <c r="A577" i="22"/>
  <c r="A574" i="22"/>
  <c r="A569" i="22"/>
  <c r="A566" i="22"/>
  <c r="A561" i="22"/>
  <c r="A558" i="22"/>
  <c r="A319" i="22"/>
  <c r="A322" i="22"/>
  <c r="A325" i="22"/>
  <c r="A316" i="22"/>
  <c r="A314" i="22"/>
  <c r="A312" i="22"/>
  <c r="A309" i="22"/>
  <c r="A305" i="22"/>
  <c r="A302" i="22"/>
  <c r="A300" i="22"/>
  <c r="A289" i="22"/>
  <c r="A291" i="22"/>
  <c r="A295" i="22"/>
  <c r="A297" i="22"/>
  <c r="A287" i="22"/>
  <c r="A277" i="22"/>
  <c r="A279" i="22"/>
  <c r="A281" i="22"/>
  <c r="A283" i="22"/>
  <c r="A285" i="22"/>
  <c r="A275" i="22"/>
  <c r="A272" i="22"/>
  <c r="A267" i="22"/>
  <c r="A269" i="22"/>
  <c r="A261" i="22"/>
  <c r="A263" i="22"/>
  <c r="A265" i="22"/>
  <c r="A247" i="22"/>
  <c r="A249" i="22"/>
  <c r="A251" i="22"/>
  <c r="A253" i="22"/>
  <c r="A255" i="22"/>
  <c r="A257" i="22"/>
  <c r="A259" i="22"/>
  <c r="A245" i="22"/>
  <c r="A239" i="22"/>
  <c r="A241" i="22"/>
  <c r="A243" i="22"/>
  <c r="A237" i="22"/>
  <c r="A235" i="22"/>
  <c r="A233" i="22"/>
  <c r="A231" i="22"/>
  <c r="A229" i="22"/>
  <c r="A227" i="22"/>
  <c r="A224" i="22"/>
  <c r="A222" i="22"/>
  <c r="A219" i="22"/>
  <c r="A214" i="22"/>
  <c r="A212" i="22"/>
  <c r="A204" i="22"/>
  <c r="A202" i="22"/>
  <c r="A201" i="22"/>
  <c r="A199" i="22"/>
  <c r="A189" i="22"/>
  <c r="A190" i="22"/>
  <c r="A191" i="22"/>
  <c r="A192" i="22"/>
  <c r="A193" i="22"/>
  <c r="A194" i="22"/>
  <c r="A195" i="22"/>
  <c r="A196" i="22"/>
  <c r="A197" i="22"/>
  <c r="A188" i="22"/>
  <c r="A178" i="22"/>
  <c r="A179" i="22"/>
  <c r="A180" i="22"/>
  <c r="A182" i="22"/>
  <c r="A184" i="22"/>
  <c r="A185" i="22"/>
  <c r="A177" i="22"/>
  <c r="A159" i="22"/>
  <c r="A160" i="22"/>
  <c r="A161" i="22"/>
  <c r="A162" i="22"/>
  <c r="A163" i="22"/>
  <c r="A164" i="22"/>
  <c r="A165" i="22"/>
  <c r="A166" i="22"/>
  <c r="A167" i="22"/>
  <c r="A158" i="22"/>
  <c r="A138" i="22"/>
  <c r="A139" i="22"/>
  <c r="A140" i="22"/>
  <c r="A141" i="22"/>
  <c r="A142" i="22"/>
  <c r="A143" i="22"/>
  <c r="A144" i="22"/>
  <c r="A145" i="22"/>
  <c r="A146" i="22"/>
  <c r="A147" i="22"/>
  <c r="A148" i="22"/>
  <c r="A149" i="22"/>
  <c r="A152" i="22"/>
  <c r="A154" i="22"/>
  <c r="A156" i="22"/>
  <c r="A137" i="22"/>
  <c r="A131" i="22"/>
  <c r="A132" i="22"/>
  <c r="A133" i="22"/>
  <c r="A134" i="22"/>
  <c r="A135" i="22"/>
  <c r="A130" i="22"/>
  <c r="A79" i="22"/>
  <c r="A76" i="22"/>
  <c r="A67" i="22"/>
  <c r="A68" i="22"/>
  <c r="A69" i="22"/>
  <c r="A70" i="22"/>
  <c r="A71" i="22"/>
  <c r="A72" i="22"/>
  <c r="A73" i="22"/>
  <c r="A74" i="22"/>
  <c r="A66" i="22"/>
  <c r="A42" i="22"/>
  <c r="A43" i="22"/>
  <c r="A44" i="22"/>
  <c r="A45" i="22"/>
  <c r="A46" i="22"/>
  <c r="A47" i="22"/>
  <c r="A48" i="22"/>
  <c r="A49" i="22"/>
  <c r="A50" i="22"/>
  <c r="A51" i="22"/>
  <c r="A52" i="22"/>
  <c r="A53" i="22"/>
  <c r="A54" i="22"/>
  <c r="A55" i="22"/>
  <c r="A56" i="22"/>
  <c r="A57" i="22"/>
  <c r="A58" i="22"/>
  <c r="A59" i="22"/>
  <c r="A60" i="22"/>
  <c r="A61" i="22"/>
  <c r="A62" i="22"/>
  <c r="A63" i="22"/>
  <c r="A64" i="22"/>
  <c r="A41"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13" i="22"/>
  <c r="A11" i="22"/>
  <c r="A10" i="22"/>
  <c r="A870" i="22"/>
  <c r="E365" i="23"/>
  <c r="E7" i="35" s="1"/>
  <c r="F365" i="23"/>
  <c r="F7" i="35" s="1"/>
  <c r="G365" i="23"/>
  <c r="G7" i="35" s="1"/>
  <c r="H365" i="23"/>
  <c r="H7" i="35" s="1"/>
  <c r="D365" i="23"/>
  <c r="D7" i="35" s="1"/>
  <c r="D743" i="22"/>
  <c r="E743" i="22"/>
  <c r="F743" i="22"/>
  <c r="G743" i="22"/>
  <c r="H743" i="22"/>
  <c r="C743" i="22"/>
  <c r="E742" i="22"/>
  <c r="F742" i="22"/>
  <c r="G742" i="22"/>
  <c r="H742" i="22"/>
  <c r="D742" i="22"/>
  <c r="I7" i="35" l="1"/>
  <c r="I365" i="23"/>
  <c r="I742" i="22"/>
  <c r="A9" i="30" l="1"/>
  <c r="A10" i="30"/>
  <c r="A11" i="30"/>
  <c r="A12" i="30"/>
  <c r="A13" i="30"/>
  <c r="A14" i="30"/>
  <c r="A15" i="30"/>
  <c r="A16" i="30"/>
  <c r="A17" i="30"/>
  <c r="A8" i="30"/>
  <c r="A54" i="29"/>
  <c r="A51" i="29"/>
  <c r="A50" i="29"/>
  <c r="A38" i="29"/>
  <c r="A39" i="29"/>
  <c r="A40" i="29"/>
  <c r="A41" i="29"/>
  <c r="A42" i="29"/>
  <c r="A43" i="29"/>
  <c r="A44" i="29"/>
  <c r="A45" i="29"/>
  <c r="A46" i="29"/>
  <c r="A47" i="29"/>
  <c r="A48" i="29"/>
  <c r="A37" i="29"/>
  <c r="A11" i="29"/>
  <c r="A12" i="29"/>
  <c r="A13" i="29"/>
  <c r="A14" i="29"/>
  <c r="A15" i="29"/>
  <c r="A16" i="29"/>
  <c r="A17" i="29"/>
  <c r="A18" i="29"/>
  <c r="A19" i="29"/>
  <c r="A20" i="29"/>
  <c r="A21" i="29"/>
  <c r="A22" i="29"/>
  <c r="A23" i="29"/>
  <c r="A24" i="29"/>
  <c r="A25" i="29"/>
  <c r="A26" i="29"/>
  <c r="A27" i="29"/>
  <c r="A28" i="29"/>
  <c r="A29" i="29"/>
  <c r="A30" i="29"/>
  <c r="A31" i="29"/>
  <c r="A32" i="29"/>
  <c r="A33" i="29"/>
  <c r="A34" i="29"/>
  <c r="A35" i="29"/>
  <c r="A10" i="29"/>
  <c r="A12" i="28"/>
  <c r="A8" i="28"/>
  <c r="A9" i="27"/>
  <c r="A10" i="27"/>
  <c r="A8" i="27"/>
  <c r="A15" i="26"/>
  <c r="A16" i="26"/>
  <c r="A17" i="26"/>
  <c r="A18" i="26"/>
  <c r="A19" i="26"/>
  <c r="A20" i="26"/>
  <c r="A14" i="26"/>
  <c r="A12" i="26"/>
  <c r="A9" i="26"/>
  <c r="A10" i="26"/>
  <c r="A8" i="26"/>
  <c r="A90" i="25"/>
  <c r="A91" i="25"/>
  <c r="A92" i="25"/>
  <c r="A93" i="25"/>
  <c r="A94" i="25"/>
  <c r="A95" i="25"/>
  <c r="A89" i="25"/>
  <c r="A85" i="25"/>
  <c r="A86" i="25"/>
  <c r="A87" i="25"/>
  <c r="A84"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19" i="25"/>
  <c r="A17" i="25"/>
  <c r="A16" i="25"/>
  <c r="A14" i="25"/>
  <c r="A13" i="25"/>
  <c r="A9" i="25"/>
  <c r="A10" i="25"/>
  <c r="A11" i="25"/>
  <c r="A8" i="25"/>
  <c r="D904" i="22"/>
  <c r="E904" i="22"/>
  <c r="F904" i="22"/>
  <c r="G904" i="22"/>
  <c r="H904" i="22"/>
  <c r="C904" i="22"/>
  <c r="D901" i="22"/>
  <c r="E901" i="22"/>
  <c r="F901" i="22"/>
  <c r="G901" i="22"/>
  <c r="H901" i="22"/>
  <c r="C901" i="22"/>
  <c r="D898" i="22"/>
  <c r="E898" i="22"/>
  <c r="F898" i="22"/>
  <c r="G898" i="22"/>
  <c r="H898" i="22"/>
  <c r="C898" i="22"/>
  <c r="D895" i="22"/>
  <c r="E895" i="22"/>
  <c r="F895" i="22"/>
  <c r="G895" i="22"/>
  <c r="H895" i="22"/>
  <c r="C895" i="22"/>
  <c r="D892" i="22"/>
  <c r="E892" i="22"/>
  <c r="F892" i="22"/>
  <c r="G892" i="22"/>
  <c r="H892" i="22"/>
  <c r="C892" i="22"/>
  <c r="D890" i="22"/>
  <c r="E890" i="22"/>
  <c r="F890" i="22"/>
  <c r="G890" i="22"/>
  <c r="H890" i="22"/>
  <c r="C890" i="22"/>
  <c r="D888" i="22"/>
  <c r="E888" i="22"/>
  <c r="F888" i="22"/>
  <c r="G888" i="22"/>
  <c r="H888" i="22"/>
  <c r="C888" i="22"/>
  <c r="C885" i="22"/>
  <c r="D885" i="22"/>
  <c r="E885" i="22"/>
  <c r="F885" i="22"/>
  <c r="G885" i="22"/>
  <c r="H885" i="22"/>
  <c r="D884" i="22"/>
  <c r="E884" i="22"/>
  <c r="F884" i="22"/>
  <c r="G884" i="22"/>
  <c r="H884" i="22"/>
  <c r="C884" i="22"/>
  <c r="C882" i="22"/>
  <c r="D882" i="22"/>
  <c r="E882" i="22"/>
  <c r="F882" i="22"/>
  <c r="G882" i="22"/>
  <c r="H882" i="22"/>
  <c r="D881" i="22"/>
  <c r="E881" i="22"/>
  <c r="F881" i="22"/>
  <c r="G881" i="22"/>
  <c r="H881" i="22"/>
  <c r="C881" i="22"/>
  <c r="C879" i="22"/>
  <c r="D879" i="22"/>
  <c r="E879" i="22"/>
  <c r="F879" i="22"/>
  <c r="G879" i="22"/>
  <c r="H879" i="22"/>
  <c r="D170" i="22"/>
  <c r="E170" i="22"/>
  <c r="F170" i="22"/>
  <c r="G170" i="22"/>
  <c r="H170" i="22"/>
  <c r="D880" i="22"/>
  <c r="E880" i="22"/>
  <c r="F880" i="22"/>
  <c r="G880" i="22"/>
  <c r="H880" i="22"/>
  <c r="D883" i="22"/>
  <c r="E883" i="22"/>
  <c r="F883" i="22"/>
  <c r="G883" i="22"/>
  <c r="H883" i="22"/>
  <c r="D878" i="22"/>
  <c r="E878" i="22"/>
  <c r="F878" i="22"/>
  <c r="G878" i="22"/>
  <c r="H878" i="22"/>
  <c r="C878" i="22"/>
  <c r="C876" i="22"/>
  <c r="D876" i="22"/>
  <c r="E876" i="22"/>
  <c r="F876" i="22"/>
  <c r="G876" i="22"/>
  <c r="H876" i="22"/>
  <c r="D875" i="22"/>
  <c r="E875" i="22"/>
  <c r="F875" i="22"/>
  <c r="G875" i="22"/>
  <c r="H875" i="22"/>
  <c r="C875" i="22"/>
  <c r="C869" i="22"/>
  <c r="D869" i="22"/>
  <c r="E869" i="22"/>
  <c r="F869" i="22"/>
  <c r="G869" i="22"/>
  <c r="H869" i="22"/>
  <c r="D868" i="22"/>
  <c r="E868" i="22"/>
  <c r="F868" i="22"/>
  <c r="G868" i="22"/>
  <c r="H868" i="22"/>
  <c r="C868" i="22"/>
  <c r="C866" i="22"/>
  <c r="D866" i="22"/>
  <c r="E866" i="22"/>
  <c r="F866" i="22"/>
  <c r="G866" i="22"/>
  <c r="H866" i="22"/>
  <c r="D865" i="22"/>
  <c r="E865" i="22"/>
  <c r="F865" i="22"/>
  <c r="G865" i="22"/>
  <c r="H865" i="22"/>
  <c r="C865" i="22"/>
  <c r="C863" i="22"/>
  <c r="D863" i="22"/>
  <c r="E863" i="22"/>
  <c r="F863" i="22"/>
  <c r="G863" i="22"/>
  <c r="H863" i="22"/>
  <c r="D862" i="22"/>
  <c r="E862" i="22"/>
  <c r="F862" i="22"/>
  <c r="G862" i="22"/>
  <c r="H862" i="22"/>
  <c r="C862" i="22"/>
  <c r="C860" i="22"/>
  <c r="D860" i="22"/>
  <c r="E860" i="22"/>
  <c r="F860" i="22"/>
  <c r="G860" i="22"/>
  <c r="H860" i="22"/>
  <c r="D859" i="22"/>
  <c r="E859" i="22"/>
  <c r="F859" i="22"/>
  <c r="G859" i="22"/>
  <c r="H859" i="22"/>
  <c r="C859" i="22"/>
  <c r="C857" i="22"/>
  <c r="D857" i="22"/>
  <c r="E857" i="22"/>
  <c r="F857" i="22"/>
  <c r="G857" i="22"/>
  <c r="H857" i="22"/>
  <c r="D856" i="22"/>
  <c r="E856" i="22"/>
  <c r="F856" i="22"/>
  <c r="G856" i="22"/>
  <c r="H856" i="22"/>
  <c r="C856" i="22"/>
  <c r="C854" i="22"/>
  <c r="D854" i="22"/>
  <c r="E854" i="22"/>
  <c r="F854" i="22"/>
  <c r="G854" i="22"/>
  <c r="H854" i="22"/>
  <c r="D853" i="22"/>
  <c r="E853" i="22"/>
  <c r="F853" i="22"/>
  <c r="G853" i="22"/>
  <c r="H853" i="22"/>
  <c r="C853" i="22"/>
  <c r="C851" i="22"/>
  <c r="D851" i="22"/>
  <c r="E851" i="22"/>
  <c r="F851" i="22"/>
  <c r="G851" i="22"/>
  <c r="H851" i="22"/>
  <c r="D850" i="22"/>
  <c r="E850" i="22"/>
  <c r="F850" i="22"/>
  <c r="G850" i="22"/>
  <c r="H850" i="22"/>
  <c r="C850" i="22"/>
  <c r="C848" i="22"/>
  <c r="D848" i="22"/>
  <c r="E848" i="22"/>
  <c r="F848" i="22"/>
  <c r="G848" i="22"/>
  <c r="H848" i="22"/>
  <c r="D847" i="22"/>
  <c r="E847" i="22"/>
  <c r="F847" i="22"/>
  <c r="G847" i="22"/>
  <c r="H847" i="22"/>
  <c r="C847" i="22"/>
  <c r="C845" i="22"/>
  <c r="D845" i="22"/>
  <c r="E845" i="22"/>
  <c r="F845" i="22"/>
  <c r="G845" i="22"/>
  <c r="H845" i="22"/>
  <c r="D844" i="22"/>
  <c r="E844" i="22"/>
  <c r="F844" i="22"/>
  <c r="G844" i="22"/>
  <c r="H844" i="22"/>
  <c r="C844" i="22"/>
  <c r="C841" i="22"/>
  <c r="D841" i="22"/>
  <c r="E841" i="22"/>
  <c r="F841" i="22"/>
  <c r="G841" i="22"/>
  <c r="H841" i="22"/>
  <c r="C842" i="22"/>
  <c r="D842" i="22"/>
  <c r="E842" i="22"/>
  <c r="F842" i="22"/>
  <c r="G842" i="22"/>
  <c r="H842" i="22"/>
  <c r="D840" i="22"/>
  <c r="E840" i="22"/>
  <c r="F840" i="22"/>
  <c r="G840" i="22"/>
  <c r="H840" i="22"/>
  <c r="C840" i="22"/>
  <c r="C838" i="22"/>
  <c r="D838" i="22"/>
  <c r="E838" i="22"/>
  <c r="F838" i="22"/>
  <c r="G838" i="22"/>
  <c r="H838" i="22"/>
  <c r="D837" i="22"/>
  <c r="E837" i="22"/>
  <c r="F837" i="22"/>
  <c r="G837" i="22"/>
  <c r="H837" i="22"/>
  <c r="C837" i="22"/>
  <c r="C835" i="22"/>
  <c r="D835" i="22"/>
  <c r="E835" i="22"/>
  <c r="F835" i="22"/>
  <c r="G835" i="22"/>
  <c r="H835" i="22"/>
  <c r="D834" i="22"/>
  <c r="E834" i="22"/>
  <c r="F834" i="22"/>
  <c r="G834" i="22"/>
  <c r="H834" i="22"/>
  <c r="C834" i="22"/>
  <c r="C832" i="22"/>
  <c r="D832" i="22"/>
  <c r="E832" i="22"/>
  <c r="F832" i="22"/>
  <c r="G832" i="22"/>
  <c r="H832" i="22"/>
  <c r="D831" i="22"/>
  <c r="E831" i="22"/>
  <c r="F831" i="22"/>
  <c r="G831" i="22"/>
  <c r="H831" i="22"/>
  <c r="C831" i="22"/>
  <c r="C829" i="22"/>
  <c r="D829" i="22"/>
  <c r="E829" i="22"/>
  <c r="F829" i="22"/>
  <c r="G829" i="22"/>
  <c r="H829" i="22"/>
  <c r="D828" i="22"/>
  <c r="E828" i="22"/>
  <c r="F828" i="22"/>
  <c r="G828" i="22"/>
  <c r="H828" i="22"/>
  <c r="C828" i="22"/>
  <c r="C826" i="22"/>
  <c r="D826" i="22"/>
  <c r="E826" i="22"/>
  <c r="F826" i="22"/>
  <c r="G826" i="22"/>
  <c r="H826" i="22"/>
  <c r="D825" i="22"/>
  <c r="E825" i="22"/>
  <c r="F825" i="22"/>
  <c r="G825" i="22"/>
  <c r="H825" i="22"/>
  <c r="C825" i="22"/>
  <c r="C823" i="22"/>
  <c r="D823" i="22"/>
  <c r="E823" i="22"/>
  <c r="F823" i="22"/>
  <c r="G823" i="22"/>
  <c r="H823" i="22"/>
  <c r="D822" i="22"/>
  <c r="E822" i="22"/>
  <c r="F822" i="22"/>
  <c r="G822" i="22"/>
  <c r="H822" i="22"/>
  <c r="C822" i="22"/>
  <c r="C820" i="22"/>
  <c r="D820" i="22"/>
  <c r="E820" i="22"/>
  <c r="F820" i="22"/>
  <c r="G820" i="22"/>
  <c r="H820" i="22"/>
  <c r="D819" i="22"/>
  <c r="E819" i="22"/>
  <c r="F819" i="22"/>
  <c r="G819" i="22"/>
  <c r="H819" i="22"/>
  <c r="C819" i="22"/>
  <c r="C817" i="22"/>
  <c r="D817" i="22"/>
  <c r="E817" i="22"/>
  <c r="F817" i="22"/>
  <c r="G817" i="22"/>
  <c r="H817" i="22"/>
  <c r="D816" i="22"/>
  <c r="E816" i="22"/>
  <c r="F816" i="22"/>
  <c r="G816" i="22"/>
  <c r="H816" i="22"/>
  <c r="C816" i="22"/>
  <c r="C814" i="22"/>
  <c r="D814" i="22"/>
  <c r="E814" i="22"/>
  <c r="F814" i="22"/>
  <c r="G814" i="22"/>
  <c r="H814" i="22"/>
  <c r="D813" i="22"/>
  <c r="E813" i="22"/>
  <c r="F813" i="22"/>
  <c r="G813" i="22"/>
  <c r="H813" i="22"/>
  <c r="C813" i="22"/>
  <c r="C811" i="22"/>
  <c r="D811" i="22"/>
  <c r="E811" i="22"/>
  <c r="F811" i="22"/>
  <c r="G811" i="22"/>
  <c r="H811" i="22"/>
  <c r="D810" i="22"/>
  <c r="E810" i="22"/>
  <c r="F810" i="22"/>
  <c r="G810" i="22"/>
  <c r="H810" i="22"/>
  <c r="C810" i="22"/>
  <c r="C808" i="22"/>
  <c r="D808" i="22"/>
  <c r="E808" i="22"/>
  <c r="F808" i="22"/>
  <c r="G808" i="22"/>
  <c r="H808" i="22"/>
  <c r="D807" i="22"/>
  <c r="E807" i="22"/>
  <c r="F807" i="22"/>
  <c r="G807" i="22"/>
  <c r="H807" i="22"/>
  <c r="C807" i="22"/>
  <c r="C805" i="22"/>
  <c r="D805" i="22"/>
  <c r="E805" i="22"/>
  <c r="F805" i="22"/>
  <c r="G805" i="22"/>
  <c r="H805" i="22"/>
  <c r="D804" i="22"/>
  <c r="E804" i="22"/>
  <c r="F804" i="22"/>
  <c r="G804" i="22"/>
  <c r="H804" i="22"/>
  <c r="C804" i="22"/>
  <c r="C802" i="22"/>
  <c r="D802" i="22"/>
  <c r="E802" i="22"/>
  <c r="F802" i="22"/>
  <c r="G802" i="22"/>
  <c r="H802" i="22"/>
  <c r="D801" i="22"/>
  <c r="E801" i="22"/>
  <c r="F801" i="22"/>
  <c r="G801" i="22"/>
  <c r="H801" i="22"/>
  <c r="C801" i="22"/>
  <c r="C798" i="22"/>
  <c r="D798" i="22"/>
  <c r="E798" i="22"/>
  <c r="F798" i="22"/>
  <c r="G798" i="22"/>
  <c r="H798" i="22"/>
  <c r="C799" i="22"/>
  <c r="D799" i="22"/>
  <c r="E799" i="22"/>
  <c r="F799" i="22"/>
  <c r="G799" i="22"/>
  <c r="H799" i="22"/>
  <c r="D797" i="22"/>
  <c r="E797" i="22"/>
  <c r="F797" i="22"/>
  <c r="G797" i="22"/>
  <c r="H797" i="22"/>
  <c r="C797" i="22"/>
  <c r="C795" i="22"/>
  <c r="D795" i="22"/>
  <c r="E795" i="22"/>
  <c r="F795" i="22"/>
  <c r="G795" i="22"/>
  <c r="H795" i="22"/>
  <c r="D794" i="22"/>
  <c r="E794" i="22"/>
  <c r="F794" i="22"/>
  <c r="G794" i="22"/>
  <c r="H794" i="22"/>
  <c r="C794" i="22"/>
  <c r="C792" i="22"/>
  <c r="D792" i="22"/>
  <c r="E792" i="22"/>
  <c r="F792" i="22"/>
  <c r="G792" i="22"/>
  <c r="H792" i="22"/>
  <c r="D791" i="22"/>
  <c r="E791" i="22"/>
  <c r="F791" i="22"/>
  <c r="G791" i="22"/>
  <c r="H791" i="22"/>
  <c r="C791" i="22"/>
  <c r="C789" i="22"/>
  <c r="D789" i="22"/>
  <c r="E789" i="22"/>
  <c r="F789" i="22"/>
  <c r="G789" i="22"/>
  <c r="H789" i="22"/>
  <c r="D788" i="22"/>
  <c r="E788" i="22"/>
  <c r="F788" i="22"/>
  <c r="G788" i="22"/>
  <c r="H788" i="22"/>
  <c r="C788" i="22"/>
  <c r="C783" i="22"/>
  <c r="D783" i="22"/>
  <c r="E783" i="22"/>
  <c r="F783" i="22"/>
  <c r="G783" i="22"/>
  <c r="H783" i="22"/>
  <c r="D782" i="22"/>
  <c r="E782" i="22"/>
  <c r="F782" i="22"/>
  <c r="G782" i="22"/>
  <c r="H782" i="22"/>
  <c r="C782" i="22"/>
  <c r="D780" i="22"/>
  <c r="E780" i="22"/>
  <c r="F780" i="22"/>
  <c r="G780" i="22"/>
  <c r="H780" i="22"/>
  <c r="C780" i="22"/>
  <c r="C778" i="22"/>
  <c r="D778" i="22"/>
  <c r="E778" i="22"/>
  <c r="F778" i="22"/>
  <c r="G778" i="22"/>
  <c r="H778" i="22"/>
  <c r="D777" i="22"/>
  <c r="E777" i="22"/>
  <c r="F777" i="22"/>
  <c r="G777" i="22"/>
  <c r="H777" i="22"/>
  <c r="C777" i="22"/>
  <c r="C775" i="22"/>
  <c r="D775" i="22"/>
  <c r="E775" i="22"/>
  <c r="F775" i="22"/>
  <c r="G775" i="22"/>
  <c r="H775" i="22"/>
  <c r="D774" i="22"/>
  <c r="E774" i="22"/>
  <c r="F774" i="22"/>
  <c r="G774" i="22"/>
  <c r="H774" i="22"/>
  <c r="C774" i="22"/>
  <c r="C772" i="22"/>
  <c r="D772" i="22"/>
  <c r="E772" i="22"/>
  <c r="F772" i="22"/>
  <c r="G772" i="22"/>
  <c r="H772" i="22"/>
  <c r="D771" i="22"/>
  <c r="E771" i="22"/>
  <c r="F771" i="22"/>
  <c r="G771" i="22"/>
  <c r="H771" i="22"/>
  <c r="C771" i="22"/>
  <c r="D766" i="22"/>
  <c r="E766" i="22"/>
  <c r="F766" i="22"/>
  <c r="G766" i="22"/>
  <c r="H766" i="22"/>
  <c r="C766" i="22"/>
  <c r="D753" i="22"/>
  <c r="E753" i="22"/>
  <c r="F753" i="22"/>
  <c r="G753" i="22"/>
  <c r="H753" i="22"/>
  <c r="C753" i="22"/>
  <c r="C751" i="22"/>
  <c r="D751" i="22"/>
  <c r="E751" i="22"/>
  <c r="F751" i="22"/>
  <c r="G751" i="22"/>
  <c r="H751" i="22"/>
  <c r="D750" i="22"/>
  <c r="E750" i="22"/>
  <c r="F750" i="22"/>
  <c r="G750" i="22"/>
  <c r="H750" i="22"/>
  <c r="C750" i="22"/>
  <c r="D741" i="22"/>
  <c r="E741" i="22"/>
  <c r="F741" i="22"/>
  <c r="G741" i="22"/>
  <c r="H741" i="22"/>
  <c r="C741" i="22"/>
  <c r="C739" i="22"/>
  <c r="D739" i="22"/>
  <c r="E739" i="22"/>
  <c r="F739" i="22"/>
  <c r="G739" i="22"/>
  <c r="H739" i="22"/>
  <c r="D738" i="22"/>
  <c r="E738" i="22"/>
  <c r="F738" i="22"/>
  <c r="G738" i="22"/>
  <c r="H738" i="22"/>
  <c r="C738" i="22"/>
  <c r="C736" i="22"/>
  <c r="D736" i="22"/>
  <c r="E736" i="22"/>
  <c r="F736" i="22"/>
  <c r="G736" i="22"/>
  <c r="H736" i="22"/>
  <c r="D735" i="22"/>
  <c r="E735" i="22"/>
  <c r="F735" i="22"/>
  <c r="G735" i="22"/>
  <c r="H735" i="22"/>
  <c r="C735" i="22"/>
  <c r="C733" i="22"/>
  <c r="D733" i="22"/>
  <c r="E733" i="22"/>
  <c r="F733" i="22"/>
  <c r="G733" i="22"/>
  <c r="H733" i="22"/>
  <c r="D732" i="22"/>
  <c r="E732" i="22"/>
  <c r="F732" i="22"/>
  <c r="G732" i="22"/>
  <c r="H732" i="22"/>
  <c r="C732" i="22"/>
  <c r="C730" i="22"/>
  <c r="D730" i="22"/>
  <c r="E730" i="22"/>
  <c r="F730" i="22"/>
  <c r="G730" i="22"/>
  <c r="H730" i="22"/>
  <c r="D729" i="22"/>
  <c r="E729" i="22"/>
  <c r="F729" i="22"/>
  <c r="G729" i="22"/>
  <c r="H729" i="22"/>
  <c r="C729" i="22"/>
  <c r="D727" i="22"/>
  <c r="E727" i="22"/>
  <c r="F727" i="22"/>
  <c r="G727" i="22"/>
  <c r="H727" i="22"/>
  <c r="C727" i="22"/>
  <c r="D725" i="22"/>
  <c r="E725" i="22"/>
  <c r="F725" i="22"/>
  <c r="G725" i="22"/>
  <c r="H725" i="22"/>
  <c r="C725" i="22"/>
  <c r="C723" i="22"/>
  <c r="D723" i="22"/>
  <c r="E723" i="22"/>
  <c r="F723" i="22"/>
  <c r="G723" i="22"/>
  <c r="H723" i="22"/>
  <c r="D722" i="22"/>
  <c r="E722" i="22"/>
  <c r="F722" i="22"/>
  <c r="G722" i="22"/>
  <c r="H722" i="22"/>
  <c r="C722" i="22"/>
  <c r="D720" i="22"/>
  <c r="E720" i="22"/>
  <c r="F720" i="22"/>
  <c r="G720" i="22"/>
  <c r="H720" i="22"/>
  <c r="C720" i="22"/>
  <c r="C718" i="22"/>
  <c r="D718" i="22"/>
  <c r="E718" i="22"/>
  <c r="F718" i="22"/>
  <c r="G718" i="22"/>
  <c r="H718" i="22"/>
  <c r="D717" i="22"/>
  <c r="E717" i="22"/>
  <c r="F717" i="22"/>
  <c r="G717" i="22"/>
  <c r="H717" i="22"/>
  <c r="C717" i="22"/>
  <c r="D715" i="22"/>
  <c r="E715" i="22"/>
  <c r="F715" i="22"/>
  <c r="G715" i="22"/>
  <c r="H715" i="22"/>
  <c r="C715" i="22"/>
  <c r="C713" i="22"/>
  <c r="D713" i="22"/>
  <c r="E713" i="22"/>
  <c r="F713" i="22"/>
  <c r="G713" i="22"/>
  <c r="H713" i="22"/>
  <c r="D712" i="22"/>
  <c r="E712" i="22"/>
  <c r="F712" i="22"/>
  <c r="G712" i="22"/>
  <c r="H712" i="22"/>
  <c r="C712" i="22"/>
  <c r="C710" i="22"/>
  <c r="D710" i="22"/>
  <c r="E710" i="22"/>
  <c r="F710" i="22"/>
  <c r="G710" i="22"/>
  <c r="H710" i="22"/>
  <c r="D709" i="22"/>
  <c r="E709" i="22"/>
  <c r="F709" i="22"/>
  <c r="G709" i="22"/>
  <c r="H709" i="22"/>
  <c r="C709" i="22"/>
  <c r="C707" i="22"/>
  <c r="D707" i="22"/>
  <c r="E707" i="22"/>
  <c r="F707" i="22"/>
  <c r="G707" i="22"/>
  <c r="H707" i="22"/>
  <c r="D706" i="22"/>
  <c r="E706" i="22"/>
  <c r="F706" i="22"/>
  <c r="G706" i="22"/>
  <c r="H706" i="22"/>
  <c r="C706" i="22"/>
  <c r="C704" i="22"/>
  <c r="D704" i="22"/>
  <c r="E704" i="22"/>
  <c r="F704" i="22"/>
  <c r="G704" i="22"/>
  <c r="H704" i="22"/>
  <c r="D703" i="22"/>
  <c r="E703" i="22"/>
  <c r="F703" i="22"/>
  <c r="G703" i="22"/>
  <c r="H703" i="22"/>
  <c r="C703" i="22"/>
  <c r="D701" i="22"/>
  <c r="E701" i="22"/>
  <c r="F701" i="22"/>
  <c r="G701" i="22"/>
  <c r="H701" i="22"/>
  <c r="C701" i="22"/>
  <c r="D699" i="22"/>
  <c r="E699" i="22"/>
  <c r="F699" i="22"/>
  <c r="G699" i="22"/>
  <c r="H699" i="22"/>
  <c r="C699" i="22"/>
  <c r="C697" i="22"/>
  <c r="D697" i="22"/>
  <c r="E697" i="22"/>
  <c r="F697" i="22"/>
  <c r="G697" i="22"/>
  <c r="H697" i="22"/>
  <c r="D696" i="22"/>
  <c r="E696" i="22"/>
  <c r="F696" i="22"/>
  <c r="G696" i="22"/>
  <c r="H696" i="22"/>
  <c r="C696" i="22"/>
  <c r="C694" i="22"/>
  <c r="D694" i="22"/>
  <c r="E694" i="22"/>
  <c r="F694" i="22"/>
  <c r="G694" i="22"/>
  <c r="H694" i="22"/>
  <c r="D693" i="22"/>
  <c r="E693" i="22"/>
  <c r="F693" i="22"/>
  <c r="G693" i="22"/>
  <c r="H693" i="22"/>
  <c r="C693" i="22"/>
  <c r="C691" i="22"/>
  <c r="D691" i="22"/>
  <c r="E691" i="22"/>
  <c r="F691" i="22"/>
  <c r="G691" i="22"/>
  <c r="H691" i="22"/>
  <c r="D690" i="22"/>
  <c r="E690" i="22"/>
  <c r="F690" i="22"/>
  <c r="G690" i="22"/>
  <c r="H690" i="22"/>
  <c r="C690" i="22"/>
  <c r="C688" i="22"/>
  <c r="D688" i="22"/>
  <c r="E688" i="22"/>
  <c r="F688" i="22"/>
  <c r="G688" i="22"/>
  <c r="H688" i="22"/>
  <c r="D687" i="22"/>
  <c r="E687" i="22"/>
  <c r="F687" i="22"/>
  <c r="G687" i="22"/>
  <c r="H687" i="22"/>
  <c r="C687" i="22"/>
  <c r="C685" i="22"/>
  <c r="D685" i="22"/>
  <c r="E685" i="22"/>
  <c r="F685" i="22"/>
  <c r="G685" i="22"/>
  <c r="H685" i="22"/>
  <c r="D684" i="22"/>
  <c r="E684" i="22"/>
  <c r="F684" i="22"/>
  <c r="G684" i="22"/>
  <c r="H684" i="22"/>
  <c r="C684" i="22"/>
  <c r="C682" i="22"/>
  <c r="D682" i="22"/>
  <c r="E682" i="22"/>
  <c r="F682" i="22"/>
  <c r="G682" i="22"/>
  <c r="H682" i="22"/>
  <c r="D681" i="22"/>
  <c r="E681" i="22"/>
  <c r="F681" i="22"/>
  <c r="G681" i="22"/>
  <c r="H681" i="22"/>
  <c r="C681" i="22"/>
  <c r="C679" i="22"/>
  <c r="D679" i="22"/>
  <c r="E679" i="22"/>
  <c r="F679" i="22"/>
  <c r="G679" i="22"/>
  <c r="H679" i="22"/>
  <c r="D678" i="22"/>
  <c r="E678" i="22"/>
  <c r="F678" i="22"/>
  <c r="G678" i="22"/>
  <c r="H678" i="22"/>
  <c r="C678" i="22"/>
  <c r="C675" i="22"/>
  <c r="D675" i="22"/>
  <c r="E675" i="22"/>
  <c r="F675" i="22"/>
  <c r="G675" i="22"/>
  <c r="H675" i="22"/>
  <c r="D674" i="22"/>
  <c r="E674" i="22"/>
  <c r="F674" i="22"/>
  <c r="G674" i="22"/>
  <c r="H674" i="22"/>
  <c r="C674" i="22"/>
  <c r="C672" i="22"/>
  <c r="D672" i="22"/>
  <c r="E672" i="22"/>
  <c r="F672" i="22"/>
  <c r="G672" i="22"/>
  <c r="H672" i="22"/>
  <c r="D671" i="22"/>
  <c r="E671" i="22"/>
  <c r="F671" i="22"/>
  <c r="G671" i="22"/>
  <c r="H671" i="22"/>
  <c r="C671" i="22"/>
  <c r="C669" i="22"/>
  <c r="D669" i="22"/>
  <c r="E669" i="22"/>
  <c r="F669" i="22"/>
  <c r="G669" i="22"/>
  <c r="H669" i="22"/>
  <c r="D668" i="22"/>
  <c r="E668" i="22"/>
  <c r="F668" i="22"/>
  <c r="G668" i="22"/>
  <c r="H668" i="22"/>
  <c r="C668" i="22"/>
  <c r="C666" i="22"/>
  <c r="D666" i="22"/>
  <c r="E666" i="22"/>
  <c r="F666" i="22"/>
  <c r="G666" i="22"/>
  <c r="H666" i="22"/>
  <c r="D665" i="22"/>
  <c r="E665" i="22"/>
  <c r="F665" i="22"/>
  <c r="G665" i="22"/>
  <c r="H665" i="22"/>
  <c r="C665" i="22"/>
  <c r="C663" i="22"/>
  <c r="D663" i="22"/>
  <c r="E663" i="22"/>
  <c r="F663" i="22"/>
  <c r="G663" i="22"/>
  <c r="H663" i="22"/>
  <c r="D662" i="22"/>
  <c r="E662" i="22"/>
  <c r="F662" i="22"/>
  <c r="G662" i="22"/>
  <c r="H662" i="22"/>
  <c r="C662" i="22"/>
  <c r="C658" i="22"/>
  <c r="D658" i="22"/>
  <c r="E658" i="22"/>
  <c r="F658" i="22"/>
  <c r="G658" i="22"/>
  <c r="H658" i="22"/>
  <c r="D657" i="22"/>
  <c r="E657" i="22"/>
  <c r="F657" i="22"/>
  <c r="G657" i="22"/>
  <c r="H657" i="22"/>
  <c r="C657" i="22"/>
  <c r="C655" i="22"/>
  <c r="D655" i="22"/>
  <c r="E655" i="22"/>
  <c r="F655" i="22"/>
  <c r="G655" i="22"/>
  <c r="H655" i="22"/>
  <c r="D654" i="22"/>
  <c r="E654" i="22"/>
  <c r="F654" i="22"/>
  <c r="G654" i="22"/>
  <c r="H654" i="22"/>
  <c r="C654" i="22"/>
  <c r="C652" i="22"/>
  <c r="D652" i="22"/>
  <c r="E652" i="22"/>
  <c r="F652" i="22"/>
  <c r="G652" i="22"/>
  <c r="H652" i="22"/>
  <c r="D651" i="22"/>
  <c r="E651" i="22"/>
  <c r="F651" i="22"/>
  <c r="G651" i="22"/>
  <c r="H651" i="22"/>
  <c r="C651" i="22"/>
  <c r="C649" i="22"/>
  <c r="D649" i="22"/>
  <c r="E649" i="22"/>
  <c r="F649" i="22"/>
  <c r="G649" i="22"/>
  <c r="H649" i="22"/>
  <c r="D648" i="22"/>
  <c r="E648" i="22"/>
  <c r="F648" i="22"/>
  <c r="G648" i="22"/>
  <c r="H648" i="22"/>
  <c r="C648" i="22"/>
  <c r="C646" i="22"/>
  <c r="D646" i="22"/>
  <c r="E646" i="22"/>
  <c r="F646" i="22"/>
  <c r="G646" i="22"/>
  <c r="H646" i="22"/>
  <c r="D645" i="22"/>
  <c r="E645" i="22"/>
  <c r="F645" i="22"/>
  <c r="G645" i="22"/>
  <c r="H645" i="22"/>
  <c r="C645" i="22"/>
  <c r="C643" i="22"/>
  <c r="D643" i="22"/>
  <c r="E643" i="22"/>
  <c r="F643" i="22"/>
  <c r="G643" i="22"/>
  <c r="H643" i="22"/>
  <c r="D642" i="22"/>
  <c r="E642" i="22"/>
  <c r="F642" i="22"/>
  <c r="G642" i="22"/>
  <c r="H642" i="22"/>
  <c r="C642" i="22"/>
  <c r="C640" i="22"/>
  <c r="D640" i="22"/>
  <c r="E640" i="22"/>
  <c r="F640" i="22"/>
  <c r="G640" i="22"/>
  <c r="H640" i="22"/>
  <c r="D639" i="22"/>
  <c r="E639" i="22"/>
  <c r="F639" i="22"/>
  <c r="G639" i="22"/>
  <c r="H639" i="22"/>
  <c r="C639" i="22"/>
  <c r="D637" i="22"/>
  <c r="E637" i="22"/>
  <c r="F637" i="22"/>
  <c r="G637" i="22"/>
  <c r="H637" i="22"/>
  <c r="C637" i="22"/>
  <c r="C635" i="22"/>
  <c r="D635" i="22"/>
  <c r="E635" i="22"/>
  <c r="F635" i="22"/>
  <c r="G635" i="22"/>
  <c r="H635" i="22"/>
  <c r="D634" i="22"/>
  <c r="E634" i="22"/>
  <c r="F634" i="22"/>
  <c r="G634" i="22"/>
  <c r="H634" i="22"/>
  <c r="C634" i="22"/>
  <c r="C632" i="22"/>
  <c r="D632" i="22"/>
  <c r="E632" i="22"/>
  <c r="F632" i="22"/>
  <c r="G632" i="22"/>
  <c r="H632" i="22"/>
  <c r="D631" i="22"/>
  <c r="E631" i="22"/>
  <c r="F631" i="22"/>
  <c r="G631" i="22"/>
  <c r="H631" i="22"/>
  <c r="C631" i="22"/>
  <c r="C629" i="22"/>
  <c r="D629" i="22"/>
  <c r="E629" i="22"/>
  <c r="F629" i="22"/>
  <c r="G629" i="22"/>
  <c r="H629" i="22"/>
  <c r="D628" i="22"/>
  <c r="E628" i="22"/>
  <c r="F628" i="22"/>
  <c r="G628" i="22"/>
  <c r="H628" i="22"/>
  <c r="C628" i="22"/>
  <c r="D626" i="22"/>
  <c r="E626" i="22"/>
  <c r="F626" i="22"/>
  <c r="G626" i="22"/>
  <c r="H626" i="22"/>
  <c r="C626" i="22"/>
  <c r="C624" i="22"/>
  <c r="D624" i="22"/>
  <c r="E624" i="22"/>
  <c r="F624" i="22"/>
  <c r="G624" i="22"/>
  <c r="H624" i="22"/>
  <c r="D623" i="22"/>
  <c r="E623" i="22"/>
  <c r="F623" i="22"/>
  <c r="G623" i="22"/>
  <c r="H623" i="22"/>
  <c r="C623" i="22"/>
  <c r="D621" i="22"/>
  <c r="E621" i="22"/>
  <c r="F621" i="22"/>
  <c r="G621" i="22"/>
  <c r="H621" i="22"/>
  <c r="C621" i="22"/>
  <c r="C616" i="22"/>
  <c r="D616" i="22"/>
  <c r="E616" i="22"/>
  <c r="F616" i="22"/>
  <c r="G616" i="22"/>
  <c r="H616" i="22"/>
  <c r="D615" i="22"/>
  <c r="E615" i="22"/>
  <c r="F615" i="22"/>
  <c r="G615" i="22"/>
  <c r="H615" i="22"/>
  <c r="C615" i="22"/>
  <c r="C613" i="22"/>
  <c r="D613" i="22"/>
  <c r="E613" i="22"/>
  <c r="F613" i="22"/>
  <c r="G613" i="22"/>
  <c r="H613" i="22"/>
  <c r="D612" i="22"/>
  <c r="E612" i="22"/>
  <c r="F612" i="22"/>
  <c r="G612" i="22"/>
  <c r="H612" i="22"/>
  <c r="C612" i="22"/>
  <c r="D610" i="22"/>
  <c r="E610" i="22"/>
  <c r="F610" i="22"/>
  <c r="G610" i="22"/>
  <c r="H610" i="22"/>
  <c r="C610" i="22"/>
  <c r="C608" i="22"/>
  <c r="D608" i="22"/>
  <c r="E608" i="22"/>
  <c r="F608" i="22"/>
  <c r="G608" i="22"/>
  <c r="H608" i="22"/>
  <c r="D607" i="22"/>
  <c r="E607" i="22"/>
  <c r="F607" i="22"/>
  <c r="G607" i="22"/>
  <c r="H607" i="22"/>
  <c r="C607" i="22"/>
  <c r="C605" i="22"/>
  <c r="D605" i="22"/>
  <c r="E605" i="22"/>
  <c r="F605" i="22"/>
  <c r="G605" i="22"/>
  <c r="H605" i="22"/>
  <c r="D604" i="22"/>
  <c r="E604" i="22"/>
  <c r="F604" i="22"/>
  <c r="G604" i="22"/>
  <c r="H604" i="22"/>
  <c r="C604" i="22"/>
  <c r="C602" i="22"/>
  <c r="D602" i="22"/>
  <c r="E602" i="22"/>
  <c r="F602" i="22"/>
  <c r="G602" i="22"/>
  <c r="H602" i="22"/>
  <c r="D601" i="22"/>
  <c r="E601" i="22"/>
  <c r="F601" i="22"/>
  <c r="G601" i="22"/>
  <c r="H601" i="22"/>
  <c r="C601" i="22"/>
  <c r="C599" i="22"/>
  <c r="D599" i="22"/>
  <c r="E599" i="22"/>
  <c r="F599" i="22"/>
  <c r="G599" i="22"/>
  <c r="H599" i="22"/>
  <c r="D598" i="22"/>
  <c r="E598" i="22"/>
  <c r="F598" i="22"/>
  <c r="G598" i="22"/>
  <c r="H598" i="22"/>
  <c r="C598" i="22"/>
  <c r="C596" i="22"/>
  <c r="D596" i="22"/>
  <c r="E596" i="22"/>
  <c r="F596" i="22"/>
  <c r="G596" i="22"/>
  <c r="H596" i="22"/>
  <c r="D595" i="22"/>
  <c r="E595" i="22"/>
  <c r="F595" i="22"/>
  <c r="G595" i="22"/>
  <c r="H595" i="22"/>
  <c r="C595" i="22"/>
  <c r="C593" i="22"/>
  <c r="D593" i="22"/>
  <c r="E593" i="22"/>
  <c r="F593" i="22"/>
  <c r="G593" i="22"/>
  <c r="H593" i="22"/>
  <c r="D592" i="22"/>
  <c r="E592" i="22"/>
  <c r="F592" i="22"/>
  <c r="G592" i="22"/>
  <c r="H592" i="22"/>
  <c r="C592" i="22"/>
  <c r="C590" i="22"/>
  <c r="D590" i="22"/>
  <c r="E590" i="22"/>
  <c r="F590" i="22"/>
  <c r="G590" i="22"/>
  <c r="H590" i="22"/>
  <c r="D589" i="22"/>
  <c r="E589" i="22"/>
  <c r="F589" i="22"/>
  <c r="G589" i="22"/>
  <c r="H589" i="22"/>
  <c r="C589" i="22"/>
  <c r="C587" i="22"/>
  <c r="D587" i="22"/>
  <c r="E587" i="22"/>
  <c r="F587" i="22"/>
  <c r="G587" i="22"/>
  <c r="H587" i="22"/>
  <c r="D586" i="22"/>
  <c r="E586" i="22"/>
  <c r="F586" i="22"/>
  <c r="G586" i="22"/>
  <c r="H586" i="22"/>
  <c r="C586" i="22"/>
  <c r="C584" i="22"/>
  <c r="D584" i="22"/>
  <c r="E584" i="22"/>
  <c r="F584" i="22"/>
  <c r="G584" i="22"/>
  <c r="H584" i="22"/>
  <c r="D583" i="22"/>
  <c r="E583" i="22"/>
  <c r="F583" i="22"/>
  <c r="G583" i="22"/>
  <c r="H583" i="22"/>
  <c r="C583" i="22"/>
  <c r="D581" i="22"/>
  <c r="E581" i="22"/>
  <c r="F581" i="22"/>
  <c r="G581" i="22"/>
  <c r="H581" i="22"/>
  <c r="C581" i="22"/>
  <c r="C579" i="22"/>
  <c r="D579" i="22"/>
  <c r="E579" i="22"/>
  <c r="F579" i="22"/>
  <c r="G579" i="22"/>
  <c r="H579" i="22"/>
  <c r="D578" i="22"/>
  <c r="E578" i="22"/>
  <c r="F578" i="22"/>
  <c r="G578" i="22"/>
  <c r="H578" i="22"/>
  <c r="C578" i="22"/>
  <c r="C576" i="22"/>
  <c r="D576" i="22"/>
  <c r="E576" i="22"/>
  <c r="F576" i="22"/>
  <c r="G576" i="22"/>
  <c r="H576" i="22"/>
  <c r="D575" i="22"/>
  <c r="E575" i="22"/>
  <c r="F575" i="22"/>
  <c r="G575" i="22"/>
  <c r="H575" i="22"/>
  <c r="C575" i="22"/>
  <c r="C571" i="22"/>
  <c r="D571" i="22"/>
  <c r="E571" i="22"/>
  <c r="F571" i="22"/>
  <c r="G571" i="22"/>
  <c r="H571" i="22"/>
  <c r="D570" i="22"/>
  <c r="E570" i="22"/>
  <c r="F570" i="22"/>
  <c r="G570" i="22"/>
  <c r="H570" i="22"/>
  <c r="C570" i="22"/>
  <c r="C568" i="22"/>
  <c r="D568" i="22"/>
  <c r="E568" i="22"/>
  <c r="F568" i="22"/>
  <c r="G568" i="22"/>
  <c r="H568" i="22"/>
  <c r="D567" i="22"/>
  <c r="E567" i="22"/>
  <c r="F567" i="22"/>
  <c r="G567" i="22"/>
  <c r="H567" i="22"/>
  <c r="C567" i="22"/>
  <c r="C563" i="22"/>
  <c r="D563" i="22"/>
  <c r="E563" i="22"/>
  <c r="F563" i="22"/>
  <c r="G563" i="22"/>
  <c r="H563" i="22"/>
  <c r="D562" i="22"/>
  <c r="E562" i="22"/>
  <c r="F562" i="22"/>
  <c r="G562" i="22"/>
  <c r="H562" i="22"/>
  <c r="C562" i="22"/>
  <c r="C560" i="22"/>
  <c r="D560" i="22"/>
  <c r="E560" i="22"/>
  <c r="F560" i="22"/>
  <c r="G560" i="22"/>
  <c r="H560" i="22"/>
  <c r="D559" i="22"/>
  <c r="E559" i="22"/>
  <c r="F559" i="22"/>
  <c r="G559" i="22"/>
  <c r="H559" i="22"/>
  <c r="C559" i="22"/>
  <c r="C327" i="22"/>
  <c r="D327" i="22"/>
  <c r="E327" i="22"/>
  <c r="F327" i="22"/>
  <c r="G327" i="22"/>
  <c r="H327" i="22"/>
  <c r="C328" i="22"/>
  <c r="D328" i="22"/>
  <c r="E328" i="22"/>
  <c r="F328" i="22"/>
  <c r="G328" i="22"/>
  <c r="H328" i="22"/>
  <c r="C329" i="22"/>
  <c r="D329" i="22"/>
  <c r="E329" i="22"/>
  <c r="F329" i="22"/>
  <c r="G329" i="22"/>
  <c r="H329" i="22"/>
  <c r="C330" i="22"/>
  <c r="D330" i="22"/>
  <c r="E330" i="22"/>
  <c r="F330" i="22"/>
  <c r="G330" i="22"/>
  <c r="H330" i="22"/>
  <c r="C331" i="22"/>
  <c r="D331" i="22"/>
  <c r="E331" i="22"/>
  <c r="F331" i="22"/>
  <c r="G331" i="22"/>
  <c r="H331" i="22"/>
  <c r="C332" i="22"/>
  <c r="D332" i="22"/>
  <c r="E332" i="22"/>
  <c r="F332" i="22"/>
  <c r="G332" i="22"/>
  <c r="H332" i="22"/>
  <c r="C333" i="22"/>
  <c r="D333" i="22"/>
  <c r="E333" i="22"/>
  <c r="F333" i="22"/>
  <c r="G333" i="22"/>
  <c r="H333" i="22"/>
  <c r="C334" i="22"/>
  <c r="D334" i="22"/>
  <c r="E334" i="22"/>
  <c r="F334" i="22"/>
  <c r="G334" i="22"/>
  <c r="H334" i="22"/>
  <c r="C335" i="22"/>
  <c r="D335" i="22"/>
  <c r="E335" i="22"/>
  <c r="F335" i="22"/>
  <c r="G335" i="22"/>
  <c r="H335" i="22"/>
  <c r="C336" i="22"/>
  <c r="D336" i="22"/>
  <c r="E336" i="22"/>
  <c r="F336" i="22"/>
  <c r="G336" i="22"/>
  <c r="H336" i="22"/>
  <c r="C337" i="22"/>
  <c r="D337" i="22"/>
  <c r="E337" i="22"/>
  <c r="F337" i="22"/>
  <c r="G337" i="22"/>
  <c r="H337" i="22"/>
  <c r="C338" i="22"/>
  <c r="D338" i="22"/>
  <c r="E338" i="22"/>
  <c r="F338" i="22"/>
  <c r="G338" i="22"/>
  <c r="H338" i="22"/>
  <c r="C339" i="22"/>
  <c r="D339" i="22"/>
  <c r="E339" i="22"/>
  <c r="F339" i="22"/>
  <c r="G339" i="22"/>
  <c r="H339" i="22"/>
  <c r="C340" i="22"/>
  <c r="D340" i="22"/>
  <c r="E340" i="22"/>
  <c r="F340" i="22"/>
  <c r="G340" i="22"/>
  <c r="H340" i="22"/>
  <c r="C341" i="22"/>
  <c r="D341" i="22"/>
  <c r="E341" i="22"/>
  <c r="F341" i="22"/>
  <c r="G341" i="22"/>
  <c r="H341" i="22"/>
  <c r="C342" i="22"/>
  <c r="D342" i="22"/>
  <c r="E342" i="22"/>
  <c r="F342" i="22"/>
  <c r="G342" i="22"/>
  <c r="H342" i="22"/>
  <c r="C343" i="22"/>
  <c r="D343" i="22"/>
  <c r="E343" i="22"/>
  <c r="F343" i="22"/>
  <c r="G343" i="22"/>
  <c r="H343" i="22"/>
  <c r="C344" i="22"/>
  <c r="D344" i="22"/>
  <c r="E344" i="22"/>
  <c r="F344" i="22"/>
  <c r="G344" i="22"/>
  <c r="H344" i="22"/>
  <c r="C345" i="22"/>
  <c r="D345" i="22"/>
  <c r="E345" i="22"/>
  <c r="F345" i="22"/>
  <c r="G345" i="22"/>
  <c r="H345" i="22"/>
  <c r="C346" i="22"/>
  <c r="D346" i="22"/>
  <c r="E346" i="22"/>
  <c r="F346" i="22"/>
  <c r="G346" i="22"/>
  <c r="H346" i="22"/>
  <c r="C347" i="22"/>
  <c r="D347" i="22"/>
  <c r="E347" i="22"/>
  <c r="F347" i="22"/>
  <c r="G347" i="22"/>
  <c r="H347" i="22"/>
  <c r="C348" i="22"/>
  <c r="D348" i="22"/>
  <c r="E348" i="22"/>
  <c r="F348" i="22"/>
  <c r="G348" i="22"/>
  <c r="H348" i="22"/>
  <c r="C349" i="22"/>
  <c r="D349" i="22"/>
  <c r="E349" i="22"/>
  <c r="F349" i="22"/>
  <c r="G349" i="22"/>
  <c r="H349" i="22"/>
  <c r="C350" i="22"/>
  <c r="D350" i="22"/>
  <c r="E350" i="22"/>
  <c r="F350" i="22"/>
  <c r="G350" i="22"/>
  <c r="H350" i="22"/>
  <c r="C351" i="22"/>
  <c r="D351" i="22"/>
  <c r="E351" i="22"/>
  <c r="F351" i="22"/>
  <c r="G351" i="22"/>
  <c r="H351" i="22"/>
  <c r="C352" i="22"/>
  <c r="D352" i="22"/>
  <c r="E352" i="22"/>
  <c r="F352" i="22"/>
  <c r="G352" i="22"/>
  <c r="H352" i="22"/>
  <c r="C353" i="22"/>
  <c r="D353" i="22"/>
  <c r="E353" i="22"/>
  <c r="F353" i="22"/>
  <c r="G353" i="22"/>
  <c r="H353" i="22"/>
  <c r="C354" i="22"/>
  <c r="D354" i="22"/>
  <c r="E354" i="22"/>
  <c r="F354" i="22"/>
  <c r="G354" i="22"/>
  <c r="H354" i="22"/>
  <c r="C355" i="22"/>
  <c r="D355" i="22"/>
  <c r="E355" i="22"/>
  <c r="F355" i="22"/>
  <c r="G355" i="22"/>
  <c r="H355" i="22"/>
  <c r="C356" i="22"/>
  <c r="D356" i="22"/>
  <c r="E356" i="22"/>
  <c r="F356" i="22"/>
  <c r="G356" i="22"/>
  <c r="H356" i="22"/>
  <c r="C357" i="22"/>
  <c r="D357" i="22"/>
  <c r="E357" i="22"/>
  <c r="F357" i="22"/>
  <c r="G357" i="22"/>
  <c r="H357" i="22"/>
  <c r="C358" i="22"/>
  <c r="D358" i="22"/>
  <c r="E358" i="22"/>
  <c r="F358" i="22"/>
  <c r="G358" i="22"/>
  <c r="H358" i="22"/>
  <c r="C359" i="22"/>
  <c r="D359" i="22"/>
  <c r="E359" i="22"/>
  <c r="F359" i="22"/>
  <c r="G359" i="22"/>
  <c r="H359" i="22"/>
  <c r="C360" i="22"/>
  <c r="D360" i="22"/>
  <c r="E360" i="22"/>
  <c r="F360" i="22"/>
  <c r="G360" i="22"/>
  <c r="H360" i="22"/>
  <c r="C361" i="22"/>
  <c r="D361" i="22"/>
  <c r="E361" i="22"/>
  <c r="F361" i="22"/>
  <c r="G361" i="22"/>
  <c r="H361" i="22"/>
  <c r="C362" i="22"/>
  <c r="D362" i="22"/>
  <c r="E362" i="22"/>
  <c r="F362" i="22"/>
  <c r="G362" i="22"/>
  <c r="H362" i="22"/>
  <c r="C363" i="22"/>
  <c r="D363" i="22"/>
  <c r="E363" i="22"/>
  <c r="F363" i="22"/>
  <c r="G363" i="22"/>
  <c r="H363" i="22"/>
  <c r="C364" i="22"/>
  <c r="D364" i="22"/>
  <c r="E364" i="22"/>
  <c r="F364" i="22"/>
  <c r="G364" i="22"/>
  <c r="H364" i="22"/>
  <c r="C365" i="22"/>
  <c r="D365" i="22"/>
  <c r="E365" i="22"/>
  <c r="F365" i="22"/>
  <c r="G365" i="22"/>
  <c r="H365" i="22"/>
  <c r="C366" i="22"/>
  <c r="D366" i="22"/>
  <c r="E366" i="22"/>
  <c r="F366" i="22"/>
  <c r="G366" i="22"/>
  <c r="H366" i="22"/>
  <c r="C367" i="22"/>
  <c r="D367" i="22"/>
  <c r="E367" i="22"/>
  <c r="F367" i="22"/>
  <c r="G367" i="22"/>
  <c r="H367" i="22"/>
  <c r="C368" i="22"/>
  <c r="D368" i="22"/>
  <c r="E368" i="22"/>
  <c r="F368" i="22"/>
  <c r="G368" i="22"/>
  <c r="H368" i="22"/>
  <c r="C369" i="22"/>
  <c r="D369" i="22"/>
  <c r="E369" i="22"/>
  <c r="F369" i="22"/>
  <c r="G369" i="22"/>
  <c r="H369" i="22"/>
  <c r="C370" i="22"/>
  <c r="D370" i="22"/>
  <c r="E370" i="22"/>
  <c r="F370" i="22"/>
  <c r="G370" i="22"/>
  <c r="H370" i="22"/>
  <c r="C371" i="22"/>
  <c r="D371" i="22"/>
  <c r="E371" i="22"/>
  <c r="F371" i="22"/>
  <c r="G371" i="22"/>
  <c r="H371" i="22"/>
  <c r="C372" i="22"/>
  <c r="D372" i="22"/>
  <c r="E372" i="22"/>
  <c r="F372" i="22"/>
  <c r="G372" i="22"/>
  <c r="H372" i="22"/>
  <c r="C373" i="22"/>
  <c r="D373" i="22"/>
  <c r="E373" i="22"/>
  <c r="F373" i="22"/>
  <c r="G373" i="22"/>
  <c r="H373" i="22"/>
  <c r="C374" i="22"/>
  <c r="D374" i="22"/>
  <c r="E374" i="22"/>
  <c r="F374" i="22"/>
  <c r="G374" i="22"/>
  <c r="H374" i="22"/>
  <c r="C375" i="22"/>
  <c r="D375" i="22"/>
  <c r="E375" i="22"/>
  <c r="F375" i="22"/>
  <c r="G375" i="22"/>
  <c r="H375" i="22"/>
  <c r="C376" i="22"/>
  <c r="D376" i="22"/>
  <c r="E376" i="22"/>
  <c r="F376" i="22"/>
  <c r="G376" i="22"/>
  <c r="H376" i="22"/>
  <c r="C377" i="22"/>
  <c r="D377" i="22"/>
  <c r="E377" i="22"/>
  <c r="F377" i="22"/>
  <c r="G377" i="22"/>
  <c r="H377" i="22"/>
  <c r="C378" i="22"/>
  <c r="D378" i="22"/>
  <c r="E378" i="22"/>
  <c r="F378" i="22"/>
  <c r="G378" i="22"/>
  <c r="H378" i="22"/>
  <c r="C379" i="22"/>
  <c r="D379" i="22"/>
  <c r="E379" i="22"/>
  <c r="F379" i="22"/>
  <c r="G379" i="22"/>
  <c r="H379" i="22"/>
  <c r="C380" i="22"/>
  <c r="D380" i="22"/>
  <c r="E380" i="22"/>
  <c r="F380" i="22"/>
  <c r="G380" i="22"/>
  <c r="H380" i="22"/>
  <c r="C381" i="22"/>
  <c r="D381" i="22"/>
  <c r="E381" i="22"/>
  <c r="F381" i="22"/>
  <c r="G381" i="22"/>
  <c r="H381" i="22"/>
  <c r="C382" i="22"/>
  <c r="D382" i="22"/>
  <c r="E382" i="22"/>
  <c r="F382" i="22"/>
  <c r="G382" i="22"/>
  <c r="H382" i="22"/>
  <c r="C383" i="22"/>
  <c r="D383" i="22"/>
  <c r="E383" i="22"/>
  <c r="F383" i="22"/>
  <c r="G383" i="22"/>
  <c r="H383" i="22"/>
  <c r="C384" i="22"/>
  <c r="D384" i="22"/>
  <c r="E384" i="22"/>
  <c r="F384" i="22"/>
  <c r="G384" i="22"/>
  <c r="H384" i="22"/>
  <c r="C385" i="22"/>
  <c r="D385" i="22"/>
  <c r="E385" i="22"/>
  <c r="F385" i="22"/>
  <c r="G385" i="22"/>
  <c r="H385" i="22"/>
  <c r="C386" i="22"/>
  <c r="D386" i="22"/>
  <c r="E386" i="22"/>
  <c r="F386" i="22"/>
  <c r="G386" i="22"/>
  <c r="H386" i="22"/>
  <c r="C387" i="22"/>
  <c r="D387" i="22"/>
  <c r="E387" i="22"/>
  <c r="F387" i="22"/>
  <c r="G387" i="22"/>
  <c r="H387" i="22"/>
  <c r="C388" i="22"/>
  <c r="D388" i="22"/>
  <c r="E388" i="22"/>
  <c r="F388" i="22"/>
  <c r="G388" i="22"/>
  <c r="H388" i="22"/>
  <c r="C389" i="22"/>
  <c r="D389" i="22"/>
  <c r="E389" i="22"/>
  <c r="F389" i="22"/>
  <c r="G389" i="22"/>
  <c r="H389" i="22"/>
  <c r="C390" i="22"/>
  <c r="D390" i="22"/>
  <c r="E390" i="22"/>
  <c r="F390" i="22"/>
  <c r="G390" i="22"/>
  <c r="H390" i="22"/>
  <c r="C391" i="22"/>
  <c r="D391" i="22"/>
  <c r="E391" i="22"/>
  <c r="F391" i="22"/>
  <c r="G391" i="22"/>
  <c r="H391" i="22"/>
  <c r="C392" i="22"/>
  <c r="D392" i="22"/>
  <c r="E392" i="22"/>
  <c r="F392" i="22"/>
  <c r="G392" i="22"/>
  <c r="H392" i="22"/>
  <c r="C393" i="22"/>
  <c r="D393" i="22"/>
  <c r="E393" i="22"/>
  <c r="F393" i="22"/>
  <c r="G393" i="22"/>
  <c r="H393" i="22"/>
  <c r="C394" i="22"/>
  <c r="D394" i="22"/>
  <c r="E394" i="22"/>
  <c r="F394" i="22"/>
  <c r="G394" i="22"/>
  <c r="H394" i="22"/>
  <c r="C395" i="22"/>
  <c r="D395" i="22"/>
  <c r="E395" i="22"/>
  <c r="F395" i="22"/>
  <c r="G395" i="22"/>
  <c r="H395" i="22"/>
  <c r="C396" i="22"/>
  <c r="D396" i="22"/>
  <c r="E396" i="22"/>
  <c r="F396" i="22"/>
  <c r="G396" i="22"/>
  <c r="H396" i="22"/>
  <c r="C397" i="22"/>
  <c r="D397" i="22"/>
  <c r="E397" i="22"/>
  <c r="F397" i="22"/>
  <c r="G397" i="22"/>
  <c r="H397" i="22"/>
  <c r="C398" i="22"/>
  <c r="D398" i="22"/>
  <c r="E398" i="22"/>
  <c r="F398" i="22"/>
  <c r="G398" i="22"/>
  <c r="H398" i="22"/>
  <c r="C399" i="22"/>
  <c r="D399" i="22"/>
  <c r="E399" i="22"/>
  <c r="F399" i="22"/>
  <c r="G399" i="22"/>
  <c r="H399" i="22"/>
  <c r="C400" i="22"/>
  <c r="D400" i="22"/>
  <c r="E400" i="22"/>
  <c r="F400" i="22"/>
  <c r="G400" i="22"/>
  <c r="H400" i="22"/>
  <c r="C401" i="22"/>
  <c r="D401" i="22"/>
  <c r="E401" i="22"/>
  <c r="F401" i="22"/>
  <c r="G401" i="22"/>
  <c r="H401" i="22"/>
  <c r="C402" i="22"/>
  <c r="D402" i="22"/>
  <c r="E402" i="22"/>
  <c r="F402" i="22"/>
  <c r="G402" i="22"/>
  <c r="H402" i="22"/>
  <c r="C403" i="22"/>
  <c r="D403" i="22"/>
  <c r="E403" i="22"/>
  <c r="F403" i="22"/>
  <c r="G403" i="22"/>
  <c r="H403" i="22"/>
  <c r="C404" i="22"/>
  <c r="D404" i="22"/>
  <c r="E404" i="22"/>
  <c r="F404" i="22"/>
  <c r="G404" i="22"/>
  <c r="H404" i="22"/>
  <c r="C405" i="22"/>
  <c r="D405" i="22"/>
  <c r="E405" i="22"/>
  <c r="F405" i="22"/>
  <c r="G405" i="22"/>
  <c r="H405" i="22"/>
  <c r="C406" i="22"/>
  <c r="D406" i="22"/>
  <c r="E406" i="22"/>
  <c r="F406" i="22"/>
  <c r="G406" i="22"/>
  <c r="H406" i="22"/>
  <c r="C407" i="22"/>
  <c r="D407" i="22"/>
  <c r="E407" i="22"/>
  <c r="F407" i="22"/>
  <c r="G407" i="22"/>
  <c r="H407" i="22"/>
  <c r="C408" i="22"/>
  <c r="D408" i="22"/>
  <c r="E408" i="22"/>
  <c r="F408" i="22"/>
  <c r="G408" i="22"/>
  <c r="H408" i="22"/>
  <c r="C409" i="22"/>
  <c r="D409" i="22"/>
  <c r="E409" i="22"/>
  <c r="F409" i="22"/>
  <c r="G409" i="22"/>
  <c r="H409" i="22"/>
  <c r="C410" i="22"/>
  <c r="D410" i="22"/>
  <c r="E410" i="22"/>
  <c r="F410" i="22"/>
  <c r="G410" i="22"/>
  <c r="H410" i="22"/>
  <c r="C411" i="22"/>
  <c r="D411" i="22"/>
  <c r="E411" i="22"/>
  <c r="F411" i="22"/>
  <c r="G411" i="22"/>
  <c r="H411" i="22"/>
  <c r="C412" i="22"/>
  <c r="D412" i="22"/>
  <c r="E412" i="22"/>
  <c r="F412" i="22"/>
  <c r="G412" i="22"/>
  <c r="H412" i="22"/>
  <c r="C413" i="22"/>
  <c r="D413" i="22"/>
  <c r="E413" i="22"/>
  <c r="F413" i="22"/>
  <c r="G413" i="22"/>
  <c r="H413" i="22"/>
  <c r="C414" i="22"/>
  <c r="D414" i="22"/>
  <c r="E414" i="22"/>
  <c r="F414" i="22"/>
  <c r="G414" i="22"/>
  <c r="H414" i="22"/>
  <c r="C415" i="22"/>
  <c r="D415" i="22"/>
  <c r="E415" i="22"/>
  <c r="F415" i="22"/>
  <c r="G415" i="22"/>
  <c r="H415" i="22"/>
  <c r="C416" i="22"/>
  <c r="D416" i="22"/>
  <c r="E416" i="22"/>
  <c r="F416" i="22"/>
  <c r="G416" i="22"/>
  <c r="H416" i="22"/>
  <c r="C417" i="22"/>
  <c r="D417" i="22"/>
  <c r="E417" i="22"/>
  <c r="F417" i="22"/>
  <c r="G417" i="22"/>
  <c r="H417" i="22"/>
  <c r="C418" i="22"/>
  <c r="D418" i="22"/>
  <c r="E418" i="22"/>
  <c r="F418" i="22"/>
  <c r="G418" i="22"/>
  <c r="H418" i="22"/>
  <c r="C419" i="22"/>
  <c r="D419" i="22"/>
  <c r="E419" i="22"/>
  <c r="F419" i="22"/>
  <c r="G419" i="22"/>
  <c r="H419" i="22"/>
  <c r="C420" i="22"/>
  <c r="D420" i="22"/>
  <c r="E420" i="22"/>
  <c r="F420" i="22"/>
  <c r="G420" i="22"/>
  <c r="H420" i="22"/>
  <c r="C421" i="22"/>
  <c r="D421" i="22"/>
  <c r="E421" i="22"/>
  <c r="F421" i="22"/>
  <c r="G421" i="22"/>
  <c r="H421" i="22"/>
  <c r="C422" i="22"/>
  <c r="D422" i="22"/>
  <c r="E422" i="22"/>
  <c r="F422" i="22"/>
  <c r="G422" i="22"/>
  <c r="H422" i="22"/>
  <c r="C423" i="22"/>
  <c r="D423" i="22"/>
  <c r="E423" i="22"/>
  <c r="F423" i="22"/>
  <c r="G423" i="22"/>
  <c r="H423" i="22"/>
  <c r="C424" i="22"/>
  <c r="D424" i="22"/>
  <c r="E424" i="22"/>
  <c r="F424" i="22"/>
  <c r="G424" i="22"/>
  <c r="H424" i="22"/>
  <c r="C425" i="22"/>
  <c r="D425" i="22"/>
  <c r="E425" i="22"/>
  <c r="F425" i="22"/>
  <c r="G425" i="22"/>
  <c r="H425" i="22"/>
  <c r="C426" i="22"/>
  <c r="D426" i="22"/>
  <c r="E426" i="22"/>
  <c r="F426" i="22"/>
  <c r="G426" i="22"/>
  <c r="H426" i="22"/>
  <c r="C427" i="22"/>
  <c r="D427" i="22"/>
  <c r="E427" i="22"/>
  <c r="F427" i="22"/>
  <c r="G427" i="22"/>
  <c r="H427" i="22"/>
  <c r="C428" i="22"/>
  <c r="D428" i="22"/>
  <c r="E428" i="22"/>
  <c r="F428" i="22"/>
  <c r="G428" i="22"/>
  <c r="H428" i="22"/>
  <c r="C429" i="22"/>
  <c r="D429" i="22"/>
  <c r="E429" i="22"/>
  <c r="F429" i="22"/>
  <c r="G429" i="22"/>
  <c r="H429" i="22"/>
  <c r="C430" i="22"/>
  <c r="D430" i="22"/>
  <c r="E430" i="22"/>
  <c r="F430" i="22"/>
  <c r="G430" i="22"/>
  <c r="H430" i="22"/>
  <c r="C431" i="22"/>
  <c r="D431" i="22"/>
  <c r="E431" i="22"/>
  <c r="F431" i="22"/>
  <c r="G431" i="22"/>
  <c r="H431" i="22"/>
  <c r="C432" i="22"/>
  <c r="D432" i="22"/>
  <c r="E432" i="22"/>
  <c r="F432" i="22"/>
  <c r="G432" i="22"/>
  <c r="H432" i="22"/>
  <c r="C433" i="22"/>
  <c r="D433" i="22"/>
  <c r="E433" i="22"/>
  <c r="F433" i="22"/>
  <c r="G433" i="22"/>
  <c r="H433" i="22"/>
  <c r="C434" i="22"/>
  <c r="D434" i="22"/>
  <c r="E434" i="22"/>
  <c r="F434" i="22"/>
  <c r="G434" i="22"/>
  <c r="H434" i="22"/>
  <c r="C435" i="22"/>
  <c r="D435" i="22"/>
  <c r="E435" i="22"/>
  <c r="F435" i="22"/>
  <c r="G435" i="22"/>
  <c r="H435" i="22"/>
  <c r="C436" i="22"/>
  <c r="D436" i="22"/>
  <c r="E436" i="22"/>
  <c r="F436" i="22"/>
  <c r="G436" i="22"/>
  <c r="H436" i="22"/>
  <c r="C437" i="22"/>
  <c r="D437" i="22"/>
  <c r="E437" i="22"/>
  <c r="F437" i="22"/>
  <c r="G437" i="22"/>
  <c r="H437" i="22"/>
  <c r="C438" i="22"/>
  <c r="D438" i="22"/>
  <c r="E438" i="22"/>
  <c r="F438" i="22"/>
  <c r="G438" i="22"/>
  <c r="H438" i="22"/>
  <c r="C439" i="22"/>
  <c r="D439" i="22"/>
  <c r="E439" i="22"/>
  <c r="F439" i="22"/>
  <c r="G439" i="22"/>
  <c r="H439" i="22"/>
  <c r="C440" i="22"/>
  <c r="D440" i="22"/>
  <c r="E440" i="22"/>
  <c r="F440" i="22"/>
  <c r="G440" i="22"/>
  <c r="H440" i="22"/>
  <c r="C441" i="22"/>
  <c r="D441" i="22"/>
  <c r="E441" i="22"/>
  <c r="F441" i="22"/>
  <c r="G441" i="22"/>
  <c r="H441" i="22"/>
  <c r="C442" i="22"/>
  <c r="D442" i="22"/>
  <c r="E442" i="22"/>
  <c r="F442" i="22"/>
  <c r="G442" i="22"/>
  <c r="H442" i="22"/>
  <c r="C443" i="22"/>
  <c r="D443" i="22"/>
  <c r="E443" i="22"/>
  <c r="F443" i="22"/>
  <c r="G443" i="22"/>
  <c r="H443" i="22"/>
  <c r="C444" i="22"/>
  <c r="D444" i="22"/>
  <c r="E444" i="22"/>
  <c r="F444" i="22"/>
  <c r="G444" i="22"/>
  <c r="H444" i="22"/>
  <c r="C445" i="22"/>
  <c r="D445" i="22"/>
  <c r="E445" i="22"/>
  <c r="F445" i="22"/>
  <c r="G445" i="22"/>
  <c r="H445" i="22"/>
  <c r="C446" i="22"/>
  <c r="D446" i="22"/>
  <c r="E446" i="22"/>
  <c r="F446" i="22"/>
  <c r="G446" i="22"/>
  <c r="H446" i="22"/>
  <c r="C447" i="22"/>
  <c r="D447" i="22"/>
  <c r="E447" i="22"/>
  <c r="F447" i="22"/>
  <c r="G447" i="22"/>
  <c r="H447" i="22"/>
  <c r="C448" i="22"/>
  <c r="D448" i="22"/>
  <c r="E448" i="22"/>
  <c r="F448" i="22"/>
  <c r="G448" i="22"/>
  <c r="H448" i="22"/>
  <c r="C449" i="22"/>
  <c r="D449" i="22"/>
  <c r="E449" i="22"/>
  <c r="F449" i="22"/>
  <c r="G449" i="22"/>
  <c r="H449" i="22"/>
  <c r="C450" i="22"/>
  <c r="D450" i="22"/>
  <c r="E450" i="22"/>
  <c r="F450" i="22"/>
  <c r="G450" i="22"/>
  <c r="H450" i="22"/>
  <c r="C451" i="22"/>
  <c r="D451" i="22"/>
  <c r="E451" i="22"/>
  <c r="F451" i="22"/>
  <c r="G451" i="22"/>
  <c r="H451" i="22"/>
  <c r="C452" i="22"/>
  <c r="D452" i="22"/>
  <c r="E452" i="22"/>
  <c r="F452" i="22"/>
  <c r="G452" i="22"/>
  <c r="H452" i="22"/>
  <c r="C453" i="22"/>
  <c r="D453" i="22"/>
  <c r="E453" i="22"/>
  <c r="F453" i="22"/>
  <c r="G453" i="22"/>
  <c r="H453" i="22"/>
  <c r="C454" i="22"/>
  <c r="D454" i="22"/>
  <c r="E454" i="22"/>
  <c r="F454" i="22"/>
  <c r="G454" i="22"/>
  <c r="H454" i="22"/>
  <c r="C455" i="22"/>
  <c r="D455" i="22"/>
  <c r="E455" i="22"/>
  <c r="F455" i="22"/>
  <c r="G455" i="22"/>
  <c r="H455" i="22"/>
  <c r="C456" i="22"/>
  <c r="D456" i="22"/>
  <c r="E456" i="22"/>
  <c r="F456" i="22"/>
  <c r="G456" i="22"/>
  <c r="H456" i="22"/>
  <c r="C457" i="22"/>
  <c r="D457" i="22"/>
  <c r="E457" i="22"/>
  <c r="F457" i="22"/>
  <c r="G457" i="22"/>
  <c r="H457" i="22"/>
  <c r="C458" i="22"/>
  <c r="D458" i="22"/>
  <c r="E458" i="22"/>
  <c r="F458" i="22"/>
  <c r="G458" i="22"/>
  <c r="H458" i="22"/>
  <c r="C459" i="22"/>
  <c r="D459" i="22"/>
  <c r="E459" i="22"/>
  <c r="F459" i="22"/>
  <c r="G459" i="22"/>
  <c r="H459" i="22"/>
  <c r="C460" i="22"/>
  <c r="D460" i="22"/>
  <c r="E460" i="22"/>
  <c r="F460" i="22"/>
  <c r="G460" i="22"/>
  <c r="H460" i="22"/>
  <c r="C461" i="22"/>
  <c r="D461" i="22"/>
  <c r="E461" i="22"/>
  <c r="F461" i="22"/>
  <c r="G461" i="22"/>
  <c r="H461" i="22"/>
  <c r="C462" i="22"/>
  <c r="D462" i="22"/>
  <c r="E462" i="22"/>
  <c r="F462" i="22"/>
  <c r="G462" i="22"/>
  <c r="H462" i="22"/>
  <c r="C463" i="22"/>
  <c r="D463" i="22"/>
  <c r="E463" i="22"/>
  <c r="F463" i="22"/>
  <c r="G463" i="22"/>
  <c r="H463" i="22"/>
  <c r="C464" i="22"/>
  <c r="D464" i="22"/>
  <c r="E464" i="22"/>
  <c r="F464" i="22"/>
  <c r="G464" i="22"/>
  <c r="H464" i="22"/>
  <c r="C465" i="22"/>
  <c r="D465" i="22"/>
  <c r="E465" i="22"/>
  <c r="F465" i="22"/>
  <c r="G465" i="22"/>
  <c r="H465" i="22"/>
  <c r="C466" i="22"/>
  <c r="D466" i="22"/>
  <c r="E466" i="22"/>
  <c r="F466" i="22"/>
  <c r="G466" i="22"/>
  <c r="H466" i="22"/>
  <c r="C467" i="22"/>
  <c r="D467" i="22"/>
  <c r="E467" i="22"/>
  <c r="F467" i="22"/>
  <c r="G467" i="22"/>
  <c r="H467" i="22"/>
  <c r="C468" i="22"/>
  <c r="D468" i="22"/>
  <c r="E468" i="22"/>
  <c r="F468" i="22"/>
  <c r="G468" i="22"/>
  <c r="H468" i="22"/>
  <c r="C469" i="22"/>
  <c r="D469" i="22"/>
  <c r="E469" i="22"/>
  <c r="F469" i="22"/>
  <c r="G469" i="22"/>
  <c r="H469" i="22"/>
  <c r="C470" i="22"/>
  <c r="D470" i="22"/>
  <c r="E470" i="22"/>
  <c r="F470" i="22"/>
  <c r="G470" i="22"/>
  <c r="H470" i="22"/>
  <c r="C471" i="22"/>
  <c r="D471" i="22"/>
  <c r="E471" i="22"/>
  <c r="F471" i="22"/>
  <c r="G471" i="22"/>
  <c r="H471" i="22"/>
  <c r="C472" i="22"/>
  <c r="D472" i="22"/>
  <c r="E472" i="22"/>
  <c r="F472" i="22"/>
  <c r="G472" i="22"/>
  <c r="H472" i="22"/>
  <c r="C473" i="22"/>
  <c r="D473" i="22"/>
  <c r="E473" i="22"/>
  <c r="F473" i="22"/>
  <c r="G473" i="22"/>
  <c r="H473" i="22"/>
  <c r="C474" i="22"/>
  <c r="D474" i="22"/>
  <c r="E474" i="22"/>
  <c r="F474" i="22"/>
  <c r="G474" i="22"/>
  <c r="H474" i="22"/>
  <c r="C475" i="22"/>
  <c r="D475" i="22"/>
  <c r="E475" i="22"/>
  <c r="F475" i="22"/>
  <c r="G475" i="22"/>
  <c r="H475" i="22"/>
  <c r="C476" i="22"/>
  <c r="D476" i="22"/>
  <c r="E476" i="22"/>
  <c r="F476" i="22"/>
  <c r="G476" i="22"/>
  <c r="H476" i="22"/>
  <c r="C477" i="22"/>
  <c r="D477" i="22"/>
  <c r="E477" i="22"/>
  <c r="F477" i="22"/>
  <c r="G477" i="22"/>
  <c r="H477" i="22"/>
  <c r="C478" i="22"/>
  <c r="D478" i="22"/>
  <c r="E478" i="22"/>
  <c r="F478" i="22"/>
  <c r="G478" i="22"/>
  <c r="H478" i="22"/>
  <c r="C479" i="22"/>
  <c r="D479" i="22"/>
  <c r="E479" i="22"/>
  <c r="F479" i="22"/>
  <c r="G479" i="22"/>
  <c r="H479" i="22"/>
  <c r="C480" i="22"/>
  <c r="D480" i="22"/>
  <c r="E480" i="22"/>
  <c r="F480" i="22"/>
  <c r="G480" i="22"/>
  <c r="H480" i="22"/>
  <c r="C481" i="22"/>
  <c r="D481" i="22"/>
  <c r="E481" i="22"/>
  <c r="F481" i="22"/>
  <c r="G481" i="22"/>
  <c r="H481" i="22"/>
  <c r="C482" i="22"/>
  <c r="D482" i="22"/>
  <c r="E482" i="22"/>
  <c r="F482" i="22"/>
  <c r="G482" i="22"/>
  <c r="H482" i="22"/>
  <c r="C483" i="22"/>
  <c r="D483" i="22"/>
  <c r="E483" i="22"/>
  <c r="F483" i="22"/>
  <c r="G483" i="22"/>
  <c r="H483" i="22"/>
  <c r="C484" i="22"/>
  <c r="D484" i="22"/>
  <c r="E484" i="22"/>
  <c r="F484" i="22"/>
  <c r="G484" i="22"/>
  <c r="H484" i="22"/>
  <c r="C485" i="22"/>
  <c r="D485" i="22"/>
  <c r="E485" i="22"/>
  <c r="F485" i="22"/>
  <c r="G485" i="22"/>
  <c r="H485" i="22"/>
  <c r="C486" i="22"/>
  <c r="D486" i="22"/>
  <c r="E486" i="22"/>
  <c r="F486" i="22"/>
  <c r="G486" i="22"/>
  <c r="H486" i="22"/>
  <c r="C487" i="22"/>
  <c r="D487" i="22"/>
  <c r="E487" i="22"/>
  <c r="F487" i="22"/>
  <c r="G487" i="22"/>
  <c r="H487" i="22"/>
  <c r="C488" i="22"/>
  <c r="D488" i="22"/>
  <c r="E488" i="22"/>
  <c r="F488" i="22"/>
  <c r="G488" i="22"/>
  <c r="H488" i="22"/>
  <c r="C489" i="22"/>
  <c r="D489" i="22"/>
  <c r="E489" i="22"/>
  <c r="F489" i="22"/>
  <c r="G489" i="22"/>
  <c r="H489" i="22"/>
  <c r="C490" i="22"/>
  <c r="D490" i="22"/>
  <c r="E490" i="22"/>
  <c r="F490" i="22"/>
  <c r="G490" i="22"/>
  <c r="H490" i="22"/>
  <c r="C491" i="22"/>
  <c r="D491" i="22"/>
  <c r="E491" i="22"/>
  <c r="F491" i="22"/>
  <c r="G491" i="22"/>
  <c r="H491" i="22"/>
  <c r="C492" i="22"/>
  <c r="D492" i="22"/>
  <c r="E492" i="22"/>
  <c r="F492" i="22"/>
  <c r="G492" i="22"/>
  <c r="H492" i="22"/>
  <c r="C493" i="22"/>
  <c r="D493" i="22"/>
  <c r="E493" i="22"/>
  <c r="F493" i="22"/>
  <c r="G493" i="22"/>
  <c r="H493" i="22"/>
  <c r="C494" i="22"/>
  <c r="D494" i="22"/>
  <c r="E494" i="22"/>
  <c r="F494" i="22"/>
  <c r="G494" i="22"/>
  <c r="H494" i="22"/>
  <c r="C495" i="22"/>
  <c r="D495" i="22"/>
  <c r="E495" i="22"/>
  <c r="F495" i="22"/>
  <c r="G495" i="22"/>
  <c r="H495" i="22"/>
  <c r="C496" i="22"/>
  <c r="D496" i="22"/>
  <c r="E496" i="22"/>
  <c r="F496" i="22"/>
  <c r="G496" i="22"/>
  <c r="H496" i="22"/>
  <c r="C497" i="22"/>
  <c r="D497" i="22"/>
  <c r="E497" i="22"/>
  <c r="F497" i="22"/>
  <c r="G497" i="22"/>
  <c r="H497" i="22"/>
  <c r="C498" i="22"/>
  <c r="D498" i="22"/>
  <c r="E498" i="22"/>
  <c r="F498" i="22"/>
  <c r="G498" i="22"/>
  <c r="H498" i="22"/>
  <c r="C499" i="22"/>
  <c r="D499" i="22"/>
  <c r="E499" i="22"/>
  <c r="F499" i="22"/>
  <c r="G499" i="22"/>
  <c r="H499" i="22"/>
  <c r="C500" i="22"/>
  <c r="D500" i="22"/>
  <c r="E500" i="22"/>
  <c r="F500" i="22"/>
  <c r="G500" i="22"/>
  <c r="H500" i="22"/>
  <c r="C501" i="22"/>
  <c r="D501" i="22"/>
  <c r="E501" i="22"/>
  <c r="F501" i="22"/>
  <c r="G501" i="22"/>
  <c r="H501" i="22"/>
  <c r="C502" i="22"/>
  <c r="D502" i="22"/>
  <c r="E502" i="22"/>
  <c r="F502" i="22"/>
  <c r="G502" i="22"/>
  <c r="H502" i="22"/>
  <c r="C503" i="22"/>
  <c r="D503" i="22"/>
  <c r="E503" i="22"/>
  <c r="F503" i="22"/>
  <c r="G503" i="22"/>
  <c r="H503" i="22"/>
  <c r="C504" i="22"/>
  <c r="D504" i="22"/>
  <c r="E504" i="22"/>
  <c r="F504" i="22"/>
  <c r="G504" i="22"/>
  <c r="H504" i="22"/>
  <c r="C505" i="22"/>
  <c r="D505" i="22"/>
  <c r="E505" i="22"/>
  <c r="F505" i="22"/>
  <c r="G505" i="22"/>
  <c r="H505" i="22"/>
  <c r="C506" i="22"/>
  <c r="D506" i="22"/>
  <c r="E506" i="22"/>
  <c r="F506" i="22"/>
  <c r="G506" i="22"/>
  <c r="H506" i="22"/>
  <c r="C507" i="22"/>
  <c r="D507" i="22"/>
  <c r="E507" i="22"/>
  <c r="F507" i="22"/>
  <c r="G507" i="22"/>
  <c r="H507" i="22"/>
  <c r="C508" i="22"/>
  <c r="D508" i="22"/>
  <c r="E508" i="22"/>
  <c r="F508" i="22"/>
  <c r="G508" i="22"/>
  <c r="H508" i="22"/>
  <c r="C509" i="22"/>
  <c r="D509" i="22"/>
  <c r="E509" i="22"/>
  <c r="F509" i="22"/>
  <c r="G509" i="22"/>
  <c r="H509" i="22"/>
  <c r="C510" i="22"/>
  <c r="D510" i="22"/>
  <c r="E510" i="22"/>
  <c r="F510" i="22"/>
  <c r="G510" i="22"/>
  <c r="H510" i="22"/>
  <c r="C511" i="22"/>
  <c r="D511" i="22"/>
  <c r="E511" i="22"/>
  <c r="F511" i="22"/>
  <c r="G511" i="22"/>
  <c r="H511" i="22"/>
  <c r="C512" i="22"/>
  <c r="D512" i="22"/>
  <c r="E512" i="22"/>
  <c r="F512" i="22"/>
  <c r="G512" i="22"/>
  <c r="H512" i="22"/>
  <c r="C513" i="22"/>
  <c r="D513" i="22"/>
  <c r="E513" i="22"/>
  <c r="F513" i="22"/>
  <c r="G513" i="22"/>
  <c r="H513" i="22"/>
  <c r="C514" i="22"/>
  <c r="D514" i="22"/>
  <c r="E514" i="22"/>
  <c r="F514" i="22"/>
  <c r="G514" i="22"/>
  <c r="H514" i="22"/>
  <c r="C515" i="22"/>
  <c r="D515" i="22"/>
  <c r="E515" i="22"/>
  <c r="F515" i="22"/>
  <c r="G515" i="22"/>
  <c r="H515" i="22"/>
  <c r="C516" i="22"/>
  <c r="D516" i="22"/>
  <c r="E516" i="22"/>
  <c r="F516" i="22"/>
  <c r="G516" i="22"/>
  <c r="H516" i="22"/>
  <c r="C517" i="22"/>
  <c r="D517" i="22"/>
  <c r="E517" i="22"/>
  <c r="F517" i="22"/>
  <c r="G517" i="22"/>
  <c r="H517" i="22"/>
  <c r="C518" i="22"/>
  <c r="D518" i="22"/>
  <c r="E518" i="22"/>
  <c r="F518" i="22"/>
  <c r="G518" i="22"/>
  <c r="H518" i="22"/>
  <c r="C519" i="22"/>
  <c r="D519" i="22"/>
  <c r="E519" i="22"/>
  <c r="F519" i="22"/>
  <c r="G519" i="22"/>
  <c r="H519" i="22"/>
  <c r="C520" i="22"/>
  <c r="D520" i="22"/>
  <c r="E520" i="22"/>
  <c r="F520" i="22"/>
  <c r="G520" i="22"/>
  <c r="H520" i="22"/>
  <c r="C521" i="22"/>
  <c r="D521" i="22"/>
  <c r="E521" i="22"/>
  <c r="F521" i="22"/>
  <c r="G521" i="22"/>
  <c r="H521" i="22"/>
  <c r="C522" i="22"/>
  <c r="D522" i="22"/>
  <c r="E522" i="22"/>
  <c r="F522" i="22"/>
  <c r="G522" i="22"/>
  <c r="H522" i="22"/>
  <c r="C523" i="22"/>
  <c r="D523" i="22"/>
  <c r="E523" i="22"/>
  <c r="F523" i="22"/>
  <c r="G523" i="22"/>
  <c r="H523" i="22"/>
  <c r="C524" i="22"/>
  <c r="D524" i="22"/>
  <c r="E524" i="22"/>
  <c r="F524" i="22"/>
  <c r="G524" i="22"/>
  <c r="H524" i="22"/>
  <c r="C525" i="22"/>
  <c r="D525" i="22"/>
  <c r="E525" i="22"/>
  <c r="F525" i="22"/>
  <c r="G525" i="22"/>
  <c r="H525" i="22"/>
  <c r="C526" i="22"/>
  <c r="D526" i="22"/>
  <c r="E526" i="22"/>
  <c r="F526" i="22"/>
  <c r="G526" i="22"/>
  <c r="H526" i="22"/>
  <c r="C527" i="22"/>
  <c r="D527" i="22"/>
  <c r="E527" i="22"/>
  <c r="F527" i="22"/>
  <c r="G527" i="22"/>
  <c r="H527" i="22"/>
  <c r="C528" i="22"/>
  <c r="D528" i="22"/>
  <c r="E528" i="22"/>
  <c r="F528" i="22"/>
  <c r="G528" i="22"/>
  <c r="H528" i="22"/>
  <c r="C529" i="22"/>
  <c r="D529" i="22"/>
  <c r="E529" i="22"/>
  <c r="F529" i="22"/>
  <c r="G529" i="22"/>
  <c r="H529" i="22"/>
  <c r="C530" i="22"/>
  <c r="D530" i="22"/>
  <c r="E530" i="22"/>
  <c r="F530" i="22"/>
  <c r="G530" i="22"/>
  <c r="H530" i="22"/>
  <c r="C531" i="22"/>
  <c r="D531" i="22"/>
  <c r="E531" i="22"/>
  <c r="F531" i="22"/>
  <c r="G531" i="22"/>
  <c r="H531" i="22"/>
  <c r="C532" i="22"/>
  <c r="D532" i="22"/>
  <c r="E532" i="22"/>
  <c r="F532" i="22"/>
  <c r="G532" i="22"/>
  <c r="H532" i="22"/>
  <c r="C533" i="22"/>
  <c r="D533" i="22"/>
  <c r="E533" i="22"/>
  <c r="F533" i="22"/>
  <c r="G533" i="22"/>
  <c r="H533" i="22"/>
  <c r="C534" i="22"/>
  <c r="D534" i="22"/>
  <c r="E534" i="22"/>
  <c r="F534" i="22"/>
  <c r="G534" i="22"/>
  <c r="H534" i="22"/>
  <c r="C535" i="22"/>
  <c r="D535" i="22"/>
  <c r="E535" i="22"/>
  <c r="F535" i="22"/>
  <c r="G535" i="22"/>
  <c r="H535" i="22"/>
  <c r="C536" i="22"/>
  <c r="D536" i="22"/>
  <c r="E536" i="22"/>
  <c r="F536" i="22"/>
  <c r="G536" i="22"/>
  <c r="H536" i="22"/>
  <c r="C537" i="22"/>
  <c r="D537" i="22"/>
  <c r="E537" i="22"/>
  <c r="F537" i="22"/>
  <c r="G537" i="22"/>
  <c r="H537" i="22"/>
  <c r="C538" i="22"/>
  <c r="D538" i="22"/>
  <c r="E538" i="22"/>
  <c r="F538" i="22"/>
  <c r="G538" i="22"/>
  <c r="H538" i="22"/>
  <c r="C539" i="22"/>
  <c r="D539" i="22"/>
  <c r="E539" i="22"/>
  <c r="F539" i="22"/>
  <c r="G539" i="22"/>
  <c r="H539" i="22"/>
  <c r="C540" i="22"/>
  <c r="D540" i="22"/>
  <c r="E540" i="22"/>
  <c r="F540" i="22"/>
  <c r="G540" i="22"/>
  <c r="H540" i="22"/>
  <c r="C541" i="22"/>
  <c r="D541" i="22"/>
  <c r="E541" i="22"/>
  <c r="F541" i="22"/>
  <c r="G541" i="22"/>
  <c r="H541" i="22"/>
  <c r="C542" i="22"/>
  <c r="D542" i="22"/>
  <c r="E542" i="22"/>
  <c r="F542" i="22"/>
  <c r="G542" i="22"/>
  <c r="H542" i="22"/>
  <c r="C543" i="22"/>
  <c r="D543" i="22"/>
  <c r="E543" i="22"/>
  <c r="F543" i="22"/>
  <c r="G543" i="22"/>
  <c r="H543" i="22"/>
  <c r="C544" i="22"/>
  <c r="D544" i="22"/>
  <c r="E544" i="22"/>
  <c r="F544" i="22"/>
  <c r="G544" i="22"/>
  <c r="H544" i="22"/>
  <c r="C545" i="22"/>
  <c r="D545" i="22"/>
  <c r="E545" i="22"/>
  <c r="F545" i="22"/>
  <c r="G545" i="22"/>
  <c r="H545" i="22"/>
  <c r="C546" i="22"/>
  <c r="D546" i="22"/>
  <c r="E546" i="22"/>
  <c r="F546" i="22"/>
  <c r="G546" i="22"/>
  <c r="H546" i="22"/>
  <c r="C547" i="22"/>
  <c r="D547" i="22"/>
  <c r="E547" i="22"/>
  <c r="F547" i="22"/>
  <c r="G547" i="22"/>
  <c r="H547" i="22"/>
  <c r="C548" i="22"/>
  <c r="D548" i="22"/>
  <c r="E548" i="22"/>
  <c r="F548" i="22"/>
  <c r="G548" i="22"/>
  <c r="H548" i="22"/>
  <c r="C549" i="22"/>
  <c r="D549" i="22"/>
  <c r="E549" i="22"/>
  <c r="F549" i="22"/>
  <c r="G549" i="22"/>
  <c r="H549" i="22"/>
  <c r="C550" i="22"/>
  <c r="D550" i="22"/>
  <c r="E550" i="22"/>
  <c r="F550" i="22"/>
  <c r="G550" i="22"/>
  <c r="H550" i="22"/>
  <c r="C551" i="22"/>
  <c r="D551" i="22"/>
  <c r="E551" i="22"/>
  <c r="F551" i="22"/>
  <c r="G551" i="22"/>
  <c r="H551" i="22"/>
  <c r="C552" i="22"/>
  <c r="D552" i="22"/>
  <c r="E552" i="22"/>
  <c r="F552" i="22"/>
  <c r="G552" i="22"/>
  <c r="H552" i="22"/>
  <c r="C553" i="22"/>
  <c r="D553" i="22"/>
  <c r="E553" i="22"/>
  <c r="F553" i="22"/>
  <c r="G553" i="22"/>
  <c r="H553" i="22"/>
  <c r="C554" i="22"/>
  <c r="D554" i="22"/>
  <c r="E554" i="22"/>
  <c r="F554" i="22"/>
  <c r="G554" i="22"/>
  <c r="H554" i="22"/>
  <c r="C555" i="22"/>
  <c r="D555" i="22"/>
  <c r="E555" i="22"/>
  <c r="F555" i="22"/>
  <c r="G555" i="22"/>
  <c r="H555" i="22"/>
  <c r="C556" i="22"/>
  <c r="D556" i="22"/>
  <c r="E556" i="22"/>
  <c r="F556" i="22"/>
  <c r="G556" i="22"/>
  <c r="H556" i="22"/>
  <c r="C557" i="22"/>
  <c r="D557" i="22"/>
  <c r="E557" i="22"/>
  <c r="F557" i="22"/>
  <c r="G557" i="22"/>
  <c r="H557" i="22"/>
  <c r="D326" i="22"/>
  <c r="E326" i="22"/>
  <c r="F326" i="22"/>
  <c r="G326" i="22"/>
  <c r="H326" i="22"/>
  <c r="C326" i="22"/>
  <c r="C324" i="22"/>
  <c r="D324" i="22"/>
  <c r="E324" i="22"/>
  <c r="F324" i="22"/>
  <c r="G324" i="22"/>
  <c r="H324" i="22"/>
  <c r="D323" i="22"/>
  <c r="E323" i="22"/>
  <c r="F323" i="22"/>
  <c r="G323" i="22"/>
  <c r="H323" i="22"/>
  <c r="C323" i="22"/>
  <c r="C321" i="22"/>
  <c r="D321" i="22"/>
  <c r="E321" i="22"/>
  <c r="F321" i="22"/>
  <c r="G321" i="22"/>
  <c r="H321" i="22"/>
  <c r="D320" i="22"/>
  <c r="E320" i="22"/>
  <c r="F320" i="22"/>
  <c r="G320" i="22"/>
  <c r="H320" i="22"/>
  <c r="C320" i="22"/>
  <c r="C318" i="22"/>
  <c r="D318" i="22"/>
  <c r="E318" i="22"/>
  <c r="F318" i="22"/>
  <c r="G318" i="22"/>
  <c r="H318" i="22"/>
  <c r="D317" i="22"/>
  <c r="E317" i="22"/>
  <c r="F317" i="22"/>
  <c r="G317" i="22"/>
  <c r="H317" i="22"/>
  <c r="C317" i="22"/>
  <c r="D315" i="22"/>
  <c r="E315" i="22"/>
  <c r="F315" i="22"/>
  <c r="G315" i="22"/>
  <c r="H315" i="22"/>
  <c r="D313" i="22"/>
  <c r="E313" i="22"/>
  <c r="F313" i="22"/>
  <c r="G313" i="22"/>
  <c r="H313" i="22"/>
  <c r="C313" i="22"/>
  <c r="C311" i="22"/>
  <c r="D311" i="22"/>
  <c r="E311" i="22"/>
  <c r="F311" i="22"/>
  <c r="G311" i="22"/>
  <c r="H311" i="22"/>
  <c r="D310" i="22"/>
  <c r="E310" i="22"/>
  <c r="F310" i="22"/>
  <c r="G310" i="22"/>
  <c r="H310" i="22"/>
  <c r="C310" i="22"/>
  <c r="D306" i="22"/>
  <c r="E306" i="22"/>
  <c r="F306" i="22"/>
  <c r="G306" i="22"/>
  <c r="H306" i="22"/>
  <c r="C306" i="22"/>
  <c r="D303" i="22"/>
  <c r="E303" i="22"/>
  <c r="F303" i="22"/>
  <c r="G303" i="22"/>
  <c r="H303" i="22"/>
  <c r="C303" i="22"/>
  <c r="D301" i="22"/>
  <c r="E301" i="22"/>
  <c r="F301" i="22"/>
  <c r="G301" i="22"/>
  <c r="H301" i="22"/>
  <c r="C301" i="22"/>
  <c r="D298" i="22"/>
  <c r="E298" i="22"/>
  <c r="F298" i="22"/>
  <c r="G298" i="22"/>
  <c r="H298" i="22"/>
  <c r="C298" i="22"/>
  <c r="D296" i="22"/>
  <c r="E296" i="22"/>
  <c r="F296" i="22"/>
  <c r="G296" i="22"/>
  <c r="H296" i="22"/>
  <c r="C296" i="22"/>
  <c r="D292" i="22"/>
  <c r="E292" i="22"/>
  <c r="F292" i="22"/>
  <c r="G292" i="22"/>
  <c r="H292" i="22"/>
  <c r="C292" i="22"/>
  <c r="D290" i="22"/>
  <c r="E290" i="22"/>
  <c r="F290" i="22"/>
  <c r="G290" i="22"/>
  <c r="H290" i="22"/>
  <c r="C290" i="22"/>
  <c r="D288" i="22"/>
  <c r="E288" i="22"/>
  <c r="F288" i="22"/>
  <c r="G288" i="22"/>
  <c r="H288" i="22"/>
  <c r="C288" i="22"/>
  <c r="D286" i="22"/>
  <c r="E286" i="22"/>
  <c r="F286" i="22"/>
  <c r="G286" i="22"/>
  <c r="H286" i="22"/>
  <c r="C286" i="22"/>
  <c r="D284" i="22"/>
  <c r="E284" i="22"/>
  <c r="F284" i="22"/>
  <c r="G284" i="22"/>
  <c r="H284" i="22"/>
  <c r="C284" i="22"/>
  <c r="D282" i="22"/>
  <c r="E282" i="22"/>
  <c r="F282" i="22"/>
  <c r="G282" i="22"/>
  <c r="H282" i="22"/>
  <c r="C282" i="22"/>
  <c r="C872" i="22"/>
  <c r="D872" i="22"/>
  <c r="E872" i="22"/>
  <c r="F872" i="22"/>
  <c r="G872" i="22"/>
  <c r="H872" i="22"/>
  <c r="D871" i="22"/>
  <c r="E871" i="22"/>
  <c r="F871" i="22"/>
  <c r="G871" i="22"/>
  <c r="H871" i="22"/>
  <c r="C871" i="22"/>
  <c r="D280" i="22"/>
  <c r="E280" i="22"/>
  <c r="F280" i="22"/>
  <c r="G280" i="22"/>
  <c r="H280" i="22"/>
  <c r="C280" i="22"/>
  <c r="D278" i="22"/>
  <c r="E278" i="22"/>
  <c r="F278" i="22"/>
  <c r="G278" i="22"/>
  <c r="H278" i="22"/>
  <c r="C278" i="22"/>
  <c r="D276" i="22"/>
  <c r="E276" i="22"/>
  <c r="F276" i="22"/>
  <c r="G276" i="22"/>
  <c r="H276" i="22"/>
  <c r="C276" i="22"/>
  <c r="C274" i="22"/>
  <c r="D274" i="22"/>
  <c r="E274" i="22"/>
  <c r="F274" i="22"/>
  <c r="G274" i="22"/>
  <c r="H274" i="22"/>
  <c r="D273" i="22"/>
  <c r="E273" i="22"/>
  <c r="F273" i="22"/>
  <c r="G273" i="22"/>
  <c r="H273" i="22"/>
  <c r="C273" i="22"/>
  <c r="D270" i="22"/>
  <c r="E270" i="22"/>
  <c r="F270" i="22"/>
  <c r="G270" i="22"/>
  <c r="H270" i="22"/>
  <c r="C270" i="22"/>
  <c r="D268" i="22"/>
  <c r="E268" i="22"/>
  <c r="F268" i="22"/>
  <c r="G268" i="22"/>
  <c r="H268" i="22"/>
  <c r="C268" i="22"/>
  <c r="D266" i="22"/>
  <c r="E266" i="22"/>
  <c r="F266" i="22"/>
  <c r="G266" i="22"/>
  <c r="H266" i="22"/>
  <c r="C266" i="22"/>
  <c r="D264" i="22"/>
  <c r="E264" i="22"/>
  <c r="F264" i="22"/>
  <c r="G264" i="22"/>
  <c r="H264" i="22"/>
  <c r="C264" i="22"/>
  <c r="D262" i="22"/>
  <c r="E262" i="22"/>
  <c r="F262" i="22"/>
  <c r="G262" i="22"/>
  <c r="H262" i="22"/>
  <c r="C262" i="22"/>
  <c r="D260" i="22"/>
  <c r="E260" i="22"/>
  <c r="F260" i="22"/>
  <c r="G260" i="22"/>
  <c r="H260" i="22"/>
  <c r="C260" i="22"/>
  <c r="D258" i="22"/>
  <c r="E258" i="22"/>
  <c r="F258" i="22"/>
  <c r="G258" i="22"/>
  <c r="H258" i="22"/>
  <c r="C258" i="22"/>
  <c r="D256" i="22"/>
  <c r="E256" i="22"/>
  <c r="F256" i="22"/>
  <c r="G256" i="22"/>
  <c r="H256" i="22"/>
  <c r="C256" i="22"/>
  <c r="D254" i="22"/>
  <c r="E254" i="22"/>
  <c r="F254" i="22"/>
  <c r="G254" i="22"/>
  <c r="H254" i="22"/>
  <c r="C254" i="22"/>
  <c r="D252" i="22"/>
  <c r="E252" i="22"/>
  <c r="F252" i="22"/>
  <c r="G252" i="22"/>
  <c r="H252" i="22"/>
  <c r="C252" i="22"/>
  <c r="D250" i="22"/>
  <c r="E250" i="22"/>
  <c r="F250" i="22"/>
  <c r="G250" i="22"/>
  <c r="H250" i="22"/>
  <c r="C250" i="22"/>
  <c r="D248" i="22"/>
  <c r="E248" i="22"/>
  <c r="F248" i="22"/>
  <c r="G248" i="22"/>
  <c r="H248" i="22"/>
  <c r="C248" i="22"/>
  <c r="D246" i="22"/>
  <c r="E246" i="22"/>
  <c r="F246" i="22"/>
  <c r="G246" i="22"/>
  <c r="H246" i="22"/>
  <c r="C246" i="22"/>
  <c r="D244" i="22"/>
  <c r="E244" i="22"/>
  <c r="F244" i="22"/>
  <c r="G244" i="22"/>
  <c r="H244" i="22"/>
  <c r="C244" i="22"/>
  <c r="D242" i="22"/>
  <c r="E242" i="22"/>
  <c r="F242" i="22"/>
  <c r="G242" i="22"/>
  <c r="H242" i="22"/>
  <c r="C242" i="22"/>
  <c r="D240" i="22"/>
  <c r="E240" i="22"/>
  <c r="F240" i="22"/>
  <c r="G240" i="22"/>
  <c r="H240" i="22"/>
  <c r="C240" i="22"/>
  <c r="D238" i="22"/>
  <c r="E238" i="22"/>
  <c r="F238" i="22"/>
  <c r="G238" i="22"/>
  <c r="H238" i="22"/>
  <c r="C238" i="22"/>
  <c r="D236" i="22"/>
  <c r="E236" i="22"/>
  <c r="F236" i="22"/>
  <c r="G236" i="22"/>
  <c r="H236" i="22"/>
  <c r="C236" i="22"/>
  <c r="D234" i="22"/>
  <c r="E234" i="22"/>
  <c r="F234" i="22"/>
  <c r="G234" i="22"/>
  <c r="H234" i="22"/>
  <c r="C234" i="22"/>
  <c r="D232" i="22"/>
  <c r="E232" i="22"/>
  <c r="F232" i="22"/>
  <c r="G232" i="22"/>
  <c r="H232" i="22"/>
  <c r="C232" i="22"/>
  <c r="D230" i="22"/>
  <c r="E230" i="22"/>
  <c r="F230" i="22"/>
  <c r="G230" i="22"/>
  <c r="H230" i="22"/>
  <c r="C230" i="22"/>
  <c r="D228" i="22"/>
  <c r="E228" i="22"/>
  <c r="F228" i="22"/>
  <c r="G228" i="22"/>
  <c r="H228" i="22"/>
  <c r="C228" i="22"/>
  <c r="C226" i="22"/>
  <c r="D226" i="22"/>
  <c r="E226" i="22"/>
  <c r="F226" i="22"/>
  <c r="G226" i="22"/>
  <c r="H226" i="22"/>
  <c r="D225" i="22"/>
  <c r="E225" i="22"/>
  <c r="F225" i="22"/>
  <c r="G225" i="22"/>
  <c r="H225" i="22"/>
  <c r="C225" i="22"/>
  <c r="D223" i="22"/>
  <c r="E223" i="22"/>
  <c r="F223" i="22"/>
  <c r="G223" i="22"/>
  <c r="H223" i="22"/>
  <c r="C223" i="22"/>
  <c r="C221" i="22"/>
  <c r="D221" i="22"/>
  <c r="E221" i="22"/>
  <c r="F221" i="22"/>
  <c r="G221" i="22"/>
  <c r="H221" i="22"/>
  <c r="D220" i="22"/>
  <c r="E220" i="22"/>
  <c r="F220" i="22"/>
  <c r="G220" i="22"/>
  <c r="H220" i="22"/>
  <c r="C220" i="22"/>
  <c r="D215" i="22"/>
  <c r="E215" i="22"/>
  <c r="F215" i="22"/>
  <c r="G215" i="22"/>
  <c r="H215" i="22"/>
  <c r="C215" i="22"/>
  <c r="D213" i="22"/>
  <c r="E213" i="22"/>
  <c r="F213" i="22"/>
  <c r="G213" i="22"/>
  <c r="H213" i="22"/>
  <c r="C213" i="22"/>
  <c r="I7" i="30"/>
  <c r="H7" i="30"/>
  <c r="F7" i="30"/>
  <c r="I8" i="29"/>
  <c r="A8" i="29"/>
  <c r="H7" i="29"/>
  <c r="F7" i="29"/>
  <c r="H11" i="28"/>
  <c r="F11" i="28"/>
  <c r="A11" i="28"/>
  <c r="H10" i="28"/>
  <c r="F10" i="28"/>
  <c r="A10" i="28"/>
  <c r="D8" i="25"/>
  <c r="H95" i="25"/>
  <c r="G95" i="25"/>
  <c r="F95" i="25"/>
  <c r="E95" i="25"/>
  <c r="D95" i="25"/>
  <c r="H94" i="25"/>
  <c r="G94" i="25"/>
  <c r="F94" i="25"/>
  <c r="E94" i="25"/>
  <c r="D94" i="25"/>
  <c r="H93" i="25"/>
  <c r="G93" i="25"/>
  <c r="F93" i="25"/>
  <c r="E93" i="25"/>
  <c r="D93" i="25"/>
  <c r="H92" i="25"/>
  <c r="G92" i="25"/>
  <c r="F92" i="25"/>
  <c r="E92" i="25"/>
  <c r="D92" i="25"/>
  <c r="H91" i="25"/>
  <c r="G91" i="25"/>
  <c r="F91" i="25"/>
  <c r="E91" i="25"/>
  <c r="D91" i="25"/>
  <c r="H90" i="25"/>
  <c r="G90" i="25"/>
  <c r="F90" i="25"/>
  <c r="E90" i="25"/>
  <c r="D90" i="25"/>
  <c r="H89" i="25"/>
  <c r="G89" i="25"/>
  <c r="F89" i="25"/>
  <c r="E89" i="25"/>
  <c r="D89" i="25"/>
  <c r="H87" i="25"/>
  <c r="G87" i="25"/>
  <c r="F87" i="25"/>
  <c r="E87" i="25"/>
  <c r="D87" i="25"/>
  <c r="H86" i="25"/>
  <c r="G86" i="25"/>
  <c r="F86" i="25"/>
  <c r="E86" i="25"/>
  <c r="D86" i="25"/>
  <c r="H85" i="25"/>
  <c r="G85" i="25"/>
  <c r="F85" i="25"/>
  <c r="E85" i="25"/>
  <c r="D85" i="25"/>
  <c r="H84" i="25"/>
  <c r="G84" i="25"/>
  <c r="F84" i="25"/>
  <c r="E84" i="25"/>
  <c r="D84" i="25"/>
  <c r="H81" i="25"/>
  <c r="G81" i="25"/>
  <c r="F81" i="25"/>
  <c r="E81" i="25"/>
  <c r="D81" i="25"/>
  <c r="H80" i="25"/>
  <c r="G80" i="25"/>
  <c r="F80" i="25"/>
  <c r="E80" i="25"/>
  <c r="D80" i="25"/>
  <c r="H79" i="25"/>
  <c r="G79" i="25"/>
  <c r="F79" i="25"/>
  <c r="E79" i="25"/>
  <c r="D79" i="25"/>
  <c r="H78" i="25"/>
  <c r="G78" i="25"/>
  <c r="F78" i="25"/>
  <c r="E78" i="25"/>
  <c r="D78" i="25"/>
  <c r="H77" i="25"/>
  <c r="G77" i="25"/>
  <c r="F77" i="25"/>
  <c r="E77" i="25"/>
  <c r="D77" i="25"/>
  <c r="H76" i="25"/>
  <c r="G76" i="25"/>
  <c r="F76" i="25"/>
  <c r="E76" i="25"/>
  <c r="D76" i="25"/>
  <c r="H75" i="25"/>
  <c r="G75" i="25"/>
  <c r="F75" i="25"/>
  <c r="E75" i="25"/>
  <c r="D75" i="25"/>
  <c r="H74" i="25"/>
  <c r="G74" i="25"/>
  <c r="F74" i="25"/>
  <c r="E74" i="25"/>
  <c r="D74" i="25"/>
  <c r="H73" i="25"/>
  <c r="G73" i="25"/>
  <c r="F73" i="25"/>
  <c r="E73" i="25"/>
  <c r="D73" i="25"/>
  <c r="H72" i="25"/>
  <c r="G72" i="25"/>
  <c r="F72" i="25"/>
  <c r="E72" i="25"/>
  <c r="D72" i="25"/>
  <c r="H71" i="25"/>
  <c r="G71" i="25"/>
  <c r="F71" i="25"/>
  <c r="E71" i="25"/>
  <c r="D71" i="25"/>
  <c r="H70" i="25"/>
  <c r="G70" i="25"/>
  <c r="F70" i="25"/>
  <c r="E70" i="25"/>
  <c r="D70" i="25"/>
  <c r="H69" i="25"/>
  <c r="G69" i="25"/>
  <c r="F69" i="25"/>
  <c r="E69" i="25"/>
  <c r="D69" i="25"/>
  <c r="H68" i="25"/>
  <c r="G68" i="25"/>
  <c r="F68" i="25"/>
  <c r="E68" i="25"/>
  <c r="D68" i="25"/>
  <c r="H67" i="25"/>
  <c r="G67" i="25"/>
  <c r="F67" i="25"/>
  <c r="E67" i="25"/>
  <c r="D67" i="25"/>
  <c r="H66" i="25"/>
  <c r="G66" i="25"/>
  <c r="F66" i="25"/>
  <c r="E66" i="25"/>
  <c r="D66" i="25"/>
  <c r="H65" i="25"/>
  <c r="G65" i="25"/>
  <c r="F65" i="25"/>
  <c r="E65" i="25"/>
  <c r="D65" i="25"/>
  <c r="H64" i="25"/>
  <c r="G64" i="25"/>
  <c r="F64" i="25"/>
  <c r="E64" i="25"/>
  <c r="D64" i="25"/>
  <c r="H63" i="25"/>
  <c r="G63" i="25"/>
  <c r="F63" i="25"/>
  <c r="E63" i="25"/>
  <c r="D63" i="25"/>
  <c r="H62" i="25"/>
  <c r="G62" i="25"/>
  <c r="F62" i="25"/>
  <c r="E62" i="25"/>
  <c r="D62" i="25"/>
  <c r="H61" i="25"/>
  <c r="G61" i="25"/>
  <c r="F61" i="25"/>
  <c r="E61" i="25"/>
  <c r="D61" i="25"/>
  <c r="H60" i="25"/>
  <c r="G60" i="25"/>
  <c r="F60" i="25"/>
  <c r="E60" i="25"/>
  <c r="D60" i="25"/>
  <c r="H59" i="25"/>
  <c r="G59" i="25"/>
  <c r="F59" i="25"/>
  <c r="E59" i="25"/>
  <c r="D59" i="25"/>
  <c r="H58" i="25"/>
  <c r="G58" i="25"/>
  <c r="F58" i="25"/>
  <c r="E58" i="25"/>
  <c r="D58" i="25"/>
  <c r="H57" i="25"/>
  <c r="G57" i="25"/>
  <c r="F57" i="25"/>
  <c r="E57" i="25"/>
  <c r="D57" i="25"/>
  <c r="H56" i="25"/>
  <c r="G56" i="25"/>
  <c r="F56" i="25"/>
  <c r="E56" i="25"/>
  <c r="D56" i="25"/>
  <c r="H55" i="25"/>
  <c r="G55" i="25"/>
  <c r="F55" i="25"/>
  <c r="E55" i="25"/>
  <c r="D55" i="25"/>
  <c r="H54" i="25"/>
  <c r="G54" i="25"/>
  <c r="F54" i="25"/>
  <c r="E54" i="25"/>
  <c r="D54" i="25"/>
  <c r="H53" i="25"/>
  <c r="G53" i="25"/>
  <c r="F53" i="25"/>
  <c r="E53" i="25"/>
  <c r="D53" i="25"/>
  <c r="H52" i="25"/>
  <c r="G52" i="25"/>
  <c r="F52" i="25"/>
  <c r="E52" i="25"/>
  <c r="D52" i="25"/>
  <c r="H51" i="25"/>
  <c r="G51" i="25"/>
  <c r="F51" i="25"/>
  <c r="E51" i="25"/>
  <c r="D51" i="25"/>
  <c r="H50" i="25"/>
  <c r="G50" i="25"/>
  <c r="F50" i="25"/>
  <c r="E50" i="25"/>
  <c r="D50" i="25"/>
  <c r="H49" i="25"/>
  <c r="G49" i="25"/>
  <c r="F49" i="25"/>
  <c r="E49" i="25"/>
  <c r="D49" i="25"/>
  <c r="H48" i="25"/>
  <c r="G48" i="25"/>
  <c r="F48" i="25"/>
  <c r="E48" i="25"/>
  <c r="D48" i="25"/>
  <c r="H47" i="25"/>
  <c r="G47" i="25"/>
  <c r="F47" i="25"/>
  <c r="E47" i="25"/>
  <c r="D47" i="25"/>
  <c r="H46" i="25"/>
  <c r="G46" i="25"/>
  <c r="F46" i="25"/>
  <c r="E46" i="25"/>
  <c r="D46" i="25"/>
  <c r="H45" i="25"/>
  <c r="G45" i="25"/>
  <c r="F45" i="25"/>
  <c r="E45" i="25"/>
  <c r="D45" i="25"/>
  <c r="H44" i="25"/>
  <c r="G44" i="25"/>
  <c r="F44" i="25"/>
  <c r="E44" i="25"/>
  <c r="D44" i="25"/>
  <c r="H43" i="25"/>
  <c r="G43" i="25"/>
  <c r="F43" i="25"/>
  <c r="E43" i="25"/>
  <c r="D43" i="25"/>
  <c r="H42" i="25"/>
  <c r="G42" i="25"/>
  <c r="F42" i="25"/>
  <c r="E42" i="25"/>
  <c r="D42" i="25"/>
  <c r="H41" i="25"/>
  <c r="G41" i="25"/>
  <c r="F41" i="25"/>
  <c r="E41" i="25"/>
  <c r="D41" i="25"/>
  <c r="H40" i="25"/>
  <c r="G40" i="25"/>
  <c r="F40" i="25"/>
  <c r="E40" i="25"/>
  <c r="D40" i="25"/>
  <c r="H39" i="25"/>
  <c r="G39" i="25"/>
  <c r="F39" i="25"/>
  <c r="E39" i="25"/>
  <c r="D39" i="25"/>
  <c r="H38" i="25"/>
  <c r="G38" i="25"/>
  <c r="F38" i="25"/>
  <c r="E38" i="25"/>
  <c r="D38" i="25"/>
  <c r="H37" i="25"/>
  <c r="G37" i="25"/>
  <c r="F37" i="25"/>
  <c r="E37" i="25"/>
  <c r="D37" i="25"/>
  <c r="H36" i="25"/>
  <c r="G36" i="25"/>
  <c r="F36" i="25"/>
  <c r="E36" i="25"/>
  <c r="D36" i="25"/>
  <c r="H35" i="25"/>
  <c r="G35" i="25"/>
  <c r="F35" i="25"/>
  <c r="E35" i="25"/>
  <c r="D35" i="25"/>
  <c r="H34" i="25"/>
  <c r="G34" i="25"/>
  <c r="F34" i="25"/>
  <c r="E34" i="25"/>
  <c r="D34" i="25"/>
  <c r="H33" i="25"/>
  <c r="G33" i="25"/>
  <c r="F33" i="25"/>
  <c r="E33" i="25"/>
  <c r="D33" i="25"/>
  <c r="H32" i="25"/>
  <c r="G32" i="25"/>
  <c r="F32" i="25"/>
  <c r="E32" i="25"/>
  <c r="D32" i="25"/>
  <c r="H31" i="25"/>
  <c r="G31" i="25"/>
  <c r="F31" i="25"/>
  <c r="E31" i="25"/>
  <c r="D31" i="25"/>
  <c r="H30" i="25"/>
  <c r="G30" i="25"/>
  <c r="F30" i="25"/>
  <c r="E30" i="25"/>
  <c r="D30" i="25"/>
  <c r="H29" i="25"/>
  <c r="G29" i="25"/>
  <c r="F29" i="25"/>
  <c r="E29" i="25"/>
  <c r="D29" i="25"/>
  <c r="H28" i="25"/>
  <c r="G28" i="25"/>
  <c r="F28" i="25"/>
  <c r="E28" i="25"/>
  <c r="D28" i="25"/>
  <c r="H27" i="25"/>
  <c r="G27" i="25"/>
  <c r="F27" i="25"/>
  <c r="E27" i="25"/>
  <c r="D27" i="25"/>
  <c r="H26" i="25"/>
  <c r="G26" i="25"/>
  <c r="F26" i="25"/>
  <c r="E26" i="25"/>
  <c r="D26" i="25"/>
  <c r="H25" i="25"/>
  <c r="G25" i="25"/>
  <c r="F25" i="25"/>
  <c r="E25" i="25"/>
  <c r="D25" i="25"/>
  <c r="H24" i="25"/>
  <c r="G24" i="25"/>
  <c r="F24" i="25"/>
  <c r="E24" i="25"/>
  <c r="D24" i="25"/>
  <c r="H23" i="25"/>
  <c r="G23" i="25"/>
  <c r="F23" i="25"/>
  <c r="E23" i="25"/>
  <c r="D23" i="25"/>
  <c r="H22" i="25"/>
  <c r="G22" i="25"/>
  <c r="F22" i="25"/>
  <c r="E22" i="25"/>
  <c r="D22" i="25"/>
  <c r="H21" i="25"/>
  <c r="G21" i="25"/>
  <c r="F21" i="25"/>
  <c r="E21" i="25"/>
  <c r="D21" i="25"/>
  <c r="H20" i="25"/>
  <c r="G20" i="25"/>
  <c r="F20" i="25"/>
  <c r="E20" i="25"/>
  <c r="D20" i="25"/>
  <c r="H19" i="25"/>
  <c r="G19" i="25"/>
  <c r="F19" i="25"/>
  <c r="E19" i="25"/>
  <c r="D19" i="25"/>
  <c r="H17" i="25"/>
  <c r="G17" i="25"/>
  <c r="F17" i="25"/>
  <c r="E17" i="25"/>
  <c r="D17" i="25"/>
  <c r="H16" i="25"/>
  <c r="G16" i="25"/>
  <c r="F16" i="25"/>
  <c r="E16" i="25"/>
  <c r="D16" i="25"/>
  <c r="H14" i="25"/>
  <c r="G14" i="25"/>
  <c r="F14" i="25"/>
  <c r="E14" i="25"/>
  <c r="D14" i="25"/>
  <c r="H13" i="25"/>
  <c r="G13" i="25"/>
  <c r="F13" i="25"/>
  <c r="E13" i="25"/>
  <c r="D13" i="25"/>
  <c r="H11" i="25"/>
  <c r="G11" i="25"/>
  <c r="F11" i="25"/>
  <c r="E11" i="25"/>
  <c r="D11" i="25"/>
  <c r="H10" i="25"/>
  <c r="G10" i="25"/>
  <c r="F10" i="25"/>
  <c r="E10" i="25"/>
  <c r="D10" i="25"/>
  <c r="H9" i="25"/>
  <c r="G9" i="25"/>
  <c r="F9" i="25"/>
  <c r="E9" i="25"/>
  <c r="D9" i="25"/>
  <c r="H8" i="25"/>
  <c r="G8" i="25"/>
  <c r="F8" i="25"/>
  <c r="E8" i="25"/>
  <c r="E261" i="23"/>
  <c r="E52" i="29" s="1"/>
  <c r="F261" i="23"/>
  <c r="F52" i="29" s="1"/>
  <c r="G261" i="23"/>
  <c r="G52" i="29" s="1"/>
  <c r="H261" i="23"/>
  <c r="H52" i="29" s="1"/>
  <c r="D261" i="23"/>
  <c r="D52" i="29" s="1"/>
  <c r="E214" i="22"/>
  <c r="F214" i="22"/>
  <c r="G214" i="22"/>
  <c r="H214" i="22"/>
  <c r="D214" i="22"/>
  <c r="E297" i="22"/>
  <c r="F297" i="22"/>
  <c r="G297" i="22"/>
  <c r="H297" i="22"/>
  <c r="D297" i="22"/>
  <c r="E295" i="22"/>
  <c r="F295" i="22"/>
  <c r="G295" i="22"/>
  <c r="H295" i="22"/>
  <c r="D295" i="22"/>
  <c r="E269" i="22"/>
  <c r="F269" i="22"/>
  <c r="G269" i="22"/>
  <c r="H269" i="22"/>
  <c r="D269" i="22"/>
  <c r="E267" i="22"/>
  <c r="F267" i="22"/>
  <c r="G267" i="22"/>
  <c r="H267" i="22"/>
  <c r="D267" i="22"/>
  <c r="I214" i="22" l="1"/>
  <c r="D18" i="25"/>
  <c r="F18" i="25"/>
  <c r="G18" i="25"/>
  <c r="E18" i="25"/>
  <c r="H18" i="25"/>
  <c r="G15" i="25"/>
  <c r="I23" i="25"/>
  <c r="I36" i="25"/>
  <c r="I68" i="25"/>
  <c r="I94" i="25"/>
  <c r="I31" i="25"/>
  <c r="H15" i="25"/>
  <c r="I22" i="25"/>
  <c r="I89" i="25"/>
  <c r="I95" i="25"/>
  <c r="I74" i="25"/>
  <c r="I93" i="25"/>
  <c r="I78" i="25"/>
  <c r="I75" i="25"/>
  <c r="I86" i="25"/>
  <c r="I52" i="29"/>
  <c r="E83" i="25"/>
  <c r="I39" i="25"/>
  <c r="I19" i="25"/>
  <c r="I27" i="25"/>
  <c r="I35" i="25"/>
  <c r="I43" i="25"/>
  <c r="I67" i="25"/>
  <c r="D12" i="25"/>
  <c r="I14" i="25"/>
  <c r="I64" i="25"/>
  <c r="I81" i="25"/>
  <c r="I10" i="25"/>
  <c r="E12" i="25"/>
  <c r="F15" i="25"/>
  <c r="I28" i="25"/>
  <c r="D15" i="25"/>
  <c r="I47" i="25"/>
  <c r="I55" i="25"/>
  <c r="I80" i="25"/>
  <c r="H12" i="25"/>
  <c r="I61" i="25"/>
  <c r="H7" i="25"/>
  <c r="I24" i="25"/>
  <c r="I38" i="25"/>
  <c r="I51" i="25"/>
  <c r="I62" i="25"/>
  <c r="I63" i="25"/>
  <c r="F12" i="25"/>
  <c r="I60" i="25"/>
  <c r="I46" i="25"/>
  <c r="D83" i="25"/>
  <c r="I44" i="25"/>
  <c r="I52" i="25"/>
  <c r="H83" i="25"/>
  <c r="I29" i="25"/>
  <c r="I49" i="25"/>
  <c r="E7" i="25"/>
  <c r="F7" i="25"/>
  <c r="I34" i="25"/>
  <c r="I40" i="25"/>
  <c r="I70" i="25"/>
  <c r="I71" i="25"/>
  <c r="I9" i="25"/>
  <c r="I13" i="25"/>
  <c r="I32" i="25"/>
  <c r="I69" i="25"/>
  <c r="G7" i="25"/>
  <c r="I20" i="25"/>
  <c r="I37" i="25"/>
  <c r="I59" i="25"/>
  <c r="I92" i="25"/>
  <c r="I25" i="25"/>
  <c r="I45" i="25"/>
  <c r="I56" i="25"/>
  <c r="I76" i="25"/>
  <c r="I79" i="25"/>
  <c r="I84" i="25"/>
  <c r="I87" i="25"/>
  <c r="I42" i="25"/>
  <c r="I57" i="25"/>
  <c r="I72" i="25"/>
  <c r="I77" i="25"/>
  <c r="F83" i="25"/>
  <c r="I85" i="25"/>
  <c r="G88" i="25"/>
  <c r="E15" i="25"/>
  <c r="G12" i="25"/>
  <c r="I16" i="25"/>
  <c r="I30" i="25"/>
  <c r="I66" i="25"/>
  <c r="D88" i="25"/>
  <c r="F88" i="25"/>
  <c r="I26" i="25"/>
  <c r="I41" i="25"/>
  <c r="I54" i="25"/>
  <c r="E88" i="25"/>
  <c r="I90" i="25"/>
  <c r="I50" i="25"/>
  <c r="I65" i="25"/>
  <c r="D7" i="25"/>
  <c r="I17" i="25"/>
  <c r="I58" i="25"/>
  <c r="I73" i="25"/>
  <c r="I261" i="23"/>
  <c r="I11" i="25"/>
  <c r="I33" i="25"/>
  <c r="I48" i="25"/>
  <c r="I53" i="25"/>
  <c r="H88" i="25"/>
  <c r="I297" i="22"/>
  <c r="I8" i="25"/>
  <c r="I21" i="25"/>
  <c r="G83" i="25"/>
  <c r="I91" i="25"/>
  <c r="I295" i="22"/>
  <c r="I269" i="22"/>
  <c r="I267" i="22"/>
  <c r="I15" i="25" l="1"/>
  <c r="F6" i="25"/>
  <c r="F96" i="25" s="1"/>
  <c r="G9" i="31" s="1"/>
  <c r="I12" i="25"/>
  <c r="I18" i="25"/>
  <c r="I7" i="25"/>
  <c r="I83" i="25"/>
  <c r="E6" i="25"/>
  <c r="E96" i="25" s="1"/>
  <c r="F9" i="31" s="1"/>
  <c r="H6" i="25"/>
  <c r="H96" i="25" s="1"/>
  <c r="I9" i="31" s="1"/>
  <c r="I88" i="25"/>
  <c r="D6" i="25"/>
  <c r="D96" i="25" s="1"/>
  <c r="E9" i="31" s="1"/>
  <c r="G6" i="25"/>
  <c r="K9" i="31" l="1"/>
  <c r="L9" i="31"/>
  <c r="I6" i="25"/>
  <c r="G96" i="25"/>
  <c r="I96" i="25" l="1"/>
  <c r="H9" i="31"/>
  <c r="J9" i="31" s="1"/>
  <c r="E380" i="23" l="1"/>
  <c r="F380" i="23"/>
  <c r="G380" i="23"/>
  <c r="H380" i="23"/>
  <c r="D380" i="23"/>
  <c r="D379" i="23" s="1"/>
  <c r="E341" i="23"/>
  <c r="E25" i="33" s="1"/>
  <c r="F341" i="23"/>
  <c r="F25" i="33" s="1"/>
  <c r="G341" i="23"/>
  <c r="G25" i="33" s="1"/>
  <c r="H341" i="23"/>
  <c r="H25" i="33" s="1"/>
  <c r="D341" i="23"/>
  <c r="D25" i="33" s="1"/>
  <c r="E184" i="22"/>
  <c r="F184" i="22"/>
  <c r="G184" i="22"/>
  <c r="H184" i="22"/>
  <c r="D184" i="22"/>
  <c r="D370" i="23"/>
  <c r="D12" i="35" s="1"/>
  <c r="I25" i="33" l="1"/>
  <c r="I341" i="23"/>
  <c r="E261" i="22"/>
  <c r="F261" i="22"/>
  <c r="G261" i="22"/>
  <c r="H261" i="22"/>
  <c r="D261" i="22"/>
  <c r="E204" i="22"/>
  <c r="F204" i="22"/>
  <c r="G204" i="22"/>
  <c r="H204" i="22"/>
  <c r="D204" i="22"/>
  <c r="I261" i="22" l="1"/>
  <c r="D309" i="22"/>
  <c r="D64" i="22"/>
  <c r="E265" i="22"/>
  <c r="F265" i="22"/>
  <c r="G265" i="22"/>
  <c r="H265" i="22"/>
  <c r="D265" i="22"/>
  <c r="E378" i="23"/>
  <c r="E6" i="37" s="1"/>
  <c r="E5" i="37" s="1"/>
  <c r="E7" i="37" s="1"/>
  <c r="F12" i="36" s="1"/>
  <c r="G378" i="23"/>
  <c r="G6" i="37" s="1"/>
  <c r="D378" i="23"/>
  <c r="D6" i="37" s="1"/>
  <c r="D5" i="37" s="1"/>
  <c r="E371" i="23"/>
  <c r="E13" i="35" s="1"/>
  <c r="G371" i="23"/>
  <c r="G13" i="35" s="1"/>
  <c r="I13" i="35" s="1"/>
  <c r="D371" i="23"/>
  <c r="D13" i="35" s="1"/>
  <c r="E374" i="23"/>
  <c r="E16" i="35" s="1"/>
  <c r="G374" i="23"/>
  <c r="G16" i="35" s="1"/>
  <c r="D374" i="23"/>
  <c r="D16" i="35" s="1"/>
  <c r="E373" i="23"/>
  <c r="E15" i="35" s="1"/>
  <c r="E14" i="35" s="1"/>
  <c r="G373" i="23"/>
  <c r="G15" i="35" s="1"/>
  <c r="D373" i="23"/>
  <c r="D15" i="35" s="1"/>
  <c r="E370" i="23"/>
  <c r="E12" i="35" s="1"/>
  <c r="G370" i="23"/>
  <c r="G12" i="35" s="1"/>
  <c r="I12" i="35" s="1"/>
  <c r="D367" i="23"/>
  <c r="D9" i="35" s="1"/>
  <c r="E367" i="23"/>
  <c r="E9" i="35" s="1"/>
  <c r="G367" i="23"/>
  <c r="G9" i="35" s="1"/>
  <c r="I9" i="35" s="1"/>
  <c r="D368" i="23"/>
  <c r="D10" i="35" s="1"/>
  <c r="E368" i="23"/>
  <c r="E10" i="35" s="1"/>
  <c r="G368" i="23"/>
  <c r="G10" i="35" s="1"/>
  <c r="E366" i="23"/>
  <c r="E8" i="35" s="1"/>
  <c r="E6" i="35" s="1"/>
  <c r="G366" i="23"/>
  <c r="G8" i="35" s="1"/>
  <c r="D366" i="23"/>
  <c r="D8" i="35" s="1"/>
  <c r="D359" i="23"/>
  <c r="D13" i="34" s="1"/>
  <c r="E359" i="23"/>
  <c r="E13" i="34" s="1"/>
  <c r="G359" i="23"/>
  <c r="G13" i="34" s="1"/>
  <c r="I13" i="34" s="1"/>
  <c r="D360" i="23"/>
  <c r="D14" i="34" s="1"/>
  <c r="E360" i="23"/>
  <c r="E14" i="34" s="1"/>
  <c r="G360" i="23"/>
  <c r="G14" i="34" s="1"/>
  <c r="I14" i="34" s="1"/>
  <c r="E358" i="23"/>
  <c r="E12" i="34" s="1"/>
  <c r="G358" i="23"/>
  <c r="G12" i="34" s="1"/>
  <c r="I12" i="34" s="1"/>
  <c r="D358" i="23"/>
  <c r="D12" i="34" s="1"/>
  <c r="D356" i="23"/>
  <c r="D10" i="34" s="1"/>
  <c r="E356" i="23"/>
  <c r="E10" i="34" s="1"/>
  <c r="G356" i="23"/>
  <c r="G10" i="34" s="1"/>
  <c r="E355" i="23"/>
  <c r="E9" i="34" s="1"/>
  <c r="G355" i="23"/>
  <c r="G9" i="34" s="1"/>
  <c r="D355" i="23"/>
  <c r="D9" i="34" s="1"/>
  <c r="E343" i="23"/>
  <c r="G343" i="23"/>
  <c r="D343" i="23"/>
  <c r="D342" i="23" s="1"/>
  <c r="D338" i="23"/>
  <c r="D22" i="33" s="1"/>
  <c r="E338" i="23"/>
  <c r="E22" i="33" s="1"/>
  <c r="G338" i="23"/>
  <c r="G22" i="33" s="1"/>
  <c r="D339" i="23"/>
  <c r="D23" i="33" s="1"/>
  <c r="I23" i="33" s="1"/>
  <c r="E339" i="23"/>
  <c r="E23" i="33" s="1"/>
  <c r="G339" i="23"/>
  <c r="G23" i="33" s="1"/>
  <c r="D340" i="23"/>
  <c r="D24" i="33" s="1"/>
  <c r="E340" i="23"/>
  <c r="E24" i="33" s="1"/>
  <c r="G340" i="23"/>
  <c r="G24" i="33" s="1"/>
  <c r="I24" i="33" s="1"/>
  <c r="E337" i="23"/>
  <c r="E21" i="33" s="1"/>
  <c r="G337" i="23"/>
  <c r="G21" i="33" s="1"/>
  <c r="D337" i="23"/>
  <c r="D21" i="33" s="1"/>
  <c r="D335" i="23"/>
  <c r="D19" i="33" s="1"/>
  <c r="E335" i="23"/>
  <c r="E19" i="33" s="1"/>
  <c r="G335" i="23"/>
  <c r="G19" i="33" s="1"/>
  <c r="D336" i="23"/>
  <c r="D20" i="33" s="1"/>
  <c r="E336" i="23"/>
  <c r="E20" i="33" s="1"/>
  <c r="G336" i="23"/>
  <c r="G20" i="33" s="1"/>
  <c r="E334" i="23"/>
  <c r="E18" i="33" s="1"/>
  <c r="G334" i="23"/>
  <c r="G18" i="33" s="1"/>
  <c r="I18" i="33" s="1"/>
  <c r="D334" i="23"/>
  <c r="D18" i="33" s="1"/>
  <c r="D331" i="23"/>
  <c r="D15" i="33" s="1"/>
  <c r="E331" i="23"/>
  <c r="E15" i="33" s="1"/>
  <c r="G331" i="23"/>
  <c r="G15" i="33" s="1"/>
  <c r="I15" i="33" s="1"/>
  <c r="D332" i="23"/>
  <c r="D16" i="33" s="1"/>
  <c r="E332" i="23"/>
  <c r="E16" i="33" s="1"/>
  <c r="G332" i="23"/>
  <c r="G16" i="33" s="1"/>
  <c r="E330" i="23"/>
  <c r="E14" i="33" s="1"/>
  <c r="G330" i="23"/>
  <c r="G14" i="33" s="1"/>
  <c r="I14" i="33" s="1"/>
  <c r="D330" i="23"/>
  <c r="D14" i="33" s="1"/>
  <c r="E327" i="23"/>
  <c r="E11" i="33" s="1"/>
  <c r="G327" i="23"/>
  <c r="G11" i="33" s="1"/>
  <c r="D327" i="23"/>
  <c r="D11" i="33" s="1"/>
  <c r="E323" i="23"/>
  <c r="E7" i="33" s="1"/>
  <c r="G323" i="23"/>
  <c r="G7" i="33" s="1"/>
  <c r="D323" i="23"/>
  <c r="D7" i="33" s="1"/>
  <c r="E320" i="23"/>
  <c r="E10" i="32" s="1"/>
  <c r="G320" i="23"/>
  <c r="G10" i="32" s="1"/>
  <c r="I10" i="32" s="1"/>
  <c r="D320" i="23"/>
  <c r="D10" i="32" s="1"/>
  <c r="E319" i="23"/>
  <c r="E9" i="32" s="1"/>
  <c r="E8" i="32" s="1"/>
  <c r="G319" i="23"/>
  <c r="G9" i="32" s="1"/>
  <c r="D319" i="23"/>
  <c r="D9" i="32" s="1"/>
  <c r="D8" i="32" s="1"/>
  <c r="E317" i="23"/>
  <c r="E7" i="32" s="1"/>
  <c r="E6" i="32" s="1"/>
  <c r="G317" i="23"/>
  <c r="G7" i="32" s="1"/>
  <c r="D317" i="23"/>
  <c r="D7" i="32" s="1"/>
  <c r="D6" i="32" s="1"/>
  <c r="D5" i="32" s="1"/>
  <c r="D11" i="32" s="1"/>
  <c r="E8" i="36" s="1"/>
  <c r="E311" i="23"/>
  <c r="E17" i="30" s="1"/>
  <c r="F311" i="23"/>
  <c r="F17" i="30" s="1"/>
  <c r="G311" i="23"/>
  <c r="G17" i="30" s="1"/>
  <c r="H311" i="23"/>
  <c r="H17" i="30" s="1"/>
  <c r="D311" i="23"/>
  <c r="D17" i="30" s="1"/>
  <c r="E310" i="23"/>
  <c r="E16" i="30" s="1"/>
  <c r="F310" i="23"/>
  <c r="F16" i="30" s="1"/>
  <c r="G310" i="23"/>
  <c r="G16" i="30" s="1"/>
  <c r="H310" i="23"/>
  <c r="H16" i="30" s="1"/>
  <c r="D310" i="23"/>
  <c r="D16" i="30" s="1"/>
  <c r="D306" i="23"/>
  <c r="D12" i="30" s="1"/>
  <c r="E306" i="23"/>
  <c r="E12" i="30" s="1"/>
  <c r="F306" i="23"/>
  <c r="F12" i="30" s="1"/>
  <c r="G306" i="23"/>
  <c r="G12" i="30" s="1"/>
  <c r="H306" i="23"/>
  <c r="H12" i="30" s="1"/>
  <c r="D307" i="23"/>
  <c r="D13" i="30" s="1"/>
  <c r="E307" i="23"/>
  <c r="E13" i="30" s="1"/>
  <c r="F307" i="23"/>
  <c r="F13" i="30" s="1"/>
  <c r="G307" i="23"/>
  <c r="G13" i="30" s="1"/>
  <c r="H307" i="23"/>
  <c r="H13" i="30" s="1"/>
  <c r="D308" i="23"/>
  <c r="D14" i="30" s="1"/>
  <c r="E308" i="23"/>
  <c r="E14" i="30" s="1"/>
  <c r="F308" i="23"/>
  <c r="F14" i="30" s="1"/>
  <c r="G308" i="23"/>
  <c r="G14" i="30" s="1"/>
  <c r="H308" i="23"/>
  <c r="H14" i="30" s="1"/>
  <c r="D309" i="23"/>
  <c r="D15" i="30" s="1"/>
  <c r="E309" i="23"/>
  <c r="E15" i="30" s="1"/>
  <c r="F309" i="23"/>
  <c r="F15" i="30" s="1"/>
  <c r="G309" i="23"/>
  <c r="G15" i="30" s="1"/>
  <c r="H309" i="23"/>
  <c r="H15" i="30" s="1"/>
  <c r="E305" i="23"/>
  <c r="E11" i="30" s="1"/>
  <c r="F305" i="23"/>
  <c r="F11" i="30" s="1"/>
  <c r="G305" i="23"/>
  <c r="G11" i="30" s="1"/>
  <c r="H305" i="23"/>
  <c r="H11" i="30" s="1"/>
  <c r="D305" i="23"/>
  <c r="D11" i="30" s="1"/>
  <c r="D303" i="23"/>
  <c r="D9" i="30" s="1"/>
  <c r="E303" i="23"/>
  <c r="E9" i="30" s="1"/>
  <c r="F303" i="23"/>
  <c r="F9" i="30" s="1"/>
  <c r="G303" i="23"/>
  <c r="G9" i="30" s="1"/>
  <c r="H303" i="23"/>
  <c r="H9" i="30" s="1"/>
  <c r="D304" i="23"/>
  <c r="D10" i="30" s="1"/>
  <c r="E304" i="23"/>
  <c r="E10" i="30" s="1"/>
  <c r="F304" i="23"/>
  <c r="F10" i="30" s="1"/>
  <c r="G304" i="23"/>
  <c r="G10" i="30" s="1"/>
  <c r="H304" i="23"/>
  <c r="H10" i="30" s="1"/>
  <c r="E302" i="23"/>
  <c r="E8" i="30" s="1"/>
  <c r="F302" i="23"/>
  <c r="F8" i="30" s="1"/>
  <c r="G302" i="23"/>
  <c r="G8" i="30" s="1"/>
  <c r="H302" i="23"/>
  <c r="H8" i="30" s="1"/>
  <c r="D302" i="23"/>
  <c r="D8" i="30" s="1"/>
  <c r="E279" i="23"/>
  <c r="E54" i="29" s="1"/>
  <c r="E53" i="29" s="1"/>
  <c r="F279" i="23"/>
  <c r="F54" i="29" s="1"/>
  <c r="F53" i="29" s="1"/>
  <c r="G279" i="23"/>
  <c r="G54" i="29" s="1"/>
  <c r="H279" i="23"/>
  <c r="H54" i="29" s="1"/>
  <c r="H53" i="29" s="1"/>
  <c r="D279" i="23"/>
  <c r="D54" i="29" s="1"/>
  <c r="D53" i="29" s="1"/>
  <c r="E277" i="23"/>
  <c r="E51" i="29" s="1"/>
  <c r="F277" i="23"/>
  <c r="F51" i="29" s="1"/>
  <c r="G277" i="23"/>
  <c r="G51" i="29" s="1"/>
  <c r="H277" i="23"/>
  <c r="H51" i="29" s="1"/>
  <c r="D277" i="23"/>
  <c r="D51" i="29" s="1"/>
  <c r="E276" i="23"/>
  <c r="E50" i="29" s="1"/>
  <c r="F276" i="23"/>
  <c r="F50" i="29" s="1"/>
  <c r="G276" i="23"/>
  <c r="G50" i="29" s="1"/>
  <c r="H276" i="23"/>
  <c r="H50" i="29" s="1"/>
  <c r="D276" i="23"/>
  <c r="D50" i="29" s="1"/>
  <c r="E274" i="23"/>
  <c r="E48" i="29" s="1"/>
  <c r="F274" i="23"/>
  <c r="F48" i="29" s="1"/>
  <c r="G274" i="23"/>
  <c r="G48" i="29" s="1"/>
  <c r="H274" i="23"/>
  <c r="H48" i="29" s="1"/>
  <c r="D274" i="23"/>
  <c r="D48" i="29" s="1"/>
  <c r="D273" i="23"/>
  <c r="D47" i="29" s="1"/>
  <c r="E273" i="23"/>
  <c r="E47" i="29" s="1"/>
  <c r="F273" i="23"/>
  <c r="F47" i="29" s="1"/>
  <c r="G273" i="23"/>
  <c r="G47" i="29" s="1"/>
  <c r="H273" i="23"/>
  <c r="H47" i="29" s="1"/>
  <c r="E272" i="23"/>
  <c r="E46" i="29" s="1"/>
  <c r="F272" i="23"/>
  <c r="F46" i="29" s="1"/>
  <c r="G272" i="23"/>
  <c r="G46" i="29" s="1"/>
  <c r="H272" i="23"/>
  <c r="H46" i="29" s="1"/>
  <c r="D272" i="23"/>
  <c r="D46" i="29" s="1"/>
  <c r="E271" i="23"/>
  <c r="E45" i="29" s="1"/>
  <c r="F271" i="23"/>
  <c r="F45" i="29" s="1"/>
  <c r="G271" i="23"/>
  <c r="G45" i="29" s="1"/>
  <c r="H271" i="23"/>
  <c r="H45" i="29" s="1"/>
  <c r="D271" i="23"/>
  <c r="D45" i="29" s="1"/>
  <c r="E270" i="23"/>
  <c r="E44" i="29" s="1"/>
  <c r="F270" i="23"/>
  <c r="F44" i="29" s="1"/>
  <c r="G270" i="23"/>
  <c r="G44" i="29" s="1"/>
  <c r="H270" i="23"/>
  <c r="H44" i="29" s="1"/>
  <c r="D270" i="23"/>
  <c r="D44" i="29" s="1"/>
  <c r="E269" i="23"/>
  <c r="E43" i="29" s="1"/>
  <c r="F269" i="23"/>
  <c r="F43" i="29" s="1"/>
  <c r="G269" i="23"/>
  <c r="G43" i="29" s="1"/>
  <c r="H269" i="23"/>
  <c r="H43" i="29" s="1"/>
  <c r="D269" i="23"/>
  <c r="D43" i="29" s="1"/>
  <c r="D267" i="23"/>
  <c r="D41" i="29" s="1"/>
  <c r="E267" i="23"/>
  <c r="E41" i="29" s="1"/>
  <c r="F267" i="23"/>
  <c r="F41" i="29" s="1"/>
  <c r="G267" i="23"/>
  <c r="G41" i="29" s="1"/>
  <c r="H267" i="23"/>
  <c r="H41" i="29" s="1"/>
  <c r="D268" i="23"/>
  <c r="D42" i="29" s="1"/>
  <c r="E268" i="23"/>
  <c r="E42" i="29" s="1"/>
  <c r="F268" i="23"/>
  <c r="F42" i="29" s="1"/>
  <c r="G268" i="23"/>
  <c r="G42" i="29" s="1"/>
  <c r="H268" i="23"/>
  <c r="H42" i="29" s="1"/>
  <c r="E266" i="23"/>
  <c r="E40" i="29" s="1"/>
  <c r="F266" i="23"/>
  <c r="F40" i="29" s="1"/>
  <c r="G266" i="23"/>
  <c r="G40" i="29" s="1"/>
  <c r="H266" i="23"/>
  <c r="H40" i="29" s="1"/>
  <c r="D266" i="23"/>
  <c r="D40" i="29" s="1"/>
  <c r="E265" i="23"/>
  <c r="E39" i="29" s="1"/>
  <c r="F265" i="23"/>
  <c r="F39" i="29" s="1"/>
  <c r="G265" i="23"/>
  <c r="G39" i="29" s="1"/>
  <c r="H265" i="23"/>
  <c r="H39" i="29" s="1"/>
  <c r="D265" i="23"/>
  <c r="D39" i="29" s="1"/>
  <c r="E264" i="23"/>
  <c r="E38" i="29" s="1"/>
  <c r="F264" i="23"/>
  <c r="F38" i="29" s="1"/>
  <c r="G264" i="23"/>
  <c r="G38" i="29" s="1"/>
  <c r="H264" i="23"/>
  <c r="H38" i="29" s="1"/>
  <c r="D264" i="23"/>
  <c r="D38" i="29" s="1"/>
  <c r="E263" i="23"/>
  <c r="E37" i="29" s="1"/>
  <c r="F263" i="23"/>
  <c r="F37" i="29" s="1"/>
  <c r="G263" i="23"/>
  <c r="G37" i="29" s="1"/>
  <c r="H263" i="23"/>
  <c r="H37" i="29" s="1"/>
  <c r="D263" i="23"/>
  <c r="D37" i="29" s="1"/>
  <c r="E260" i="23"/>
  <c r="E35" i="29" s="1"/>
  <c r="F260" i="23"/>
  <c r="F35" i="29" s="1"/>
  <c r="G260" i="23"/>
  <c r="G35" i="29" s="1"/>
  <c r="H260" i="23"/>
  <c r="H35" i="29" s="1"/>
  <c r="D260" i="23"/>
  <c r="D35" i="29" s="1"/>
  <c r="E259" i="23"/>
  <c r="E34" i="29" s="1"/>
  <c r="F259" i="23"/>
  <c r="F34" i="29" s="1"/>
  <c r="G259" i="23"/>
  <c r="G34" i="29" s="1"/>
  <c r="H259" i="23"/>
  <c r="H34" i="29" s="1"/>
  <c r="D259" i="23"/>
  <c r="D34" i="29" s="1"/>
  <c r="E258" i="23"/>
  <c r="E33" i="29" s="1"/>
  <c r="F258" i="23"/>
  <c r="F33" i="29" s="1"/>
  <c r="G258" i="23"/>
  <c r="G33" i="29" s="1"/>
  <c r="H258" i="23"/>
  <c r="H33" i="29" s="1"/>
  <c r="D258" i="23"/>
  <c r="D33" i="29" s="1"/>
  <c r="E257" i="23"/>
  <c r="E32" i="29" s="1"/>
  <c r="F257" i="23"/>
  <c r="F32" i="29" s="1"/>
  <c r="G257" i="23"/>
  <c r="G32" i="29" s="1"/>
  <c r="H257" i="23"/>
  <c r="H32" i="29" s="1"/>
  <c r="D257" i="23"/>
  <c r="D32" i="29" s="1"/>
  <c r="E256" i="23"/>
  <c r="E31" i="29" s="1"/>
  <c r="F256" i="23"/>
  <c r="F31" i="29" s="1"/>
  <c r="G256" i="23"/>
  <c r="G31" i="29" s="1"/>
  <c r="H256" i="23"/>
  <c r="H31" i="29" s="1"/>
  <c r="D256" i="23"/>
  <c r="D31" i="29" s="1"/>
  <c r="E255" i="23"/>
  <c r="E30" i="29" s="1"/>
  <c r="F255" i="23"/>
  <c r="F30" i="29" s="1"/>
  <c r="G255" i="23"/>
  <c r="G30" i="29" s="1"/>
  <c r="H255" i="23"/>
  <c r="H30" i="29" s="1"/>
  <c r="D255" i="23"/>
  <c r="D30" i="29" s="1"/>
  <c r="E254" i="23"/>
  <c r="E29" i="29" s="1"/>
  <c r="F254" i="23"/>
  <c r="F29" i="29" s="1"/>
  <c r="G254" i="23"/>
  <c r="G29" i="29" s="1"/>
  <c r="H254" i="23"/>
  <c r="H29" i="29" s="1"/>
  <c r="D254" i="23"/>
  <c r="D29" i="29" s="1"/>
  <c r="E253" i="23"/>
  <c r="E28" i="29" s="1"/>
  <c r="F253" i="23"/>
  <c r="F28" i="29" s="1"/>
  <c r="G253" i="23"/>
  <c r="G28" i="29" s="1"/>
  <c r="H253" i="23"/>
  <c r="H28" i="29" s="1"/>
  <c r="D253" i="23"/>
  <c r="D28" i="29" s="1"/>
  <c r="E252" i="23"/>
  <c r="E27" i="29" s="1"/>
  <c r="F252" i="23"/>
  <c r="F27" i="29" s="1"/>
  <c r="G252" i="23"/>
  <c r="G27" i="29" s="1"/>
  <c r="H252" i="23"/>
  <c r="H27" i="29" s="1"/>
  <c r="D252" i="23"/>
  <c r="D27" i="29" s="1"/>
  <c r="E251" i="23"/>
  <c r="E26" i="29" s="1"/>
  <c r="F251" i="23"/>
  <c r="F26" i="29" s="1"/>
  <c r="G251" i="23"/>
  <c r="G26" i="29" s="1"/>
  <c r="H251" i="23"/>
  <c r="H26" i="29" s="1"/>
  <c r="D251" i="23"/>
  <c r="D26" i="29" s="1"/>
  <c r="E250" i="23"/>
  <c r="E25" i="29" s="1"/>
  <c r="F250" i="23"/>
  <c r="F25" i="29" s="1"/>
  <c r="G250" i="23"/>
  <c r="G25" i="29" s="1"/>
  <c r="H250" i="23"/>
  <c r="H25" i="29" s="1"/>
  <c r="D250" i="23"/>
  <c r="D25" i="29" s="1"/>
  <c r="E249" i="23"/>
  <c r="E24" i="29" s="1"/>
  <c r="F249" i="23"/>
  <c r="F24" i="29" s="1"/>
  <c r="G249" i="23"/>
  <c r="G24" i="29" s="1"/>
  <c r="H249" i="23"/>
  <c r="H24" i="29" s="1"/>
  <c r="D249" i="23"/>
  <c r="D24" i="29" s="1"/>
  <c r="E248" i="23"/>
  <c r="E23" i="29" s="1"/>
  <c r="F248" i="23"/>
  <c r="F23" i="29" s="1"/>
  <c r="G248" i="23"/>
  <c r="G23" i="29" s="1"/>
  <c r="H248" i="23"/>
  <c r="H23" i="29" s="1"/>
  <c r="D248" i="23"/>
  <c r="D23" i="29" s="1"/>
  <c r="E247" i="23"/>
  <c r="E22" i="29" s="1"/>
  <c r="F247" i="23"/>
  <c r="F22" i="29" s="1"/>
  <c r="G247" i="23"/>
  <c r="G22" i="29" s="1"/>
  <c r="H247" i="23"/>
  <c r="H22" i="29" s="1"/>
  <c r="D247" i="23"/>
  <c r="D22" i="29" s="1"/>
  <c r="E246" i="23"/>
  <c r="E21" i="29" s="1"/>
  <c r="F246" i="23"/>
  <c r="F21" i="29" s="1"/>
  <c r="G246" i="23"/>
  <c r="G21" i="29" s="1"/>
  <c r="H246" i="23"/>
  <c r="H21" i="29" s="1"/>
  <c r="D246" i="23"/>
  <c r="D21" i="29" s="1"/>
  <c r="E245" i="23"/>
  <c r="E20" i="29" s="1"/>
  <c r="F245" i="23"/>
  <c r="F20" i="29" s="1"/>
  <c r="G245" i="23"/>
  <c r="G20" i="29" s="1"/>
  <c r="H245" i="23"/>
  <c r="H20" i="29" s="1"/>
  <c r="D245" i="23"/>
  <c r="D20" i="29" s="1"/>
  <c r="E244" i="23"/>
  <c r="E19" i="29" s="1"/>
  <c r="F244" i="23"/>
  <c r="F19" i="29" s="1"/>
  <c r="G244" i="23"/>
  <c r="G19" i="29" s="1"/>
  <c r="H244" i="23"/>
  <c r="H19" i="29" s="1"/>
  <c r="D244" i="23"/>
  <c r="D19" i="29" s="1"/>
  <c r="E243" i="23"/>
  <c r="E18" i="29" s="1"/>
  <c r="F243" i="23"/>
  <c r="F18" i="29" s="1"/>
  <c r="G243" i="23"/>
  <c r="G18" i="29" s="1"/>
  <c r="H243" i="23"/>
  <c r="H18" i="29" s="1"/>
  <c r="D243" i="23"/>
  <c r="D18" i="29" s="1"/>
  <c r="E242" i="23"/>
  <c r="E17" i="29" s="1"/>
  <c r="F242" i="23"/>
  <c r="F17" i="29" s="1"/>
  <c r="G242" i="23"/>
  <c r="G17" i="29" s="1"/>
  <c r="H242" i="23"/>
  <c r="H17" i="29" s="1"/>
  <c r="D242" i="23"/>
  <c r="D17" i="29" s="1"/>
  <c r="E241" i="23"/>
  <c r="E16" i="29" s="1"/>
  <c r="F241" i="23"/>
  <c r="F16" i="29" s="1"/>
  <c r="G241" i="23"/>
  <c r="G16" i="29" s="1"/>
  <c r="H241" i="23"/>
  <c r="H16" i="29" s="1"/>
  <c r="D241" i="23"/>
  <c r="D16" i="29" s="1"/>
  <c r="E240" i="23"/>
  <c r="E15" i="29" s="1"/>
  <c r="F240" i="23"/>
  <c r="F15" i="29" s="1"/>
  <c r="G240" i="23"/>
  <c r="G15" i="29" s="1"/>
  <c r="H240" i="23"/>
  <c r="H15" i="29" s="1"/>
  <c r="D240" i="23"/>
  <c r="D15" i="29" s="1"/>
  <c r="E239" i="23"/>
  <c r="E14" i="29" s="1"/>
  <c r="F239" i="23"/>
  <c r="F14" i="29" s="1"/>
  <c r="G239" i="23"/>
  <c r="G14" i="29" s="1"/>
  <c r="H239" i="23"/>
  <c r="H14" i="29" s="1"/>
  <c r="D239" i="23"/>
  <c r="D14" i="29" s="1"/>
  <c r="E238" i="23"/>
  <c r="E13" i="29" s="1"/>
  <c r="F238" i="23"/>
  <c r="F13" i="29" s="1"/>
  <c r="G238" i="23"/>
  <c r="G13" i="29" s="1"/>
  <c r="H238" i="23"/>
  <c r="H13" i="29" s="1"/>
  <c r="D238" i="23"/>
  <c r="D13" i="29" s="1"/>
  <c r="E237" i="23"/>
  <c r="E12" i="29" s="1"/>
  <c r="F237" i="23"/>
  <c r="F12" i="29" s="1"/>
  <c r="G237" i="23"/>
  <c r="G12" i="29" s="1"/>
  <c r="H237" i="23"/>
  <c r="H12" i="29" s="1"/>
  <c r="D237" i="23"/>
  <c r="D12" i="29" s="1"/>
  <c r="E236" i="23"/>
  <c r="E11" i="29" s="1"/>
  <c r="F236" i="23"/>
  <c r="F11" i="29" s="1"/>
  <c r="G236" i="23"/>
  <c r="G11" i="29" s="1"/>
  <c r="H236" i="23"/>
  <c r="H11" i="29" s="1"/>
  <c r="D236" i="23"/>
  <c r="D11" i="29" s="1"/>
  <c r="E235" i="23"/>
  <c r="F235" i="23"/>
  <c r="G235" i="23"/>
  <c r="H235" i="23"/>
  <c r="D235" i="23"/>
  <c r="E230" i="23"/>
  <c r="E12" i="28" s="1"/>
  <c r="E9" i="28" s="1"/>
  <c r="F230" i="23"/>
  <c r="F12" i="28" s="1"/>
  <c r="F9" i="28" s="1"/>
  <c r="G230" i="23"/>
  <c r="G12" i="28" s="1"/>
  <c r="H230" i="23"/>
  <c r="H12" i="28" s="1"/>
  <c r="H9" i="28" s="1"/>
  <c r="D230" i="23"/>
  <c r="D12" i="28" s="1"/>
  <c r="D9" i="28" s="1"/>
  <c r="E226" i="23"/>
  <c r="E8" i="28" s="1"/>
  <c r="E7" i="28" s="1"/>
  <c r="F226" i="23"/>
  <c r="F8" i="28" s="1"/>
  <c r="F7" i="28" s="1"/>
  <c r="G226" i="23"/>
  <c r="G8" i="28" s="1"/>
  <c r="H226" i="23"/>
  <c r="H8" i="28" s="1"/>
  <c r="H7" i="28" s="1"/>
  <c r="D226" i="23"/>
  <c r="D8" i="28" s="1"/>
  <c r="D7" i="28" s="1"/>
  <c r="E223" i="23"/>
  <c r="E10" i="27" s="1"/>
  <c r="F223" i="23"/>
  <c r="F10" i="27" s="1"/>
  <c r="G223" i="23"/>
  <c r="G10" i="27" s="1"/>
  <c r="H223" i="23"/>
  <c r="H10" i="27" s="1"/>
  <c r="D223" i="23"/>
  <c r="D10" i="27" s="1"/>
  <c r="E222" i="23"/>
  <c r="E9" i="27" s="1"/>
  <c r="F222" i="23"/>
  <c r="F9" i="27" s="1"/>
  <c r="G222" i="23"/>
  <c r="G9" i="27" s="1"/>
  <c r="H222" i="23"/>
  <c r="H9" i="27" s="1"/>
  <c r="D222" i="23"/>
  <c r="D9" i="27" s="1"/>
  <c r="E221" i="23"/>
  <c r="E8" i="27" s="1"/>
  <c r="F221" i="23"/>
  <c r="F8" i="27" s="1"/>
  <c r="G221" i="23"/>
  <c r="G8" i="27" s="1"/>
  <c r="H221" i="23"/>
  <c r="H8" i="27" s="1"/>
  <c r="D221" i="23"/>
  <c r="D8" i="27" s="1"/>
  <c r="E206" i="23"/>
  <c r="E20" i="26" s="1"/>
  <c r="F206" i="23"/>
  <c r="F20" i="26" s="1"/>
  <c r="G206" i="23"/>
  <c r="G20" i="26" s="1"/>
  <c r="H206" i="23"/>
  <c r="H20" i="26" s="1"/>
  <c r="D206" i="23"/>
  <c r="D20" i="26" s="1"/>
  <c r="E205" i="23"/>
  <c r="E19" i="26" s="1"/>
  <c r="F205" i="23"/>
  <c r="F19" i="26" s="1"/>
  <c r="G205" i="23"/>
  <c r="G19" i="26" s="1"/>
  <c r="H205" i="23"/>
  <c r="H19" i="26" s="1"/>
  <c r="D205" i="23"/>
  <c r="D19" i="26" s="1"/>
  <c r="E204" i="23"/>
  <c r="E18" i="26" s="1"/>
  <c r="F204" i="23"/>
  <c r="F18" i="26" s="1"/>
  <c r="G204" i="23"/>
  <c r="G18" i="26" s="1"/>
  <c r="H204" i="23"/>
  <c r="H18" i="26" s="1"/>
  <c r="D204" i="23"/>
  <c r="D18" i="26" s="1"/>
  <c r="E203" i="23"/>
  <c r="E17" i="26" s="1"/>
  <c r="F203" i="23"/>
  <c r="F17" i="26" s="1"/>
  <c r="G203" i="23"/>
  <c r="G17" i="26" s="1"/>
  <c r="H203" i="23"/>
  <c r="H17" i="26" s="1"/>
  <c r="D203" i="23"/>
  <c r="D17" i="26" s="1"/>
  <c r="E202" i="23"/>
  <c r="E16" i="26" s="1"/>
  <c r="F202" i="23"/>
  <c r="F16" i="26" s="1"/>
  <c r="G202" i="23"/>
  <c r="G16" i="26" s="1"/>
  <c r="H202" i="23"/>
  <c r="H16" i="26" s="1"/>
  <c r="D202" i="23"/>
  <c r="D16" i="26" s="1"/>
  <c r="E201" i="23"/>
  <c r="E15" i="26" s="1"/>
  <c r="F201" i="23"/>
  <c r="F15" i="26" s="1"/>
  <c r="G201" i="23"/>
  <c r="G15" i="26" s="1"/>
  <c r="H201" i="23"/>
  <c r="H15" i="26" s="1"/>
  <c r="D201" i="23"/>
  <c r="D15" i="26" s="1"/>
  <c r="E200" i="23"/>
  <c r="E14" i="26" s="1"/>
  <c r="F200" i="23"/>
  <c r="F14" i="26" s="1"/>
  <c r="G200" i="23"/>
  <c r="G14" i="26" s="1"/>
  <c r="H200" i="23"/>
  <c r="H14" i="26" s="1"/>
  <c r="D200" i="23"/>
  <c r="D14" i="26" s="1"/>
  <c r="E198" i="23"/>
  <c r="E12" i="26" s="1"/>
  <c r="E11" i="26" s="1"/>
  <c r="F198" i="23"/>
  <c r="F12" i="26" s="1"/>
  <c r="F11" i="26" s="1"/>
  <c r="G198" i="23"/>
  <c r="G12" i="26" s="1"/>
  <c r="H198" i="23"/>
  <c r="H12" i="26" s="1"/>
  <c r="H11" i="26" s="1"/>
  <c r="D198" i="23"/>
  <c r="D12" i="26" s="1"/>
  <c r="D11" i="26" s="1"/>
  <c r="E196" i="23"/>
  <c r="E10" i="26" s="1"/>
  <c r="F196" i="23"/>
  <c r="F10" i="26" s="1"/>
  <c r="G196" i="23"/>
  <c r="G10" i="26" s="1"/>
  <c r="H196" i="23"/>
  <c r="H10" i="26" s="1"/>
  <c r="D196" i="23"/>
  <c r="D10" i="26" s="1"/>
  <c r="E195" i="23"/>
  <c r="E9" i="26" s="1"/>
  <c r="F195" i="23"/>
  <c r="F9" i="26" s="1"/>
  <c r="G195" i="23"/>
  <c r="G9" i="26" s="1"/>
  <c r="H195" i="23"/>
  <c r="H9" i="26" s="1"/>
  <c r="D195" i="23"/>
  <c r="D9" i="26" s="1"/>
  <c r="E194" i="23"/>
  <c r="E8" i="26" s="1"/>
  <c r="F194" i="23"/>
  <c r="F8" i="26" s="1"/>
  <c r="G194" i="23"/>
  <c r="G8" i="26" s="1"/>
  <c r="H194" i="23"/>
  <c r="H8" i="26" s="1"/>
  <c r="D194" i="23"/>
  <c r="D8" i="26" s="1"/>
  <c r="E95" i="23"/>
  <c r="F95" i="23"/>
  <c r="G95" i="23"/>
  <c r="H95" i="23"/>
  <c r="D95" i="23"/>
  <c r="E94" i="23"/>
  <c r="F94" i="23"/>
  <c r="G94" i="23"/>
  <c r="H94" i="23"/>
  <c r="D94" i="23"/>
  <c r="E93" i="23"/>
  <c r="F93" i="23"/>
  <c r="G93" i="23"/>
  <c r="H93" i="23"/>
  <c r="D93" i="23"/>
  <c r="E92" i="23"/>
  <c r="F92" i="23"/>
  <c r="G92" i="23"/>
  <c r="H92" i="23"/>
  <c r="D92" i="23"/>
  <c r="E91" i="23"/>
  <c r="F91" i="23"/>
  <c r="G91" i="23"/>
  <c r="H91" i="23"/>
  <c r="D91" i="23"/>
  <c r="E90" i="23"/>
  <c r="F90" i="23"/>
  <c r="G90" i="23"/>
  <c r="H90" i="23"/>
  <c r="D90" i="23"/>
  <c r="E89" i="23"/>
  <c r="F89" i="23"/>
  <c r="G89" i="23"/>
  <c r="H89" i="23"/>
  <c r="D89" i="23"/>
  <c r="E87" i="23"/>
  <c r="F87" i="23"/>
  <c r="G87" i="23"/>
  <c r="H87" i="23"/>
  <c r="D87" i="23"/>
  <c r="E86" i="23"/>
  <c r="F86" i="23"/>
  <c r="G86" i="23"/>
  <c r="H86" i="23"/>
  <c r="D86" i="23"/>
  <c r="E85" i="23"/>
  <c r="F85" i="23"/>
  <c r="G85" i="23"/>
  <c r="H85" i="23"/>
  <c r="D85" i="23"/>
  <c r="E84" i="23"/>
  <c r="F84" i="23"/>
  <c r="G84" i="23"/>
  <c r="H84" i="23"/>
  <c r="D84" i="23"/>
  <c r="E81" i="23"/>
  <c r="F81" i="23"/>
  <c r="G81" i="23"/>
  <c r="H81" i="23"/>
  <c r="D81" i="23"/>
  <c r="E80" i="23"/>
  <c r="F80" i="23"/>
  <c r="G80" i="23"/>
  <c r="H80" i="23"/>
  <c r="D80" i="23"/>
  <c r="E79" i="23"/>
  <c r="F79" i="23"/>
  <c r="G79" i="23"/>
  <c r="H79" i="23"/>
  <c r="D79" i="23"/>
  <c r="E78" i="23"/>
  <c r="F78" i="23"/>
  <c r="G78" i="23"/>
  <c r="H78" i="23"/>
  <c r="D78" i="23"/>
  <c r="E77" i="23"/>
  <c r="F77" i="23"/>
  <c r="G77" i="23"/>
  <c r="H77" i="23"/>
  <c r="D77" i="23"/>
  <c r="D75" i="23"/>
  <c r="E75" i="23"/>
  <c r="F75" i="23"/>
  <c r="G75" i="23"/>
  <c r="H75" i="23"/>
  <c r="D76" i="23"/>
  <c r="E76" i="23"/>
  <c r="F76" i="23"/>
  <c r="G76" i="23"/>
  <c r="H76" i="23"/>
  <c r="E74" i="23"/>
  <c r="F74" i="23"/>
  <c r="G74" i="23"/>
  <c r="H74" i="23"/>
  <c r="D74" i="23"/>
  <c r="E73" i="23"/>
  <c r="F73" i="23"/>
  <c r="G73" i="23"/>
  <c r="H73" i="23"/>
  <c r="D73" i="23"/>
  <c r="E72" i="23"/>
  <c r="F72" i="23"/>
  <c r="G72" i="23"/>
  <c r="H72" i="23"/>
  <c r="D72" i="23"/>
  <c r="D71" i="23"/>
  <c r="E71" i="23"/>
  <c r="F71" i="23"/>
  <c r="G71" i="23"/>
  <c r="H71" i="23"/>
  <c r="E70" i="23"/>
  <c r="F70" i="23"/>
  <c r="G70" i="23"/>
  <c r="H70" i="23"/>
  <c r="D70" i="23"/>
  <c r="D67" i="23"/>
  <c r="E67" i="23"/>
  <c r="F67" i="23"/>
  <c r="G67" i="23"/>
  <c r="H67" i="23"/>
  <c r="D68" i="23"/>
  <c r="E68" i="23"/>
  <c r="F68" i="23"/>
  <c r="G68" i="23"/>
  <c r="H68" i="23"/>
  <c r="D69" i="23"/>
  <c r="E69" i="23"/>
  <c r="F69" i="23"/>
  <c r="G69" i="23"/>
  <c r="H69" i="23"/>
  <c r="E66" i="23"/>
  <c r="F66" i="23"/>
  <c r="G66" i="23"/>
  <c r="H66" i="23"/>
  <c r="D66" i="23"/>
  <c r="E65" i="23"/>
  <c r="F65" i="23"/>
  <c r="G65" i="23"/>
  <c r="H65" i="23"/>
  <c r="D65" i="23"/>
  <c r="D64" i="23"/>
  <c r="E64" i="23"/>
  <c r="F64" i="23"/>
  <c r="G64" i="23"/>
  <c r="H64" i="23"/>
  <c r="E63" i="23"/>
  <c r="F63" i="23"/>
  <c r="G63" i="23"/>
  <c r="H63" i="23"/>
  <c r="D63" i="23"/>
  <c r="D60" i="23"/>
  <c r="E60" i="23"/>
  <c r="F60" i="23"/>
  <c r="G60" i="23"/>
  <c r="H60" i="23"/>
  <c r="D61" i="23"/>
  <c r="E61" i="23"/>
  <c r="F61" i="23"/>
  <c r="G61" i="23"/>
  <c r="H61" i="23"/>
  <c r="D62" i="23"/>
  <c r="E62" i="23"/>
  <c r="F62" i="23"/>
  <c r="G62" i="23"/>
  <c r="H62" i="23"/>
  <c r="E59" i="23"/>
  <c r="F59" i="23"/>
  <c r="G59" i="23"/>
  <c r="H59" i="23"/>
  <c r="D59" i="23"/>
  <c r="D58" i="23"/>
  <c r="E58" i="23"/>
  <c r="F58" i="23"/>
  <c r="G58" i="23"/>
  <c r="H58" i="23"/>
  <c r="E57" i="23"/>
  <c r="F57" i="23"/>
  <c r="G57" i="23"/>
  <c r="H57" i="23"/>
  <c r="D57" i="23"/>
  <c r="E56" i="23"/>
  <c r="F56" i="23"/>
  <c r="G56" i="23"/>
  <c r="H56" i="23"/>
  <c r="D56" i="23"/>
  <c r="D53" i="23"/>
  <c r="E53" i="23"/>
  <c r="F53" i="23"/>
  <c r="G53" i="23"/>
  <c r="H53" i="23"/>
  <c r="D54" i="23"/>
  <c r="E54" i="23"/>
  <c r="F54" i="23"/>
  <c r="G54" i="23"/>
  <c r="H54" i="23"/>
  <c r="D55" i="23"/>
  <c r="E55" i="23"/>
  <c r="F55" i="23"/>
  <c r="G55" i="23"/>
  <c r="H55" i="23"/>
  <c r="E52" i="23"/>
  <c r="F52" i="23"/>
  <c r="G52" i="23"/>
  <c r="H52" i="23"/>
  <c r="D52" i="23"/>
  <c r="D42" i="23"/>
  <c r="E42" i="23"/>
  <c r="F42" i="23"/>
  <c r="G42" i="23"/>
  <c r="H42" i="23"/>
  <c r="D43" i="23"/>
  <c r="E43" i="23"/>
  <c r="F43" i="23"/>
  <c r="G43" i="23"/>
  <c r="H43" i="23"/>
  <c r="D44" i="23"/>
  <c r="E44" i="23"/>
  <c r="F44" i="23"/>
  <c r="G44" i="23"/>
  <c r="H44" i="23"/>
  <c r="D45" i="23"/>
  <c r="E45" i="23"/>
  <c r="F45" i="23"/>
  <c r="G45" i="23"/>
  <c r="H45" i="23"/>
  <c r="D46" i="23"/>
  <c r="E46" i="23"/>
  <c r="F46" i="23"/>
  <c r="G46" i="23"/>
  <c r="H46" i="23"/>
  <c r="D47" i="23"/>
  <c r="E47" i="23"/>
  <c r="F47" i="23"/>
  <c r="G47" i="23"/>
  <c r="H47" i="23"/>
  <c r="D48" i="23"/>
  <c r="E48" i="23"/>
  <c r="F48" i="23"/>
  <c r="G48" i="23"/>
  <c r="H48" i="23"/>
  <c r="D49" i="23"/>
  <c r="E49" i="23"/>
  <c r="F49" i="23"/>
  <c r="G49" i="23"/>
  <c r="H49" i="23"/>
  <c r="D50" i="23"/>
  <c r="E50" i="23"/>
  <c r="F50" i="23"/>
  <c r="G50" i="23"/>
  <c r="H50" i="23"/>
  <c r="D51" i="23"/>
  <c r="E51" i="23"/>
  <c r="F51" i="23"/>
  <c r="G51" i="23"/>
  <c r="H51" i="23"/>
  <c r="E41" i="23"/>
  <c r="F41" i="23"/>
  <c r="G41" i="23"/>
  <c r="H41" i="23"/>
  <c r="D41" i="23"/>
  <c r="D37" i="23"/>
  <c r="E37" i="23"/>
  <c r="F37" i="23"/>
  <c r="G37" i="23"/>
  <c r="H37" i="23"/>
  <c r="D38" i="23"/>
  <c r="E38" i="23"/>
  <c r="F38" i="23"/>
  <c r="G38" i="23"/>
  <c r="H38" i="23"/>
  <c r="D39" i="23"/>
  <c r="E39" i="23"/>
  <c r="F39" i="23"/>
  <c r="G39" i="23"/>
  <c r="H39" i="23"/>
  <c r="D40" i="23"/>
  <c r="E40" i="23"/>
  <c r="F40" i="23"/>
  <c r="G40" i="23"/>
  <c r="H40" i="23"/>
  <c r="E36" i="23"/>
  <c r="F36" i="23"/>
  <c r="G36" i="23"/>
  <c r="H36" i="23"/>
  <c r="D36" i="23"/>
  <c r="E35" i="23"/>
  <c r="F35" i="23"/>
  <c r="G35" i="23"/>
  <c r="H35" i="23"/>
  <c r="D35" i="23"/>
  <c r="E34" i="23"/>
  <c r="F34" i="23"/>
  <c r="G34" i="23"/>
  <c r="H34" i="23"/>
  <c r="D34" i="23"/>
  <c r="E33" i="23"/>
  <c r="F33" i="23"/>
  <c r="G33" i="23"/>
  <c r="H33" i="23"/>
  <c r="D33" i="23"/>
  <c r="E32" i="23"/>
  <c r="F32" i="23"/>
  <c r="G32" i="23"/>
  <c r="H32" i="23"/>
  <c r="D32" i="23"/>
  <c r="E31" i="23"/>
  <c r="F31" i="23"/>
  <c r="G31" i="23"/>
  <c r="H31" i="23"/>
  <c r="D31" i="23"/>
  <c r="E30" i="23"/>
  <c r="F30" i="23"/>
  <c r="G30" i="23"/>
  <c r="H30" i="23"/>
  <c r="D30" i="23"/>
  <c r="E29" i="23"/>
  <c r="F29" i="23"/>
  <c r="G29" i="23"/>
  <c r="H29" i="23"/>
  <c r="D29" i="23"/>
  <c r="E28" i="23"/>
  <c r="F28" i="23"/>
  <c r="G28" i="23"/>
  <c r="H28" i="23"/>
  <c r="D28" i="23"/>
  <c r="E27" i="23"/>
  <c r="F27" i="23"/>
  <c r="G27" i="23"/>
  <c r="H27" i="23"/>
  <c r="D27" i="23"/>
  <c r="E26" i="23"/>
  <c r="F26" i="23"/>
  <c r="G26" i="23"/>
  <c r="H26" i="23"/>
  <c r="D26" i="23"/>
  <c r="E25" i="23"/>
  <c r="F25" i="23"/>
  <c r="G25" i="23"/>
  <c r="H25" i="23"/>
  <c r="D25" i="23"/>
  <c r="E24" i="23"/>
  <c r="F24" i="23"/>
  <c r="G24" i="23"/>
  <c r="H24" i="23"/>
  <c r="D24" i="23"/>
  <c r="E23" i="23"/>
  <c r="F23" i="23"/>
  <c r="G23" i="23"/>
  <c r="H23" i="23"/>
  <c r="D23" i="23"/>
  <c r="E22" i="23"/>
  <c r="F22" i="23"/>
  <c r="G22" i="23"/>
  <c r="H22" i="23"/>
  <c r="D22" i="23"/>
  <c r="E21" i="23"/>
  <c r="F21" i="23"/>
  <c r="G21" i="23"/>
  <c r="H21" i="23"/>
  <c r="D21" i="23"/>
  <c r="E20" i="23"/>
  <c r="F20" i="23"/>
  <c r="G20" i="23"/>
  <c r="H20" i="23"/>
  <c r="D20" i="23"/>
  <c r="E19" i="23"/>
  <c r="F19" i="23"/>
  <c r="G19" i="23"/>
  <c r="H19" i="23"/>
  <c r="D19" i="23"/>
  <c r="E17" i="23"/>
  <c r="F17" i="23"/>
  <c r="G17" i="23"/>
  <c r="H17" i="23"/>
  <c r="D17" i="23"/>
  <c r="E16" i="23"/>
  <c r="F16" i="23"/>
  <c r="G16" i="23"/>
  <c r="H16" i="23"/>
  <c r="D16" i="23"/>
  <c r="E14" i="23"/>
  <c r="F14" i="23"/>
  <c r="G14" i="23"/>
  <c r="H14" i="23"/>
  <c r="D14" i="23"/>
  <c r="E13" i="23"/>
  <c r="F13" i="23"/>
  <c r="G13" i="23"/>
  <c r="H13" i="23"/>
  <c r="D13" i="23"/>
  <c r="E11" i="23"/>
  <c r="F11" i="23"/>
  <c r="G11" i="23"/>
  <c r="H11" i="23"/>
  <c r="D11" i="23"/>
  <c r="E10" i="23"/>
  <c r="F10" i="23"/>
  <c r="G10" i="23"/>
  <c r="H10" i="23"/>
  <c r="D10" i="23"/>
  <c r="E9" i="23"/>
  <c r="F9" i="23"/>
  <c r="G9" i="23"/>
  <c r="H9" i="23"/>
  <c r="D9" i="23"/>
  <c r="E8" i="23"/>
  <c r="F8" i="23"/>
  <c r="G8" i="23"/>
  <c r="H8" i="23"/>
  <c r="D8" i="23"/>
  <c r="E903" i="22"/>
  <c r="F903" i="22"/>
  <c r="G903" i="22"/>
  <c r="H903" i="22"/>
  <c r="D903" i="22"/>
  <c r="D902" i="22" s="1"/>
  <c r="E900" i="22"/>
  <c r="F900" i="22"/>
  <c r="G900" i="22"/>
  <c r="H900" i="22"/>
  <c r="D900" i="22"/>
  <c r="D899" i="22" s="1"/>
  <c r="E897" i="22"/>
  <c r="F897" i="22"/>
  <c r="G897" i="22"/>
  <c r="H897" i="22"/>
  <c r="D897" i="22"/>
  <c r="D896" i="22" s="1"/>
  <c r="E894" i="22"/>
  <c r="F894" i="22"/>
  <c r="G894" i="22"/>
  <c r="H894" i="22"/>
  <c r="D894" i="22"/>
  <c r="D893" i="22" s="1"/>
  <c r="E891" i="22"/>
  <c r="F891" i="22"/>
  <c r="G891" i="22"/>
  <c r="H891" i="22"/>
  <c r="D891" i="22"/>
  <c r="E889" i="22"/>
  <c r="F889" i="22"/>
  <c r="G889" i="22"/>
  <c r="H889" i="22"/>
  <c r="D889" i="22"/>
  <c r="E887" i="22"/>
  <c r="F887" i="22"/>
  <c r="G887" i="22"/>
  <c r="H887" i="22"/>
  <c r="D887" i="22"/>
  <c r="E877" i="22"/>
  <c r="F877" i="22"/>
  <c r="G877" i="22"/>
  <c r="H877" i="22"/>
  <c r="D877" i="22"/>
  <c r="E169" i="22"/>
  <c r="E168" i="22" s="1"/>
  <c r="F169" i="22"/>
  <c r="F168" i="22" s="1"/>
  <c r="G169" i="22"/>
  <c r="G168" i="22" s="1"/>
  <c r="H169" i="22"/>
  <c r="H168" i="22" s="1"/>
  <c r="D169" i="22"/>
  <c r="D168" i="22" s="1"/>
  <c r="E874" i="22"/>
  <c r="F874" i="22"/>
  <c r="F873" i="22" s="1"/>
  <c r="G874" i="22"/>
  <c r="H874" i="22"/>
  <c r="D874" i="22"/>
  <c r="E867" i="22"/>
  <c r="F867" i="22"/>
  <c r="G867" i="22"/>
  <c r="H867" i="22"/>
  <c r="D867" i="22"/>
  <c r="E864" i="22"/>
  <c r="F864" i="22"/>
  <c r="G864" i="22"/>
  <c r="H864" i="22"/>
  <c r="D864" i="22"/>
  <c r="E861" i="22"/>
  <c r="F861" i="22"/>
  <c r="G861" i="22"/>
  <c r="H861" i="22"/>
  <c r="D861" i="22"/>
  <c r="E858" i="22"/>
  <c r="F858" i="22"/>
  <c r="G858" i="22"/>
  <c r="H858" i="22"/>
  <c r="D858" i="22"/>
  <c r="E855" i="22"/>
  <c r="F855" i="22"/>
  <c r="G855" i="22"/>
  <c r="H855" i="22"/>
  <c r="D855" i="22"/>
  <c r="E852" i="22"/>
  <c r="F852" i="22"/>
  <c r="G852" i="22"/>
  <c r="H852" i="22"/>
  <c r="D852" i="22"/>
  <c r="E849" i="22"/>
  <c r="F849" i="22"/>
  <c r="G849" i="22"/>
  <c r="H849" i="22"/>
  <c r="D849" i="22"/>
  <c r="E846" i="22"/>
  <c r="F846" i="22"/>
  <c r="G846" i="22"/>
  <c r="H846" i="22"/>
  <c r="D846" i="22"/>
  <c r="E843" i="22"/>
  <c r="F843" i="22"/>
  <c r="G843" i="22"/>
  <c r="H843" i="22"/>
  <c r="D843" i="22"/>
  <c r="E839" i="22"/>
  <c r="F839" i="22"/>
  <c r="G839" i="22"/>
  <c r="H839" i="22"/>
  <c r="D839" i="22"/>
  <c r="E836" i="22"/>
  <c r="F836" i="22"/>
  <c r="G836" i="22"/>
  <c r="H836" i="22"/>
  <c r="D836" i="22"/>
  <c r="E833" i="22"/>
  <c r="F833" i="22"/>
  <c r="G833" i="22"/>
  <c r="H833" i="22"/>
  <c r="D833" i="22"/>
  <c r="E830" i="22"/>
  <c r="F830" i="22"/>
  <c r="G830" i="22"/>
  <c r="H830" i="22"/>
  <c r="D830" i="22"/>
  <c r="E827" i="22"/>
  <c r="F827" i="22"/>
  <c r="G827" i="22"/>
  <c r="H827" i="22"/>
  <c r="D827" i="22"/>
  <c r="E824" i="22"/>
  <c r="F824" i="22"/>
  <c r="G824" i="22"/>
  <c r="H824" i="22"/>
  <c r="D824" i="22"/>
  <c r="E821" i="22"/>
  <c r="F821" i="22"/>
  <c r="G821" i="22"/>
  <c r="H821" i="22"/>
  <c r="D821" i="22"/>
  <c r="E818" i="22"/>
  <c r="F818" i="22"/>
  <c r="G818" i="22"/>
  <c r="H818" i="22"/>
  <c r="D818" i="22"/>
  <c r="E815" i="22"/>
  <c r="F815" i="22"/>
  <c r="G815" i="22"/>
  <c r="H815" i="22"/>
  <c r="D815" i="22"/>
  <c r="E812" i="22"/>
  <c r="F812" i="22"/>
  <c r="G812" i="22"/>
  <c r="H812" i="22"/>
  <c r="D812" i="22"/>
  <c r="E809" i="22"/>
  <c r="F809" i="22"/>
  <c r="G809" i="22"/>
  <c r="H809" i="22"/>
  <c r="D809" i="22"/>
  <c r="E806" i="22"/>
  <c r="F806" i="22"/>
  <c r="G806" i="22"/>
  <c r="H806" i="22"/>
  <c r="D806" i="22"/>
  <c r="E803" i="22"/>
  <c r="F803" i="22"/>
  <c r="G803" i="22"/>
  <c r="H803" i="22"/>
  <c r="D803" i="22"/>
  <c r="E800" i="22"/>
  <c r="F800" i="22"/>
  <c r="G800" i="22"/>
  <c r="H800" i="22"/>
  <c r="D800" i="22"/>
  <c r="E796" i="22"/>
  <c r="F796" i="22"/>
  <c r="G796" i="22"/>
  <c r="H796" i="22"/>
  <c r="D796" i="22"/>
  <c r="E793" i="22"/>
  <c r="F793" i="22"/>
  <c r="G793" i="22"/>
  <c r="H793" i="22"/>
  <c r="D793" i="22"/>
  <c r="E790" i="22"/>
  <c r="F790" i="22"/>
  <c r="G790" i="22"/>
  <c r="H790" i="22"/>
  <c r="D790" i="22"/>
  <c r="E787" i="22"/>
  <c r="F787" i="22"/>
  <c r="G787" i="22"/>
  <c r="H787" i="22"/>
  <c r="D787" i="22"/>
  <c r="E781" i="22"/>
  <c r="F781" i="22"/>
  <c r="G781" i="22"/>
  <c r="H781" i="22"/>
  <c r="D781" i="22"/>
  <c r="E779" i="22"/>
  <c r="F779" i="22"/>
  <c r="G779" i="22"/>
  <c r="H779" i="22"/>
  <c r="D779" i="22"/>
  <c r="E776" i="22"/>
  <c r="F776" i="22"/>
  <c r="G776" i="22"/>
  <c r="H776" i="22"/>
  <c r="D776" i="22"/>
  <c r="E773" i="22"/>
  <c r="F773" i="22"/>
  <c r="G773" i="22"/>
  <c r="H773" i="22"/>
  <c r="D773" i="22"/>
  <c r="E770" i="22"/>
  <c r="F770" i="22"/>
  <c r="G770" i="22"/>
  <c r="H770" i="22"/>
  <c r="D770" i="22"/>
  <c r="E754" i="22"/>
  <c r="F754" i="22"/>
  <c r="G754" i="22"/>
  <c r="H754" i="22"/>
  <c r="D754" i="22"/>
  <c r="E767" i="22"/>
  <c r="F767" i="22"/>
  <c r="G767" i="22"/>
  <c r="H767" i="22"/>
  <c r="D767" i="22"/>
  <c r="E752" i="22"/>
  <c r="F752" i="22"/>
  <c r="G752" i="22"/>
  <c r="H752" i="22"/>
  <c r="D752" i="22"/>
  <c r="E745" i="22"/>
  <c r="F745" i="22"/>
  <c r="G745" i="22"/>
  <c r="H745" i="22"/>
  <c r="D745" i="22"/>
  <c r="E740" i="22"/>
  <c r="F740" i="22"/>
  <c r="G740" i="22"/>
  <c r="H740" i="22"/>
  <c r="D740" i="22"/>
  <c r="E737" i="22"/>
  <c r="F737" i="22"/>
  <c r="G737" i="22"/>
  <c r="H737" i="22"/>
  <c r="D737" i="22"/>
  <c r="E734" i="22"/>
  <c r="F734" i="22"/>
  <c r="G734" i="22"/>
  <c r="H734" i="22"/>
  <c r="D734" i="22"/>
  <c r="E731" i="22"/>
  <c r="F731" i="22"/>
  <c r="G731" i="22"/>
  <c r="H731" i="22"/>
  <c r="D731" i="22"/>
  <c r="E728" i="22"/>
  <c r="F728" i="22"/>
  <c r="G728" i="22"/>
  <c r="H728" i="22"/>
  <c r="D728" i="22"/>
  <c r="E726" i="22"/>
  <c r="F726" i="22"/>
  <c r="G726" i="22"/>
  <c r="H726" i="22"/>
  <c r="D726" i="22"/>
  <c r="E724" i="22"/>
  <c r="F724" i="22"/>
  <c r="G724" i="22"/>
  <c r="H724" i="22"/>
  <c r="D724" i="22"/>
  <c r="E721" i="22"/>
  <c r="F721" i="22"/>
  <c r="G721" i="22"/>
  <c r="H721" i="22"/>
  <c r="D721" i="22"/>
  <c r="E719" i="22"/>
  <c r="F719" i="22"/>
  <c r="G719" i="22"/>
  <c r="H719" i="22"/>
  <c r="D719" i="22"/>
  <c r="E716" i="22"/>
  <c r="F716" i="22"/>
  <c r="G716" i="22"/>
  <c r="H716" i="22"/>
  <c r="D716" i="22"/>
  <c r="E150" i="22"/>
  <c r="F150" i="22"/>
  <c r="G150" i="22"/>
  <c r="H150" i="22"/>
  <c r="D150" i="22"/>
  <c r="E155" i="22"/>
  <c r="F155" i="22"/>
  <c r="G155" i="22"/>
  <c r="H155" i="22"/>
  <c r="D155" i="22"/>
  <c r="E714" i="22"/>
  <c r="F714" i="22"/>
  <c r="G714" i="22"/>
  <c r="H714" i="22"/>
  <c r="D714" i="22"/>
  <c r="E711" i="22"/>
  <c r="F711" i="22"/>
  <c r="G711" i="22"/>
  <c r="H711" i="22"/>
  <c r="D711" i="22"/>
  <c r="E708" i="22"/>
  <c r="F708" i="22"/>
  <c r="G708" i="22"/>
  <c r="H708" i="22"/>
  <c r="D708" i="22"/>
  <c r="E705" i="22"/>
  <c r="F705" i="22"/>
  <c r="G705" i="22"/>
  <c r="H705" i="22"/>
  <c r="D705" i="22"/>
  <c r="E702" i="22"/>
  <c r="F702" i="22"/>
  <c r="G702" i="22"/>
  <c r="H702" i="22"/>
  <c r="D702" i="22"/>
  <c r="E700" i="22"/>
  <c r="F700" i="22"/>
  <c r="G700" i="22"/>
  <c r="H700" i="22"/>
  <c r="D700" i="22"/>
  <c r="E698" i="22"/>
  <c r="F698" i="22"/>
  <c r="G698" i="22"/>
  <c r="H698" i="22"/>
  <c r="D698" i="22"/>
  <c r="E695" i="22"/>
  <c r="F695" i="22"/>
  <c r="G695" i="22"/>
  <c r="H695" i="22"/>
  <c r="D695" i="22"/>
  <c r="E692" i="22"/>
  <c r="F692" i="22"/>
  <c r="G692" i="22"/>
  <c r="H692" i="22"/>
  <c r="D692" i="22"/>
  <c r="E689" i="22"/>
  <c r="F689" i="22"/>
  <c r="G689" i="22"/>
  <c r="H689" i="22"/>
  <c r="D689" i="22"/>
  <c r="E686" i="22"/>
  <c r="F686" i="22"/>
  <c r="G686" i="22"/>
  <c r="H686" i="22"/>
  <c r="D686" i="22"/>
  <c r="E683" i="22"/>
  <c r="F683" i="22"/>
  <c r="G683" i="22"/>
  <c r="H683" i="22"/>
  <c r="D683" i="22"/>
  <c r="E183" i="22"/>
  <c r="F183" i="22"/>
  <c r="G183" i="22"/>
  <c r="H183" i="22"/>
  <c r="D183" i="22"/>
  <c r="E680" i="22"/>
  <c r="F680" i="22"/>
  <c r="G680" i="22"/>
  <c r="H680" i="22"/>
  <c r="D680" i="22"/>
  <c r="E676" i="22"/>
  <c r="F676" i="22"/>
  <c r="G676" i="22"/>
  <c r="H676" i="22"/>
  <c r="D676" i="22"/>
  <c r="E673" i="22"/>
  <c r="F673" i="22"/>
  <c r="G673" i="22"/>
  <c r="H673" i="22"/>
  <c r="D673" i="22"/>
  <c r="E670" i="22"/>
  <c r="F670" i="22"/>
  <c r="G670" i="22"/>
  <c r="H670" i="22"/>
  <c r="D670" i="22"/>
  <c r="E667" i="22"/>
  <c r="F667" i="22"/>
  <c r="G667" i="22"/>
  <c r="H667" i="22"/>
  <c r="D667" i="22"/>
  <c r="E664" i="22"/>
  <c r="F664" i="22"/>
  <c r="G664" i="22"/>
  <c r="H664" i="22"/>
  <c r="D664" i="22"/>
  <c r="E661" i="22"/>
  <c r="F661" i="22"/>
  <c r="G661" i="22"/>
  <c r="H661" i="22"/>
  <c r="D661" i="22"/>
  <c r="E656" i="22"/>
  <c r="F656" i="22"/>
  <c r="G656" i="22"/>
  <c r="H656" i="22"/>
  <c r="D656" i="22"/>
  <c r="E653" i="22"/>
  <c r="F653" i="22"/>
  <c r="G653" i="22"/>
  <c r="H653" i="22"/>
  <c r="D653" i="22"/>
  <c r="E650" i="22"/>
  <c r="F650" i="22"/>
  <c r="G650" i="22"/>
  <c r="H650" i="22"/>
  <c r="D650" i="22"/>
  <c r="E647" i="22"/>
  <c r="F647" i="22"/>
  <c r="G647" i="22"/>
  <c r="H647" i="22"/>
  <c r="D647" i="22"/>
  <c r="E644" i="22"/>
  <c r="F644" i="22"/>
  <c r="G644" i="22"/>
  <c r="H644" i="22"/>
  <c r="D644" i="22"/>
  <c r="E641" i="22"/>
  <c r="F641" i="22"/>
  <c r="G641" i="22"/>
  <c r="H641" i="22"/>
  <c r="D641" i="22"/>
  <c r="E638" i="22"/>
  <c r="F638" i="22"/>
  <c r="G638" i="22"/>
  <c r="H638" i="22"/>
  <c r="D638" i="22"/>
  <c r="E636" i="22"/>
  <c r="F636" i="22"/>
  <c r="G636" i="22"/>
  <c r="H636" i="22"/>
  <c r="D636" i="22"/>
  <c r="E633" i="22"/>
  <c r="F633" i="22"/>
  <c r="G633" i="22"/>
  <c r="H633" i="22"/>
  <c r="D633" i="22"/>
  <c r="E630" i="22"/>
  <c r="F630" i="22"/>
  <c r="G630" i="22"/>
  <c r="H630" i="22"/>
  <c r="D630" i="22"/>
  <c r="E627" i="22"/>
  <c r="F627" i="22"/>
  <c r="G627" i="22"/>
  <c r="H627" i="22"/>
  <c r="D627" i="22"/>
  <c r="E625" i="22"/>
  <c r="F625" i="22"/>
  <c r="G625" i="22"/>
  <c r="H625" i="22"/>
  <c r="D625" i="22"/>
  <c r="E622" i="22"/>
  <c r="F622" i="22"/>
  <c r="G622" i="22"/>
  <c r="H622" i="22"/>
  <c r="D622" i="22"/>
  <c r="E181" i="22"/>
  <c r="F181" i="22"/>
  <c r="G181" i="22"/>
  <c r="H181" i="22"/>
  <c r="D181" i="22"/>
  <c r="E620" i="22"/>
  <c r="F620" i="22"/>
  <c r="G620" i="22"/>
  <c r="H620" i="22"/>
  <c r="D620" i="22"/>
  <c r="E614" i="22"/>
  <c r="F614" i="22"/>
  <c r="G614" i="22"/>
  <c r="H614" i="22"/>
  <c r="D614" i="22"/>
  <c r="E611" i="22"/>
  <c r="F611" i="22"/>
  <c r="G611" i="22"/>
  <c r="H611" i="22"/>
  <c r="D611" i="22"/>
  <c r="E609" i="22"/>
  <c r="F609" i="22"/>
  <c r="G609" i="22"/>
  <c r="H609" i="22"/>
  <c r="D609" i="22"/>
  <c r="E606" i="22"/>
  <c r="F606" i="22"/>
  <c r="G606" i="22"/>
  <c r="H606" i="22"/>
  <c r="D606" i="22"/>
  <c r="E603" i="22"/>
  <c r="F603" i="22"/>
  <c r="G603" i="22"/>
  <c r="H603" i="22"/>
  <c r="D603" i="22"/>
  <c r="E600" i="22"/>
  <c r="F600" i="22"/>
  <c r="G600" i="22"/>
  <c r="H600" i="22"/>
  <c r="D600" i="22"/>
  <c r="E597" i="22"/>
  <c r="F597" i="22"/>
  <c r="G597" i="22"/>
  <c r="H597" i="22"/>
  <c r="D597" i="22"/>
  <c r="E594" i="22"/>
  <c r="F594" i="22"/>
  <c r="G594" i="22"/>
  <c r="H594" i="22"/>
  <c r="D594" i="22"/>
  <c r="E591" i="22"/>
  <c r="F591" i="22"/>
  <c r="G591" i="22"/>
  <c r="H591" i="22"/>
  <c r="D591" i="22"/>
  <c r="E588" i="22"/>
  <c r="F588" i="22"/>
  <c r="G588" i="22"/>
  <c r="H588" i="22"/>
  <c r="D588" i="22"/>
  <c r="E585" i="22"/>
  <c r="F585" i="22"/>
  <c r="G585" i="22"/>
  <c r="H585" i="22"/>
  <c r="D585" i="22"/>
  <c r="E582" i="22"/>
  <c r="F582" i="22"/>
  <c r="G582" i="22"/>
  <c r="H582" i="22"/>
  <c r="D582" i="22"/>
  <c r="E580" i="22"/>
  <c r="F580" i="22"/>
  <c r="G580" i="22"/>
  <c r="H580" i="22"/>
  <c r="D580" i="22"/>
  <c r="E577" i="22"/>
  <c r="F577" i="22"/>
  <c r="G577" i="22"/>
  <c r="H577" i="22"/>
  <c r="D577" i="22"/>
  <c r="E574" i="22"/>
  <c r="F574" i="22"/>
  <c r="G574" i="22"/>
  <c r="H574" i="22"/>
  <c r="D574" i="22"/>
  <c r="E569" i="22"/>
  <c r="F569" i="22"/>
  <c r="G569" i="22"/>
  <c r="H569" i="22"/>
  <c r="D569" i="22"/>
  <c r="E566" i="22"/>
  <c r="F566" i="22"/>
  <c r="G566" i="22"/>
  <c r="H566" i="22"/>
  <c r="D566" i="22"/>
  <c r="E561" i="22"/>
  <c r="F561" i="22"/>
  <c r="G561" i="22"/>
  <c r="H561" i="22"/>
  <c r="D561" i="22"/>
  <c r="E558" i="22"/>
  <c r="F558" i="22"/>
  <c r="G558" i="22"/>
  <c r="H558" i="22"/>
  <c r="D558" i="22"/>
  <c r="E325" i="22"/>
  <c r="F325" i="22"/>
  <c r="G325" i="22"/>
  <c r="H325" i="22"/>
  <c r="D325" i="22"/>
  <c r="E322" i="22"/>
  <c r="F322" i="22"/>
  <c r="G322" i="22"/>
  <c r="H322" i="22"/>
  <c r="D322" i="22"/>
  <c r="E319" i="22"/>
  <c r="F319" i="22"/>
  <c r="G319" i="22"/>
  <c r="H319" i="22"/>
  <c r="D319" i="22"/>
  <c r="E316" i="22"/>
  <c r="F316" i="22"/>
  <c r="G316" i="22"/>
  <c r="H316" i="22"/>
  <c r="D316" i="22"/>
  <c r="E314" i="22"/>
  <c r="F314" i="22"/>
  <c r="G314" i="22"/>
  <c r="H314" i="22"/>
  <c r="D314" i="22"/>
  <c r="E312" i="22"/>
  <c r="F312" i="22"/>
  <c r="G312" i="22"/>
  <c r="H312" i="22"/>
  <c r="D312" i="22"/>
  <c r="E309" i="22"/>
  <c r="F309" i="22"/>
  <c r="G309" i="22"/>
  <c r="H309" i="22"/>
  <c r="E305" i="22"/>
  <c r="F305" i="22"/>
  <c r="G305" i="22"/>
  <c r="H305" i="22"/>
  <c r="D305" i="22"/>
  <c r="D304" i="22" s="1"/>
  <c r="E302" i="22"/>
  <c r="F302" i="22"/>
  <c r="G302" i="22"/>
  <c r="H302" i="22"/>
  <c r="D302" i="22"/>
  <c r="E300" i="22"/>
  <c r="F300" i="22"/>
  <c r="G300" i="22"/>
  <c r="H300" i="22"/>
  <c r="D300" i="22"/>
  <c r="E291" i="22"/>
  <c r="F291" i="22"/>
  <c r="G291" i="22"/>
  <c r="H291" i="22"/>
  <c r="D291" i="22"/>
  <c r="E289" i="22"/>
  <c r="F289" i="22"/>
  <c r="G289" i="22"/>
  <c r="H289" i="22"/>
  <c r="D289" i="22"/>
  <c r="E287" i="22"/>
  <c r="F287" i="22"/>
  <c r="G287" i="22"/>
  <c r="H287" i="22"/>
  <c r="D287" i="22"/>
  <c r="E285" i="22"/>
  <c r="F285" i="22"/>
  <c r="G285" i="22"/>
  <c r="H285" i="22"/>
  <c r="D285" i="22"/>
  <c r="E283" i="22"/>
  <c r="F283" i="22"/>
  <c r="G283" i="22"/>
  <c r="H283" i="22"/>
  <c r="D283" i="22"/>
  <c r="E281" i="22"/>
  <c r="F281" i="22"/>
  <c r="G281" i="22"/>
  <c r="H281" i="22"/>
  <c r="D281" i="22"/>
  <c r="E870" i="22"/>
  <c r="F870" i="22"/>
  <c r="G870" i="22"/>
  <c r="H870" i="22"/>
  <c r="D870" i="22"/>
  <c r="E279" i="22"/>
  <c r="F279" i="22"/>
  <c r="G279" i="22"/>
  <c r="H279" i="22"/>
  <c r="D279" i="22"/>
  <c r="E277" i="22"/>
  <c r="F277" i="22"/>
  <c r="G277" i="22"/>
  <c r="H277" i="22"/>
  <c r="D277" i="22"/>
  <c r="E275" i="22"/>
  <c r="F275" i="22"/>
  <c r="G275" i="22"/>
  <c r="H275" i="22"/>
  <c r="D275" i="22"/>
  <c r="E272" i="22"/>
  <c r="F272" i="22"/>
  <c r="G272" i="22"/>
  <c r="H272" i="22"/>
  <c r="D272" i="22"/>
  <c r="E263" i="22"/>
  <c r="F263" i="22"/>
  <c r="G263" i="22"/>
  <c r="H263" i="22"/>
  <c r="D263" i="22"/>
  <c r="E259" i="22"/>
  <c r="F259" i="22"/>
  <c r="G259" i="22"/>
  <c r="H259" i="22"/>
  <c r="D259" i="22"/>
  <c r="E257" i="22"/>
  <c r="F257" i="22"/>
  <c r="G257" i="22"/>
  <c r="H257" i="22"/>
  <c r="D257" i="22"/>
  <c r="E255" i="22"/>
  <c r="F255" i="22"/>
  <c r="G255" i="22"/>
  <c r="H255" i="22"/>
  <c r="D255" i="22"/>
  <c r="E253" i="22"/>
  <c r="F253" i="22"/>
  <c r="G253" i="22"/>
  <c r="H253" i="22"/>
  <c r="D253" i="22"/>
  <c r="E251" i="22"/>
  <c r="F251" i="22"/>
  <c r="G251" i="22"/>
  <c r="H251" i="22"/>
  <c r="D251" i="22"/>
  <c r="E249" i="22"/>
  <c r="F249" i="22"/>
  <c r="G249" i="22"/>
  <c r="H249" i="22"/>
  <c r="D249" i="22"/>
  <c r="E247" i="22"/>
  <c r="F247" i="22"/>
  <c r="G247" i="22"/>
  <c r="H247" i="22"/>
  <c r="D247" i="22"/>
  <c r="E245" i="22"/>
  <c r="F245" i="22"/>
  <c r="G245" i="22"/>
  <c r="H245" i="22"/>
  <c r="D245" i="22"/>
  <c r="E153" i="22"/>
  <c r="F153" i="22"/>
  <c r="G153" i="22"/>
  <c r="H153" i="22"/>
  <c r="D153" i="22"/>
  <c r="E243" i="22"/>
  <c r="F243" i="22"/>
  <c r="G243" i="22"/>
  <c r="H243" i="22"/>
  <c r="D243" i="22"/>
  <c r="E241" i="22"/>
  <c r="F241" i="22"/>
  <c r="G241" i="22"/>
  <c r="H241" i="22"/>
  <c r="D241" i="22"/>
  <c r="E239" i="22"/>
  <c r="F239" i="22"/>
  <c r="G239" i="22"/>
  <c r="H239" i="22"/>
  <c r="D239" i="22"/>
  <c r="E237" i="22"/>
  <c r="F237" i="22"/>
  <c r="G237" i="22"/>
  <c r="H237" i="22"/>
  <c r="D237" i="22"/>
  <c r="E235" i="22"/>
  <c r="F235" i="22"/>
  <c r="G235" i="22"/>
  <c r="H235" i="22"/>
  <c r="D235" i="22"/>
  <c r="E233" i="22"/>
  <c r="F233" i="22"/>
  <c r="G233" i="22"/>
  <c r="H233" i="22"/>
  <c r="D233" i="22"/>
  <c r="E231" i="22"/>
  <c r="F231" i="22"/>
  <c r="G231" i="22"/>
  <c r="H231" i="22"/>
  <c r="D231" i="22"/>
  <c r="E229" i="22"/>
  <c r="F229" i="22"/>
  <c r="G229" i="22"/>
  <c r="H229" i="22"/>
  <c r="D229" i="22"/>
  <c r="E227" i="22"/>
  <c r="F227" i="22"/>
  <c r="G227" i="22"/>
  <c r="H227" i="22"/>
  <c r="D227" i="22"/>
  <c r="E224" i="22"/>
  <c r="F224" i="22"/>
  <c r="G224" i="22"/>
  <c r="H224" i="22"/>
  <c r="D224" i="22"/>
  <c r="E222" i="22"/>
  <c r="F222" i="22"/>
  <c r="G222" i="22"/>
  <c r="H222" i="22"/>
  <c r="D222" i="22"/>
  <c r="E219" i="22"/>
  <c r="F219" i="22"/>
  <c r="G219" i="22"/>
  <c r="H219" i="22"/>
  <c r="D219" i="22"/>
  <c r="E212" i="22"/>
  <c r="E211" i="22" s="1"/>
  <c r="F212" i="22"/>
  <c r="F211" i="22" s="1"/>
  <c r="G212" i="22"/>
  <c r="G211" i="22" s="1"/>
  <c r="H212" i="22"/>
  <c r="H211" i="22" s="1"/>
  <c r="D212" i="22"/>
  <c r="D211" i="22" s="1"/>
  <c r="E197" i="22"/>
  <c r="F197" i="22"/>
  <c r="G197" i="22"/>
  <c r="H197" i="22"/>
  <c r="D197" i="22"/>
  <c r="E196" i="22"/>
  <c r="F196" i="22"/>
  <c r="G196" i="22"/>
  <c r="H196" i="22"/>
  <c r="D196" i="22"/>
  <c r="D195" i="22"/>
  <c r="E194" i="22"/>
  <c r="F194" i="22"/>
  <c r="G194" i="22"/>
  <c r="H194" i="22"/>
  <c r="D194" i="22"/>
  <c r="E193" i="22"/>
  <c r="F193" i="22"/>
  <c r="G193" i="22"/>
  <c r="H193" i="22"/>
  <c r="D193" i="22"/>
  <c r="E192" i="22"/>
  <c r="F192" i="22"/>
  <c r="G192" i="22"/>
  <c r="H192" i="22"/>
  <c r="D192" i="22"/>
  <c r="E191" i="22"/>
  <c r="F191" i="22"/>
  <c r="G191" i="22"/>
  <c r="H191" i="22"/>
  <c r="D191" i="22"/>
  <c r="E190" i="22"/>
  <c r="F190" i="22"/>
  <c r="G190" i="22"/>
  <c r="H190" i="22"/>
  <c r="D190" i="22"/>
  <c r="E189" i="22"/>
  <c r="F189" i="22"/>
  <c r="G189" i="22"/>
  <c r="H189" i="22"/>
  <c r="D189" i="22"/>
  <c r="E188" i="22"/>
  <c r="F188" i="22"/>
  <c r="G188" i="22"/>
  <c r="H188" i="22"/>
  <c r="D188" i="22"/>
  <c r="E202" i="22"/>
  <c r="F202" i="22"/>
  <c r="G202" i="22"/>
  <c r="H202" i="22"/>
  <c r="D202" i="22"/>
  <c r="E201" i="22"/>
  <c r="F201" i="22"/>
  <c r="G201" i="22"/>
  <c r="H201" i="22"/>
  <c r="D201" i="22"/>
  <c r="E199" i="22"/>
  <c r="F199" i="22"/>
  <c r="G199" i="22"/>
  <c r="H199" i="22"/>
  <c r="D199" i="22"/>
  <c r="E185" i="22"/>
  <c r="F185" i="22"/>
  <c r="G185" i="22"/>
  <c r="H185" i="22"/>
  <c r="D185" i="22"/>
  <c r="E182" i="22"/>
  <c r="F182" i="22"/>
  <c r="G182" i="22"/>
  <c r="H182" i="22"/>
  <c r="D182" i="22"/>
  <c r="E180" i="22"/>
  <c r="F180" i="22"/>
  <c r="G180" i="22"/>
  <c r="H180" i="22"/>
  <c r="D180" i="22"/>
  <c r="E179" i="22"/>
  <c r="F179" i="22"/>
  <c r="G179" i="22"/>
  <c r="H179" i="22"/>
  <c r="D179" i="22"/>
  <c r="E178" i="22"/>
  <c r="F178" i="22"/>
  <c r="G178" i="22"/>
  <c r="H178" i="22"/>
  <c r="D178" i="22"/>
  <c r="E177" i="22"/>
  <c r="F177" i="22"/>
  <c r="G177" i="22"/>
  <c r="H177" i="22"/>
  <c r="D177" i="22"/>
  <c r="E167" i="22"/>
  <c r="F167" i="22"/>
  <c r="G167" i="22"/>
  <c r="H167" i="22"/>
  <c r="D167" i="22"/>
  <c r="E166" i="22"/>
  <c r="F166" i="22"/>
  <c r="G166" i="22"/>
  <c r="H166" i="22"/>
  <c r="D166" i="22"/>
  <c r="E165" i="22"/>
  <c r="F165" i="22"/>
  <c r="G165" i="22"/>
  <c r="H165" i="22"/>
  <c r="D165" i="22"/>
  <c r="E164" i="22"/>
  <c r="F164" i="22"/>
  <c r="G164" i="22"/>
  <c r="H164" i="22"/>
  <c r="D164" i="22"/>
  <c r="E163" i="22"/>
  <c r="F163" i="22"/>
  <c r="G163" i="22"/>
  <c r="H163" i="22"/>
  <c r="D163" i="22"/>
  <c r="E162" i="22"/>
  <c r="F162" i="22"/>
  <c r="G162" i="22"/>
  <c r="H162" i="22"/>
  <c r="D162" i="22"/>
  <c r="E161" i="22"/>
  <c r="F161" i="22"/>
  <c r="G161" i="22"/>
  <c r="H161" i="22"/>
  <c r="D161" i="22"/>
  <c r="E160" i="22"/>
  <c r="F160" i="22"/>
  <c r="G160" i="22"/>
  <c r="H160" i="22"/>
  <c r="D160" i="22"/>
  <c r="E159" i="22"/>
  <c r="F159" i="22"/>
  <c r="G159" i="22"/>
  <c r="H159" i="22"/>
  <c r="D159" i="22"/>
  <c r="E158" i="22"/>
  <c r="F158" i="22"/>
  <c r="G158" i="22"/>
  <c r="H158" i="22"/>
  <c r="D158" i="22"/>
  <c r="E156" i="22"/>
  <c r="F156" i="22"/>
  <c r="G156" i="22"/>
  <c r="H156" i="22"/>
  <c r="D156" i="22"/>
  <c r="E154" i="22"/>
  <c r="F154" i="22"/>
  <c r="G154" i="22"/>
  <c r="H154" i="22"/>
  <c r="D154" i="22"/>
  <c r="E152" i="22"/>
  <c r="F152" i="22"/>
  <c r="G152" i="22"/>
  <c r="H152" i="22"/>
  <c r="D152" i="22"/>
  <c r="E149" i="22"/>
  <c r="F149" i="22"/>
  <c r="G149" i="22"/>
  <c r="H149" i="22"/>
  <c r="D149" i="22"/>
  <c r="E148" i="22"/>
  <c r="F148" i="22"/>
  <c r="G148" i="22"/>
  <c r="H148" i="22"/>
  <c r="D148" i="22"/>
  <c r="E147" i="22"/>
  <c r="F147" i="22"/>
  <c r="G147" i="22"/>
  <c r="H147" i="22"/>
  <c r="D147" i="22"/>
  <c r="E146" i="22"/>
  <c r="F146" i="22"/>
  <c r="G146" i="22"/>
  <c r="H146" i="22"/>
  <c r="D146" i="22"/>
  <c r="E145" i="22"/>
  <c r="F145" i="22"/>
  <c r="G145" i="22"/>
  <c r="H145" i="22"/>
  <c r="D145" i="22"/>
  <c r="E144" i="22"/>
  <c r="F144" i="22"/>
  <c r="G144" i="22"/>
  <c r="H144" i="22"/>
  <c r="D144" i="22"/>
  <c r="E143" i="22"/>
  <c r="F143" i="22"/>
  <c r="G143" i="22"/>
  <c r="H143" i="22"/>
  <c r="D143" i="22"/>
  <c r="E142" i="22"/>
  <c r="F142" i="22"/>
  <c r="G142" i="22"/>
  <c r="H142" i="22"/>
  <c r="D142" i="22"/>
  <c r="E141" i="22"/>
  <c r="F141" i="22"/>
  <c r="G141" i="22"/>
  <c r="H141" i="22"/>
  <c r="D141" i="22"/>
  <c r="E140" i="22"/>
  <c r="F140" i="22"/>
  <c r="G140" i="22"/>
  <c r="H140" i="22"/>
  <c r="D140" i="22"/>
  <c r="E139" i="22"/>
  <c r="F139" i="22"/>
  <c r="G139" i="22"/>
  <c r="H139" i="22"/>
  <c r="D139" i="22"/>
  <c r="E138" i="22"/>
  <c r="F138" i="22"/>
  <c r="G138" i="22"/>
  <c r="H138" i="22"/>
  <c r="D138" i="22"/>
  <c r="E137" i="22"/>
  <c r="F137" i="22"/>
  <c r="G137" i="22"/>
  <c r="H137" i="22"/>
  <c r="D137" i="22"/>
  <c r="E135" i="22"/>
  <c r="F135" i="22"/>
  <c r="G135" i="22"/>
  <c r="H135" i="22"/>
  <c r="D135" i="22"/>
  <c r="E134" i="22"/>
  <c r="F134" i="22"/>
  <c r="G134" i="22"/>
  <c r="H134" i="22"/>
  <c r="D134" i="22"/>
  <c r="E133" i="22"/>
  <c r="F133" i="22"/>
  <c r="G133" i="22"/>
  <c r="H133" i="22"/>
  <c r="D133" i="22"/>
  <c r="E132" i="22"/>
  <c r="F132" i="22"/>
  <c r="G132" i="22"/>
  <c r="H132" i="22"/>
  <c r="D132" i="22"/>
  <c r="E131" i="22"/>
  <c r="F131" i="22"/>
  <c r="G131" i="22"/>
  <c r="H131" i="22"/>
  <c r="D131" i="22"/>
  <c r="E130" i="22"/>
  <c r="F130" i="22"/>
  <c r="G130" i="22"/>
  <c r="H130" i="22"/>
  <c r="D130" i="22"/>
  <c r="E68" i="22"/>
  <c r="F68" i="22"/>
  <c r="G68" i="22"/>
  <c r="H68" i="22"/>
  <c r="D68" i="22"/>
  <c r="E67" i="22"/>
  <c r="F67" i="22"/>
  <c r="G67" i="22"/>
  <c r="H67" i="22"/>
  <c r="D67" i="22"/>
  <c r="E66" i="22"/>
  <c r="F66" i="22"/>
  <c r="G66" i="22"/>
  <c r="H66" i="22"/>
  <c r="D66" i="22"/>
  <c r="E52" i="22"/>
  <c r="F52" i="22"/>
  <c r="G52" i="22"/>
  <c r="H52" i="22"/>
  <c r="D52" i="22"/>
  <c r="E51" i="22"/>
  <c r="F51" i="22"/>
  <c r="G51" i="22"/>
  <c r="H51" i="22"/>
  <c r="D51" i="22"/>
  <c r="E50" i="22"/>
  <c r="F50" i="22"/>
  <c r="G50" i="22"/>
  <c r="H50" i="22"/>
  <c r="D50" i="22"/>
  <c r="E49" i="22"/>
  <c r="F49" i="22"/>
  <c r="G49" i="22"/>
  <c r="H49" i="22"/>
  <c r="D49" i="22"/>
  <c r="E48" i="22"/>
  <c r="F48" i="22"/>
  <c r="G48" i="22"/>
  <c r="H48" i="22"/>
  <c r="D48" i="22"/>
  <c r="E47" i="22"/>
  <c r="F47" i="22"/>
  <c r="G47" i="22"/>
  <c r="H47" i="22"/>
  <c r="D47" i="22"/>
  <c r="E46" i="22"/>
  <c r="F46" i="22"/>
  <c r="G46" i="22"/>
  <c r="H46" i="22"/>
  <c r="D46" i="22"/>
  <c r="E45" i="22"/>
  <c r="F45" i="22"/>
  <c r="G45" i="22"/>
  <c r="H45" i="22"/>
  <c r="D45" i="22"/>
  <c r="E44" i="22"/>
  <c r="F44" i="22"/>
  <c r="G44" i="22"/>
  <c r="H44" i="22"/>
  <c r="D44" i="22"/>
  <c r="E43" i="22"/>
  <c r="F43" i="22"/>
  <c r="G43" i="22"/>
  <c r="H43" i="22"/>
  <c r="D43" i="22"/>
  <c r="E42" i="22"/>
  <c r="F42" i="22"/>
  <c r="G42" i="22"/>
  <c r="H42" i="22"/>
  <c r="D42" i="22"/>
  <c r="E41" i="22"/>
  <c r="F41" i="22"/>
  <c r="G41" i="22"/>
  <c r="H41" i="22"/>
  <c r="D41" i="22"/>
  <c r="E39" i="22"/>
  <c r="F39" i="22"/>
  <c r="G39" i="22"/>
  <c r="H39" i="22"/>
  <c r="D39" i="22"/>
  <c r="E38" i="22"/>
  <c r="F38" i="22"/>
  <c r="G38" i="22"/>
  <c r="H38" i="22"/>
  <c r="D38" i="22"/>
  <c r="E37" i="22"/>
  <c r="F37" i="22"/>
  <c r="G37" i="22"/>
  <c r="H37" i="22"/>
  <c r="D37" i="22"/>
  <c r="E17" i="22"/>
  <c r="F17" i="22"/>
  <c r="G17" i="22"/>
  <c r="H17" i="22"/>
  <c r="D17" i="22"/>
  <c r="E16" i="22"/>
  <c r="F16" i="22"/>
  <c r="G16" i="22"/>
  <c r="H16" i="22"/>
  <c r="D16" i="22"/>
  <c r="E15" i="22"/>
  <c r="F15" i="22"/>
  <c r="G15" i="22"/>
  <c r="H15" i="22"/>
  <c r="D15" i="22"/>
  <c r="D14" i="22"/>
  <c r="E14" i="22"/>
  <c r="F14" i="22"/>
  <c r="G14" i="22"/>
  <c r="H14" i="22"/>
  <c r="E13" i="22"/>
  <c r="F13" i="22"/>
  <c r="G13" i="22"/>
  <c r="H13" i="22"/>
  <c r="D13" i="22"/>
  <c r="E10" i="22"/>
  <c r="F10" i="22"/>
  <c r="G10" i="22"/>
  <c r="H10" i="22"/>
  <c r="D10" i="22"/>
  <c r="E79" i="22"/>
  <c r="E78" i="22" s="1"/>
  <c r="F79" i="22"/>
  <c r="F78" i="22" s="1"/>
  <c r="G79" i="22"/>
  <c r="G78" i="22" s="1"/>
  <c r="H79" i="22"/>
  <c r="H78" i="22" s="1"/>
  <c r="D79" i="22"/>
  <c r="D78" i="22" s="1"/>
  <c r="E76" i="22"/>
  <c r="E75" i="22" s="1"/>
  <c r="F76" i="22"/>
  <c r="F75" i="22" s="1"/>
  <c r="G76" i="22"/>
  <c r="G75" i="22" s="1"/>
  <c r="H76" i="22"/>
  <c r="H75" i="22" s="1"/>
  <c r="D76" i="22"/>
  <c r="D75" i="22" s="1"/>
  <c r="E74" i="22"/>
  <c r="F74" i="22"/>
  <c r="G74" i="22"/>
  <c r="H74" i="22"/>
  <c r="D74" i="22"/>
  <c r="E73" i="22"/>
  <c r="F73" i="22"/>
  <c r="G73" i="22"/>
  <c r="H73" i="22"/>
  <c r="D73" i="22"/>
  <c r="E72" i="22"/>
  <c r="F72" i="22"/>
  <c r="G72" i="22"/>
  <c r="H72" i="22"/>
  <c r="D72" i="22"/>
  <c r="E71" i="22"/>
  <c r="F71" i="22"/>
  <c r="G71" i="22"/>
  <c r="H71" i="22"/>
  <c r="D71" i="22"/>
  <c r="E70" i="22"/>
  <c r="F70" i="22"/>
  <c r="G70" i="22"/>
  <c r="H70" i="22"/>
  <c r="D70" i="22"/>
  <c r="E69" i="22"/>
  <c r="F69" i="22"/>
  <c r="G69" i="22"/>
  <c r="H69" i="22"/>
  <c r="D69" i="22"/>
  <c r="E64" i="22"/>
  <c r="F64" i="22"/>
  <c r="G64" i="22"/>
  <c r="H64" i="22"/>
  <c r="E63" i="22"/>
  <c r="F63" i="22"/>
  <c r="G63" i="22"/>
  <c r="H63" i="22"/>
  <c r="D63" i="22"/>
  <c r="D62" i="22"/>
  <c r="E62" i="22"/>
  <c r="F62" i="22"/>
  <c r="G62" i="22"/>
  <c r="H62" i="22"/>
  <c r="E61" i="22"/>
  <c r="F61" i="22"/>
  <c r="G61" i="22"/>
  <c r="H61" i="22"/>
  <c r="D61" i="22"/>
  <c r="E60" i="22"/>
  <c r="F60" i="22"/>
  <c r="G60" i="22"/>
  <c r="H60" i="22"/>
  <c r="D60" i="22"/>
  <c r="E59" i="22"/>
  <c r="F59" i="22"/>
  <c r="G59" i="22"/>
  <c r="H59" i="22"/>
  <c r="D59" i="22"/>
  <c r="E58" i="22"/>
  <c r="F58" i="22"/>
  <c r="G58" i="22"/>
  <c r="H58" i="22"/>
  <c r="D58" i="22"/>
  <c r="E57" i="22"/>
  <c r="F57" i="22"/>
  <c r="G57" i="22"/>
  <c r="H57" i="22"/>
  <c r="D57" i="22"/>
  <c r="E56" i="22"/>
  <c r="F56" i="22"/>
  <c r="G56" i="22"/>
  <c r="H56" i="22"/>
  <c r="D56" i="22"/>
  <c r="E55" i="22"/>
  <c r="F55" i="22"/>
  <c r="G55" i="22"/>
  <c r="H55" i="22"/>
  <c r="D55" i="22"/>
  <c r="E54" i="22"/>
  <c r="F54" i="22"/>
  <c r="G54" i="22"/>
  <c r="H54" i="22"/>
  <c r="D54" i="22"/>
  <c r="E53" i="22"/>
  <c r="F53" i="22"/>
  <c r="G53" i="22"/>
  <c r="H53" i="22"/>
  <c r="D53" i="22"/>
  <c r="E36" i="22"/>
  <c r="F36" i="22"/>
  <c r="G36" i="22"/>
  <c r="H36" i="22"/>
  <c r="D36" i="22"/>
  <c r="E35" i="22"/>
  <c r="F35" i="22"/>
  <c r="G35" i="22"/>
  <c r="H35" i="22"/>
  <c r="D35" i="22"/>
  <c r="E34" i="22"/>
  <c r="F34" i="22"/>
  <c r="G34" i="22"/>
  <c r="H34" i="22"/>
  <c r="D34" i="22"/>
  <c r="E33" i="22"/>
  <c r="F33" i="22"/>
  <c r="G33" i="22"/>
  <c r="H33" i="22"/>
  <c r="D33" i="22"/>
  <c r="E32" i="22"/>
  <c r="F32" i="22"/>
  <c r="G32" i="22"/>
  <c r="H32" i="22"/>
  <c r="D32" i="22"/>
  <c r="E31" i="22"/>
  <c r="F31" i="22"/>
  <c r="G31" i="22"/>
  <c r="H31" i="22"/>
  <c r="D31" i="22"/>
  <c r="E30" i="22"/>
  <c r="F30" i="22"/>
  <c r="G30" i="22"/>
  <c r="H30" i="22"/>
  <c r="D30" i="22"/>
  <c r="E29" i="22"/>
  <c r="F29" i="22"/>
  <c r="G29" i="22"/>
  <c r="H29" i="22"/>
  <c r="D29" i="22"/>
  <c r="E28" i="22"/>
  <c r="F28" i="22"/>
  <c r="G28" i="22"/>
  <c r="H28" i="22"/>
  <c r="D28" i="22"/>
  <c r="E27" i="22"/>
  <c r="F27" i="22"/>
  <c r="G27" i="22"/>
  <c r="H27" i="22"/>
  <c r="D27" i="22"/>
  <c r="E26" i="22"/>
  <c r="F26" i="22"/>
  <c r="G26" i="22"/>
  <c r="H26" i="22"/>
  <c r="D26" i="22"/>
  <c r="E25" i="22"/>
  <c r="F25" i="22"/>
  <c r="G25" i="22"/>
  <c r="H25" i="22"/>
  <c r="D25" i="22"/>
  <c r="E24" i="22"/>
  <c r="F24" i="22"/>
  <c r="G24" i="22"/>
  <c r="H24" i="22"/>
  <c r="D24" i="22"/>
  <c r="E23" i="22"/>
  <c r="F23" i="22"/>
  <c r="G23" i="22"/>
  <c r="H23" i="22"/>
  <c r="D23" i="22"/>
  <c r="E22" i="22"/>
  <c r="F22" i="22"/>
  <c r="G22" i="22"/>
  <c r="H22" i="22"/>
  <c r="D22" i="22"/>
  <c r="E21" i="22"/>
  <c r="F21" i="22"/>
  <c r="G21" i="22"/>
  <c r="H21" i="22"/>
  <c r="D21" i="22"/>
  <c r="E20" i="22"/>
  <c r="F20" i="22"/>
  <c r="G20" i="22"/>
  <c r="H20" i="22"/>
  <c r="D20" i="22"/>
  <c r="E19" i="22"/>
  <c r="F19" i="22"/>
  <c r="G19" i="22"/>
  <c r="H19" i="22"/>
  <c r="D19" i="22"/>
  <c r="E18" i="22"/>
  <c r="F18" i="22"/>
  <c r="G18" i="22"/>
  <c r="H18" i="22"/>
  <c r="D18" i="22"/>
  <c r="E11" i="22"/>
  <c r="F11" i="22"/>
  <c r="G11" i="22"/>
  <c r="H11" i="22"/>
  <c r="D11" i="22"/>
  <c r="I19" i="33" l="1"/>
  <c r="I16" i="35"/>
  <c r="D6" i="35"/>
  <c r="I8" i="35"/>
  <c r="G6" i="35"/>
  <c r="G6" i="32"/>
  <c r="I7" i="32"/>
  <c r="I7" i="33"/>
  <c r="D6" i="33"/>
  <c r="D5" i="33" s="1"/>
  <c r="D26" i="33" s="1"/>
  <c r="E9" i="36" s="1"/>
  <c r="I9" i="34"/>
  <c r="G6" i="34"/>
  <c r="E5" i="32"/>
  <c r="E11" i="32" s="1"/>
  <c r="F8" i="36" s="1"/>
  <c r="G6" i="33"/>
  <c r="I16" i="33"/>
  <c r="I21" i="33"/>
  <c r="I22" i="33"/>
  <c r="E6" i="34"/>
  <c r="E5" i="34" s="1"/>
  <c r="E15" i="34" s="1"/>
  <c r="F10" i="36" s="1"/>
  <c r="I10" i="35"/>
  <c r="D14" i="35"/>
  <c r="E6" i="33"/>
  <c r="E5" i="33" s="1"/>
  <c r="E26" i="33" s="1"/>
  <c r="F9" i="36" s="1"/>
  <c r="I20" i="33"/>
  <c r="I10" i="34"/>
  <c r="D6" i="34"/>
  <c r="D5" i="34" s="1"/>
  <c r="D15" i="34" s="1"/>
  <c r="E10" i="36" s="1"/>
  <c r="G14" i="35"/>
  <c r="I15" i="35"/>
  <c r="D7" i="37"/>
  <c r="E12" i="36" s="1"/>
  <c r="F5" i="37"/>
  <c r="F7" i="37" s="1"/>
  <c r="G12" i="36" s="1"/>
  <c r="I9" i="32"/>
  <c r="G8" i="32"/>
  <c r="I8" i="32" s="1"/>
  <c r="E5" i="35"/>
  <c r="E17" i="35" s="1"/>
  <c r="F11" i="36" s="1"/>
  <c r="G5" i="37"/>
  <c r="H5" i="37" s="1"/>
  <c r="H7" i="37" s="1"/>
  <c r="I12" i="36" s="1"/>
  <c r="L12" i="36" s="1"/>
  <c r="I6" i="37"/>
  <c r="I11" i="33"/>
  <c r="H873" i="22"/>
  <c r="D873" i="22"/>
  <c r="E873" i="22"/>
  <c r="H617" i="22"/>
  <c r="G617" i="22"/>
  <c r="F617" i="22"/>
  <c r="D40" i="22"/>
  <c r="D617" i="22"/>
  <c r="E617" i="22"/>
  <c r="G873" i="22"/>
  <c r="D218" i="22"/>
  <c r="H218" i="22"/>
  <c r="G218" i="22"/>
  <c r="F218" i="22"/>
  <c r="E218" i="22"/>
  <c r="I168" i="22"/>
  <c r="D136" i="22"/>
  <c r="D176" i="22"/>
  <c r="I81" i="23"/>
  <c r="E49" i="29"/>
  <c r="G49" i="29"/>
  <c r="F49" i="29"/>
  <c r="D271" i="22"/>
  <c r="D18" i="23"/>
  <c r="D49" i="29"/>
  <c r="H49" i="29"/>
  <c r="H18" i="23"/>
  <c r="D744" i="22"/>
  <c r="G18" i="23"/>
  <c r="H744" i="22"/>
  <c r="F18" i="23"/>
  <c r="G744" i="22"/>
  <c r="E18" i="23"/>
  <c r="F744" i="22"/>
  <c r="E744" i="22"/>
  <c r="E271" i="22"/>
  <c r="H271" i="22"/>
  <c r="G271" i="22"/>
  <c r="F271" i="22"/>
  <c r="I20" i="26"/>
  <c r="D364" i="23"/>
  <c r="I12" i="29"/>
  <c r="E364" i="23"/>
  <c r="E9" i="22"/>
  <c r="G364" i="23"/>
  <c r="D65" i="22"/>
  <c r="H40" i="22"/>
  <c r="F40" i="22"/>
  <c r="G40" i="22"/>
  <c r="E40" i="22"/>
  <c r="D12" i="22"/>
  <c r="E65" i="22"/>
  <c r="F65" i="22"/>
  <c r="H12" i="22"/>
  <c r="G12" i="22"/>
  <c r="D9" i="22"/>
  <c r="F12" i="22"/>
  <c r="H9" i="22"/>
  <c r="E12" i="22"/>
  <c r="G9" i="22"/>
  <c r="H65" i="22"/>
  <c r="F9" i="22"/>
  <c r="G65" i="22"/>
  <c r="I20" i="29"/>
  <c r="I28" i="29"/>
  <c r="I45" i="29"/>
  <c r="I16" i="29"/>
  <c r="I24" i="29"/>
  <c r="I32" i="29"/>
  <c r="F6" i="28"/>
  <c r="F13" i="28" s="1"/>
  <c r="G12" i="31" s="1"/>
  <c r="I14" i="29"/>
  <c r="I22" i="29"/>
  <c r="I30" i="29"/>
  <c r="D7" i="26"/>
  <c r="H7" i="26"/>
  <c r="I17" i="29"/>
  <c r="D6" i="28"/>
  <c r="I21" i="29"/>
  <c r="I29" i="29"/>
  <c r="I38" i="29"/>
  <c r="I46" i="29"/>
  <c r="E6" i="28"/>
  <c r="E13" i="28" s="1"/>
  <c r="F12" i="31" s="1"/>
  <c r="I14" i="30"/>
  <c r="I13" i="30"/>
  <c r="I12" i="30"/>
  <c r="I17" i="30"/>
  <c r="I33" i="29"/>
  <c r="I16" i="26"/>
  <c r="I9" i="30"/>
  <c r="I13" i="29"/>
  <c r="I25" i="29"/>
  <c r="I51" i="29"/>
  <c r="I10" i="30"/>
  <c r="I10" i="26"/>
  <c r="I9" i="26"/>
  <c r="I19" i="26"/>
  <c r="D7" i="27"/>
  <c r="D6" i="27" s="1"/>
  <c r="D11" i="27" s="1"/>
  <c r="E11" i="31" s="1"/>
  <c r="H6" i="28"/>
  <c r="H13" i="28" s="1"/>
  <c r="I12" i="31" s="1"/>
  <c r="I11" i="29"/>
  <c r="I19" i="29"/>
  <c r="I27" i="29"/>
  <c r="I35" i="29"/>
  <c r="F36" i="29"/>
  <c r="I42" i="29"/>
  <c r="I41" i="29"/>
  <c r="I44" i="29"/>
  <c r="I8" i="30"/>
  <c r="G6" i="30"/>
  <c r="G18" i="30" s="1"/>
  <c r="H14" i="31" s="1"/>
  <c r="I16" i="30"/>
  <c r="G7" i="28"/>
  <c r="I8" i="28"/>
  <c r="D10" i="29"/>
  <c r="D9" i="29" s="1"/>
  <c r="D234" i="23"/>
  <c r="I50" i="29"/>
  <c r="F6" i="30"/>
  <c r="F18" i="30" s="1"/>
  <c r="G14" i="31" s="1"/>
  <c r="G11" i="26"/>
  <c r="I11" i="26" s="1"/>
  <c r="I12" i="26"/>
  <c r="E13" i="26"/>
  <c r="I8" i="27"/>
  <c r="G7" i="27"/>
  <c r="H10" i="29"/>
  <c r="H9" i="29" s="1"/>
  <c r="H234" i="23"/>
  <c r="E36" i="29"/>
  <c r="E6" i="30"/>
  <c r="E18" i="30" s="1"/>
  <c r="F14" i="31" s="1"/>
  <c r="G7" i="26"/>
  <c r="I8" i="26"/>
  <c r="H13" i="26"/>
  <c r="I18" i="26"/>
  <c r="F7" i="27"/>
  <c r="F6" i="27" s="1"/>
  <c r="F11" i="27" s="1"/>
  <c r="G11" i="31" s="1"/>
  <c r="H7" i="27"/>
  <c r="H6" i="27" s="1"/>
  <c r="H11" i="27" s="1"/>
  <c r="I11" i="31" s="1"/>
  <c r="G234" i="23"/>
  <c r="G10" i="29"/>
  <c r="G9" i="29" s="1"/>
  <c r="I18" i="29"/>
  <c r="I26" i="29"/>
  <c r="I34" i="29"/>
  <c r="D36" i="29"/>
  <c r="I43" i="29"/>
  <c r="G53" i="29"/>
  <c r="I53" i="29" s="1"/>
  <c r="I54" i="29"/>
  <c r="I15" i="30"/>
  <c r="F7" i="26"/>
  <c r="I15" i="26"/>
  <c r="E7" i="27"/>
  <c r="E6" i="27" s="1"/>
  <c r="E11" i="27" s="1"/>
  <c r="F11" i="31" s="1"/>
  <c r="I10" i="27"/>
  <c r="F10" i="29"/>
  <c r="F9" i="29" s="1"/>
  <c r="F234" i="23"/>
  <c r="I15" i="29"/>
  <c r="I23" i="29"/>
  <c r="I31" i="29"/>
  <c r="I40" i="29"/>
  <c r="H36" i="29"/>
  <c r="I48" i="29"/>
  <c r="E10" i="29"/>
  <c r="E9" i="29" s="1"/>
  <c r="E234" i="23"/>
  <c r="G36" i="29"/>
  <c r="I37" i="29"/>
  <c r="G13" i="26"/>
  <c r="I17" i="26"/>
  <c r="G9" i="28"/>
  <c r="I9" i="28" s="1"/>
  <c r="I12" i="28"/>
  <c r="I47" i="29"/>
  <c r="D6" i="30"/>
  <c r="E7" i="26"/>
  <c r="I14" i="26"/>
  <c r="D13" i="26"/>
  <c r="F13" i="26"/>
  <c r="I9" i="27"/>
  <c r="I39" i="29"/>
  <c r="H6" i="30"/>
  <c r="H18" i="30" s="1"/>
  <c r="I14" i="31" s="1"/>
  <c r="I11" i="30"/>
  <c r="D322" i="23"/>
  <c r="G322" i="23"/>
  <c r="E322" i="23"/>
  <c r="D372" i="23"/>
  <c r="D352" i="23"/>
  <c r="D351" i="23" s="1"/>
  <c r="D299" i="22"/>
  <c r="I255" i="22"/>
  <c r="I752" i="22"/>
  <c r="D308" i="22"/>
  <c r="D886" i="22"/>
  <c r="I265" i="22"/>
  <c r="I13" i="23"/>
  <c r="D13" i="28" l="1"/>
  <c r="E12" i="31" s="1"/>
  <c r="I6" i="32"/>
  <c r="G5" i="32"/>
  <c r="G5" i="33"/>
  <c r="G26" i="33" s="1"/>
  <c r="H9" i="36" s="1"/>
  <c r="J9" i="36" s="1"/>
  <c r="I6" i="33"/>
  <c r="I6" i="35"/>
  <c r="K12" i="36"/>
  <c r="F13" i="36"/>
  <c r="D5" i="35"/>
  <c r="D17" i="35" s="1"/>
  <c r="E11" i="36" s="1"/>
  <c r="E13" i="36" s="1"/>
  <c r="G5" i="34"/>
  <c r="I6" i="34"/>
  <c r="I5" i="37"/>
  <c r="G7" i="37"/>
  <c r="G5" i="35"/>
  <c r="I14" i="35"/>
  <c r="D6" i="26"/>
  <c r="D21" i="26" s="1"/>
  <c r="E10" i="31" s="1"/>
  <c r="E8" i="22"/>
  <c r="H8" i="22"/>
  <c r="D8" i="22"/>
  <c r="G8" i="22"/>
  <c r="F8" i="22"/>
  <c r="H6" i="26"/>
  <c r="H21" i="26" s="1"/>
  <c r="I10" i="31" s="1"/>
  <c r="E6" i="26"/>
  <c r="E21" i="26" s="1"/>
  <c r="F10" i="31" s="1"/>
  <c r="L11" i="31"/>
  <c r="I13" i="26"/>
  <c r="F6" i="26"/>
  <c r="F21" i="26" s="1"/>
  <c r="G10" i="31" s="1"/>
  <c r="D6" i="29"/>
  <c r="D56" i="29" s="1"/>
  <c r="E13" i="31" s="1"/>
  <c r="F6" i="29"/>
  <c r="F56" i="29" s="1"/>
  <c r="G13" i="31" s="1"/>
  <c r="K11" i="31"/>
  <c r="G6" i="27"/>
  <c r="I7" i="27"/>
  <c r="G6" i="26"/>
  <c r="I7" i="26"/>
  <c r="E6" i="29"/>
  <c r="E56" i="29" s="1"/>
  <c r="F13" i="31" s="1"/>
  <c r="I10" i="29"/>
  <c r="I9" i="29"/>
  <c r="H6" i="29"/>
  <c r="H56" i="29" s="1"/>
  <c r="I13" i="31" s="1"/>
  <c r="I36" i="29"/>
  <c r="I7" i="28"/>
  <c r="G6" i="28"/>
  <c r="I49" i="29"/>
  <c r="D363" i="23"/>
  <c r="I891" i="22"/>
  <c r="A891" i="22"/>
  <c r="I267" i="23"/>
  <c r="I266" i="23"/>
  <c r="I269" i="23"/>
  <c r="I263" i="23"/>
  <c r="I265" i="23"/>
  <c r="I264" i="23"/>
  <c r="K12" i="31" l="1"/>
  <c r="L12" i="31"/>
  <c r="L10" i="31"/>
  <c r="G17" i="35"/>
  <c r="I5" i="35"/>
  <c r="I7" i="37"/>
  <c r="H12" i="36"/>
  <c r="J12" i="36" s="1"/>
  <c r="G11" i="32"/>
  <c r="I5" i="32"/>
  <c r="G15" i="34"/>
  <c r="I5" i="34"/>
  <c r="K10" i="31"/>
  <c r="L13" i="31"/>
  <c r="K13" i="31"/>
  <c r="I6" i="28"/>
  <c r="G13" i="28"/>
  <c r="G21" i="26"/>
  <c r="I6" i="26"/>
  <c r="I6" i="27"/>
  <c r="G11" i="27"/>
  <c r="G6" i="29"/>
  <c r="I268" i="23"/>
  <c r="I270" i="23"/>
  <c r="I59" i="22"/>
  <c r="I263" i="22"/>
  <c r="H11" i="36" l="1"/>
  <c r="J11" i="36" s="1"/>
  <c r="I17" i="35"/>
  <c r="H10" i="36"/>
  <c r="J10" i="36" s="1"/>
  <c r="I15" i="34"/>
  <c r="H8" i="36"/>
  <c r="I11" i="32"/>
  <c r="I11" i="27"/>
  <c r="H11" i="31"/>
  <c r="J11" i="31" s="1"/>
  <c r="I13" i="28"/>
  <c r="H12" i="31"/>
  <c r="J12" i="31" s="1"/>
  <c r="I21" i="26"/>
  <c r="H10" i="31"/>
  <c r="J10" i="31" s="1"/>
  <c r="G56" i="29"/>
  <c r="I6" i="29"/>
  <c r="E262" i="23"/>
  <c r="F262" i="23"/>
  <c r="G262" i="23"/>
  <c r="H262" i="23"/>
  <c r="D262" i="23"/>
  <c r="E886" i="22"/>
  <c r="F886" i="22"/>
  <c r="G886" i="22"/>
  <c r="H886" i="22"/>
  <c r="I603" i="22"/>
  <c r="J8" i="36" l="1"/>
  <c r="H13" i="36"/>
  <c r="J13" i="36" s="1"/>
  <c r="I56" i="29"/>
  <c r="H13" i="31"/>
  <c r="J13" i="31" s="1"/>
  <c r="I320" i="23"/>
  <c r="G372" i="23"/>
  <c r="E372" i="23"/>
  <c r="I319" i="23"/>
  <c r="D318" i="23"/>
  <c r="G318" i="23"/>
  <c r="E318" i="23"/>
  <c r="I184" i="22"/>
  <c r="I373" i="23" l="1"/>
  <c r="A903" i="22" l="1"/>
  <c r="A900" i="22"/>
  <c r="A897" i="22"/>
  <c r="A894" i="22"/>
  <c r="A889" i="22"/>
  <c r="A887" i="22"/>
  <c r="A877" i="22"/>
  <c r="A880" i="22"/>
  <c r="A883" i="22"/>
  <c r="A874" i="22"/>
  <c r="A867" i="22"/>
  <c r="A864" i="22"/>
  <c r="A855" i="22"/>
  <c r="A858" i="22"/>
  <c r="A861" i="22"/>
  <c r="A852" i="22"/>
  <c r="A849" i="22"/>
  <c r="A846" i="22"/>
  <c r="A843" i="22"/>
  <c r="A836" i="22"/>
  <c r="A821" i="22"/>
  <c r="A824" i="22"/>
  <c r="A827" i="22"/>
  <c r="A830" i="22"/>
  <c r="A833" i="22"/>
  <c r="A809" i="22"/>
  <c r="A812" i="22"/>
  <c r="A815" i="22"/>
  <c r="A818" i="22"/>
  <c r="A806" i="22"/>
  <c r="A803" i="22"/>
  <c r="A800" i="22"/>
  <c r="A793" i="22"/>
  <c r="A790" i="22"/>
  <c r="A779" i="22"/>
  <c r="A787" i="22"/>
  <c r="A781" i="22"/>
  <c r="A776" i="22"/>
  <c r="A773" i="22"/>
  <c r="A770" i="22"/>
  <c r="A752" i="22"/>
  <c r="I36" i="22" l="1"/>
  <c r="I259" i="22"/>
  <c r="I257" i="22"/>
  <c r="I259" i="23"/>
  <c r="I260" i="23"/>
  <c r="E304" i="22" l="1"/>
  <c r="F304" i="22"/>
  <c r="G304" i="22"/>
  <c r="H304" i="22"/>
  <c r="I253" i="23" l="1"/>
  <c r="I253" i="22"/>
  <c r="I17" i="23"/>
  <c r="I258" i="23"/>
  <c r="I305" i="22"/>
  <c r="I257" i="23" l="1"/>
  <c r="I251" i="22"/>
  <c r="I302" i="22"/>
  <c r="I78" i="22" l="1"/>
  <c r="I79" i="22"/>
  <c r="I60" i="22"/>
  <c r="I28" i="22"/>
  <c r="I29" i="22"/>
  <c r="I205" i="23" l="1"/>
  <c r="I30" i="22"/>
  <c r="I182" i="22" l="1"/>
  <c r="I54" i="22"/>
  <c r="F453" i="24"/>
  <c r="H453" i="24"/>
  <c r="E453" i="24"/>
  <c r="J453" i="24" l="1"/>
  <c r="I374" i="23"/>
  <c r="I372" i="23"/>
  <c r="D278" i="23"/>
  <c r="I256" i="23" l="1"/>
  <c r="I162" i="22" l="1"/>
  <c r="I177" i="22"/>
  <c r="E203" i="22"/>
  <c r="F203" i="22"/>
  <c r="G203" i="22"/>
  <c r="H203" i="22"/>
  <c r="D203" i="22"/>
  <c r="E198" i="22"/>
  <c r="F198" i="22"/>
  <c r="G198" i="22"/>
  <c r="H198" i="22"/>
  <c r="D198" i="22"/>
  <c r="I203" i="22" l="1"/>
  <c r="I25" i="22"/>
  <c r="I94" i="23"/>
  <c r="I26" i="22"/>
  <c r="I206" i="23"/>
  <c r="I93" i="23"/>
  <c r="I95" i="23"/>
  <c r="I80" i="23"/>
  <c r="I204" i="22"/>
  <c r="I87" i="23"/>
  <c r="I311" i="23"/>
  <c r="I10" i="23"/>
  <c r="I199" i="22"/>
  <c r="I53" i="22"/>
  <c r="I198" i="22"/>
  <c r="I20" i="22"/>
  <c r="I255" i="23" l="1"/>
  <c r="I378" i="23"/>
  <c r="I55" i="22" l="1"/>
  <c r="A361" i="23" l="1"/>
  <c r="A344" i="23"/>
  <c r="A345" i="23"/>
  <c r="I201" i="22" l="1"/>
  <c r="A618" i="22"/>
  <c r="I618" i="22"/>
  <c r="I622" i="22" l="1"/>
  <c r="I620" i="22"/>
  <c r="I34" i="22"/>
  <c r="I181" i="22"/>
  <c r="I274" i="23"/>
  <c r="I163" i="22" l="1"/>
  <c r="I23" i="22" l="1"/>
  <c r="I56" i="22"/>
  <c r="I22" i="22"/>
  <c r="D210" i="22"/>
  <c r="I231" i="22" l="1"/>
  <c r="I289" i="22"/>
  <c r="I291" i="22"/>
  <c r="I277" i="22"/>
  <c r="I275" i="22"/>
  <c r="I229" i="22"/>
  <c r="I287" i="22"/>
  <c r="I281" i="22"/>
  <c r="I153" i="22"/>
  <c r="I272" i="22"/>
  <c r="I237" i="22"/>
  <c r="I243" i="22"/>
  <c r="I178" i="22"/>
  <c r="I235" i="22"/>
  <c r="I241" i="22"/>
  <c r="I179" i="22"/>
  <c r="I212" i="22"/>
  <c r="I233" i="22"/>
  <c r="I239" i="22"/>
  <c r="I249" i="22"/>
  <c r="I227" i="22"/>
  <c r="I285" i="22"/>
  <c r="I247" i="22"/>
  <c r="I283" i="22"/>
  <c r="I245" i="22"/>
  <c r="C572" i="22"/>
  <c r="D572" i="22"/>
  <c r="E572" i="22"/>
  <c r="F572" i="22"/>
  <c r="G572" i="22"/>
  <c r="H572" i="22"/>
  <c r="C573" i="22"/>
  <c r="D573" i="22"/>
  <c r="E573" i="22"/>
  <c r="F573" i="22"/>
  <c r="G573" i="22"/>
  <c r="H573" i="22"/>
  <c r="C315" i="22"/>
  <c r="I193" i="22" l="1"/>
  <c r="I24" i="22"/>
  <c r="I195" i="22"/>
  <c r="I254" i="23"/>
  <c r="A328" i="22"/>
  <c r="I328" i="22"/>
  <c r="A330" i="22"/>
  <c r="I330" i="22"/>
  <c r="I340" i="23" l="1"/>
  <c r="I31" i="22"/>
  <c r="E299" i="22"/>
  <c r="F299" i="22"/>
  <c r="G299" i="22"/>
  <c r="H299" i="22"/>
  <c r="I308" i="23" l="1"/>
  <c r="I58" i="22"/>
  <c r="I86" i="23"/>
  <c r="I31" i="23"/>
  <c r="I293" i="22"/>
  <c r="I309" i="23"/>
  <c r="I870" i="22"/>
  <c r="I11" i="23"/>
  <c r="I192" i="22"/>
  <c r="I21" i="23"/>
  <c r="I279" i="22"/>
  <c r="I73" i="23"/>
  <c r="I305" i="23"/>
  <c r="I32" i="23"/>
  <c r="I306" i="23"/>
  <c r="I310" i="23"/>
  <c r="I9" i="23"/>
  <c r="I300" i="22"/>
  <c r="I307" i="23"/>
  <c r="H210" i="22"/>
  <c r="G210" i="22"/>
  <c r="F210" i="22"/>
  <c r="E210" i="22"/>
  <c r="I58" i="23"/>
  <c r="I66" i="23"/>
  <c r="I77" i="23"/>
  <c r="I69" i="23"/>
  <c r="I63" i="23"/>
  <c r="I28" i="23"/>
  <c r="I33" i="23"/>
  <c r="I79" i="23"/>
  <c r="I68" i="23"/>
  <c r="I22" i="23"/>
  <c r="I92" i="23"/>
  <c r="I30" i="23"/>
  <c r="I64" i="23"/>
  <c r="I67" i="23"/>
  <c r="I65" i="23"/>
  <c r="I24" i="23"/>
  <c r="I70" i="23"/>
  <c r="I29" i="23"/>
  <c r="I60" i="23"/>
  <c r="I59" i="23"/>
  <c r="I25" i="23"/>
  <c r="I75" i="23"/>
  <c r="I34" i="23"/>
  <c r="I76" i="23"/>
  <c r="I20" i="23"/>
  <c r="I23" i="23"/>
  <c r="I71" i="23"/>
  <c r="I61" i="23"/>
  <c r="I72" i="23"/>
  <c r="I57" i="23"/>
  <c r="I35" i="23"/>
  <c r="I74" i="23"/>
  <c r="I27" i="23"/>
  <c r="I62" i="23"/>
  <c r="I78" i="23"/>
  <c r="I19" i="23"/>
  <c r="I271" i="22" l="1"/>
  <c r="I211" i="22"/>
  <c r="D12" i="23" l="1"/>
  <c r="E12" i="23"/>
  <c r="F12" i="23"/>
  <c r="G12" i="23"/>
  <c r="H12" i="23"/>
  <c r="D88" i="23" l="1"/>
  <c r="D83" i="23"/>
  <c r="F83" i="23"/>
  <c r="E88" i="23"/>
  <c r="H88" i="23"/>
  <c r="I89" i="23"/>
  <c r="G88" i="23"/>
  <c r="F88" i="23"/>
  <c r="H83" i="23"/>
  <c r="G83" i="23"/>
  <c r="E83" i="23"/>
  <c r="I273" i="23"/>
  <c r="I653" i="22"/>
  <c r="I84" i="23"/>
  <c r="I272" i="23"/>
  <c r="I196" i="23"/>
  <c r="I770" i="22"/>
  <c r="I17" i="22"/>
  <c r="I85" i="23"/>
  <c r="I12" i="23"/>
  <c r="I14" i="23"/>
  <c r="I271" i="23"/>
  <c r="E278" i="23"/>
  <c r="F278" i="23"/>
  <c r="H278" i="23"/>
  <c r="E227" i="23"/>
  <c r="D227" i="23"/>
  <c r="E225" i="23"/>
  <c r="F225" i="23"/>
  <c r="H225" i="23"/>
  <c r="D225" i="23"/>
  <c r="D197" i="23"/>
  <c r="E197" i="23"/>
  <c r="F197" i="23"/>
  <c r="H197" i="23"/>
  <c r="E15" i="23"/>
  <c r="F15" i="23"/>
  <c r="H15" i="23"/>
  <c r="D15" i="23"/>
  <c r="E7" i="23"/>
  <c r="F7" i="23"/>
  <c r="G7" i="23"/>
  <c r="H7" i="23"/>
  <c r="D7" i="23"/>
  <c r="E896" i="22"/>
  <c r="F896" i="22"/>
  <c r="H896" i="22"/>
  <c r="E902" i="22"/>
  <c r="F902" i="22"/>
  <c r="H902" i="22"/>
  <c r="E893" i="22"/>
  <c r="F893" i="22"/>
  <c r="H893" i="22"/>
  <c r="E899" i="22"/>
  <c r="F899" i="22"/>
  <c r="H899" i="22"/>
  <c r="I726" i="22"/>
  <c r="E200" i="22"/>
  <c r="F200" i="22"/>
  <c r="G200" i="22"/>
  <c r="H200" i="22"/>
  <c r="D200" i="22"/>
  <c r="I185" i="22"/>
  <c r="I234" i="23" l="1"/>
  <c r="I35" i="22"/>
  <c r="I16" i="23"/>
  <c r="G15" i="23"/>
  <c r="I15" i="23" s="1"/>
  <c r="G176" i="22"/>
  <c r="F176" i="22"/>
  <c r="E176" i="22"/>
  <c r="D129" i="22"/>
  <c r="D186" i="22"/>
  <c r="D157" i="22"/>
  <c r="H176" i="22"/>
  <c r="G157" i="22"/>
  <c r="F157" i="22"/>
  <c r="E157" i="22"/>
  <c r="H157" i="22"/>
  <c r="F136" i="22"/>
  <c r="E136" i="22"/>
  <c r="H136" i="22"/>
  <c r="G136" i="22"/>
  <c r="F129" i="22"/>
  <c r="E129" i="22"/>
  <c r="H129" i="22"/>
  <c r="G129" i="22"/>
  <c r="I75" i="22"/>
  <c r="I219" i="22"/>
  <c r="E275" i="23"/>
  <c r="D275" i="23"/>
  <c r="D231" i="23" s="1"/>
  <c r="H275" i="23"/>
  <c r="I139" i="22"/>
  <c r="I143" i="22"/>
  <c r="E199" i="23"/>
  <c r="F199" i="23"/>
  <c r="D199" i="23"/>
  <c r="D6" i="23"/>
  <c r="D300" i="23"/>
  <c r="H199" i="23"/>
  <c r="G199" i="23"/>
  <c r="I650" i="22"/>
  <c r="I201" i="23"/>
  <c r="I276" i="23"/>
  <c r="I277" i="23"/>
  <c r="I237" i="23"/>
  <c r="I843" i="22"/>
  <c r="I858" i="22"/>
  <c r="I170" i="22"/>
  <c r="I152" i="22"/>
  <c r="I776" i="22"/>
  <c r="I574" i="22"/>
  <c r="I883" i="22"/>
  <c r="I708" i="22"/>
  <c r="I641" i="22"/>
  <c r="I591" i="22"/>
  <c r="I880" i="22"/>
  <c r="I839" i="22"/>
  <c r="I855" i="22"/>
  <c r="I874" i="22"/>
  <c r="I183" i="22"/>
  <c r="I62" i="22"/>
  <c r="I611" i="22"/>
  <c r="I745" i="22"/>
  <c r="I781" i="22"/>
  <c r="I700" i="22"/>
  <c r="I558" i="22"/>
  <c r="I806" i="22"/>
  <c r="I683" i="22"/>
  <c r="I262" i="23"/>
  <c r="I194" i="23"/>
  <c r="I221" i="23"/>
  <c r="I238" i="23"/>
  <c r="I303" i="23"/>
  <c r="I18" i="23"/>
  <c r="I49" i="22"/>
  <c r="I686" i="22"/>
  <c r="I74" i="22"/>
  <c r="I719" i="22"/>
  <c r="I702" i="22"/>
  <c r="I45" i="22"/>
  <c r="I47" i="22"/>
  <c r="I156" i="22"/>
  <c r="I133" i="22"/>
  <c r="I577" i="22"/>
  <c r="I63" i="22"/>
  <c r="I15" i="22"/>
  <c r="I164" i="22"/>
  <c r="I131" i="22"/>
  <c r="I188" i="22"/>
  <c r="I41" i="22"/>
  <c r="I833" i="22"/>
  <c r="I138" i="22"/>
  <c r="I142" i="22"/>
  <c r="I197" i="22"/>
  <c r="I800" i="22"/>
  <c r="I70" i="22"/>
  <c r="I67" i="22"/>
  <c r="I146" i="22"/>
  <c r="I585" i="22"/>
  <c r="I818" i="22"/>
  <c r="I656" i="22"/>
  <c r="I812" i="22"/>
  <c r="I711" i="22"/>
  <c r="I803" i="22"/>
  <c r="I597" i="22"/>
  <c r="I72" i="22"/>
  <c r="I64" i="22"/>
  <c r="I73" i="22"/>
  <c r="I68" i="22"/>
  <c r="I44" i="22"/>
  <c r="I14" i="22"/>
  <c r="I144" i="22"/>
  <c r="I161" i="22"/>
  <c r="I135" i="22"/>
  <c r="I196" i="22"/>
  <c r="I877" i="22"/>
  <c r="I325" i="22"/>
  <c r="I670" i="22"/>
  <c r="I314" i="22"/>
  <c r="I705" i="22"/>
  <c r="I150" i="22"/>
  <c r="I588" i="22"/>
  <c r="I664" i="22"/>
  <c r="I630" i="22"/>
  <c r="I37" i="22"/>
  <c r="I71" i="22"/>
  <c r="I19" i="22"/>
  <c r="I203" i="23"/>
  <c r="I235" i="23"/>
  <c r="I734" i="22"/>
  <c r="I147" i="22"/>
  <c r="I195" i="23"/>
  <c r="I222" i="23"/>
  <c r="I240" i="23"/>
  <c r="I141" i="22"/>
  <c r="I160" i="22"/>
  <c r="I134" i="22"/>
  <c r="I194" i="22"/>
  <c r="I189" i="22"/>
  <c r="I627" i="22"/>
  <c r="I796" i="22"/>
  <c r="I644" i="22"/>
  <c r="I48" i="22"/>
  <c r="I889" i="22"/>
  <c r="I580" i="22"/>
  <c r="I202" i="23"/>
  <c r="I754" i="22"/>
  <c r="I680" i="22"/>
  <c r="I887" i="22"/>
  <c r="I569" i="22"/>
  <c r="I83" i="23"/>
  <c r="I32" i="22"/>
  <c r="I18" i="22"/>
  <c r="I27" i="22"/>
  <c r="I21" i="22"/>
  <c r="I39" i="22"/>
  <c r="I42" i="22"/>
  <c r="I13" i="22"/>
  <c r="I166" i="22"/>
  <c r="I200" i="22"/>
  <c r="I202" i="22"/>
  <c r="I169" i="22"/>
  <c r="I322" i="22"/>
  <c r="I667" i="22"/>
  <c r="I695" i="22"/>
  <c r="I724" i="22"/>
  <c r="I633" i="22"/>
  <c r="I609" i="22"/>
  <c r="I731" i="22"/>
  <c r="I861" i="22"/>
  <c r="I867" i="22"/>
  <c r="I625" i="22"/>
  <c r="I767" i="22"/>
  <c r="I793" i="22"/>
  <c r="I312" i="22"/>
  <c r="I566" i="22"/>
  <c r="I149" i="22"/>
  <c r="I38" i="22"/>
  <c r="I46" i="22"/>
  <c r="I52" i="22"/>
  <c r="I140" i="22"/>
  <c r="I165" i="22"/>
  <c r="I154" i="22"/>
  <c r="I191" i="22"/>
  <c r="I224" i="22"/>
  <c r="I638" i="22"/>
  <c r="I815" i="22"/>
  <c r="I864" i="22"/>
  <c r="I716" i="22"/>
  <c r="I721" i="22"/>
  <c r="I600" i="22"/>
  <c r="I830" i="22"/>
  <c r="I849" i="22"/>
  <c r="I827" i="22"/>
  <c r="I676" i="22"/>
  <c r="I779" i="22"/>
  <c r="I698" i="22"/>
  <c r="I316" i="22"/>
  <c r="I204" i="23"/>
  <c r="I236" i="23"/>
  <c r="I302" i="23"/>
  <c r="I76" i="22"/>
  <c r="I200" i="23"/>
  <c r="I223" i="23"/>
  <c r="G227" i="23"/>
  <c r="I227" i="23" s="1"/>
  <c r="I230" i="23"/>
  <c r="G902" i="22"/>
  <c r="I902" i="22" s="1"/>
  <c r="I903" i="22"/>
  <c r="I61" i="22"/>
  <c r="I69" i="22"/>
  <c r="I57" i="22"/>
  <c r="I11" i="22"/>
  <c r="I16" i="22"/>
  <c r="I51" i="22"/>
  <c r="I66" i="22"/>
  <c r="I145" i="22"/>
  <c r="I137" i="22"/>
  <c r="I158" i="22"/>
  <c r="I132" i="22"/>
  <c r="I130" i="22"/>
  <c r="I180" i="22"/>
  <c r="I309" i="22"/>
  <c r="I647" i="22"/>
  <c r="I692" i="22"/>
  <c r="I836" i="22"/>
  <c r="I155" i="22"/>
  <c r="I606" i="22"/>
  <c r="I728" i="22"/>
  <c r="I821" i="22"/>
  <c r="I661" i="22"/>
  <c r="I614" i="22"/>
  <c r="I790" i="22"/>
  <c r="G893" i="22"/>
  <c r="I894" i="22"/>
  <c r="I561" i="22"/>
  <c r="I239" i="23"/>
  <c r="I304" i="23"/>
  <c r="I33" i="22"/>
  <c r="I9" i="22"/>
  <c r="I10" i="22"/>
  <c r="I50" i="22"/>
  <c r="I43" i="22"/>
  <c r="I159" i="22"/>
  <c r="I167" i="22"/>
  <c r="I190" i="22"/>
  <c r="I222" i="22"/>
  <c r="I787" i="22"/>
  <c r="I636" i="22"/>
  <c r="I809" i="22"/>
  <c r="I319" i="22"/>
  <c r="I714" i="22"/>
  <c r="I737" i="22"/>
  <c r="I594" i="22"/>
  <c r="I852" i="22"/>
  <c r="I846" i="22"/>
  <c r="I824" i="22"/>
  <c r="I673" i="22"/>
  <c r="I773" i="22"/>
  <c r="I689" i="22"/>
  <c r="I740" i="22"/>
  <c r="I7" i="23"/>
  <c r="I8" i="23"/>
  <c r="G197" i="23"/>
  <c r="I197" i="23" s="1"/>
  <c r="I198" i="23"/>
  <c r="I148" i="22"/>
  <c r="I241" i="23"/>
  <c r="I88" i="23"/>
  <c r="G896" i="22"/>
  <c r="I897" i="22"/>
  <c r="G899" i="22"/>
  <c r="I899" i="22" s="1"/>
  <c r="I900" i="22"/>
  <c r="G225" i="23"/>
  <c r="I225" i="23" s="1"/>
  <c r="I226" i="23"/>
  <c r="G278" i="23"/>
  <c r="I278" i="23" s="1"/>
  <c r="I279" i="23"/>
  <c r="H308" i="22"/>
  <c r="G308" i="22"/>
  <c r="F308" i="22"/>
  <c r="E308" i="22"/>
  <c r="G275" i="23"/>
  <c r="H186" i="22"/>
  <c r="G186" i="22"/>
  <c r="F186" i="22"/>
  <c r="E186" i="22"/>
  <c r="F6" i="23"/>
  <c r="E6" i="23"/>
  <c r="H6" i="23"/>
  <c r="H193" i="23"/>
  <c r="G193" i="23"/>
  <c r="E193" i="23"/>
  <c r="D193" i="23"/>
  <c r="F193" i="23"/>
  <c r="F275" i="23"/>
  <c r="E218" i="23"/>
  <c r="E217" i="23" s="1"/>
  <c r="D218" i="23"/>
  <c r="D217" i="23" s="1"/>
  <c r="G218" i="23"/>
  <c r="D224" i="23"/>
  <c r="E224" i="23"/>
  <c r="E128" i="22" l="1"/>
  <c r="E7" i="22" s="1"/>
  <c r="H128" i="22"/>
  <c r="H7" i="22" s="1"/>
  <c r="F128" i="22"/>
  <c r="F7" i="22" s="1"/>
  <c r="G128" i="22"/>
  <c r="G7" i="22" s="1"/>
  <c r="D128" i="22"/>
  <c r="D7" i="22" s="1"/>
  <c r="H175" i="22"/>
  <c r="I218" i="22"/>
  <c r="I304" i="22"/>
  <c r="I275" i="23"/>
  <c r="E231" i="23"/>
  <c r="D307" i="22"/>
  <c r="I617" i="22"/>
  <c r="H231" i="23"/>
  <c r="D192" i="23"/>
  <c r="D175" i="22"/>
  <c r="E175" i="22"/>
  <c r="G175" i="22"/>
  <c r="F175" i="22"/>
  <c r="I176" i="22"/>
  <c r="G224" i="23"/>
  <c r="I224" i="23" s="1"/>
  <c r="I186" i="22"/>
  <c r="G6" i="23"/>
  <c r="I6" i="23" s="1"/>
  <c r="I129" i="22"/>
  <c r="I65" i="22"/>
  <c r="I12" i="22"/>
  <c r="G217" i="23"/>
  <c r="I217" i="23" s="1"/>
  <c r="I218" i="23"/>
  <c r="I157" i="22"/>
  <c r="I40" i="22"/>
  <c r="I199" i="23"/>
  <c r="I193" i="23"/>
  <c r="I136" i="22"/>
  <c r="I210" i="22"/>
  <c r="I873" i="22"/>
  <c r="E307" i="22"/>
  <c r="F307" i="22"/>
  <c r="G307" i="22"/>
  <c r="I308" i="22"/>
  <c r="H307" i="22"/>
  <c r="I896" i="22"/>
  <c r="I744" i="22"/>
  <c r="I893" i="22"/>
  <c r="I886" i="22"/>
  <c r="I299" i="22"/>
  <c r="H192" i="23"/>
  <c r="G192" i="23"/>
  <c r="E192" i="23"/>
  <c r="F192" i="23"/>
  <c r="F231" i="23"/>
  <c r="G231" i="23"/>
  <c r="I231" i="23" s="1"/>
  <c r="D905" i="22" l="1"/>
  <c r="D6" i="22"/>
  <c r="D5" i="22" s="1"/>
  <c r="H905" i="22"/>
  <c r="I8" i="31" s="1"/>
  <c r="F905" i="22"/>
  <c r="G8" i="31" s="1"/>
  <c r="E905" i="22"/>
  <c r="F8" i="31" s="1"/>
  <c r="F15" i="31" s="1"/>
  <c r="G905" i="22"/>
  <c r="H8" i="31" s="1"/>
  <c r="I175" i="22"/>
  <c r="I192" i="23"/>
  <c r="I8" i="22"/>
  <c r="I128" i="22"/>
  <c r="H15" i="31" l="1"/>
  <c r="I15" i="31"/>
  <c r="G15" i="31"/>
  <c r="I7" i="22"/>
  <c r="E44" i="24"/>
  <c r="I905" i="22" l="1"/>
  <c r="E8" i="31"/>
  <c r="E306" i="24"/>
  <c r="F306" i="24"/>
  <c r="G306" i="24"/>
  <c r="H306" i="24"/>
  <c r="I306" i="24"/>
  <c r="E307" i="24"/>
  <c r="F307" i="24"/>
  <c r="G307" i="24"/>
  <c r="H307" i="24"/>
  <c r="I307" i="24"/>
  <c r="F305" i="24"/>
  <c r="G305" i="24"/>
  <c r="H305" i="24"/>
  <c r="I305" i="24"/>
  <c r="E305" i="24"/>
  <c r="A521" i="22"/>
  <c r="A519" i="22"/>
  <c r="J8" i="31" l="1"/>
  <c r="L8" i="31"/>
  <c r="K8" i="31"/>
  <c r="I521" i="22"/>
  <c r="J306" i="24"/>
  <c r="J305" i="24"/>
  <c r="J307" i="24"/>
  <c r="F304" i="24" l="1"/>
  <c r="G304" i="24"/>
  <c r="H304" i="24"/>
  <c r="I304" i="24"/>
  <c r="E304" i="24"/>
  <c r="F409" i="24"/>
  <c r="G409" i="24"/>
  <c r="H409" i="24"/>
  <c r="I409" i="24"/>
  <c r="E409" i="24"/>
  <c r="I519" i="22" l="1"/>
  <c r="J304" i="24"/>
  <c r="J409" i="24"/>
  <c r="I252" i="23"/>
  <c r="F303" i="24"/>
  <c r="G303" i="24"/>
  <c r="H303" i="24"/>
  <c r="I303" i="24"/>
  <c r="E303" i="24"/>
  <c r="A517" i="22"/>
  <c r="J303" i="24" l="1"/>
  <c r="I517" i="22"/>
  <c r="F131" i="24" l="1"/>
  <c r="G131" i="24"/>
  <c r="H131" i="24"/>
  <c r="I131" i="24"/>
  <c r="E131" i="24"/>
  <c r="F130" i="24"/>
  <c r="G130" i="24"/>
  <c r="H130" i="24"/>
  <c r="I130" i="24"/>
  <c r="E130" i="24"/>
  <c r="F151" i="24"/>
  <c r="G151" i="24"/>
  <c r="H151" i="24"/>
  <c r="I151" i="24"/>
  <c r="E151" i="24"/>
  <c r="F150" i="24"/>
  <c r="G150" i="24"/>
  <c r="H150" i="24"/>
  <c r="I150" i="24"/>
  <c r="E150" i="24"/>
  <c r="A208" i="22"/>
  <c r="E301" i="24"/>
  <c r="F301" i="24"/>
  <c r="G301" i="24"/>
  <c r="H301" i="24"/>
  <c r="I301" i="24"/>
  <c r="E302" i="24"/>
  <c r="F302" i="24"/>
  <c r="G302" i="24"/>
  <c r="H302" i="24"/>
  <c r="I302" i="24"/>
  <c r="F300" i="24"/>
  <c r="G300" i="24"/>
  <c r="H300" i="24"/>
  <c r="I300" i="24"/>
  <c r="E300" i="24"/>
  <c r="E299" i="24"/>
  <c r="F299" i="24"/>
  <c r="G299" i="24"/>
  <c r="H299" i="24"/>
  <c r="I299" i="24"/>
  <c r="F298" i="24"/>
  <c r="G298" i="24"/>
  <c r="H298" i="24"/>
  <c r="I298" i="24"/>
  <c r="E298" i="24"/>
  <c r="F297" i="24"/>
  <c r="G297" i="24"/>
  <c r="H297" i="24"/>
  <c r="I297" i="24"/>
  <c r="E297" i="24"/>
  <c r="A515" i="22"/>
  <c r="A513" i="22"/>
  <c r="A511" i="22"/>
  <c r="I515" i="22" l="1"/>
  <c r="I513" i="22"/>
  <c r="I511" i="22"/>
  <c r="I123" i="22"/>
  <c r="J299" i="24"/>
  <c r="I124" i="22"/>
  <c r="J151" i="24"/>
  <c r="J130" i="24"/>
  <c r="J131" i="24"/>
  <c r="I208" i="22"/>
  <c r="J150" i="24"/>
  <c r="J297" i="24"/>
  <c r="J301" i="24"/>
  <c r="J300" i="24"/>
  <c r="J298" i="24"/>
  <c r="J302" i="24"/>
  <c r="F441" i="24" l="1"/>
  <c r="H441" i="24"/>
  <c r="E441" i="24"/>
  <c r="F368" i="24"/>
  <c r="G368" i="24"/>
  <c r="H368" i="24"/>
  <c r="I368" i="24"/>
  <c r="E368" i="24"/>
  <c r="J441" i="24" l="1"/>
  <c r="J368" i="24"/>
  <c r="A207" i="22" l="1"/>
  <c r="F149" i="24"/>
  <c r="G149" i="24"/>
  <c r="H149" i="24"/>
  <c r="I149" i="24"/>
  <c r="E149" i="24"/>
  <c r="I207" i="22" l="1"/>
  <c r="J149" i="24"/>
  <c r="F43" i="24"/>
  <c r="G43" i="24"/>
  <c r="H43" i="24"/>
  <c r="I43" i="24"/>
  <c r="E43" i="24"/>
  <c r="F44" i="24"/>
  <c r="G44" i="24"/>
  <c r="H44" i="24"/>
  <c r="I44" i="24"/>
  <c r="F42" i="24"/>
  <c r="G42" i="24"/>
  <c r="H42" i="24"/>
  <c r="I42" i="24"/>
  <c r="E42" i="24"/>
  <c r="F41" i="24"/>
  <c r="G41" i="24"/>
  <c r="H41" i="24"/>
  <c r="I41" i="24"/>
  <c r="E41" i="24"/>
  <c r="J44" i="24" l="1"/>
  <c r="J41" i="24"/>
  <c r="J43" i="24"/>
  <c r="J42" i="24"/>
  <c r="A659" i="22" l="1"/>
  <c r="F408" i="24"/>
  <c r="G408" i="24"/>
  <c r="H408" i="24"/>
  <c r="I408" i="24"/>
  <c r="E408" i="24"/>
  <c r="F296" i="24"/>
  <c r="G296" i="24"/>
  <c r="H296" i="24"/>
  <c r="I296" i="24"/>
  <c r="E296" i="24"/>
  <c r="F129" i="24"/>
  <c r="G129" i="24"/>
  <c r="H129" i="24"/>
  <c r="I129" i="24"/>
  <c r="E129" i="24"/>
  <c r="F128" i="24"/>
  <c r="G128" i="24"/>
  <c r="H128" i="24"/>
  <c r="I128" i="24"/>
  <c r="E128" i="24"/>
  <c r="E132" i="24"/>
  <c r="F132" i="24"/>
  <c r="G132" i="24"/>
  <c r="H132" i="24"/>
  <c r="I132" i="24"/>
  <c r="K132" i="24"/>
  <c r="L132" i="24"/>
  <c r="J129" i="24" l="1"/>
  <c r="J408" i="24"/>
  <c r="I121" i="22"/>
  <c r="I122" i="22"/>
  <c r="J296" i="24"/>
  <c r="J132" i="24"/>
  <c r="J128" i="24"/>
  <c r="F295" i="24" l="1"/>
  <c r="G295" i="24"/>
  <c r="H295" i="24"/>
  <c r="I295" i="24"/>
  <c r="E295" i="24"/>
  <c r="J295" i="24" l="1"/>
  <c r="I659" i="22"/>
  <c r="E19" i="24"/>
  <c r="F19" i="24"/>
  <c r="H19" i="24"/>
  <c r="E24" i="24"/>
  <c r="F24" i="24"/>
  <c r="G24" i="24"/>
  <c r="H24" i="24"/>
  <c r="I24" i="24"/>
  <c r="K24" i="24"/>
  <c r="L24" i="24"/>
  <c r="E25" i="24"/>
  <c r="F25" i="24"/>
  <c r="G25" i="24"/>
  <c r="H25" i="24"/>
  <c r="I25" i="24"/>
  <c r="K25" i="24"/>
  <c r="L25" i="24"/>
  <c r="E26" i="24"/>
  <c r="F26" i="24"/>
  <c r="G26" i="24"/>
  <c r="H26" i="24"/>
  <c r="I26" i="24"/>
  <c r="K26" i="24"/>
  <c r="L26" i="24"/>
  <c r="E27" i="24"/>
  <c r="F27" i="24"/>
  <c r="G27" i="24"/>
  <c r="H27" i="24"/>
  <c r="I27" i="24"/>
  <c r="K27" i="24"/>
  <c r="L27" i="24"/>
  <c r="E28" i="24"/>
  <c r="F28" i="24"/>
  <c r="G28" i="24"/>
  <c r="H28" i="24"/>
  <c r="I28" i="24"/>
  <c r="K28" i="24"/>
  <c r="L28" i="24"/>
  <c r="E29" i="24"/>
  <c r="F29" i="24"/>
  <c r="G29" i="24"/>
  <c r="H29" i="24"/>
  <c r="I29" i="24"/>
  <c r="K29" i="24"/>
  <c r="L29" i="24"/>
  <c r="E30" i="24"/>
  <c r="F30" i="24"/>
  <c r="G30" i="24"/>
  <c r="H30" i="24"/>
  <c r="I30" i="24"/>
  <c r="K30" i="24"/>
  <c r="L30" i="24"/>
  <c r="E31" i="24"/>
  <c r="F31" i="24"/>
  <c r="G31" i="24"/>
  <c r="H31" i="24"/>
  <c r="I31" i="24"/>
  <c r="K31" i="24"/>
  <c r="L31" i="24"/>
  <c r="E32" i="24"/>
  <c r="F32" i="24"/>
  <c r="G32" i="24"/>
  <c r="H32" i="24"/>
  <c r="I32" i="24"/>
  <c r="K32" i="24"/>
  <c r="L32" i="24"/>
  <c r="E33" i="24"/>
  <c r="F33" i="24"/>
  <c r="G33" i="24"/>
  <c r="H33" i="24"/>
  <c r="I33" i="24"/>
  <c r="K33" i="24"/>
  <c r="L33" i="24"/>
  <c r="E34" i="24"/>
  <c r="F34" i="24"/>
  <c r="G34" i="24"/>
  <c r="H34" i="24"/>
  <c r="I34" i="24"/>
  <c r="K34" i="24"/>
  <c r="L34" i="24"/>
  <c r="E35" i="24"/>
  <c r="F35" i="24"/>
  <c r="G35" i="24"/>
  <c r="H35" i="24"/>
  <c r="I35" i="24"/>
  <c r="K35" i="24"/>
  <c r="L35" i="24"/>
  <c r="E36" i="24"/>
  <c r="F36" i="24"/>
  <c r="G36" i="24"/>
  <c r="H36" i="24"/>
  <c r="I36" i="24"/>
  <c r="K36" i="24"/>
  <c r="L36" i="24"/>
  <c r="E37" i="24"/>
  <c r="F37" i="24"/>
  <c r="G37" i="24"/>
  <c r="H37" i="24"/>
  <c r="I37" i="24"/>
  <c r="K37" i="24"/>
  <c r="L37" i="24"/>
  <c r="E38" i="24"/>
  <c r="F38" i="24"/>
  <c r="G38" i="24"/>
  <c r="H38" i="24"/>
  <c r="I38" i="24"/>
  <c r="K38" i="24"/>
  <c r="L38" i="24"/>
  <c r="E39" i="24"/>
  <c r="F39" i="24"/>
  <c r="G39" i="24"/>
  <c r="H39" i="24"/>
  <c r="I39" i="24"/>
  <c r="K39" i="24"/>
  <c r="L39" i="24"/>
  <c r="E40" i="24"/>
  <c r="F40" i="24"/>
  <c r="G40" i="24"/>
  <c r="H40" i="24"/>
  <c r="I40" i="24"/>
  <c r="K40" i="24"/>
  <c r="L40" i="24"/>
  <c r="E45" i="24"/>
  <c r="F45" i="24"/>
  <c r="G45" i="24"/>
  <c r="H45" i="24"/>
  <c r="I45" i="24"/>
  <c r="K45" i="24"/>
  <c r="L45" i="24"/>
  <c r="E46" i="24"/>
  <c r="F46" i="24"/>
  <c r="G46" i="24"/>
  <c r="H46" i="24"/>
  <c r="I46" i="24"/>
  <c r="K46" i="24"/>
  <c r="L46" i="24"/>
  <c r="E47" i="24"/>
  <c r="F47" i="24"/>
  <c r="G47" i="24"/>
  <c r="H47" i="24"/>
  <c r="I47" i="24"/>
  <c r="K47" i="24"/>
  <c r="L47" i="24"/>
  <c r="E48" i="24"/>
  <c r="F48" i="24"/>
  <c r="G48" i="24"/>
  <c r="H48" i="24"/>
  <c r="I48" i="24"/>
  <c r="K48" i="24"/>
  <c r="L48" i="24"/>
  <c r="E49" i="24"/>
  <c r="F49" i="24"/>
  <c r="G49" i="24"/>
  <c r="H49" i="24"/>
  <c r="I49" i="24"/>
  <c r="K49" i="24"/>
  <c r="L49" i="24"/>
  <c r="E50" i="24"/>
  <c r="F50" i="24"/>
  <c r="G50" i="24"/>
  <c r="H50" i="24"/>
  <c r="I50" i="24"/>
  <c r="K50" i="24"/>
  <c r="L50" i="24"/>
  <c r="E51" i="24"/>
  <c r="F51" i="24"/>
  <c r="G51" i="24"/>
  <c r="H51" i="24"/>
  <c r="I51" i="24"/>
  <c r="K51" i="24"/>
  <c r="L51" i="24"/>
  <c r="E52" i="24"/>
  <c r="F52" i="24"/>
  <c r="G52" i="24"/>
  <c r="H52" i="24"/>
  <c r="I52" i="24"/>
  <c r="K52" i="24"/>
  <c r="L52" i="24"/>
  <c r="E53" i="24"/>
  <c r="F53" i="24"/>
  <c r="G53" i="24"/>
  <c r="H53" i="24"/>
  <c r="I53" i="24"/>
  <c r="K53" i="24"/>
  <c r="L53" i="24"/>
  <c r="E54" i="24"/>
  <c r="F54" i="24"/>
  <c r="G54" i="24"/>
  <c r="H54" i="24"/>
  <c r="I54" i="24"/>
  <c r="K54" i="24"/>
  <c r="L54" i="24"/>
  <c r="E55" i="24"/>
  <c r="F55" i="24"/>
  <c r="G55" i="24"/>
  <c r="H55" i="24"/>
  <c r="I55" i="24"/>
  <c r="K55" i="24"/>
  <c r="L55" i="24"/>
  <c r="E56" i="24"/>
  <c r="F56" i="24"/>
  <c r="G56" i="24"/>
  <c r="H56" i="24"/>
  <c r="I56" i="24"/>
  <c r="K56" i="24"/>
  <c r="L56" i="24"/>
  <c r="E57" i="24"/>
  <c r="F57" i="24"/>
  <c r="G57" i="24"/>
  <c r="H57" i="24"/>
  <c r="I57" i="24"/>
  <c r="K57" i="24"/>
  <c r="L57" i="24"/>
  <c r="E58" i="24"/>
  <c r="F58" i="24"/>
  <c r="G58" i="24"/>
  <c r="H58" i="24"/>
  <c r="I58" i="24"/>
  <c r="K58" i="24"/>
  <c r="L58" i="24"/>
  <c r="E59" i="24"/>
  <c r="F59" i="24"/>
  <c r="G59" i="24"/>
  <c r="H59" i="24"/>
  <c r="I59" i="24"/>
  <c r="K59" i="24"/>
  <c r="L59" i="24"/>
  <c r="E60" i="24"/>
  <c r="F60" i="24"/>
  <c r="G60" i="24"/>
  <c r="H60" i="24"/>
  <c r="I60" i="24"/>
  <c r="K60" i="24"/>
  <c r="L60" i="24"/>
  <c r="E61" i="24"/>
  <c r="F61" i="24"/>
  <c r="G61" i="24"/>
  <c r="H61" i="24"/>
  <c r="I61" i="24"/>
  <c r="K61" i="24"/>
  <c r="L61" i="24"/>
  <c r="E62" i="24"/>
  <c r="F62" i="24"/>
  <c r="G62" i="24"/>
  <c r="H62" i="24"/>
  <c r="I62" i="24"/>
  <c r="K62" i="24"/>
  <c r="L62" i="24"/>
  <c r="E63" i="24"/>
  <c r="F63" i="24"/>
  <c r="G63" i="24"/>
  <c r="H63" i="24"/>
  <c r="I63" i="24"/>
  <c r="K63" i="24"/>
  <c r="L63" i="24"/>
  <c r="E64" i="24"/>
  <c r="F64" i="24"/>
  <c r="G64" i="24"/>
  <c r="H64" i="24"/>
  <c r="I64" i="24"/>
  <c r="K64" i="24"/>
  <c r="L64" i="24"/>
  <c r="E65" i="24"/>
  <c r="F65" i="24"/>
  <c r="G65" i="24"/>
  <c r="H65" i="24"/>
  <c r="I65" i="24"/>
  <c r="K65" i="24"/>
  <c r="L65" i="24"/>
  <c r="E66" i="24"/>
  <c r="F66" i="24"/>
  <c r="G66" i="24"/>
  <c r="H66" i="24"/>
  <c r="I66" i="24"/>
  <c r="K66" i="24"/>
  <c r="L66" i="24"/>
  <c r="E67" i="24"/>
  <c r="F67" i="24"/>
  <c r="G67" i="24"/>
  <c r="H67" i="24"/>
  <c r="I67" i="24"/>
  <c r="K67" i="24"/>
  <c r="L67" i="24"/>
  <c r="E68" i="24"/>
  <c r="F68" i="24"/>
  <c r="G68" i="24"/>
  <c r="H68" i="24"/>
  <c r="I68" i="24"/>
  <c r="K68" i="24"/>
  <c r="L68" i="24"/>
  <c r="E69" i="24"/>
  <c r="F69" i="24"/>
  <c r="G69" i="24"/>
  <c r="H69" i="24"/>
  <c r="I69" i="24"/>
  <c r="K69" i="24"/>
  <c r="L69" i="24"/>
  <c r="E70" i="24"/>
  <c r="F70" i="24"/>
  <c r="G70" i="24"/>
  <c r="H70" i="24"/>
  <c r="I70" i="24"/>
  <c r="K70" i="24"/>
  <c r="L70" i="24"/>
  <c r="E71" i="24"/>
  <c r="F71" i="24"/>
  <c r="G71" i="24"/>
  <c r="H71" i="24"/>
  <c r="I71" i="24"/>
  <c r="K71" i="24"/>
  <c r="L71" i="24"/>
  <c r="E72" i="24"/>
  <c r="F72" i="24"/>
  <c r="G72" i="24"/>
  <c r="H72" i="24"/>
  <c r="I72" i="24"/>
  <c r="K72" i="24"/>
  <c r="L72" i="24"/>
  <c r="E73" i="24"/>
  <c r="F73" i="24"/>
  <c r="G73" i="24"/>
  <c r="H73" i="24"/>
  <c r="I73" i="24"/>
  <c r="E74" i="24"/>
  <c r="F74" i="24"/>
  <c r="G74" i="24"/>
  <c r="H74" i="24"/>
  <c r="I74" i="24"/>
  <c r="E75" i="24"/>
  <c r="F75" i="24"/>
  <c r="G75" i="24"/>
  <c r="H75" i="24"/>
  <c r="I75" i="24"/>
  <c r="K75" i="24"/>
  <c r="L75" i="24"/>
  <c r="E76" i="24"/>
  <c r="F76" i="24"/>
  <c r="G76" i="24"/>
  <c r="H76" i="24"/>
  <c r="I76" i="24"/>
  <c r="K76" i="24"/>
  <c r="L76" i="24"/>
  <c r="E77" i="24"/>
  <c r="F77" i="24"/>
  <c r="G77" i="24"/>
  <c r="H77" i="24"/>
  <c r="I77" i="24"/>
  <c r="K77" i="24"/>
  <c r="L77" i="24"/>
  <c r="E78" i="24"/>
  <c r="F78" i="24"/>
  <c r="G78" i="24"/>
  <c r="H78" i="24"/>
  <c r="I78" i="24"/>
  <c r="K78" i="24"/>
  <c r="L78" i="24"/>
  <c r="E79" i="24"/>
  <c r="F79" i="24"/>
  <c r="G79" i="24"/>
  <c r="H79" i="24"/>
  <c r="I79" i="24"/>
  <c r="K79" i="24"/>
  <c r="L79" i="24"/>
  <c r="E80" i="24"/>
  <c r="F80" i="24"/>
  <c r="G80" i="24"/>
  <c r="H80" i="24"/>
  <c r="I80" i="24"/>
  <c r="K80" i="24"/>
  <c r="L80" i="24"/>
  <c r="E81" i="24"/>
  <c r="F81" i="24"/>
  <c r="G81" i="24"/>
  <c r="H81" i="24"/>
  <c r="I81" i="24"/>
  <c r="K81" i="24"/>
  <c r="L81" i="24"/>
  <c r="E82" i="24"/>
  <c r="F82" i="24"/>
  <c r="G82" i="24"/>
  <c r="H82" i="24"/>
  <c r="I82" i="24"/>
  <c r="K82" i="24"/>
  <c r="L82" i="24"/>
  <c r="E83" i="24"/>
  <c r="F83" i="24"/>
  <c r="G83" i="24"/>
  <c r="H83" i="24"/>
  <c r="I83" i="24"/>
  <c r="K83" i="24"/>
  <c r="L83" i="24"/>
  <c r="E84" i="24"/>
  <c r="F84" i="24"/>
  <c r="G84" i="24"/>
  <c r="H84" i="24"/>
  <c r="I84" i="24"/>
  <c r="K84" i="24"/>
  <c r="L84" i="24"/>
  <c r="E85" i="24"/>
  <c r="F85" i="24"/>
  <c r="G85" i="24"/>
  <c r="H85" i="24"/>
  <c r="I85" i="24"/>
  <c r="K85" i="24"/>
  <c r="L85" i="24"/>
  <c r="E86" i="24"/>
  <c r="F86" i="24"/>
  <c r="G86" i="24"/>
  <c r="H86" i="24"/>
  <c r="I86" i="24"/>
  <c r="K86" i="24"/>
  <c r="L86" i="24"/>
  <c r="E87" i="24"/>
  <c r="F87" i="24"/>
  <c r="G87" i="24"/>
  <c r="H87" i="24"/>
  <c r="I87" i="24"/>
  <c r="K87" i="24"/>
  <c r="L87" i="24"/>
  <c r="E88" i="24"/>
  <c r="F88" i="24"/>
  <c r="G88" i="24"/>
  <c r="H88" i="24"/>
  <c r="I88" i="24"/>
  <c r="K88" i="24"/>
  <c r="L88" i="24"/>
  <c r="E89" i="24"/>
  <c r="F89" i="24"/>
  <c r="G89" i="24"/>
  <c r="H89" i="24"/>
  <c r="I89" i="24"/>
  <c r="K89" i="24"/>
  <c r="L89" i="24"/>
  <c r="E90" i="24"/>
  <c r="F90" i="24"/>
  <c r="G90" i="24"/>
  <c r="H90" i="24"/>
  <c r="I90" i="24"/>
  <c r="K90" i="24"/>
  <c r="L90" i="24"/>
  <c r="E91" i="24"/>
  <c r="F91" i="24"/>
  <c r="G91" i="24"/>
  <c r="H91" i="24"/>
  <c r="I91" i="24"/>
  <c r="K91" i="24"/>
  <c r="L91" i="24"/>
  <c r="E92" i="24"/>
  <c r="F92" i="24"/>
  <c r="G92" i="24"/>
  <c r="H92" i="24"/>
  <c r="I92" i="24"/>
  <c r="K92" i="24"/>
  <c r="L92" i="24"/>
  <c r="E93" i="24"/>
  <c r="F93" i="24"/>
  <c r="G93" i="24"/>
  <c r="H93" i="24"/>
  <c r="I93" i="24"/>
  <c r="K93" i="24"/>
  <c r="L93" i="24"/>
  <c r="E94" i="24"/>
  <c r="F94" i="24"/>
  <c r="G94" i="24"/>
  <c r="H94" i="24"/>
  <c r="I94" i="24"/>
  <c r="K94" i="24"/>
  <c r="L94" i="24"/>
  <c r="E95" i="24"/>
  <c r="F95" i="24"/>
  <c r="G95" i="24"/>
  <c r="H95" i="24"/>
  <c r="I95" i="24"/>
  <c r="K95" i="24"/>
  <c r="L95" i="24"/>
  <c r="E96" i="24"/>
  <c r="F96" i="24"/>
  <c r="G96" i="24"/>
  <c r="H96" i="24"/>
  <c r="I96" i="24"/>
  <c r="K96" i="24"/>
  <c r="L96" i="24"/>
  <c r="E97" i="24"/>
  <c r="F97" i="24"/>
  <c r="G97" i="24"/>
  <c r="H97" i="24"/>
  <c r="I97" i="24"/>
  <c r="K97" i="24"/>
  <c r="L97" i="24"/>
  <c r="E98" i="24"/>
  <c r="F98" i="24"/>
  <c r="G98" i="24"/>
  <c r="H98" i="24"/>
  <c r="I98" i="24"/>
  <c r="K98" i="24"/>
  <c r="L98" i="24"/>
  <c r="E99" i="24"/>
  <c r="F99" i="24"/>
  <c r="G99" i="24"/>
  <c r="H99" i="24"/>
  <c r="I99" i="24"/>
  <c r="K99" i="24"/>
  <c r="L99" i="24"/>
  <c r="E100" i="24"/>
  <c r="F100" i="24"/>
  <c r="G100" i="24"/>
  <c r="H100" i="24"/>
  <c r="I100" i="24"/>
  <c r="K100" i="24"/>
  <c r="L100" i="24"/>
  <c r="E101" i="24"/>
  <c r="F101" i="24"/>
  <c r="G101" i="24"/>
  <c r="H101" i="24"/>
  <c r="I101" i="24"/>
  <c r="K101" i="24"/>
  <c r="L101" i="24"/>
  <c r="E102" i="24"/>
  <c r="F102" i="24"/>
  <c r="G102" i="24"/>
  <c r="H102" i="24"/>
  <c r="I102" i="24"/>
  <c r="K102" i="24"/>
  <c r="L102" i="24"/>
  <c r="E103" i="24"/>
  <c r="F103" i="24"/>
  <c r="G103" i="24"/>
  <c r="H103" i="24"/>
  <c r="I103" i="24"/>
  <c r="K103" i="24"/>
  <c r="L103" i="24"/>
  <c r="E104" i="24"/>
  <c r="F104" i="24"/>
  <c r="G104" i="24"/>
  <c r="H104" i="24"/>
  <c r="I104" i="24"/>
  <c r="K104" i="24"/>
  <c r="L104" i="24"/>
  <c r="E105" i="24"/>
  <c r="F105" i="24"/>
  <c r="G105" i="24"/>
  <c r="H105" i="24"/>
  <c r="I105" i="24"/>
  <c r="K105" i="24"/>
  <c r="L105" i="24"/>
  <c r="E106" i="24"/>
  <c r="F106" i="24"/>
  <c r="G106" i="24"/>
  <c r="H106" i="24"/>
  <c r="I106" i="24"/>
  <c r="K106" i="24"/>
  <c r="L106" i="24"/>
  <c r="E107" i="24"/>
  <c r="F107" i="24"/>
  <c r="G107" i="24"/>
  <c r="H107" i="24"/>
  <c r="I107" i="24"/>
  <c r="K107" i="24"/>
  <c r="L107" i="24"/>
  <c r="E108" i="24"/>
  <c r="F108" i="24"/>
  <c r="G108" i="24"/>
  <c r="H108" i="24"/>
  <c r="I108" i="24"/>
  <c r="K108" i="24"/>
  <c r="L108" i="24"/>
  <c r="E109" i="24"/>
  <c r="F109" i="24"/>
  <c r="G109" i="24"/>
  <c r="H109" i="24"/>
  <c r="I109" i="24"/>
  <c r="K109" i="24"/>
  <c r="L109" i="24"/>
  <c r="E110" i="24"/>
  <c r="F110" i="24"/>
  <c r="G110" i="24"/>
  <c r="H110" i="24"/>
  <c r="I110" i="24"/>
  <c r="K110" i="24"/>
  <c r="L110" i="24"/>
  <c r="E111" i="24"/>
  <c r="F111" i="24"/>
  <c r="G111" i="24"/>
  <c r="H111" i="24"/>
  <c r="I111" i="24"/>
  <c r="K111" i="24"/>
  <c r="L111" i="24"/>
  <c r="E112" i="24"/>
  <c r="F112" i="24"/>
  <c r="G112" i="24"/>
  <c r="H112" i="24"/>
  <c r="I112" i="24"/>
  <c r="K112" i="24"/>
  <c r="L112" i="24"/>
  <c r="E113" i="24"/>
  <c r="F113" i="24"/>
  <c r="G113" i="24"/>
  <c r="H113" i="24"/>
  <c r="I113" i="24"/>
  <c r="K113" i="24"/>
  <c r="L113" i="24"/>
  <c r="E114" i="24"/>
  <c r="F114" i="24"/>
  <c r="G114" i="24"/>
  <c r="H114" i="24"/>
  <c r="I114" i="24"/>
  <c r="K114" i="24"/>
  <c r="L114" i="24"/>
  <c r="E115" i="24"/>
  <c r="F115" i="24"/>
  <c r="G115" i="24"/>
  <c r="H115" i="24"/>
  <c r="I115" i="24"/>
  <c r="K115" i="24"/>
  <c r="L115" i="24"/>
  <c r="E116" i="24"/>
  <c r="F116" i="24"/>
  <c r="G116" i="24"/>
  <c r="H116" i="24"/>
  <c r="I116" i="24"/>
  <c r="K116" i="24"/>
  <c r="L116" i="24"/>
  <c r="E117" i="24"/>
  <c r="F117" i="24"/>
  <c r="G117" i="24"/>
  <c r="H117" i="24"/>
  <c r="I117" i="24"/>
  <c r="K117" i="24"/>
  <c r="L117" i="24"/>
  <c r="E118" i="24"/>
  <c r="F118" i="24"/>
  <c r="G118" i="24"/>
  <c r="H118" i="24"/>
  <c r="I118" i="24"/>
  <c r="K118" i="24"/>
  <c r="L118" i="24"/>
  <c r="E119" i="24"/>
  <c r="F119" i="24"/>
  <c r="G119" i="24"/>
  <c r="H119" i="24"/>
  <c r="I119" i="24"/>
  <c r="K119" i="24"/>
  <c r="L119" i="24"/>
  <c r="E120" i="24"/>
  <c r="F120" i="24"/>
  <c r="G120" i="24"/>
  <c r="H120" i="24"/>
  <c r="I120" i="24"/>
  <c r="K120" i="24"/>
  <c r="L120" i="24"/>
  <c r="E121" i="24"/>
  <c r="F121" i="24"/>
  <c r="G121" i="24"/>
  <c r="H121" i="24"/>
  <c r="I121" i="24"/>
  <c r="K121" i="24"/>
  <c r="L121" i="24"/>
  <c r="E122" i="24"/>
  <c r="F122" i="24"/>
  <c r="G122" i="24"/>
  <c r="H122" i="24"/>
  <c r="I122" i="24"/>
  <c r="K122" i="24"/>
  <c r="L122" i="24"/>
  <c r="E123" i="24"/>
  <c r="F123" i="24"/>
  <c r="G123" i="24"/>
  <c r="H123" i="24"/>
  <c r="I123" i="24"/>
  <c r="K123" i="24"/>
  <c r="L123" i="24"/>
  <c r="E124" i="24"/>
  <c r="F124" i="24"/>
  <c r="G124" i="24"/>
  <c r="H124" i="24"/>
  <c r="I124" i="24"/>
  <c r="E125" i="24"/>
  <c r="F125" i="24"/>
  <c r="G125" i="24"/>
  <c r="H125" i="24"/>
  <c r="I125" i="24"/>
  <c r="E126" i="24"/>
  <c r="F126" i="24"/>
  <c r="G126" i="24"/>
  <c r="H126" i="24"/>
  <c r="I126" i="24"/>
  <c r="E127" i="24"/>
  <c r="F127" i="24"/>
  <c r="G127" i="24"/>
  <c r="H127" i="24"/>
  <c r="I127" i="24"/>
  <c r="E133" i="24"/>
  <c r="F133" i="24"/>
  <c r="G133" i="24"/>
  <c r="H133" i="24"/>
  <c r="I133" i="24"/>
  <c r="K133" i="24"/>
  <c r="L133" i="24"/>
  <c r="E134" i="24"/>
  <c r="F134" i="24"/>
  <c r="G134" i="24"/>
  <c r="H134" i="24"/>
  <c r="I134" i="24"/>
  <c r="K134" i="24"/>
  <c r="L134" i="24"/>
  <c r="E135" i="24"/>
  <c r="F135" i="24"/>
  <c r="G135" i="24"/>
  <c r="H135" i="24"/>
  <c r="I135" i="24"/>
  <c r="K135" i="24"/>
  <c r="L135" i="24"/>
  <c r="E136" i="24"/>
  <c r="F136" i="24"/>
  <c r="G136" i="24"/>
  <c r="H136" i="24"/>
  <c r="I136" i="24"/>
  <c r="K136" i="24"/>
  <c r="L136" i="24"/>
  <c r="E137" i="24"/>
  <c r="F137" i="24"/>
  <c r="G137" i="24"/>
  <c r="H137" i="24"/>
  <c r="I137" i="24"/>
  <c r="K137" i="24"/>
  <c r="L137" i="24"/>
  <c r="E138" i="24"/>
  <c r="F138" i="24"/>
  <c r="G138" i="24"/>
  <c r="H138" i="24"/>
  <c r="I138" i="24"/>
  <c r="K138" i="24"/>
  <c r="L138" i="24"/>
  <c r="E139" i="24"/>
  <c r="F139" i="24"/>
  <c r="G139" i="24"/>
  <c r="H139" i="24"/>
  <c r="I139" i="24"/>
  <c r="K139" i="24"/>
  <c r="L139" i="24"/>
  <c r="E140" i="24"/>
  <c r="F140" i="24"/>
  <c r="G140" i="24"/>
  <c r="H140" i="24"/>
  <c r="I140" i="24"/>
  <c r="K140" i="24"/>
  <c r="L140" i="24"/>
  <c r="E141" i="24"/>
  <c r="F141" i="24"/>
  <c r="G141" i="24"/>
  <c r="H141" i="24"/>
  <c r="I141" i="24"/>
  <c r="K141" i="24"/>
  <c r="L141" i="24"/>
  <c r="E142" i="24"/>
  <c r="F142" i="24"/>
  <c r="G142" i="24"/>
  <c r="H142" i="24"/>
  <c r="I142" i="24"/>
  <c r="K142" i="24"/>
  <c r="L142" i="24"/>
  <c r="E143" i="24"/>
  <c r="F143" i="24"/>
  <c r="G143" i="24"/>
  <c r="H143" i="24"/>
  <c r="I143" i="24"/>
  <c r="K143" i="24"/>
  <c r="L143" i="24"/>
  <c r="E144" i="24"/>
  <c r="F144" i="24"/>
  <c r="G144" i="24"/>
  <c r="H144" i="24"/>
  <c r="I144" i="24"/>
  <c r="K144" i="24"/>
  <c r="L144" i="24"/>
  <c r="E145" i="24"/>
  <c r="F145" i="24"/>
  <c r="G145" i="24"/>
  <c r="H145" i="24"/>
  <c r="I145" i="24"/>
  <c r="K145" i="24"/>
  <c r="L145" i="24"/>
  <c r="E146" i="24"/>
  <c r="F146" i="24"/>
  <c r="G146" i="24"/>
  <c r="H146" i="24"/>
  <c r="I146" i="24"/>
  <c r="K146" i="24"/>
  <c r="L146" i="24"/>
  <c r="E147" i="24"/>
  <c r="F147" i="24"/>
  <c r="G147" i="24"/>
  <c r="H147" i="24"/>
  <c r="I147" i="24"/>
  <c r="E148" i="24"/>
  <c r="F148" i="24"/>
  <c r="G148" i="24"/>
  <c r="H148" i="24"/>
  <c r="I148" i="24"/>
  <c r="E152" i="24"/>
  <c r="F152" i="24"/>
  <c r="G152" i="24"/>
  <c r="H152" i="24"/>
  <c r="I152" i="24"/>
  <c r="K152" i="24"/>
  <c r="L152" i="24"/>
  <c r="E153" i="24"/>
  <c r="F153" i="24"/>
  <c r="G153" i="24"/>
  <c r="H153" i="24"/>
  <c r="I153" i="24"/>
  <c r="K153" i="24"/>
  <c r="L153" i="24"/>
  <c r="E154" i="24"/>
  <c r="F154" i="24"/>
  <c r="G154" i="24"/>
  <c r="H154" i="24"/>
  <c r="I154" i="24"/>
  <c r="K154" i="24"/>
  <c r="L154" i="24"/>
  <c r="E155" i="24"/>
  <c r="F155" i="24"/>
  <c r="G155" i="24"/>
  <c r="H155" i="24"/>
  <c r="I155" i="24"/>
  <c r="K155" i="24"/>
  <c r="L155" i="24"/>
  <c r="E156" i="24"/>
  <c r="F156" i="24"/>
  <c r="G156" i="24"/>
  <c r="H156" i="24"/>
  <c r="I156" i="24"/>
  <c r="K156" i="24"/>
  <c r="L156" i="24"/>
  <c r="E157" i="24"/>
  <c r="F157" i="24"/>
  <c r="G157" i="24"/>
  <c r="H157" i="24"/>
  <c r="I157" i="24"/>
  <c r="K157" i="24"/>
  <c r="L157" i="24"/>
  <c r="E158" i="24"/>
  <c r="F158" i="24"/>
  <c r="G158" i="24"/>
  <c r="H158" i="24"/>
  <c r="I158" i="24"/>
  <c r="K158" i="24"/>
  <c r="L158" i="24"/>
  <c r="E159" i="24"/>
  <c r="F159" i="24"/>
  <c r="G159" i="24"/>
  <c r="H159" i="24"/>
  <c r="I159" i="24"/>
  <c r="K159" i="24"/>
  <c r="L159" i="24"/>
  <c r="E160" i="24"/>
  <c r="F160" i="24"/>
  <c r="G160" i="24"/>
  <c r="H160" i="24"/>
  <c r="I160" i="24"/>
  <c r="K160" i="24"/>
  <c r="L160" i="24"/>
  <c r="E161" i="24"/>
  <c r="F161" i="24"/>
  <c r="G161" i="24"/>
  <c r="H161" i="24"/>
  <c r="I161" i="24"/>
  <c r="K161" i="24"/>
  <c r="L161" i="24"/>
  <c r="E162" i="24"/>
  <c r="F162" i="24"/>
  <c r="G162" i="24"/>
  <c r="H162" i="24"/>
  <c r="I162" i="24"/>
  <c r="K162" i="24"/>
  <c r="L162" i="24"/>
  <c r="E163" i="24"/>
  <c r="F163" i="24"/>
  <c r="G163" i="24"/>
  <c r="H163" i="24"/>
  <c r="I163" i="24"/>
  <c r="K163" i="24"/>
  <c r="L163" i="24"/>
  <c r="E164" i="24"/>
  <c r="F164" i="24"/>
  <c r="G164" i="24"/>
  <c r="H164" i="24"/>
  <c r="I164" i="24"/>
  <c r="K164" i="24"/>
  <c r="L164" i="24"/>
  <c r="E165" i="24"/>
  <c r="F165" i="24"/>
  <c r="G165" i="24"/>
  <c r="H165" i="24"/>
  <c r="I165" i="24"/>
  <c r="K165" i="24"/>
  <c r="L165" i="24"/>
  <c r="E166" i="24"/>
  <c r="F166" i="24"/>
  <c r="G166" i="24"/>
  <c r="H166" i="24"/>
  <c r="I166" i="24"/>
  <c r="K166" i="24"/>
  <c r="L166" i="24"/>
  <c r="E167" i="24"/>
  <c r="F167" i="24"/>
  <c r="G167" i="24"/>
  <c r="H167" i="24"/>
  <c r="I167" i="24"/>
  <c r="K167" i="24"/>
  <c r="L167" i="24"/>
  <c r="E168" i="24"/>
  <c r="F168" i="24"/>
  <c r="G168" i="24"/>
  <c r="H168" i="24"/>
  <c r="I168" i="24"/>
  <c r="K168" i="24"/>
  <c r="L168" i="24"/>
  <c r="E169" i="24"/>
  <c r="F169" i="24"/>
  <c r="G169" i="24"/>
  <c r="H169" i="24"/>
  <c r="I169" i="24"/>
  <c r="K169" i="24"/>
  <c r="L169" i="24"/>
  <c r="E170" i="24"/>
  <c r="F170" i="24"/>
  <c r="G170" i="24"/>
  <c r="H170" i="24"/>
  <c r="I170" i="24"/>
  <c r="K170" i="24"/>
  <c r="L170" i="24"/>
  <c r="E171" i="24"/>
  <c r="F171" i="24"/>
  <c r="G171" i="24"/>
  <c r="H171" i="24"/>
  <c r="I171" i="24"/>
  <c r="K171" i="24"/>
  <c r="L171" i="24"/>
  <c r="E172" i="24"/>
  <c r="F172" i="24"/>
  <c r="G172" i="24"/>
  <c r="H172" i="24"/>
  <c r="I172" i="24"/>
  <c r="K172" i="24"/>
  <c r="L172" i="24"/>
  <c r="E173" i="24"/>
  <c r="F173" i="24"/>
  <c r="G173" i="24"/>
  <c r="H173" i="24"/>
  <c r="I173" i="24"/>
  <c r="K173" i="24"/>
  <c r="L173" i="24"/>
  <c r="E174" i="24"/>
  <c r="F174" i="24"/>
  <c r="G174" i="24"/>
  <c r="H174" i="24"/>
  <c r="I174" i="24"/>
  <c r="K174" i="24"/>
  <c r="L174" i="24"/>
  <c r="E175" i="24"/>
  <c r="F175" i="24"/>
  <c r="G175" i="24"/>
  <c r="H175" i="24"/>
  <c r="I175" i="24"/>
  <c r="K175" i="24"/>
  <c r="L175" i="24"/>
  <c r="E176" i="24"/>
  <c r="F176" i="24"/>
  <c r="G176" i="24"/>
  <c r="H176" i="24"/>
  <c r="I176" i="24"/>
  <c r="K176" i="24"/>
  <c r="L176" i="24"/>
  <c r="E177" i="24"/>
  <c r="F177" i="24"/>
  <c r="G177" i="24"/>
  <c r="H177" i="24"/>
  <c r="I177" i="24"/>
  <c r="K177" i="24"/>
  <c r="L177" i="24"/>
  <c r="E178" i="24"/>
  <c r="F178" i="24"/>
  <c r="G178" i="24"/>
  <c r="H178" i="24"/>
  <c r="I178" i="24"/>
  <c r="K178" i="24"/>
  <c r="L178" i="24"/>
  <c r="E179" i="24"/>
  <c r="F179" i="24"/>
  <c r="G179" i="24"/>
  <c r="H179" i="24"/>
  <c r="I179" i="24"/>
  <c r="K179" i="24"/>
  <c r="L179" i="24"/>
  <c r="E180" i="24"/>
  <c r="F180" i="24"/>
  <c r="G180" i="24"/>
  <c r="H180" i="24"/>
  <c r="I180" i="24"/>
  <c r="K180" i="24"/>
  <c r="L180" i="24"/>
  <c r="E181" i="24"/>
  <c r="F181" i="24"/>
  <c r="G181" i="24"/>
  <c r="H181" i="24"/>
  <c r="I181" i="24"/>
  <c r="K181" i="24"/>
  <c r="L181" i="24"/>
  <c r="E182" i="24"/>
  <c r="F182" i="24"/>
  <c r="G182" i="24"/>
  <c r="H182" i="24"/>
  <c r="I182" i="24"/>
  <c r="K182" i="24"/>
  <c r="L182" i="24"/>
  <c r="E183" i="24"/>
  <c r="F183" i="24"/>
  <c r="G183" i="24"/>
  <c r="H183" i="24"/>
  <c r="I183" i="24"/>
  <c r="K183" i="24"/>
  <c r="L183" i="24"/>
  <c r="E184" i="24"/>
  <c r="F184" i="24"/>
  <c r="G184" i="24"/>
  <c r="H184" i="24"/>
  <c r="I184" i="24"/>
  <c r="K184" i="24"/>
  <c r="L184" i="24"/>
  <c r="E185" i="24"/>
  <c r="F185" i="24"/>
  <c r="G185" i="24"/>
  <c r="H185" i="24"/>
  <c r="I185" i="24"/>
  <c r="K185" i="24"/>
  <c r="L185" i="24"/>
  <c r="E186" i="24"/>
  <c r="F186" i="24"/>
  <c r="G186" i="24"/>
  <c r="H186" i="24"/>
  <c r="I186" i="24"/>
  <c r="K186" i="24"/>
  <c r="L186" i="24"/>
  <c r="E187" i="24"/>
  <c r="F187" i="24"/>
  <c r="G187" i="24"/>
  <c r="H187" i="24"/>
  <c r="I187" i="24"/>
  <c r="K187" i="24"/>
  <c r="L187" i="24"/>
  <c r="E188" i="24"/>
  <c r="F188" i="24"/>
  <c r="G188" i="24"/>
  <c r="H188" i="24"/>
  <c r="I188" i="24"/>
  <c r="K188" i="24"/>
  <c r="L188" i="24"/>
  <c r="E189" i="24"/>
  <c r="F189" i="24"/>
  <c r="G189" i="24"/>
  <c r="H189" i="24"/>
  <c r="I189" i="24"/>
  <c r="K189" i="24"/>
  <c r="L189" i="24"/>
  <c r="E190" i="24"/>
  <c r="F190" i="24"/>
  <c r="G190" i="24"/>
  <c r="H190" i="24"/>
  <c r="I190" i="24"/>
  <c r="K190" i="24"/>
  <c r="L190" i="24"/>
  <c r="E191" i="24"/>
  <c r="F191" i="24"/>
  <c r="G191" i="24"/>
  <c r="H191" i="24"/>
  <c r="I191" i="24"/>
  <c r="K191" i="24"/>
  <c r="L191" i="24"/>
  <c r="E192" i="24"/>
  <c r="F192" i="24"/>
  <c r="G192" i="24"/>
  <c r="H192" i="24"/>
  <c r="I192" i="24"/>
  <c r="K192" i="24"/>
  <c r="L192" i="24"/>
  <c r="E193" i="24"/>
  <c r="F193" i="24"/>
  <c r="G193" i="24"/>
  <c r="H193" i="24"/>
  <c r="I193" i="24"/>
  <c r="K193" i="24"/>
  <c r="L193" i="24"/>
  <c r="E194" i="24"/>
  <c r="F194" i="24"/>
  <c r="G194" i="24"/>
  <c r="H194" i="24"/>
  <c r="I194" i="24"/>
  <c r="K194" i="24"/>
  <c r="L194" i="24"/>
  <c r="E195" i="24"/>
  <c r="F195" i="24"/>
  <c r="G195" i="24"/>
  <c r="H195" i="24"/>
  <c r="I195" i="24"/>
  <c r="K195" i="24"/>
  <c r="L195" i="24"/>
  <c r="E196" i="24"/>
  <c r="F196" i="24"/>
  <c r="G196" i="24"/>
  <c r="H196" i="24"/>
  <c r="I196" i="24"/>
  <c r="K196" i="24"/>
  <c r="L196" i="24"/>
  <c r="E197" i="24"/>
  <c r="F197" i="24"/>
  <c r="G197" i="24"/>
  <c r="H197" i="24"/>
  <c r="I197" i="24"/>
  <c r="K197" i="24"/>
  <c r="L197" i="24"/>
  <c r="E198" i="24"/>
  <c r="F198" i="24"/>
  <c r="G198" i="24"/>
  <c r="H198" i="24"/>
  <c r="I198" i="24"/>
  <c r="K198" i="24"/>
  <c r="L198" i="24"/>
  <c r="E199" i="24"/>
  <c r="F199" i="24"/>
  <c r="G199" i="24"/>
  <c r="H199" i="24"/>
  <c r="I199" i="24"/>
  <c r="K199" i="24"/>
  <c r="L199" i="24"/>
  <c r="E200" i="24"/>
  <c r="F200" i="24"/>
  <c r="G200" i="24"/>
  <c r="H200" i="24"/>
  <c r="I200" i="24"/>
  <c r="K200" i="24"/>
  <c r="L200" i="24"/>
  <c r="E201" i="24"/>
  <c r="F201" i="24"/>
  <c r="G201" i="24"/>
  <c r="H201" i="24"/>
  <c r="I201" i="24"/>
  <c r="K201" i="24"/>
  <c r="L201" i="24"/>
  <c r="E202" i="24"/>
  <c r="F202" i="24"/>
  <c r="G202" i="24"/>
  <c r="H202" i="24"/>
  <c r="I202" i="24"/>
  <c r="K202" i="24"/>
  <c r="L202" i="24"/>
  <c r="E203" i="24"/>
  <c r="F203" i="24"/>
  <c r="G203" i="24"/>
  <c r="H203" i="24"/>
  <c r="I203" i="24"/>
  <c r="K203" i="24"/>
  <c r="L203" i="24"/>
  <c r="E204" i="24"/>
  <c r="F204" i="24"/>
  <c r="G204" i="24"/>
  <c r="H204" i="24"/>
  <c r="I204" i="24"/>
  <c r="K204" i="24"/>
  <c r="L204" i="24"/>
  <c r="E205" i="24"/>
  <c r="F205" i="24"/>
  <c r="G205" i="24"/>
  <c r="H205" i="24"/>
  <c r="I205" i="24"/>
  <c r="K205" i="24"/>
  <c r="L205" i="24"/>
  <c r="E206" i="24"/>
  <c r="F206" i="24"/>
  <c r="G206" i="24"/>
  <c r="H206" i="24"/>
  <c r="I206" i="24"/>
  <c r="K206" i="24"/>
  <c r="L206" i="24"/>
  <c r="E207" i="24"/>
  <c r="F207" i="24"/>
  <c r="G207" i="24"/>
  <c r="H207" i="24"/>
  <c r="I207" i="24"/>
  <c r="K207" i="24"/>
  <c r="L207" i="24"/>
  <c r="E208" i="24"/>
  <c r="F208" i="24"/>
  <c r="G208" i="24"/>
  <c r="H208" i="24"/>
  <c r="I208" i="24"/>
  <c r="K208" i="24"/>
  <c r="L208" i="24"/>
  <c r="E209" i="24"/>
  <c r="F209" i="24"/>
  <c r="G209" i="24"/>
  <c r="H209" i="24"/>
  <c r="I209" i="24"/>
  <c r="K209" i="24"/>
  <c r="L209" i="24"/>
  <c r="E210" i="24"/>
  <c r="F210" i="24"/>
  <c r="G210" i="24"/>
  <c r="H210" i="24"/>
  <c r="I210" i="24"/>
  <c r="K210" i="24"/>
  <c r="L210" i="24"/>
  <c r="E211" i="24"/>
  <c r="F211" i="24"/>
  <c r="G211" i="24"/>
  <c r="H211" i="24"/>
  <c r="I211" i="24"/>
  <c r="K211" i="24"/>
  <c r="L211" i="24"/>
  <c r="E212" i="24"/>
  <c r="F212" i="24"/>
  <c r="G212" i="24"/>
  <c r="H212" i="24"/>
  <c r="I212" i="24"/>
  <c r="K212" i="24"/>
  <c r="L212" i="24"/>
  <c r="E213" i="24"/>
  <c r="F213" i="24"/>
  <c r="G213" i="24"/>
  <c r="H213" i="24"/>
  <c r="I213" i="24"/>
  <c r="K213" i="24"/>
  <c r="L213" i="24"/>
  <c r="E214" i="24"/>
  <c r="F214" i="24"/>
  <c r="G214" i="24"/>
  <c r="H214" i="24"/>
  <c r="I214" i="24"/>
  <c r="K214" i="24"/>
  <c r="L214" i="24"/>
  <c r="E215" i="24"/>
  <c r="F215" i="24"/>
  <c r="G215" i="24"/>
  <c r="H215" i="24"/>
  <c r="I215" i="24"/>
  <c r="K215" i="24"/>
  <c r="L215" i="24"/>
  <c r="E216" i="24"/>
  <c r="F216" i="24"/>
  <c r="G216" i="24"/>
  <c r="H216" i="24"/>
  <c r="I216" i="24"/>
  <c r="K216" i="24"/>
  <c r="L216" i="24"/>
  <c r="E217" i="24"/>
  <c r="F217" i="24"/>
  <c r="G217" i="24"/>
  <c r="H217" i="24"/>
  <c r="I217" i="24"/>
  <c r="K217" i="24"/>
  <c r="L217" i="24"/>
  <c r="E218" i="24"/>
  <c r="F218" i="24"/>
  <c r="G218" i="24"/>
  <c r="H218" i="24"/>
  <c r="I218" i="24"/>
  <c r="K218" i="24"/>
  <c r="L218" i="24"/>
  <c r="E219" i="24"/>
  <c r="F219" i="24"/>
  <c r="G219" i="24"/>
  <c r="H219" i="24"/>
  <c r="I219" i="24"/>
  <c r="K219" i="24"/>
  <c r="L219" i="24"/>
  <c r="E220" i="24"/>
  <c r="F220" i="24"/>
  <c r="G220" i="24"/>
  <c r="H220" i="24"/>
  <c r="I220" i="24"/>
  <c r="K220" i="24"/>
  <c r="L220" i="24"/>
  <c r="E221" i="24"/>
  <c r="F221" i="24"/>
  <c r="G221" i="24"/>
  <c r="H221" i="24"/>
  <c r="I221" i="24"/>
  <c r="K221" i="24"/>
  <c r="L221" i="24"/>
  <c r="E222" i="24"/>
  <c r="F222" i="24"/>
  <c r="G222" i="24"/>
  <c r="H222" i="24"/>
  <c r="I222" i="24"/>
  <c r="K222" i="24"/>
  <c r="L222" i="24"/>
  <c r="E223" i="24"/>
  <c r="F223" i="24"/>
  <c r="G223" i="24"/>
  <c r="H223" i="24"/>
  <c r="I223" i="24"/>
  <c r="K223" i="24"/>
  <c r="L223" i="24"/>
  <c r="E224" i="24"/>
  <c r="F224" i="24"/>
  <c r="G224" i="24"/>
  <c r="H224" i="24"/>
  <c r="I224" i="24"/>
  <c r="K224" i="24"/>
  <c r="L224" i="24"/>
  <c r="E225" i="24"/>
  <c r="F225" i="24"/>
  <c r="G225" i="24"/>
  <c r="H225" i="24"/>
  <c r="I225" i="24"/>
  <c r="K225" i="24"/>
  <c r="L225" i="24"/>
  <c r="E226" i="24"/>
  <c r="F226" i="24"/>
  <c r="G226" i="24"/>
  <c r="H226" i="24"/>
  <c r="I226" i="24"/>
  <c r="K226" i="24"/>
  <c r="L226" i="24"/>
  <c r="E227" i="24"/>
  <c r="F227" i="24"/>
  <c r="G227" i="24"/>
  <c r="H227" i="24"/>
  <c r="I227" i="24"/>
  <c r="K227" i="24"/>
  <c r="L227" i="24"/>
  <c r="E228" i="24"/>
  <c r="F228" i="24"/>
  <c r="G228" i="24"/>
  <c r="H228" i="24"/>
  <c r="I228" i="24"/>
  <c r="K228" i="24"/>
  <c r="L228" i="24"/>
  <c r="E229" i="24"/>
  <c r="F229" i="24"/>
  <c r="G229" i="24"/>
  <c r="H229" i="24"/>
  <c r="I229" i="24"/>
  <c r="K229" i="24"/>
  <c r="L229" i="24"/>
  <c r="E230" i="24"/>
  <c r="F230" i="24"/>
  <c r="G230" i="24"/>
  <c r="H230" i="24"/>
  <c r="I230" i="24"/>
  <c r="K230" i="24"/>
  <c r="L230" i="24"/>
  <c r="E231" i="24"/>
  <c r="F231" i="24"/>
  <c r="G231" i="24"/>
  <c r="H231" i="24"/>
  <c r="I231" i="24"/>
  <c r="K231" i="24"/>
  <c r="L231" i="24"/>
  <c r="E232" i="24"/>
  <c r="F232" i="24"/>
  <c r="G232" i="24"/>
  <c r="H232" i="24"/>
  <c r="I232" i="24"/>
  <c r="K232" i="24"/>
  <c r="L232" i="24"/>
  <c r="E233" i="24"/>
  <c r="F233" i="24"/>
  <c r="G233" i="24"/>
  <c r="H233" i="24"/>
  <c r="I233" i="24"/>
  <c r="K233" i="24"/>
  <c r="L233" i="24"/>
  <c r="E234" i="24"/>
  <c r="F234" i="24"/>
  <c r="G234" i="24"/>
  <c r="H234" i="24"/>
  <c r="I234" i="24"/>
  <c r="K234" i="24"/>
  <c r="L234" i="24"/>
  <c r="E235" i="24"/>
  <c r="F235" i="24"/>
  <c r="G235" i="24"/>
  <c r="H235" i="24"/>
  <c r="I235" i="24"/>
  <c r="K235" i="24"/>
  <c r="L235" i="24"/>
  <c r="E236" i="24"/>
  <c r="F236" i="24"/>
  <c r="G236" i="24"/>
  <c r="H236" i="24"/>
  <c r="I236" i="24"/>
  <c r="K236" i="24"/>
  <c r="L236" i="24"/>
  <c r="E237" i="24"/>
  <c r="F237" i="24"/>
  <c r="G237" i="24"/>
  <c r="H237" i="24"/>
  <c r="I237" i="24"/>
  <c r="K237" i="24"/>
  <c r="L237" i="24"/>
  <c r="E238" i="24"/>
  <c r="F238" i="24"/>
  <c r="G238" i="24"/>
  <c r="H238" i="24"/>
  <c r="I238" i="24"/>
  <c r="K238" i="24"/>
  <c r="L238" i="24"/>
  <c r="E239" i="24"/>
  <c r="F239" i="24"/>
  <c r="G239" i="24"/>
  <c r="H239" i="24"/>
  <c r="I239" i="24"/>
  <c r="K239" i="24"/>
  <c r="L239" i="24"/>
  <c r="E240" i="24"/>
  <c r="F240" i="24"/>
  <c r="G240" i="24"/>
  <c r="H240" i="24"/>
  <c r="I240" i="24"/>
  <c r="K240" i="24"/>
  <c r="L240" i="24"/>
  <c r="E241" i="24"/>
  <c r="F241" i="24"/>
  <c r="G241" i="24"/>
  <c r="H241" i="24"/>
  <c r="I241" i="24"/>
  <c r="K241" i="24"/>
  <c r="L241" i="24"/>
  <c r="E242" i="24"/>
  <c r="F242" i="24"/>
  <c r="G242" i="24"/>
  <c r="H242" i="24"/>
  <c r="I242" i="24"/>
  <c r="K242" i="24"/>
  <c r="L242" i="24"/>
  <c r="E243" i="24"/>
  <c r="F243" i="24"/>
  <c r="G243" i="24"/>
  <c r="H243" i="24"/>
  <c r="I243" i="24"/>
  <c r="K243" i="24"/>
  <c r="L243" i="24"/>
  <c r="E244" i="24"/>
  <c r="F244" i="24"/>
  <c r="G244" i="24"/>
  <c r="H244" i="24"/>
  <c r="I244" i="24"/>
  <c r="K244" i="24"/>
  <c r="L244" i="24"/>
  <c r="E245" i="24"/>
  <c r="F245" i="24"/>
  <c r="G245" i="24"/>
  <c r="H245" i="24"/>
  <c r="I245" i="24"/>
  <c r="K245" i="24"/>
  <c r="L245" i="24"/>
  <c r="E246" i="24"/>
  <c r="F246" i="24"/>
  <c r="G246" i="24"/>
  <c r="H246" i="24"/>
  <c r="I246" i="24"/>
  <c r="K246" i="24"/>
  <c r="L246" i="24"/>
  <c r="E247" i="24"/>
  <c r="F247" i="24"/>
  <c r="G247" i="24"/>
  <c r="H247" i="24"/>
  <c r="I247" i="24"/>
  <c r="K247" i="24"/>
  <c r="L247" i="24"/>
  <c r="E248" i="24"/>
  <c r="F248" i="24"/>
  <c r="G248" i="24"/>
  <c r="H248" i="24"/>
  <c r="I248" i="24"/>
  <c r="K248" i="24"/>
  <c r="L248" i="24"/>
  <c r="E249" i="24"/>
  <c r="F249" i="24"/>
  <c r="G249" i="24"/>
  <c r="H249" i="24"/>
  <c r="I249" i="24"/>
  <c r="K249" i="24"/>
  <c r="L249" i="24"/>
  <c r="E250" i="24"/>
  <c r="F250" i="24"/>
  <c r="G250" i="24"/>
  <c r="H250" i="24"/>
  <c r="I250" i="24"/>
  <c r="K250" i="24"/>
  <c r="L250" i="24"/>
  <c r="E251" i="24"/>
  <c r="F251" i="24"/>
  <c r="G251" i="24"/>
  <c r="H251" i="24"/>
  <c r="I251" i="24"/>
  <c r="K251" i="24"/>
  <c r="L251" i="24"/>
  <c r="E252" i="24"/>
  <c r="F252" i="24"/>
  <c r="G252" i="24"/>
  <c r="H252" i="24"/>
  <c r="I252" i="24"/>
  <c r="K252" i="24"/>
  <c r="L252" i="24"/>
  <c r="E253" i="24"/>
  <c r="F253" i="24"/>
  <c r="G253" i="24"/>
  <c r="H253" i="24"/>
  <c r="I253" i="24"/>
  <c r="K253" i="24"/>
  <c r="L253" i="24"/>
  <c r="E254" i="24"/>
  <c r="F254" i="24"/>
  <c r="G254" i="24"/>
  <c r="H254" i="24"/>
  <c r="I254" i="24"/>
  <c r="K254" i="24"/>
  <c r="L254" i="24"/>
  <c r="E255" i="24"/>
  <c r="F255" i="24"/>
  <c r="G255" i="24"/>
  <c r="H255" i="24"/>
  <c r="I255" i="24"/>
  <c r="K255" i="24"/>
  <c r="L255" i="24"/>
  <c r="E256" i="24"/>
  <c r="F256" i="24"/>
  <c r="G256" i="24"/>
  <c r="H256" i="24"/>
  <c r="I256" i="24"/>
  <c r="K256" i="24"/>
  <c r="L256" i="24"/>
  <c r="E257" i="24"/>
  <c r="F257" i="24"/>
  <c r="G257" i="24"/>
  <c r="H257" i="24"/>
  <c r="I257" i="24"/>
  <c r="K257" i="24"/>
  <c r="L257" i="24"/>
  <c r="E258" i="24"/>
  <c r="F258" i="24"/>
  <c r="G258" i="24"/>
  <c r="H258" i="24"/>
  <c r="I258" i="24"/>
  <c r="K258" i="24"/>
  <c r="L258" i="24"/>
  <c r="E259" i="24"/>
  <c r="F259" i="24"/>
  <c r="G259" i="24"/>
  <c r="H259" i="24"/>
  <c r="I259" i="24"/>
  <c r="K259" i="24"/>
  <c r="L259" i="24"/>
  <c r="E260" i="24"/>
  <c r="F260" i="24"/>
  <c r="G260" i="24"/>
  <c r="H260" i="24"/>
  <c r="I260" i="24"/>
  <c r="K260" i="24"/>
  <c r="L260" i="24"/>
  <c r="E261" i="24"/>
  <c r="F261" i="24"/>
  <c r="G261" i="24"/>
  <c r="H261" i="24"/>
  <c r="I261" i="24"/>
  <c r="K261" i="24"/>
  <c r="L261" i="24"/>
  <c r="E262" i="24"/>
  <c r="F262" i="24"/>
  <c r="G262" i="24"/>
  <c r="H262" i="24"/>
  <c r="I262" i="24"/>
  <c r="K262" i="24"/>
  <c r="L262" i="24"/>
  <c r="E263" i="24"/>
  <c r="F263" i="24"/>
  <c r="G263" i="24"/>
  <c r="H263" i="24"/>
  <c r="I263" i="24"/>
  <c r="K263" i="24"/>
  <c r="L263" i="24"/>
  <c r="E264" i="24"/>
  <c r="F264" i="24"/>
  <c r="G264" i="24"/>
  <c r="H264" i="24"/>
  <c r="I264" i="24"/>
  <c r="K264" i="24"/>
  <c r="L264" i="24"/>
  <c r="E265" i="24"/>
  <c r="F265" i="24"/>
  <c r="G265" i="24"/>
  <c r="H265" i="24"/>
  <c r="I265" i="24"/>
  <c r="K265" i="24"/>
  <c r="L265" i="24"/>
  <c r="E266" i="24"/>
  <c r="F266" i="24"/>
  <c r="G266" i="24"/>
  <c r="H266" i="24"/>
  <c r="I266" i="24"/>
  <c r="K266" i="24"/>
  <c r="L266" i="24"/>
  <c r="E267" i="24"/>
  <c r="F267" i="24"/>
  <c r="G267" i="24"/>
  <c r="H267" i="24"/>
  <c r="I267" i="24"/>
  <c r="K267" i="24"/>
  <c r="L267" i="24"/>
  <c r="E268" i="24"/>
  <c r="F268" i="24"/>
  <c r="G268" i="24"/>
  <c r="H268" i="24"/>
  <c r="I268" i="24"/>
  <c r="K268" i="24"/>
  <c r="L268" i="24"/>
  <c r="E269" i="24"/>
  <c r="F269" i="24"/>
  <c r="G269" i="24"/>
  <c r="H269" i="24"/>
  <c r="I269" i="24"/>
  <c r="K269" i="24"/>
  <c r="L269" i="24"/>
  <c r="E270" i="24"/>
  <c r="F270" i="24"/>
  <c r="G270" i="24"/>
  <c r="H270" i="24"/>
  <c r="I270" i="24"/>
  <c r="K270" i="24"/>
  <c r="L270" i="24"/>
  <c r="E271" i="24"/>
  <c r="F271" i="24"/>
  <c r="G271" i="24"/>
  <c r="H271" i="24"/>
  <c r="I271" i="24"/>
  <c r="E272" i="24"/>
  <c r="F272" i="24"/>
  <c r="G272" i="24"/>
  <c r="H272" i="24"/>
  <c r="I272" i="24"/>
  <c r="E273" i="24"/>
  <c r="F273" i="24"/>
  <c r="G273" i="24"/>
  <c r="H273" i="24"/>
  <c r="I273" i="24"/>
  <c r="E274" i="24"/>
  <c r="F274" i="24"/>
  <c r="G274" i="24"/>
  <c r="H274" i="24"/>
  <c r="I274" i="24"/>
  <c r="E275" i="24"/>
  <c r="F275" i="24"/>
  <c r="G275" i="24"/>
  <c r="H275" i="24"/>
  <c r="I275" i="24"/>
  <c r="E276" i="24"/>
  <c r="F276" i="24"/>
  <c r="G276" i="24"/>
  <c r="H276" i="24"/>
  <c r="I276" i="24"/>
  <c r="E277" i="24"/>
  <c r="F277" i="24"/>
  <c r="G277" i="24"/>
  <c r="H277" i="24"/>
  <c r="I277" i="24"/>
  <c r="E278" i="24"/>
  <c r="F278" i="24"/>
  <c r="G278" i="24"/>
  <c r="H278" i="24"/>
  <c r="I278" i="24"/>
  <c r="E279" i="24"/>
  <c r="F279" i="24"/>
  <c r="G279" i="24"/>
  <c r="H279" i="24"/>
  <c r="I279" i="24"/>
  <c r="E280" i="24"/>
  <c r="F280" i="24"/>
  <c r="G280" i="24"/>
  <c r="H280" i="24"/>
  <c r="I280" i="24"/>
  <c r="E281" i="24"/>
  <c r="F281" i="24"/>
  <c r="G281" i="24"/>
  <c r="H281" i="24"/>
  <c r="I281" i="24"/>
  <c r="E282" i="24"/>
  <c r="F282" i="24"/>
  <c r="G282" i="24"/>
  <c r="H282" i="24"/>
  <c r="I282" i="24"/>
  <c r="E283" i="24"/>
  <c r="F283" i="24"/>
  <c r="G283" i="24"/>
  <c r="H283" i="24"/>
  <c r="I283" i="24"/>
  <c r="E284" i="24"/>
  <c r="F284" i="24"/>
  <c r="G284" i="24"/>
  <c r="H284" i="24"/>
  <c r="I284" i="24"/>
  <c r="E285" i="24"/>
  <c r="F285" i="24"/>
  <c r="G285" i="24"/>
  <c r="H285" i="24"/>
  <c r="I285" i="24"/>
  <c r="E286" i="24"/>
  <c r="F286" i="24"/>
  <c r="G286" i="24"/>
  <c r="H286" i="24"/>
  <c r="I286" i="24"/>
  <c r="E287" i="24"/>
  <c r="F287" i="24"/>
  <c r="G287" i="24"/>
  <c r="H287" i="24"/>
  <c r="I287" i="24"/>
  <c r="E288" i="24"/>
  <c r="F288" i="24"/>
  <c r="G288" i="24"/>
  <c r="H288" i="24"/>
  <c r="I288" i="24"/>
  <c r="E289" i="24"/>
  <c r="F289" i="24"/>
  <c r="G289" i="24"/>
  <c r="H289" i="24"/>
  <c r="I289" i="24"/>
  <c r="E290" i="24"/>
  <c r="F290" i="24"/>
  <c r="G290" i="24"/>
  <c r="H290" i="24"/>
  <c r="I290" i="24"/>
  <c r="E291" i="24"/>
  <c r="F291" i="24"/>
  <c r="G291" i="24"/>
  <c r="H291" i="24"/>
  <c r="I291" i="24"/>
  <c r="E292" i="24"/>
  <c r="F292" i="24"/>
  <c r="G292" i="24"/>
  <c r="H292" i="24"/>
  <c r="I292" i="24"/>
  <c r="E293" i="24"/>
  <c r="F293" i="24"/>
  <c r="G293" i="24"/>
  <c r="H293" i="24"/>
  <c r="I293" i="24"/>
  <c r="E294" i="24"/>
  <c r="F294" i="24"/>
  <c r="G294" i="24"/>
  <c r="H294" i="24"/>
  <c r="I294" i="24"/>
  <c r="E308" i="24"/>
  <c r="F308" i="24"/>
  <c r="G308" i="24"/>
  <c r="H308" i="24"/>
  <c r="I308" i="24"/>
  <c r="K308" i="24"/>
  <c r="L308" i="24"/>
  <c r="E309" i="24"/>
  <c r="F309" i="24"/>
  <c r="G309" i="24"/>
  <c r="H309" i="24"/>
  <c r="I309" i="24"/>
  <c r="K309" i="24"/>
  <c r="L309" i="24"/>
  <c r="E310" i="24"/>
  <c r="F310" i="24"/>
  <c r="G310" i="24"/>
  <c r="H310" i="24"/>
  <c r="I310" i="24"/>
  <c r="K310" i="24"/>
  <c r="L310" i="24"/>
  <c r="E311" i="24"/>
  <c r="F311" i="24"/>
  <c r="G311" i="24"/>
  <c r="H311" i="24"/>
  <c r="I311" i="24"/>
  <c r="K311" i="24"/>
  <c r="L311" i="24"/>
  <c r="E312" i="24"/>
  <c r="F312" i="24"/>
  <c r="G312" i="24"/>
  <c r="H312" i="24"/>
  <c r="I312" i="24"/>
  <c r="K312" i="24"/>
  <c r="L312" i="24"/>
  <c r="E313" i="24"/>
  <c r="F313" i="24"/>
  <c r="G313" i="24"/>
  <c r="H313" i="24"/>
  <c r="I313" i="24"/>
  <c r="K313" i="24"/>
  <c r="L313" i="24"/>
  <c r="E314" i="24"/>
  <c r="F314" i="24"/>
  <c r="G314" i="24"/>
  <c r="H314" i="24"/>
  <c r="I314" i="24"/>
  <c r="K314" i="24"/>
  <c r="L314" i="24"/>
  <c r="E315" i="24"/>
  <c r="F315" i="24"/>
  <c r="G315" i="24"/>
  <c r="H315" i="24"/>
  <c r="I315" i="24"/>
  <c r="K315" i="24"/>
  <c r="L315" i="24"/>
  <c r="E316" i="24"/>
  <c r="F316" i="24"/>
  <c r="G316" i="24"/>
  <c r="H316" i="24"/>
  <c r="I316" i="24"/>
  <c r="K316" i="24"/>
  <c r="L316" i="24"/>
  <c r="E317" i="24"/>
  <c r="F317" i="24"/>
  <c r="G317" i="24"/>
  <c r="H317" i="24"/>
  <c r="I317" i="24"/>
  <c r="K317" i="24"/>
  <c r="L317" i="24"/>
  <c r="E318" i="24"/>
  <c r="F318" i="24"/>
  <c r="G318" i="24"/>
  <c r="H318" i="24"/>
  <c r="I318" i="24"/>
  <c r="K318" i="24"/>
  <c r="L318" i="24"/>
  <c r="E319" i="24"/>
  <c r="F319" i="24"/>
  <c r="G319" i="24"/>
  <c r="H319" i="24"/>
  <c r="I319" i="24"/>
  <c r="K319" i="24"/>
  <c r="L319" i="24"/>
  <c r="E320" i="24"/>
  <c r="F320" i="24"/>
  <c r="G320" i="24"/>
  <c r="H320" i="24"/>
  <c r="I320" i="24"/>
  <c r="K320" i="24"/>
  <c r="L320" i="24"/>
  <c r="E321" i="24"/>
  <c r="F321" i="24"/>
  <c r="G321" i="24"/>
  <c r="H321" i="24"/>
  <c r="I321" i="24"/>
  <c r="K321" i="24"/>
  <c r="L321" i="24"/>
  <c r="E322" i="24"/>
  <c r="F322" i="24"/>
  <c r="G322" i="24"/>
  <c r="H322" i="24"/>
  <c r="I322" i="24"/>
  <c r="K322" i="24"/>
  <c r="L322" i="24"/>
  <c r="E323" i="24"/>
  <c r="F323" i="24"/>
  <c r="G323" i="24"/>
  <c r="H323" i="24"/>
  <c r="I323" i="24"/>
  <c r="K323" i="24"/>
  <c r="L323" i="24"/>
  <c r="E324" i="24"/>
  <c r="F324" i="24"/>
  <c r="G324" i="24"/>
  <c r="H324" i="24"/>
  <c r="I324" i="24"/>
  <c r="K324" i="24"/>
  <c r="L324" i="24"/>
  <c r="E325" i="24"/>
  <c r="F325" i="24"/>
  <c r="G325" i="24"/>
  <c r="H325" i="24"/>
  <c r="I325" i="24"/>
  <c r="K325" i="24"/>
  <c r="L325" i="24"/>
  <c r="E326" i="24"/>
  <c r="F326" i="24"/>
  <c r="G326" i="24"/>
  <c r="H326" i="24"/>
  <c r="I326" i="24"/>
  <c r="K326" i="24"/>
  <c r="L326" i="24"/>
  <c r="E327" i="24"/>
  <c r="F327" i="24"/>
  <c r="G327" i="24"/>
  <c r="H327" i="24"/>
  <c r="I327" i="24"/>
  <c r="K327" i="24"/>
  <c r="L327" i="24"/>
  <c r="E328" i="24"/>
  <c r="F328" i="24"/>
  <c r="G328" i="24"/>
  <c r="H328" i="24"/>
  <c r="I328" i="24"/>
  <c r="K328" i="24"/>
  <c r="L328" i="24"/>
  <c r="E329" i="24"/>
  <c r="F329" i="24"/>
  <c r="G329" i="24"/>
  <c r="H329" i="24"/>
  <c r="I329" i="24"/>
  <c r="K329" i="24"/>
  <c r="L329" i="24"/>
  <c r="E330" i="24"/>
  <c r="F330" i="24"/>
  <c r="G330" i="24"/>
  <c r="H330" i="24"/>
  <c r="I330" i="24"/>
  <c r="K330" i="24"/>
  <c r="L330" i="24"/>
  <c r="E331" i="24"/>
  <c r="F331" i="24"/>
  <c r="G331" i="24"/>
  <c r="H331" i="24"/>
  <c r="I331" i="24"/>
  <c r="K331" i="24"/>
  <c r="L331" i="24"/>
  <c r="E332" i="24"/>
  <c r="F332" i="24"/>
  <c r="G332" i="24"/>
  <c r="H332" i="24"/>
  <c r="I332" i="24"/>
  <c r="K332" i="24"/>
  <c r="L332" i="24"/>
  <c r="E333" i="24"/>
  <c r="F333" i="24"/>
  <c r="G333" i="24"/>
  <c r="H333" i="24"/>
  <c r="I333" i="24"/>
  <c r="K333" i="24"/>
  <c r="L333" i="24"/>
  <c r="E334" i="24"/>
  <c r="F334" i="24"/>
  <c r="G334" i="24"/>
  <c r="H334" i="24"/>
  <c r="I334" i="24"/>
  <c r="K334" i="24"/>
  <c r="L334" i="24"/>
  <c r="E335" i="24"/>
  <c r="F335" i="24"/>
  <c r="G335" i="24"/>
  <c r="H335" i="24"/>
  <c r="I335" i="24"/>
  <c r="K335" i="24"/>
  <c r="L335" i="24"/>
  <c r="E336" i="24"/>
  <c r="F336" i="24"/>
  <c r="G336" i="24"/>
  <c r="H336" i="24"/>
  <c r="I336" i="24"/>
  <c r="K336" i="24"/>
  <c r="L336" i="24"/>
  <c r="E337" i="24"/>
  <c r="F337" i="24"/>
  <c r="G337" i="24"/>
  <c r="H337" i="24"/>
  <c r="I337" i="24"/>
  <c r="K337" i="24"/>
  <c r="L337" i="24"/>
  <c r="E338" i="24"/>
  <c r="F338" i="24"/>
  <c r="G338" i="24"/>
  <c r="H338" i="24"/>
  <c r="I338" i="24"/>
  <c r="K338" i="24"/>
  <c r="L338" i="24"/>
  <c r="E339" i="24"/>
  <c r="F339" i="24"/>
  <c r="G339" i="24"/>
  <c r="H339" i="24"/>
  <c r="I339" i="24"/>
  <c r="K339" i="24"/>
  <c r="L339" i="24"/>
  <c r="E340" i="24"/>
  <c r="F340" i="24"/>
  <c r="G340" i="24"/>
  <c r="H340" i="24"/>
  <c r="I340" i="24"/>
  <c r="K340" i="24"/>
  <c r="L340" i="24"/>
  <c r="E341" i="24"/>
  <c r="F341" i="24"/>
  <c r="G341" i="24"/>
  <c r="H341" i="24"/>
  <c r="I341" i="24"/>
  <c r="K341" i="24"/>
  <c r="L341" i="24"/>
  <c r="E342" i="24"/>
  <c r="F342" i="24"/>
  <c r="G342" i="24"/>
  <c r="H342" i="24"/>
  <c r="I342" i="24"/>
  <c r="K342" i="24"/>
  <c r="L342" i="24"/>
  <c r="E343" i="24"/>
  <c r="F343" i="24"/>
  <c r="G343" i="24"/>
  <c r="H343" i="24"/>
  <c r="I343" i="24"/>
  <c r="K343" i="24"/>
  <c r="L343" i="24"/>
  <c r="E344" i="24"/>
  <c r="F344" i="24"/>
  <c r="G344" i="24"/>
  <c r="H344" i="24"/>
  <c r="I344" i="24"/>
  <c r="K344" i="24"/>
  <c r="L344" i="24"/>
  <c r="E345" i="24"/>
  <c r="F345" i="24"/>
  <c r="G345" i="24"/>
  <c r="H345" i="24"/>
  <c r="I345" i="24"/>
  <c r="K345" i="24"/>
  <c r="L345" i="24"/>
  <c r="E346" i="24"/>
  <c r="F346" i="24"/>
  <c r="G346" i="24"/>
  <c r="H346" i="24"/>
  <c r="I346" i="24"/>
  <c r="K346" i="24"/>
  <c r="L346" i="24"/>
  <c r="E347" i="24"/>
  <c r="F347" i="24"/>
  <c r="G347" i="24"/>
  <c r="H347" i="24"/>
  <c r="I347" i="24"/>
  <c r="K347" i="24"/>
  <c r="L347" i="24"/>
  <c r="E348" i="24"/>
  <c r="F348" i="24"/>
  <c r="G348" i="24"/>
  <c r="H348" i="24"/>
  <c r="I348" i="24"/>
  <c r="K348" i="24"/>
  <c r="L348" i="24"/>
  <c r="E349" i="24"/>
  <c r="F349" i="24"/>
  <c r="G349" i="24"/>
  <c r="H349" i="24"/>
  <c r="I349" i="24"/>
  <c r="K349" i="24"/>
  <c r="L349" i="24"/>
  <c r="E350" i="24"/>
  <c r="F350" i="24"/>
  <c r="G350" i="24"/>
  <c r="H350" i="24"/>
  <c r="I350" i="24"/>
  <c r="K350" i="24"/>
  <c r="L350" i="24"/>
  <c r="E351" i="24"/>
  <c r="F351" i="24"/>
  <c r="G351" i="24"/>
  <c r="H351" i="24"/>
  <c r="I351" i="24"/>
  <c r="K351" i="24"/>
  <c r="L351" i="24"/>
  <c r="E352" i="24"/>
  <c r="F352" i="24"/>
  <c r="G352" i="24"/>
  <c r="H352" i="24"/>
  <c r="I352" i="24"/>
  <c r="K352" i="24"/>
  <c r="L352" i="24"/>
  <c r="E353" i="24"/>
  <c r="F353" i="24"/>
  <c r="G353" i="24"/>
  <c r="H353" i="24"/>
  <c r="I353" i="24"/>
  <c r="K353" i="24"/>
  <c r="L353" i="24"/>
  <c r="E354" i="24"/>
  <c r="F354" i="24"/>
  <c r="G354" i="24"/>
  <c r="H354" i="24"/>
  <c r="I354" i="24"/>
  <c r="K354" i="24"/>
  <c r="L354" i="24"/>
  <c r="E355" i="24"/>
  <c r="F355" i="24"/>
  <c r="G355" i="24"/>
  <c r="H355" i="24"/>
  <c r="I355" i="24"/>
  <c r="K355" i="24"/>
  <c r="L355" i="24"/>
  <c r="E356" i="24"/>
  <c r="F356" i="24"/>
  <c r="G356" i="24"/>
  <c r="H356" i="24"/>
  <c r="I356" i="24"/>
  <c r="K356" i="24"/>
  <c r="L356" i="24"/>
  <c r="E357" i="24"/>
  <c r="F357" i="24"/>
  <c r="G357" i="24"/>
  <c r="H357" i="24"/>
  <c r="I357" i="24"/>
  <c r="K357" i="24"/>
  <c r="L357" i="24"/>
  <c r="E358" i="24"/>
  <c r="F358" i="24"/>
  <c r="G358" i="24"/>
  <c r="H358" i="24"/>
  <c r="I358" i="24"/>
  <c r="K358" i="24"/>
  <c r="L358" i="24"/>
  <c r="E359" i="24"/>
  <c r="F359" i="24"/>
  <c r="G359" i="24"/>
  <c r="H359" i="24"/>
  <c r="I359" i="24"/>
  <c r="K359" i="24"/>
  <c r="L359" i="24"/>
  <c r="E360" i="24"/>
  <c r="F360" i="24"/>
  <c r="G360" i="24"/>
  <c r="H360" i="24"/>
  <c r="I360" i="24"/>
  <c r="K360" i="24"/>
  <c r="L360" i="24"/>
  <c r="E361" i="24"/>
  <c r="F361" i="24"/>
  <c r="G361" i="24"/>
  <c r="H361" i="24"/>
  <c r="I361" i="24"/>
  <c r="K361" i="24"/>
  <c r="L361" i="24"/>
  <c r="E362" i="24"/>
  <c r="F362" i="24"/>
  <c r="G362" i="24"/>
  <c r="H362" i="24"/>
  <c r="I362" i="24"/>
  <c r="K362" i="24"/>
  <c r="L362" i="24"/>
  <c r="E363" i="24"/>
  <c r="F363" i="24"/>
  <c r="G363" i="24"/>
  <c r="H363" i="24"/>
  <c r="I363" i="24"/>
  <c r="K363" i="24"/>
  <c r="L363" i="24"/>
  <c r="E364" i="24"/>
  <c r="F364" i="24"/>
  <c r="G364" i="24"/>
  <c r="H364" i="24"/>
  <c r="I364" i="24"/>
  <c r="K364" i="24"/>
  <c r="L364" i="24"/>
  <c r="E365" i="24"/>
  <c r="F365" i="24"/>
  <c r="G365" i="24"/>
  <c r="H365" i="24"/>
  <c r="I365" i="24"/>
  <c r="K365" i="24"/>
  <c r="L365" i="24"/>
  <c r="E366" i="24"/>
  <c r="F366" i="24"/>
  <c r="G366" i="24"/>
  <c r="H366" i="24"/>
  <c r="I366" i="24"/>
  <c r="K366" i="24"/>
  <c r="L366" i="24"/>
  <c r="E367" i="24"/>
  <c r="F367" i="24"/>
  <c r="G367" i="24"/>
  <c r="H367" i="24"/>
  <c r="I367" i="24"/>
  <c r="K367" i="24"/>
  <c r="L367" i="24"/>
  <c r="E369" i="24"/>
  <c r="F369" i="24"/>
  <c r="G369" i="24"/>
  <c r="H369" i="24"/>
  <c r="I369" i="24"/>
  <c r="K369" i="24"/>
  <c r="L369" i="24"/>
  <c r="E370" i="24"/>
  <c r="F370" i="24"/>
  <c r="G370" i="24"/>
  <c r="H370" i="24"/>
  <c r="I370" i="24"/>
  <c r="K370" i="24"/>
  <c r="L370" i="24"/>
  <c r="E371" i="24"/>
  <c r="F371" i="24"/>
  <c r="G371" i="24"/>
  <c r="H371" i="24"/>
  <c r="I371" i="24"/>
  <c r="K371" i="24"/>
  <c r="L371" i="24"/>
  <c r="E372" i="24"/>
  <c r="F372" i="24"/>
  <c r="G372" i="24"/>
  <c r="H372" i="24"/>
  <c r="I372" i="24"/>
  <c r="K372" i="24"/>
  <c r="L372" i="24"/>
  <c r="E373" i="24"/>
  <c r="F373" i="24"/>
  <c r="G373" i="24"/>
  <c r="H373" i="24"/>
  <c r="I373" i="24"/>
  <c r="K373" i="24"/>
  <c r="L373" i="24"/>
  <c r="E374" i="24"/>
  <c r="F374" i="24"/>
  <c r="G374" i="24"/>
  <c r="H374" i="24"/>
  <c r="I374" i="24"/>
  <c r="K374" i="24"/>
  <c r="L374" i="24"/>
  <c r="E375" i="24"/>
  <c r="F375" i="24"/>
  <c r="G375" i="24"/>
  <c r="H375" i="24"/>
  <c r="I375" i="24"/>
  <c r="K375" i="24"/>
  <c r="L375" i="24"/>
  <c r="E376" i="24"/>
  <c r="F376" i="24"/>
  <c r="G376" i="24"/>
  <c r="H376" i="24"/>
  <c r="I376" i="24"/>
  <c r="K376" i="24"/>
  <c r="L376" i="24"/>
  <c r="E377" i="24"/>
  <c r="F377" i="24"/>
  <c r="G377" i="24"/>
  <c r="H377" i="24"/>
  <c r="I377" i="24"/>
  <c r="K377" i="24"/>
  <c r="L377" i="24"/>
  <c r="E378" i="24"/>
  <c r="F378" i="24"/>
  <c r="G378" i="24"/>
  <c r="H378" i="24"/>
  <c r="I378" i="24"/>
  <c r="K378" i="24"/>
  <c r="L378" i="24"/>
  <c r="E379" i="24"/>
  <c r="F379" i="24"/>
  <c r="G379" i="24"/>
  <c r="H379" i="24"/>
  <c r="I379" i="24"/>
  <c r="K379" i="24"/>
  <c r="L379" i="24"/>
  <c r="E380" i="24"/>
  <c r="F380" i="24"/>
  <c r="G380" i="24"/>
  <c r="H380" i="24"/>
  <c r="I380" i="24"/>
  <c r="K380" i="24"/>
  <c r="L380" i="24"/>
  <c r="E381" i="24"/>
  <c r="F381" i="24"/>
  <c r="G381" i="24"/>
  <c r="H381" i="24"/>
  <c r="I381" i="24"/>
  <c r="K381" i="24"/>
  <c r="L381" i="24"/>
  <c r="E382" i="24"/>
  <c r="F382" i="24"/>
  <c r="G382" i="24"/>
  <c r="H382" i="24"/>
  <c r="I382" i="24"/>
  <c r="K382" i="24"/>
  <c r="L382" i="24"/>
  <c r="E383" i="24"/>
  <c r="F383" i="24"/>
  <c r="G383" i="24"/>
  <c r="H383" i="24"/>
  <c r="I383" i="24"/>
  <c r="K383" i="24"/>
  <c r="L383" i="24"/>
  <c r="E384" i="24"/>
  <c r="F384" i="24"/>
  <c r="G384" i="24"/>
  <c r="H384" i="24"/>
  <c r="I384" i="24"/>
  <c r="K384" i="24"/>
  <c r="L384" i="24"/>
  <c r="E385" i="24"/>
  <c r="F385" i="24"/>
  <c r="G385" i="24"/>
  <c r="H385" i="24"/>
  <c r="I385" i="24"/>
  <c r="K385" i="24"/>
  <c r="L385" i="24"/>
  <c r="E386" i="24"/>
  <c r="F386" i="24"/>
  <c r="G386" i="24"/>
  <c r="H386" i="24"/>
  <c r="I386" i="24"/>
  <c r="K386" i="24"/>
  <c r="L386" i="24"/>
  <c r="E387" i="24"/>
  <c r="F387" i="24"/>
  <c r="G387" i="24"/>
  <c r="H387" i="24"/>
  <c r="I387" i="24"/>
  <c r="K387" i="24"/>
  <c r="L387" i="24"/>
  <c r="E388" i="24"/>
  <c r="F388" i="24"/>
  <c r="G388" i="24"/>
  <c r="H388" i="24"/>
  <c r="I388" i="24"/>
  <c r="K388" i="24"/>
  <c r="L388" i="24"/>
  <c r="E389" i="24"/>
  <c r="F389" i="24"/>
  <c r="G389" i="24"/>
  <c r="H389" i="24"/>
  <c r="I389" i="24"/>
  <c r="K389" i="24"/>
  <c r="L389" i="24"/>
  <c r="E390" i="24"/>
  <c r="F390" i="24"/>
  <c r="G390" i="24"/>
  <c r="H390" i="24"/>
  <c r="I390" i="24"/>
  <c r="K390" i="24"/>
  <c r="L390" i="24"/>
  <c r="E391" i="24"/>
  <c r="F391" i="24"/>
  <c r="G391" i="24"/>
  <c r="H391" i="24"/>
  <c r="I391" i="24"/>
  <c r="K391" i="24"/>
  <c r="L391" i="24"/>
  <c r="E392" i="24"/>
  <c r="F392" i="24"/>
  <c r="G392" i="24"/>
  <c r="H392" i="24"/>
  <c r="I392" i="24"/>
  <c r="K392" i="24"/>
  <c r="L392" i="24"/>
  <c r="E393" i="24"/>
  <c r="F393" i="24"/>
  <c r="G393" i="24"/>
  <c r="H393" i="24"/>
  <c r="I393" i="24"/>
  <c r="K393" i="24"/>
  <c r="L393" i="24"/>
  <c r="E394" i="24"/>
  <c r="F394" i="24"/>
  <c r="G394" i="24"/>
  <c r="H394" i="24"/>
  <c r="I394" i="24"/>
  <c r="K394" i="24"/>
  <c r="L394" i="24"/>
  <c r="E395" i="24"/>
  <c r="F395" i="24"/>
  <c r="G395" i="24"/>
  <c r="H395" i="24"/>
  <c r="I395" i="24"/>
  <c r="K395" i="24"/>
  <c r="L395" i="24"/>
  <c r="E396" i="24"/>
  <c r="F396" i="24"/>
  <c r="G396" i="24"/>
  <c r="H396" i="24"/>
  <c r="I396" i="24"/>
  <c r="K396" i="24"/>
  <c r="L396" i="24"/>
  <c r="E397" i="24"/>
  <c r="F397" i="24"/>
  <c r="G397" i="24"/>
  <c r="H397" i="24"/>
  <c r="I397" i="24"/>
  <c r="E398" i="24"/>
  <c r="F398" i="24"/>
  <c r="G398" i="24"/>
  <c r="H398" i="24"/>
  <c r="I398" i="24"/>
  <c r="E399" i="24"/>
  <c r="F399" i="24"/>
  <c r="G399" i="24"/>
  <c r="H399" i="24"/>
  <c r="I399" i="24"/>
  <c r="E400" i="24"/>
  <c r="F400" i="24"/>
  <c r="G400" i="24"/>
  <c r="H400" i="24"/>
  <c r="I400" i="24"/>
  <c r="E401" i="24"/>
  <c r="F401" i="24"/>
  <c r="G401" i="24"/>
  <c r="H401" i="24"/>
  <c r="I401" i="24"/>
  <c r="E402" i="24"/>
  <c r="F402" i="24"/>
  <c r="G402" i="24"/>
  <c r="H402" i="24"/>
  <c r="I402" i="24"/>
  <c r="E403" i="24"/>
  <c r="F403" i="24"/>
  <c r="G403" i="24"/>
  <c r="H403" i="24"/>
  <c r="I403" i="24"/>
  <c r="E404" i="24"/>
  <c r="F404" i="24"/>
  <c r="G404" i="24"/>
  <c r="H404" i="24"/>
  <c r="I404" i="24"/>
  <c r="E405" i="24"/>
  <c r="F405" i="24"/>
  <c r="G405" i="24"/>
  <c r="H405" i="24"/>
  <c r="I405" i="24"/>
  <c r="E406" i="24"/>
  <c r="F406" i="24"/>
  <c r="G406" i="24"/>
  <c r="H406" i="24"/>
  <c r="I406" i="24"/>
  <c r="E407" i="24"/>
  <c r="F407" i="24"/>
  <c r="G407" i="24"/>
  <c r="H407" i="24"/>
  <c r="I407" i="24"/>
  <c r="E410" i="24"/>
  <c r="F410" i="24"/>
  <c r="G410" i="24"/>
  <c r="H410" i="24"/>
  <c r="I410" i="24"/>
  <c r="K410" i="24"/>
  <c r="L410" i="24"/>
  <c r="E411" i="24"/>
  <c r="F411" i="24"/>
  <c r="G411" i="24"/>
  <c r="H411" i="24"/>
  <c r="I411" i="24"/>
  <c r="K411" i="24"/>
  <c r="L411" i="24"/>
  <c r="E412" i="24"/>
  <c r="F412" i="24"/>
  <c r="G412" i="24"/>
  <c r="H412" i="24"/>
  <c r="I412" i="24"/>
  <c r="K412" i="24"/>
  <c r="L412" i="24"/>
  <c r="E413" i="24"/>
  <c r="F413" i="24"/>
  <c r="G413" i="24"/>
  <c r="H413" i="24"/>
  <c r="I413" i="24"/>
  <c r="K413" i="24"/>
  <c r="L413" i="24"/>
  <c r="E414" i="24"/>
  <c r="F414" i="24"/>
  <c r="G414" i="24"/>
  <c r="H414" i="24"/>
  <c r="I414" i="24"/>
  <c r="K414" i="24"/>
  <c r="L414" i="24"/>
  <c r="E415" i="24"/>
  <c r="F415" i="24"/>
  <c r="G415" i="24"/>
  <c r="H415" i="24"/>
  <c r="I415" i="24"/>
  <c r="K415" i="24"/>
  <c r="L415" i="24"/>
  <c r="E416" i="24"/>
  <c r="F416" i="24"/>
  <c r="G416" i="24"/>
  <c r="H416" i="24"/>
  <c r="I416" i="24"/>
  <c r="K416" i="24"/>
  <c r="L416" i="24"/>
  <c r="E417" i="24"/>
  <c r="F417" i="24"/>
  <c r="G417" i="24"/>
  <c r="H417" i="24"/>
  <c r="I417" i="24"/>
  <c r="K417" i="24"/>
  <c r="L417" i="24"/>
  <c r="E418" i="24"/>
  <c r="F418" i="24"/>
  <c r="G418" i="24"/>
  <c r="H418" i="24"/>
  <c r="I418" i="24"/>
  <c r="K418" i="24"/>
  <c r="L418" i="24"/>
  <c r="E419" i="24"/>
  <c r="F419" i="24"/>
  <c r="G419" i="24"/>
  <c r="H419" i="24"/>
  <c r="I419" i="24"/>
  <c r="K419" i="24"/>
  <c r="L419" i="24"/>
  <c r="E420" i="24"/>
  <c r="F420" i="24"/>
  <c r="G420" i="24"/>
  <c r="H420" i="24"/>
  <c r="I420" i="24"/>
  <c r="K420" i="24"/>
  <c r="L420" i="24"/>
  <c r="E421" i="24"/>
  <c r="F421" i="24"/>
  <c r="G421" i="24"/>
  <c r="H421" i="24"/>
  <c r="I421" i="24"/>
  <c r="K421" i="24"/>
  <c r="L421" i="24"/>
  <c r="E422" i="24"/>
  <c r="F422" i="24"/>
  <c r="H422" i="24"/>
  <c r="K422" i="24"/>
  <c r="L422" i="24"/>
  <c r="E423" i="24"/>
  <c r="D316" i="23" s="1"/>
  <c r="D315" i="23" s="1"/>
  <c r="F423" i="24"/>
  <c r="E316" i="23" s="1"/>
  <c r="H423" i="24"/>
  <c r="K423" i="24"/>
  <c r="L423" i="24"/>
  <c r="E424" i="24"/>
  <c r="F424" i="24"/>
  <c r="H424" i="24"/>
  <c r="K424" i="24"/>
  <c r="L424" i="24"/>
  <c r="E425" i="24"/>
  <c r="F425" i="24"/>
  <c r="H425" i="24"/>
  <c r="K425" i="24"/>
  <c r="L425" i="24"/>
  <c r="E426" i="24"/>
  <c r="F426" i="24"/>
  <c r="H426" i="24"/>
  <c r="K426" i="24"/>
  <c r="L426" i="24"/>
  <c r="E427" i="24"/>
  <c r="F427" i="24"/>
  <c r="H427" i="24"/>
  <c r="K427" i="24"/>
  <c r="L427" i="24"/>
  <c r="E428" i="24"/>
  <c r="F428" i="24"/>
  <c r="H428" i="24"/>
  <c r="K428" i="24"/>
  <c r="L428" i="24"/>
  <c r="E429" i="24"/>
  <c r="F429" i="24"/>
  <c r="H429" i="24"/>
  <c r="K429" i="24"/>
  <c r="L429" i="24"/>
  <c r="E430" i="24"/>
  <c r="F430" i="24"/>
  <c r="H430" i="24"/>
  <c r="K430" i="24"/>
  <c r="L430" i="24"/>
  <c r="E431" i="24"/>
  <c r="F431" i="24"/>
  <c r="H431" i="24"/>
  <c r="K431" i="24"/>
  <c r="L431" i="24"/>
  <c r="E432" i="24"/>
  <c r="F432" i="24"/>
  <c r="H432" i="24"/>
  <c r="K432" i="24"/>
  <c r="L432" i="24"/>
  <c r="E433" i="24"/>
  <c r="F433" i="24"/>
  <c r="H433" i="24"/>
  <c r="K433" i="24"/>
  <c r="L433" i="24"/>
  <c r="E434" i="24"/>
  <c r="F434" i="24"/>
  <c r="H434" i="24"/>
  <c r="K434" i="24"/>
  <c r="L434" i="24"/>
  <c r="E435" i="24"/>
  <c r="F435" i="24"/>
  <c r="H435" i="24"/>
  <c r="K435" i="24"/>
  <c r="L435" i="24"/>
  <c r="E436" i="24"/>
  <c r="F436" i="24"/>
  <c r="H436" i="24"/>
  <c r="K436" i="24"/>
  <c r="L436" i="24"/>
  <c r="E437" i="24"/>
  <c r="F437" i="24"/>
  <c r="H437" i="24"/>
  <c r="K437" i="24"/>
  <c r="L437" i="24"/>
  <c r="E438" i="24"/>
  <c r="F438" i="24"/>
  <c r="H438" i="24"/>
  <c r="E439" i="24"/>
  <c r="F439" i="24"/>
  <c r="H439" i="24"/>
  <c r="K439" i="24"/>
  <c r="L439" i="24"/>
  <c r="E440" i="24"/>
  <c r="F440" i="24"/>
  <c r="E342" i="23" s="1"/>
  <c r="H440" i="24"/>
  <c r="K440" i="24"/>
  <c r="L440" i="24"/>
  <c r="E442" i="24"/>
  <c r="F442" i="24"/>
  <c r="H442" i="24"/>
  <c r="K442" i="24"/>
  <c r="L442" i="24"/>
  <c r="E443" i="24"/>
  <c r="F443" i="24"/>
  <c r="H443" i="24"/>
  <c r="K443" i="24"/>
  <c r="L443" i="24"/>
  <c r="E444" i="24"/>
  <c r="F444" i="24"/>
  <c r="H444" i="24"/>
  <c r="K444" i="24"/>
  <c r="L444" i="24"/>
  <c r="E445" i="24"/>
  <c r="F445" i="24"/>
  <c r="H445" i="24"/>
  <c r="K445" i="24"/>
  <c r="L445" i="24"/>
  <c r="E446" i="24"/>
  <c r="F446" i="24"/>
  <c r="H446" i="24"/>
  <c r="K446" i="24"/>
  <c r="L446" i="24"/>
  <c r="E447" i="24"/>
  <c r="D361" i="23" s="1"/>
  <c r="F447" i="24"/>
  <c r="E361" i="23" s="1"/>
  <c r="H447" i="24"/>
  <c r="K447" i="24"/>
  <c r="L447" i="24"/>
  <c r="E448" i="24"/>
  <c r="F448" i="24"/>
  <c r="H448" i="24"/>
  <c r="K448" i="24"/>
  <c r="L448" i="24"/>
  <c r="E449" i="24"/>
  <c r="F449" i="24"/>
  <c r="H449" i="24"/>
  <c r="K449" i="24"/>
  <c r="L449" i="24"/>
  <c r="E450" i="24"/>
  <c r="F450" i="24"/>
  <c r="H450" i="24"/>
  <c r="K450" i="24"/>
  <c r="L450" i="24"/>
  <c r="E451" i="24"/>
  <c r="F451" i="24"/>
  <c r="H451" i="24"/>
  <c r="K451" i="24"/>
  <c r="L451" i="24"/>
  <c r="E452" i="24"/>
  <c r="F452" i="24"/>
  <c r="H452" i="24"/>
  <c r="K452" i="24"/>
  <c r="L452" i="24"/>
  <c r="E454" i="24"/>
  <c r="F454" i="24"/>
  <c r="H454" i="24"/>
  <c r="K454" i="24"/>
  <c r="L454" i="24"/>
  <c r="E455" i="24"/>
  <c r="F455" i="24"/>
  <c r="H455" i="24"/>
  <c r="K455" i="24"/>
  <c r="L455" i="24"/>
  <c r="G456" i="24"/>
  <c r="G19" i="24" s="1"/>
  <c r="I456" i="24"/>
  <c r="I19" i="24" s="1"/>
  <c r="J456" i="24"/>
  <c r="K456" i="24"/>
  <c r="L456" i="24"/>
  <c r="F96" i="23"/>
  <c r="H96" i="23"/>
  <c r="F97" i="23"/>
  <c r="H97" i="23"/>
  <c r="F98" i="23"/>
  <c r="H98" i="23"/>
  <c r="F99" i="23"/>
  <c r="H99" i="23"/>
  <c r="F100" i="23"/>
  <c r="H100" i="23"/>
  <c r="F101" i="23"/>
  <c r="H101" i="23"/>
  <c r="F102" i="23"/>
  <c r="H102" i="23"/>
  <c r="F103" i="23"/>
  <c r="H103" i="23"/>
  <c r="F104" i="23"/>
  <c r="H104" i="23"/>
  <c r="F105" i="23"/>
  <c r="H105" i="23"/>
  <c r="F106" i="23"/>
  <c r="H106" i="23"/>
  <c r="F107" i="23"/>
  <c r="H107" i="23"/>
  <c r="F108" i="23"/>
  <c r="H108" i="23"/>
  <c r="F109" i="23"/>
  <c r="H109" i="23"/>
  <c r="F110" i="23"/>
  <c r="H110" i="23"/>
  <c r="F111" i="23"/>
  <c r="H111" i="23"/>
  <c r="F112" i="23"/>
  <c r="H112" i="23"/>
  <c r="F113" i="23"/>
  <c r="H113" i="23"/>
  <c r="F114" i="23"/>
  <c r="H114" i="23"/>
  <c r="F115" i="23"/>
  <c r="H115" i="23"/>
  <c r="F116" i="23"/>
  <c r="H116" i="23"/>
  <c r="F117" i="23"/>
  <c r="H117" i="23"/>
  <c r="F118" i="23"/>
  <c r="H118" i="23"/>
  <c r="F119" i="23"/>
  <c r="H119" i="23"/>
  <c r="F120" i="23"/>
  <c r="H120" i="23"/>
  <c r="F121" i="23"/>
  <c r="H121" i="23"/>
  <c r="F122" i="23"/>
  <c r="H122" i="23"/>
  <c r="F123" i="23"/>
  <c r="H123" i="23"/>
  <c r="F124" i="23"/>
  <c r="H124" i="23"/>
  <c r="F125" i="23"/>
  <c r="H125" i="23"/>
  <c r="F126" i="23"/>
  <c r="H126" i="23"/>
  <c r="F127" i="23"/>
  <c r="H127" i="23"/>
  <c r="F128" i="23"/>
  <c r="H128" i="23"/>
  <c r="F129" i="23"/>
  <c r="H129" i="23"/>
  <c r="F130" i="23"/>
  <c r="H130" i="23"/>
  <c r="F131" i="23"/>
  <c r="H131" i="23"/>
  <c r="F132" i="23"/>
  <c r="H132" i="23"/>
  <c r="F133" i="23"/>
  <c r="H133" i="23"/>
  <c r="F134" i="23"/>
  <c r="H134" i="23"/>
  <c r="F135" i="23"/>
  <c r="H135" i="23"/>
  <c r="F136" i="23"/>
  <c r="H136" i="23"/>
  <c r="F137" i="23"/>
  <c r="H137" i="23"/>
  <c r="F138" i="23"/>
  <c r="H138" i="23"/>
  <c r="F139" i="23"/>
  <c r="H139" i="23"/>
  <c r="I141" i="23"/>
  <c r="I142" i="23"/>
  <c r="I143" i="23"/>
  <c r="I144" i="23"/>
  <c r="I145" i="23"/>
  <c r="I146" i="23"/>
  <c r="I147" i="23"/>
  <c r="I148" i="23"/>
  <c r="I149" i="23"/>
  <c r="I150" i="23"/>
  <c r="I151" i="23"/>
  <c r="I152" i="23"/>
  <c r="I153" i="23"/>
  <c r="I154" i="23"/>
  <c r="I155" i="23"/>
  <c r="I156" i="23"/>
  <c r="I157" i="23"/>
  <c r="I158" i="23"/>
  <c r="I159" i="23"/>
  <c r="I160" i="23"/>
  <c r="I161" i="23"/>
  <c r="I162" i="23"/>
  <c r="I163" i="23"/>
  <c r="I164" i="23"/>
  <c r="I165" i="23"/>
  <c r="I166" i="23"/>
  <c r="I167" i="23"/>
  <c r="I168" i="23"/>
  <c r="I169" i="23"/>
  <c r="I170" i="23"/>
  <c r="I171" i="23"/>
  <c r="I172" i="23"/>
  <c r="A207" i="23"/>
  <c r="A214" i="23"/>
  <c r="A215" i="23"/>
  <c r="F219" i="23"/>
  <c r="F218" i="23" s="1"/>
  <c r="F217" i="23" s="1"/>
  <c r="H219" i="23"/>
  <c r="H218" i="23" s="1"/>
  <c r="H217" i="23" s="1"/>
  <c r="A220" i="23"/>
  <c r="A228" i="23"/>
  <c r="F228" i="23"/>
  <c r="H228" i="23"/>
  <c r="A229" i="23"/>
  <c r="F229" i="23"/>
  <c r="H229" i="23"/>
  <c r="F232" i="23"/>
  <c r="H232" i="23"/>
  <c r="A233" i="23"/>
  <c r="A280" i="23"/>
  <c r="A281" i="23"/>
  <c r="A282" i="23"/>
  <c r="A283" i="23"/>
  <c r="A284" i="23"/>
  <c r="A285" i="23"/>
  <c r="A286" i="23"/>
  <c r="A287" i="23"/>
  <c r="A288" i="23"/>
  <c r="A289" i="23"/>
  <c r="A290" i="23"/>
  <c r="A291" i="23"/>
  <c r="I291" i="23"/>
  <c r="A292" i="23"/>
  <c r="I292" i="23"/>
  <c r="A293" i="23"/>
  <c r="I293" i="23"/>
  <c r="A294" i="23"/>
  <c r="I294" i="23"/>
  <c r="A295" i="23"/>
  <c r="A296" i="23"/>
  <c r="A297" i="23"/>
  <c r="F301" i="23"/>
  <c r="H301" i="23"/>
  <c r="I301" i="23"/>
  <c r="A312" i="23"/>
  <c r="A313" i="23"/>
  <c r="I347" i="23"/>
  <c r="I348" i="23"/>
  <c r="I349" i="23"/>
  <c r="I350" i="23"/>
  <c r="F362" i="23"/>
  <c r="H362" i="23"/>
  <c r="I362" i="23"/>
  <c r="I369" i="23"/>
  <c r="I375" i="23"/>
  <c r="I376" i="23"/>
  <c r="D377" i="23"/>
  <c r="E377" i="23"/>
  <c r="I93" i="22"/>
  <c r="I104" i="22"/>
  <c r="I105" i="22"/>
  <c r="I110" i="22"/>
  <c r="I111" i="22"/>
  <c r="I112" i="22"/>
  <c r="I113" i="22"/>
  <c r="I115" i="22"/>
  <c r="A172" i="22"/>
  <c r="A173" i="22"/>
  <c r="A174" i="22"/>
  <c r="A205" i="22"/>
  <c r="A206" i="22"/>
  <c r="I333" i="22"/>
  <c r="I335" i="22"/>
  <c r="I337" i="22"/>
  <c r="I339" i="22"/>
  <c r="I342" i="22"/>
  <c r="I345" i="22"/>
  <c r="I347" i="22"/>
  <c r="I349" i="22"/>
  <c r="I351" i="22"/>
  <c r="I353" i="22"/>
  <c r="I368" i="22"/>
  <c r="I372" i="22"/>
  <c r="I374" i="22"/>
  <c r="I378" i="22"/>
  <c r="I380" i="22"/>
  <c r="I382" i="22"/>
  <c r="I384" i="22"/>
  <c r="I386" i="22"/>
  <c r="I388" i="22"/>
  <c r="I390" i="22"/>
  <c r="I392" i="22"/>
  <c r="I394" i="22"/>
  <c r="I396" i="22"/>
  <c r="I398" i="22"/>
  <c r="I400" i="22"/>
  <c r="I402" i="22"/>
  <c r="I404" i="22"/>
  <c r="I406" i="22"/>
  <c r="I408" i="22"/>
  <c r="I410" i="22"/>
  <c r="I412" i="22"/>
  <c r="I414" i="22"/>
  <c r="I416" i="22"/>
  <c r="I418" i="22"/>
  <c r="I420" i="22"/>
  <c r="I422" i="22"/>
  <c r="I424" i="22"/>
  <c r="I426" i="22"/>
  <c r="I428" i="22"/>
  <c r="I432" i="22"/>
  <c r="I434" i="22"/>
  <c r="I436" i="22"/>
  <c r="I438" i="22"/>
  <c r="I440" i="22"/>
  <c r="I442" i="22"/>
  <c r="I444" i="22"/>
  <c r="I446" i="22"/>
  <c r="I448" i="22"/>
  <c r="I450" i="22"/>
  <c r="I452" i="22"/>
  <c r="I454" i="22"/>
  <c r="I456" i="22"/>
  <c r="I458" i="22"/>
  <c r="I460" i="22"/>
  <c r="I462" i="22"/>
  <c r="I464" i="22"/>
  <c r="I466" i="22"/>
  <c r="I468" i="22"/>
  <c r="I470" i="22"/>
  <c r="I472" i="22"/>
  <c r="I474" i="22"/>
  <c r="I476" i="22"/>
  <c r="I478" i="22"/>
  <c r="I480" i="22"/>
  <c r="I482" i="22"/>
  <c r="I484" i="22"/>
  <c r="I486" i="22"/>
  <c r="I488" i="22"/>
  <c r="I490" i="22"/>
  <c r="I492" i="22"/>
  <c r="A495" i="22"/>
  <c r="A497" i="22"/>
  <c r="A499" i="22"/>
  <c r="A501" i="22"/>
  <c r="A503" i="22"/>
  <c r="A505" i="22"/>
  <c r="A507" i="22"/>
  <c r="A509" i="22"/>
  <c r="A523" i="22"/>
  <c r="A525" i="22"/>
  <c r="I764" i="22"/>
  <c r="A784" i="22"/>
  <c r="A553" i="22"/>
  <c r="A554" i="22"/>
  <c r="A556" i="22"/>
  <c r="A564" i="22"/>
  <c r="A572" i="22"/>
  <c r="E363" i="23" l="1"/>
  <c r="I370" i="23"/>
  <c r="J452" i="24"/>
  <c r="E315" i="23"/>
  <c r="I368" i="23"/>
  <c r="I358" i="23"/>
  <c r="I355" i="23"/>
  <c r="G316" i="23"/>
  <c r="I316" i="23" s="1"/>
  <c r="I317" i="23"/>
  <c r="I359" i="23"/>
  <c r="I356" i="23"/>
  <c r="G342" i="23"/>
  <c r="I342" i="23" s="1"/>
  <c r="I343" i="23"/>
  <c r="I318" i="23"/>
  <c r="E352" i="23"/>
  <c r="E351" i="23" s="1"/>
  <c r="H227" i="23"/>
  <c r="H224" i="23" s="1"/>
  <c r="F227" i="23"/>
  <c r="F224" i="23" s="1"/>
  <c r="H8" i="24"/>
  <c r="G8" i="24"/>
  <c r="F8" i="24"/>
  <c r="E8" i="24"/>
  <c r="I8" i="24"/>
  <c r="G13" i="24"/>
  <c r="F13" i="24"/>
  <c r="E13" i="24"/>
  <c r="H13" i="24"/>
  <c r="I13" i="24"/>
  <c r="F5" i="24"/>
  <c r="E5" i="24"/>
  <c r="I5" i="24"/>
  <c r="G5" i="24"/>
  <c r="H5" i="24"/>
  <c r="I6" i="24"/>
  <c r="H6" i="24"/>
  <c r="G6" i="24"/>
  <c r="F6" i="24"/>
  <c r="E6" i="24"/>
  <c r="H16" i="24"/>
  <c r="E321" i="23"/>
  <c r="F16" i="24"/>
  <c r="E16" i="24"/>
  <c r="E10" i="24"/>
  <c r="J19" i="24"/>
  <c r="J199" i="24"/>
  <c r="J191" i="24"/>
  <c r="J183" i="24"/>
  <c r="J144" i="24"/>
  <c r="J124" i="24"/>
  <c r="J154" i="24"/>
  <c r="J136" i="24"/>
  <c r="J69" i="24"/>
  <c r="J61" i="24"/>
  <c r="J33" i="24"/>
  <c r="J25" i="24"/>
  <c r="J152" i="24"/>
  <c r="J116" i="24"/>
  <c r="J108" i="24"/>
  <c r="J100" i="24"/>
  <c r="J92" i="24"/>
  <c r="J84" i="24"/>
  <c r="J159" i="24"/>
  <c r="J289" i="24"/>
  <c r="J281" i="24"/>
  <c r="J273" i="24"/>
  <c r="J269" i="24"/>
  <c r="J261" i="24"/>
  <c r="J142" i="24"/>
  <c r="J134" i="24"/>
  <c r="J126" i="24"/>
  <c r="J122" i="24"/>
  <c r="J114" i="24"/>
  <c r="J106" i="24"/>
  <c r="J90" i="24"/>
  <c r="J82" i="24"/>
  <c r="J209" i="24"/>
  <c r="J153" i="24"/>
  <c r="J206" i="24"/>
  <c r="J158" i="24"/>
  <c r="J55" i="24"/>
  <c r="J47" i="24"/>
  <c r="J438" i="24"/>
  <c r="J430" i="24"/>
  <c r="J204" i="24"/>
  <c r="J349" i="24"/>
  <c r="J341" i="24"/>
  <c r="J333" i="24"/>
  <c r="J374" i="24"/>
  <c r="J172" i="24"/>
  <c r="J163" i="24"/>
  <c r="J357" i="24"/>
  <c r="J385" i="24"/>
  <c r="J352" i="24"/>
  <c r="J344" i="24"/>
  <c r="J336" i="24"/>
  <c r="J328" i="24"/>
  <c r="J320" i="24"/>
  <c r="J378" i="24"/>
  <c r="J361" i="24"/>
  <c r="J353" i="24"/>
  <c r="J345" i="24"/>
  <c r="J337" i="24"/>
  <c r="J329" i="24"/>
  <c r="J321" i="24"/>
  <c r="J313" i="24"/>
  <c r="J260" i="24"/>
  <c r="J121" i="24"/>
  <c r="I338" i="23"/>
  <c r="J205" i="24"/>
  <c r="I172" i="22"/>
  <c r="I94" i="22"/>
  <c r="J388" i="24"/>
  <c r="J383" i="24"/>
  <c r="J350" i="24"/>
  <c r="J342" i="24"/>
  <c r="J334" i="24"/>
  <c r="J326" i="24"/>
  <c r="J318" i="24"/>
  <c r="J310" i="24"/>
  <c r="J201" i="24"/>
  <c r="J193" i="24"/>
  <c r="J185" i="24"/>
  <c r="J433" i="24"/>
  <c r="J202" i="24"/>
  <c r="J265" i="24"/>
  <c r="J257" i="24"/>
  <c r="J222" i="24"/>
  <c r="J312" i="24"/>
  <c r="J251" i="24"/>
  <c r="J243" i="24"/>
  <c r="J235" i="24"/>
  <c r="J211" i="24"/>
  <c r="I119" i="22"/>
  <c r="I282" i="23"/>
  <c r="J253" i="24"/>
  <c r="J73" i="24"/>
  <c r="J65" i="24"/>
  <c r="J57" i="24"/>
  <c r="J179" i="24"/>
  <c r="J207" i="24"/>
  <c r="J449" i="24"/>
  <c r="J435" i="24"/>
  <c r="J380" i="24"/>
  <c r="J372" i="24"/>
  <c r="J369" i="24"/>
  <c r="I503" i="22"/>
  <c r="J200" i="24"/>
  <c r="J192" i="24"/>
  <c r="J184" i="24"/>
  <c r="I336" i="23"/>
  <c r="J439" i="24"/>
  <c r="J405" i="24"/>
  <c r="J394" i="24"/>
  <c r="J364" i="24"/>
  <c r="J165" i="24"/>
  <c r="J143" i="24"/>
  <c r="J135" i="24"/>
  <c r="J123" i="24"/>
  <c r="J115" i="24"/>
  <c r="J107" i="24"/>
  <c r="J35" i="24"/>
  <c r="J27" i="24"/>
  <c r="J440" i="24"/>
  <c r="J399" i="24"/>
  <c r="J382" i="24"/>
  <c r="J325" i="24"/>
  <c r="J317" i="24"/>
  <c r="J309" i="24"/>
  <c r="J156" i="24"/>
  <c r="J76" i="24"/>
  <c r="J72" i="24"/>
  <c r="J64" i="24"/>
  <c r="J56" i="24"/>
  <c r="J48" i="24"/>
  <c r="J36" i="24"/>
  <c r="J28" i="24"/>
  <c r="I55" i="23"/>
  <c r="J195" i="24"/>
  <c r="J187" i="24"/>
  <c r="J157" i="24"/>
  <c r="J145" i="24"/>
  <c r="J137" i="24"/>
  <c r="J127" i="24"/>
  <c r="J117" i="24"/>
  <c r="J109" i="24"/>
  <c r="J101" i="24"/>
  <c r="J93" i="24"/>
  <c r="J85" i="24"/>
  <c r="J49" i="24"/>
  <c r="J37" i="24"/>
  <c r="J29" i="24"/>
  <c r="I501" i="22"/>
  <c r="J406" i="24"/>
  <c r="I248" i="23"/>
  <c r="J384" i="24"/>
  <c r="J376" i="24"/>
  <c r="J367" i="24"/>
  <c r="J359" i="24"/>
  <c r="J351" i="24"/>
  <c r="J343" i="24"/>
  <c r="J335" i="24"/>
  <c r="J327" i="24"/>
  <c r="J319" i="24"/>
  <c r="J250" i="24"/>
  <c r="J242" i="24"/>
  <c r="J234" i="24"/>
  <c r="J226" i="24"/>
  <c r="J215" i="24"/>
  <c r="J401" i="24"/>
  <c r="J227" i="24"/>
  <c r="J210" i="24"/>
  <c r="J161" i="24"/>
  <c r="J285" i="24"/>
  <c r="I82" i="22"/>
  <c r="I539" i="22"/>
  <c r="J397" i="24"/>
  <c r="I245" i="23"/>
  <c r="J407" i="24"/>
  <c r="J278" i="24"/>
  <c r="J267" i="24"/>
  <c r="J259" i="24"/>
  <c r="J355" i="24"/>
  <c r="J347" i="24"/>
  <c r="J339" i="24"/>
  <c r="I48" i="23"/>
  <c r="J331" i="24"/>
  <c r="J323" i="24"/>
  <c r="J315" i="24"/>
  <c r="J245" i="24"/>
  <c r="J237" i="24"/>
  <c r="J229" i="24"/>
  <c r="J113" i="24"/>
  <c r="I190" i="23"/>
  <c r="I118" i="22"/>
  <c r="I46" i="23"/>
  <c r="J356" i="24"/>
  <c r="J348" i="24"/>
  <c r="J340" i="24"/>
  <c r="J332" i="24"/>
  <c r="J324" i="24"/>
  <c r="J316" i="24"/>
  <c r="I189" i="23"/>
  <c r="I41" i="23"/>
  <c r="I140" i="23"/>
  <c r="I175" i="23"/>
  <c r="I47" i="23"/>
  <c r="J223" i="24"/>
  <c r="I187" i="23"/>
  <c r="I176" i="23"/>
  <c r="J224" i="24"/>
  <c r="I42" i="23"/>
  <c r="I243" i="23"/>
  <c r="J354" i="24"/>
  <c r="J346" i="24"/>
  <c r="J338" i="24"/>
  <c r="J330" i="24"/>
  <c r="J322" i="24"/>
  <c r="J314" i="24"/>
  <c r="J228" i="24"/>
  <c r="J216" i="24"/>
  <c r="J381" i="24"/>
  <c r="J379" i="24"/>
  <c r="J138" i="24"/>
  <c r="J208" i="24"/>
  <c r="I215" i="23"/>
  <c r="J203" i="24"/>
  <c r="J373" i="24"/>
  <c r="J194" i="24"/>
  <c r="J186" i="24"/>
  <c r="J196" i="24"/>
  <c r="J188" i="24"/>
  <c r="J180" i="24"/>
  <c r="J362" i="24"/>
  <c r="J197" i="24"/>
  <c r="J189" i="24"/>
  <c r="J181" i="24"/>
  <c r="J363" i="24"/>
  <c r="J198" i="24"/>
  <c r="J190" i="24"/>
  <c r="J169" i="24"/>
  <c r="J375" i="24"/>
  <c r="J155" i="24"/>
  <c r="J358" i="24"/>
  <c r="J360" i="24"/>
  <c r="J287" i="24"/>
  <c r="J279" i="24"/>
  <c r="I295" i="23"/>
  <c r="J403" i="24"/>
  <c r="J396" i="24"/>
  <c r="J395" i="24"/>
  <c r="J146" i="24"/>
  <c r="J283" i="24"/>
  <c r="J275" i="24"/>
  <c r="J272" i="24"/>
  <c r="J266" i="24"/>
  <c r="J258" i="24"/>
  <c r="I53" i="23"/>
  <c r="I117" i="22"/>
  <c r="I182" i="23"/>
  <c r="J311" i="24"/>
  <c r="J393" i="24"/>
  <c r="J392" i="24"/>
  <c r="J391" i="24"/>
  <c r="J390" i="24"/>
  <c r="J389" i="24"/>
  <c r="J387" i="24"/>
  <c r="J386" i="24"/>
  <c r="I49" i="23"/>
  <c r="J420" i="24"/>
  <c r="J412" i="24"/>
  <c r="J413" i="24"/>
  <c r="J249" i="24"/>
  <c r="J241" i="24"/>
  <c r="J233" i="24"/>
  <c r="I188" i="23"/>
  <c r="I179" i="23"/>
  <c r="J219" i="24"/>
  <c r="I249" i="23"/>
  <c r="I284" i="23"/>
  <c r="I246" i="23"/>
  <c r="I283" i="23"/>
  <c r="J214" i="24"/>
  <c r="J366" i="24"/>
  <c r="J365" i="24"/>
  <c r="J212" i="24"/>
  <c r="J377" i="24"/>
  <c r="J88" i="24"/>
  <c r="I214" i="23"/>
  <c r="J71" i="24"/>
  <c r="J63" i="24"/>
  <c r="I784" i="22"/>
  <c r="J182" i="24"/>
  <c r="J80" i="24"/>
  <c r="I525" i="22"/>
  <c r="J371" i="24"/>
  <c r="J370" i="24"/>
  <c r="J178" i="24"/>
  <c r="J177" i="24"/>
  <c r="J176" i="24"/>
  <c r="J175" i="24"/>
  <c r="J174" i="24"/>
  <c r="J173" i="24"/>
  <c r="J171" i="24"/>
  <c r="J170" i="24"/>
  <c r="J168" i="24"/>
  <c r="J167" i="24"/>
  <c r="J166" i="24"/>
  <c r="J164" i="24"/>
  <c r="J162" i="24"/>
  <c r="J160" i="24"/>
  <c r="I87" i="22"/>
  <c r="I86" i="22"/>
  <c r="J308" i="24"/>
  <c r="I173" i="22"/>
  <c r="I90" i="22"/>
  <c r="I83" i="22"/>
  <c r="I120" i="22"/>
  <c r="I102" i="22"/>
  <c r="H12" i="24"/>
  <c r="J442" i="24"/>
  <c r="J268" i="24"/>
  <c r="J252" i="24"/>
  <c r="J244" i="24"/>
  <c r="J236" i="24"/>
  <c r="J225" i="24"/>
  <c r="J217" i="24"/>
  <c r="J105" i="24"/>
  <c r="I507" i="22"/>
  <c r="I174" i="22"/>
  <c r="I50" i="23"/>
  <c r="F15" i="24"/>
  <c r="J218" i="24"/>
  <c r="J77" i="24"/>
  <c r="I499" i="22"/>
  <c r="I125" i="22"/>
  <c r="I173" i="23"/>
  <c r="J282" i="24"/>
  <c r="J270" i="24"/>
  <c r="J262" i="24"/>
  <c r="J254" i="24"/>
  <c r="J246" i="24"/>
  <c r="J238" i="24"/>
  <c r="J230" i="24"/>
  <c r="J147" i="24"/>
  <c r="J139" i="24"/>
  <c r="J118" i="24"/>
  <c r="J110" i="24"/>
  <c r="J102" i="24"/>
  <c r="J94" i="24"/>
  <c r="J86" i="24"/>
  <c r="J78" i="24"/>
  <c r="I335" i="23"/>
  <c r="I51" i="23"/>
  <c r="J291" i="24"/>
  <c r="J288" i="24"/>
  <c r="J271" i="24"/>
  <c r="J263" i="24"/>
  <c r="J255" i="24"/>
  <c r="J247" i="24"/>
  <c r="J239" i="24"/>
  <c r="J231" i="24"/>
  <c r="J220" i="24"/>
  <c r="J140" i="24"/>
  <c r="J119" i="24"/>
  <c r="J111" i="24"/>
  <c r="J67" i="24"/>
  <c r="J59" i="24"/>
  <c r="J51" i="24"/>
  <c r="J39" i="24"/>
  <c r="I495" i="22"/>
  <c r="J294" i="24"/>
  <c r="J277" i="24"/>
  <c r="J264" i="24"/>
  <c r="J256" i="24"/>
  <c r="J248" i="24"/>
  <c r="J240" i="24"/>
  <c r="J232" i="24"/>
  <c r="J221" i="24"/>
  <c r="J213" i="24"/>
  <c r="J141" i="24"/>
  <c r="J133" i="24"/>
  <c r="J120" i="24"/>
  <c r="J112" i="24"/>
  <c r="J74" i="24"/>
  <c r="I554" i="22"/>
  <c r="I553" i="22"/>
  <c r="I96" i="22"/>
  <c r="I186" i="23"/>
  <c r="I325" i="23"/>
  <c r="J426" i="24"/>
  <c r="J418" i="24"/>
  <c r="J427" i="24"/>
  <c r="I326" i="23"/>
  <c r="J428" i="24"/>
  <c r="I327" i="23"/>
  <c r="J53" i="24"/>
  <c r="J45" i="24"/>
  <c r="F457" i="24"/>
  <c r="J447" i="24"/>
  <c r="G361" i="23"/>
  <c r="I361" i="23" s="1"/>
  <c r="J421" i="24"/>
  <c r="I313" i="23"/>
  <c r="E14" i="24"/>
  <c r="I564" i="22"/>
  <c r="I523" i="22"/>
  <c r="I99" i="22"/>
  <c r="F300" i="23"/>
  <c r="I127" i="22"/>
  <c r="I572" i="22"/>
  <c r="I85" i="22"/>
  <c r="I184" i="23"/>
  <c r="J437" i="24"/>
  <c r="J293" i="24"/>
  <c r="I497" i="22"/>
  <c r="I54" i="23"/>
  <c r="I181" i="23"/>
  <c r="I244" i="23"/>
  <c r="F7" i="24"/>
  <c r="I339" i="23"/>
  <c r="I296" i="23"/>
  <c r="I285" i="23"/>
  <c r="I280" i="23"/>
  <c r="J443" i="24"/>
  <c r="J414" i="24"/>
  <c r="J400" i="24"/>
  <c r="I12" i="24"/>
  <c r="I11" i="24"/>
  <c r="I10" i="24"/>
  <c r="I9" i="24"/>
  <c r="E7" i="24"/>
  <c r="J125" i="24"/>
  <c r="F3" i="24"/>
  <c r="J91" i="24"/>
  <c r="J83" i="24"/>
  <c r="J75" i="24"/>
  <c r="J70" i="24"/>
  <c r="J62" i="24"/>
  <c r="J54" i="24"/>
  <c r="J46" i="24"/>
  <c r="J34" i="24"/>
  <c r="J26" i="24"/>
  <c r="I52" i="23"/>
  <c r="I44" i="23"/>
  <c r="I40" i="23"/>
  <c r="J444" i="24"/>
  <c r="J431" i="24"/>
  <c r="J423" i="24"/>
  <c r="J415" i="24"/>
  <c r="H11" i="24"/>
  <c r="H10" i="24"/>
  <c r="H9" i="24"/>
  <c r="I88" i="22"/>
  <c r="I367" i="23"/>
  <c r="I333" i="23"/>
  <c r="I330" i="23"/>
  <c r="I207" i="23"/>
  <c r="I91" i="23"/>
  <c r="I90" i="23"/>
  <c r="I185" i="23"/>
  <c r="I183" i="23"/>
  <c r="J454" i="24"/>
  <c r="J445" i="24"/>
  <c r="J432" i="24"/>
  <c r="J424" i="24"/>
  <c r="J416" i="24"/>
  <c r="J404" i="24"/>
  <c r="G12" i="24"/>
  <c r="G11" i="24"/>
  <c r="G10" i="24"/>
  <c r="G9" i="24"/>
  <c r="J286" i="24"/>
  <c r="J148" i="24"/>
  <c r="I297" i="23"/>
  <c r="I290" i="23"/>
  <c r="I177" i="23"/>
  <c r="I174" i="23"/>
  <c r="J455" i="24"/>
  <c r="J446" i="24"/>
  <c r="J425" i="24"/>
  <c r="E15" i="24"/>
  <c r="J417" i="24"/>
  <c r="F11" i="24"/>
  <c r="J280" i="24"/>
  <c r="E12" i="24"/>
  <c r="E11" i="24"/>
  <c r="E9" i="24"/>
  <c r="J290" i="24"/>
  <c r="J274" i="24"/>
  <c r="I7" i="24"/>
  <c r="J95" i="24"/>
  <c r="J87" i="24"/>
  <c r="J79" i="24"/>
  <c r="J66" i="24"/>
  <c r="J58" i="24"/>
  <c r="J50" i="24"/>
  <c r="J38" i="24"/>
  <c r="J30" i="24"/>
  <c r="I220" i="23"/>
  <c r="I37" i="23"/>
  <c r="J448" i="24"/>
  <c r="J419" i="24"/>
  <c r="J411" i="24"/>
  <c r="G14" i="24"/>
  <c r="H7" i="24"/>
  <c r="J31" i="24"/>
  <c r="I4" i="24"/>
  <c r="F14" i="24"/>
  <c r="E457" i="24"/>
  <c r="G7" i="24"/>
  <c r="J89" i="24"/>
  <c r="J81" i="24"/>
  <c r="J68" i="24"/>
  <c r="J60" i="24"/>
  <c r="J52" i="24"/>
  <c r="J40" i="24"/>
  <c r="J32" i="24"/>
  <c r="H300" i="23"/>
  <c r="I556" i="22"/>
  <c r="I509" i="22"/>
  <c r="I582" i="22"/>
  <c r="I126" i="22"/>
  <c r="I95" i="22"/>
  <c r="I81" i="22"/>
  <c r="I371" i="23"/>
  <c r="I360" i="23"/>
  <c r="I337" i="23"/>
  <c r="I329" i="23"/>
  <c r="I250" i="23"/>
  <c r="I45" i="23"/>
  <c r="H457" i="24"/>
  <c r="E18" i="24"/>
  <c r="E17" i="24"/>
  <c r="J292" i="24"/>
  <c r="J276" i="24"/>
  <c r="I334" i="23"/>
  <c r="I247" i="23"/>
  <c r="J436" i="24"/>
  <c r="J434" i="24"/>
  <c r="J429" i="24"/>
  <c r="I14" i="24"/>
  <c r="J398" i="24"/>
  <c r="F12" i="24"/>
  <c r="F10" i="24"/>
  <c r="F9" i="24"/>
  <c r="I206" i="22"/>
  <c r="I98" i="22"/>
  <c r="G377" i="23"/>
  <c r="I377" i="23" s="1"/>
  <c r="I331" i="23"/>
  <c r="I324" i="23"/>
  <c r="I312" i="23"/>
  <c r="I289" i="23"/>
  <c r="I191" i="23"/>
  <c r="I43" i="23"/>
  <c r="I39" i="23"/>
  <c r="J451" i="24"/>
  <c r="J450" i="24"/>
  <c r="J410" i="24"/>
  <c r="H14" i="24"/>
  <c r="J103" i="24"/>
  <c r="I505" i="22"/>
  <c r="I205" i="22"/>
  <c r="I116" i="22"/>
  <c r="I242" i="23"/>
  <c r="I251" i="23"/>
  <c r="I38" i="23"/>
  <c r="J402" i="24"/>
  <c r="J284" i="24"/>
  <c r="E300" i="23"/>
  <c r="I26" i="23"/>
  <c r="H18" i="24"/>
  <c r="H17" i="24"/>
  <c r="J97" i="24"/>
  <c r="H3" i="24"/>
  <c r="J24" i="24"/>
  <c r="J98" i="24"/>
  <c r="G3" i="24"/>
  <c r="H4" i="24"/>
  <c r="I103" i="22"/>
  <c r="F377" i="23"/>
  <c r="I56" i="23"/>
  <c r="I178" i="23"/>
  <c r="I36" i="23"/>
  <c r="F18" i="24"/>
  <c r="F17" i="24"/>
  <c r="H15" i="24"/>
  <c r="J422" i="24"/>
  <c r="J99" i="24"/>
  <c r="G4" i="24"/>
  <c r="E3" i="24"/>
  <c r="F4" i="24"/>
  <c r="E4" i="24"/>
  <c r="I3" i="24"/>
  <c r="I537" i="22"/>
  <c r="G363" i="23" l="1"/>
  <c r="I366" i="23"/>
  <c r="I323" i="23"/>
  <c r="G315" i="23"/>
  <c r="I315" i="23" s="1"/>
  <c r="G352" i="23"/>
  <c r="I352" i="23" s="1"/>
  <c r="D321" i="23"/>
  <c r="F6" i="22"/>
  <c r="E6" i="22"/>
  <c r="E5" i="22" s="1"/>
  <c r="J8" i="24"/>
  <c r="H6" i="22"/>
  <c r="I77" i="22"/>
  <c r="I233" i="23"/>
  <c r="J11" i="24"/>
  <c r="J7" i="24"/>
  <c r="J12" i="24"/>
  <c r="J457" i="24"/>
  <c r="G300" i="23"/>
  <c r="I300" i="23" s="1"/>
  <c r="I332" i="23"/>
  <c r="J10" i="24"/>
  <c r="J17" i="24"/>
  <c r="J3" i="24"/>
  <c r="J4" i="24"/>
  <c r="J15" i="24"/>
  <c r="J9" i="24"/>
  <c r="J18" i="24"/>
  <c r="J14" i="24"/>
  <c r="J6" i="24"/>
  <c r="J16" i="24"/>
  <c r="J13" i="24"/>
  <c r="H2" i="24"/>
  <c r="J5" i="24"/>
  <c r="E2" i="24"/>
  <c r="H377" i="23"/>
  <c r="F2" i="24"/>
  <c r="I364" i="23" l="1"/>
  <c r="I322" i="23"/>
  <c r="I363" i="23"/>
  <c r="G351" i="23"/>
  <c r="I351" i="23" s="1"/>
  <c r="G321" i="23"/>
  <c r="I321" i="23" s="1"/>
  <c r="I307" i="22"/>
  <c r="E314" i="23"/>
  <c r="J2" i="24"/>
  <c r="D314" i="23"/>
  <c r="D381" i="23" s="1"/>
  <c r="F5" i="22"/>
  <c r="G6" i="22" l="1"/>
  <c r="F314" i="23"/>
  <c r="G5" i="22" l="1"/>
  <c r="I5" i="22" s="1"/>
  <c r="I6" i="22"/>
  <c r="G314" i="23"/>
  <c r="I314" i="23" l="1"/>
  <c r="H5" i="22"/>
  <c r="H314" i="23"/>
  <c r="I441" i="24" l="1"/>
  <c r="G441" i="24"/>
  <c r="I425" i="24" l="1"/>
  <c r="I426" i="24"/>
  <c r="I427" i="24"/>
  <c r="I429" i="24"/>
  <c r="I433" i="24"/>
  <c r="G425" i="24"/>
  <c r="G426" i="24"/>
  <c r="G427" i="24"/>
  <c r="G429" i="24"/>
  <c r="G433" i="24"/>
  <c r="I447" i="24" l="1"/>
  <c r="H361" i="23" s="1"/>
  <c r="G447" i="24"/>
  <c r="F361" i="23" s="1"/>
  <c r="G451" i="24" l="1"/>
  <c r="I451" i="24"/>
  <c r="G442" i="24" l="1"/>
  <c r="G443" i="24"/>
  <c r="G444" i="24"/>
  <c r="G445" i="24"/>
  <c r="G446" i="24"/>
  <c r="G17" i="24" l="1"/>
  <c r="G454" i="24" l="1"/>
  <c r="G453" i="24"/>
  <c r="G452" i="24"/>
  <c r="I452" i="24"/>
  <c r="I453" i="24"/>
  <c r="I454" i="24"/>
  <c r="G423" i="24" l="1"/>
  <c r="I422" i="24" l="1"/>
  <c r="G422" i="24"/>
  <c r="G457" i="24" l="1"/>
  <c r="G15" i="24"/>
  <c r="G435" i="24"/>
  <c r="I435" i="24"/>
  <c r="G424" i="24"/>
  <c r="I424" i="24"/>
  <c r="I16" i="24" l="1"/>
  <c r="G16" i="24"/>
  <c r="G2" i="24"/>
  <c r="I436" i="24"/>
  <c r="I440" i="24"/>
  <c r="I437" i="24"/>
  <c r="I438" i="24"/>
  <c r="I439" i="24"/>
  <c r="I428" i="24" l="1"/>
  <c r="I430" i="24"/>
  <c r="I431" i="24"/>
  <c r="I432" i="24"/>
  <c r="I434" i="24"/>
  <c r="G450" i="24"/>
  <c r="G449" i="24"/>
  <c r="G448" i="24"/>
  <c r="G455" i="24"/>
  <c r="I423" i="24"/>
  <c r="G428" i="24"/>
  <c r="G430" i="24"/>
  <c r="G431" i="24"/>
  <c r="G432" i="24"/>
  <c r="G434" i="24"/>
  <c r="G436" i="24"/>
  <c r="G440" i="24"/>
  <c r="G437" i="24"/>
  <c r="G438" i="24"/>
  <c r="G439" i="24"/>
  <c r="I442" i="24"/>
  <c r="I443" i="24"/>
  <c r="I444" i="24"/>
  <c r="I445" i="24"/>
  <c r="I446" i="24"/>
  <c r="I448" i="24"/>
  <c r="I449" i="24"/>
  <c r="I450" i="24"/>
  <c r="I455" i="24"/>
  <c r="G18" i="24" l="1"/>
  <c r="I18" i="24"/>
  <c r="I17" i="24"/>
  <c r="I457" i="24"/>
  <c r="I15" i="24"/>
  <c r="I2" i="24" s="1"/>
  <c r="G379" i="23" l="1"/>
  <c r="G381" i="23" s="1"/>
  <c r="I381" i="23" s="1"/>
  <c r="E379" i="23"/>
  <c r="E381" i="23" s="1"/>
  <c r="H378" i="23"/>
  <c r="H6" i="37" s="1"/>
  <c r="F378" i="23"/>
  <c r="F6" i="37" s="1"/>
  <c r="H340" i="23"/>
  <c r="H24" i="33" s="1"/>
  <c r="F340" i="23"/>
  <c r="F24" i="33" s="1"/>
  <c r="I380" i="23" l="1"/>
  <c r="F330" i="23"/>
  <c r="F14" i="33" s="1"/>
  <c r="F327" i="23"/>
  <c r="F11" i="33" s="1"/>
  <c r="F379" i="23" l="1"/>
  <c r="I379" i="23"/>
  <c r="H379" i="23"/>
  <c r="F323" i="23"/>
  <c r="F7" i="33" s="1"/>
  <c r="F355" i="23" l="1"/>
  <c r="F9" i="34" s="1"/>
  <c r="F356" i="23"/>
  <c r="F10" i="34" s="1"/>
  <c r="F358" i="23"/>
  <c r="F12" i="34" s="1"/>
  <c r="F359" i="23"/>
  <c r="F13" i="34" s="1"/>
  <c r="F360" i="23"/>
  <c r="F14" i="34" s="1"/>
  <c r="F6" i="34" l="1"/>
  <c r="F5" i="34" s="1"/>
  <c r="F15" i="34" s="1"/>
  <c r="G10" i="36" s="1"/>
  <c r="K10" i="36" s="1"/>
  <c r="F352" i="23"/>
  <c r="F351" i="23" s="1"/>
  <c r="F371" i="23" l="1"/>
  <c r="F13" i="35" s="1"/>
  <c r="F374" i="23"/>
  <c r="F16" i="35" s="1"/>
  <c r="F370" i="23"/>
  <c r="F12" i="35" s="1"/>
  <c r="H370" i="23"/>
  <c r="H12" i="35" s="1"/>
  <c r="H374" i="23"/>
  <c r="H16" i="35" s="1"/>
  <c r="H371" i="23"/>
  <c r="H13" i="35" s="1"/>
  <c r="F317" i="23" l="1"/>
  <c r="F316" i="23" l="1"/>
  <c r="F7" i="32"/>
  <c r="F6" i="32" s="1"/>
  <c r="H319" i="23"/>
  <c r="H9" i="32" s="1"/>
  <c r="H8" i="32" s="1"/>
  <c r="H320" i="23"/>
  <c r="H10" i="32" s="1"/>
  <c r="F319" i="23"/>
  <c r="F9" i="32" s="1"/>
  <c r="F8" i="32" s="1"/>
  <c r="F320" i="23"/>
  <c r="F10" i="32" s="1"/>
  <c r="F5" i="32" l="1"/>
  <c r="F11" i="32" s="1"/>
  <c r="G8" i="36" s="1"/>
  <c r="H318" i="23"/>
  <c r="F318" i="23"/>
  <c r="F315" i="23" s="1"/>
  <c r="F335" i="23"/>
  <c r="F19" i="33" s="1"/>
  <c r="H335" i="23"/>
  <c r="H19" i="33" s="1"/>
  <c r="H323" i="23"/>
  <c r="H7" i="33" s="1"/>
  <c r="K8" i="36" l="1"/>
  <c r="H336" i="23"/>
  <c r="H20" i="33" s="1"/>
  <c r="H343" i="23"/>
  <c r="H342" i="23" s="1"/>
  <c r="H337" i="23"/>
  <c r="H21" i="33" s="1"/>
  <c r="H338" i="23"/>
  <c r="H22" i="33" s="1"/>
  <c r="H339" i="23"/>
  <c r="H23" i="33" s="1"/>
  <c r="H330" i="23" l="1"/>
  <c r="H14" i="33" s="1"/>
  <c r="H331" i="23"/>
  <c r="H15" i="33" s="1"/>
  <c r="H332" i="23"/>
  <c r="H16" i="33" s="1"/>
  <c r="H334" i="23"/>
  <c r="H18" i="33" s="1"/>
  <c r="F368" i="23"/>
  <c r="F10" i="35" s="1"/>
  <c r="F367" i="23"/>
  <c r="F9" i="35" s="1"/>
  <c r="F366" i="23"/>
  <c r="F8" i="35" s="1"/>
  <c r="F6" i="35" s="1"/>
  <c r="F373" i="23"/>
  <c r="H317" i="23"/>
  <c r="F332" i="23"/>
  <c r="F16" i="33" s="1"/>
  <c r="F334" i="23"/>
  <c r="F18" i="33" s="1"/>
  <c r="F336" i="23"/>
  <c r="F20" i="33" s="1"/>
  <c r="F343" i="23"/>
  <c r="F342" i="23" s="1"/>
  <c r="F337" i="23"/>
  <c r="F21" i="33" s="1"/>
  <c r="F338" i="23"/>
  <c r="F22" i="33" s="1"/>
  <c r="F339" i="23"/>
  <c r="F23" i="33" s="1"/>
  <c r="H355" i="23"/>
  <c r="H9" i="34" s="1"/>
  <c r="H6" i="34" s="1"/>
  <c r="H5" i="34" s="1"/>
  <c r="H15" i="34" s="1"/>
  <c r="I10" i="36" s="1"/>
  <c r="L10" i="36" s="1"/>
  <c r="H356" i="23"/>
  <c r="H10" i="34" s="1"/>
  <c r="H358" i="23"/>
  <c r="H12" i="34" s="1"/>
  <c r="H359" i="23"/>
  <c r="H13" i="34" s="1"/>
  <c r="H360" i="23"/>
  <c r="H14" i="34" s="1"/>
  <c r="H366" i="23"/>
  <c r="H8" i="35" s="1"/>
  <c r="H367" i="23"/>
  <c r="H9" i="35" s="1"/>
  <c r="H368" i="23"/>
  <c r="H10" i="35" s="1"/>
  <c r="H373" i="23"/>
  <c r="H316" i="23" l="1"/>
  <c r="H315" i="23" s="1"/>
  <c r="H7" i="32"/>
  <c r="H6" i="32" s="1"/>
  <c r="H5" i="32" s="1"/>
  <c r="H11" i="32" s="1"/>
  <c r="I8" i="36" s="1"/>
  <c r="F372" i="23"/>
  <c r="F15" i="35"/>
  <c r="F14" i="35" s="1"/>
  <c r="F5" i="35" s="1"/>
  <c r="F17" i="35" s="1"/>
  <c r="G11" i="36" s="1"/>
  <c r="K11" i="36" s="1"/>
  <c r="H6" i="35"/>
  <c r="H372" i="23"/>
  <c r="H15" i="35"/>
  <c r="H14" i="35" s="1"/>
  <c r="H5" i="35" s="1"/>
  <c r="H17" i="35" s="1"/>
  <c r="I11" i="36" s="1"/>
  <c r="L11" i="36" s="1"/>
  <c r="F364" i="23"/>
  <c r="F363" i="23" s="1"/>
  <c r="H364" i="23"/>
  <c r="H363" i="23" s="1"/>
  <c r="H352" i="23"/>
  <c r="H351" i="23" s="1"/>
  <c r="F331" i="23"/>
  <c r="F15" i="33" s="1"/>
  <c r="F6" i="33" s="1"/>
  <c r="F5" i="33" s="1"/>
  <c r="F26" i="33" s="1"/>
  <c r="G9" i="36" s="1"/>
  <c r="H327" i="23"/>
  <c r="H11" i="33" s="1"/>
  <c r="H6" i="33" s="1"/>
  <c r="H5" i="33" s="1"/>
  <c r="H26" i="33" s="1"/>
  <c r="I9" i="36" s="1"/>
  <c r="L9" i="36" s="1"/>
  <c r="K9" i="36" l="1"/>
  <c r="G13" i="36"/>
  <c r="K13" i="36" s="1"/>
  <c r="L8" i="36"/>
  <c r="I13" i="36"/>
  <c r="L13" i="36" s="1"/>
  <c r="F322" i="23"/>
  <c r="F321" i="23" s="1"/>
  <c r="F381" i="23" s="1"/>
  <c r="H322" i="23"/>
  <c r="H321" i="23" s="1"/>
  <c r="H381" i="23" s="1"/>
  <c r="D18" i="30"/>
  <c r="I6" i="30"/>
  <c r="I18" i="30" l="1"/>
  <c r="E14" i="31"/>
  <c r="L14" i="31" l="1"/>
  <c r="K14" i="31"/>
  <c r="J14" i="31"/>
  <c r="E15" i="31"/>
  <c r="L15" i="31" l="1"/>
  <c r="K15" i="31"/>
  <c r="J15" i="31"/>
  <c r="I26" i="33" l="1"/>
  <c r="I5" i="33"/>
</calcChain>
</file>

<file path=xl/sharedStrings.xml><?xml version="1.0" encoding="utf-8"?>
<sst xmlns="http://schemas.openxmlformats.org/spreadsheetml/2006/main" count="49255" uniqueCount="2519">
  <si>
    <t>PROYECTO</t>
  </si>
  <si>
    <t>UE/META</t>
  </si>
  <si>
    <t>SUB GERENCIA DE ESTUDIOS DEFINITIVOS</t>
  </si>
  <si>
    <t>N°</t>
  </si>
  <si>
    <t>EJECUCIÓN POR ADMINISTRACIÓN DIRECTA</t>
  </si>
  <si>
    <t>GERENCIA REGIONAL DE DESARROLLO ECONOMICO</t>
  </si>
  <si>
    <t xml:space="preserve"> PROYECTO ESPECIAL TRUCHAS TITICACA - PETT</t>
  </si>
  <si>
    <t>PROYECTO ESPECIAL CAMELIDOS SUDAMERICANOS</t>
  </si>
  <si>
    <t>GERENCIA REGIONAL DE DESARROLLO SOCIAL</t>
  </si>
  <si>
    <t>002. REGION PUNO-PESQUERIA</t>
  </si>
  <si>
    <t>2336682: RECUPERACION DE LA BIOMASA DEL CARACHI GRIS Y AMARILLO EN ZONAS DE DESOVE DE LA CUENCA DEL LAGO TITICACA DE LA REGION PUNO</t>
  </si>
  <si>
    <t>003. REGION PUNO-PROGRAMA REGIONAL DE RIEGO Y DRENAJE</t>
  </si>
  <si>
    <t>2429724: MEJORAMIENTO Y AMPLIACION DEL SERVICIO DE AGUA PARA EL SISTEMA DE RIEGO SOLITARIO DEL DISTRITO DE VILQUE CHICO - PROVINCIA DE HUANCANE - DEPARTAMENTO DE PUNO</t>
  </si>
  <si>
    <t>2454391: AMPLIACION DEL SERVICIO DE AGUA PARA RIEGO MEDIANTE LA CONSTRUCCION DE LA REPRESA SAPANCCOTA DEL DISTRITO DE PUCARA - PROVINCIA DE LAMPA - DEPARTAMENTO DE PUNO</t>
  </si>
  <si>
    <t>2477014: CREACION DEL SERVICIO DE AGUA PARA RIEGO TECNIFICADO EN LAS COMUNIDADES DE IPARO, ARICATO, QUENEQUE, MORORIA, CCAPUNA Y APABUCO DEL DISTRITO DE SANDIA - PROVINCIA DE SANDIA - DEPARTAMENTO DE PUNO</t>
  </si>
  <si>
    <t>005. REGION PUNO-PROGRAMA DE APOYO AL DESARROLLO RURAL ANDINO</t>
  </si>
  <si>
    <t>100. REGION PUNO-AGRICULTURA</t>
  </si>
  <si>
    <t>2470873: MEJORAMIENTO DE CAPACIDADES PARA EL DESARROLLO INTEGRAL DE LOS CULTIVOS DE FRUTALES EN LA SELVA DE LAS PROVINCIAS DE SANDIA Y CARABAYA DEL DEPARTAMENTO DE PUNO</t>
  </si>
  <si>
    <t>2511053: MEJORAMIENTO DE CAPACIDADES PRODUCTIVAS PARA PROMOVER LA SEGURIDAD ALIMENTARIA EN LA REACTIVACION ECONOMICA DE LAS 13 PROVINCIAS DEL DEPARTAMENTO DE PUNO</t>
  </si>
  <si>
    <t>2470845: MEJORAMIENTO Y AMPLIACION DEL SERVICIO DE AGUA PARA RIEGO TECNIFICADO EN LAS COMUNIDADES DE SAN JUAN DE TAHUACO Y MACHACMARCA DEL DISTRITO DE YUNGUYO - PROVINCIA DE YUNGUYO - DEPARTAMENTO DE PUNO</t>
  </si>
  <si>
    <t>2477103: MEJORAMIENTO Y AMPLIACION DEL SERVICIO DE AGUA PARA RIEGO TECNIFICADO EN LAS COMUNIDADES DE MOLINO CHOCCOPAMPA, MOLINO KAPIA, ILLECA MOLINO Y CAMIRAYA MOLINO DEL DISTRITO DE ZEPITA - PROVINCIA DE CHUCUITO - DEPARTAMENTO DE PUNO</t>
  </si>
  <si>
    <t>2540745: MEJORAMIENTO Y AMPLIACION DEL SERVICIO DE AGUA PARA LOS SISTEMAS DE RIEGO HUALLATIRI, HUAYRAPATA Y HUARANCA GRANDE DEL DISTRITO DE HUAYRAPATA - PROVINCIA DE MOHO - DEPARTAMENTO DE PUNO</t>
  </si>
  <si>
    <t>2538654: MEJORAMIENTO DE LA PRESTACION DE SERVICIOS DE INNOVACION Y TRANSFERENCIA TECNOLOGICA PARA EL DESARROLLO COMPETITIVO DE LA PRODUCCION PECUARIA 8 PROVINCIAS DEL DEPARTAMENTO DE PUNO</t>
  </si>
  <si>
    <t>DIRECCIÓN DE ESTUDIOS DE PREINVERSIÓN</t>
  </si>
  <si>
    <t>TOTAL PLIEGO</t>
  </si>
  <si>
    <t>GERENCIA REGIONAL DE RECURSOS NATURALES Y GESTION AMBIENTAL</t>
  </si>
  <si>
    <t>ANEXO N° 01</t>
  </si>
  <si>
    <t>2558047 MEJORAMIENTO DE LA PLANTA PROCESADORA DE LECHE PARA LA ELABORACION DE YOGURT DE LA ASOCIACION DE CRIADORES DE GANADO VACUNO DE RAZA BROWN SWIS</t>
  </si>
  <si>
    <t>2558006 MEJORAMIENTO DEL ECONEGOCIO DE CANIHUA APROVECHANDO LA DISPONIBILIDAD DE RECURSOS EN LA ASOCIACION DE PRODUCTORES AGROINDUSTRIAL Y DE ARTESANO</t>
  </si>
  <si>
    <t>2558012 MEJORAMIENTO DE LA PRODUCCION Y PROCESAMIENTO DE LA FIBRA DE ALPACA EN ASOCIACION ACORENAMA AYRUMAS CARUMAS, DISTRITO ACORA - PUNO - PUNO</t>
  </si>
  <si>
    <t>2558028 MEJORAMIENTO DEL PROCESO DE TRANSFORMACION DE QUINUA Y CANIHUA EN LA LOCALIDAD DE SANTA ROSA, POR LA ASOCIACION DE PRODUCTORES AGROECOLOGICOS</t>
  </si>
  <si>
    <t>2558022 MEJORAMIENTO DE CALIDAD EN TAZA DE MICROLOTES DE CAFES ESPECIALES TOSTADO MOLIDO EN CAC TUPAC AMARU, DISTRITO ALTO INAMBARI - SANDIA - PUNO</t>
  </si>
  <si>
    <t>2558035 CREACION DE PLANTA DE PROCESAMIENTO Y COMERCIALIZACION DE PAPAYITA ANDINA, DISTRITO SANDIA - SANDIA - PUNO</t>
  </si>
  <si>
    <t>2558037 MEJORAMIENTO DELA PRODUCCION DE HILOS ARTESANALES DE LA FIBRA DE ALPACA EN LA COMUNIDAD CAMPESINA CHULLUNQUIANI, DISTRITO PALCA - LAMPA - PUNO</t>
  </si>
  <si>
    <t>2188379 MEJORAMIENTO DEL SERVICIO EDUCATIVO DE LA INSTITUCION EDUCATIVA PRIMARIA Nº 70605 DOMINGO SAVIO, DISTRITO DE JULIACA - SAN ROMAN - PUNO</t>
  </si>
  <si>
    <t>2196858 MEJORAMIENTO DE SERVICIOS DE EDUCACION INICIAL ESCOLARIZADA EN LA I.E.I. N 214 NIÑO JESUS DE PRAGA, DISTRITO DE PLATERIA - PUNO - PUNO</t>
  </si>
  <si>
    <t>2250457 INSTALACION DEL SERVICIO EDUCATIVO DE LA I.E.I. NRO. 295 VILLA BLANCA ANCAPUTO, DISTRITO ZEPITA - CHUCUITO - PUNO</t>
  </si>
  <si>
    <t>2196860 MEJORAMIENTO DE LOS SERVICIOS DE EDUCACION INICIAL EN LA I.E.I. NRO. 357 SAN JOSE DE LA URBANIZACION SAN JOSE II ETAPA, DISTRITO DE JULIACA -</t>
  </si>
  <si>
    <t>0042</t>
  </si>
  <si>
    <t>2016766 APOYAR AL DESARROLLO PRODUCTIVO</t>
  </si>
  <si>
    <t>2526571 MEJORAMIENTO DE LA PRODUCCION DE HILADO ARTESANAL PARA ELABORACION DE ARTESANIA TEXTIL, DISTRITO DE MACUSANI - CARABAYA - PUNO</t>
  </si>
  <si>
    <t>2558046 MEJORAMIENTO DE LA PRODUCCION Y COMERCIALIZACION DE ARTESANIA TEXTIL DE LA ASOCIACION BARTOLINA DE OLLA JULI, DISTRITO JULI - CHUCUITO - PUNO</t>
  </si>
  <si>
    <t>2558044 MEJORAMIENTO DE LA GENERACION DE VALOR AGREGADO EN LA ASOCIACION DE PRODUCTORES NUEVA ESPERANZA PERHUANI, DISTRITO USICAYOS - CARABAYA - PUNO</t>
  </si>
  <si>
    <t>2382618 RECUPERACION DE AREAS DEGRADADAS POR AGUAS RESIDUALES Y RESIDUOS SOLIDOS EN EL RIO TOROCOCHA DE LA CIUDAD DE JULIACA - SAN ROMAN - PUNO</t>
  </si>
  <si>
    <t>2150586 MEJORAMIENTO DE LA CAPACIDAD TECNICO PRODUCTIVO DE PRODUCTORES DE TRUCHA EN ZONAS ALTO ANDINAS DE LA REGION PUNO</t>
  </si>
  <si>
    <t>2187217 MEJORAMIENTO DE LA CADENA DE VALOR DE LA FIBRA DE ALPACA EN LA REGION PUNO, MULTIDISTRITAL - MULTIPROVINCIAL - PUNO</t>
  </si>
  <si>
    <t>2001621 ELABORACION DE ESTUDIOS DE PREFACTIBILIDAD</t>
  </si>
  <si>
    <t>2357498: MEJORAMIENTO Y AMPLIACION DEL SERVICIO DE AGUA PARA EL SISTEMA DE RIEGO TECNIFICADO MOLINO HUMACATA CENTRO POBLADO DE MOLINO HUMACATA - DISTRITO DE ZEPITA - PROVINCIA DE CHUCUITO - REGION PUNO</t>
  </si>
  <si>
    <t>2429723: MEJORAMIENTO Y AMPLIACION DEL SERVICIO DE AGUA PARA EL SISTEMA DE RIEGO PRESURIZADO EN LA MICROCUENCA YANAMAYO DEL DISTRITO DE AZANGARO - PROVINCIA DE AZANGARO - DEPARTAMENTO DE PUNO</t>
  </si>
  <si>
    <t>2435576: MEJORAMIENTO Y AMPLIACION DEL SERVICIO DE AGUA PARA EL SISTEMA DE RIEGO LACALACA - CALLAZA DEL DISTRITO DE HUACULLANI - PROVINCIA DE CHUCUITO - DEPARTAMENTO DE PUNO</t>
  </si>
  <si>
    <t>2325694: MEJORAMIENTO DE LA TECNIFICACION DE PROCESOS PARA LA CADENA PRODUCTIVA DE LA LECHE EN LA REGION PUNO</t>
  </si>
  <si>
    <t>2479852: MEJORAMIENTO DE LA TRANSFERENCIA TECNOLOGICA EN LA PRODUCCION Y VALOR AGREGADO DE LA CADENA PRODUCTIVA DE VACUNOS DE CARNE EN LA REGION PUNO 9 PROVINCIAS DEL DEPARTAMENTO DE PUNO</t>
  </si>
  <si>
    <t>2492267: MEJORAMIENTO EN LAS CAPACIDADES PRODUCTIVAS PARA EL MANEJO DE CADENAS PRODUCTIVAS EN ACTIVIDADES PRODUCTIVAS DEL DISTRITO DE SANTIAGO DE PUPUJA - PROVINCIA DE AZANGARO - DEPARTAMENTO DE PUNO</t>
  </si>
  <si>
    <t>2313145: MEJORAMIENTO DEL MANEJO SOSTENIBLE DE VICUÑAS EN ZONAS ALTOANDINAS DE LA REGION PUNO</t>
  </si>
  <si>
    <t>2318520: MEJORAMIENTO DE LA CAPACIDAD AGROPRODUCTIVA DE GRANOS ANDINOS ORGANICOS DE QUINUA, CAÑIHUA, HABA Y TARWI EN LA REGION PUNO</t>
  </si>
  <si>
    <t>2307608 MEJORAMIENTO DE LOS SERVICIOS DE TRANSITABILIDAD VEHICULAR Y PEATONAL DE LA VIA DE ACCESO A LA LOCALIDAD DE COATA, DISTRITO COATA - PUNO - PUNO</t>
  </si>
  <si>
    <t>2160311: MEJORAMIENTO Y AMPLIACION DEL SERVICIO DE AGUA DEL SISTEMA DE RIEGO YOCARA, EN LA LOCALIDAD DE YOCARA, DISTRITOS DE JULIACA Y CARACOTO, PROVINCIA DE SAN ROMAN, REGION PUNO</t>
  </si>
  <si>
    <t>2196555: INSTALACION DEL SERVICIO DE AGUA PARA EL SISTEMA DE RIEGO HUENQUE - ILAVE, EN LOS DISTRITOS DE CONDURIRI E ILAVE, PROVINCIA DE EL COLLAO, REGION PUNO</t>
  </si>
  <si>
    <t>2232349: MEJORAMIENTO Y AMPLIACION DEL SERVICIO DE AGUA PARA EL SISTEMA DE RIEGO TECNIFICADO LLANCCACCAHUA-SORA, EN LOS SECTORES DE LLANCCACCAHUA, TREBOL, SORA Y HUANACOMARCA, DISTRITO DE UMACHIRI, PROVINCIA DE MELGAR, REGION PUNO</t>
  </si>
  <si>
    <t>2250868: INSTALACION DEL SERVICIO DE AGUA PARA EL SISTEMA DE RIEGO TANTAMACO, EN LA COMUNIDAD DE TANTAMACO-NINAHUISA, DISTRITO DE MACUSANI, PROVINCIA DE CARABAYA, REGION PUNO</t>
  </si>
  <si>
    <t>2305521: MEJORAMIENTO Y AMPLIACION DEL SERVICIO DE AGUA PARA RIEGO EN LOS SECTORES CENTRAL, SANTA ROSA Y HUECCO DEL ANEXO CHALLAPAMPA, DISTRITO DE COPANI, PROVINCIA DE YUNGUYO, REGION PUNO</t>
  </si>
  <si>
    <t>2505774: CONSTRUCCION DE BOCATOMA Y LINEA DE CONDUCCION; REPARACION DE CANAL DE RIEGO; EN EL(LA) LIMPIEZA Y PUESTA EN OPERATIVIDAD DEL SISTEMA DE RIEGO CAYCHO-CERRO MINAS COMUNIDADES DE TUPAC AMARU II DE CAYCHO Y CERRO MINAS DISTRITO DE OCUVIRI, PROVINCIA LAMPA, DEPARTAMENTO PUNO</t>
  </si>
  <si>
    <t>2300786 MEJORAMIENTO DEL MANEJO DE HERRAMIENTAS EN TECNOLOGÍA INFORMÁTICA APLICADAS EN LA ENSEÑANZA DE LA EBR EN LA REGION DE PUNO</t>
  </si>
  <si>
    <t>2282351 MEJORAMIENTO DE SERVICIO TRANSITABILIDAD VEHICULAR Y PEATONAL DE LA AV. TAMBOPATA TRAMO AV. SAN MARTIN - AV. CIRCUNVALACION II DE LA CIUDAD DE DE JULIACA (SEGUNDA ETAPA : TRAMO AV. SANTA ROSA - AV. CIRCUNVALACION II), DISTRITO JULIACA - SAN ROMAN - PUNO</t>
  </si>
  <si>
    <t>2532537 MEJORAMIENTO Y AMPLIACION DE LOS SERVICIOS DE LA INSTITUCIÓN EDUCATIVA INICIAL N° 704 DEL CENTRO POBLADO SACARI TITICACHI DEL DISTRITO DE PILCUYO - PROVINCIA DE EL COLLAO - DEPARTAMENTO DE PUNO</t>
  </si>
  <si>
    <t>2300092 MEJORAMIENTO Y CREACION DE LA AVENIDA COSTANERA SUR Y SURESTE EN EL TRAMO JIRON LUIS BANCHERO ROSSI - JIRON ESPINAR - PANAMERICANA SUR INTERSECCION VIAL AVENIDA DEL ESTUDIANTE, DISTRITO DE PUNO, PROVINCIA DE PUNO - PUNO</t>
  </si>
  <si>
    <t>2131661 CONSTRUCCION Y MEJORAMIENTO DE LA CARRETERA DESVIO VILQUECHICO COJATA - SINA - YANAHUAYA - TRAMO III - SUB TRAMO 003 (PURUMPATA - YANAHUAYA) KM. 15 840 AL KM. 31 200) - 15.360 KM, KILOMETRO: 1.440, PUNO, SANDIA, YANAHUAYA</t>
  </si>
  <si>
    <t>2539886 MEJORAMIENTO DEL SERVICIO EDUCATIVO DEL NIVEL INICIAL DE LA I.E. NUESTRA SEÑORA DE GUADALUPE DE LA LOCALIDAD DE COJATA, DISTRITO DE COJATA - HUANCANE</t>
  </si>
  <si>
    <t>2357090 MEJORAMIENTO DE LA CAPACIDAD RESOLUTIVA DEL CENTRO DE SALUD VALLECITO I-3 DE LA MICRO RED METROPOLITANO, RED DE SALUD PUNO, DIRESA PUNO,</t>
  </si>
  <si>
    <t xml:space="preserve">EJECUCIÓN POR ADMINISTRACIÓN INDIRECTA (CONTRATA) </t>
  </si>
  <si>
    <t>2294382 MEJORAMIENTO DE LA CARRETERA ARAPA - CHUPA (PU 114) - DV. HUANCANE (EMP. PE 34H), PROVINCIAS DE AZANGARO Y HUANCANE - PUNO</t>
  </si>
  <si>
    <t>2462296 CREACION DEL SERVICIO DE TRANSITABILIDAD A TRAVES DE LA INSTALACION DE PUENTES PEATONALES EN LAS PROVINCIAS DE CARABAYA Y SANDIA DEL DEPARTAMENTO DE PUNO</t>
  </si>
  <si>
    <t>2526575 MEJORAMIENTO Y ESTANDARIZACION DEL PROCESO PRODUCTIVO DE QUESOS SEMIMADUROS Y MADURADOS EN LA EMPRESA INDUSTRIAL AGROALIMENTOS EL ESTABLO S. C. R. L, DISTRITO DE LAMPA - LAMPA - PUNO</t>
  </si>
  <si>
    <t>2526576 IMPLEMENTACION DE LA TECNOLOGIA PARA LA TRANSFORMACION DEL CAFE DE ALTURA AAPROCAAL, DISTRITO SAN JUAN DEL ORO - SANDIA - PUNO</t>
  </si>
  <si>
    <t>2526579 MEJORAMIENTO DEL PROCESAMIENTO Y COMERCIALIZACION DE QUINUA ORGANICA EN LA COOPERATIVA AGROINDUSTRIAL CABANA LTDA, DISTRITO DE CABANA - SAN ROMAN - PUNO</t>
  </si>
  <si>
    <t>2526761  MEJORAMIENTO DE NUEVA LINEA DE HILATURA DE FIBRA DE ALPACA, EN LA PRODUCCION DE TEJIDO PLANO Y ARTESANIA, DISTRITO DE JULIACA - SAN ROMAN - PUNO</t>
  </si>
  <si>
    <t>2558032  FORTALECIMIENTO DE CAPACIDADES EN LA PRODUCCION Y COMERCIALIZACION DE HILOS Y TOPS DE LA ASOCIACION DE PRODUCTORES AGROPECUARIOS LACCA ALCCAMARINI, DISTRITO MACUSANI - CARABAYA - PUNO</t>
  </si>
  <si>
    <t>2558008 MEJORAMIENTO DE LA CAPACIDAD PRODUCTIVA DE ECO ARTESANIAS DE TOTORA Y CHILLIGUA EN LA ASOCIACION ECO ARTESANIAS DE TOTORA TITIKAKA, DISTRITO PUNO - PUNO - PUNO</t>
  </si>
  <si>
    <t>2558003 MEJORAMIENTO EN LA CAPACIDAD TECNICA DE PRODUCCION DE PRENDAS EN ARTESANIA TEXTIL, EN LA ASOCIACION DE ARTESANOS SUMAC MAKY SANTA ROSITA DE LIMA, DISTRITO SANTA ROSA - MELGAR - PUNO</t>
  </si>
  <si>
    <t>2558021 CREACION DE UNA PLANTA PROCESADORA DE QUINUA DE LA ASOCIACION DE PRODUCTORES AGROPECUARIOS LOS ANDES DE PUCARA CHACAPATJA CULTA, DISTRITO ACORA - PUNO - PUNO</t>
  </si>
  <si>
    <t>2558018 CREACION DE UNA PLANTA PROCESADORA DE HILO DE FIBRA DE ALPACA DE LA ASOCIACION DE PRODUCTORES AGROPECUARIOS Y CRIADORES DE CAMELIDOS SUDAMERICANOS DE HUARIHUMANA ROSASPATA, DISTRITO ROSASPATA - HUANCANE - PUNO</t>
  </si>
  <si>
    <t>2558029 MEJORAMIENTO DE LA TRANSFORMACION DE LA FIBRA DE ALPACA DE LA ASOCIACION MULTIPLE DE CRIADORES DE CAMELIDOS SUDAMERICANOS Y ARTESANOS BABY ALPACAS, DISTRITO COJATA - HUANCANE - PUNO</t>
  </si>
  <si>
    <t>2558005 MEJORAMIENTO DE LA PRODUCCION, INNOVACION Y COMERCIALIZACION DE LA ARTESANIA TEXTIL EN LA ASOCIACION DE MUJERES DE AGUAS TERMALES DEL CP UCHUHUMA, DISTRITO COASA - CARABAYA - PUNO</t>
  </si>
  <si>
    <t>2558030 AMPLIACION DE LA CAPACIDAD PROCESADORA DE LA PLANTA DE PRODUCCION DE DERIVADOS LACTEOS DE LA ASOCIACION DE PRODUCTORES LACTEOS DELICIA ATUNCCOLLA, DISTRITO ATUNCCOLLA - PUNO</t>
  </si>
  <si>
    <t>2558049 MEJORAMIENTO DE LA PRODUCCION Y COMERCIALIZACION DE HILADO ARTESANAL DE FIBRA DE ALPACA DE LA COMUNIDAD CAMPESINA DE JATUCACHI, DISTRITO PICHACANI - PUNO - PUNO</t>
  </si>
  <si>
    <t>2558026 MEJORAMIENTO DE LA PRODUCCION Y COMERCIALIZACION DE DERIVADOS DE QUINUA DE LA ASOCIACION DE PRODUCTORES AGROPECUARIOS YANAQUE ANDINO, SANTA ROSA DE YANAQUE, ZONA LAGO, DISTRITO ACORA - PUNO - PUNO</t>
  </si>
  <si>
    <t>2558033 CREACION DE UNA PLANTA DE PROCESO DE PRODUCTOS LACTEOS DE LA ASOCIACION DE PRODUCTORES AGROPECUARIOS LACTEOS Y ARTESANALES NUEVA VISION DE CULTA, DISTRITO ACORA - PUNO - PUNO</t>
  </si>
  <si>
    <t>2558023 CREACION E IMPLEMENTACION DE UNA PLANTA PROCESADORA DE QUINUA EN LA ASOCIACION DE PRODUCTORES AGROPECUARIOS SIHUAYRO CENTRAL JULI, DISTRITO JULI - CHUCUITO - PUNO</t>
  </si>
  <si>
    <t>2558017 MEJORAMIENTO DE LA PRODUCCION Y COMERCIALIZACION DE ARTESANIA TEXTIL PUNTO, MAQUINA Y PLANO A BASE DE FIBRA DE ALPACA DE LA ORGANIZACION DE MUJERES BARTOLINA SISA, DISTRITO KELLUYO - CHUCUITO - PUNO</t>
  </si>
  <si>
    <t>2558014 MEJORAMIENTO DE LA PRODUCCION DE QUESOS TIPO PARIA EN LA ASOCIACION DE EMPRENDEDORES EN PRODUCCION AGROPECUARIA DEL DISTRITO DE POMATA, CHUCUITO - PUNO.</t>
  </si>
  <si>
    <t>2558002 MEJORAMIENTO DE LA GENERACION DE VALOR AGREGADO DE LA PINA Y SU COMERCIALIZACION EN LA COOPERATIVA AGRARIA INDUSTRIAL SAN GABAN, DISTRITO SAN GABAN - CARABAYA - PUNO</t>
  </si>
  <si>
    <t>2558036 AMPLIACION DE LA PLANTA PROCESADORA DE QUESOS DE LA ASOCIACION DE PRODUCTORES DE LECHE AGROINDUSTRIALES NUEVO HORIZONTE MACHACMARCA VILQUE, DISTRITO VILQUE - PUNO - PUNO</t>
  </si>
  <si>
    <t>2558052 MEJORAMIENTO DE LA PRODUCCION Y COMERCIALIZACION DE ARTESANIA TEXTIL, MAQUINA Y PLANO A BASE DE FIBRA DE ALPACA Y LANA DE OVINO DE LA ASOCIACION DE PRODUCTORES AGROPECUARIOS, AGROINDUSTRIALES Y ARTESANALES CCARMI,DISTRITO ORURILLO - MELGAR - PUNO</t>
  </si>
  <si>
    <t>2558015 AMPLIACION DE LA CAPACIDAD PROCESADORA DE LA PLANTA DE PRODUCCION DE DERIVADOS DE LA QUINUA DE LA ASOCIACION DE PRODUCTORES TIKARIYA PAMPA DE  LAS MUJERES ANDINAS DE MELGAR, DISTRITO AYAVIRI - MELGAR - PUNO.</t>
  </si>
  <si>
    <t>2558011  MEJORAMIENTO DE LA PRODUCCION DE QUESOS Y VALOR AGREGADO DE LA LECHE, EN LA COOPERATIVA AGRARIA SAN FRANCISCO DE CCAPALLA, DISTRITO ACORA - PUNO - PUNO</t>
  </si>
  <si>
    <t>2558045  MEJORAMIENTO DE LA PRODUCCION Y TRANSFORMACION DE QUESOS EN LA ASOCIACION DE PRODUCTORES AGROPECUARIOS Y LACTEOS, DISTRITO PLATERIA - PUNO - PUNO</t>
  </si>
  <si>
    <t>2558048 CREACION DE UNA PLANTA PROCESADORA DE QUINUA DE LA ASOCIACION DE PRODUCTORES MULTIPLES LOS NATIVOS SUMA CHUYMA DEL CENTRO POBLADO DE CULTA, DISTRITO ACORA - PUNO - PUNO</t>
  </si>
  <si>
    <t>2558050 MEJORAMIENTO DEL SERVICIO DE ALOJAMIENTO RURAL EN EL EMPRENDIMIENTO DE TURISMO RURAL COMUNITARIO DE LA ASOCIACION LUQUINA ADVENTURES, DISTRITO CHUCUITO - PUNO - PUNO</t>
  </si>
  <si>
    <t>2558042 MEJORAMIENTO DE LA PRODUCCION Y COMERCIALIZACION DE GALLETAS DE QUINUA EN LA COOPERATIVA COPAISEG SAN ROMAN LTDA, DISTRITO CABANA - SAN ROMAN - PUNO</t>
  </si>
  <si>
    <t>2558025 CREACION DE PLANTA PROCESADORA DE HILO SEMI INDUSTRIAL DE FIBRA DE ALPACA DE LA COMUNIDAD CAMPESINA CHACACONIZA, DISTRITO CORANI - CARABAYA - PUNO</t>
  </si>
  <si>
    <t>2558009 MEJORAMIENTO DE LA PLANTA PROCESADORA DE LECHE PARA LA ELABORACION DE QUESOS PASTEURIZADOS Y MADURADOS DE LA ASOCIACION DE PRODUCTORES AGROPECUARIOS LAC SUR, DISTRITO ASILLO - AZANGARO - PUNO</t>
  </si>
  <si>
    <t>2558024 MEJORAMIENTO DE LA TRANSFORMACION DE QUINUA DE LA ASOCIACION GRUPO DE AGRICULTORES SIN TIERRAS SAN FRANCISCO CAYRAHUIRE, DISTRITO AZANGARO - AZANGARO - PUNO</t>
  </si>
  <si>
    <t>2558027 MEJORAMIENTO DEL PROCESAMIENTO Y COMERCIALIZACION DE PAPAYITA ANDINA EN LA ASOCIACION DE PRODUCTORES AGROPECUARIOS Y TRANSFORMACION ARI SANDIA AYLLUNMANTA, DISTRITO SANDIA - SANDIA - PUNO,</t>
  </si>
  <si>
    <t>2558053 CREACION DEL CENTRO DE PRODUCCION DE TOPS DE FIBRA DE ALPACA EN LA ASOCIACION DE CRIADORES DE ALPACAS Y LLAMAS APU AUSANGATE, DISTRITO OLLACHEA - CARABAYA - PUNO</t>
  </si>
  <si>
    <t>2558004 CREACION DE UN TALLER DE PRODUCCION DE SOMBREROS MELGARINOS DE FIELTRO DE LANA DE OVINO, TENIDO CON TINTES NATURALES EN LA COOPERATIVA ARTESANAL DE TEXTILES ECOLOGICOS ALTAGRACIA AYAVIRI LTDA, DISTRITO AYAVIRI - MELGAR - PUNO</t>
  </si>
  <si>
    <t>2558034 MEJORAMIENTO DE CAPACIDADES TECNICAS DE LA PRODUCCION DE DERIVADOS LACTEOS EN LA SOCIEDAD AGRICOLA DE INTERES SOCIAL SOLLOCOTA LTDA. NO. 05, DISTRITO SAN JOSE - AZANGARO - PUNO</t>
  </si>
  <si>
    <t>2558051 MEJORAMIENTO DE LA PRODUCCION, TRANSFORMACION, Y COMERCIALIZACION DE DERIVADOS LACTEOS EN LA ASOCIACION DE PRODUCTORES AGROPECUARIOS DE LA PLANTA SAN FRANCISCO SINTY MAYO DE LA COMUNIDAD CAMPESINA DE COLQUEJAHUA, DISTRITO PUCARA - LAMPA - PUNO</t>
  </si>
  <si>
    <t>2558031 MEJORAMIENTO DE LOS PROCESOS DE PRODUCCION Y TRANSFORMACION DE QUINUA EN LA ASOCIACION DE PRODUCTORAS AGROECOLOGICAS FLOR DEL MUNDO, DISTRITO AYAVIRI - MELGAR - PUNO,</t>
  </si>
  <si>
    <t>2558016 MEJORAMIENTO DE LOS SERVICIOS ECOTURISTICOS DE LA ASOCIACION DE TURISMO RURAL COMUNITARIO QANTUTANI DE HUAYLLUNI C.C.CHUCASUYO CCAJJE, DISTRITO JULI - CHUCUITO - PUNO.</t>
  </si>
  <si>
    <t>2558019 MEJORAMIENTO DE LA CAPACIDAD PRODUCTIVA Y COMPETITIVIDAD DE LA ARTESANIA TEXTIL EN LA ASOCIACION ARTESANAL MODALPACA,DISTRITO PUNO - PUNO - PUNO</t>
  </si>
  <si>
    <t>2558013 CREACION DE UNA PLANTA PARA PROCESAMIENTO DE QUINUA EN LA ASOCIACION DE PRODUCTORES AGROPECUARIOS AGROINDUSTRIALES Y ECOLOGICOS SANTA CRUZ DE ATUXA, DISTRITO CHUCUITO - PUNO - PUNO</t>
  </si>
  <si>
    <t>2474102 MEJORAMIENTO DEL SERVICIO DE PROTECCION FRENTE A TORMENTAS ELECTRICAS EN 4 PROVINCIAS DEL DEPARTAMENTO DE PUNO,</t>
  </si>
  <si>
    <t>2532916 CREACION DEL SERVICIO DE PROTECCIÓN EN RIBERAS DEL RÍO LORIPONGO Y MOLLA AMBOS MÁRGENES VULNERABLES ANTE EL PELIGRO DE INUNDACIÓN EN LA LOCALIDAD DE LARAQUERI Y CENTRO POBLADO DE HUARIJUYO DEL DISTRITO DE PICHACANI - PROVINCIA DE PUNO - DEPARTAMENTO DE PUNO</t>
  </si>
  <si>
    <t>2293195  INSTALACION Y AMPLIACION DEL SERVICIO DE PROTECCION CONTRA INUNDACIONES EN EL CENTRO POBLADO DE YANAMAYO Y EL SECTOR DE YURAJMAYO, MARGEN IZQUIERDO</t>
  </si>
  <si>
    <t>PROYECTOS SIN EXPEDIENTE TECNICO, QUE NO ESTA EJECUTANDO SUB GER EST DEFINITIVOS</t>
  </si>
  <si>
    <t>2190612 MEJORAMIENTO Y AMPLIACIÓN DE LA CAPACIDAD RESOLUTIVA DEL PUESTO DE SALUD TOLAPALCA, MICRORRED MAÑAZO - PUNO</t>
  </si>
  <si>
    <t xml:space="preserve">2.6. 2  2. 2  2 COSTO DE CONSTRUCCION POR CONTRATA </t>
  </si>
  <si>
    <t>2.6. 8  1. 3  1 ELABORACION DE EXPEDIENTES TECNICOS</t>
  </si>
  <si>
    <t xml:space="preserve">2.6. 2  2. 3  2 COSTO DE CONSTRUCCION POR CONTRATA </t>
  </si>
  <si>
    <t>001. REGION PUNO-SEDE CENTRAL</t>
  </si>
  <si>
    <t>03.PLANEAMIENTO, GESTION Y RESERVA DE CONTINGENCIA</t>
  </si>
  <si>
    <t>2001621.ESTUDIOS DE PRE-INVERSION</t>
  </si>
  <si>
    <t>2411317.MEJORAMIENTO DE LOS SERVICIOS PUBLICOS DEL GOBIERNO REGIONAL PUNO - SEDE CENTRAL, DEL DISTRITO DE PUNO - PROVINCIA DE PUNO - DEPARTAMENTO DE PUNO</t>
  </si>
  <si>
    <t>2183634.MEJORAMIENTO DE LA DEFENSA RIBEREÑA EN LAS MARGENES DERECHA E IZQUIERDA DEL RIO RAMIS EN LOS TRAMOS DE SACASCO, COLLANA, CHACAMARCA, PATASCACHI, YANAOCO, TUNI GRANDE, RAMIS Y BALSAPATA DE LAS PROVINCIAS DE HUANCANE Y AZANGARO - REGION PUNO</t>
  </si>
  <si>
    <t>08.COMERCIO</t>
  </si>
  <si>
    <t>2016766.INICIATIVA A LA COMPETITIVIDAD</t>
  </si>
  <si>
    <t>2343538.CREACION DE LOS SERVICIOS DE PROMOCION DEL COMERCIO EXTERIOR EN LA ZEEDE PUNO - REGION DE PUNO</t>
  </si>
  <si>
    <t>10.AGROPECUARIA</t>
  </si>
  <si>
    <t>2187217.MEJORAMIENTO DE LA CADENA DE VALOR DE LA FIBRA DE ALPACA EN LA REGION PUNO</t>
  </si>
  <si>
    <t>2326588.MEJORAMIENTO DE LOS SERVICIOS DE APOYO A LA CADENA PRODUCTIVA DE CAFES ESPECIALES EN LOS DISTRITOS DE COASA, ITUATA, OLLACHEA, USICAYOS, LIMBANI, PATAMBUCO Y PHARA DE LAS PROVINCIAS DE CARABAYA Y SANDIA - REGION PUNO</t>
  </si>
  <si>
    <t>11.PESCA</t>
  </si>
  <si>
    <t>2324613.MEJORAMIENTO DE LAS CAPACIDADES TECNOLOGICAS EN EL MANEJO DE CADENA PRODUCTIVA DE TRUCHA EN LA REGION PUNO</t>
  </si>
  <si>
    <t>14. INDUSTRIA</t>
  </si>
  <si>
    <t>15. TRANSPORTE</t>
  </si>
  <si>
    <t>2001621: ESTUDIOS DE PRE-INVERSION</t>
  </si>
  <si>
    <t>2031310.CONSTRUCCION Y MEJORAMIENTO DE LA CARRETERA SAN JOSE (EMP. R 100) VALLE GRANDE -ISILLUMA DEL DISTRITO DE ALTO INAMBARI</t>
  </si>
  <si>
    <t>2131661.CONSTRUCCION Y MEJORAMIENTO DE LA CARRETERA DESVIO VILQUECHICO-COJATA-SINA-YANAHUAYA</t>
  </si>
  <si>
    <t>2185578.MEJORAMIENTO DE LA CARRETERA DV. DESAGUADERO (EMP PE 36A) - KELLUYO - PISACOMA, PROVINCIA DE CHUCUITO - PUNO</t>
  </si>
  <si>
    <t>2194702.MEJORAMIENTO DE LA CARRETERA (PU 675) POMATA - YOROHOCO, PROVINCIA DE CHUCUITO - PUNO</t>
  </si>
  <si>
    <t>2287700.MEJORAMIENTO DE LA CARRETERA PU N-110: EMP. PE-34I ASIRUNI - ROSASPATA - HUAYRAPATA - EMP. PE-34I NINANTAYA, DISTRITOS DE VILQUECHICO-ROSASPATA-MOHO-HUAYRAPATA, PROVINCIA DE HUANCANE Y MOHO - PUNO</t>
  </si>
  <si>
    <t>2321290.MEJORAMIENTO DE LOS SERVICIOS DE TRANSITABILIDAD DE LA VIA VECINAL PU-595: DV. PAMPA BLANCA - RINCONADA - CERRO LUNAR, DISTRITO DE ANANEA, PROVINCIA DE SAN ANTONIO DE PUTINA - PUNO</t>
  </si>
  <si>
    <t>2343199.MEJORAMIENTO DE LA CARRETERA (EMP 34B) AZANGARO - (EMP PU-102) JILA PURINA DE LOS DISTRITO DE AZANGARO - DISTRITO DE TIRAPATA - PROVINCIA DE AZANGARO - REGION PUNO</t>
  </si>
  <si>
    <t>2375549.CREACION DE LA INFRAESTRUCTURA DE INTEGRACION VIAL ENTRE SANDIA (CP. QUENEQUE) Y PATAMBUCO (C.P. TIRACA), DISTRITO DE SANDIA Y PATAMBUCO, PROVINCIA DE SANDIA - PUNO</t>
  </si>
  <si>
    <t>2440946: MEJORAMIENTO DEL SERVICIO DE TRANSITABILIDAD VEHICULAR DE LA CARRETERA TRAMO ACHAYA (PU-140) - ESTRELLA (EMP. PE- 3S) DEL DISTRITO DE ACHAYA - PROVINCIA DE AZANGARO - DEPARTAMENTO DE PUNO</t>
  </si>
  <si>
    <t>2456529.MEJORAMIENTO DE LA CARRETERA PU 147, EMP. PE-34I JIPATA - EMP. PE-34I MOHO, DISTRITO DE MOHO - PROVINCIA DE MOHO - DEPARTAMENTO DE PUNO</t>
  </si>
  <si>
    <t>2475053: MEJORAMIENTO DEL SERVICIO DE MOVILIDAD URBANA DE LA AV. ANDRES AVELINO CACERES (TRAMO: AV. TUPAC YUPANQUI - AV. AVIACION), AV. LOS GERANIOS DEL DISTRITO DE JULIACA - PROVINCIA DE SAN ROMAN - DEPARTAMENTO DE PUNO</t>
  </si>
  <si>
    <t>2480499.MEJORAMIENTO DE LA CARRETERA PU 146; EMP PE - 34 I (HUANCANE) - HUERTAPATA - VISCACHANI - QUELLAHUYO - EMP PE - 34 (CACUÑA), DISTRITO DE HUANCANE - PROVINCIA DE HUANCANE - DEPARTAMENTO DE PUNO</t>
  </si>
  <si>
    <t>2515272.RECUPERACION DEL PUENTE COLGANTE PEATONAL SOBRE EL RIO INAMBARI EN LA LOCALIDAD SANTA ROSA YANAMAYO DEL DISTRITO DE ALTO INAMBARI - PROVINCIA DE SANDIA - DEPARTAMENTO DE PUNO</t>
  </si>
  <si>
    <t>17.AMBIENTE</t>
  </si>
  <si>
    <t>2260735.MEJORAMIENTO DE LA GESTION INTEGRADA DE LOS RECURSOS HIDRICOS EN CUENCAS DE LA REGION PUNO</t>
  </si>
  <si>
    <t>2533866: RECUPERACION DE ECOSISTEMAS DEGRADADOS POR VERTIMIENTO DE AGUAS RESIDUALES Y RESIDUOS SOLIDOS EN LA DESEMBOCADURA DEL RIO COATA, EN LOS DISTRITOS DE HUATA, COATA, CAPACHICA, JULIACA Y SAN MIGUEL EN LAS PROVINCIAS DE PUNO Y SAN ROMAN DEL DEPARTAMENTO DE PUNO</t>
  </si>
  <si>
    <t>19.VIVIENDA Y DESARROLLO URBANO</t>
  </si>
  <si>
    <t>20.SALUD</t>
  </si>
  <si>
    <t>2108576.CONSTRUCCION DEL HOSPITAL MATERNO INFANTIL DEL CONO SUR JULIACA</t>
  </si>
  <si>
    <t>2279375.MEJORAMIENTO DE LOS SERVICIOS DE SALUD DEL HOSPITAL DE APOYO ILAVE, PROVINCIA DE EL COLLAO - REGION PUNO</t>
  </si>
  <si>
    <t>2308220.MEJORAMIENTO DE LA CAPACIDAD RESOLUTIVA DEL PUESTO DE SALUD DE AYMAÑA DEL CENTRO POBLADO DE AYMAÑA DEL DISTRITO DE CORANI - PROVINCIA DE CARABAYA - DEPARTAMENTO DE PUNO</t>
  </si>
  <si>
    <t>2357091: MEJORAMIENTO DE LA CAPACIDAD RESOLUTIVA DEL CENTRO DE SALUD COATA I-3 DE LA MICRORED JAE, RED DE SALUD PUNO - DIRESA PUNO, - DISTRITO DE COATA - PROVINCIA DE PUNO - REGION PUNO</t>
  </si>
  <si>
    <t>2357092.MEJORAMIENTO DE LA CAPACIDAD RESOLUTIVA DEL CENTRO DE SALUD COJATA I-4, DE LA MICRO RED COJATA, RED DE SALUD HUANCANE, DIRESA PUNO, DISTRITO DE COJATA - PROVINCIA DE HUANCANE - DEPARTAMENTO DE PUNO</t>
  </si>
  <si>
    <t>2435272.MEJORAMIENTO Y AMPLIACION DE LOS SERVICIOS DE SALUD DEL CENTRO DE SALUD LA REVOLUCION (NIVEL I-4) DISTRITO DE SAN MIGUEL - PROVINCIA DE SAN ROMAN - DEPARTAMENTO DE PUNO</t>
  </si>
  <si>
    <t>2450812.MEJORAMIENTO DE LOS SERVICIOS DE SALUD DEL CENTRO DE SALUD ZEPITA, MICRO RED ZEPITA, RED DE SALUD CHUCUITO, DEL DISTRITO DE ZEPITA - PROVINCIA DE CHUCUITO - DEPARTAMENTO DE PUNO</t>
  </si>
  <si>
    <t>2451529.MEJORAMIENTO DEL SERVICIO DE SALUD EN EL CENTRO DE SALUD PILCUYO DE LA MICRORED PILCUYO, RED DE SALUD EL COLLAO, DEL DISTRITO DE PILCUYO - PROVINCIA DE EL COLLAO - DEPARTAMENTO DE PUNO</t>
  </si>
  <si>
    <t>2488048.CREACION DEL SERVICIO DE ANALISIS DE BIOLOGIA MOLECULAR DE DIAGNOSTICO COVID-19 EN EL LABORATORIO DE REFERENCIA REGIONAL DE LA DIRESA PUNO, DISTRITO DE PUNO - PROVINCIA DE PUNO - DEPARTAMENTO DE PUNO</t>
  </si>
  <si>
    <t>2490087.MEJORAMIENTO Y AMPLIACION DE LOS SERVICIOS DE SALUD DEL ESTABLECIMIENTO DE SALUD NIVEL I- 4 DE LA LOCALIDAD DE TARACO, DISTRITO DE TARACO - PROVINCIA DE HUANCANE - DEPARTAMENTO DE PUNO</t>
  </si>
  <si>
    <t>2504553.MEJORAMIENTO DEL SERVICIO DE SALUD EN EL CENTRO DE SALUD YANAPATA DE LA MICRO RED COPANI, RED DE SALUD YUNGUYO, DISTRITO DE YUNGUYO - PROVINCIA DE YUNGUYO - DEPARTAMENTO DE PUNO</t>
  </si>
  <si>
    <t>2517448.MEJORAMIENTO DEL SERVICIO DE SALUD EN EL CENTRO DE SALUD SAN GABAN, DISTRITO DE SAN GABAN - PROVINCIA DE CARABAYA - DEPARTAMENTO DE PUNO</t>
  </si>
  <si>
    <t>21.CULTURA Y DEPORTE</t>
  </si>
  <si>
    <t>2163853.MEJORAMIENTO DEL ESTADIO MUNICIPAL CESAR RAUL CARRERA DEL DISTRITO DE AZANGARO, PROVINCIA DE AZANGARO - PUNO</t>
  </si>
  <si>
    <t>2188542.MEJORAMIENTO DE LA CAPACIDAD DE PRESTACION DE SERVICIOS DEPORTIVOS EN EL ESTADIO GUILLERMO BRICEÑO ROSAMEDINA DE LA CIUDAD DE JULIACA, PROVINCIA DE SAN ROMAN - PUNO</t>
  </si>
  <si>
    <t>22.EDUCACION</t>
  </si>
  <si>
    <t>2194501.INSTALACION DEL SERVICIO EDUCATIVO DE LA INSTITUCION EDUCATIVA SECUNDARIA SANTA MONICA EN EL DISTRITO DE JULIACA, PROVINCIA DE SAN ROMAN - PUNO.</t>
  </si>
  <si>
    <t>2196822.INSTALACION DEL SERVICIO DE EDUCACION INICIAL DE LA I.E.I. NRO. 94 DEL CENTRO POBLADO DE UMUCHI, DISTRITO DE MOHO, PROVINCIA DE MOHO, DEPARTAMENTO DE PUNO.</t>
  </si>
  <si>
    <t>2196865: MEJORAMIENTO DEL SERVICIO EDUCATIVO DE NIVEL INICIAL ESCOLARIZADO EN LA I.E.I. LLUNGO, DISTRITO DE ATUNCOLLA, PROVINCIA DE PUNO - PUNO.</t>
  </si>
  <si>
    <t>2196910.INSTALACION DEL SERVICIO EDUCATIVO EN LA INSTITUCION EDUCATIVA INICIAL AMAQUILLA CICLO II, DISTRITO DE COPANI - YUNGUYO - PUNO</t>
  </si>
  <si>
    <t>2250396.INSTALACION DEL SERVICIO EDUCATIVO DEL NIVEL INICIAL ESCOLARIZADO CICLO II EN LA I.E.I N 707 DEL CENTRO POBLADO DE JACHOCCO HUARACO, DISTRITO ILAVE, PROVINCIA DE EL COLLAO - DEPARTAMENTO PUNO.</t>
  </si>
  <si>
    <t>2300786: MEJORAMIENTO DEL MANEJO DE HERRAMIENTAS EN TECNOLOGIA INFORMATICA APLICADAS EN LA ENSEÑANZA DE LA EBR EN LA REGION DE PUNO</t>
  </si>
  <si>
    <t>2301117.MEJORAMIENTO DEL SERVICIO EDUCATIVO EN LAS INSTITUCIONES EDUCATIVAS PRIMARIAS N 70511, N 70815 Y N 72637, DISTRITO DE ORURILLO - MELGAR - PUNO</t>
  </si>
  <si>
    <t>2309892: MEJORAMIENTO Y AMPLIACION DE LOS SERVICIOS EDUCATIVOS DE LA INSTITUCION EDUCATIVA SECUNDARIA AGROPECUARIO N 125 DE CHUPA, DISTRITO DE CHUPA - AZANGARO - PUNO</t>
  </si>
  <si>
    <t>2323700.MEJORAMIENTO DEL SERVICIO EDUCATIVO DE LAS CARRERAS DE PRODUCCION, AUTOMOTRIZ, MINERIA, CONTABILIDAD, COMPUTACION, SECRETARIADO, ENFERMERIA, LABORATORIO CLINICO Y PROTESIS DENTAL DEL IST MANUEL NUÑEZ BUTRON, JULIACA, SAN ROMAN - PUNO</t>
  </si>
  <si>
    <t>2335880.MEJORAMIENTO DEL SERVICIO EDUCATIVO DE LAS CARRERAS DE CONTABILIDAD, ENFERMERIA TECNICA, COMPUTACION E INFORMATICA, INDUSTRIA ALIMENTARIA Y PRODUCCION AGROPECUARIA DEL ISEPA, PROVINCIA DE MELGAR - PUNO</t>
  </si>
  <si>
    <t>2411336.MEJORAMIENTO SERVICIO INTEGRAL DE LA INSTITUCION EDUCATIVA SECUNDARIA INDUSTRIAL PERU BIRF DISTRITO DE SAN MIGUEL - PROVINCIA DE SAN ROMAN - DEPARTAMENTO DE PUNO</t>
  </si>
  <si>
    <t>2417765.MEJORAMIENTO Y AMPLIACION DEL SERVICIOS DE EDUCACION BASICA EN EL NIVEL PRIMARIO DE LA IEP Nº 72169 TAMBILLO, IEP Nº 72175 TAYACCUCHO, IEP Nº 72188 QUETY, IEP Nº 72642 MALLCUAPO, IEP Nº 72749 CALASUCA DEL DISTRITO DE ITUATA - PROVINCIA DE CARABAYA</t>
  </si>
  <si>
    <t>2467893.MEJORAMIENTO DEL SERVICIO EDUCATIVO DEL NIVEL SECUNDARIA DE LA I.E.S. TARACO DEL DISTRITO DE TARACO - PROVINCIA DE HUANCANE - DEPARTAMENTO DE PUNO</t>
  </si>
  <si>
    <t>2490075.MEJORAMIENTO DEL SERVICIO EDUCATIVO DEL NIVEL SECUNDARIA DE LA I.E. AGROPECUARIO SAN JUAN DEL ORO EN EL DISTRITO DE SAN JUAN DEL ORO - PROVINCIA DE SANDIA - DEPARTAMENTO DE PUNO</t>
  </si>
  <si>
    <t>2490131.MEJORAMIENTO DEL SERVICIO DE EDUCACION SECUNDARIA DE LA IES CABANILLAS, DISTRITO DE CABANILLAS - PROVINCIA DE SAN ROMAN - DEPARTAMENTO DE PUNO</t>
  </si>
  <si>
    <t>2535611: MEJORAMIENTO Y AMPLIACION DEL SERVICIO DE EDUCACION SUPERIOR TECNOLOGICO PUBLICO EN EL INSTITUTO ANDRES AVELINO CACERES DISTRITO DE PUTINA - PROVINCIA DE SAN ANTONIO DE PUTINA - DEPARTAMENTO DE PUNO</t>
  </si>
  <si>
    <t>TOTAL</t>
  </si>
  <si>
    <t xml:space="preserve"> GERENCIA DE INFRAESTRUCTURA</t>
  </si>
  <si>
    <t>2230619: MEJORAMIENTO DE LA PRODUCCION Y PRODUCTIVIDAD DE LAS MYPE DE LAS PRINCIPALES LINEAS DE PRODUCCION EN LAS PROVINCIAS DE PUNO, SAN ROMAN Y EL COLLAO DE LA REGION PUNO</t>
  </si>
  <si>
    <t>2514428: CREACION DEL SERVICIO DE INTERCONEXION DE MOVILIDAD URBANA EN LA VIA TRONCAL DEL PUENTE YARAJA DISTRITO DE AZANGARO - PROVINCIA DE AZANGARO - DEPARTAMENTO DE PUNO</t>
  </si>
  <si>
    <t>2027881: OPTIMIZAR LA CAPACIDAD DE RESPUESTA EN EL HOSPITAL SAN JUAN DE DIOS DE AYAVIRI PUNO, CABECERA DE RED</t>
  </si>
  <si>
    <t xml:space="preserve">AVANCE DEVEN % </t>
  </si>
  <si>
    <t>TOTAL GERENCIA DE INFRESTRUCTURA</t>
  </si>
  <si>
    <t>TOTAL 001 REGIÓN PUNO-SEDE CENTRAL</t>
  </si>
  <si>
    <t>2190613 AMPLIACION Y MEJORAMIENTO DE LA CAPACIDAD RESOLUTIVA DEL PUESTO DE SALUD CHARAMAYA, MICRORED DE MAÑAZO - REDESS PUNO, DISTRITO MAÑAZO - PUNO - PUNO</t>
  </si>
  <si>
    <t>2316291  MEJORAMIENTO Y AMPLIACION DEL CIRCUITO VIAL ECO TURISTICO, CAPACHICA - SIALE - CCOTOS - PARAMIS - TRAMO II : SIALE - PARAMIS, DISTRITO CAPACHICA - PUNO - PUNO</t>
  </si>
  <si>
    <t>302-912: REGIÓN PUNO-EDUCACIÓN MELGAR</t>
  </si>
  <si>
    <t>2393101: MEJORAMIENTO Y AMPLIACION DEL SERVICIO ADMINISTRATIVO DE LA UNIDAD DE GESTION EDUCATIVA LOCAL MELGAR EN EL DISTRITO DE AYAVIRI, PROVINCIA DE MELGAR, REGION PUNO</t>
  </si>
  <si>
    <t>2278822: MEJORAMIENTO DE LOS SERVICIOS DE SALUD DEL HOSPITAL RAFAEL ORTIZ RAVINES DE JULI, PROVINCIA DE CHUCUITO - REGION PUNO</t>
  </si>
  <si>
    <t>2357322: MEJORAMIENTO SERVICIO EDUCATIVO EN LA IES. 32 MARIANO H. CORNEJO DE LA LOCALIDAD DE JULIACA - DISTRITO DE JULIACA - PROVINCIA DE SAN ROMAN - REGION PUNO</t>
  </si>
  <si>
    <t>2385051: MEJORAMIENTO DEL SERVICIO EDUCATIVO EN LA I.E.S. SAN JUAN BOSCO DE SALCEDO CON JORNADA ESCOLAR COMPLETA DISTRITO DE PUNO - PROVINCIA DE PUNO - REGION PUNO</t>
  </si>
  <si>
    <t>2502758  CONSTRUCCION DE CADENA DE FRIO; ADQUISICION DE EQUIPO ELECTRICO Y CAMION BARANDA; EN EL(LA) DIRECCION REGIONAL DE SALUD, DISTRITO PUNO - PUNO - PUNO</t>
  </si>
  <si>
    <t>2455185  CREACION DE LOS SERVICIOS DE ATENCION MEDICA MOVIL DE URGENCIA (SAMU) DEL PROGRAMA MI SALUD, EN LAS 13 PROVINCIAS DEL DEPARTAMENTO DE PUNO, MULTIDISTRITAL - MULTIPROVINCIAS - PUNO</t>
  </si>
  <si>
    <t>2494757  CONSTRUCCION DE CENTRAL DE OXIGENO; ADQUISICION DE PLANTA GENERADORA DE OXIGENO MEDICINAL Y GRUPO ELECTROGENO; EN EL(LA) EESS MANUEL NUÑEZ BUTRON, DISTRITO PUNO - PUNO - PUNO</t>
  </si>
  <si>
    <t>2557255: MEJORAMIENTO DE CAPACIDADES PARA LA CONSERVACION Y MANEJO DE CAMELIDOS SUDAMERICANOS DOMESTICOS DE LAS RAZAS SURI Y HUACAYA DE COLOR EN ZONAS ALTOANDINAS 6 PROVINCIAS DEL DEPARTAMENTO DE PUNO</t>
  </si>
  <si>
    <t>2455185: CREACION DE LOS SERVICIOS DE ATENCION MEDICA MOVIL DE URGENCIA (SAMU) DEL PROGRAMA MI SALUD, EN LAS 13 PROVINCIAS DEL DEPARTAMENTO DE PUNO</t>
  </si>
  <si>
    <t>2251136: MEJORAMIENTO DE LA CAPACIDAD RESOLUTIVA DEL HOSPITAL LUCIO ALDAZABAL PAUCA DE REDES HUANCANE, PROVINCIA DE HUANCANE - REGION PUNO</t>
  </si>
  <si>
    <t>2411335: MEJORAMIENTO DEL SERVICIO EDUCATIVO EN LA I.E.S. SAN SALVADOR, - DISTRITO DE PUNO - PROVINCIA DE PUNO - DEPARTAMENTO DE PUNO</t>
  </si>
  <si>
    <t>2336209 MEJORAMIENTO DE LOS SERVICIOS DE GESTION TERRITORIAL DEL DEPARTAMENTO DE PUNO</t>
  </si>
  <si>
    <t>2156096 MEJORAMIENTO DE LA CARRETERA DV.CARACARA - LAMPA - CABANILLA - CABANILLAS</t>
  </si>
  <si>
    <t>2156096: MEJORAMIENTO DE LA CARRETERA DV.CARACARA - LAMPA - CABANILLA - CABANILLAS</t>
  </si>
  <si>
    <t>2591028: REPARACION DE PUENTE; EN EL(LA) PUENTE AZANGARO (PUKA CHUPA) DEL DISTRITO DE AZANGARO, PROVINCIA AZANGARO, DEPARTAMENTO PUNO</t>
  </si>
  <si>
    <t>2592407: MEJORAMIENTO DE LOS SERVICIOS OPERATIVOS O MISIONALES INSTITUCIONALES EN LA OFICINA DE EQUIPO MECANICO DEL GOBIERNO REGIONAL PUNO DISTRITO DE PUNO DE LA PROVINCIA DE PUNO DEL DEPARTAMENTO DE PUNO</t>
  </si>
  <si>
    <t>2230923: MEJORAMIENTO DE LOS SERVICIOS EDUCATIVOS DE LA I.E. QUILLISANI EN EL CENTRO POBLADO DE QUILLISANI, DISTRITO DE PARATIA, PROVINCIA DE LAMPA - PUNO</t>
  </si>
  <si>
    <t>2544369: ADQUISICION DE AMBULANCIA RURAL Y AMBULANCIA RURAL; EN CINCUENTA Y CINCO ESTABLECIMIENTOS DE SALUD I.4, ESTABLECIMIENTOS DE SALUD I.2, ESTABLECIMIENTOS DE SALUD I.3 A NIVEL DEPARTAMENTAL (PUNO)</t>
  </si>
  <si>
    <t>2601475: ADQUISICION DE TOMOGRAFO, EQUIPO ECOGRAFO, MAQUINA DE ANESTESIA Y MESA DE OPERACIONES HIDRAULICA/ELECTRICA; ADEMAS DE OTROS ACTIVOS EN EL(LA) MANUEL NUÑEZ BUTRON DISTRITO DE PUNO, PROVINCIA PUNO, DEPARTAMENTO PUNO</t>
  </si>
  <si>
    <t>2230752: MEJORAMIENTO DE LOS SERVICIOS ASISTENCIALES DE LA ALDEA INFANTIL VIRGEN DE LA CANDELARIA EN EL BARRIO LA RINCONADA DEL CENTRO POBLADO DE SALCEDO, DISTRITO DE PUNO, PROVINCIA DE PUNO, REGION DE PUNO</t>
  </si>
  <si>
    <t>2468945: MEJORAMIENTO DE LOS SERVICIOS DE APOYO A LA GESTION DE LAS MUNICIPALIDADES DE LOS CENTROS POBLADOS EN 13 PROVINCIAS DEL DEPARTAMENTO DE PUNO</t>
  </si>
  <si>
    <t>2593683: REPARACION DE PISTA DE ATLETISMO (COMPETENCIA); ADQUISICION DE TORRE DE ILUMINACION; EN EL(LA) ESTADIO ENRIQUE TORRES BELON DEL DISTRITO DE PUNO, PROVINCIA PUNO, DEPARTAMENTO PUNO</t>
  </si>
  <si>
    <t xml:space="preserve">DEVEN % </t>
  </si>
  <si>
    <t>2411317: MEJORAMIENTO DE LOS SERVICIOS PUBLICOS DEL GOBIERNO REGIONAL PUNO - SEDE CENTRAL, DEL DISTRITO DE PUNO - PROVINCIA DE PUNO - DEPARTAMENTO DE PUNO</t>
  </si>
  <si>
    <t>2183634: MEJORAMIENTO DE LA DEFENSA RIBEREÑA EN LAS MARGENES DERECHA E IZQUIERDA DEL RIO RAMIS EN LOS TRAMOS DE SACASCO, COLLANA, CHACAMARCA, PATASCACHI, YANAOCO, TUNI GRANDE, RAMIS Y BALSAPATA DE LAS PROVINCIAS DE HUANCANE Y AZANGARO - REGION PUNO</t>
  </si>
  <si>
    <t>2520451: CREACION DEL SERVICIO DE PROTECCION EN RIBERAS DEL RIO QUELLOMAYO MARGEN DERECHO VULNERABLES ANTE EL PELIGRO DE INUNDACION EN LA LOCALIDAD DE SAN GABAN, DEL DISTRITO DE SAN GABAN - PROVINCIA DE CARABAYA - DEPARTAMENTO DE PUNO</t>
  </si>
  <si>
    <t>2016766: INICIATIVA A LA COMPETITIVIDAD</t>
  </si>
  <si>
    <t>2343538: CREACION DE LOS SERVICIOS DE PROMOCION DEL COMERCIO EXTERIOR EN LA ZEEDE PUNO - REGION DE PUNO</t>
  </si>
  <si>
    <t>2526527: MEJORAMIENTO DE LAS CAPACIDADES PARA LA PRODUCTIVIDAD Y LA COMPETITIVIDAD DE ARTESANIAS EN 13 PROVINCIAS DEL DEPARTAMENTO DE PUNO</t>
  </si>
  <si>
    <t>2187217: MEJORAMIENTO DE LA CADENA DE VALOR DE LA FIBRA DE ALPACA EN LA REGION PUNO</t>
  </si>
  <si>
    <t>2324613: MEJORAMIENTO DE LAS CAPACIDADES TECNOLOGICAS EN EL MANEJO DE CADENA PRODUCTIVA DE TRUCHA EN LA REGION PUNO</t>
  </si>
  <si>
    <t>2031310: CONSTRUCCION Y MEJORAMIENTO DE LA CARRETERA SAN JOSE (EMP. R 100) VALLE GRANDE -ISILLUMA DEL DISTRITO DE ALTO INAMBARI</t>
  </si>
  <si>
    <t>2055915: MEJORAMIENTO DE LA CARRETERA AZANGARO - SAYTOCOCHA - SANDIA - SAN JUAN DEL ORO</t>
  </si>
  <si>
    <t>2131661: CONSTRUCCION Y MEJORAMIENTO DE LA CARRETERA DESVIO VILQUECHICO-COJATA-SINA-YANAHUAYA</t>
  </si>
  <si>
    <t>2159836: MEJORAMIENTO Y CREACION DEL CAMINO VECINAL SACO-HUANACURI, DISTRITO DE COASA - CARABAYA - PUNO</t>
  </si>
  <si>
    <t>2163760: MEJORAMIENTO DE LA INFRAESTRUCTURA VIAL TURISTICO, TRAMO PHUTINI - JAYU JAYU, DISTRITO DE ACORA - PUNO - PUNO</t>
  </si>
  <si>
    <t>2185578: MEJORAMIENTO DE LA CARRETERA DV. DESAGUADERO (EMP PE 36A) - KELLUYO - PISACOMA, PROVINCIA DE CHUCUITO - PUNO</t>
  </si>
  <si>
    <t>2194702: MEJORAMIENTO DE LA CARRETERA (PU 675) POMATA - YOROHOCO, PROVINCIA DE CHUCUITO - PUNO</t>
  </si>
  <si>
    <t>2195487: MEJORAMIENTO DEL CAMINO VECINAL (EMP. PE 3S) HUAQUINA ZAPIJICANE - PTO JULI - CHUCASUYO DEL DISTRITO DE JULI - PROVINCIA DE CHUCUITO - DEPARTAMENTO DE PUNO</t>
  </si>
  <si>
    <t>2287700: MEJORAMIENTO DE LA CARRETERA PU N-110: EMP. PE-34I ASIRUNI - ROSASPATA - HUAYRAPATA - EMP. PE-34I NINANTAYA, DISTRITOS DE VILQUECHICO-ROSASPATA-MOHO-HUAYRAPATA, PROVINCIA DE HUANCANE Y MOHO - PUNO</t>
  </si>
  <si>
    <t>2300575: MEJORAMIENTO DE LA AVENIDA CIRCUNVALACION II (EMP. PE- 3S-AV. HUANCANE-CIRCUNVALACION ESTE-EMP PE-3S) DE LA CIUDAD DE JULIACA- EMPALME PU-3S INICIO CON CIRCUNVALACION II - DISTRITO DE SAN MIGUEL - EMPALME PU-3S FINAL CON CIRCUNVALACION II - DISTRITO DE CARACOTO - PROVINCIA DE SAN ROMAN - REGION PUNO</t>
  </si>
  <si>
    <t>2316291: MEJORAMIENTO Y AMPLIACION DEL CIRCUITO VIAL ECO TURISTICO, CAPACHICA - SIALE - CCOTOS - PARAMIS, DISTRITOS DE CAPACHICA, AMANTANI, PROVINCIA DE PUNO - PUNO</t>
  </si>
  <si>
    <t>2321290: MEJORAMIENTO DE LOS SERVICIOS DE TRANSITABILIDAD DE LA VIA VECINAL PU-595: DV. PAMPA BLANCA - RINCONADA - CERRO LUNAR, DISTRITO DE ANANEA, PROVINCIA DE SAN ANTONIO DE PUTINA - PUNO</t>
  </si>
  <si>
    <t>2338085: CREACION DE LA CARRETERA PU-103 (EMP. PE-34B BOCA SANGABAN - DV. COASA), PU-108 (DV. COASA - ISILLUMA) EMP. PE-34P Y DV. PE-34P (SANTIAGO PAMPA) - EMP PE-34H (PUTINA PUNCO) DISTRITOS DE SAN GABAN, AYAPATA, ITUATA, COASA, LIMBANI, PHARA, ALTO INAMBARI, PUTINA PUNCO LAS PROVINCIAS DE SANDIA Y CARABAYA DEL DEPARTAMENTO DE PUNO</t>
  </si>
  <si>
    <t>2343199: MEJORAMIENTO DE LA CARRETERA (EMP 34B) AZANGARO - (EMP PU-102) JILA PURINA DE LOS DISTRITO DE AZANGARO - DISTRITO DE TIRAPATA - PROVINCIA DE AZANGARO - REGION PUNO</t>
  </si>
  <si>
    <t>2375549: CREACION DE LA INFRAESTRUCTURA DE INTEGRACION VIAL ENTRE SANDIA (CP. QUENEQUE) Y PATAMBUCO (C.P. TIRACA), DISTRITO DE SANDIA Y PATAMBUCO, PROVINCIA DE SANDIA - PUNO</t>
  </si>
  <si>
    <t>2443679: MEJORAMIENTO DEL SERVICIO DE TRANSITABILIDAD VEHICULAR DE LA CARRETERA TRAMO I: EMP- 34L (COJATA) - HUANCASAYA, TRAMO II: HUANCASAYA - TARUCANI-EMP-PU-115 (INCHUPALLA), DEL DISTRITO DE COJATA - PROVINCIA DE HUANCANE - DEPARTAMENTO DE PUNO</t>
  </si>
  <si>
    <t>2447465: MEJORAMIENTO DE LA INFRAESTRUCTURA VIAL EN LA AV. SACSAYHUAMAN TRAMO (JR. MIRAFLORES - AV. AVIACION), JR. AMANECER TRAMO (AV. INDEPENDENCIA - JR. MIRAFLORES) DE LA CIUDAD DE JULIACA, DISTRITO DE JULIACA - PROVINCIA DE SAN ROMAN - DEPARTAMENTO DE PUNO</t>
  </si>
  <si>
    <t>2456529: MEJORAMIENTO DE LA CARRETERA PU 147, EMP. PE-34I JIPATA - EMP. PE-34I MOHO, DISTRITO DE MOHO - PROVINCIA DE MOHO - DEPARTAMENTO DE PUNO</t>
  </si>
  <si>
    <t>2470024: MEJORAMIENTO DEL SERVICIO DE TRANSITABILIDAD VEHICULAR A TRAVES DE PUENTES CARROZABLES EN LAS PROVINCIAS DE CARABAYA Y SANDIA DEL DEPARTAMENTO DE PUNO</t>
  </si>
  <si>
    <t>2480499: MEJORAMIENTO DE LA CARRETERA PU 146; EMP PE - 34 I (HUANCANE) - HUERTAPATA - VISCACHANI - QUELLAHUYO - EMP PE - 34 (CACUÑA), DISTRITO DE HUANCANE - PROVINCIA DE HUANCANE - DEPARTAMENTO DE PUNO</t>
  </si>
  <si>
    <t>2250970: MEJORAMIENTO DEL SERVICIO DE CONSERVACION DE LA DIVERSIDAD BIOLOGICA EN SELVA VERDE, SAN GABAN, PUNTA PERDIDA, COTACUCHO, PUNO, JUCUMARINI, CUSHINI, RIO CONDOR, RIO TAVARA, Y PACO PACUNI, DISTRITOS DE AYAPATA, SAN GABAN, SANTA ROSA, VILQUE CHICO-PUNO</t>
  </si>
  <si>
    <t>2260735: MEJORAMIENTO DE LA GESTION INTEGRADA DE LOS RECURSOS HIDRICOS EN CUENCAS DE LA REGION PUNO</t>
  </si>
  <si>
    <t>2462296: CREACION DEL SERVICIO DE TRANSITABILIDAD A TRAVES DE LA INSTALACION DE PUENTES PEATONALES EN LAS PROVINCIAS DE CARABAYA Y SANDIA DEL DEPARTAMENTO DE PUNO</t>
  </si>
  <si>
    <t>2108576: CONSTRUCCION DEL HOSPITAL MATERNO INFANTIL DEL CONO SUR JULIACA</t>
  </si>
  <si>
    <t>2308220: MEJORAMIENTO DE LA CAPACIDAD RESOLUTIVA DEL PUESTO DE SALUD DE AYMAÑA DEL CENTRO POBLADO DE AYMAÑA DEL DISTRITO DE CORANI - PROVINCIA DE CARABAYA - DEPARTAMENTO DE PUNO</t>
  </si>
  <si>
    <t>2357089: MEJORAMIENTO DE LOS SERVICIOS DEL CENTRO DE SALUD ESTRATEGICO SIMON BOLIVAR CATEGORIA I-4 RED DE SALUD PUNO, DISTRITO PUNO - PROVINCIA DE PUNO - REGION PUNO DISTRITO DE PUNO - PROVINCIA DE PUNO - DEPARTAMENTO DE PUNO</t>
  </si>
  <si>
    <t>2357092: MEJORAMIENTO DE LA CAPACIDAD RESOLUTIVA DEL CENTRO DE SALUD COJATA I-4, DE LA MICRO RED COJATA, RED DE SALUD HUANCANE, DIRESA PUNO, DISTRITO DE COJATA - PROVINCIA DE HUANCANE - DEPARTAMENTO DE PUNO</t>
  </si>
  <si>
    <t>2435272: MEJORAMIENTO Y AMPLIACION DE LOS SERVICIOS DE SALUD DEL CENTRO DE SALUD LA REVOLUCION (NIVEL I-4) DISTRITO DE SAN MIGUEL - PROVINCIA DE SAN ROMAN - DEPARTAMENTO DE PUNO</t>
  </si>
  <si>
    <t>2436751: MEJORAMIENTO DE LOS SERVICIOS DE SALUD EN EL CENTRO DE SALUD PALCA DE LA LOCALIDAD DE PALCA DEL DISTRITO DE PALCA - PROVINCIA DE LAMPA - DEPARTAMENTO DE PUNO</t>
  </si>
  <si>
    <t>2450812: MEJORAMIENTO DE LOS SERVICIOS DE SALUD DEL CENTRO DE SALUD ZEPITA, MICRO RED ZEPITA, RED DE SALUD CHUCUITO, DEL DISTRITO DE ZEPITA - PROVINCIA DE CHUCUITO - DEPARTAMENTO DE PUNO</t>
  </si>
  <si>
    <t>2451529: MEJORAMIENTO DEL SERVICIO DE SALUD EN EL CENTRO DE SALUD PILCUYO DE LA MICRORED PILCUYO, RED DE SALUD EL COLLAO, DEL DISTRITO DE PILCUYO - PROVINCIA DE EL COLLAO - DEPARTAMENTO DE PUNO</t>
  </si>
  <si>
    <t>2470517: MEJORAMIENTO DE LOS SERVICIOS DE SALUD DEL CENTRO DE SALUD COPANI DE LA MICRO RED COPANI, RED DE SALUD YUNGUYO, DISTRITO DE COPANI - PROVINCIA DE YUNGUYO - DEPARTAMENTO DE PUNO</t>
  </si>
  <si>
    <t>2490087: MEJORAMIENTO Y AMPLIACION DE LOS SERVICIOS DE SALUD DEL ESTABLECIMIENTO DE SALUD NIVEL I- 4 DE LA LOCALIDAD DE TARACO, DISTRITO DE TARACO - PROVINCIA DE HUANCANE - DEPARTAMENTO DE PUNO</t>
  </si>
  <si>
    <t>2504553: MEJORAMIENTO DEL SERVICIO DE SALUD EN EL CENTRO DE SALUD YANAPATA DE LA MICRO RED COPANI, RED DE SALUD YUNGUYO, DISTRITO DE YUNGUYO - PROVINCIA DE YUNGUYO - DEPARTAMENTO DE PUNO</t>
  </si>
  <si>
    <t>2517448: MEJORAMIENTO DEL SERVICIO DE SALUD EN EL CENTRO DE SALUD SAN GABAN, DISTRITO DE SAN GABAN - PROVINCIA DE CARABAYA - DEPARTAMENTO DE PUNO</t>
  </si>
  <si>
    <t>2186641: MEJORAMIENTO DEL SERVICIO DEPORTIVO, CULTURAL Y RECREACIONAL EN LA CAPITAL DE LA REGION PUNO</t>
  </si>
  <si>
    <t>2194668: MEJORAMIENTO DE LA CAPACIDAD PRODUCTIVA DE CARNE, LANA Y LECHE EN EL GANADO OVINO DE LA ZONA SUR REGION PUNO</t>
  </si>
  <si>
    <t>2559663: AMPLIACION PARA EL MEJORAMIENTO DE LA PRODUCTIVIDAD DE CARNE Y LANA DE OVINOS 6 PROVINCIAS DEL DEPARTAMENTO DE PUNO</t>
  </si>
  <si>
    <t>2188379: MEJORAMIENTO DEL SERVICIO EDUCATIVO DE LA INSTITUCION EDUCATIVA PRIMARIA N 70605 DOMINGO SAVIO DE JULIACA, DISTRITO DE JULIACA, PROVINCIA DE SAN ROMAN - PUNO</t>
  </si>
  <si>
    <t>2194462: INSTALACION DEL SERVICIO DE EDUCACION SECUNDARIA THOMAS ALVA EDISON EN LA URBANIZACION CHILLA - LOS ROSALES EN EL DISTRITO DE JULIACA, PROVINCIA DE SAN ROMAN.</t>
  </si>
  <si>
    <t>2196857: INSTALACION DEL SERVICIO EDUCATIVO EN LA INSTITUCION EDUCATIVA INICIAL N 986 SAN JUAN BAUTISTA DEL DISTRITO DE JULIACA, PROVINCIA DE SAN ROMAN - PUNO</t>
  </si>
  <si>
    <t>2250307: INSTALACION DEL SERVICIO EDUCATIVO ESCOLARIZADO DEL NIVEL INICIAL DE 3 A 5 AÑOS EN LA I.E.I. PICHACANI QUIRINI, DISTRITO DE MACARI, PROVINCIA MELGAR PUNO</t>
  </si>
  <si>
    <t>2250396: INSTALACION DEL SERVICIO EDUCATIVO DEL NIVEL INICIAL ESCOLARIZADO CICLO II EN LA I.E.I N 707 DEL CENTRO POBLADO DE JACHOCCO HUARACO, DISTRITO ILAVE, PROVINCIA DE EL COLLAO - DEPARTAMENTO PUNO.</t>
  </si>
  <si>
    <t>2250460: INSTALACION DEL SERVICIO EDUCATIVO DE LA INSTITUCION EDUCATIVA INICIAL CICLO II NUEVA ESPERANZA, DISTRITO DE MACARI, PROVINCIA DE MELGAR - PUNO</t>
  </si>
  <si>
    <t>2284935: MEJORAMIENTO DEL SERVICIO EDUCATIVO EN LA IES POLITECNICO REGIONAL LOS ANDES, DISTRITO DE JULIACA, PROVINCIA DE SAN ROMAN - PUNO</t>
  </si>
  <si>
    <t>2301117: MEJORAMIENTO DEL SERVICIO EDUCATIVO EN LAS INSTITUCIONES EDUCATIVAS PRIMARIAS N 70511, N 70815 Y N 72637, DISTRITO DE ORURILLO - MELGAR - PUNO</t>
  </si>
  <si>
    <t>2323700: MEJORAMIENTO DEL SERVICIO EDUCATIVO DE LAS CARRERAS DE PRODUCCION, AUTOMOTRIZ, MINERIA, CONTABILIDAD, COMPUTACION, SECRETARIADO, ENFERMERIA, LABORATORIO CLINICO Y PROTESIS DENTAL DEL IST MANUEL NUÑEZ BUTRON, JULIACA, SAN ROMAN - PUNO</t>
  </si>
  <si>
    <t>2335880: MEJORAMIENTO DEL SERVICIO EDUCATIVO DE LAS CARRERAS DE CONTABILIDAD, ENFERMERIA TECNICA, COMPUTACION E INFORMATICA, INDUSTRIA ALIMENTARIA Y PRODUCCION AGROPECUARIA DEL ISEPA, PROVINCIA DE MELGAR - PUNO</t>
  </si>
  <si>
    <t>2344253: MEJORAMIENTO DEL SERVICIO EDUCATIVO EN LA I.E.S. JOSE ANTONIO ENCINAS FRANCO, CENTRO POBLADO DE LECHEMAYO DEL DISTRITO DE SAN GABAN - PROVINCIA DE CARABAYA - DEPARTAMENTO DE PUNO</t>
  </si>
  <si>
    <t>2344324: MEJORAMIENTO DE LOS SERVICIOS EDUCATIVOS DE LA I.E.S. MANUEL GONZALES PRADA, CENTRO POBLADO DE ISANI - DISTRITO DE ZEPITA - PROVINCIA DE CHUCUITO - REGION PUNO</t>
  </si>
  <si>
    <t>2357330: MEJORAMIENTO DEL SERVICIO EDUCATIVO DE LAS CARRERAS DE PRODUCCION AGROPECUARIA, MECANICA DE PRODUCCION, COMPUTACION E INFORMATICA, ENFERMERIA TECNICA EN EL INSTITUTO SUPERIOR TECNOLOGICO PUBLICO DE HUANCANE DISTRITO DE HUANCANE - PROVINCIA DE HUANCANE - DEPARTAMENTO DE PUNO</t>
  </si>
  <si>
    <t>2357337: MEJORAMIENTO Y AMPLIACION DEL SERVICIO EDUCATIVO DE LA ESCUELA SUPERIOR DE FORMACION ARTISTICA PUBLICA (ESFAP - PUNO), DISTRITO DE PUNO - PROVINCIA DE PUNO - REGION PUNO</t>
  </si>
  <si>
    <t>2384978: MEJORAMIENTO DE LOS SERVICIOS DE EDUCACION SECUNDARIA EN LA INSTITUCION EDUCATIVA PUBLICA MILITAR INCA MANCO CAPAC , CENTRO POBLADO DE TOTORANI - DISTRITO DE PUNO - PROVINCIA DE PUNO - REGION PUNO</t>
  </si>
  <si>
    <t>2385673: MEJORAMIENTO DEL SERVICIO EDUCATIVO DE LA I.E.S. LAS MERCEDES DE LA CIUDAD DE JULIACA - DISTRITO DE JULIACA - PROVINCIA DE SAN ROMAN - DEPARTAMENTO DE PUNO</t>
  </si>
  <si>
    <t>2393398: MEJORAMIENTO DEL SERVICIO EDUCATIVO DE NIVEL SECUNDARIO EN LA I.E. A - 28 PERU BIRF CENTRO POBLADO DE AZANGARO - DISTRITO DE AZANGARO - PROVINCIA DE AZANGARO - REGION PUNO</t>
  </si>
  <si>
    <t>2411336: MEJORAMIENTO SERVICIO INTEGRAL DE LA INSTITUCION EDUCATIVA SECUNDARIA INDUSTRIAL PERU BIRF DISTRITO DE SAN MIGUEL - PROVINCIA DE SAN ROMAN - DEPARTAMENTO DE PUNO</t>
  </si>
  <si>
    <t>2417765: MEJORAMIENTO Y AMPLIACION DEL SERVICIOS DE EDUCACION BASICA EN EL NIVEL PRIMARIO DE LA IEP Nº 72169 TAMBILLO, IEP Nº 72175 TAYACCUCHO, IEP Nº 72188 QUETY, IEP Nº 72642 MALLCUAPO, IEP Nº 72749 CALASUCA DEL DISTRITO DE ITUATA - PROVINCIA DE CARABAYA - DEPARTAMENTO DE PUNO DISTRITO DE ITUATA - PROVINCIA DE CARABAYA - DEPARTAMENTO DE PUNO</t>
  </si>
  <si>
    <t>2467893: MEJORAMIENTO DEL SERVICIO EDUCATIVO DEL NIVEL SECUNDARIA DE LA I.E.S. TARACO DEL DISTRITO DE TARACO - PROVINCIA DE HUANCANE - DEPARTAMENTO DE PUNO</t>
  </si>
  <si>
    <t>2521936: MEJORAMIENTO Y AMPLIACION DEL SERVICIO DE EDUCACION SUPERIOR TECNOLOGICA EN EL INSTITUTO SUPERIOR TECNOLOGICO PUBLICO DE MACUSANI DISTRITO DE MACUSANI - PROVINCIA DE CARABAYA - DEPARTAMENTO DE PUNO</t>
  </si>
  <si>
    <t>2525250: MEJORAMIENTO Y AMPLIACION DEL SERVICIO EDUCATIVO DEL NIVEL PRIMARIA DE LA I.E. Nº 70316 SAGRADO CORAZON DE JESUS DISTRITO DE ILAVE - PROVINCIA DE EL COLLAO - DEPARTAMENTO DE PUNO</t>
  </si>
  <si>
    <t>2158850: MEJORAMIENTO DEL ESTADO NUTRICIONAL DE LA PRIMERA INFANCIA EN LA ZONA CIRCUNLACUSTRE DE LA REGION PUNO</t>
  </si>
  <si>
    <t>2131389: MEJORAMIENTO DE LA INFRAESTRUCTURA VIAL DEL CIRCUITO TURISTICO LAGO SAGRADO DE LOS INCAS - DISTRITOS CAPACHICA, CHUCUITO, PLATERIA, ACORA, ILAVE</t>
  </si>
  <si>
    <t>2547436 RECUPERACION DE ECOSISTEMAS DEGRADADAS EN ZONAS ALTOANDINAS FRONTERIZAS EN CABECERAS DE CUENCA EN LAS PROVINCIAS DE CHUCUITO, PUNO Y EL COLLAO DEL DEPARTAMENTO DE PUNO</t>
  </si>
  <si>
    <t>2549395: RECUPERACION DE ECOSISTEMAS DEGRADADOS EN LAS UNIDADES HIDROGRAFICAS: LLALLIMAYO DE LA UH 018 PUCARA Y UH 019 AZANGARO, DE LA CUENCA RAMIS DEL DEPARTAMENTO DE PUNO, REGION PUNO 5 PROVINCIAS DEL DEPARTAMENTO DE PUNO</t>
  </si>
  <si>
    <t>2566295: RECUPERACION DE ECOSISTEMAS DEGRADADOS EN ZONAS ALTO ANDINAS EN CABECERA DE CUENCA DE LAS UH0172, UH0178 Y UH0171 CUENCA SUCHES EN 4 PROVINCIAS DEL DEPARTAMENTO DE PUNO</t>
  </si>
  <si>
    <t>2250382: INSTALACION DE LOS SERVICIOS DE EDUCACION INICIAL EN LA I.E.I. CHIA, DEL C.P. DE CHIA, DEL DISTRITO DE OLLACHEA - PROVINCIA CARABAYA - REGION PUNO</t>
  </si>
  <si>
    <t>2393101 MEJORAMIENTO Y AMPLIACION DEL SERVICIO ADMINISTRATIVO DE LA UNIDAD DE GESTION EDUCATIVA LOCAL MELGAR EN EL DISTRITO DE AYAVIRI, PROVINCIA DE MELGAR, REGION PUNO</t>
  </si>
  <si>
    <t>2567368 ADQUISICION DE MAMOGRAFO; EN EL(LA) EESS SAN MARTIN DE P. (MACUSANI) - MACUSANI DISTRITO DE MACUSANI, PROVINCIA CARABAYA, DEPARTAMENTO PUNO</t>
  </si>
  <si>
    <t>2567375 ADQUISICION DE TOMOGRAFO COMPUTARIZADO MULTICORTE; EN EL(LA) EESS SAN MARTIN DE P. (MACUSANI) - MACUSANI DISTRITO DE MACUSANI, PROVINCIA CARABAYA, DEPARTAMENTO PUNO</t>
  </si>
  <si>
    <t>2567368: ADQUISICION DE MAMOGRAFO; EN EL(LA) EESS SAN MARTIN DE P. (MACUSANI) - MACUSANI DISTRITO DE MACUSANI, PROVINCIA CARABAYA, DEPARTAMENTO PUNO</t>
  </si>
  <si>
    <t>2567375: ADQUISICION DE TOMOGRAFO COMPUTARIZADO MULTICORTE; EN EL(LA) EESS SAN MARTIN DE P. (MACUSANI) - MACUSANI DISTRITO DE MACUSANI, PROVINCIA CARABAYA, DEPARTAMENTO PUNO</t>
  </si>
  <si>
    <t>2611130: ADQUISICION DE ANALIZADOR DE GASES Y ELECTROLITOS, ASPIRADORA DE SECRECIONES, BOMBA DE INFUSION Y COCHE DE PARO EQUIPADO; ADEMAS DE OTROS ACTIVOS EN EL(LA) MANUEL NUÑEZ BUTRON DISTRITO DE PUNO, PROVINCIA PUNO, DEPARTAMENTO PUNO</t>
  </si>
  <si>
    <t>2611144: ADQUISICION DE ANALIZADOR DE GASES Y ELECTROLITOS, ASPIRADOR DE SECRECIONES, BOMBA DE INFUSION Y COCHE DE PARO EQUIPADO; ADEMAS DE OTROS ACTIVOS EN EL(LA) CARLOS MONJE MEDRANO DISTRITO DE JULIACA, PROVINCIA SAN ROMAN, DEPARTAMENTO PUNO</t>
  </si>
  <si>
    <t>2613817: ADQUISICION DE ECOCARDIOGRAFO, ARCO EN C, BOMBA DE INFUSION Y EQUIPO ECOGRAFO; ADEMAS DE OTROS ACTIVOS EN SIETE ESTABLECIMIENTOS DE SALUD II.1 A NIVEL DEPARTAMENTAL (PUNO)</t>
  </si>
  <si>
    <t>2570978: MEJORAMIENTO DE LOS SERVICIOS DE EDUCACION SUPERIOR DEL INSTITUTO SUPERIOR TECNOLOGICO PUBLICA DE CABANILLAS DEL DISTRITO DE CABANILLAS - PROVINCIA DE SAN ROMAN - DEPARTAMENTO DE PUNO</t>
  </si>
  <si>
    <t>2334606 AMPLIACION Y MEJORAMIENTO DE LOS SERVICIOS DE SALUD DEL PUESTO DE SALUD QUILCAPUNCU - MICRO RED PUTINA, DISTRITO DE QUILCAPUNCU, PROVINCIA DE SAN ANTONIO DE PUTINA - PUNO. Modificado con la meta 231</t>
  </si>
  <si>
    <t>2612522 MEJORAMIENTO DE LA PRODUCCION Y TRANSFORMACION DE QUESOS EN LA ASOCIACION DE PRODUCTORES LACTI SUR DE HUAPACA SANTIAGO, DISTRITO POMATA - CHUCUITO - PUNO</t>
  </si>
  <si>
    <t>2612523 5 MEJORAMIENTO E INNOVACION DE LOS TEXTILES ANCESTRALES Y ELABORACION DE TAPICES A BASE DE FIBRAS ECOLOGICAS CON APLICACIONES DE ICONOGRAFIAS ANDINAS EN LA FEDERACION DE MUJERES INDIGENAS AYMARA, DISTRITO ACORA - PUNO - PUNO</t>
  </si>
  <si>
    <t>2612524 MEJORAMIENTO E IMPLEMENTACION DE UNA PLANTA PROCESADORA DE QUINUA DE LA ASOCIACION DE PRODUCTORES MUNAY TANTANI, DISTRITO AYAVIRI - MELGAR - PUNO</t>
  </si>
  <si>
    <t>2612525  MODERNIZACION Y FORTALECIMIENTO DE LA PRODUCCION DE ARTESANIAS DE CERAMICA, DE LA ASOCIACION CHASKA PUKARA, DISTRITO PUCARA - LAMPA - PUNO</t>
  </si>
  <si>
    <t>2612528  MEJORAMIENTO DE LA PRODUCCION DE QUESOS TIPO PARIA EN LA ASOCIACION DE PRODUCTORES AGROPECUARIOS Y PROVEEDORES DE LECHE TUQUILAC, DISTRITO POMATA - CHUCUITO - PUNO</t>
  </si>
  <si>
    <t>2612530  MEJORAMIENTO EN PROCESAMIENTO Y COMERCIALIZACION DE LA FIBRA Y LANA EN LA ASOCIACION DE PRODUCTORES AGROPECUARIOS Y ARTESANOS ICHURAWI LORENA, DISTRITO ASILO - AZANGARO - PUNO</t>
  </si>
  <si>
    <t>2613370  MEJORAMIENTO DE LOS SERVICIOS DE TURISMO RURAL COMUNITARIO DE LA ASOCIACION CULTURAL ISLA TICONATA TUR ASCITTUR CP CCOTOS, DISTRITO CAPACHICA - PUNO - PUNO</t>
  </si>
  <si>
    <t>2612532  MEJORAMIENTO DEL SERVICIO DE TURISMO RURAL COMUNITARIO EN LA ASOCIACION DE MUJERES EMPRENDEDORAS ORIGINARIAS QALLARIY WARMI DE LA ISLA AMANTANI, DISTRITO AMANTANI - PUNO - PUNO</t>
  </si>
  <si>
    <t>2612533 MEJORAMIENTO DE LA TRANSFORMACION DE HABAS EN HARINAS TOSTADAS EN LA ASOCIACION DE PRODUCTORES AGROPECUARIO TRANSFORMADORES HIDROBIOLOGICO Y ARTESANOS UNION WINAYMARCA, DISTRITO YUNGUYO - YUNGUYO - PUNO</t>
  </si>
  <si>
    <t>2612535 MEJORAMIENTO DE LOS SERVICIOS DE AVENTURA, RECREACION, ECO ALOJAMIENTO RURAL Y ALIMENTACION TIPICA EN LA ASOCIACION DE TURISMO RURAL SOLIDARIO, DISTRITO CAPACHICA - PUNO - PUNO</t>
  </si>
  <si>
    <t>2612536  AMPLIACION DE LA PLANTA PROCESADORA DE YOGUR DE LA ASOCIACION DE PEQUENOS PRODUCTORES AGROPECUARIOS DE CHIARAMARCA, DISTRITO AYAVIRI - MELGAR - PUNO</t>
  </si>
  <si>
    <t>2612538 MEJORAMIENTO DE LOS SERVICIOS TURISTICOS DE GASTRONOMIA ANDINA Y ALOJAMIENTO RURAL EN LA ASOCIACION CENTRO DEL DESARROLLO TURISTICO RURAL COMUNITARIO, DISTRITO CHUCUITO - PUNO - PUNO</t>
  </si>
  <si>
    <t>2612539 MEJORAMIENTO DE LA CAPACIDAD TECNICA DE PRODUCCION DE PRENDAS EN ARTESANIA TEXTIL, EN LA ASOCIACION ARTESANAL AGROPECUARIA NUEVA ESPERANZA PILCUYO, DISTRITO ILAVE - EL COLLAO - PUNO</t>
  </si>
  <si>
    <t>2612540  MEJORAMIENTO DE LA PRODUCCION Y VALOR AGREGADO DE LA TRUCHA, EN LA ASOCIACION DE PRODUCTORES DE TRUCHA BALSEROS, DISTRITO ACORA - PUNO - PUNO</t>
  </si>
  <si>
    <t>2612541 MEJORAMIENTO DE LA PRODUCCION Y COMERCIALIZACION DE DERIVADOS LACTEOS EN LA ASOCIACION DE PRODUCTORES AGROPECUARIOS EMPRENDEDORES LOS CLAVELES DE SAN SALVADOR HUATASANI, DISTRITO HUATASANI - HUANCANE - PUNO</t>
  </si>
  <si>
    <t>2612542 8 CREACION DE UNA PLANTA DE PROCESAMIENTO Y COMERCIALIZACION DE LANA DE OVEJA EN LA ASOCIACION DE PRODUCTORES AGROPECUARIOS, ARTESANALES Y TRANSFORMADORES KJAPAQ SONQO CENTRO POBLADO DE CARATA, DISTRITO COATA - PUNO - PUNO</t>
  </si>
  <si>
    <t>2612545 AMPLIACION DE LA PLANTA DE PROCESAMIENTO DE DERIVADOS LACTEOS DE LA ASOCIACION DE PRODUCTORES AGROPECUARIOS, ARTESANOS Y TURISMO ALMOZANCHE, DISTRITO COATA - PUNO - PUNO</t>
  </si>
  <si>
    <t>2612547 MEJORAMIENTO DEL SERVICIO DE PANADERIA EN EL EMPRENDIMIENTO DE LA ASOCIACION DE PANADERIA Y PASTELERIA ARTESANAL CHUCUITO, DISTRITO CHUCUITO - PUNO - PUNO</t>
  </si>
  <si>
    <t>2612546 MEJORAMIENTO DEL VALOR AGREGADO DE LOS CULTIVOS FORRAJEROS EN EL AEO ASOCIACION DE PRODUCTORES LECHEROS 24 DE JUNIO DE LA COMUNIDAD CAMPESINA DE JACHA HUINCHOCA, DISTRITO ACORA - PUNO - PUNO</t>
  </si>
  <si>
    <t>2612549 MEJORAMIENTO DE LA PRODUCCION DE QUESOS TIPO PARIA EN LA ASOCIACION DE PRODUCTORES AGROPECUARIOS POCOAQUE HUAPACA SANTIAGO, DISTRITO POMATA - CHUCUITO - PUNO</t>
  </si>
  <si>
    <t>2613373 MEJORAMIENTO DE LA TRANSFORMACION DE LOS GRANOS ANDINOS EN EL AEO ASOCIACION DE PRODUCTORES AGROPECUARIOS MULTIPLES NUEVA IMAGEN INKAPUCARA, DISTRITO AZANGARO - AZANGARO - PUNO</t>
  </si>
  <si>
    <t>2613375 MEJORAMIENTO TECNOLOGICO DE UNA PLANTA PROCESADORA DE CAFE DE LA ASOCIACION DE AGRICULTORES Y PRODUCTORES ALTO CATARANI MUNTURANI, DISTRITO YANAHUAYA - SANDIA - PUNO</t>
  </si>
  <si>
    <t>2187217 CONTROL CONCURRENTE; TRANSFERENCIAS FINANCIERAS</t>
  </si>
  <si>
    <t>2616977: ADQUISICION DE MAQUINA PERFORADORA; EN EL(LA) REGION PUNO - PROGRAMA REGIONAL DE RIEGO Y DRENAJE, PARA LA EXPLORACION Y CAPTACION DE AGUAS SUBTERRANEAS MEDIANTE POZOS TUBULARES PARA RIEGO, EN EL DISTRITO DE PUNO, PROVINCIA PUNO, DEPARTAMENTO PUNO</t>
  </si>
  <si>
    <t>2612522: MEJORAMIENTO DE LA PRODUCCION Y TRANSFORMACION DE QUESOS EN LA ASOCIACION DE PRODUCTORES LACTI SUR DE HUAPACA SANTIAGO DEL DISTRITO DE POMATA, PROVINCIA DE CHUCUITO Y DEPARTAMENTO DE PUN</t>
  </si>
  <si>
    <t>2612541: MEJORAMIENTO DE LA PRODUCCION Y COMERCIALIZACION DE DERIVADOS LACTEOS EN LA ASOCIACION DE PRODUCTORES AGROPECUARIOS EMPRENDEDORES LOS CLAVELES DE SAN SALVADOR HUATASANI, DEL DISTRITO DE HUATASANI, PROVINCIA DE HUANCANE Y REGION DE PUNO</t>
  </si>
  <si>
    <t>2196879: MEJORAMIENTO DE LOS SERVICIOS DE EDUCACION INICIAL DE LA I. E. I. N 288 DEL CENTRO POBLADO DE QUEÑUANI, DISTRITO DE YUNGUYO - YUNGUYO - PUNO.</t>
  </si>
  <si>
    <t>2608728: REPARACION DE AMBIENTE DE RESIDENCIA; ADQUISICION DE EQUIPAMIENTO DE AMBIENTES DE BIENESTAR Y SERVICIOS GENERALES Y MOBILIARIO DE AMBIENTES DE BIENESTAR Y SERVICIOS GENERALES; EN EL(LA) ALDEA INFANTIL NIÑO SAN SALVADOR DEL DISTRITO DE CAPACHICA, PROVINCIA PUNO, DEPARTAMENTO PUNO</t>
  </si>
  <si>
    <t>2186641 CONTROL CONCURRENTE; TRANSFERENCIAS FINANCIERAS, 2186641 CULTURAL</t>
  </si>
  <si>
    <t>2480499 CONTROL CONCURRENTE; TRANSFERENCIAS FINANCIERAS,  CARRETERA HUERTAPATA - VISCACHAN</t>
  </si>
  <si>
    <t>2490131 CONTROL CONCURRENTE; TRANSFERENCIAS FINANCIERAS, IES CABANILLAS</t>
  </si>
  <si>
    <t>2493948 CONTROL CONCURRENTE; TRANSFERENCIAS FINANCIERAS, PUENTE CARROZABLE KALAHUALA</t>
  </si>
  <si>
    <t xml:space="preserve">2494039 CONTROL CONCURRENTE; TRANSFERENCIAS FINANCIERAS, ESTABLECIMIENTO DE SALUD UMACHIRI </t>
  </si>
  <si>
    <t>2514428 CONTROL CONCURRENTE; TRANSFERENCIAS FINANCIERAS, PUENTE YARAJA</t>
  </si>
  <si>
    <t>2506927: MEJORAMIENTO DE LOS SERVICIOS DE EDUCACION SUPERIOR TECNOLOGICA DEL IESTP JOSE ANTONIO ENCINAS, DISTRITO DE PUNO - PROVINCIA DE PUNO - DEPARTAMENTO DE PUNO</t>
  </si>
  <si>
    <t>2539673: MEJORAMIENTO Y AMPLIACION DEL SERVICIO DE EDUCACION SUPERIOR TECNOLOGICA EN EL INSTITUTO SUPERIOR TECNOLOGICO PUBLICO DE JULI, DISTRITO DE JULI - PROVINCIA DE CHUCUITO - DEPARTAMENTO DE PUNO</t>
  </si>
  <si>
    <t>2541758: CREACION DEL SERVICIO DE AGUA PARA RIEGO MEDIANTE SIEMBRA Y COSECHA DE AGUA EN LAS COMUNIDADES DE CAYATTOCCO, CARABAYA, QQUETE Y UPINA DEL DISTRITO DE ITUATA - PROVINCIA DE CARABAYA - DEPARTAMENTO DE PUNO</t>
  </si>
  <si>
    <t>2566500: MEJORAMIENTO Y AMPLIACION DEL SISTEMA DE RIEGO CHAJANA DEL DISTRITO DE ACORA - PROVINCIA DE PUNO - DEPARTAMENTO DE PUNO</t>
  </si>
  <si>
    <t>2357438: CREACION DEL SERVICIO DE PROTECCION CONTRA INUNDACIONES EN LA LOCALIDAD DE JULIACA, MARGENES DERECHA E IZQUIERDA DEL RIO COATA (PROGRESIVAS KM 0+000-22+500), SECTORES UNOCOLLA, MARAVILLAS Y CACACHI SAN MIGUEL - DISTRITO DE JULIACA - PROVINCIA DE SAN ROMAN - REGION PUNO</t>
  </si>
  <si>
    <t>2232371: MEJORAMIENTO Y CONSTRUCCION DE LA CARRETERA PICHACANI - YURACMAYO DISTRITO DE PICHACANI Y SAN ANTONIO, PROVINCIA DE PUNO - PUNO</t>
  </si>
  <si>
    <t>2380088: MEJORAMIENTO Y AMPLIACION DE LOS SERVICIOS DE SALUD DEL HOSPITAL CARLOS CORNEJO ROSELLO VIZCARDO DE LA CIUDAD DE AZANGARO, DISTRITO Y PROVINCIA DE AZANGARO, DEPARTAMENTO DE PUNO</t>
  </si>
  <si>
    <t>2570943: MEJORAMIENTO Y AMPLIACION DE LOS SERVICIOS DE SALUD DEL ESTABLECIMIENTO DE SALUD OLLARAYA, DISTRITO DE OLLARAYA - PROVINCIA DE YUNGUYO - DEPARTAMENTO DE PUNO</t>
  </si>
  <si>
    <t>2250295: MEJORAMIENTO DEL SERVICIO EDUCATIVO DE NIVEL INICIAL DE LA I.E.I. TULACOLLO, DISTRITO DE KELLUYO, PROVINCIA DE CHUCUITO - PUNO.</t>
  </si>
  <si>
    <t>2.6. 8 1. 4 1 GASTO POR LA CONTRATACION DE PERSONAL</t>
  </si>
  <si>
    <t>2.6. 8 1. 4 2 GASTO POR LA COMPRA DE BIENES</t>
  </si>
  <si>
    <t>2.6. 2 2. 2 3 COSTO DE CONSTRUCCION POR ADMINISTRACION DIRECTA - PERSONAL</t>
  </si>
  <si>
    <t>2.6. 2 2. 2 5 COSTO DE CONSTRUCCION POR ADMINISTRACION DIRECTA - SERVICIOS</t>
  </si>
  <si>
    <t>2.6. 8 1. 4 3 GASTO POR LA CONTRATACION DE SERVICIOS</t>
  </si>
  <si>
    <t>2.6. 8 1. 3 1 ELABORACION DE EXPEDIENTES TECNICOS</t>
  </si>
  <si>
    <t>2.6. 3 2. 1 2 MOBILIARIO</t>
  </si>
  <si>
    <t>2.6. 3 2. 3 1 EQUIPOS COMPUTACIONALES Y PERIFERICOS</t>
  </si>
  <si>
    <t>2531093 ADQUISICION DE INCUBADORA NEONATAL Y CUNA DE CALOR RADIANTE; EN EL(LA) EESS YUNGUYO - YUNGUYO EN LA LOCALIDAD YUNGUYO, DISTRITO DE YUNGUYO, PROVINCIA YUNGUYO, DEPARTAMENTO DE PUNO</t>
  </si>
  <si>
    <t>2639523 ADQUISICION DE TOMOGRAFO COMPUTARIZADO MULTICORTE;  EN EL(LA) CARLOS MONJE MEDRANO DISTRITO DE JULIACA, PROVINCIA SAN ROMAN, DEPARTAMENTO PUNO</t>
  </si>
  <si>
    <t>2436247: MEJORAMIENTO DEL CAMINO VECINAL RUTA PU-713, EMP. PE 3S (AYAVIRI - DESV. CALUYO - TINAJANI - L. PROV. LAMPA), DISTRITO DE AYAVIRI - PROVINCIA DE MELGAR - DEPARTAMENTO DE PUNO</t>
  </si>
  <si>
    <t>2627406: RENOVACION DE AMBIENTE COMPLEMENTARIO, AULA DE EDUCACION SUPERIOR PEDAGOGICA Y CERCO PERIMETRICO; ADQUISICION DE MOBILIARIO DE AULA DE EDUCACION SUPERIOR PEDAGOGICA; ADEMAS DE OTROS ACTIVOS EN EL(LA) INSTITUTO DE EDUCACION SUPERIOR PEDAGOGICA PUBLICO JULI DEL DISTRITO DE JULI, PROVINCIA CHUCUITO, DEPARTAMENTO PUNO</t>
  </si>
  <si>
    <t>2427364: MEJORAMIENTO DE LOS SERVICIOS DE SALUD DEL HOSPITAL ANTONIO BARRIONUEVO DISTRITO DE LAMPA - PROVINCIA DE LAMPA - DEPARTAMENTO DE PUNO</t>
  </si>
  <si>
    <t>2267525: MEJORAMIENTO DE LA CARRETERA AZANGARO (EMP. PU-113) - SAN JUAN DE SALINAS - CHUPA, DISTRITOS DE AZANGARO, SAN JUAN DE SALINAS Y CHUPA, PROVINCIA DE AZANGARO -PUNO</t>
  </si>
  <si>
    <t>2585543: MEJORAMIENTO Y AMPLIACION DEL SERVICIO DE EDUCACION SUPERIOR TECNOLOGICA EN EL INSTITUTO DE EDUCACION SUPERIOR TECNOLOGICO PUBLICO ACORA DEL DISTRITO DE ACORA DE LA PROVINCIA DE PUNO DEL DEPARTAMENTO DE PUNO</t>
  </si>
  <si>
    <t>2566572: MEJORAMIENTO Y AMPLIACION DE LOS SERVICIOS DE EDUCACION SUPERIOR DEL INSTITUTO SUPERIOR TECNOLOGICO PUBLICO DE NUÑOA DEL DISTRITO DE NUÑOA - PROVINCIA DE MELGAR - DEPARTAMENTO DE PUNO</t>
  </si>
  <si>
    <t>2527184: MEJORAMIENTO DEL SERVICIO DE TRANSITABILIDAD VIAL DEL CAMINO VECINAL TRAMO VILLA PAXA A VENTILLA (PU- 1065) DEL DISTRITO DE PUNO - PROVINCIA DE PUNO - DEPARTAMENTO DE PUNO</t>
  </si>
  <si>
    <t>2527207: RECUPERACION DEL PUENTE COLONIAL DE LAMPA, DISTRITO DE LAMPA - PROVINCIA DE LAMPA - DEPARTAMENTO DE PUNO</t>
  </si>
  <si>
    <t>2618422: CONSTRUCCION DE CAPTACION DE AGUA, PTAP, LINEA DE IMPULSION Y ESTACION DE BOMBEO DE AGUA; ADEMAS DE OTROS ACTIVOS EN EL(LA) SISTEMA DE AGUA POTABLE DE LA ZONA NORTE DE LA CIUDAD DE PUNO DISTRITO DE PUNO, PROVINCIA PUNO, DEPARTAMENTO PUNO</t>
  </si>
  <si>
    <t>18.SANEAMIENTO</t>
  </si>
  <si>
    <t>2531093: ADQUISICION DE INCUBADORA NEONATAL Y CUNA DE CALOR RADIANTE; EN EL(LA) EESS YUNGUYO - YUNGUYO EN LA LOCALIDAD YUNGUYO, DISTRITO DE YUNGUYO, PROVINCIA YUNGUYO, DEPARTAMENTO PUNO</t>
  </si>
  <si>
    <t>2639523: ADQUISICION DE TOMOGRAFO COMPUTARIZADO MULTICORTE; EN EL(LA) CARLOS MONJE MEDRANO DISTRITO DE JULIACA, PROVINCIA SAN ROMAN, DEPARTAMENTO PUNO</t>
  </si>
  <si>
    <t>2292669: MEJORAMIENTO Y AMPLIACION DEL SERVICIO DEPORTIVO DEL ESTADIO MUNICIPAL DE LA LOCALIDAD DE AYAVIRI DEL DISTRITO DE AYAVIRI - PROVINCIA DE MELGAR - DEPARTAMENTO DE PUNO</t>
  </si>
  <si>
    <t>2623682: RENOVACION DE AULA DE EDUCACION SUPERIOR PEDAGOGICA, LABORATORIO Y/O TALLER Y AMBIENTE COMPLEMENTARIO; REPARACION DE CERCO Y/O PORTADA; ADEMAS DE OTROS ACTIVOS EN EL(LA) INSTITUTO DE EDUCACION SUPERIOR PEDAGOGICO HUANCANE DEL DISTRITO DE HUANCANE, PROVINCIA HUANCANE, DEPARTAMENTO PUNO</t>
  </si>
  <si>
    <t>2570033: MEJORAMIENTO DE LOS SERVICIOS DE EDUCACION SUPERIOR DEL INSTITUTO SUPERIOR TECNOLOGICO PUBLICA MUÑANI DEL DISTRITO DE MUÑANI - PROVINCIA DE AZANGARO - DEPARTAMENTO DE PUNO</t>
  </si>
  <si>
    <t>2001621 ESTUDIOS DE PRE INVERSION</t>
  </si>
  <si>
    <t>2603167: MEJORAMIENTO DEL SERVICIO DE TRANSITABILIDAD VIAL INTERURBANA EN LA CARRETERA PU - 1233 (ILAVE) - ANOKARIRI (EMP. - 1234), ANOKARIRI - SACUYO - SECTOR NUEVA ALIANZA, PU 1103 (SECTOR NUEVA ALIANZA) - EMP. PE 36P (LARAQUERI PICHACANI) DISTRITOS DE ILAVE, ACORA DE LAS PROVINCIAS DE EL COLLAO, PUNO DEL DEPARTAMENTO DE PUNO</t>
  </si>
  <si>
    <t>2387422: MEJORAMIENTO DE LA CARRETERA TRAMO II (PUENTE CULLCO) - PICHINCUTA - QUELCAHUECO - CORARACA DEL - DISTRITO DE ILAVE - PROVINCIA DE EL COLLAO - DEPARTAMENTO DE PUNO</t>
  </si>
  <si>
    <t>2399543: MEJORAMIENTO DEL CAMINO VECINAL EMP. R01 (DV. LOANI) - CAMICACHI - EMP. R12 (ROSACANI) DISTRITO DE ILAVE - PROVINCIA DE EL COLLAO - REGION PUNO</t>
  </si>
  <si>
    <t>2290342: MEJORAMIENTO DE LA CAPACIDAD RESOLUTIVA DE LOS SERVICIOS DEL PUESTO DE SALUD I - 1 DEL CENTRO POBLADO DE CARI CARI DEL DISTRITO DE MAÑAZO - PROVINCIA DE PUNO - DEPARTAMENTO DE PUNO</t>
  </si>
  <si>
    <t>2403888: MEJORAMIENTO DE LOS SERVICIOS DE EDUCACION SUPERIOR DEL INSTITUTO DE EDUCACION SUPERIOR TECNOLOGICO PUBLICA DESAGUADERO DEL DISTRITO DE DESAGUADERO - PROVINCIA DE CHUCUITO - DEPARTAMENTO DE PUNO</t>
  </si>
  <si>
    <t>2289661: MEJORAMIENTO DE LOS SERVICIOS EDUCATIVOS EN LA I.E.S. DOS DE MAYO DE CARACOTO, DISTRITO DE CARACOTO - SAN ROMAN - PUNO</t>
  </si>
  <si>
    <t>2.6. 2 2. 2 4 COSTO DE CONSTRUCCION POR ADMINISTRACION DIRECTA - BIENES</t>
  </si>
  <si>
    <t>2230619: MEJORAMIENTO DE LA PRODUCCION Y PRODUCTIVIDAD DE LAS MYPE DE LAS PRINCIPALES LINEAS DE PRODUCCION EN LAS PROVINCIAS DE PUNO, SAN ROMAN Y EL COLLAO DE LA REGION PUNO - (ACCION)</t>
  </si>
  <si>
    <t>2614553: MEJORAMIENTO DEL SERVICIO DE TRANSITABILIDAD VIAL INTERURBANA EN LA CARRETERA MAÑAZO PU 1077 - PU 1091, - EMP PE 34 C(LLAPAPATA - CABANILLAS) DISTRITOS DE MAÑAZO, CABANILLAS DE LAS PROVINCIAS DE PUNO, SAN ROMAN DEL DEPARTAMENTO DE PUNO</t>
  </si>
  <si>
    <t>2476464: MEJORAMIENTO Y AMPLIACION DE LOS SERVICIOS DE SALUD DEL CENTRO DE SALUD KELLUYO DEL DISTRITO DE KELLUYO - PROVINCIA DE CHUCUITO - DEPARTAMENTO DE PUNO</t>
  </si>
  <si>
    <t>2591926: MEJORAMIENTO SERVICIO DE EDUCACION SUPERIOR TECNOLOGICA EN EL INSTITUTO SUPERIOR TECNOLOGICO PUBLICO JOSE DOMINGO CHOQUEHUANCA DEL DISTRITO DE JOSE DOMINGO CHOQUEHUANCA DE LA PROVINCIA DE AZANGARO DEL DEPARTAMENTO DE PUNO</t>
  </si>
  <si>
    <t>2590087: MEJORAMIENTO DEL SERVICIO DE EDUCACION SECUNDARIA EN I.E. JOSE MARIA ARGUEDAS DISTRITO DE LLALLI DE LA PROVINCIA DE MELGAR DEL DEPARTAMENTO DE PUNO</t>
  </si>
  <si>
    <t>2519621: CREACION DEL SERVICIO DE TRANSITABILIDAD VEHICULAR Y PEATONAL EN EL JR. 7 DE JUNIO Y JR. BOLOGNESI CUADRA 10 DE LA LOCALIDAD DE YUNGUYO DEL DISTRITO DE YUNGUYO - PROVINCIA DE YUNGUYO - DEPARTAMENTO DE PUNO</t>
  </si>
  <si>
    <t>2539886: MEJORAMIENTO DEL SERVICIO EDUCATIVO DEL NIVEL INICIAL DE LA I.E. NUESTRA SEÑORA DE GUADALUPE DE LA LOCALIDAD DE COJATA DEL DISTRITO DE COJATA - PROVINCIA DE HUANCANE - DEPARTAMENTO DE PUNO</t>
  </si>
  <si>
    <t xml:space="preserve">2615902: REMODELACION DE AUDITORIO; ADQUISICION DE EQUIPOS COMPLEMENTARIOS; REPARACION DE ESCALERA DE ACCESO Y ; EN EL(LA) DIRECCIÓN REGIONAL AGRARIA SEDE CENTRAL DISTRITO DE PUNO, PROVINCIA PUNO, DEPARTAMENTO PUNO </t>
  </si>
  <si>
    <t>2518131: AMPLIACION Y MEJORAMIENTO DE LOS SERVICIOS DE ADMINISTRACION DE JUSTICIA DE LOS ORGANOS JURISDICCIONALES DE LA SEDE CENTRAL DEL DISTRITO JUDICIAL DE PUNO, DISTRITO DE PUNO - PROVINCIA DE PUNO - DEPARTAMENTO DE PUNO</t>
  </si>
  <si>
    <t>2570365: MEJORAMIENTO DEL INSTITUTO DE EDUCACION SUPERIOR TECNOLOGICO PUBLICO SANTA LUCIA DEL DISTRITO DE SANTA LUCIA - PROVINCIA DE LAMPA - DEPARTAMENTO DE PUNO</t>
  </si>
  <si>
    <t>2602163: MEJORAMIENTO DEL SERVICIO DE TRANSITABILIDAD VIAL INTERURBANA EN LA CARRETERA PU 866 (EMP PE 34 I) - EMP PU 110 (SULLCA), PU 870 (DV TOTORANI: EMP PU 866) - EMP PU 872 (OCCOPAMPA), PU 872: EMP. PU - 866 (HUAYRAPATA) - OCCOPAMPA - EMP. PU - 870 DISTRITOS DE MOHO, HUAYRAPATA DE LA PROVINCIA DE MOHO DEL DEPARTAMENTO DE PUNO</t>
  </si>
  <si>
    <t>2646109: REPARACION DE TRIBUNA Y/O PALCO; CONSTRUCCION DE CAMPO DEPORTIVO Y TRIBUNA Y/O PALCO; EN EL(LA) ESTADIO MUNICIPAL DE JULI DISTRITO DE JULI, PROVINCIA CHUCUITO, DEPARTAMENTO PUNO</t>
  </si>
  <si>
    <t>2646100: CONSTRUCCION DE CAMPO DEPORTIVO Y SERVICIOS HIGIENICOS Y/O VESTIDORES PARA PERSONAL; REPARACION DE TRIBUNA Y/O PALCO; EN EL(LA) ESTADIO MUNICIPAL DE SAN PEDRO DE PUTINA PUNCO DISTRITO DE SAN PEDRO DE PUTINA PUNCO, PROVINCIA SANDIA, DEPARTAMENTO PUNO</t>
  </si>
  <si>
    <t>2646095: CONSTRUCCION DE CAMPO DEPORTIVO Y SERVICIOS HIGIENICOS Y/O VESTIDORES; REPARACION DE SERVICIOS HIGIENICOS Y/O VESTIDORES Y TRIBUNA Y/O PALCO; ADEMAS DE OTROS ACTIVOS EN EL(LA) ESTADIO MUNICIPAL DE CONIMA DISTRITO DE CONIMA, PROVINCIA MOHO, DEPARTAMENTO PUNO</t>
  </si>
  <si>
    <t>2646096: CONSTRUCCION DE TRIBUNA Y/O PALCO; REPARACION DE TRIBUNA Y/O PALCO Y CAMPO DEPORTIVO; EN EL(LA) ESTADIO JOSE CARLOS MARIATEGUI DISTRITO DE YUNGUYO, PROVINCIA YUNGUYO, DEPARTAMENTO PUNO</t>
  </si>
  <si>
    <t>2645446: REPARACION DE TRIBUNA Y/O PALCO Y PISTA DE ATLETISMO (DEPORTE RECREATIVO); CONSTRUCCION DE CAMPO DEPORTIVO; EN EL(LA) ESTADIO DE LA GRAN UNIDAD SAN CARLOS DISTRITO DE PUNO, PROVINCIA PUNO, DEPARTAMENTO PUNO</t>
  </si>
  <si>
    <t>2645444: REPARACION DE TRIBUNA Y/O PALCO; CONSTRUCCION DE CAMPO DEPORTIVO; EN EL(LA) ESTADIO MUNICIPAL DE PILCUYO DISTRITO DE PILCUYO, PROVINCIA EL COLLAO, DEPARTAMENTO PUNO</t>
  </si>
  <si>
    <t>2645380: CONSTRUCCION DE TRIBUNA Y/O PALCO, CAMPO DEPORTIVO Y PISTA DE ATLETISMO (DEPORTE RECREATIVO); REPARACION DE SERVICIOS HIGIENICOS Y/O VESTIDORES; ADEMAS DE OTROS ACTIVOS EN EL(LA) ESTADIO MUNICIPAL FERNANDO ROMERO CARREON DISTRITO DE LAMPA, PROVINCIA LAMPA, DEPARTAMENTO PUNO</t>
  </si>
  <si>
    <t>2645376: REPARACION DE TRIBUNA Y/O PALCO Y CAMPO DEPORTIVO; CONSTRUCCION DE TRIBUNA Y/O PALCO Y PISTA DE ATLETISMO (DEPORTE RECREATIVO); ADEMAS DE OTROS ACTIVOS EN EL(LA) ESTADIO MUNICIPAL DE PUTINA DISTRITO DE PUTINA, PROVINCIA SAN ANTONIO DE PUTINA, DEPARTAMENTO PUNO</t>
  </si>
  <si>
    <t>2645340: REPARACION DE TRIBUNA Y/O PALCO Y SERVICIOS HIGIENICOS Y/O VESTIDORES; CONSTRUCCION DE CAMPO DEPORTIVO; EN EL(LA) ESTADIO MUNICIPAL CRUCERO DISTRITO DE CRUCERO, PROVINCIA CARABAYA, DEPARTAMENTO PUNO</t>
  </si>
  <si>
    <t>06. JUSTICIA</t>
  </si>
  <si>
    <t>META</t>
  </si>
  <si>
    <t>PIM</t>
  </si>
  <si>
    <t>CERTIFICACION</t>
  </si>
  <si>
    <t>SALDO A</t>
  </si>
  <si>
    <t>DEVENGADO</t>
  </si>
  <si>
    <t>SALDO B</t>
  </si>
  <si>
    <t>42</t>
  </si>
  <si>
    <t>9002</t>
  </si>
  <si>
    <t>2494039: MEJORAMIENTO Y AMPLIACION DE LOS SERVICIOS DE SALUD EN EL ESTABLECIMIENTO DE SALUD UMACHIRI CATEGORIA I-2 DEL DISTRITO DE UMACHIRI - PROVINCIA DE MELGAR - DEPARTAMENTO DE PUNO</t>
  </si>
  <si>
    <t>2603165: MEJORAMIENTO DEL SERVICIO DE TRANSITABILIDAD VIAL INTERURBANA EN LA CARRETERA TRAMO ACHAYA - EMP. PU 113(ARAPA), DE LOS DISTRITOS DE ACHAYA, ARAPA DE LA PROVINCIA DE AZANGARO DEL DEPARTAMENTO DE PUNO</t>
  </si>
  <si>
    <t>2600443: ADQUISICION DE SISTEMA DE CIRUGIA LAPAROSCOPICA, TOMOGRAFO, MESA DE OPERACIONES HIDRAULICA/ELECTRICA Y LAMPARA QUIRURGICA DE TECHO; ADEMAS DE OTROS ACTIVOS EN EL(LA) YUNGUYO DISTRITO DE YUNGUYO, PROVINCIA YUNGUYO, DEPARTAMENTO PUNO</t>
  </si>
  <si>
    <t>2575299: MEJORAMIENTO DEL SERVICIO DE TRANSITABILIDAD VIAL INTERURBANA EN EL TRAMO TIQUILLACA - CONDORIRI DEL DISTRITO DE TIQUILLACA DE LA PROVINCIA DE PUNO DEL DEPARTAMENTO DE PUNO</t>
  </si>
  <si>
    <t>UE</t>
  </si>
  <si>
    <t>GRI-AD</t>
  </si>
  <si>
    <t>GRI-AI</t>
  </si>
  <si>
    <t>GRI-SGED</t>
  </si>
  <si>
    <t>PY-SinExpTec</t>
  </si>
  <si>
    <t>DE</t>
  </si>
  <si>
    <t>RNyGA</t>
  </si>
  <si>
    <t>PETT</t>
  </si>
  <si>
    <t>PECSA</t>
  </si>
  <si>
    <t>DS</t>
  </si>
  <si>
    <t>PRE-I</t>
  </si>
  <si>
    <t>UE-903</t>
  </si>
  <si>
    <t>UE-904</t>
  </si>
  <si>
    <t>UE-906</t>
  </si>
  <si>
    <t>UE-908</t>
  </si>
  <si>
    <t>UE-912</t>
  </si>
  <si>
    <t>2230619</t>
  </si>
  <si>
    <t>2336682</t>
  </si>
  <si>
    <t>2454391</t>
  </si>
  <si>
    <t>2470845</t>
  </si>
  <si>
    <t>2477014</t>
  </si>
  <si>
    <t>2477103</t>
  </si>
  <si>
    <t>2540745</t>
  </si>
  <si>
    <t>2160311</t>
  </si>
  <si>
    <t>2566500</t>
  </si>
  <si>
    <t>2541758</t>
  </si>
  <si>
    <t>2435576</t>
  </si>
  <si>
    <t>2429723</t>
  </si>
  <si>
    <t>2357498</t>
  </si>
  <si>
    <t>2616977</t>
  </si>
  <si>
    <t>2479852</t>
  </si>
  <si>
    <t>2538654</t>
  </si>
  <si>
    <t>2559663</t>
  </si>
  <si>
    <t>2470873</t>
  </si>
  <si>
    <t>2511053</t>
  </si>
  <si>
    <t>2557255</t>
  </si>
  <si>
    <t>AVANCE</t>
  </si>
  <si>
    <t>TOTAL REGION PUNO</t>
  </si>
  <si>
    <t>TOTAL REGION PUNO SEDE CENTRAL</t>
  </si>
  <si>
    <t>GRI</t>
  </si>
  <si>
    <t>SGED</t>
  </si>
  <si>
    <t>PY-SIN EXP. TEC.</t>
  </si>
  <si>
    <t>GRRNyGA</t>
  </si>
  <si>
    <t>ESTUDIOS DE PREINVERSION</t>
  </si>
  <si>
    <t>UE-PESQUERIA</t>
  </si>
  <si>
    <t>UE-PRORRIDRE</t>
  </si>
  <si>
    <t>UE-PRADERA</t>
  </si>
  <si>
    <t>UE-AGRICULTURA</t>
  </si>
  <si>
    <t>2603148: MEJORAMIENTO DE LOS SERVICIOS DE APOYO AL DESARROLLO PRODUCTIVO EN 19 UNIDADES PRODUCTORAS 19 DISTRITOS DE 7 PROVINCIAS DEL DEPARTAMENTO DE PUNO</t>
  </si>
  <si>
    <t>2612527 7 MEJORAMIENTO DEL PROCESO DE CONSERVACION Y COMERCIALIZACION DE PASTOS Y FORRAJES DE LA ASOCIACION DE PRODUCTORES GANADEROS Y AGROINDUSTRIAS LAS MERCEDES APGA LAS MERCEDES, DISTRITO PUCARA - LAMPA - PUNO</t>
  </si>
  <si>
    <t>2612529 MEJORAMIENTO DE LA PRODUCION Y COMERCIALIZACION DE PASTOS Y FORRAJES EN LA ORGANIZACION DE EMPRENDEDORES ORURILLENOS NUEVA ESPERANZA EN AGROPECUARIO Y TURISMO EN GENERAL, DISTRITO ORURILLO - MELGAR - PUNO</t>
  </si>
  <si>
    <t>2612543 MEJORAMIENTO E INNOVACION EN LA CREACION DE UN MODULO DE REPRODUCCION Y ALEVINAJE DE PEJERREY ARGENTINO DE LA ASOCIACION DE ACUICULTORES Y COMERCIANTES AQUAPES, DISTRITO PILCUYO - EL COLLAO - PUNO</t>
  </si>
  <si>
    <t>2612548 CREACION E IMPLEMENTACION DE UN CENTRO DE PRODUCCION DE FORRAJES ALTOANDINOS TRANSFORMADOS DE LA ASOCIACION DE PRODUCTORES AGROPECUARIOS 24 DE JUNIO DEL C.P. JAYU JAYU, DISTRITO ACORA -PUNO - PUNO</t>
  </si>
  <si>
    <t>2466754: RECUPERACION DEL SERVICIO DEL PUENTE CARROZABLE SOBRE EL RIO RAMIS DEL DISTRITO DE SAN ANTON - PROVINCIA DE AZANGARO - DEPARTAMENTO DE PUNO</t>
  </si>
  <si>
    <t>2650340: ADQUISICION DE MESA DE OPERACIONES HIDRAULICA/ELECTRICA, ESTERILIZADOR CON GENERADOR ELECTRICO DE VAPOR (INS), EQUIPOS BIOMEDICOS Y COCHE DE PARO; ADEMAS DE OTROS ACTIVOS EN EL(LA) PUTINA DISTRITO DE PUTINA, PROVINCIA SAN ANTONIO DE PUTINA, DEPARTAMENTO PUNO</t>
  </si>
  <si>
    <t>2657837: ADQUISICION DE AMBULANCIA URBANA; EN EL(LA) SERVICIO DE ATENCION MOVIL DE URGENCIA SAMU PUNO HOSPITAL DISTRITO DE PUNO, PROVINCIA PUNO, DEPARTAMENTO PUNO</t>
  </si>
  <si>
    <t>2599489: CONSTRUCCION DE CONSULTORIO; ADQUISICION DE EQUIPOS BIOMEDICOS Y MOBILIARIO CLINICO; EN EL(LA) HOSPITAL SANDIA DISTRITO DE SANDIA, PROVINCIA SANDIA, DEPARTAMENTO PUNO</t>
  </si>
  <si>
    <t>2616445: MEJORAMIENTO DEL SERVICIO DE EDUCACION SECUNDARIA EN I.E. CRFA LUPAKAS JULI DISTRITO DE JULI DE LA PROVINCIA DE CHUCUITO DEL DEPARTAMENTO DE PUNO</t>
  </si>
  <si>
    <t>2652984: MEJORAMIENTO DEL SERVICIO DE TRANSITABILIDAD VIAL INTERURBANA EN LA CARRETERA YOROHOCO (HUACULLANI), - KELLUYO - HITO 31 DISTRITO DE HUACULLANI DE LA PROVINCIA DE CHUCUITO DEL DEPARTAMENTO DE PUNO</t>
  </si>
  <si>
    <t>2585923: MEJORAMIENTO DEL SERVICIO DE EDUCACION PRIMARIA EN I.E. 71016 MARIA AUXILIADORA DISTRITO DE JULIACA DE LA PROVINCIA DE SAN ROMAN DEL DEPARTAMENTO DE PUNO</t>
  </si>
  <si>
    <t>2629119: MEJORAMIENTO DEL SERVICIO DE EDUCACION SECUNDARIA EN I.E. ROSASPATA DE CENTRO POBLADO ROSASPATA DISTRITO DE ROSASPATA DE LA PROVINCIA DE HUANCANE DEL DEPARTAMENTO DE PUNO</t>
  </si>
  <si>
    <t>2603281: MEJORAMIENTO DEL SERVICIO DE TRANSITABILIDAD VIAL INTERURBANA EN LA CARRETERA PU 764: EMP PE-34B SAN SEBASTIAN - NICASIO - LARO, EMP PU 764 (LARO) - EMP PU-117 (SANTIAGO DE PUPUJA) DISTRITOS DE NICASIO, SANTIAGO DE PUPUJA DE LAS PROVINCIAS DE LAMPA, AZANGARO DEL DEPARTAMENTO DE PUNO</t>
  </si>
  <si>
    <t>2591732: MEJORAMIENTO DEL SERVICIO DE TRANSITABILIDAD VIAL INTERURBANA EN EL TRAMO DESAGUADERO (EMP PE-36C) - PUENTE CARANCAS - HUANOCOLLO DEL DISTRITO DE DESAGUADERO DE LA PROVINCIA DE CHUCUITO DEL DEPARTAMENTO DE PUNO</t>
  </si>
  <si>
    <t>2623876: MEJORAMIENTO DEL SERVICIO DE EDUCACION SUPERIOR TECNOLOGICA EN EL INSTITUTO SUPERIOR TECNOLOGICO PUBLICO SANTA ROSA DEL DISTRITO DE SANTA ROSA DE LA PROVINCIA DE MELGAR DEL DEPARTAMENTO DE PUNO</t>
  </si>
  <si>
    <t>2651270: MEJORAMIENTO DEL SERVICIO DE TRANSITABILIDAD VIAL INTERURBANA EN EL TRAMO ALMOZANCHE (EMP. PU 118), - SAMUCHACA - SANTA CRUZ CAPARA -ESCALLANI (EMP. PU 118) DE LOS DISTRITOS DE COATA, PUSI DE LAS PROVINCIAS DE PUNO, HUANCANE DEL DEPARTAMENTO DE PUNO</t>
  </si>
  <si>
    <t>2638009: MEJORAMIENTO DEL SERVICIO DE EDUCACION SECUNDARIA EN I.E. HUARAYA DE CENTRO POBLADO HUARAYA DISTRITO DE MOHO DE LA PROVINCIA DE MOHO DEL DEPARTAMENTO DE PUNO</t>
  </si>
  <si>
    <t>2637997: MEJORAMIENTO DEL SERVICIO DE EDUCACION SECUNDARIA EN I.E. UMUCHI DISTRITO DE MOHO DE LA PROVINCIA DE MOHO DEL DEPARTAMENTO DE PUNO</t>
  </si>
  <si>
    <t>2637985: MEJORAMIENTO DEL SERVICIO DE EDUCACION SECUNDARIA EN I.E. LLAULLI DE CENTRO POBLADO LLAULLI DISTRITO DE MOHO DE LA PROVINCIA DE MOHO DEL DEPARTAMENTO DE PUNO</t>
  </si>
  <si>
    <t>2625645: MEJORAMIENTO DEL SERVICIO DE ATENCION DE SALUD BASICOS EN VILQUECHICO DISTRITO DE VILQUE CHICO DE LA PROVINCIA DE HUANCANE DEL DEPARTAMENTO DE PUNO</t>
  </si>
  <si>
    <t>2631070: RECUPERACION DE LOS SERVICIOS ECOSISTEMICOS EN 19 UNIDADES PRODUCTORAS 19 DISTRITOS DE 13 PROVINCIAS DEL DEPARTAMENTO DE PUNO</t>
  </si>
  <si>
    <t>2629018: MEJORAMIENTO DE LOS SERVICIOS DE APOYO AL DESARROLLO PRODUCTIVO DE PASTOS Y FORRAJES EN 14 UNIDADES PRODUCTORAS DE 84 DISTRITOS DE 13 PROVINCIAS DEL DEPARTAMENTO DE PUNO</t>
  </si>
  <si>
    <t>2651742: MEJORAMIENTO Y AMPLIACION DEL SERVICIO DE PROVISION DE AGUA PARA RIEGO EN LA MICROCUENCA DEL RIO CONDORIRI DISTRITO DE AZANGARO DE LA PROVINCIA DE AZANGARO DEL DEPARTAMENTO DE PUNO</t>
  </si>
  <si>
    <t>2227389: AMPLIACION Y MEJORAMIENTO DE LA CAPACIDAD RESOLUTIVA DEL HOSPITAL DE APOYO SAN MARTIN DE PORRES DE MACUSANI, PROVINCIA DE CARABAYA - PUNO</t>
  </si>
  <si>
    <t>2649221: MEJORAMIENTO DEL SERVICIO DE TRANSITABILIDAD VIAL INTERURBANA EN POQUERA CHICO - QUIACA - HUERTAPATA EN EL DISTRITO DE QUIACA DE LA PROVINCIA DE SANDIA DEL DEPARTAMENTO DE PUNO</t>
  </si>
  <si>
    <t>2645503: MEJORAMIENTO DEL SERVICIO DE TRANSITABILIDAD VIAL INTERURBANA EN LA CARRETERA PU-1040 EMP. PU 122 (VILQUE) - EMP. PU - 1039, - EMP. PU 1035 - EMP. PU 121 (CABANA) DISTRITOS DE VILQUE, CABANA DE LAS PROVINCIAS DE PUNO, SAN ROMAN DEL DEPARTAMENTO DE PUNO</t>
  </si>
  <si>
    <t>2623873: MEJORAMIENTO DE LOS SERVICIOS EDUCACION SUPERIOR PEDAGOGICA EN EL INSTITUTO DE EDUCACION SUPERIOR PEDAGOGICO DE EDUCACION FISICA DE LAMPA DEL DISTRITO DE LAMPA DE LA PROVINCIA DE LAMPA DEL DEPARTAMENTO DE PUNO</t>
  </si>
  <si>
    <t>2623875: MEJORAMIENTO DEL SERVICIO DE EDUCACION SUPERIOR TECNOLOGICA EN INSTITUTO DE EDUCACION SUPERIOR TECNOLOGICO PUBLICO SAN SALVADOR DE CAPACHICA DISTRITO DE CAPACHICA DE LA PROVINCIA DE PUNO DEL DEPARTAMENTO DE PUNO</t>
  </si>
  <si>
    <t>2585540: MEJORAMIENTO DEL SERVICIO DE TRANSITABILIDAD VIAL INTERURBANA EN LA CARRETERA PU-139 (HDA. POTONI) - SAN JOSE, - COLLANA - EMP. PU-111 - PUENTE YARAJA (AZANGARO) DISTRITOS DE POTONI, SAN JOSE DE LA PROVINCIA DE AZANGARO DEL DEPARTAMENTO DE PUNO</t>
  </si>
  <si>
    <t>2602159: MEJORAMIENTO DEL SERVICIO DE TRANSITABILIDAD VIAL INTERURBANA EN PU-138: EMP PE-34 B - PASANOCOLLO, - PUCATILLANA - EMP PU-100 (NUÑOA) DISTRITOS DE ORURILLO, NUÑOA DE LA PROVINCIA DE MELGAR DEL DEPARTAMENTO DE PUNO</t>
  </si>
  <si>
    <t>2603164: MEJORAMIENTO DEL SERVICIO DE TRANSITABILIDAD VIAL INTERURBANA EN LA CARRETERA EN EL TRAMO CHUPA (EMP. PU 114) - CALA CRUZ (EMP. PU - 811), PU 811 (CALA CRUZ)- AYRAMPUNI (EMP PU 807), PU 807 (AYRAMPUNI) - DV. AYRAMPUNI (EMP. 808), TRAMO PU 808 (DV. LLACHI: EMP. PE 34 H)-AJATIRA-CALA CALA - AZANGARO (EMP. PU 111) DISTRITOS DE CHUPA, PEDRO VILCA APAZA DE LAS PROVINCIAS DE AZANGARO, SAN ANTONIO DE PUTINA DEL DEPARTAMENTO DE PUNO</t>
  </si>
  <si>
    <t>2577453: REPARACION DE CERCO PERIMETRICO; EN EL(LA) SEDE DEL GOBIERNO REGIONAL DE PUNO (ODP SAN ROMAN) DISTRITO DE SAN MIGUEL, PROVINCIA SAN ROMAN, DEPARTAMENTO PUNO</t>
  </si>
  <si>
    <t>2606768: CREACION DE LOS SERVICIOS OPERATIVOS O MISIONALES INSTITUCIONALES EN LA INFRAESTRUCTURA CERRADA A LA CIRCULACION VIAL DEL CENTRO DE EVALUACION JULIACA DE LA DIRECCION REGIONAL DE TRANSPORTES Y COMUNICACIONES DEL GOBIERNO REGIONAL PUNO DISTRITO DE JULIACA DE LA PROVINCIA DE SAN ROMAN DEL DEPARTAMENTO DE PUNO</t>
  </si>
  <si>
    <t>2645524: MEJORAMIENTO DE LOS SERVICIOS TURISTICOS PUBLICOS EN RECURSOS TURISTICOS EN 4 UNIDADES PRODUCTORAS 4 DISTRITOS DE 3 PROVINCIAS DEL DEPARTAMENTO DE PUNO</t>
  </si>
  <si>
    <t>2026782: MEJORAMIENTO DEL CENTRO DE CAPACITACION ACUICOLA DE LA REGION PUNO</t>
  </si>
  <si>
    <t>2585398: CREACION DEL SERVICIO DE TRANSITABILIDAD VIAL INTERURBANA EN EL PUENTE CARROZABLE CAMPUCO ENTRE EL DISTRITO SANTIAGO DE PUPUJA Y ARAPA DEL DISTRITO DE SANTIAGO DE PUPUJA DE LA PROVINCIA DE AZANGARO DEL DEPARTAMENTO DE PUNO</t>
  </si>
  <si>
    <t>2585541: CREACION DEL SERVICIO DE TRANSITABILIDAD VIAL INTERURBANA EN EL PUENTE CARROZABLE SANTA ROSA DE HUAYLLATA ENTRE LOS DISTRITOS DE ILAVE Y PILCUYO DEL DISTRITO DE ILAVE DE LA PROVINCIA DE EL COLLAO DEL DEPARTAMENTO DE PUNO</t>
  </si>
  <si>
    <t>2607527: MEJORAMIENTO DEL SERVICIO DE TRANSITABILIDAD VIAL INTERURBANA EN LA CARRETERA PU - 985 (EMP. PE - 34A; DV. CHOROMA) - C.C. COARITA, PU - 992 (C.C. COARITA) - PALCA DISTRITOS DE PARATIA, PALCA DE LA PROVINCIA DE LAMPA DEL DEPARTAMENTO DE PUNO</t>
  </si>
  <si>
    <t>2625216: MEJORAMIENTO DE LOS SERVICIOS ECOSISTEMICOS EN EL RIO TOROCOCHA DE LA LOCALIDAD DE JULIACA DISTRITO DE JULIACA DE LA PROVINCIA DE SAN ROMAN DEL DEPARTAMENTO DE PUNO</t>
  </si>
  <si>
    <t>2578405: MEJORAMIENTO Y AMPLIACION DEL SERVICIO DE ATENCION DE SALUD BASICOS EN CHUPA - CHUPA DISTRITO DE CHUPA DE LA PROVINCIA DE AZANGARO DEL DEPARTAMENTO DE PUNO</t>
  </si>
  <si>
    <t>2585395: MEJORAMIENTO DEL SERVICIO DE ATENCION DE SALUD BASICOS EN CAPACHICA DISTRITO DE CAPACHICA DE LA PROVINCIA DE PUNO DEL DEPARTAMENTO DE PUNO</t>
  </si>
  <si>
    <t>2594994: MEJORAMIENTO Y AMPLIACION DEL SERVICIO DE ATENCION DE SALUD BASICOS EN ASILLO DISTRITO DE ASILLO DE LA PROVINCIA DE AZANGARO DEL DEPARTAMENTO DE PUNO</t>
  </si>
  <si>
    <t>2597167: MEJORAMIENTO DEL SERVICIO DE ATENCION DE SALUD BASICOS EN COAZA DISTRITO DE COASA DE LA PROVINCIA DE CARABAYA DEL DEPARTAMENTO DE PUNO</t>
  </si>
  <si>
    <t>2603161: MEJORAMIENTO DEL SERVICIO DE ATENCION DE SALUD BASICOS EN MAÑAZO DISTRITO DE MAÑAZO DE LA PROVINCIA DE PUNO DEL DEPARTAMENTO DE PUNO</t>
  </si>
  <si>
    <t>2623878: MEJORAMIENTO DEL SERVICIO DE ATENCION DE SALUD BASICOS EN CABANILLA DISTRITO DE CABANILLA DE LA PROVINCIA DE LAMPA DEL DEPARTAMENTO DE PUNO</t>
  </si>
  <si>
    <t>2623879: MEJORAMIENTO DEL SERVICIO DE ATENCION DE SALUD BASICOS EN LARAQUERI DISTRITO DE PICHACANI DE LA PROVINCIA DE PUNO DEL DEPARTAMENTO DE PUNO</t>
  </si>
  <si>
    <t>2632832: MEJORAMIENTO DEL SERVICIO DE ATENCION DE SALUD BASICOS EN VALLECITO DISTRITO DE PUNO DE LA PROVINCIA DE PUNO DEL DEPARTAMENTO DE PUNO</t>
  </si>
  <si>
    <t>2204250: AMPLIACION Y MEJORAMIENTO DEL ESTADIO MODELO DE ILAVE, DISTRITO DE ILAVE, PROVINCIA DE EL COLLAO - PUNO</t>
  </si>
  <si>
    <t>2165276: MEJORAMIENTO DEL SERVICIO DE EDUCACION SECUNDARIA EN LA IE JULIO GABANCHO ENRIQUEZ DE LA CIUDAD DE MACUSANI, DISTRITO DE MACUSANI, PROVINCIA DE CARABAYA - PUNO</t>
  </si>
  <si>
    <t>2194501: INSTALACION DEL SERVICIO EDUCATIVO DE LA INSTITUCION EDUCATIVA SECUNDARIA SANTA MONICA EN EL DISTRITO DE JULIACA, PROVINCIA DE SAN ROMAN - PUNO.</t>
  </si>
  <si>
    <t>2194504: INSTALACION DEL SERVICIO EDUCATIVO DEL NIVEL SECUNDARIO EN LA I.E.S. RODOLFO DIESEL, DISTRITO DE JULIACA, PROVINCIA SAN ROMAN - PUNO.</t>
  </si>
  <si>
    <t>2244071: MEJORAMIENTO DEL SERVICIO DE EDUCACION PRIMARIA EN LA I.E. N 72596 CESAR VALLEJO DE LA CIUDAD DE PUTINA, DISTRITO DE PUTINA, PROVINCIA DE SAN ANTONIO DE PUTINA - PUNO</t>
  </si>
  <si>
    <t>2250558: MEJORAMIENTO DE LOS SERVICIOS EDUCATIVOS DE LA INSTITUCION EDUCATIVA PRIMARIA N 72659 DE AYAVIRI, DISTRITO DE AYAVIRI, PROVINCIA DE MELGAR - PUNO</t>
  </si>
  <si>
    <t>2188542: MEJORAMIENTO DE LA CAPACIDAD DE PRESTACION DE SERVICIOS DEPORTIVOS EN EL ESTADIO GUILLERMO BRICEÑO ROSAMEDINA DE LA CIUDAD DE JULIACA, PROVINCIA DE SAN ROMAN - PUNO</t>
  </si>
  <si>
    <t>2161480: MEJORAMIENTO DE LA CARRETERA MACUSANI - ABRA SUSUYA, DISTRITO DE MACUSANI, PROVINCIA DE CARABAYA - PUNO</t>
  </si>
  <si>
    <t>2178716: MEJORAMIENTO DE LA CARRETERA CALACOTA - SANTA ROSA DE HUAYLLATA (RUTA R-11) DISTRITO DE ILAVE PROVINCIA DE EL COLLAO - PUNO</t>
  </si>
  <si>
    <t>2307608: MEJORAMIENTO DE LOS SERVICIOS DE TRANSITABILIDAD VEHICULAR Y PEATONAL DE LA VIA DE ACCESO A LA LOCALIDAD DE COATA, DISTRITO DE COATA - PROVINCIA DE PUNO - DEPARTAMENTO DE PUNO</t>
  </si>
  <si>
    <t>2454312: CREACION DEL PUENTE CARROZABLE DE INTERCONEXION ENTRE LOS C.P. QUEQUERANA Y C.P. NINANTAYA DEL DISTRITO DE MOHO - PROVINCIA DE MOHO - DEPARTAMENTO DE PUNO</t>
  </si>
  <si>
    <t>2196858: MEJORAMIENTO DE SERVICIOS DE EDUCACION INICIAL ESCOLARIZADA EN LA I.E.I. N 214 NIÑO JESUS DE PRAGA DEL DISTRITO DE PLATERIA, PROVINCIA PUNO, REGION PUNO</t>
  </si>
  <si>
    <t>2196860: MEJORAMIENTO DE LOS SERVICIOS DE EDUCACION INICIAL EN LA I.E.I. NRO. 357 SAN JOSE DE LA URBANIZACION SAN JOSE II ETAPA, DEL DISTRITO DE JULIACA, PROVINCIA DE SAN ROMAN - PUNO.</t>
  </si>
  <si>
    <t>2451476: MEJORAMIENTO DE LOS SERVICIOS DE EDUCACION INICIAL EN LA I.E.I. N° 1594 CALLACHOCO DEL DISTRITO DE PILCUYO - PROVINCIA DE EL COLLAO - DEPARTAMENTO DE PUNO</t>
  </si>
  <si>
    <t>2163853: MEJORAMIENTO DEL ESTADIO MUNICIPAL CESAR RAUL CARRERA DEL DISTRITO DE AZANGARO, PROVINCIA DE AZANGARO - PUNO</t>
  </si>
  <si>
    <t>2279375: MEJORAMIENTO DE LOS SERVICIOS DE SALUD DEL HOSPITAL DE APOYO ILAVE, PROVINCIA DE EL COLLAO - REGION PUNO</t>
  </si>
  <si>
    <t>2334606: AMPLIACION Y MEJORAMIENTO DE LOS SERVICIOS DE SALUD DEL PUESTO DE SALUD QUILCAPUNCU - MICRO RED PUTINA, DISTRITO DE QUILCAPUNCU, PROVINCIA DE SAN ANTONIO DE PUTINA - PUNO</t>
  </si>
  <si>
    <t>2555837: REPARACION DE CAMPO DEPORTIVO; ADQUISICION DE EQUIPO NO DEPORTIVO PARA INSTALACIONES DEPORTIVAS; EN EL(LA) ESTADIO ENRIQUE TORRES BELON DISTRITO DE PUNO, PROVINCIA PUNO, DEPARTAMENTO PUNO</t>
  </si>
  <si>
    <t>2166678: MEJORAMIENTO DE LA CAPACIDAD RESOLUTIVA DEL CENTRO DE SALUD LA RINCONADA CATEGORIA I-4, DISTRITO DE ANANEA, PROVINCIA DE SAN ANTONIO DE PUTINA - PUNO</t>
  </si>
  <si>
    <t>2570369: MEJORAMIENTO DE LOS SERVICIOS DE EDUCACION SUPERIOR DEL INSTITUTO SUPERIOR TECNOLOGICO PUBLICA SAN JUAN DEL ORO DEL DISTRITO DE SAN JUAN DEL ORO - PROVINCIA DE SANDIA - DEPAR</t>
  </si>
  <si>
    <t>2532916: CREACION DEL SERVICIO DE PROTECCION EN RIBERAS DEL RIO LORIPONGO Y MOLLA AMBOS MARGENES VULNERABLES ANTE EL PELIGRO DE INUNDACION EN LA LOCALIDAD DE LARAQUERI Y CENTRO POBLADO DE HUARIJUYO DEL DISTRITO DE PICHACANI - PROVINCIA DE PUNO - DEPARTAMENTO DE PUNO</t>
  </si>
  <si>
    <t>2603155: MEJORAMIENTO DE LOS SERVICIOS DE APOYO AL DESARROLLO PRODUCTIVO EN 37 UNIDADES PRODUCTORAS 37 DISTRITOS DE 11 PROVINCIAS DEL DEPARTAMENTO DE PUNO</t>
  </si>
  <si>
    <t>2293239: MEJORAMIENTO DE LOS SERVICIOS DE EDUCACION SECUNDARIA EN LA I.E. SEÑOR DE HUANCA, DEL C.P. DE SAN JOSE DE CACHIPASCANA DEL DISTRITO DE SAN ANTONIO - PROVINCIA DE PUNO - DEPARTAMENTO DE PUNO</t>
  </si>
  <si>
    <t>2196877: MEJORAMIENTO DEL SERVICIO EDUCATIVO DE LA I.E.I. NRO. 288 YANAHUAYA, DISTRITO DE YANAHUAYA, PROVINCIA DE SANDIA - PUNO.</t>
  </si>
  <si>
    <t>2326588: MEJORAMIENTO DE LOS SERVICIOS DE APOYO A LA CADENA PRODUCTIVA DE CAFES ESPECIALES EN LOS DISTRITOS DE COASA, ITUATA, OLLACHEA, USICAYOS, LIMBANI, PATAMBUCO Y PHARA DE LAS PROVINCIAS DE CARABAYA Y SANDIA - REGION PUNO</t>
  </si>
  <si>
    <t>2250398: INSTALACION DEL SERVICIO EDUCATIVO DEL NIVEL INICIAL EN LA I.E.I. N 791 DE CHALLACOLLO, DISTRITO DE POMATA, PROVINCIA DE CHUCUITO PUNO</t>
  </si>
  <si>
    <t>0001</t>
  </si>
  <si>
    <t>0002</t>
  </si>
  <si>
    <t>0021</t>
  </si>
  <si>
    <t>0023</t>
  </si>
  <si>
    <t>0025</t>
  </si>
  <si>
    <t>0026</t>
  </si>
  <si>
    <t>0027</t>
  </si>
  <si>
    <t>0030</t>
  </si>
  <si>
    <t>0032</t>
  </si>
  <si>
    <t>0033</t>
  </si>
  <si>
    <t>0035</t>
  </si>
  <si>
    <t>0036</t>
  </si>
  <si>
    <t>0038</t>
  </si>
  <si>
    <t>0041</t>
  </si>
  <si>
    <t>0049</t>
  </si>
  <si>
    <t>0050</t>
  </si>
  <si>
    <t>0052</t>
  </si>
  <si>
    <t>0070</t>
  </si>
  <si>
    <t>0074</t>
  </si>
  <si>
    <t>0075</t>
  </si>
  <si>
    <t>0076</t>
  </si>
  <si>
    <t>0077</t>
  </si>
  <si>
    <t>0079</t>
  </si>
  <si>
    <t>0080</t>
  </si>
  <si>
    <t>0081</t>
  </si>
  <si>
    <t>0084</t>
  </si>
  <si>
    <t>0085</t>
  </si>
  <si>
    <t>0086</t>
  </si>
  <si>
    <t>0087</t>
  </si>
  <si>
    <t>0088</t>
  </si>
  <si>
    <t>0089</t>
  </si>
  <si>
    <t>0090</t>
  </si>
  <si>
    <t>0092</t>
  </si>
  <si>
    <t>0094</t>
  </si>
  <si>
    <t>0095</t>
  </si>
  <si>
    <t>0097</t>
  </si>
  <si>
    <t>0098</t>
  </si>
  <si>
    <t>0100</t>
  </si>
  <si>
    <t>0101</t>
  </si>
  <si>
    <t>0102</t>
  </si>
  <si>
    <t>0104</t>
  </si>
  <si>
    <t>0105</t>
  </si>
  <si>
    <t>0110</t>
  </si>
  <si>
    <t>0128</t>
  </si>
  <si>
    <t>0129</t>
  </si>
  <si>
    <t>0130</t>
  </si>
  <si>
    <t>0131</t>
  </si>
  <si>
    <t>0132</t>
  </si>
  <si>
    <t>0133</t>
  </si>
  <si>
    <t>0134</t>
  </si>
  <si>
    <t>0135</t>
  </si>
  <si>
    <t>0136</t>
  </si>
  <si>
    <t>0137</t>
  </si>
  <si>
    <t>0138</t>
  </si>
  <si>
    <t>0157</t>
  </si>
  <si>
    <t>0164</t>
  </si>
  <si>
    <t>0165</t>
  </si>
  <si>
    <t>0166</t>
  </si>
  <si>
    <t>0168</t>
  </si>
  <si>
    <t>0170</t>
  </si>
  <si>
    <t>0171</t>
  </si>
  <si>
    <t>0176</t>
  </si>
  <si>
    <t>0179</t>
  </si>
  <si>
    <t>0182</t>
  </si>
  <si>
    <t>0185</t>
  </si>
  <si>
    <t>0187</t>
  </si>
  <si>
    <t>0188</t>
  </si>
  <si>
    <t>0195</t>
  </si>
  <si>
    <t>0199</t>
  </si>
  <si>
    <t>0200</t>
  </si>
  <si>
    <t>0212</t>
  </si>
  <si>
    <t>0235</t>
  </si>
  <si>
    <t>0236</t>
  </si>
  <si>
    <t>0238</t>
  </si>
  <si>
    <t>0239</t>
  </si>
  <si>
    <t>0240</t>
  </si>
  <si>
    <t>0241</t>
  </si>
  <si>
    <t>0242</t>
  </si>
  <si>
    <t>0245</t>
  </si>
  <si>
    <t>0278</t>
  </si>
  <si>
    <t>0292</t>
  </si>
  <si>
    <t>0294</t>
  </si>
  <si>
    <t>0295</t>
  </si>
  <si>
    <t>0022</t>
  </si>
  <si>
    <t>0024</t>
  </si>
  <si>
    <t>0028</t>
  </si>
  <si>
    <t>0037</t>
  </si>
  <si>
    <t>0083</t>
  </si>
  <si>
    <t>0091</t>
  </si>
  <si>
    <t>0106</t>
  </si>
  <si>
    <t>0140</t>
  </si>
  <si>
    <t>0159</t>
  </si>
  <si>
    <t>0161</t>
  </si>
  <si>
    <t>0162</t>
  </si>
  <si>
    <t>0163</t>
  </si>
  <si>
    <t>0169</t>
  </si>
  <si>
    <t>0174</t>
  </si>
  <si>
    <t>0175</t>
  </si>
  <si>
    <t>0180</t>
  </si>
  <si>
    <t>0181</t>
  </si>
  <si>
    <t>0190</t>
  </si>
  <si>
    <t>0237</t>
  </si>
  <si>
    <t>2185111: MEJORAMIENTO DE LA CARRETERA (PU 112) PUTINA - MUÑANI, DISTRITOS DE PUTINA Y MUÑANI, PROVINCIAS DE SAN ANTONIO DE PUTINA Y AZANGARO - PUNO</t>
  </si>
  <si>
    <t>0003</t>
  </si>
  <si>
    <t>0031</t>
  </si>
  <si>
    <t>0034</t>
  </si>
  <si>
    <t>0039</t>
  </si>
  <si>
    <t>0040</t>
  </si>
  <si>
    <t>0043</t>
  </si>
  <si>
    <t>0044</t>
  </si>
  <si>
    <t>0045</t>
  </si>
  <si>
    <t>0051</t>
  </si>
  <si>
    <t>0053</t>
  </si>
  <si>
    <t>0054</t>
  </si>
  <si>
    <t>0055</t>
  </si>
  <si>
    <t>0056</t>
  </si>
  <si>
    <t>0057</t>
  </si>
  <si>
    <t>0058</t>
  </si>
  <si>
    <t>0059</t>
  </si>
  <si>
    <t>0060</t>
  </si>
  <si>
    <t>0061</t>
  </si>
  <si>
    <t>0068</t>
  </si>
  <si>
    <t>0069</t>
  </si>
  <si>
    <t>0078</t>
  </si>
  <si>
    <t>0082</t>
  </si>
  <si>
    <t>0093</t>
  </si>
  <si>
    <t>0096</t>
  </si>
  <si>
    <t>0099</t>
  </si>
  <si>
    <t>0103</t>
  </si>
  <si>
    <t>0107</t>
  </si>
  <si>
    <t>0108</t>
  </si>
  <si>
    <t>0109</t>
  </si>
  <si>
    <t>0111</t>
  </si>
  <si>
    <t>0112</t>
  </si>
  <si>
    <t>0113</t>
  </si>
  <si>
    <t>0114</t>
  </si>
  <si>
    <t>0115</t>
  </si>
  <si>
    <t>0116</t>
  </si>
  <si>
    <t>0117</t>
  </si>
  <si>
    <t>0118</t>
  </si>
  <si>
    <t>0119</t>
  </si>
  <si>
    <t>0122</t>
  </si>
  <si>
    <t>0123</t>
  </si>
  <si>
    <t>0124</t>
  </si>
  <si>
    <t>0125</t>
  </si>
  <si>
    <t>0126</t>
  </si>
  <si>
    <t>0127</t>
  </si>
  <si>
    <t>0167</t>
  </si>
  <si>
    <t>0172</t>
  </si>
  <si>
    <t>0173</t>
  </si>
  <si>
    <t>0178</t>
  </si>
  <si>
    <t>0183</t>
  </si>
  <si>
    <t>0184</t>
  </si>
  <si>
    <t>0194</t>
  </si>
  <si>
    <t>0196</t>
  </si>
  <si>
    <t>0197</t>
  </si>
  <si>
    <t>0198</t>
  </si>
  <si>
    <t>0201</t>
  </si>
  <si>
    <t>0202</t>
  </si>
  <si>
    <t>0203</t>
  </si>
  <si>
    <t>0206</t>
  </si>
  <si>
    <t>0207</t>
  </si>
  <si>
    <t>0213</t>
  </si>
  <si>
    <t>0214</t>
  </si>
  <si>
    <t>0215</t>
  </si>
  <si>
    <t>0217</t>
  </si>
  <si>
    <t>0020</t>
  </si>
  <si>
    <t>0156</t>
  </si>
  <si>
    <t>0265</t>
  </si>
  <si>
    <t>0293</t>
  </si>
  <si>
    <t>0004</t>
  </si>
  <si>
    <t>0005</t>
  </si>
  <si>
    <t>0006</t>
  </si>
  <si>
    <t>0007</t>
  </si>
  <si>
    <t>0008</t>
  </si>
  <si>
    <t>0120</t>
  </si>
  <si>
    <t>0121</t>
  </si>
  <si>
    <t>0160</t>
  </si>
  <si>
    <t>0189</t>
  </si>
  <si>
    <t>0191</t>
  </si>
  <si>
    <t>0046</t>
  </si>
  <si>
    <t>0047</t>
  </si>
  <si>
    <t>0048</t>
  </si>
  <si>
    <t>0158</t>
  </si>
  <si>
    <t>0205</t>
  </si>
  <si>
    <t>0029</t>
  </si>
  <si>
    <t>0139</t>
  </si>
  <si>
    <t>0177</t>
  </si>
  <si>
    <t>0186</t>
  </si>
  <si>
    <t>0192</t>
  </si>
  <si>
    <t>0193</t>
  </si>
  <si>
    <t>0204</t>
  </si>
  <si>
    <t>0208</t>
  </si>
  <si>
    <t>0209</t>
  </si>
  <si>
    <t>0210</t>
  </si>
  <si>
    <t>0211</t>
  </si>
  <si>
    <t>0216</t>
  </si>
  <si>
    <t>0155</t>
  </si>
  <si>
    <t>0233</t>
  </si>
  <si>
    <t>0270</t>
  </si>
  <si>
    <t>0271</t>
  </si>
  <si>
    <t>0272</t>
  </si>
  <si>
    <t>0273</t>
  </si>
  <si>
    <t>0274</t>
  </si>
  <si>
    <t>0275</t>
  </si>
  <si>
    <t>0276</t>
  </si>
  <si>
    <t>2488048: CREACION DEL SERVICIO DE ANALISIS DE BIOLOGIA MOLECULAR DE DIAGNOSTICO COVID-19 EN EL LABORATORIO DE REFERENCIA REGIONAL DE LA DIRESA PUNO, DISTRITO DE PUNO - PROVINCIA DE PUNO - DEPARTAMENTO DE PUNO</t>
  </si>
  <si>
    <t>2453224: MEJORAMIENTO DE LOS SERVICIOS DE EDUCACION SECUNDARIA DE LA INSTITUCION EDUCATIVA LIBERTADOR JOSE DE SAN MARTIN DE HUARISANI DEL DISTRITO DE HUANCANE - PROVINCIA DE HUANCANE - DEPARTAMENTO DE PUNO</t>
  </si>
  <si>
    <t>2490075: MEJORAMIENTO DEL SERVICIO EDUCATIVO DEL NIVEL SECUNDARIA DE LA I.E. AGROPECUARIO SAN JUAN DEL ORO EN EL DISTRITO DE SAN JUAN DEL ORO - PROVINCIA DE SANDIA - DEPARTAMENTO DE PUNO</t>
  </si>
  <si>
    <t>2662467: MEJORAMIENTO DEL SERVICIO DE EDUCACION SUPERIOR TECNOLOGICA EN EL INSTITUTO SUPERIOR TECNOLOGICO PUBLICA CHUPA DEL DISTRITO DE CHUPA DE LA PROVINCIA DE AZANGARO DEL DEPARTAMENTO DE PUNO</t>
  </si>
  <si>
    <t>2652473: MEJORAMIENTO DEL SERVICIO DE EDUCACION INICIAL EN I.E. 944 DISTRITO DE JULIACA DE LA PROVINCIA DE SAN ROMAN DEL DEPARTAMENTO DE PUNO</t>
  </si>
  <si>
    <t>2624292: MEJORAMIENTO DE LOS SERVICIOS EDUCACION SUPERIOR PEDAGOGICA EN EL INSTITUTO DE EDUCACION SUPERIOR PEDAGOGICO PUBLICO DE AYAVIRI DEL DISTRITO DE AYAVIRI DE LA PROVINCIA DE MELGAR DEL DEPARTAMENTO DE PUNO</t>
  </si>
  <si>
    <t>2651271: MEJORAMIENTO DEL SERVICIO DE TRANSITABILIDAD VIAL INTERURBANA EN EL TRAMO ALMOZANCHE (EMP PU 118) - SUCASCO - SORAZA, - COYLATA URCUNIMUNI - HATUN AYLLU (EMP PU 118) DE LOS DISTRITOS DE COATA, PUSI DE LAS PROVINCIAS DE PUNO, HUANCANE DEL DEPARTAMENTO DE PUNO</t>
  </si>
  <si>
    <t>2538950: MEJORAMIENTO DEL SERVICIO EDUCATIVO DEL NIVEL PRIMARIO DE LA I.E. 71008 EN EL DISTRITO DE LAMPA - PROVINCIA DE LAMPA - DEPARTAMENTO DE PUNO</t>
  </si>
  <si>
    <t>2680577: MEJORAMIENTO DE LA PRODUCCION DE LECHE DE LA ASOCIACION DE MUJERES EMPRENDEDORES LECHEROS Y AGROPECUARIOS QUINSACHATA AMELAQ, DISTRITO DE CABANILLA, PROVINCIA DE LAMPA, DEPARTAMENTO DE PUNO</t>
  </si>
  <si>
    <t>2680578: MEJORAMIENTO DEL PROCESO Y CALIDAD DEL QUESO TIPO PARIA DE LA ASOCIACION LACTEOS LIKHA QUINSACHATA SOCIEDAD COMERCIAL DE RESPONSABILIDAD LIMITADA, DISTRITO CABANILLA, PROVINCIA LAMPA, REGION PUNO.</t>
  </si>
  <si>
    <t>2676417: MEJORAMIENTO Y ADOPCION DE TECNOLOGIAS EN LA PRODUCCION DE VACUNOS DE CARNE EN LA ASOCIACION DE AGRO PECUARIOS HALLP A LLANK AY DEL DISTRITO DE ASILLO, PROVINCIA DE AZANGARO, REGION PUNO</t>
  </si>
  <si>
    <t>2680581: MEJORAMIENTO DE LOS SERVICIOS TURISTICOS DE AVENTURA, VIVENCIAL, ALOJAMIENTO Y ALIMENTACION RURAL EN LA ASOCIACION DE EMPRENDEDORES TURISTICOS, AGROPECUARIOS, ECOLOGICOS Y ARTESANIA SUMA AMTAWI, DISTRITO ACORA, PROVINCIA PUNO, REGION PUNO.</t>
  </si>
  <si>
    <t>2681273: MEJORAMIENTO DE LA PRODUCCION Y PRODUCTIVIDAD DE LA LECHE FRESCA EN LA ASOCIACION DE PRODUCTORES AGROPECUARIOS Y DERIVADOS LACTEOS ALLIN LLANKAY MACARIMAYO UMACHIRI MELGAR DEL DISTRITO DE UMACHIRI PROVINCIA DE MELGAR REGION DE PUNO.</t>
  </si>
  <si>
    <t>2676418: MEJORAMIENTO DE UNA PLANTA PROCESADORA DE LECHE PARA LA ELABORACION DE QUESOS FRESCOS TIPO PARIA DE LA ASOCIACION DE PRODUCTORES AGROPECUARIOS VILLA ACASSO APROAVA, DISTRITO DE PILCUYO, PROVINCIA DE EL COLLAO, REGION DE PUNO</t>
  </si>
  <si>
    <t>2676420: MEJORAMIENTO DE LA PRODUCCION DEL CULTIVO DE AJO MEDIANTE USO INTENSIVO DE MAQUINARIA AGRICOLA DE LA ASOCIACION DE PRODUCTORES AGROPECUARIOS QOTALAKA DEL DISTRITO DE ACORA , PROVINCIA DE PUNO, REGION PUNO</t>
  </si>
  <si>
    <t>2680582: MEJORAMIENTO DE LA PRODUCCION DE LECHE EN LA ASOCIACION DE PRODUCTORES AGROPECUARIOS DE LLULLUCHANI, DEL DISTRITO DE ATUNCOLLA, PROVINCIA PUNO, DEPARTAMENTO PUNO.</t>
  </si>
  <si>
    <t>2680584: MEJORAMIENTO DE LOS SERVICIOS TURISTICOS DE AVENTURA, VIVENCIAL, ALOJAMIENTO Y ALIMENTACION RURAL EN LA ASOCIACION DE ARTESANIA Y TURISMO INKATIANA TIKARY DE LA ISLA AMANTANI, DISTRITO DE AMANTANI, PROVINCIA DE PUNO Y REGION DE PUNO</t>
  </si>
  <si>
    <t>2681120: MEJORAMIENTO TECNOLOGICO DEL VALOR AGREGADO DE HABAS EN LA ASOCIACION DE PRODUCTORES AGRARIOS Y PECUARIOS NUEVO PROGRESO TAUCAMAYA, DISTRITO DE COPANI, PROVINCIA DE YUNGUYO, REGION PUNO.</t>
  </si>
  <si>
    <t>2676421: MEJORAMIENTO DE LA PRODUCTIVIDAD Y POST COSECHA DE LA CANIHUA EN LA ASOCIACION DE PRODUCTORES AGROPECUARIOS AGROINDUSTRIAL Y ARTESANAL SAN JUAN DE DIOS LAMPA, DISTRITO LAMPA, PROVINCIA LAMPA, REGION PUNO.</t>
  </si>
  <si>
    <t>2676422: MEJORAMIENTO DE LA COMPETITIVIDAD PRODUCTIVA DE LA CERAMICA TRADICIONAL DE CHECCA PUPUJA EN LA ASOCIACION CERAMICA TRADICIONAL ANCESTRAL CHACCA PUPUJA, DISTRITO DE JOSE DOMINGO CHOQUEHUANCA, PROVINCIA DE AZANGARO, REGION PUNO.</t>
  </si>
  <si>
    <t>2676423: MEJORAMIENTO EN LA PRODUCCION DE QUESOS TIPO PARIA EN LA ASOCIACION DE PRODUCTORES DE LECHE Y SUS DERIVADOS PIAS MILAN DE LA COMUNIDAD DE HUAYTA, DISTRITO DE LAMPA, PROVINCIA DE LAMPA DEL DEPARTAMENTO DE PUNO.</t>
  </si>
  <si>
    <t>2676424: MEJORAMIENTO DE LA PLANTA PROCESADORA DE CAFE PARA LA ELABORACION DE CAFE TOSTADO MOLIDO DE LA COOPERATIVA AGRARIA CAFETALERA SAN IGNACIO LTDA., DISTRITO DE SAN PEDRO DE PUTINA PUNCO, PROVINCIA DE SANDIA, REGION DE PUNO</t>
  </si>
  <si>
    <t>2681121: MEJORAMIENTO DE LA PRODUCCION DE PRENDAS DE ARTESANIA TEXTIL EN LA ASOCIACION DE PRODUCTORES RITA POMA DEL TAWANTINSUYO PUNO, DISTRITO PUNO, PROVINCIA PUNO Y REGION PUNO</t>
  </si>
  <si>
    <t>2676425: MEJORAMIENTO DE LA PRODUCCION Y LA CALIDAD DE LECHE FRESCA EN LA ASOCIACION DE JOVENES PRODUCTORES AGROPECUARIOS COMUNI, DISTRITO ASILLO, PROVINCIA AZANGARO, REGION PUNO</t>
  </si>
  <si>
    <t>2676426: MEJORAMIENTO DE LA PRODUCTIVIDAD Y GENERACION DE VALOR AGREGADO DEL GRANO DE QUINUA PARA SU COMERCIALIZACION EN LA ASOCIACION DE PRODUCTORES AGROPECUARIOS AGROINDUSTRIALES KAPIA DEL DISTRITO DE YUNGUYO, PROVINCIA DE YUNGUYO, DEPARTAMENTO DE PUNO.</t>
  </si>
  <si>
    <t>2676427: MEJORAMIENTO DE LA PRODUCCION DE LECHE FRESCA EN LA ASOCIACION DE PRODUCTORES AGROPECUARIOS, AGROINDUSTRIALES, ARTESANALES CCACCALLACTA AMPATUIRE ORURILLO, DISTRITO ORURILLO, PROVINCIA MELGAR, REGION PUNO</t>
  </si>
  <si>
    <t>2676428: MEJORAMIENTO DE LA PRODUCCION Y COMERCIALIZACION DE DERIVADOS LACTEOS EN LA ASOCIACION DE PRODUCTORES DE LECHE Y DERIVADOS LACTEOS AGUAS TERMALES ZONA SUR PUTINA DEL DISTRITO DE PUTINA, PROVINCIA DE SAN ANTONIO DE PUTINA DEPARTAMENTO DE PUNO</t>
  </si>
  <si>
    <t>2676429: MEJORAMIENTO DE LA PRODUCCION DE LECHE DE LA ASOCIACION DE PRODUCTORES AGROPECUARIOS ESTABLO DONGA PUNO PERU DE DISTRITO DE ORURILLO, PROVINCIA DE MELGAR, REGION PUNO.</t>
  </si>
  <si>
    <t>2676430: MEJORAMIENTO DEL PROCESO DE PANIFICACION DE GRANOS ANDINOS EN LA ASOCIACION DE PRODUCTORES AGROPECUARIOS AGROINDUSTRIALES Y SERVICIOS MULTIPLES JC3 APAASM JC3 EN EL DISTRITO DE ILAVE PROVINCIA EL COLLAO REGION PUNO</t>
  </si>
  <si>
    <t>2676431: MEJORAMIENTO DE LA PRODUCCION TEXTIL DE FIBRA DE ALPACA EN LA ASOCIACION DE PRODUCTORES AGROPECUARIOS AGROINDUSTRIALES Y ARTESANOS HUAYLLAPUJO, DISTRITO DE SANTA ROSA, PROVINCIA DE EL COLLAO, REGION PUNO</t>
  </si>
  <si>
    <t>2681122: MEJORAMIENTO DE LA PRODUCCION Y PRODUCTIVIDAD DE CANIHUA EN LA ASOCIACION DE PRODUCTORES AGROINDUSTRIALES SUMAQ LLANQAY LAMPA DEL DISTRITO DE LAMPA, PROVINCIA DE LAMPA, REGION PUNO</t>
  </si>
  <si>
    <t>2676432: CREACION DE LA PLANTA DE PROCESO DE ELABORACION DE PAN DE QUINUA DE LA ASOCIACION DE TRANSFORMADORES DE GRANOS ANDINOS EN PANADERIA Y PASTELERIA ARTESANAL EL SOL DE LAMPA, DEL DISTRITO DE LAMPA, PROVINCIA DE LAMPA, REGION PUNO.</t>
  </si>
  <si>
    <t>2681125: MEJORAMIENTO DE LA PRODUCTIVIDAD Y CALIDAD DE LECHE FRESCA EN LA ASOCIACION DE PRODUCTORES AGROPECUARIOS DE GANADO VACUNO LECHERO ARTESANAL KANCHAQ WASI DE COMUNIDAD COLCA ATUNCOLLA, DISTRITO DE ATUNCOLLA, PROVINCIA DE PUNO, REGION PUNO</t>
  </si>
  <si>
    <t>2681126: MEJORAMIENTO DE LA CAPACIDADES PRODUCTIVAS DE QUESO TIPO PARIA EN LA ASOCIACION DE PRODUCTORES AGROPECUARIOS VIRGEN DE ROSARIO BALSAPATA. DEL DISTRITO DE ORURILLO, PROVINCIA DE MELGAR, REGION PUNO.</t>
  </si>
  <si>
    <t>2681128: MEJORAMIENTO DE LA PRODUCCION DE QUESOS TIPO PARIA DE LA ASOCIACION DE PRODUCTORES ORGANICOS AGROPECUARIOS Y AGROINDUSTRIALES LA LIBERTAD NUNOA, DISTRITO DE NUNOA, PROVINCIA DE MELGAR, REGION PUNO</t>
  </si>
  <si>
    <t>2681129: CREACION DE UN TALLER TEXTIL PARA LA ELABORACION DE PRENDAS DE VESTIR Y ARTICULOS DE FIBRA DE ALPACA, DE LA ASOCIACION 24 DE JUNIO CHAJANA EN EL DISTRITO DE COJATA, PROVINCIA DE HUANCANE, DEPARTAMENTO DE PUNO</t>
  </si>
  <si>
    <t>2676434: MEJORAMIENTO DE LA PRODUCCION DE LECHE EN LA ASOCIACION DE PRODUCTORES AGROPECUARIOS ARTESANOS DE LA CUENCA DE LOS RIOS SACHAMAYO Y CARA CARA VIRGEN DE LAS NIEVES, DEL DISTRITO DE LAMPA, PROVINCIA DE LAMPA Y DEPARTAMENTO DE PUNO</t>
  </si>
  <si>
    <t>2681278: MEJORAMIENTO DEL PROCESO DE PRODUCCION DE SELECCIONADOR DE TRUCHAS EN MAQUINARIAS ACUITROUT SOCIEDAD COMERCIAL DE RESPONSABILIDAD DE LA COMUNIDAD DE KOLLPAJAHUIRA, DISTRITO DE JULI, PROVINCIA DE CHUCUITO, DEPARTAMENTO DE PUNO</t>
  </si>
  <si>
    <t>2676435: MEJORAMIENTO DEL PROCESO DE ENGORDE Y COMERCIALIZACION DE GANADO VACUNO EN LA ASOCIACION DE PRODUCTORES AGROPECUARIOS STMA. TRINIDAD DE CCACCAPUNCO EN EL DISTRITO DE VILQUE, PROVINCIA PUNO Y REGION PUNO</t>
  </si>
  <si>
    <t>2676436: AMPLIACION DE LA PLANTA PROCESADORA DE LECHE PARA LA ELABORACION DE QUESOS DE LA ASOCIACION DE PRODUCTORES DE LECHE Y DERIVADOS LACTEOS VIRGEN DE ASUNCION ROSASPATA, DISTRITO DE ROSASPATA, PROVINCIA DE HUANCANE, REGION PUNO</t>
  </si>
  <si>
    <t>2681276: MEJORAMIENTO EN LA CAPACIDAD TECNICA DE PRODUCCION DE PRENDAS DE TEXTIL DE TEJIDO A MANO DE ALTO RELIEVE DE FIBRA DE ALPACA DE LA ASOCIACION DE MUJERES ARTESANAS VIRGEN DE CANDELARIA PICHACANI QUIRINE DISTRITO MACARI, PROVINCIA MELGAR, REGION PUNO</t>
  </si>
  <si>
    <t>2676437: MEJORAMIENTO DE LA PRODUCCION DE QUESOS EN LA COOPERATIVA AGRARIA LAGO AZUL PHARATA DEL DISTRITO DE ILAVE, PROVINCIA DE EL COLLAO, REGION PUNO</t>
  </si>
  <si>
    <t>2681132: MEJORAMIENTO DE LA CAPACIDAD PRODUCTIVA DE CAFE TOSTADO Y MOLIDO EN LA COOPERATIVA AGRARIA EN INNOVACION TECNOLOGICA MONTANA AZUL LIMITADA, DISTRITO DE SAN PEDRO DE PUTINA PUNCO, PROVINCIA DE SANDIA, REGION PUNO.</t>
  </si>
  <si>
    <t>2676438: MEJORAMIENTO DE LA PRODUCCION DE MIEL DE ABEJA DE LA ASOCIACION DE APICULTORES Y PRODUCTORES AGROPECUARIOS DEL VALLE YANAHUAYA, DEL DISTRITO DE YANAHUARA PROVINCIA DE SANDIA DEPARTAMENTO DE PUNO</t>
  </si>
  <si>
    <t>2676439: MEJORAMIENTO DEL VALOR AGREGADO DE CULTIVOS FORRAJEROS PARA LA ELABORACION DE ALIMENTOS BALANCEADOS EN LA ASOCIACION DE PRODUCTORES LAS TOTURITAS DE TORASAYA DEL DISTRITO DE PLATERIA, PROVINCIA DE PUNO DEPARTAMENTO DE PUNO</t>
  </si>
  <si>
    <t>2681133: MEJORAMIENTO DE LA PRODUCCION DE QUESOS TIPO PARIA PASTEURIZADO DE LA CENTRAL DE ASOCIACIONES GANADEROS LECHEROS Y AGRARIOS DEL DISTRITO DE VILQUE, DISTRITO DE VILQUE, PROVINCIA DE PUNO, REGION PUNO</t>
  </si>
  <si>
    <t>2631496 MEJORAMIENTO DE LOS SERVICIOS DE APOYO AL DESARROLLO PRODUCTIVO EN CAPACIDADES DE TRANSFORMACION Y COMERCIALIZACION DE LA CADENA PRODUCTIVA DE OVINOS EN LAS 5 PROVINCIAS DE LA ZONA SUR DEL DEPARTAMENTO DE</t>
  </si>
  <si>
    <t>2650268: MEJORAMIENTO DEL SERVICIO DE EDUCACION INICIAL EN I.E. 1243 DISTRITO DE MAÑAZO DE LA PROVINCIA DE PUNO DEL DEPARTAMENTO DE PUNO</t>
  </si>
  <si>
    <t>2651636: MEJORAMIENTO DEL SERVICIO DE EDUCACION INICIAL EN I.E. ARICATO DISTRITO DE PHARA DE LA PROVINCIA DE SANDIA DEL DEPARTAMENTO DE PUNO</t>
  </si>
  <si>
    <t>2001621 ESTUDIOS DE PRE-INVERSION</t>
  </si>
  <si>
    <t>UE-909</t>
  </si>
  <si>
    <t>2634779: CREACION DEL SERVICIO DE PROVISION DE AGUA PARA RIEGO EN LAS COMUNIDADES, MEDIANTE POZOS TUBULARES EN LOS DISTRITOS DE HUANCANE, VILQUE CHICO DE LA PROVINCIA DE HUANCANE DEL DEPARTAMENTO DE PUNO</t>
  </si>
  <si>
    <t>UE-EDUCACION MELGAR</t>
  </si>
  <si>
    <t>2603160: MEJORAMIENTO DE LOS SERVICIOS DE APOYO AL DESARROLLO PRODUCTIVO EN 4 UNIDADES PRODUCTORAS 4 DISTRITOS DE LAS PROVINCIAS DE SANDIA, CARABAYA DEL DEPARTAMENTO DE PUNO</t>
  </si>
  <si>
    <t>2683535: MEJORAMIENTO DEL SERVICIO DE SEGURIDAD CIUDADANA LOCAL EN 73 UNIDADES PRODUCTORAS 73 DISTRITOS DE 11 PROVINCIAS DEL DEPARTAMENTO DE PUNO 11 PROVINCIAS DEL DEPARTAMENTO DE PUNO</t>
  </si>
  <si>
    <t>2668521: ADQUISICION DE AMBULANCIA ACUATICA; EN DOS ESTABLECIMIENTOS DE SALUD I.2 A NIVEL PROVINCIAL (PUNO - YUNGUYO)</t>
  </si>
  <si>
    <t>2684028: ADQUISICION DE AMBULANCIA URBANA; EN ONCE ESTABLECIMIENTOS DE SALUD II.1, ESTABLECIMIENTOS DE SALUD II.2 A NIVEL DEPARTAMENTAL (PUNO)</t>
  </si>
  <si>
    <t>2606991: MEJORAMIENTO DEL SERVICIO DE EDUCACION INICIAL EN I.E. 69 DISTRITO DE ANTAUTA DE LA PROVINCIA DE MELGAR DEL DEPARTAMENTO DE PUNO</t>
  </si>
  <si>
    <t>2676419: MEJORAMIENTO DEL SISTEMA DE ENVASADO Y PRODUCCION DE AGUA DE MANANTIAL EN LA EMBASADORA DE AGUA NATIVIDAD S.A.C., DEL DISTRITO DE HUACULLANI, PROVINCIA CHUCUITO, REGION PUNO</t>
  </si>
  <si>
    <t>2681274: MEJORAMIENTO DEL PROCESO DE PRODUCCION DE ARTICULOS MECANICOS EN LA CORPORACION MARSAD S.A.C. DEL DISTRITO DE PUNO, PROVINCIA DE PUNO, REGION DE PUNO</t>
  </si>
  <si>
    <t>2681123: MEJORAMIENTO EN EL PROCESO DE VALOR AGREGADO DE TRUCHAS EN LA EMPRESA AMERICAN TROUT FARO S.R.L. EN EL DISTRITO DE POMATA, PROVINCIA DE CHUCUITO Y DEPARTAMENTO DE PUNO.</t>
  </si>
  <si>
    <t>2676433: MEJORAMIENTO DE LA CAPACIDAD PRODUCTIVA DE PRENDAS A BASE DE FIBRA DE ALPACA DE LA EMPRESA JOMATEX SRL, DISTRITO JULIACA, PROVINCIA SAN ROMAN, REGION PUNO.</t>
  </si>
  <si>
    <t>2681130: MEJORAMIENTO DE LA PRODUCCION DEL ENVASADO DE AGUA DE MESA DE LA EMPRESA GRUPO ANCCASI SOCIEDAD ANONIMA CERRADA DEL DISTRITO DE CORANI, PROVINCIA CARABAYA, DEPARTAMENTO PUNO</t>
  </si>
  <si>
    <t>2676440: MEJORAMIENTO DE LA PRODUCCION Y LA PRODUCTIVIDAD DE QUESO TIPO PARIA PASTEURIZADO DE LA EMPRESA DE PRODUCCION AGROPECUARIA MICA ASUNCION SAC DEL, DISTRITO DE AZANGARO, PROVINCIA AZANGARO, DEPARTAMENTO PUNO.</t>
  </si>
  <si>
    <t>2685431: ADQUISICION DE AMBULANCIA URBANA, CAMIONETA, CAMION PLATAFORMA Y CAMION CISTERNA; ADEMAS DE OTROS ACTIVOS EN CINCO COMPAÑIA DE BOMBEROS</t>
  </si>
  <si>
    <t>2656599: MEJORAMIENTO DEL SERVICIO DE TRANSITABILIDAD VIAL INTERURBANA EN LA CARRETERA TRAMO I: PU-142 (EMP PE 34 H: DV ALBARIZANI - EMP PE 34 L: TRAPICHE), TRAMO II: PU 598 (EMP PE 34L: TRAPICHE-EMP PU 109: IZCAY CRUZ) DE LOS DISTRITOS DE QUILCAPUNCU, ANANEA DE LA PROVINCIA DE SAN ANTONIO DE PUTINA DEL DEPARTAMENTO DE PUNO</t>
  </si>
  <si>
    <t>2673441: MEJORAMIENTO DEL SERVICIO DE TRANSITABILIDAD VIAL INTERURBANA EN LA CARRETERA PU-1115 (EMP. PE-3S: INGENIO - EMP. PU-1116: ICHU) - PU-1116 (EMP. PU-1115: ICHU - EMP. PE-3S: SALLIHUA CALLEJON) DEL DISTRITO DE PUNO DE LA PROVINCIA DE PUNO DEL DEPARTAMENTO DE PUNO</t>
  </si>
  <si>
    <t>2657043: MEJORAMIENTO Y AMPLIACION DEL SERVICIO DE ATENCION DE SALUD BASICOS EN MOHO DISTRITO DE MOHO DE LA PROVINCIA DE MOHO DEL DEPARTAMENTO DE PUNO</t>
  </si>
  <si>
    <t>2685776: ADQUISICION DE ANALIZADOR DE GASES Y ELECTROLITOS, ESPECTROFOTOMETRO, EQUIPO DE RAYOS X DENTAL Y BIDESTILADOR DE AGUA; ADEMAS DE OTROS ACTIVOS EN EL(LA) MOHO DISTRITO DE MOHO, PROVINCIA MOHO, DEPARTAMENTO PUNO</t>
  </si>
  <si>
    <t>0374</t>
  </si>
  <si>
    <t>0375</t>
  </si>
  <si>
    <t>0376</t>
  </si>
  <si>
    <t>0377</t>
  </si>
  <si>
    <t>0378</t>
  </si>
  <si>
    <t>0379</t>
  </si>
  <si>
    <t>0380</t>
  </si>
  <si>
    <t>0381</t>
  </si>
  <si>
    <t>0382</t>
  </si>
  <si>
    <t>0383</t>
  </si>
  <si>
    <t>0384</t>
  </si>
  <si>
    <t>0385</t>
  </si>
  <si>
    <t>0386</t>
  </si>
  <si>
    <t>0388</t>
  </si>
  <si>
    <t>2551456: MEJORAMIENTO DE LOS SERVICIOS DE SALUD DEL CENTRO DE SALUD GUADALUPE, DISTRITO DE JULIACA - PROVINCIA DE SAN ROMAN - DEPARTAMENTO DE PUNO</t>
  </si>
  <si>
    <t>2649856: MEJORAMIENTO DEL SERVICIO DE EDUCACION INICIAL EN I.E. 312 DE CENTRO POBLADO JAYU JAYU DISTRITO DE ACORA DE LA PROVINCIA DE PUNO DEL DEPARTAMENTO DE PUNO</t>
  </si>
  <si>
    <t>2649798: MEJORAMIENTO DEL SERVICIO DE EDUCACION INICIAL EN I.E. 056 DISTRITO DE CRUCERO DE LA PROVINCIA DE CARABAYA DEL DEPARTAMENTO DE PUNO</t>
  </si>
  <si>
    <t>2649804: MEJORAMIENTO DEL SERVICIO DE EDUCACION INICIAL EN I.E. 50 DISTRITO DE ORURILLO DE LA PROVINCIA DE MELGAR DEL DEPARTAMENTO DE PUNO</t>
  </si>
  <si>
    <t>2649854: MEJORAMIENTO DEL SERVICIO DE EDUCACION INICIAL EN I.E. 1291 CORAZON DE JESUS DISTRITO DE ACORA DE LA PROVINCIA DE PUNO DEL DEPARTAMENTO DE PUNO</t>
  </si>
  <si>
    <t>2649858: MEJORAMIENTO DEL SERVICIO DE EDUCACION INICIAL EN I.E. EDUARDITOS DISTRITO DE PICHACANI DE LA PROVINCIA DE PUNO DEL DEPARTAMENTO DE PUNO</t>
  </si>
  <si>
    <t>2649855: MEJORAMIENTO DEL SERVICIO DE EDUCACION INICIAL EN I.E. 258 DISTRITO DE ACORA DE LA PROVINCIA DE PUNO DEL DEPARTAMENTO DE PUNO</t>
  </si>
  <si>
    <t>2649797: MEJORAMIENTO DEL SERVICIO DE EDUCACION INICIAL EN I.E. 1450 HUELLITAS DE MONTESSORI MIRAMAR DISTRITO DE MOHO DE LA PROVINCIA DE MOHO DEL DEPARTAMENTO DE PUNO</t>
  </si>
  <si>
    <t>2653339: MEJORAMIENTO DEL SERVICIO DE EDUCACION INICIAL EN I.E. 1137 DE CENTRO POBLADO LOS ANGELES DISTRITO DE CABANILLAS DE LA PROVINCIA DE SAN ROMAN DEL DEPARTAMENTO DE PUNO</t>
  </si>
  <si>
    <t>2649805: MEJORAMIENTO DEL SERVICIO DE EDUCACION INICIAL EN I.E. 881 DISTRITO DE CABANILLA DE LA PROVINCIA DE LAMPA DEL DEPARTAMENTO DE PUNO</t>
  </si>
  <si>
    <t>2196834: MEJORAMIENTO DE LOS SERVICIOS DE EDUCACION INICIAL EN LA I.E.I. CUCURAYA DE LA COMUNIDAD DE CUCURAYA, DISTRITO DE TILALI, PROVINCIA DE MOHO - PUNO.</t>
  </si>
  <si>
    <t>.</t>
  </si>
  <si>
    <t>2488653: MEJORAMIENTO DE LOS SERVICIOS EDUCATIVOS EN LA INSTITUCION EDUCATIVA SECUNDARIA SAN JUAN DE MACHACMARCA EN EL CENTRO POBLADO DE MACHACMARCA DEL DISTRITO DE VILQUE - PROVINCIA DE PUNO - DEPARTAMENTO DE PUNO</t>
  </si>
  <si>
    <t>2618450: MEJORAMIENTO DEL SERVICIO DE EDUCACION PRIMARIA EN I.E. 70001 DISTRITO DE PUNO DE LA PROVINCIA DE PUNO DEL DEPARTAMENTO DE PUNO</t>
  </si>
  <si>
    <t>2649852: MEJORAMIENTO DEL SERVICIO DE EDUCACION INICIAL EN I.E. 325 DISTRITO DE PUNO DE LA PROVINCIA DE PUNO DEL DEPARTAMENTO DE PUNO</t>
  </si>
  <si>
    <t>2652119: MEJORAMIENTO DEL SERVICIO DE EDUCACION PRIMARIA EN I.E. 70802 DISTRITO DE PUNO DE LA PROVINCIA DE PUNO DEL DEPARTAMENTO DE PUNO</t>
  </si>
  <si>
    <t>2651383: MEJORAMIENTO DEL SERVICIO DE EDUCACION INICIAL EN I.E. 941 DISTRITO DE CABANILLAS DE LA PROVINCIA DE SAN ROMAN DEL DEPARTAMENTO DE PUNO</t>
  </si>
  <si>
    <t>2646859: MEJORAMIENTO DEL SERVICIO DE TRANSITABILIDAD VIAL INTERURBANA EN LA PU - 145 (EMP. PE - 34 I: HUANCANE, - EMP. PE - 34 H: HUATASANI) DE LOS DISTRITOS DE HUANCANE, HUATASANI DE LA PROVINCIA DE HUANCANE DEL DEPARTAMENTO DE PUNO</t>
  </si>
  <si>
    <t>2490131: MEJORAMIENTO DEL SERVICIO DE EDUCACION SECUNDARIA DE LA IES CABANILLAS, DISTRITO DE CABANILLAS - PROVINCIA DE SAN ROMAN - DEPARTAMENTO DE PUNO</t>
  </si>
  <si>
    <t>2651727: MEJORAMIENTO Y AMPLIACION DEL SERVICIO DE PROVISION DE AGUA PARA RIEGO EN 16 UNIDADES PRODUCTORAS 3 DISTRITOS DE LA PROVINCIA DE MOHO DEL DEPARTAMENTO DE PUNO</t>
  </si>
  <si>
    <t>2659573: MEJORAMIENTO DEL SERVICIO DE EDUCACION PRIMARIA EN I.E. 73003 DISTRITO DE HUANCANE DE LA PROVINCIA DE HUANCANE DEL DEPARTAMENTO DE PUNO</t>
  </si>
  <si>
    <t>2673614: MEJORAMIENTO DEL SERVICIO DE EDUCACION INICIAL EN I.E. HUARISANI RENJACHI DE CENTRO POBLADO HUARISANI DISTRITO DE HUANCANE DE LA PROVINCIA DE HUANCANE DEL DEPARTAMENTO DE PUNO</t>
  </si>
  <si>
    <t>2621243: MEJORAMIENTO DEL SERVICIO FISCAL, SERVICIO MEDICO LEGAL Y FORENSE EN LA SEDE DISTRITO FISCAL PUNO DISTRITO DE PUNO DE LA PROVINCIA DE PUNO DEL DEPARTAMENTO DE PUNO</t>
  </si>
  <si>
    <t>2674593: REPARACION DE CERCO PERIMETRICO; EN EL(LA) ALDEAS INFANTILES VIRGEN DE LA CANDELARIA EN EL BARRIO RINCONADA DEL CENTRO POBLADO DE SALCEDO DISTRITO DE PUNO, PROVINCIA PUNO, DEPARTAMENTO PUNO</t>
  </si>
  <si>
    <t>2664940: MEJORAMIENTO DEL SERVICIO DE EDUCACION INICIAL EN I.E. 1099 INMACULADA DISTRITO DE PUTINA DE LA PROVINCIA DE SAN ANTONIO DE PUTINA DEL DEPARTAMENTO DE PUNO</t>
  </si>
  <si>
    <t>2591951: MEJORAMIENTO DEL SERVICIO DE TRANSITABILIDAD VIAL INTERURBANA EN EL CAMINO VECINAL DEL KM0+000 (DESVIO PUENTE OCRA CHUPA) AL KM 6+373 (C.P. PEDRO VILCAPAZA DE MORORCCO), DISTRITO DE MUÑANI DE LA PROVINCIA DE AZANGARO DEL DEPARTAMENTO DE PUNO</t>
  </si>
  <si>
    <t>2649789: MEJORAMIENTO DEL SERVICIO DE ATENCION DE SALUD BASICOS EN CALLACAMI DISTRITO DE JULI DE LA PROVINCIA DE CHUCUITO DEL DEPARTAMENTO DE PUNO</t>
  </si>
  <si>
    <t>2649780: MEJORAMIENTO DEL SERVICIO DE ATENCION DE SALUD BASICOS EN ACOCOLLO DISTRITO DE HUANCANE DE LA PROVINCIA DE HUANCANE DEL DEPARTAMENTO DE PUNO</t>
  </si>
  <si>
    <t>2649788: MEJORAMIENTO DEL SERVICIO DE ATENCION DE SALUD BASICOS EN CALLAZA DISTRITO DE HUACULLANI DE LA PROVINCIA DE CHUCUITO DEL DEPARTAMENTO DE PUNO</t>
  </si>
  <si>
    <t>2649786: MEJORAMIENTO DEL SERVICIO DE ATENCION DE SALUD BASICOS EN PASIRI DISTRITO DE JULI DE LA PROVINCIA DE CHUCUITO DEL DEPARTAMENTO DE PUNO</t>
  </si>
  <si>
    <t>2649778: MEJORAMIENTO DEL SERVICIO DE ATENCION DE SALUD BASICOS EN CHIJNAYA DISTRITO DE PUCARA DE LA PROVINCIA DE LAMPA DEL DEPARTAMENTO DE PUNO</t>
  </si>
  <si>
    <t>2515272: RECUPERACION DEL PUENTE COLGANTE PEATONAL SOBRE EL RIO INAMBARI EN LA LOCALIDAD SANTA ROSA YANAMAYO DEL DISTRITO DE ALTO INAMBARI - PROVINCIA DE SANDIA - DEPARTAMENTO DE PUNO</t>
  </si>
  <si>
    <t>2634040: MEJORAMIENTO DEL SERVICIO DE TRANSITABILIDAD VIAL INTERURBANA EN EL CAMINO VECINAL, TRAMO DESVIO PUCARA - POBLACION SALINAS - ASILLO SALINAS (KM 0+000 - 1+900) DEL DISTRITO DE SAN JUAN DE SALINAS DE LA PROVINCIA DE AZANGARO DEL DEPARTAMENTO DE PUNO</t>
  </si>
  <si>
    <t>2693433: ADQUISICION DE EQUIPO DE AULA DE EDUCACION INICIAL; EN EL(LA) I.E. GLORIOSO SAN CARLOS DISTRITO DE PUNO, PROVINCIA PUNO, DEPARTAMENTO PUNO</t>
  </si>
  <si>
    <t>2692840: ADQUISICION DE EQUIPO DE AULA DE EDUCACION PRIMARIA; EN EL(LA) I.E. GLORIOSO SAN CARLOS DISTRITO DE PUNO, PROVINCIA PUNO, DEPARTAMENTO PUNO</t>
  </si>
  <si>
    <t>2693441: ADQUISICION DE EQUIPO DE AULA DE EDUCACION SECUNDARIA; EN EL(LA) I.E. GLORIOSO SAN CARLOS DISTRITO DE PUNO, PROVINCIA PUNO, DEPARTAMENTO PUNO</t>
  </si>
  <si>
    <t>2282351: MEJORAMIENTO DE SERVICIO TRANSITABILIDAD VEHICULAR Y PEATONAL DE LA AV. TAMBOPATA TRAMO AV. SAN MARTIN - AV. CIRCUNVALACION II DE LA CIUDAD DE JULIACA, PROVINCIA DE SAN ROMAN - PUNO</t>
  </si>
  <si>
    <t>2 6. 2 3. 2 3 COSTO DE CONSTRUCCION POR CONTRATA</t>
  </si>
  <si>
    <t>2.6. 2  2. 3 2 COSTO DE CONTRUCCION POR CONTRATA</t>
  </si>
  <si>
    <t>2496010: ADQUISICION DE PLANTA GENERADORA DE OXIGENO MEDICINAL, GRUPO ELECTROGENO, CONCENTRADOR DE OXIGENO Y CAMA CAMILLA MULTIPROPOSITO; ADEMAS DE OTROS ACTIVOS EN NUEVE ESTABLECIMIENTOS DE SALUD II.1 A NIVEL PROVINCIAL</t>
  </si>
  <si>
    <t>2693367: ADQUISICION DE EQUIPO DE ANESTESIA, ELECTROBISTURI, ELECTROBISTURI Y ELECTROBISTURI; ADEMAS DE OTROS ACTIVOS EN EL(LA) SAN JUAN DE DIOS (AYAVIRI) JR SANTA ROSA DISTRITO DE AYAVIRI, PROVINCIA MELGAR, DEPARTAMENTO PUNO</t>
  </si>
  <si>
    <t>2691682: ADQUISICION DE MESA DE OPERACIONES HIDRAULICA/ELECTRICA, EQUIPO ECOGRAFO - ULTRASONIDO, EQUIPO ECOGRAFO Y ELECTROENCEFALOGRAFO; ADEMAS DE OTROS ACTIVOS EN EL(LA) ANTONIO BARRIONUEVO (LAMPA) DISTRITO DE LAMPA, PROVINCIA LAMPA, DEPARTAMENTO PUNO</t>
  </si>
  <si>
    <t>2692290: ADQUISICION DE EQUIPO DE ANESTESIA, VENTILADOR MECANICO, SISTEMA DE CIRUGIA LAPAROSCOPICA Y SISTEMA DE VIDEO GASTROENDOSCOPIA; ADEMAS DE OTROS ACTIVOS EN EL(LA) HOSPITAL SAN MARTIN DE PORRES DISTRITO DE MACUSANI, PROVINCIA CARABAYA, DEPARTAMENTO PUNO</t>
  </si>
  <si>
    <t>2692846: ADQUISICION DE EQUIPO ECOGRAFO, MESA HIDRAULICA PARA OPERACION QUIRURGICA, LAVADORA SECADORA AUTOMATICA Y INCUBADORA DE TRANSPORTE (SAMU); ADEMAS DE OTROS ACTIVOS EN EL(LA) CARLOS CORNEJO ROSELLO DISTRITO DE AZANGARO, PROVINCIA AZANGARO, DEPARTAMENTO PUNO</t>
  </si>
  <si>
    <t>2511009: MEJORAMIENTO DEL SERVICIO VIAL URBANO DE LA AVENIDA INDUSTRIAL DEL CENTRO POBLADO DE SALCEDO, DISTRITO DE PUNO - PROVINCIA DE PUNO - DEPARTAMENTO DE PUNO</t>
  </si>
  <si>
    <t>2651086: MEJORAMIENTO DEL SERVICIO DE EDUCACION INICIAL EN I.E. 1226 DISTRITO DE MAÑAZO DE LA PROVINCIA DE PUNO DEL DEPARTAMENTO DE PUNO</t>
  </si>
  <si>
    <t>2662786: MEJORAMIENTO DEL SERVICIO DE EDUCACION PRIMARIA EN I.E. 72662 DE CENTRO POBLADO CALLA DISTRITO DE SAN JUAN DE SALINAS DE LA PROVINCIA DE AZANGARO DEL DEPARTAMENTO DE PUNO</t>
  </si>
  <si>
    <t>2694246: ADQUISICION DE MAMOGRAFO, COLONOVIDEOENDOSCOPIO, MESA DE OPERACIONES HIDRAULICA/ELECTRICA Y CALDERO; ADEMAS DE OTROS ACTIVOS EN EL(LA) HOSPITAL REGIONAL MANUEL NUÑEZ BUTRON HOSPITAL REGIONAL MANUEL NUÑEZ BUTRON DISTRITO DE PUNO, PROVINCIA PUNO, DEPARTAMENTO PUNO</t>
  </si>
  <si>
    <t>2699546: ADQUISICION DE EQUIPAMIENTO DE AULA DE INNOVACION PEDAGOGICA; EN OCHO II.EE. PRIMARIA DISTRITO DE SAN JUAN DE SALINAS, PROVINCIA AZANGARO, DEPARTAMENTO PUNO</t>
  </si>
  <si>
    <t>2657867: MEJORAMIENTO DEL SERVICIO DE TRANSITABILIDAD VIAL INTERURBANA EN LA CARRETERA PU-870(OCCOPAMPA - EMP. PU-873) - PU-873(EMP. PU-870 - EMP. PU-110: JACHA POMAOCA), PU-890(EMP. PU-110:POMAOCA - EMP. PU-889) - PU-889 (EMP.PU-890 - PACCHANI) - MUÑANI(LIMITE CON BOLIVIA) DISTRITO DE MOHO DE LA PROVINCIA DE MOHO DEL DEPARTAMENTO DE PUNO</t>
  </si>
  <si>
    <t>2669946: MEJORAMIENTO DEL SERVICIO DE PRACTICA DEPORTIVA Y/O RECREATIVA EN ESTADIO MUNICIPAL DE MOHO DISTRITO DE MOHO DE LA PROVINCIA DE MOHO DEL DEPARTAMENTO DE PUNO</t>
  </si>
  <si>
    <t>2656882: MEJORAMIENTO DEL SERVICIO DE EDUCACION SECUNDARIA EN I.E. AGROINDUSTRIAL MAXIMO SAN ROMAN CACERES DE AJJATIRA, DE CENTRO POBLADO SANTIAGO AJJATIRA DISTRITO DE PEDRO VILCA APAZA DE LA PROVINCIA DE SAN ANTONIO DE PUTINA DEL DEPARTAMENTO DE PUNO</t>
  </si>
  <si>
    <t>2661648: CREACION DEL SERVICIO DE TRANSITABILIDAD VIAL INTERURBANA EN EL PUENTE COLGANTE PEATONAL DE CENTRO POBLADO COHASIA DISTRITO DE HUANCANE DE LA PROVINCIA DE HUANCANE DEL DEPARTAMENTO DE PUNO</t>
  </si>
  <si>
    <t>2642160: MEJORAMIENTO DEL SERVICIO DE TRANSITABILIDAD VIAL INTERURBANA EN EN LA VIA VECINAL PU-713, L. PROV. LAMPA - QUISHUARANI - SALLAPATA - HUERTA -EMP. PU-124 (VILAVILA), DISTRITO DE VILAVILA DE LA PROVINCIA DE LAMPA DEL DEPARTAMENTO DE PUNO</t>
  </si>
  <si>
    <t>2655389: CREACION DEL SERVICIO DE TRANSITABILIDAD VIAL INTERURBANA EN EL PUENTE CHOQUENASA DE LA CARRETERA PU-1243 DEL DISTRITO DE ILAVE DE LA PROVINCIA DE EL COLLAO DEL DEPARTAMENTO DE PUNO</t>
  </si>
  <si>
    <t>2653737: MEJORAMIENTO DEL SERVICIO DE TRANSITABILIDAD VIAL INTERURBANA EN LA CARRETRA PU-144 (EMP. PE-34L: SOLITARIO, - EMP. PU-115: INCHUPALLA) DE LOS DISTRITOS DE VILQUE CHICO, INCHUPALLA DE LA PROVINCIA DE HUANCANE DEL DEPARTAMENTO DE PUNO</t>
  </si>
  <si>
    <t>2669470: MEJORAMIENTO DEL SERVICIO DE TRANSITABILIDAD VIAL INTERURBANA EN LA CARRETERA PU-617 (SAN JOSE - SAN ANTON), PU-624 (EMP. PE-34 B: SAN ANTON - EMP. PU-622: VILLAPAMPA) -PU-622 (EMP. PU-624: VILLAPAMPA - LARIMAYO) DE LOS DISTRITOS DE SAN JOSE, ANTAUTA DE LAS PROVINCIAS DE AZANGARO, MELGAR DEL DEPARTAMENTO DE PUNO</t>
  </si>
  <si>
    <t>2663002: MEJORAMIENTO DEL SERVICIO DE EDUCACION SECUNDARIA EN I.E. HUAPACA SAN MIGUEL DE CENTRO POBLADO HUAPACA SAN MIGUEL DISTRITO DE POMATA DE LA PROVINCIA DE CHUCUITO DEL DEPARTAMENTO DE PUNO</t>
  </si>
  <si>
    <t>2670620: MEJORAMIENTO DEL SERVICIO DE TRANSITABILIDAD VIAL INTERURBANA EN LA CARRETERA JOSE DOMINGO CHOQUEHUANCA - QUEQUERANA, - PRIMER CHIMPA JILAHUATA - DV CAYRAHUIRE DE LOS DISTRITOS DE JOSE DOMINGO CHOQUEHUANCA, AZANGARO DE LA PROVINCIA DE AZANGARO DEL DEPARTAMENTO DE PUNO</t>
  </si>
  <si>
    <t>2659575: MEJORAMIENTO DEL SERVICIO DE EDUCACION INICIAL EN I.E. 1223 DIVINO NIÑO JESUS DISTRITO DE COATA DE LA PROVINCIA DE PUNO DEL DEPARTAMENTO DE PUNO</t>
  </si>
  <si>
    <t>2657159: MEJORAMIENTO DEL SERVICIO DE TRANSITABILIDAD VIAL INTERURBANA EN LA CARRETERA PU-1139 (EMP. PU-1138: ACORA - EMP. PU-1143), PU-1143 (EMP. PU-1139 - EMP. PU-1144), PU-1144 (EMP. PU-1143 - EMP. PU-1145), PU-1145 (EMP. PU-1144 - HUARICONSE), PU-1148 (HUARICONSE - ILAVE) DE LOS DISTRITOS DE ACORA, ILAVE DE LAS PROVINCIAS DE PUNO, EL COLLAO DEL DEPARTAMENTO DE PUNO</t>
  </si>
  <si>
    <t>2657484: CONSTRUCCION DE PUENTE; EN EL(LA) CARRETERA PU-111 (PUENTE TINTIRI) DEL DISTRITO DE AZANGARO, PROVINCIA AZANGARO, DEPARTAMENTO PUNO</t>
  </si>
  <si>
    <t>2650271: MEJORAMIENTO DEL SERVICIO DE EDUCACION INICIAL EN I.E. 335 DISTRITO DE MOHO DE LA PROVINCIA DE MOHO DEL DEPARTAMENTO DE PUNO</t>
  </si>
  <si>
    <t>2660479: MEJORAMIENTO DEL SERVICIO DE EDUCACION SECUNDARIA EN I.E. 20 DE ENERO DISTRITO DE JULIACA DE LA PROVINCIA DE SAN ROMAN DEL DEPARTAMENTO DE PUNO</t>
  </si>
  <si>
    <t>EJECUCIÓN POR ADMINISTRACIÓN DIRECTA - DIRECTIVA 17</t>
  </si>
  <si>
    <t>2690009: CONSTRUCCION DE LOSA DEPORTIVA; ADQUISICION DE EQUIPAMIENTO DE AULA DE INNOVACION PEDAGOGICA Y MOBILIARIO DE AULA DE INNOVACION PEDAGOGICA; EN EL(LA) I.E. 70064 SAN MARTIN DE PORRES DISTRITO DE PUNO, PROVINCIA PUNO, DEPARTAMENTO PUNO</t>
  </si>
  <si>
    <t>2194989: MEJORAMIENTO DE LOS SERVICIOS EDUCATIVOS EN LA INSTITUCION EDUCATIVA SECUNDARIA DANTE NAVA DEL CENTRO POBLADO SANTA CRUZ DE PUNA AYLLU, DISTRITO DE PATAMBUCO, PROVINCIA DE SANDIA, REGION PUNO</t>
  </si>
  <si>
    <t>2493948: CREACION DEL PUENTE CARROZABLE EN EL SECTOR CANGALLE DE LA COMUNIDAD DE KALAHUALA DISTRITO DE ASILLO - PROVINCIA DE AZANGARO - DEPARTAMENTO DE PUNO</t>
  </si>
  <si>
    <t>2662668: MEJORAMIENTO DEL SERVICIO DE EDUCACION PRIMARIA EN I.E. 72060 DE CENTRO POBLADO YURAJCHUPA DISTRITO DE SAN JUAN DE SALINAS DE LA PROVINCIA DE AZANGARO DEL DEPARTAMENTO DE PUNO</t>
  </si>
  <si>
    <t>2699544: ADQUISICION DE EQUIPAMIENTO DE AULA; EN SIETE II.EE. INICIAL DISTRITO DE SAN JUAN DE SALINAS, PROVINCIA AZANGARO, DEPARTAMENTO PUNO</t>
  </si>
  <si>
    <t>2500458: MEJORAMIENTO DEL SERVICIO EDUCATIVO EN LA IEP N° 70477 SAGRADO CORAZON DE JESUS DEL DISTRITO DE AYAVIRI - PROVINCIA DE MELGAR - DEPARTAMENTO DE PUNO</t>
  </si>
  <si>
    <t>2474102: MEJORAMIENTO DEL SERVICIO DE PROTECCION FRENTE A TORMENTAS ELECTRICAS EN 4 PROVINCIAS DEL DEPARTAMENTO DE PUNO</t>
  </si>
  <si>
    <t>2668257.MEJORAMIENTO DEL SERVICIO DE PROVISION DE AGUA PARA RIEGO EN LA COMUNIDAD CAMPESINA DE SAN JOSE DE ANCOMARCA Y EL GRUPO DE AGRICULTORES SIN TIERRA SAN SALVADOR DE TIRACOLLO DISTRITO DE CAPAZO - PROVINCIA DE EL COLLAO - DEPARTAMENTO DE PUNO</t>
  </si>
  <si>
    <t>2681264: MEJORAMIENTO DEL SERVICIO DE TRANSITABILIDAD VIAL INTERURBANA EN LA CARRETERA PU-727 (PUCARA - CHIJNAYA) DEL DISTRITO DE PUCARA DE LA PROVINCIA DE LAMPA DEL DEPARTAMENTO DE PUNO</t>
  </si>
  <si>
    <t>2661660: MEJORAMIENTO DEL SERVICIO DE TRANSITABILIDAD VIAL INTERURBANA EN LA CARRETERA DESAGUADERO - LLALLAHUA, - VISTA ALEGRE - CHIMU - ANCOPUTO - ALTO PATACOLLO - HUAPACA SAN MIGUEL DE LOS DISTRITOS DE DESAGUADERO, ZEPITA DE LA PROVINCIA DE CHUCUITO DEL DEPARTAMENTO DE PUNO</t>
  </si>
  <si>
    <t>2654509: MEJORAMIENTO DEL SERVICIO DE TRANSITABILIDAD VIAL INTERURBANA EN LA CARRETERA PU 141: EMP. PU-111 (DV CAMBRIA) - CAMBRIA, - EMP PU - 112 (DV COLLPANI) DE LOS DISTRITOS DE PUTINA, MUÑANI DE LAS PROVINCIAS DE SAN ANTONIO DE PUTINA, AZANGARO DEL DEPARTAMENTO DE PUNO</t>
  </si>
  <si>
    <t>2654204: MEJORAMIENTO DEL SERVICIO DE TRANSITABILIDAD VIAL INTERURBANA EN LA CARRETERA PU - 1068 (CONDORIRI, - JUNCAL) DE LOS DISTRITOS DE TIQUILLACA, SAN ANTONIO DE LA PROVINCIA DE PUNO DEL DEPARTAMENTO DE PUNO</t>
  </si>
  <si>
    <t>2692317: CONSTRUCCION DE PLATAFORMA Y DRENAJE TRANSVERSAL; REPARACION DE PLATAFORMA; ADQUISICION DE DISPOSITIVO DE CONTROL DE TRANSITO; EN EL(LA) CARRETERA PU-111 (EMP. JR. SULLANA - EMP. JR. LIMA) DISTRITO DE AZANGARO, PROVINCIA AZANGARO, DEPARTAMENTO PUNO</t>
  </si>
  <si>
    <t>2681096: MEJORAMIENTO DEL SERVICIO DE TRANSITABILIDAD VIAL INTERURBANA EN LA CARRETERA EMP. PE-3S (CHUA CHUA) - MOLINO - CHALLAPAMPA SANTA ROSA - EMP. PU-130 (TACAPISI), QUECCUANI - COPANI DE LOS DISTRITOS DE ZEPITA, COPANI DE LAS PROVINCIAS DE CHUCUITO, YUNGUYO DEL DEPARTAMENTO DE PUNO</t>
  </si>
  <si>
    <t>2196910: INSTALACION DEL SERVICIO EDUCATIVO EN LA INSTITUCION EDUCATIVA INICIAL AMAQUILLA CICLO II, DISTRITO DE COPANI - YUNGUYO - PUNO</t>
  </si>
  <si>
    <t>2492963: MEJORAMIENTO DE LOS SERVICIO EDUCATIVOS EN LA INSTITUCION EDUCATIVA INICIAL N° 68 DE LA LOCALIDAD DE AYAVIRI DEL DISTRITO DE AYAVIRI - PROVINCIA DE MELGAR - DEPARTAMENTO DE PUNO</t>
  </si>
  <si>
    <t>2230776: MEJORAMIENTO DE LOS SERVICIOS DE EDUCACION INICIAL DE LA I.E.I. Nº 597 DEL CENTRO POBLADO DE PALCA, DISTRITO OLLACHEA - CARABAYA - PUNO</t>
  </si>
  <si>
    <t>2668257: MEJORAMIENTO DEL SERVICIO DE PROVISION DE AGUA PARA RIEGO EN LA COMUNIDAD CAMPESINA DE SAN JOSE DE ANCOMARCA Y EL GRUPO DE AGRICULTORES SIN TIERRA SAN SALVADOR DE TIRACOLLO DISTRITO DE CAPAZO - PROVINCIA DE EL COLLAO - DEPARTAMENTO DE PUNO</t>
  </si>
  <si>
    <t>2681028: MEJORAMIENTO DEL SERVICIO DE EDUCACION SECUNDARIA EN I.E. JOSE CARLOS MARIATEGUI DISTRITO DE ILAVE DE LA PROVINCIA DE EL COLLAO DEL DEPARTAMENTO DE PUNO</t>
  </si>
  <si>
    <t>2711034: ADQUISICION DE ESTERILIZADOR; EN SIETE ESTABLECIMIENTOS DE SALUD II.1, ESTABLECIMIENTOS DE SALUD II.2 DISTRITO DE PUNO, PROVINCIA PUNO, DEPARTAMENTO PUNO</t>
  </si>
  <si>
    <t>2539948: MEJORAMIENTO DEL SERVICIO DE TRANSITABILIDAD VIAL INTERURBANA EN EL CAMINO VECINAL R2106057 - TRAMO DESVIO CHUQUIAGUILLO, CUYURAYA, CHICASCO, ISAÑCUYO, SINTICUYO Y HUANCARANI DEL DISTRITO DE VILQUE CHICO DE LA PROVINCIA DE HUANCANE DEL DEPARTAMENTO DE PUNO</t>
  </si>
  <si>
    <t>2658003: MEJORAMIENTO DEL SERVICIO DE ATENCION DE SALUD BASICOS EN ACCASO DISTRITO DE PILCUYO DE LA PROVINCIA DE EL COLLAO DEL DEPARTAMENTO DE PUNO</t>
  </si>
  <si>
    <t>2649790: MEJORAMIENTO DEL SERVICIO DE ATENCION DE SALUD BASICOS EN CHEJANI DISTRITO DE PHARA DE LA PROVINCIA DE SANDIA DEL DEPARTAMENTO DE PUNO</t>
  </si>
  <si>
    <t>2699927: CONSTRUCCION DE INSTALACIONES EXTERIORES DE SERVICIOS BASICOS Y CASA DE FUERZA; EN EL(LA) HOSPITAL SANDIA EN EL CENTRO POBLADO SANDIA, DISTRITO DE SANDIA, PROVINCIA SANDIA, DEPARTAMENTO PUNO</t>
  </si>
  <si>
    <t>220</t>
  </si>
  <si>
    <t>26</t>
  </si>
  <si>
    <t>222</t>
  </si>
  <si>
    <t>59</t>
  </si>
  <si>
    <t>60</t>
  </si>
  <si>
    <t>61</t>
  </si>
  <si>
    <t>254</t>
  </si>
  <si>
    <t>255</t>
  </si>
  <si>
    <t>2652118: MEJORAMIENTO DEL SERVICIO DE EDUCACION PRIMARIA EN I.E. 70726 DISTRITO DE PUNO DE LA PROVINCIA DE PUNO DEL DEPARTAMENTO DE PUNO</t>
  </si>
  <si>
    <t>2652120: MEJORAMIENTO DEL SERVICIO DE EDUCACION PRIMARIA EN I.E. 70682 DISTRITO DE PUNO DE LA PROVINCIA DE PUNO DEL DEPARTAMENTO DE PUNO</t>
  </si>
  <si>
    <t>2655774: MEJORAMIENTO DEL SERVICIO DE EDUCACION SECUNDARIA EN I.E. SOLLOCOTA DE CENTRO POBLADO VIRGEN DEL ROSARIO SOLLOCOTA DISTRITO DE SAN JOSE DE LA PROVINCIA DE AZANGARO DEL DEPARTAMENTO DE PUNO</t>
  </si>
  <si>
    <t>2664647: MEJORAMIENTO DEL SERVICIO DE EDUCACION SECUNDARIA EN I.E. JOSE CARLOS MARIATEGUI DISTRITO DE SAN JUAN DE SALINAS DE LA PROVINCIA DE AZANGARO DEL DEPARTAMENTO DE PUNO</t>
  </si>
  <si>
    <t>2673628: MEJORAMIENTO DEL SERVICIO DE EDUCACION PRIMARIA EN I.E. 72289 DE CENTRO POBLADO HUARISANI DISTRITO DE HUANCANE DE LA PROVINCIA DE HUANCANE DEL DEPARTAMENTO DE PUNO</t>
  </si>
  <si>
    <t>2653926: MEJORAMIENTO DEL SERVICIO DE TRANSITABILIDAD VIAL INTERURBANA EN LA CARRETERA PU 672 (EMP PE 3S-PTE. SANTA ROSA) - QUISHUARA - SANTA CRUZ- PU 673 (SANTA CRUZ-EMP. PU 680), PU 683 (MACARI, - LLALLI) DE LOS DISTRITOS DE MACARI, CUPI DE LA PROVINCIA DE MELGAR DEL DEPARTAMENTO DE PUNO</t>
  </si>
  <si>
    <t>2654549: MEJORAMIENTO DEL SERVICIO DE TRANSITABILIDAD VIAL INTERURBANA EN LA CARRETERA PU-1376 (EMP PE-38 - CUIPACUIPA) - CUIPACUIPA - EMP PU - 132 (FRONTERA CON TACNA) DEL DISTRITO DE SANTA ROSA DE LA PROVINCIA DE EL COLLAO DEL DEPARTAMENTO DE PUNO</t>
  </si>
  <si>
    <t>2656878: MEJORAMIENTO DEL SERVICIO DE TRANSITABILIDAD VIAL INTERURBANA EN LA CARRETERA PU 535(COASA - TAMBILLO), - PU 534 (EMP PU 100 -TAYACUCHO - TAMBILLO) DE LOS DISTRITOS DE COASA, ITUATA DE LA PROVINCIA DE CARABAYA DEL DEPARTAMENTO DE PUNO</t>
  </si>
  <si>
    <t>2657953: MEJORAMIENTO DEL SERVICIO DE TRANSITABILIDAD VIAL INTERURBANA EN LA CARRETERA PU 1247 - PU 1244 (CHIJICHAYA - MULLA ANCARANI) - PU 1246 (MULLA ANCARANI - EMP. PU - 1250) - PU 1250 (CANGALLI - WENCASI), - PU 1251 (WENCASI - CONDURIRI) - PU 1260 (CONDURIRI - EMP. PE - 36 A) DE LOS DISTRITOS DE ILAVE, CONDURIRI DE LA PROVINCIA DE EL COLLAO DEL DEPARTAMENTO DE PUNO</t>
  </si>
  <si>
    <t>2666182: MEJORAMIENTO DEL SERVICIO DE TRANSITABILIDAD VIAL INTERURBANA EN LA PU 1221 (EMP PU-1220 - EMP PU 1237) - PU 1237 (EMP PU-1221 - SAN CARLOS - EMP PU 1234) - PU 1234 (EMP 1237 - A LACACHI) -ANOKARIRI-PU 1240 -CARUMAS-AG. CALIENTES - PU 1099 (A.C. - JILATAMARCA) DEL DISTRITO DE ACORA DE LA PROVINCIA DE PUNO DEL DEPARTAMENTO DE PUNO</t>
  </si>
  <si>
    <t>2649800: MEJORAMIENTO DEL SERVICIO DE EDUCACION INICIAL EN I.E. 1337 VISTA ALEGRE DISTRITO DE JULIACA DE LA PROVINCIA DE SAN ROMAN DEL DEPARTAMENTO DE PUNO</t>
  </si>
  <si>
    <t>2649803: MEJORAMIENTO DEL SERVICIO DE EDUCACION INICIAL EN I.E. 72 DISTRITO DE PEDRO VILCA APAZA DE LA PROVINCIA DE SAN ANTONIO DE PUTINA DEL DEPARTAMENTO DE PUNO</t>
  </si>
  <si>
    <t>2649853: MEJORAMIENTO DEL SERVICIO DE EDUCACION INICIAL EN I.E. 1240 NIÑO JESUS DISTRITO DE VILQUE DE LA PROVINCIA DE PUNO DEL DEPARTAMENTO DE PUNO</t>
  </si>
  <si>
    <t>2649857: MEJORAMIENTO DEL SERVICIO DE EDUCACION INICIAL EN I.E. SAN JERONIMO DISTRITO DE ATUNCOLLA DE LA PROVINCIA DE PUNO DEL DEPARTAMENTO DE PUNO</t>
  </si>
  <si>
    <t>2652121: MEJORAMIENTO DEL SERVICIO DE EDUCACION INICIAL EN I.E. 1205 DISTRITO DE PUNO DE LA PROVINCIA DE PUNO DEL DEPARTAMENTO DE PUNO</t>
  </si>
  <si>
    <t>2649779: MEJORAMIENTO DEL SERVICIO DE ATENCION DE SALUD BASICOS EN HUAYCHO DISTRITO DE NUÑOA DE LA PROVINCIA DE MELGAR DEL DEPARTAMENTO DE PUNO</t>
  </si>
  <si>
    <t>2649782: MEJORAMIENTO DEL SERVICIO DE ATENCION DE SALUD BASICOS EN CAYARANI DISTRITO DE ORURILLO DE LA PROVINCIA DE MELGAR DEL DEPARTAMENTO DE PUNO</t>
  </si>
  <si>
    <t>2649793: MEJORAMIENTO DEL SERVICIO DE ATENCION DE SALUD BASICOS EN NINANTAYA DISTRITO DE MOHO DE LA PROVINCIA DE MOHO DEL DEPARTAMENTO DE PUNO</t>
  </si>
  <si>
    <t>2649794: MEJORAMIENTO DEL SERVICIO DE ATENCION DE SALUD BASICOS EN SACUYO RIO GRANDE DISTRITO DE ACORA DE LA PROVINCIA DE PUNO DEL DEPARTAMENTO DE PUNO</t>
  </si>
  <si>
    <t>2154443: MEJORAMIENTO DEL ESTADO NUTRICIONAL DEL NIÑO MENOR DE TRES AÑOS Y LA MADRE GESTANTE EN LAS PROVINCIAS DE AZANGARO, LAMPA Y SAN ROMAN DE LA REGION PUNO</t>
  </si>
  <si>
    <t>2159149: MEJORAMIENTO DE LAS CAPACIDADES PARA PREVENIR LA DESNUTRICION CRONICA, EN MENORES DE 3 AÑOS EN LAS PROVINCIAS DE CARABAYA, MELGAR Y SANDIA DE LA REGION PUNO</t>
  </si>
  <si>
    <t>315</t>
  </si>
  <si>
    <t>2659574: MEJORAMIENTO DEL SERVICIO DE EDUCACION SECUNDARIA EN I.E. JOSE ABELARDO QUIÑONES GONZALES DISTRITO DE MOHO DE LA PROVINCIA DE MOHO DEL DEPARTAMENTO DE PUNO</t>
  </si>
  <si>
    <t>2539948.MEJORAMIENTO DEL SERVICIO DE TRANSITABILIDAD VIAL INTERURBANA EN EL CAMINO VECINAL R2106057 - TRAMO DESVIO CHUQUIAGUILLO, CUYURAYA, CHICASCO, ISAÑCUYO, SINTICUYO Y HUANCARANI DEL DISTRITO DE VILQUE CHICO DE LA PROVINCIA DE HUANCANE DEL DEPARTAMENT</t>
  </si>
  <si>
    <t xml:space="preserve">2653926.MEJORAMIENTO DEL SERVICIO DE TRANSITABILIDAD VIAL INTERURBANA EN LA CARRETERA PU 672 (EMP PE 3S-PTE. SANTA ROSA) - QUISHUARA - SANTA CRUZ- PU 673 (SANTA CRUZ-EMP. PU 680), PU 683 (MACARI, - LLALLI) DE LOS DISTRITOS DE MACARI, CUPI DE LA PROVINCIA </t>
  </si>
  <si>
    <t>2654549.MEJORAMIENTO DEL SERVICIO DE TRANSITABILIDAD VIAL INTERURBANA EN LA CARRETERA PU-1376 (EMP PE-38 - CUIPACUIPA) - CUIPACUIPA - EMP PU - 132 (FRONTERA CON TACNA) DEL DISTRITO DE SANTA ROSA DE LA PROVINCIA DE EL COLLAO DEL DEPARTAMENTO DE PUNO</t>
  </si>
  <si>
    <t>2656878.MEJORAMIENTO DEL SERVICIO DE TRANSITABILIDAD VIAL INTERURBANA EN LA CARRETERA PU 535(COASA - TAMBILLO), - PU 534 (EMP PU 100 -TAYACUCHO - TAMBILLO) DE LOS DISTRITOS DE COASA, ITUATA DE LA PROVINCIA DE CARABAYA DEL DEPARTAMENTO DE PUNO</t>
  </si>
  <si>
    <t>2657953.MEJORAMIENTO DEL SERVICIO DE TRANSITABILIDAD VIAL INTERURBANA EN LA CARRETERA PU 1247 - PU 1244 (CHIJICHAYA - MULLA ANCARANI) - PU 1246 (MULLA ANCARANI - EMP. PU - 1250) - PU 1250 (CANGALLI - WENCASI), - PU 1251 (WENCASI - CONDURIRI) - PU 1260 (CO</t>
  </si>
  <si>
    <t>2649853.MEJORAMIENTO DEL SERVICIO DE EDUCACION INICIAL EN I.E. 1240 NIÑO JESUS DISTRITO DE VILQUE DE LA PROVINCIA DE PUNO DEL DEPARTAMENTO DE PUNO</t>
  </si>
  <si>
    <t>2666182.MEJORAMIENTO DEL SERVICIO DE TRANSITABILIDAD VIAL INTERURBANA EN LA PU 1221 (EMP PU-1220 - EMP PU 1237) - PU 1237 (EMP PU-1221 - SAN CARLOS - EMP PU 1234) - PU 1234 (EMP 1237 - A LACACHI) -ANOKARIRI-PU 1240 -CARUMAS-AG. CALIENTES - PU 1099 (A.C. -</t>
  </si>
  <si>
    <t>2649779.MEJORAMIENTO DEL SERVICIO DE ATENCION DE SALUD BASICOS EN HUAYCHO DISTRITO DE NUÑOA DE LA PROVINCIA DE MELGAR DEL DEPARTAMENTO DE PUNO</t>
  </si>
  <si>
    <t>2649782.MEJORAMIENTO DEL SERVICIO DE ATENCION DE SALUD BASICOS EN CAYARANI DISTRITO DE ORURILLO DE LA PROVINCIA DE MELGAR DEL DEPARTAMENTO DE PUNO</t>
  </si>
  <si>
    <t>2649790.MEJORAMIENTO DEL SERVICIO DE ATENCION DE SALUD BASICOS EN CHEJANI DISTRITO DE PHARA DE LA PROVINCIA DE SANDIA DEL DEPARTAMENTO DE PUNO</t>
  </si>
  <si>
    <t>2649793.MEJORAMIENTO DEL SERVICIO DE ATENCION DE SALUD BASICOS EN NINANTAYA DISTRITO DE MOHO DE LA PROVINCIA DE MOHO DEL DEPARTAMENTO DE PUNO</t>
  </si>
  <si>
    <t>2649794.MEJORAMIENTO DEL SERVICIO DE ATENCION DE SALUD BASICOS EN SACUYO RIO GRANDE DISTRITO DE ACORA DE LA PROVINCIA DE PUNO DEL DEPARTAMENTO DE PUNO</t>
  </si>
  <si>
    <t>2658003.MEJORAMIENTO DEL SERVICIO DE ATENCION DE SALUD BASICOS EN ACCASO DISTRITO DE PILCUYO DE LA PROVINCIA DE EL COLLAO DEL DEPARTAMENTO DE PUNO</t>
  </si>
  <si>
    <t>2662519.MEJORAMIENTO DEL SERVICIO DE ATENCION DE SALUD BASICOS EN C.S. CLAS PUSI DISTRITO DE PUSI DE LA PROVINCIA DE HUANCANE DEL DEPARTAMENTO DE PUNO</t>
  </si>
  <si>
    <t>2649800.MEJORAMIENTO DEL SERVICIO DE EDUCACION INICIAL EN I.E. 1337 VISTA ALEGRE DISTRITO DE JULIACA DE LA PROVINCIA DE SAN ROMAN DEL DEPARTAMENTO DE PUNO</t>
  </si>
  <si>
    <t>2649803.MEJORAMIENTO DEL SERVICIO DE EDUCACION INICIAL EN I.E. 72 DISTRITO DE PEDRO VILCA APAZA DE LA PROVINCIA DE SAN ANTONIO DE PUTINA DEL DEPARTAMENTO DE PUNO</t>
  </si>
  <si>
    <t>2649857.MEJORAMIENTO DEL SERVICIO DE EDUCACION INICIAL EN I.E. SAN JERONIMO DISTRITO DE ATUNCOLLA DE LA PROVINCIA DE PUNO DEL DEPARTAMENTO DE PUNO</t>
  </si>
  <si>
    <t>2652118.MEJORAMIENTO DEL SERVICIO DE EDUCACION PRIMARIA EN I.E. 70726 DISTRITO DE PUNO DE LA PROVINCIA DE PUNO DEL DEPARTAMENTO DE PUNO</t>
  </si>
  <si>
    <t>2652120.MEJORAMIENTO DEL SERVICIO DE EDUCACION PRIMARIA EN I.E. 70682 DISTRITO DE PUNO DE LA PROVINCIA DE PUNO DEL DEPARTAMENTO DE PUNO</t>
  </si>
  <si>
    <t>2652121.MEJORAMIENTO DEL SERVICIO DE EDUCACION INICIAL EN I.E. 1205 DISTRITO DE PUNO DE LA PROVINCIA DE PUNO DEL DEPARTAMENTO DE PUNO</t>
  </si>
  <si>
    <t>2655774.MEJORAMIENTO DEL SERVICIO DE EDUCACION SECUNDARIA EN I.E. SOLLOCOTA DE CENTRO POBLADO VIRGEN DEL ROSARIO SOLLOCOTA DISTRITO DE SAN JOSE DE LA PROVINCIA DE AZANGARO DEL DEPARTAMENTO DE PUNO</t>
  </si>
  <si>
    <t>2659574.MEJORAMIENTO DEL SERVICIO DE EDUCACION SECUNDARIA EN I.E. JOSE ABELARDO QUIÑONES GONZALES DISTRITO DE MOHO DE LA PROVINCIA DE MOHO DEL DEPARTAMENTO DE PUNO</t>
  </si>
  <si>
    <t>2664647.MEJORAMIENTO DEL SERVICIO DE EDUCACION SECUNDARIA EN I.E. JOSE CARLOS MARIATEGUI DISTRITO DE SAN JUAN DE SALINAS DE LA PROVINCIA DE AZANGARO DEL DEPARTAMENTO DE PUNO</t>
  </si>
  <si>
    <t>2673628.MEJORAMIENTO DEL SERVICIO DE EDUCACION PRIMARIA EN I.E. 72289 DE CENTRO POBLADO HUARISANI DISTRITO DE HUANCANE DE LA PROVINCIA DE HUANCANE DEL DEPARTAMENTO DE PUNO</t>
  </si>
  <si>
    <t>2681028.MEJORAMIENTO DEL SERVICIO DE EDUCACION SECUNDARIA EN I.E. JOSE CARLOS MARIATEGUI DISTRITO DE ILAVE DE LA PROVINCIA DE EL COLLAO DEL DEPARTAMENTO DE PUNO</t>
  </si>
  <si>
    <t>2681092.MEJORAMIENTO DEL SERVICIO DE TRANSITABILIDAD VIAL INTERURBANA EN LA CARRETERA EMP. PU 115: VIZCACHANI, - TOQUEPANI - LLOCOLLOCO - EMP. PU 115: INCHUPALLA DISTRITOS DE HUATASANI, INCHUPALLA DE LA PROVINCIA DE HUANCANE DEL DEPARTAMENTO DE PUNO</t>
  </si>
  <si>
    <t>2186641.MEJORAMIENTO DEL SERVICIO DEPORTIVO, CULTURAL Y RECREACIONAL EN LA CAPITAL DE LA REGION PUNO</t>
  </si>
  <si>
    <t>2717147.MEJORAMIENTO DE LOS SERVICIOS TURISTICOS DE AVENTURA Y ALOJAMIENTO RURAL EN LA ASOCIACION DE TURISMO VIVENCIAL COMUNITARIO LUQUINA CHICO, DISTRITO CHUCUITO, PROVINCIA PUNO, REGION PUNO.</t>
  </si>
  <si>
    <t>2717148.MEJORAMIENTO DE LA PRODUCCION DE LECHE FRESCA EN LA ASOCIACION DE PRODUCTORES AGROPECUARIOS FORUNTANI SAMAN, DISTRITO DE SAMAN, PROVINCIA DE AZANGARO Y REGION DE PUNO</t>
  </si>
  <si>
    <t>2717149.MEJORAMIENTO EN LA PRODUCCION DE HILOS ARTESANALES DE LA ASOCIACION DE PRODUCTORES DE CAMELIDOS SUDAMERICANOS, ARTESANAL Y AGRICOLA TIKARIY PAMPA DEL DIST,  DISTRITO MACUSANI, PROVINCIA CARABAYA, REGION PUNO</t>
  </si>
  <si>
    <t>2717150.MEJORAMIENTO DEL PROCESO PRODUCTIVO Y EL VALOR CULTURAL DE LAS CERAMICAS DE LA ASOCIACION DE ARTESANOS PRODUCTORES MUSUQ PAQARIY PUKARA, DEL DISTRITO DE PUCARA, PROVINCIA DE LAMPA, DEPARTAMENTO DE PUNO</t>
  </si>
  <si>
    <t>2717151.MEJORAMIENTO DE LA PRODUCCION DE LECHE FRESCA EN LA ASOCIACION DE PRODUCTORES AGROPECUARIOS SUMAC KANCHAY DE LA LIBERTAD NUNOA MELGAR PUNO, DISTRITO DE NUNOA, PROVINCIA DE MELGAR Y REGION PUNO</t>
  </si>
  <si>
    <t>2717152.MEJORAMIENTO DE LA PRODUCCION DE LECHE EN LA ASOCIACION DE PRODUCTORES AGROPECUARIOS LUZ Y VIDA DE LA COMUNIDAD DE NAUPAPAMPA DE DISTRITO DE ASILLO, PROVINCIA DE AZANGARO, REGION PUNO.</t>
  </si>
  <si>
    <t>2717153.MEJORAMIENTO Y AMPLIACION DE LA PRODUCCION Y COMERCIALIZACION DE CAFE TOSTADO MOLIDO Y FILTRANTE DE LA COOPERATIVA AGRARIA CAFETALERA SAN JORGE LTDA., DISTRITO DE SAN PEDRO DE PUTINA PUNCO, PROVINCIA DE SANDIA, REGION DE PUNO</t>
  </si>
  <si>
    <t>2717154.MEJORAMIENTO DE LA CAPACIDAD PRODUCTIVA  DE QUESO PARIA PASTEURIZADO EN LA ASOCIACION DE PRODUCTORES AGROPECUARIOS  VIRGEN DEL CARMEN BALSAPATA, DISTRITO ORURILLO, PROVINCIA MELGAR, REGION PUNO</t>
  </si>
  <si>
    <t>2717155.MEJORAMIENTO DE LA PRODUCCION DE LECHE FRESCA EN LA ASOCIACION DE PRODUCTORES AGROPECUARIOS Y AGROINDUSTRIALES SAN JUAN DE LA PROVINCIA DE MELGAR PUNO DE DISTRITO DE ORURILLO, PROVINCIA DE MELGAR, REGION PUNO.</t>
  </si>
  <si>
    <t>2717156.MEJORAMIENTO DE LA PRODUCCION Y LA COMERCIALIZACION DE LECHE FRESCA EN LA ORGANIZACION DE PRODUCTORES SAN JUAN DE FAON DEL DISTRITO DE HUATA, PROVINCIA DE PUNO, DEPARTAMENTO DE PUNO.</t>
  </si>
  <si>
    <t>2717157.MEJORAMIENTO DE LA PRODUCCION Y ENGORDE DE GANADO VACUNO  A  TRAVES DE LA OPTIMIZACION DE LA ALIMENTACION EN LA ASOCIACION DE PRODUCTORES AGROPECUARIOS EL TORITO BRAVO DEL DISTRITO DE QUILCAPUNCO, PROVINCIA DE SAN ANTONIO DE PUTINA, REGION PUNO.</t>
  </si>
  <si>
    <t>2717158.MEJORAMIENTO DE LA PRODUCCION DE PACAS EN LA ASOCIACION DE PRODUCTORES AGROPECUARIOS Y FORESTALES SAN PEDRO DE FRAYLIMA, DISTRITO DE AZANGARO, PROVINCIA AZANGARO Y DEPARTAMENTO DE PUNO</t>
  </si>
  <si>
    <t>2717159.MEJORAMIENTO DEL PROCESO DE PRODUCCION DE QUESO PARIA DE LA ASOCIACION DE PRODUCTORES AGROPECUARIOS DE DERIVADOS LACTEOS VILLA ORURILLO EN EL DISTRITO DE ORURILLO, PROVINCIA DE MELGAR, REGION DE PUNO.</t>
  </si>
  <si>
    <t>2717160.MEJORAMIENTO DEL SISTEMA PRODUCTIVO DEL CULTIVO DE QUINUA EN LA ASOCIACION AGROPECUARIA ECOLOGICA SURPERU, DISTRITO DE PILCUYO, PROVINCIA DE EL COLLAO REGION PUNO</t>
  </si>
  <si>
    <t>2717161.MEJORAMIENTO DE LA CAPACIDAD DE TRANSFORMACION DE CHIPS DE PAPA NATIVA, EN LA AEO ASOCIACION DE PRODUCTORES MULTIPLES SAN ISIDRO DE TANTAMACO DEL DISTRITO DE MACUSANI, PROVINCIA DE CARABAYA, REGION DE PUNO</t>
  </si>
  <si>
    <t>2717162.MEJORAMIENTO DE PRODUCCION DE LECHE FRESCA EN LA ASOCIACION DE PRODUCTORES VILLA PALCA, DISTRITO DE PAUCARCOLLA, PROVINCIA DE PUNO Y DEPARTAMENTO DE PUNO</t>
  </si>
  <si>
    <t>2717164.MEJORAMIENTO DE LA CAPACIDAD PRODUCTIVA Y DE COMERCIALIZACION DE MIEL MEDIANTE EL FORTALECIMIENTO DE PROCESOS PRODUCTIVOS APICOLAS EN LA ASOCIACION DE PRODUCTORES AGROPECUARIOS MONTE SILOE KOLLA MISKI DISTRITO PLATERIA, PROVINCIA DE PUNO, REGION P</t>
  </si>
  <si>
    <t>2717165.AMPLIACION DE LA CAPACIDAD PRODUCTIVA DE QUESO PARIA EN LA ASOCIACION DE EMPRENDEDORES RURALES CORIFLOR COMUNIDAD LICAS ACHAYA, EN EL DISTRITO DE ACHAYA, PROVINCIA DE AZANGARO, REGION PUNO</t>
  </si>
  <si>
    <t>2717166.MEJORAMIENTO DE LA PRODUCCION Y COMERCIALIZACION DE LECHE FRESCA CON INNOVACION TECNOLOGIA EN LA ASOCIACION DE PRODUCTORES AGROPECUARIOS Y CRIADORES DE OVINO BELLON DE ORO DEL DISTRITO DE AZANGARO, PROVINCIA DE AZANGARO, REGION PUNO</t>
  </si>
  <si>
    <t>2717167.MEJORAMIENTO DEL CULTIVO DE HABAS EN LA ASOCIACION DE PRODUCTORES AGROPECUARIOS VALLECITO SECTOR CCORCORI, DEL DISTRITO DE COPANI, PROVINCIA DE YUNGUYO, REGION PUNO</t>
  </si>
  <si>
    <t>2717168.MEJORAMIENTO DEL PROCESO DE PRODUCCION DE LECHE FRESCA DE LA ASOCIACION DE PRODUCTORES AGROPECUARIOS CORANI  CUPI APAC DEL DISTRITO DE CUPI, PROVINCIA DE MELGAR, REGION DE PUNO</t>
  </si>
  <si>
    <t>2717169.CREACION DE UNA PLANTA PROCESADORA DE QUINUA EN LA AEO ASOCIACION DE PRODUCTORES AGROPECUARIOS ROQUE APAZA PAMPA DEL DISTRITO DE PAUCARCOLLA, PROVINCIA DE PUNO, DEPARTAMENTO DE PUNO</t>
  </si>
  <si>
    <t>2717170.MEJORAMIENTO DE LA PRODUCCION DE LECHE EN LA ASOCIACION DE PRODUCTORES AGROPECUARIOS Y ARTESANIA TOTORUMA PAMPA  LLAQUEPA, DEL DISTRITO DE POMATA, PROVINCIA DE CHUCUITO, DEPARTAMENTO DE PUNO.</t>
  </si>
  <si>
    <t>2717171.MEJORAMIENTO DE LA PRODUCCION DE LECHE DE LA ASOCIACION DE PRODUCTORES AGROPECUARIOS SANTA ANA HUAYTA, DEL DISTRITO DE LAMPA, PROVINCIA DE LAMPA, DEPARTAMENTO DE PUNO</t>
  </si>
  <si>
    <t>2717172.MEJORAMIENTO DEL PROCESO DE PRODUCCION DE QUESO EN LA ASOCIACION DE PEQUENOS PRODUCTORES AGROPECUARIOS DE DERIVADOS LACTEOS SAN JOSE TATASQA, DISTRITO DE LAMPA, PROVINCIA DE LAMPA Y DEPARTAMENTO DE PUNO</t>
  </si>
  <si>
    <t>2717173.MEJORAMIENTO DE LA PRODUCCION DE DERIVADOS DE QUINUA EN HARINA EXTRUIDA Y POP EXTRUIDO DE LA EMPRESA CORPORACION DALSAR SOCIEDAD ANONIMA CERRADA DEL DISTRITO DE PUNO, PROVINCIA PUNO, DEPARTAMENTO PUNO.</t>
  </si>
  <si>
    <t>2717174.MEJORAMIENTO DEL ENGORDE DE GANADO VACUNO EN EL AEO ASOCIACION CAMPO VERDE TOTORALES ENGORDE AGRO Y AGROPECUARIO, DISTRITO DE ILAVE, PROVINCIA EL COLLAO, REGION PUNO</t>
  </si>
  <si>
    <t>2717175.MEJORAMIENTO DE LOS SERVICIOS DE ALOJAMIENTO TURISTICO Y DEL TURISMO VIVENCIAL DE OBSERVACION ASTRONOMICA EN LA ASOCIACION DE TURISMO COMUNITARIO TIKA WASI LLACHON, DISTRITO DE CAPACHICA, PROVINCIA DE PUNO Y DEPARTAMENTO DE PUNO.</t>
  </si>
  <si>
    <t>2717176.AMPLIACION DE LA CAPACIDAD PRODUCTIVA DE QUESOS PARIA DE LA ASOCIACION DE PRODUCTORES AGROPECUARIOS NUEVO AMANECER ALAYTIRA VILLA ORURILO, DISTRITO DE ORURILLO, PROVINCIA DE MELGAR, REGION PUNO.</t>
  </si>
  <si>
    <t>2717177.MEJORAMIENTO TECNOLOGICO DE LA PRODUCCION Y COMPETITIVIDAD EN EL ENGORDE DE VACUNOS DE CARNE DE LA ASOCIACION DE PRODUCTORES AGROPECUARIOS Y OTROS GENERACION ACTIVA DE LA COMUNIDAD DE CHALLACOLLO, DISTRITO HUACULLANI, PROVINCIA CHUCUITO,REGION PUN</t>
  </si>
  <si>
    <t>2717178.MEJORAMIENTO DEL CULTIVO DE HABAS EN CORPORACION PECUARIO AGRICOLA EMMANUEL S.A.C., DISTRITO DE ZEPITA, PROVINCIA DE CHUCUITO Y DEPARTAMENTO DE PUNO</t>
  </si>
  <si>
    <t>2717179.MEJORAMIENTO DE LA PRODUCCION Y CALIDAD DE LECHE FRESCA EN LA ASOCIACION DE PRODUCTORES DE LECHE MOYANDINA, AYAVIRI, PUNO 2 DEL DISTRITO DE AYAVIRI, MELGAR, PUNO</t>
  </si>
  <si>
    <t>2717180.MEJORAMIENTO DE LA PRODUCCION DE LECHE EN LA ASOCIACION DE PRODUCTORES AGROPECUARIOS E INDUSTRIALES ARACACHI JAHUERJALAC KELLUYO, DISTRITO DE KELLUYO, PROVINCIA DE CHUCUITO, REGION PUNO</t>
  </si>
  <si>
    <t>2717184.MEJORAMIENTO DE LA PRODUCCION Y PRODUCTIVIDAD DE LA QUINUA EN LA ASOCIACION DE PRODUCTORES AGROPECUARIOS LA ESTANCIA SUMA MARKA, DISTRITO DE ACORA, PROVINCIA PUNO, REGION PUNO</t>
  </si>
  <si>
    <t>2717185.MEJORAMIENTO DE VALOR AGREGADO DE LA TRUCHA EN AQUA INDUSTRIAS EL FARO SOCIEDAD COMERCIAL DE RESPONSABILIDAD LIMITADA, DISTRITO DE POMATA, PROVINCIA DE CHUCUITO Y DEPARTAMENTO DE PUNO</t>
  </si>
  <si>
    <t>2717186.MEJORAMIENTO DE LA PLANTA DE TRANSFORMACION DE GRANOS ANDINOS DEL GRUPO TURISTICO GASTRONOMICO SAMKA S.A.C., DISTRITO PUNO, PROVINCIA PUNO, REGION PUNO.</t>
  </si>
  <si>
    <t>2717187.MEJORAMIENTO DE LA PRODUCCION DE VACUNOS DE ENGORDE MEDIANTE TECNOLOGIAS SOSTENIBLES EN LA ASOCIACION DE EMPRENDEDORES AGROPECUARIOS TIERRA SANTA ROSASPATA DEL DISTRITO DE ROSASPATA, PROVINCIA DE HUANCANE, REGION PUNO</t>
  </si>
  <si>
    <t>2717188.MEJORAMIENTO DE LA COMPETITIVIDAD DE LA PRODUCCION DE LECHE FRESCA EN LA COOPERATIVA AGROINDUSTRIAL SAGRADO CORAZON DE JESUS DE CCOTA  DISTRITO DE PLATERIA PROVINCIA DE PUNO  DEPARTAMENTO DE  PUNO</t>
  </si>
  <si>
    <t>2717189.MEJORAMIENTO DE LA PRODUCCION DE YOGURT EN EL AEO AGROINDUSTRIA YOGULE S.A.C., DISTRITO DE CABANA, PROVINCIA SAN ROMAN, REGION PUNO</t>
  </si>
  <si>
    <t>2717190.MEJORAMIENTO DE LA PRODUCCION DE QUESO TIPO PARIA EN LA ASOCIACION DE PRODUCTORES DE LECHE Y DERIVADOS LACTEOS RIDANI LLINQUICHUPA , DISTRITO DE LAMPA, PROVINCIA DE LAMPA Y DEPARTAMENTO DE PUNO</t>
  </si>
  <si>
    <t>2717192.MEJORAMIENTO DE LA PRODUCCION Y PROCESAMIENTO DE CULTIVOS FORRAJEROS EN LA ASOCIACION DE PRODUCTORES AGROPECUARIOS ALIANZA RENOVADO CALLANCA, DISTRITO DE PLATERIA, PROVINCIA DE PUNO, DEPARTAMENTO DE PUNO</t>
  </si>
  <si>
    <t>2717193.AMPLIACION DE LA CAPACIDAD PRODUCCION DE QUESO PARIA  EN GRUPO NEBRASKA S.A.C. EN DISTRITO DE JULIACA PROVINCIA DE SAN ROMAN REGION PUNO</t>
  </si>
  <si>
    <t>2717194.MEJORAMIENTO DEL CENTRO DE ENGORDE Y COMERCIALIZACION DE GANADO VACUNO EN LA ASOCIACION DE PRODUCTORES GANADERIA LA CANTUTA, DISTRITO DE VILQUE, PROVINCIA PUNO Y REGION PUNO</t>
  </si>
  <si>
    <t>2717191.MEJORAMIENTO DE LA PRODUCTIVIDAD DE LECHE FRESCA EN LA ASOCIACION DE PRODUCTORES AGROPECUARIOS ESQUERICA DEL DISTRITO DE ROSASPATA, PROVINCIA DE HUANCANE, REGION PUNO</t>
  </si>
  <si>
    <t>434</t>
  </si>
  <si>
    <t>2196822: INSTALACION DEL SERVICIO DE EDUCACION INICIAL DE LA I.E.I. NRO. 94 DEL CENTRO POBLADO DE UMUCHI, DISTRITO DE MOHO, PROVINCIA DE MOHO, DEPARTAMENTO DE PUNO.</t>
  </si>
  <si>
    <t>2707256.ADQUISICION DE SISTEMA DE VIDEO GASTROENDOSCOPIA, GRUPO ELECTROGENO, EQUIPO ECOGRAFO - ULTRASONIDO Y LAVADORA SECADORA AUTOMATICA; ADEMAS DE OTROS ACTIVOS EN EL(LA) CARLOS MONJE MEDRANO DISTRITO DE JULIACA, PROVINCIA SAN ROMAN, DEPARTAMENTO PUNO</t>
  </si>
  <si>
    <t>233</t>
  </si>
  <si>
    <t>282</t>
  </si>
  <si>
    <t>2711034.ADQUISICION DE ESTERILIZADOR; EN SIETE ESTABLECIMIENTOS DE SALUD II.1, ESTABLECIMIENTOS DE SALUD II.2 DISTRITO DE PUNO, PROVINCIA PUNO, DEPARTAMENTO PUNO</t>
  </si>
  <si>
    <t>2710291.MEJORAMIENTO DEL SERVICIO DE TRANSITABILIDAD VIAL INTERURBANA EN LA CARRETERA SAMAN (EMP. PU 804) - JUCCHILLY (DV. CHUCARIPO),PESQUERIA (EMP. PU - 113), CHUCARIPO-TITIHUE (EMP. PU 154), DV. QUEJON MOCCO (EMP. PU - 804) - QUEJON MOCCO -HOCUATA DE L</t>
  </si>
  <si>
    <t>2682870.MEJORAMIENTO DEL SERVICIO DE TRANSITABILIDAD VIAL INTERURBANA EN LA CARRETERA EMP. PE 34L (PUENTE ANTAJARANI) - C.P. MACHACAMARCA YAPUTIRA, - C.P. HALLA - ALTOGRANDE - EMP. PU-148 (C.C. UMABAMBA) DISTRITOS DE VILQUE CHICO, COJATA DE LA PROVINCIA D</t>
  </si>
  <si>
    <t>2624292.MEJORAMIENTO DE LOS SERVICIOS EDUCACION SUPERIOR PEDAGOGICA EN EL INSTITUTO DE EDUCACION SUPERIOR PEDAGOGICO PUBLICO DE AYAVIRI DEL DISTRITO DE AYAVIRI DE LA PROVINCIA DE MELGAR DEL DEPARTAMENTO DE PUNO</t>
  </si>
  <si>
    <t>2690009.CONSTRUCCION DE LOSA DEPORTIVA; ADQUISICION DE EQUIPAMIENTO DE AULA DE INNOVACION PEDAGOGICA Y MOBILIARIO DE AULA DE INNOVACION PEDAGOGICA; EN EL(LA) I.E. 70064 SAN MARTIN DE PORRES DISTRITO DE PUNO, PROVINCIA PUNO, DEPARTAMENTO PUNO</t>
  </si>
  <si>
    <t>2663002.MEJORAMIENTO DEL SERVICIO DE EDUCACION SECUNDARIA EN I.E. HUAPACA SAN MIGUEL DE CENTRO POBLADO HUAPACA SAN MIGUEL DISTRITO DE POMATA DE LA PROVINCIA DE CHUCUITO DEL DEPARTAMENTO DE PUNO</t>
  </si>
  <si>
    <t>2659573.MEJORAMIENTO DEL SERVICIO DE EDUCACION PRIMARIA EN I.E. 73003 DISTRITO DE HUANCANE DE LA PROVINCIA DE HUANCANE DEL DEPARTAMENTO DE PUNO</t>
  </si>
  <si>
    <t>2681042.MEJORAMIENTO DEL SERVICIO DE EDUCACION SUPERIOR TECNOLOGICA EN EL INSTITUTO SUPERIOR TECNOLOGICO PUBLICA MAÑAZO DEL DISTRITO DE MAÑAZO DE LA PROVINCIA DE PUNO DEL DEPARTAMENTO DE PUNO</t>
  </si>
  <si>
    <t>2575299.MEJORAMIENTO DEL SERVICIO DE TRANSITABILIDAD VIAL INTERURBANA EN EL TRAMO TIQUILLACA - CONDORIRI DEL DISTRITO DE TIQUILLACA DE LA PROVINCIA DE PUNO DEL DEPARTAMENTO DE PUNO</t>
  </si>
  <si>
    <t>2642160.MEJORAMIENTO DEL SERVICIO DE TRANSITABILIDAD VIAL INTERURBANA EN EN LA VIA VECINAL PU-713, L. PROV. LAMPA - QUISHUARANI - SALLAPATA - HUERTA -EMP. PU-124 (VILAVILA), DISTRITO DE VILAVILA DE LA PROVINCIA DE LAMPA DEL DEPARTAMENTO DE PUNO</t>
  </si>
  <si>
    <t>2669470.MEJORAMIENTO DEL SERVICIO DE TRANSITABILIDAD VIAL INTERURBANA EN LA CARRETERA PU-617 (SAN JOSE - SAN ANTON), PU-624 (EMP. PE-34 B: SAN ANTON - EMP. PU-622: VILLAPAMPA) -PU-622 (EMP. PU-624: VILLAPAMPA - LARIMAYO) DE LOS DISTRITOS DE SAN JOSE, ANTA</t>
  </si>
  <si>
    <t>2681096.MEJORAMIENTO DEL SERVICIO DE TRANSITABILIDAD VIAL INTERURBANA EN LA CARRETERA EMP. PE-3S (CHUA CHUA) - MOLINO - CHALLAPAMPA SANTA ROSA - EMP. PU-130 (TACAPISI), QUECCUANI - COPANI DE LOS DISTRITOS DE ZEPITA, COPANI DE LAS PROVINCIAS DE CHUCUITO, Y</t>
  </si>
  <si>
    <t>2692317.CONSTRUCCION DE PLATAFORMA Y DRENAJE TRANSVERSAL; REPARACION DE PLATAFORMA; ADQUISICION DE DISPOSITIVO DE CONTROL DE TRANSITO; EN EL(LA) CARRETERA PU-111 (EMP. JR. SULLANA - EMP. JR. LIMA) DISTRITO DE AZANGARO, PROVINCIA AZANGARO, DEPARTAMENTO PUN</t>
  </si>
  <si>
    <t>2492963.MEJORAMIENTO DE LOS SERVICIO EDUCATIVOS EN LA INSTITUCION EDUCATIVA INICIAL N° 68 DE LA LOCALIDAD DE AYAVIRI DEL DISTRITO DE AYAVIRI - PROVINCIA DE MELGAR - DEPARTAMENTO DE PUNO</t>
  </si>
  <si>
    <t>2650271.MEJORAMIENTO DEL SERVICIO DE EDUCACION INICIAL EN I.E. 335 DISTRITO DE MOHO DE LA PROVINCIA DE MOHO DEL DEPARTAMENTO DE PUNO</t>
  </si>
  <si>
    <t>2651383.MEJORAMIENTO DEL SERVICIO DE EDUCACION INICIAL EN I.E. 941 DISTRITO DE CABANILLAS DE LA PROVINCIA DE SAN ROMAN DEL DEPARTAMENTO DE PUNO</t>
  </si>
  <si>
    <t>2651636.MEJORAMIENTO DEL SERVICIO DE EDUCACION INICIAL EN I.E. ARICATO DISTRITO DE PHARA DE LA PROVINCIA DE SANDIA DEL DEPARTAMENTO DE PUNO</t>
  </si>
  <si>
    <t>2653339.MEJORAMIENTO DEL SERVICIO DE EDUCACION INICIAL EN I.E. 1137 DE CENTRO POBLADO LOS ANGELES DISTRITO DE CABANILLAS DE LA PROVINCIA DE SAN ROMAN DEL DEPARTAMENTO DE PUNO</t>
  </si>
  <si>
    <t>2699927.CONSTRUCCION DE INSTALACIONES EXTERIORES DE SERVICIOS BASICOS Y CASA DE FUERZA; EN EL(LA) HOSPITAL SANDIA EN EL CENTRO POBLADO SANDIA, DISTRITO DE SANDIA, PROVINCIA SANDIA, DEPARTAMENTO PUNO</t>
  </si>
  <si>
    <t>2654204.MEJORAMIENTO DEL SERVICIO DE TRANSITABILIDAD VIAL INTERURBANA EN LA CARRETERA PU - 1068 (CONDORIRI, - JUNCAL) DE LOS DISTRITOS DE TIQUILLACA, SAN ANTONIO DE LA PROVINCIA DE PUNO DEL DEPARTAMENTO DE PUNO</t>
  </si>
  <si>
    <t>2670402.MEJORAMIENTO DEL SERVICIO DE EDUCACION SECUNDARIA EN I.E. SAN AGUSTIN DISTRITO DE COATA DE LA PROVINCIA DE PUNO DEL DEPARTAMENTO DE PUNO</t>
  </si>
  <si>
    <t>455</t>
  </si>
  <si>
    <t>460</t>
  </si>
  <si>
    <t>2453224.MEJORAMIENTO DE LOS SERVICIOS DE EDUCACION SECUNDARIA DE LA INSTITUCION EDUCATIVA LIBERTADOR JOSE DE SAN MARTIN DE HUARISANI DEL DISTRITO DE HUANCANE - PROVINCIA DE HUANCANE - DEPARTAMENTO DE PUNO</t>
  </si>
  <si>
    <t>2500458.MEJORAMIENTO DEL SERVICIO EDUCATIVO EN LA IEP N° 70477 SAGRADO CORAZON DE JESUS DEL DISTRITO DE AYAVIRI - PROVINCIA DE MELGAR - DEPARTAMENTO DE PUNO</t>
  </si>
  <si>
    <t>05. ORDEN PUBLICO Y SEGURIDAD</t>
  </si>
  <si>
    <t>20. SALUD</t>
  </si>
  <si>
    <t>22. EDUCACION</t>
  </si>
  <si>
    <t>23. PROTECCION SOCIAL</t>
  </si>
  <si>
    <t>03. PLANEAMIENTO, GESTION Y RESERVA DE CONTINGENCIA</t>
  </si>
  <si>
    <t>10. AGROPECUARIA</t>
  </si>
  <si>
    <t>17. AMBIENTE</t>
  </si>
  <si>
    <t>08. COMERCIO</t>
  </si>
  <si>
    <t>09. TURISMO</t>
  </si>
  <si>
    <t>11. PESCA</t>
  </si>
  <si>
    <t>21. CULTURA Y DEPORTE</t>
  </si>
  <si>
    <t>19. VIVIENDA Y DESARROLLO URBANO</t>
  </si>
  <si>
    <t>2650340.ADQUISICION DE MESA DE OPERACIONES HIDRAULICA/ELECTRICA, ESTERILIZADOR CON GENERADOR ELECTRICO DE VAPOR (INS), EQUIPOS BIOMEDICOS Y COCHE DE PARO; ADEMAS DE OTROS ACTIVOS EN EL(LA) PUTINA DISTRITO DE PUTINA, PROVINCIA SAN ANTONIO DE PUTINA, DEPART</t>
  </si>
  <si>
    <t>2447465.MEJORAMIENTO DE LA INFRAESTRUCTURA VIAL EN LA AV. SACSAYHUAMAN TRAMO (JR. MIRAFLORES - AV. AVIACION), JR. AMANECER TRAMO (AV. INDEPENDENCIA - JR. MIRAFLORES) DE LA CIUDAD DE JULIACA, DISTRITO DE JULIACA - PROVINCIA DE SAN ROMAN - DEPARTAMENTO DE P</t>
  </si>
  <si>
    <t>2629119.MEJORAMIENTO DEL SERVICIO DE EDUCACION SECUNDARIA EN I.E. ROSASPATA DE CENTRO POBLADO ROSASPATA DISTRITO DE ROSASPATA DE LA PROVINCIA DE HUANCANE DEL DEPARTAMENTO DE PUNO</t>
  </si>
  <si>
    <t>2436247.MEJORAMIENTO DEL CAMINO VECINAL RUTA PU-713, EMP. PE 3S (AYAVIRI - DESV. CALUYO - TINAJANI - L. PROV. LAMPA), DISTRITO DE AYAVIRI - PROVINCIA DE MELGAR - DEPARTAMENTO DE PUNO</t>
  </si>
  <si>
    <t>109</t>
  </si>
  <si>
    <t>2723296.MEJORAMIENTO DE LA PRODUCCION Y COMERCIALIZACION DE ARTESANIA DE FIBRA DE ALPACA Y LANA DE OVINO EN LA ASOCIACION DE ARTESANOS EMPRENDEDORES EN TEXTILERIA SAN JUAN BAUTISTA DE NAPA ROSASPATA, DISTRITO DE ROSASPATA, PROVINCIA DE HUANCANE, REGION PU</t>
  </si>
  <si>
    <t>2717181.MEJORAMIENTO DE VACUNO EN PIE EN LA ASOCIACION DE PRODUCTORES AGROPECUARIOS FLORES ANDINOS ANCCACCA PICHACANI, LARAQUERI, DISTRITO PICHACANI, PROVINCIA PUNO Y DEPARTAMENTO PUNO</t>
  </si>
  <si>
    <t>2723300.MEJORAMIENTO DE LA PRODUCCION Y TRANSFORMACION DE FILETE DE TRUCHA DE LA EMPRESA TITIKAKA TROUT PERU SOCIEDAD COMERCIAL DE RESPONSABILIDAD LIMITADA DEL DISTRITO DE POMATA, PROVINCIA DE CHUCUITO, REGION PUNO</t>
  </si>
  <si>
    <t>2723295.MEJORAMIENTO DE LA PRODUCCION Y COMERCIALIZACION DE QUESOS TIPO PARIA DE LA ASOCIACION AGROINDUSTRIAL YURAQ WASI DE LA COMUNIDAD CAMPESINA PRIMER JILAHUATA, DISTRITO DE AZANGARO, PROVINCIA DE AZANGARO, REGION PUNO</t>
  </si>
  <si>
    <t>2723301.MEJORAMIENTO DE LA TRANSFORMACION Y COMERCIALIZACION DE HILOS Y PRENDAS DE TONOS Y TENIDOS NATURALES DE FIBRA DE ALPACA EN LA ASOCIACION DE ARTESANAS KISWAR TIKA, DISTRITO DE OCUVIRI, PROVINCIA LAMPA, REGION PUNO</t>
  </si>
  <si>
    <t>2723299.MEJORAMIENTO DE LA CAPACIDAD PRODUCTIVA DE HELADOS ARTESANALES A BASE DE GRANOS ANDINOS DEL GRUPO DE PRODUCTORES, COMERCIALIZACION Y TRANSFORMACION DE CEREALES ANDINOS SAN SANTIAGO S.A.C., DEL DISTRITO DE PUNO, PROVINCIA DE PUNO, REGION DE PUNO.</t>
  </si>
  <si>
    <t>18. SANEAMIENTO</t>
  </si>
  <si>
    <t>470</t>
  </si>
  <si>
    <t>2492442.MEJORAMIENTO Y AMPLIACION DE LOS SERVICIOS DE AGUA POTABLE Y ALCANTARILLADO SANITARIO EN LA LOCALIDAD DE CARACOTO DEL DISTRITO DE CARACOTO - PROVINCIA DE SAN ROMAN - DEPARTAMENTO DE PUNO</t>
  </si>
  <si>
    <t>2684838.MEJORAMIENTO Y AMPLIACION DEL SERVICIO DE LIMPIEZA PUBLICA EN 7 UNIDADES PRODUCTORAS 7 DISTRITOS DE LA PROVINCIA DE MELGAR DEL DEPARTAMENTO DE PUNO</t>
  </si>
  <si>
    <t>2695845.MEJORAMIENTO DEL SERVICIO DE EDUCACION SECUNDARIA EN I.E. SAN FRANCISCO DE BORJA DISTRITO DE TARACO DE LA PROVINCIA DE HUANCANE DEL DEPARTAMENTO DE PUNO</t>
  </si>
  <si>
    <t>2650476.ADQUISICION DE EQUIPAMIENTO DE AMBIENTES COMPLEMENTARIOS Y MOBILIARIO DE AULA; EN EL(LA) I.E. EL CENTENARIO DISTRITO DE PUTINA, PROVINCIA SAN ANTONIO DE PUTINA, DEPARTAMENTO PUNO</t>
  </si>
  <si>
    <t>2531093.ADQUISICION DE INCUBADORA NEONATAL Y CUNA DE CALOR RADIANTE; EN EL(LA) EESS YUNGUYO - YUNGUYO EN LA LOCALIDAD YUNGUYO, DISTRITO DE YUNGUYO, PROVINCIA YUNGUYO, DEPARTAMENTO PUNO</t>
  </si>
  <si>
    <t>2615902.REMODELACION DE AUDITORIO; ADQUISICION DE EQUIPOS COMPLEMENTARIOS; REPARACION DE ESCALERA DE ACCESO Y ; EN EL(LA) DIRECCION REGIONAL AGRARIA SEDE CENTRAL DISTRITO DE PUNO, PROVINCIA PUNO, DEPARTAMENTO PUNO</t>
  </si>
  <si>
    <t>2603167.MEJORAMIENTO DEL SERVICIO DE TRANSITABILIDAD VIAL INTERURBANA EN LA CARRETERA PU - 1233 (ILAVE) - ANOKARIRI (EMP. - 1234), ANOKARIRI - SACUYO - SECTOR NUEVA ALIANZA, PU 1103 (SECTOR NUEVA ALIANZA) - EMP. PE 36P (LARAQUERI PICHACANI) DISTRITOS DE I</t>
  </si>
  <si>
    <t>PIM 2026                (A)</t>
  </si>
  <si>
    <t>SALDO                   (A-B)</t>
  </si>
  <si>
    <t>DEVENGADO          ( C )</t>
  </si>
  <si>
    <t>SALDO                    (A-C)</t>
  </si>
  <si>
    <t>CERTIFICACION           (B)</t>
  </si>
  <si>
    <t>SALDO                 (A-B)</t>
  </si>
  <si>
    <t>SALDO                       (A-C)</t>
  </si>
  <si>
    <t>sec_func</t>
  </si>
  <si>
    <t>producto_proyecto</t>
  </si>
  <si>
    <t>tipo_act_obra_ac</t>
  </si>
  <si>
    <t>activ_obra_accinv</t>
  </si>
  <si>
    <t>rubro</t>
  </si>
  <si>
    <t>tipo_transaccion</t>
  </si>
  <si>
    <t>generica</t>
  </si>
  <si>
    <t>subgenerica</t>
  </si>
  <si>
    <t>subgenerica_det</t>
  </si>
  <si>
    <t>especifica</t>
  </si>
  <si>
    <t>especifica_det</t>
  </si>
  <si>
    <t>finalidad</t>
  </si>
  <si>
    <t>programa_pptal</t>
  </si>
  <si>
    <t>funcion</t>
  </si>
  <si>
    <t>division_fn</t>
  </si>
  <si>
    <t>grupo_fn</t>
  </si>
  <si>
    <t>departamento_meta</t>
  </si>
  <si>
    <t>provincia_meta</t>
  </si>
  <si>
    <t>distrito_meta</t>
  </si>
  <si>
    <t>unidad_medida</t>
  </si>
  <si>
    <t>Suma de mto_pia</t>
  </si>
  <si>
    <t>Suma de mto_modificaciones</t>
  </si>
  <si>
    <t>Suma de mto_pim</t>
  </si>
  <si>
    <t>Suma de mto_certificado</t>
  </si>
  <si>
    <t>Suma de A</t>
  </si>
  <si>
    <t>Suma de mto_compro_anual</t>
  </si>
  <si>
    <t>Suma de CA</t>
  </si>
  <si>
    <t>Suma de COMP.MENSUAL</t>
  </si>
  <si>
    <t>Suma de CM</t>
  </si>
  <si>
    <t>Suma de DEV</t>
  </si>
  <si>
    <t>Suma de B</t>
  </si>
  <si>
    <t>4.OBRA</t>
  </si>
  <si>
    <t>4000011.INSTALACION DE HOSPITALES</t>
  </si>
  <si>
    <t>15.FONDO DE COMPENSACION REGIONAL - FONCOR</t>
  </si>
  <si>
    <t>2.GASTOS PRESUPUESTARIOS</t>
  </si>
  <si>
    <t>6.ADQUISICION DE ACTIVOS NO FINANCIEROS</t>
  </si>
  <si>
    <t>2.CONSTRUCCION DE EDIFICIOS Y ESTRUCTURAS</t>
  </si>
  <si>
    <t>2.EDIFICIOS O UNIDADES NO RESIDENCIALES</t>
  </si>
  <si>
    <t>3.INSTALACIONES MEDICAS</t>
  </si>
  <si>
    <t>2.COSTO DE CONSTRUCCION POR CONTRATA</t>
  </si>
  <si>
    <t>0043516.CONSTRUCCION DEL HOSPITAL MATERNO INFANTIL DEL CONO SUR DEL DISTRITO DE JULIACA</t>
  </si>
  <si>
    <t>0002.SALUD MATERNO NEONATAL</t>
  </si>
  <si>
    <t>044.SALUD INDIVIDUAL</t>
  </si>
  <si>
    <t>0096.ATENCION MEDICA BASICA</t>
  </si>
  <si>
    <t>21.PUNO</t>
  </si>
  <si>
    <t>11.SAN ROMAN</t>
  </si>
  <si>
    <t>01.JULIACA</t>
  </si>
  <si>
    <t>081.OBRA</t>
  </si>
  <si>
    <t>3.COSTO DE CONSTRUCCION POR ADMINISTRACION DIRECTA - PERSONAL</t>
  </si>
  <si>
    <t>5.COSTO DE CONSTRUCCION POR ADMINISTRACION DIRECTA - SERVICIOS</t>
  </si>
  <si>
    <t>8.OTROS GASTOS DE ACTIVOS NO FINANCIEROS</t>
  </si>
  <si>
    <t>1.OTROS GASTOS DE ACTIVOS NO FINANCIEROS</t>
  </si>
  <si>
    <t>4.OTROS GASTOS DIVERSOS DE ACTIVOS NO FINANCIEROS</t>
  </si>
  <si>
    <t>4.GASTO POR LAUDOS ARBITRALES O SENTENCIAS VINCULADAS A INVERSIONES</t>
  </si>
  <si>
    <t>2227389.AMPLIACION Y MEJORAMIENTO DE LA CAPACIDAD RESOLUTIVA DEL HOSPITAL DE APOYO SAN MARTIN DE PORRES DE MACUSANI, PROVINCIA DE CARABAYA - PUNO</t>
  </si>
  <si>
    <t>4000003.AMPLIACION DE HOSPITALES</t>
  </si>
  <si>
    <t>0110790.AMPLIACION Y MEJORAMIENTO DE LA CAPACIDAD RESOLUTIVA DEL HOSPITAL DE APOYO SAN MARTIN DE PORRES DE MACUSANI, PROVINCIA DE CARABAYA - PUNO</t>
  </si>
  <si>
    <t>03.CARABAYA</t>
  </si>
  <si>
    <t>01.MACUSANI</t>
  </si>
  <si>
    <t>060.INFORME</t>
  </si>
  <si>
    <t>18.CANON Y SOBRECANON, REGALIAS, RENTA DE ADUANAS Y PARTICIPACIONES</t>
  </si>
  <si>
    <t>3.GASTO POR LA CONTRATACION DE SERVICIOS</t>
  </si>
  <si>
    <t>19.RECURSOS POR OPERACIONES OFICIALES DE CREDITO</t>
  </si>
  <si>
    <t>2683535.MEJORAMIENTO DEL SERVICIO DE SEGURIDAD CIUDADANA LOCAL EN 73 UNIDADES PRODUCTORAS 73 DISTRITOS DE 11 PROVINCIAS DEL DEPARTAMENTO DE PUNO 11 PROVINCIAS DEL DEPARTAMENTO DE PUNO</t>
  </si>
  <si>
    <t>6.ACCION DE INVERSION</t>
  </si>
  <si>
    <t>6000040.MEJORAMIENTO DE LA SEGURIDAD CIUDADANA</t>
  </si>
  <si>
    <t>3.ADQUISICION DE VEHICULOS, MAQUINARIAS Y OTROS</t>
  </si>
  <si>
    <t>1.ADQUISICION DE VEHICULOS</t>
  </si>
  <si>
    <t>1.PARA TRANSPORTE TERRESTRE</t>
  </si>
  <si>
    <t>0452598.MEJORAMIENTO DEL SERVICIO DE SEGURIDAD CIUDADANA LOCAL EN 73 UNIDADES PRODUCTORAS 73 DISTRITOS DE 11 PROVINCIAS, MULTIDISTRITAL - MULTIPROVINCIAL - PUNO</t>
  </si>
  <si>
    <t>0030.REDUCCION DE DELITOS Y FALTAS QUE AFECTAN LA SEGURIDAD CIUDADANA</t>
  </si>
  <si>
    <t>05.ORDEN PUBLICO Y SEGURIDAD</t>
  </si>
  <si>
    <t>014.ORDEN INTERNO</t>
  </si>
  <si>
    <t>0031.SEGURIDAD VECINAL Y COMUNAL</t>
  </si>
  <si>
    <t>99.MULTIDISTRITAL</t>
  </si>
  <si>
    <t>054.EXPEDIENTE TECNICO</t>
  </si>
  <si>
    <t>7.INVERSIONES INTANGIBLES</t>
  </si>
  <si>
    <t>1.INVERSIONES INTANGIBLES</t>
  </si>
  <si>
    <t>5.FORMACION Y CAPACITACION</t>
  </si>
  <si>
    <t>3.GASTOS POR LA CONTRATACION DE SERVICIOS</t>
  </si>
  <si>
    <t>6.OTRAS INVERSIONES INTANGIBLES</t>
  </si>
  <si>
    <t>1.GASTOS POR LA CONTRATACION DE PERSONAL</t>
  </si>
  <si>
    <t>2.GASTOS POR LA COMPRA DE BIENES</t>
  </si>
  <si>
    <t>3.ELABORACION DE EXPEDIENTES TECNICOS</t>
  </si>
  <si>
    <t>1.ELABORACION DE EXPEDIENTES TECNICOS</t>
  </si>
  <si>
    <t>4000122.CONTROL DE INUNDACIONES Y DEFENSAS RIBEREÑAS</t>
  </si>
  <si>
    <t>3.OTRAS ESTRUCTURAS</t>
  </si>
  <si>
    <t>99.OTRAS ESTRUCTURAS DIVERSAS</t>
  </si>
  <si>
    <t>0232831.MEJORAMIENTO DE LA DEFENSA RIBEREÑA EN EL TRAMO V EN LAS MARGENES DERECHA E IZQUIERDA DEL RIO RAMIS EN LOS TRAMOS DE SACASCO, COLLANA, CHACAMARCA, PATASCACHI, YANAOCO, TUNI GRANDE, RAMIS Y BALSAPATA, MULTIDISTRITAL - MULTIPROVINCIAL - PUNO</t>
  </si>
  <si>
    <t>0068.REDUCCION DE VULNERABILIDAD Y ATENCION DE EMERGENCIAS POR DESASTRES</t>
  </si>
  <si>
    <t>016.GESTION DE RIESGOS Y EMERGENCIAS</t>
  </si>
  <si>
    <t>0036.ATENCION INMEDIATA DE DESASTRES</t>
  </si>
  <si>
    <t>02.AZANGARO</t>
  </si>
  <si>
    <t>067.KILOMETRO</t>
  </si>
  <si>
    <t>4.COSTO DE CONSTRUCCION POR ADMINISTRACION DIRECTA - BIENES</t>
  </si>
  <si>
    <t>1.GASTO POR LA CONTRATACION DE PERSONAL</t>
  </si>
  <si>
    <t>2.GASTO POR LA COMPRA DE BIENES</t>
  </si>
  <si>
    <t>2474102.MEJORAMIENTO DEL SERVICIO DE PROTECCION FRENTE A TORMENTAS ELECTRICAS EN 4 PROVINCIAS DEL DEPARTAMENTO DE PUNO</t>
  </si>
  <si>
    <t>6000005.ADQUISICION DE EQUIPOS</t>
  </si>
  <si>
    <t>2.ADQUISICION DE MAQUINARIAS, EQUIPO Y MOBILIARIO</t>
  </si>
  <si>
    <t>9.ADQUISICION DE MAQUINARIA Y EQUIPO DIVERSOS</t>
  </si>
  <si>
    <t>99.MAQUINARIAS, EQUIPOS Y MOBILIARIOS DE OTRAS INSTALACIONES</t>
  </si>
  <si>
    <t>0315390.MEJORAMIENTO DEL SERVICIO DE PROTECCION FRENTE A TORMENTAS ELECTRICAS EN 4 PROVINCIAS DEL DEPARTAMENTO DE PUNO, MULTIDISTRITAL - MULTIPROVINCIAL - PUNO</t>
  </si>
  <si>
    <t>0035.PREVENCION DE DESASTRES</t>
  </si>
  <si>
    <t>04.CHUCUITO</t>
  </si>
  <si>
    <t>042.EQUIPO</t>
  </si>
  <si>
    <t>2532916.CREACION DEL SERVICIO DE PROTECCION EN RIBERAS DEL RIO LORIPONGO Y MOLLA AMBOS MARGENES VULNERABLES ANTE EL PELIGRO DE INUNDACION EN LA LOCALIDAD DE LARAQUERI Y CENTRO POBLADO DE HUARIJUYO DEL DISTRITO DE PICHACANI - PROVINCIA DE PUNO - DEPARTAMEN</t>
  </si>
  <si>
    <t>0372132.CREACION DEL SERVICIO DE PROTECCION EN RIBERAS DEL RIO LORIPONGO Y MOLLA AMBOS MARGENES VULNERABLES ANTE EL PELIGRO DE INUNDACION EN LA LOCALIDAD DE LARAQUERI Y CENTRO POBLADO DE HUARIJUYO, DISTRITO DE PICHACANI - PUNO - PUNO</t>
  </si>
  <si>
    <t>01.PUNO</t>
  </si>
  <si>
    <t>11.PICHACANI</t>
  </si>
  <si>
    <t>2533866.RECUPERACION DE ECOSISTEMAS DEGRADADOS POR VERTIMIENTO DE AGUAS RESIDUALES Y RESIDUOS SOLIDOS EN LA DESEMBOCADURA DEL RIO COATA, EN LOS DISTRITOS DE HUATA, COATA, CAPACHICA, JULIACA Y SAN MIGUEL EN LAS PROVINCIAS DE PUNO Y SAN ROMAN DEL DEPARTAMEN</t>
  </si>
  <si>
    <t>4000195.CONSTRUCCION DE SISTEMA DE TRATAMIENTO DE AGUAS RESIDUALES</t>
  </si>
  <si>
    <t>2.INFRAESTRUCTURA VIAL</t>
  </si>
  <si>
    <t>3.COSTO DE CONSTRUCCION POR CONTRATA</t>
  </si>
  <si>
    <t>0357778.RECUPERACION DE ECOSISTEMAS DEGRADADOS POR VERTIMIENTO DE AGUAS RESIDUALES Y RESIDUOS SOLIDOS EN LA DESEMBOCADURA DEL RIO COATA, EN LOS DISTRITOS DE HUATA, COATA, CAPACHICA, JULIACA Y SAN MIGUEL, MULTIDISTRITAL - MULTIPROVINCIAL - PUNO</t>
  </si>
  <si>
    <t>3000001.ACCIONES COMUNES</t>
  </si>
  <si>
    <t>5.ACTIVIDAD</t>
  </si>
  <si>
    <t>5004280.DESARROLLO DE INSTRUMENTOS ESTRATEGICOS PARA LA GESTION DEL RIESGO DE DESASTRES</t>
  </si>
  <si>
    <t>00.RECURSOS ORDINARIOS</t>
  </si>
  <si>
    <t>3.BIENES Y SERVICIOS</t>
  </si>
  <si>
    <t>2.CONTRATACION DE SERVICIOS</t>
  </si>
  <si>
    <t>1.VIAJES</t>
  </si>
  <si>
    <t>2.VIAJES DOMESTICOS</t>
  </si>
  <si>
    <t>99.OTROS GASTOS</t>
  </si>
  <si>
    <t>0106777.DESARROLLO DE INSTRUMENTOS ESTRATEGICOS PARA LA GESTION DEL RIESGO DE DESASTRES</t>
  </si>
  <si>
    <t>201.INFORME TECNICO</t>
  </si>
  <si>
    <t>7.SERVICIOS PROFESIONALES Y TECNICOS</t>
  </si>
  <si>
    <t>11.OTROS SERVICIOS</t>
  </si>
  <si>
    <t>6.SERVICIO DE IMPRESIONES, ENCUADERNACION Y EMPASTADO</t>
  </si>
  <si>
    <t>2.SERVICIOS DE CONSULTORIAS Y SIMILARES DESARROLLADOS POR PERSONAS NATURALES</t>
  </si>
  <si>
    <t>99.OTROS SERVICIOS SIMILARES</t>
  </si>
  <si>
    <t>3000734.CAPACIDAD INSTALADA PARA LA PREPARACION Y RESPUESTA FRENTE A EMERGENCIAS Y DESASTRES</t>
  </si>
  <si>
    <t>5005560.DESARROLLO DE SIMULACROS EN GESTION REACTIVA</t>
  </si>
  <si>
    <t>1.COMPRA DE BIENES</t>
  </si>
  <si>
    <t>2.VESTUARIOS Y TEXTILES</t>
  </si>
  <si>
    <t>1.VESTUARIO, ZAPATERIA Y ACCESORIOS, TALABARTERIA Y MATERIALES TEXTILES</t>
  </si>
  <si>
    <t>1.VESTUARIO, ACCESORIOS Y PRENDAS DIVERSAS</t>
  </si>
  <si>
    <t>0160776.DESARROLLO DE SIMULACROS EN GESTION REACTIVA</t>
  </si>
  <si>
    <t>248.REPORTE</t>
  </si>
  <si>
    <t>5.MATERIALES Y  UTILES</t>
  </si>
  <si>
    <t>99.OTROS</t>
  </si>
  <si>
    <t>2.SERVICIOS BASICOS, COMUNICACIONES, PUBLICIDAD Y DIFUSION</t>
  </si>
  <si>
    <t>4.SERVICIO DE PUBLICIDAD, IMPRESIONES, DIFUSION E IMAGEN INSTITUCIONAL</t>
  </si>
  <si>
    <t>1.SERVICIO DE PUBLICIDAD</t>
  </si>
  <si>
    <t>5005561.IMPLEMENTACION DE BRIGADAS PARA LA ATENCION FRENTE A EMERGENCIAS Y DESASTRES</t>
  </si>
  <si>
    <t>0160777.IMPLEMENTACION DE BRIGADAS PARA LA ATENCION FRENTE A EMERGENCIAS Y DESASTRES</t>
  </si>
  <si>
    <t>583.BRIGADA</t>
  </si>
  <si>
    <t>4.ELECTRICIDAD, ILUMINACION Y ELECTRONICA</t>
  </si>
  <si>
    <t>1.ELECTRICIDAD, ILUMINACION Y ELECTRONICA</t>
  </si>
  <si>
    <t>5005611.ADMINISTRACION Y ALMACENAMIENTO DE KITS PARA LA ASISTENCIA FRENTE A EMERGENCIAS Y DESASTRES</t>
  </si>
  <si>
    <t>2.PENSIONES Y OTRAS PRESTACIONES SOCIALES</t>
  </si>
  <si>
    <t>2.PRESTACIONES Y ASISTENCIA SOCIAL</t>
  </si>
  <si>
    <t>3.ENTREGA DE BIENES Y SERVICIOS</t>
  </si>
  <si>
    <t>99.OTROS BIENES DE ASISTENCIA SOCIAL</t>
  </si>
  <si>
    <t>0160878.ADMINISTRACION Y ALMACENAMIENTO DE KITS PARA LA ASISTENCIA FRENTE A EMERGENCIAS Y DESASTRES</t>
  </si>
  <si>
    <t>615.KIT</t>
  </si>
  <si>
    <t>11.SUMINISTROS PARA MANTENIMIENTO Y REPARACION</t>
  </si>
  <si>
    <t>1.SUMINISTROS PARA MANTENIMIENTO Y REPARACION</t>
  </si>
  <si>
    <t>2.PARA VEHICULOS</t>
  </si>
  <si>
    <t>3.COMBUSTIBLES, CARBURANTES, LUBRICANTES Y AFINES</t>
  </si>
  <si>
    <t>1.COMBUSTIBLES, CARBURANTES, LUBRICANTES Y AFINES</t>
  </si>
  <si>
    <t>3.LUBRICANTES, GRASAS Y AFINES</t>
  </si>
  <si>
    <t>3.ASEO, LIMPIEZA Y COCINA</t>
  </si>
  <si>
    <t>1.ASEO, LIMPIEZA Y TOCADOR</t>
  </si>
  <si>
    <t>6.REPUESTOS Y ACCESORIOS</t>
  </si>
  <si>
    <t>1.REPUESTOS Y ACCESORIOS</t>
  </si>
  <si>
    <t>1.DE VEHICULOS</t>
  </si>
  <si>
    <t>3.DE CONSTRUCCION Y MAQUINAS</t>
  </si>
  <si>
    <t>4.DE SEGURIDAD</t>
  </si>
  <si>
    <t>99.COMPRA DE OTROS BIENES</t>
  </si>
  <si>
    <t>1.COMPRA DE OTROS BIENES</t>
  </si>
  <si>
    <t>99.OTROS BIENES</t>
  </si>
  <si>
    <t>1.PASAJES Y GASTOS DE TRANSPORTE</t>
  </si>
  <si>
    <t>2.VIATICOS Y ASIGNACIONES POR COMISION DE SERVICIO</t>
  </si>
  <si>
    <t>1.SERVICIOS DE ENERGIA ELECTRICA, AGUA Y GAS</t>
  </si>
  <si>
    <t>1.SERVICIO DE SUMINISTRO DE ENERGIA ELECTRICA</t>
  </si>
  <si>
    <t>2.SERVICIO DE AGUA Y DESAGUE</t>
  </si>
  <si>
    <t>3.SERVICIOS DE LIMPIEZA, SEGURIDAD Y VIGILANCIA</t>
  </si>
  <si>
    <t>1.SERVICIOS DE LIMPIEZA, SEGURIDAD Y VIGILANCIA</t>
  </si>
  <si>
    <t>1.SERVICIOS DE LIMPIEZA E HIGIENE</t>
  </si>
  <si>
    <t>2.SERVICIOS DE SEGURIDAD Y VIGILANCIA</t>
  </si>
  <si>
    <t>4.SERVICIO DE MANTENIMIENTO, ACONDICIONAMIENTO Y  REPARACIONES</t>
  </si>
  <si>
    <t>2.DE EDIFICACIONES, OFICINAS Y ESTRUCTURAS</t>
  </si>
  <si>
    <t>1.DE EDIFICACIONES, OFICINAS Y ESTRUCTURAS</t>
  </si>
  <si>
    <t>7.DE MAQUINARIAS Y EQUIPOS</t>
  </si>
  <si>
    <t>1.DE MAQUINARIAS Y EQUIPOS</t>
  </si>
  <si>
    <t>6.SERVICIOS ADMINISTRATIVOS, FINANCIEROS Y DE SEGUROS</t>
  </si>
  <si>
    <t>3.SEGUROS</t>
  </si>
  <si>
    <t>2.SEGURO DE VEHICULOS</t>
  </si>
  <si>
    <t>3.SEGURO OBLIGATORIO ACCIDENTES DE TRANSITO (SOAT)</t>
  </si>
  <si>
    <t>2.TRANSPORTE Y TRASLADO DE CARGA, BIENES Y MATERIALES</t>
  </si>
  <si>
    <t>99.SERVICIOS DIVERSOS</t>
  </si>
  <si>
    <t>5005612.DESARROLLO DE LOS CENTROS Y ESPACIOS DE MONITOREO DE EMERGENCIAS Y DESASTRES</t>
  </si>
  <si>
    <t>1.PERSONAL Y OBLIGACIONES SOCIALES</t>
  </si>
  <si>
    <t>1.RETRIBUCIONES Y COMPLEMENTOS EN EFECTIVO</t>
  </si>
  <si>
    <t>1.PERSONAL ADMINISTRATIVO</t>
  </si>
  <si>
    <t>2.PERSONAL ADMINISTRATIVO NOMBRADO (REGIMEN PUBLICO)</t>
  </si>
  <si>
    <t>0160879.DESARROLLO DE LOS CENTROS Y ESPACIOS DE MONITOREO DE EMERGENCIAS Y DESASTRES</t>
  </si>
  <si>
    <t>3.PERSONAL CON CONTRATO A PLAZO FIJO (REGIMEN LABORAL PUBLICO)</t>
  </si>
  <si>
    <t>9.PERSONAL DE CONFIANZA (RÉGIMEN LABORAL PÚBLICO)</t>
  </si>
  <si>
    <t>2.OTRAS RETRIBUCIONES Y COMPLEMENTOS</t>
  </si>
  <si>
    <t>1.ASIGNACION A FONDOS PARA PERSONAL</t>
  </si>
  <si>
    <t>13.CONTRATO ADMINISTRATIVO DE SERVICIOS</t>
  </si>
  <si>
    <t>1.CONTRATO ADMINISTRATIVO DE SERVICIOS</t>
  </si>
  <si>
    <t>1.CONTRATO ADMINISTRATIVO DE SERVICIOS - INDETERMINADO</t>
  </si>
  <si>
    <t>9.GASTOS VARIABLES Y OCASIONALES</t>
  </si>
  <si>
    <t>1.ESCOLARIDAD, AGUINALDOS Y GRATIFICACIONES</t>
  </si>
  <si>
    <t>2.AGUINALDOS</t>
  </si>
  <si>
    <t>3.BONIFICACION POR ESCOLARIDAD</t>
  </si>
  <si>
    <t>4.AGUINALDOS DE CONTRATO ADMINISTRATIVO DE SERVICIOS</t>
  </si>
  <si>
    <t>2.OTRAS RETRIBUCIONES</t>
  </si>
  <si>
    <t>1.RETRIBUCIONES EN BIENES O SERVICIOS</t>
  </si>
  <si>
    <t>1.BIENES</t>
  </si>
  <si>
    <t>1.UNIFORME PERSONAL ADMINISTRATIVO</t>
  </si>
  <si>
    <t>3.CONTRIBUCIONES A LA SEGURIDAD SOCIAL</t>
  </si>
  <si>
    <t>1.OBLIGACIONES DEL EMPLEADOR</t>
  </si>
  <si>
    <t>13.CONTRIBUCIONES A ESSALUD DEL PERSONAL ADMINISTRATIVO</t>
  </si>
  <si>
    <t>15.CONTRIBUCIONES A ESSALUD DE CONTRATO ADMINISTRATIVO DE SERVICIOS</t>
  </si>
  <si>
    <t>1.ALIMENTOS Y BEBIDAS</t>
  </si>
  <si>
    <t>1.ALIMENTOS Y BEBIDAS PARA CONSUMO HUMANO</t>
  </si>
  <si>
    <t>1.COMBUSTIBLES Y CARBURANTES</t>
  </si>
  <si>
    <t>1.DE OFICINA</t>
  </si>
  <si>
    <t>2.PAPELERIA EN GENERAL, UTILES Y MATERIALES DE OFICINA</t>
  </si>
  <si>
    <t>3.SERVICIOS DE MENSAJERIA, TELECOMUNICACIONES Y OTROS AFINES</t>
  </si>
  <si>
    <t>1.CORREOS Y SERVICIOS DE MENSAJERIA</t>
  </si>
  <si>
    <t>99.OTROS SERVICIOS DE COMUNICACION</t>
  </si>
  <si>
    <t>9.LOCACIÓN DE SERVICIOS REALIZADOS POR PERSONA NATURAL</t>
  </si>
  <si>
    <t>1.LOCACIÓN DE SERVICIOS REALIZADOS POR PERSONA NATURAL</t>
  </si>
  <si>
    <t>3000735.DESARROLLO DE MEDIDAS DE INTERVENCION PARA LA PROTECCION FISICA FRENTE A PELIGROS</t>
  </si>
  <si>
    <t>5005562.CONTROL DE ZONAS CRITICAS Y FAJAS MARGINALES EN CAUCES DE RIOS</t>
  </si>
  <si>
    <t>0160778.CONTROL DE ZONAS CRITICAS Y FAJAS MARGINALES EN CAUCES DE RIOS</t>
  </si>
  <si>
    <t>065.INTERVENCION</t>
  </si>
  <si>
    <t>5.ALQUILERES DE MUEBLES E INMUEBLES</t>
  </si>
  <si>
    <t>1.ALQUILERES DE MUEBLES E INMUEBLES</t>
  </si>
  <si>
    <t>4.DE MAQUINARIAS Y EQUIPOS</t>
  </si>
  <si>
    <t>3000738.PERSONAS CON FORMACION Y CONOCIMIENTO EN GESTION DEL RIESGO DE DESASTRES Y ADAPTACION AL CAMBIO CLIMATICO</t>
  </si>
  <si>
    <t>5005579.ACCESO A LA INFORMACION Y OPERATIVIDAD DEL SISTEMA DE INFORMACION EN GESTION DEL RIESGO DE DESASTRES</t>
  </si>
  <si>
    <t>0160795.ACCESO A LA INFORMACION Y OPERATIVIDAD DEL SISTEMA DE INFORMACION EN GESTION DEL RIESGO DE DESASTRES</t>
  </si>
  <si>
    <t>086.PERSONA</t>
  </si>
  <si>
    <t>5005580.FORMACION Y CAPACITACION EN MATERIA DE GESTION DE RIESGO DE DESASTRES Y ADAPTACION AL CAMBIO CLIMATICO</t>
  </si>
  <si>
    <t>0160796.FORMACION Y CAPACITACION EN MATERIA DE GESTION DE RIESGO DE DESASTRES</t>
  </si>
  <si>
    <t>14.SERVICIOS TÉCNICOS Y PROFESIONALES DESARROLLADOS POR PERSONAS NATURALES</t>
  </si>
  <si>
    <t>98.OTROS SERVICIOS TÉCNICOS Y PROFESIONALES DESARROLLADOS POR PERSONAS NATURALES</t>
  </si>
  <si>
    <t>3000739.POBLACION CON PRACTICAS SEGURAS PARA LA RESILIENCIA</t>
  </si>
  <si>
    <t>5005581.DESARROLLO DE CAMPAÑAS COMUNICACIONALES PARA LA GESTION DEL RIESGO DE DESASTRES</t>
  </si>
  <si>
    <t>0160797.DESARROLLO DE CAMPAÑAS COMUNICACIONALES PARA LA GESTION DEL RIESGO DE DESASTRES</t>
  </si>
  <si>
    <t>014.CAMPAÑA</t>
  </si>
  <si>
    <t>3000882.HOGARES RURALES CONCENTRADOS CON SERVICIOS DE AGUA POTABLE Y DISPOSICION SANITARIA DE EXCRETAS DE CALIDAD Y SOSTENIBLES</t>
  </si>
  <si>
    <t xml:space="preserve">5006299.POTABILIZACION  Y OTRAS FORMAS DE DESINFECCION Y TRATAMIENTO </t>
  </si>
  <si>
    <t>8.SERVICIOS RELACIONADOS CON SANEAMIENTO REALIZADO POR PERSONAS JURÍDICAS</t>
  </si>
  <si>
    <t>1.SERVICIOS RELACIONADOS CON EL TRATAMIENTO DE AGUA</t>
  </si>
  <si>
    <t>0290575.POTABILIZACION Y OTRAS FORMAS DE DESINFECCION Y TRATAMIENTO</t>
  </si>
  <si>
    <t>0083.PROGRAMA NACIONAL DE SANEAMIENTO RURAL</t>
  </si>
  <si>
    <t>040.SANEAMIENTO</t>
  </si>
  <si>
    <t>0089.SANEAMIENTO RURAL</t>
  </si>
  <si>
    <t>108.SISTEMA</t>
  </si>
  <si>
    <t>5006302.FORTALECIMIENTO DE CAPACIDADES A PRESTADORES, GL - ATM y GR - D/GRVCS</t>
  </si>
  <si>
    <t>3.SERVICIO DE CAPACITACION Y PERFECCIONAMIENTO</t>
  </si>
  <si>
    <t>1.REALIZADO POR PERSONAS JURIDICAS</t>
  </si>
  <si>
    <t>0290578.FORTALECIMIENTO DE CAPACIDADES A PRESTADORES DE LOS SERVICIOS DE AGUA Y DISPOSICION SANITARIA DE EXCRETAS</t>
  </si>
  <si>
    <t>120.ENTIDAD</t>
  </si>
  <si>
    <t>0290579.FORTALECIMIENTO DE CAPACIDADES A GOBIERNOS LOCALES - AREAS TECNICAS MUNICIPALES</t>
  </si>
  <si>
    <t>2526527.MEJORAMIENTO DE LAS CAPACIDADES PARA LA PRODUCTIVIDAD Y LA COMPETITIVIDAD DE ARTESANIAS EN 13 PROVINCIAS DEL DEPARTAMENTO DE PUNO</t>
  </si>
  <si>
    <t>6000008.FORTALECIMIENTO DE CAPACIDADES</t>
  </si>
  <si>
    <t>3.ADQUISICION DE EQUIPOS INFORMATICOS Y DE COMUNICACIONES</t>
  </si>
  <si>
    <t>1.EQUIPOS COMPUTACIONALES Y PERIFERICOS</t>
  </si>
  <si>
    <t>0355792.MEJORAMIENTO DE LAS CAPACIDADES PARA LA PRODUCTIVIDAD Y LA COMPETITIVIDAD DE ARTESANIAS EN 13 PROVINCIAS, MULTIDISTRITAL - MULTIPROVINCIAL - PUNO</t>
  </si>
  <si>
    <t>0087.INCREMENTO DE LA COMPETIVIDAD DEL SECTOR ARTESANIA</t>
  </si>
  <si>
    <t>09.TURISMO</t>
  </si>
  <si>
    <t>022.TURISMO</t>
  </si>
  <si>
    <t>0045.PROMOCION DEL TURISMO</t>
  </si>
  <si>
    <t>227.CAPACITACION</t>
  </si>
  <si>
    <t>2.EQUIPOS DE COMUNICACIONES PARA REDES INFORMATICAS</t>
  </si>
  <si>
    <t>2188379.MEJORAMIENTO DEL SERVICIO EDUCATIVO DE LA INSTITUCION EDUCATIVA PRIMARIA N 70605 DOMINGO SAVIO DE JULIACA, DISTRITO DE JULIACA, PROVINCIA DE SAN ROMAN - PUNO</t>
  </si>
  <si>
    <t>4000036.MEJORAMIENTO DE INFRAESTRUCTURA DE EDUCACION PRIMARIA</t>
  </si>
  <si>
    <t>2.INSTALACIONES EDUCATIVAS</t>
  </si>
  <si>
    <t>0131101.MEJORAMIENTO DEL SERVICIO EDUCATIVO DE LA INSTITUCION EDUCATIVA PRIMARIA Nº 70605 DOMINGO SAVIO, DISTRITO DE JULIACA - SAN ROMAN - PUNO</t>
  </si>
  <si>
    <t>0090.LOGROS DE APRENDIZAJE DE ESTUDIANTES DE LA EDUCACION BASICA REGULAR</t>
  </si>
  <si>
    <t>047.EDUCACION BASICA</t>
  </si>
  <si>
    <t>0104.EDUCACION PRIMARIA</t>
  </si>
  <si>
    <t>2194462.INSTALACION DEL SERVICIO DE EDUCACION SECUNDARIA THOMAS ALVA EDISON EN LA URBANIZACION CHILLA - LOS ROSALES EN EL DISTRITO DE JULIACA, PROVINCIA DE SAN ROMAN.</t>
  </si>
  <si>
    <t>4000019.INSTALACION DE INFRAESTRUCTURA DE EDUCACION SECUNDARIA</t>
  </si>
  <si>
    <t>0140673.INSTALACION DEL SERVICIO DE EDUCACION SECUNDARIA THOMAS ALVA EDISON EN LA URBANIZACION CHILLA - LOS ROSALES, DISTRITO DE JULIACA - SAN ROMAN - PUNO</t>
  </si>
  <si>
    <t>0105.EDUCACION SECUNDARIA</t>
  </si>
  <si>
    <t>4000037.MEJORAMIENTO DE INFRAESTRUCTURA DE EDUCACION SECUNDARIA</t>
  </si>
  <si>
    <t>0140702.INSTALACION DEL SERVICIO EDUCATIVO EN LA INSTITUCION EDUCATIVA SECUNDARIA SAN TA MONICA, DISTRITO DE JULIACA - SAN ROMAN - PUNO</t>
  </si>
  <si>
    <t>001.ACCION</t>
  </si>
  <si>
    <t>2194504.INSTALACION DEL SERVICIO EDUCATIVO DEL NIVEL SECUNDARIO EN LA I.E.S. RODOLFO DIESEL, DISTRITO DE JULIACA, PROVINCIA SAN ROMAN - PUNO.</t>
  </si>
  <si>
    <t>0140698.INSTALACION DEL SERVICIO EDUCATIVO DEL NIVEL SECUNDARIO EN LA I.E.S. RODOLFO DIESEL, DISTRITO DE JULIACA - SAN ROMAN - PUNO</t>
  </si>
  <si>
    <t>2284935.MEJORAMIENTO DEL SERVICIO EDUCATIVO EN LA IES POLITECNICO REGIONAL LOS ANDES, DISTRITO DE JULIACA, PROVINCIA DE SAN ROMAN - PUNO</t>
  </si>
  <si>
    <t>0209529.MEJORAMIENTO DEL SERVICIO EDUCATIVO EN LA IES POLITECNICO REGIONAL LOS ANDES, DISTRITO DE JULIACA - SAN ROMAN - PUNO</t>
  </si>
  <si>
    <t>2289661.MEJORAMIENTO DE LOS SERVICIOS EDUCATIVOS EN LA I.E.S. DOS DE MAYO DE CARACOTO, DISTRITO DE CARACOTO - SAN ROMAN - PUNO</t>
  </si>
  <si>
    <t>0429753.MEJORAMIENTO DE LOS SERVICIOS EDUCATIVOS EN LA I.E.S. DOS DE MAYO DE CARACOTO, DISTRITO CARACOTO - SAN ROMAN - PUNO</t>
  </si>
  <si>
    <t>04.CARACOTO</t>
  </si>
  <si>
    <t>1.PARA OFICINA</t>
  </si>
  <si>
    <t>2.MOBILIARIO</t>
  </si>
  <si>
    <t>0362165.MEJORAMIENTO DEL SERVICIO EDUCATIVO EN LA INSTITUCION EDUCATIVA PRIMARIA Nº 70511, DISTRITO DE ORURILLO - MELGAR - PUNO</t>
  </si>
  <si>
    <t>08.MELGAR</t>
  </si>
  <si>
    <t>07.ORURILLO</t>
  </si>
  <si>
    <t>2.PARA INSTALACIONES EDUCATIVAS</t>
  </si>
  <si>
    <t>1.MAQUINAS Y EQUIPOS</t>
  </si>
  <si>
    <t>2344253.MEJORAMIENTO DEL SERVICIO EDUCATIVO EN LA I.E.S. JOSE ANTONIO ENCINAS FRANCO, CENTRO POBLADO DE LECHEMAYO DEL DISTRITO DE SAN GABAN - PROVINCIA DE CARABAYA - DEPARTAMENTO DE PUNO</t>
  </si>
  <si>
    <t>0374387.MEJORAMIENTO DEL SERVICIO EDUCATIVO EN LA I.E.S. JOSE ANTONIO ENCINAS FRANCO, CENTRO POBLADO DE LECHEMAYO, DISTRITO DE SAN GABAN - CARABAYA - PUNO</t>
  </si>
  <si>
    <t>09.SAN GABAN</t>
  </si>
  <si>
    <t>2344324.MEJORAMIENTO DE LOS SERVICIOS EDUCATIVOS DE LA I.E.S. MANUEL GONZALES PRADA, CENTRO POBLADO DE ISANI - DISTRITO DE ZEPITA - PROVINCIA DE CHUCUITO - REGION PUNO</t>
  </si>
  <si>
    <t>0274848.MEJORAMIENTO DE LOS SERVICIOS EDUCATIVOS DE LA I.E.S. MANUEL GONZALES PRADA, CENTRO POBLADO DE ISANI, DISTRITO DE ZEPITA - CHUCUITO - PUNO</t>
  </si>
  <si>
    <t>07.ZEPITA</t>
  </si>
  <si>
    <t>5.EQUIPOS E INSTRUMENTOS DE MEDICION</t>
  </si>
  <si>
    <t>2357322.MEJORAMIENTO SERVICIO EDUCATIVO EN LA IES. 32 MARIANO H. CORNEJO DE LA LOCALIDAD DE JULIACA - DISTRITO DE JULIACA - PROVINCIA DE SAN ROMAN - REGION PUNO</t>
  </si>
  <si>
    <t>0250640.MEJORAMIENTO SERVICIO EDUCATIVO EN LA IES. 32 MARIANO H. CORNEJO DE LA LOCALIDAD DE JULIACA, DISTRITO JULIACA - SAN ROMAN - PUNO</t>
  </si>
  <si>
    <t>2384978.MEJORAMIENTO DE LOS SERVICIOS DE EDUCACION SECUNDARIA EN LA INSTITUCION EDUCATIVA PUBLICA MILITAR INCA MANCO CAPAC , CENTRO POBLADO DE TOTORANI - DISTRITO DE PUNO - PROVINCIA DE PUNO - REGION PUNO</t>
  </si>
  <si>
    <t>0248941.MEJORAMIENTO DE LOS SERVICIOS DE EDUCACION SECUNDARIA EN LA INSTITUCION EDUCATIVA PUBLICA MILITAR INCA MANCO CAPAC, CENTRO POBLADO DE TOTORAN, DISTRITO PUNO - PUNO - PUNO</t>
  </si>
  <si>
    <t>2385051.MEJORAMIENTO DEL SERVICIO EDUCATIVO EN LA I.E.S. SAN JUAN BOSCO DE SALCEDO CON JORNADA ESCOLAR COMPLETA DISTRITO DE PUNO - PROVINCIA DE PUNO - REGION PUNO</t>
  </si>
  <si>
    <t>0250261.MEJORAMIENTO DEL SERVICIO EDUCATIVO EN LA I.E.S. SAN JUAN BOSCO DE SALCEDO CON JORNADA ESCOLAR COMPLETA, DISTRITO PUNO - PUNO - PUNO</t>
  </si>
  <si>
    <t>2385673.MEJORAMIENTO DEL SERVICIO EDUCATIVO DE LA I.E.S. LAS MERCEDES DE LA CIUDAD DE JULIACA - DISTRITO DE JULIACA - PROVINCIA DE SAN ROMAN - DEPARTAMENTO DE PUNO</t>
  </si>
  <si>
    <t>0255273.MEJORAMIENTO DEL SERVICIO EDUCATIVO DE LA I.E.S. LAS MERCEDES DE LA CIUDAD DE JULIACA, DISTRITO JULIACA - SAN ROMAN - PUNO</t>
  </si>
  <si>
    <t>2393398.MEJORAMIENTO DEL SERVICIO EDUCATIVO DE NIVEL SECUNDARIO EN LA I.E. A - 28 PERU BIRF CENTRO POBLADO DE AZANGARO - DISTRITO DE AZANGARO - PROVINCIA DE AZANGARO - REGION PUNO</t>
  </si>
  <si>
    <t>0250215.MEJORAMIENTO DEL SERVICIO EDUCATIVO DE NIVEL SECUNDARIO EN LA I.E. A - 28 PERU BIRF CENTRO POBLADO DE AZANGARO, DISTRITO DE AZANGARO - AZANGARO - PUNO</t>
  </si>
  <si>
    <t>01.AZANGARO</t>
  </si>
  <si>
    <t>0417736.MEJORAMIENTO del SERVICIO INTEGRAL DE LA INSTITUCION EDUCATIVA SECUNDARIA INDUSTRIAL PERU BIRF (EJECUCION SALDO DE OBRA), DISTRITO SAN MIGUEL - SAN ROMAN - PUNO</t>
  </si>
  <si>
    <t>05.SAN MIGUEL</t>
  </si>
  <si>
    <t>7.ADQUISICION DE EQUIPO Y MOBILIARIO DE DEPORTE Y RECREACION</t>
  </si>
  <si>
    <t>1.EQUIPO DE DEPORTES Y RECREACION</t>
  </si>
  <si>
    <t>0363733.MEJORAMIENTO Y AMPLIACION DEL SERVICIOS DE EDUCACION BASICA EN EL NIVEL PRIMARIO DE LA IEP Nº 72749 CALASUCA, DISTRITO DE ITUATA - CARABAYA - PUNO</t>
  </si>
  <si>
    <t>07.ITUATA</t>
  </si>
  <si>
    <t>0308574.MEJORAMIENTO DEL SERVICIO EDUCATIVO DEL NIVEL SECUNDARIA DE LA I.E.S. TARACO DEL DISTRITO DE TARACO - HUANCANE - PUNO</t>
  </si>
  <si>
    <t>06.HUANCANE</t>
  </si>
  <si>
    <t>07.TARACO</t>
  </si>
  <si>
    <t>2525250.MEJORAMIENTO Y AMPLIACION DEL SERVICIO EDUCATIVO DEL NIVEL PRIMARIA DE LA I.E. Nº 70316 SAGRADO CORAZON DE JESUS DISTRITO DE ILAVE - PROVINCIA DE EL COLLAO - DEPARTAMENTO DE PUNO</t>
  </si>
  <si>
    <t>0356374.MEJORAMIENTO Y AMPLIACION DEL SERVICIO EDUCATIVO DEL NIVEL PRIMARIA DE LA I.E. Nº 70316 SAGRADO CORAZON DE JESUS, DISTRITO DE ILAVE - EL COLLAO - PUNO</t>
  </si>
  <si>
    <t>05.EL COLLAO</t>
  </si>
  <si>
    <t>01.ILAVE</t>
  </si>
  <si>
    <t>2538950.MEJORAMIENTO DEL SERVICIO EDUCATIVO DEL NIVEL PRIMARIO DE LA I.E. 71008 EN EL DISTRITO DE LAMPA - PROVINCIA DE LAMPA - DEPARTAMENTO DE PUNO</t>
  </si>
  <si>
    <t>0384918.MEJORAMIENTO DEL SERVICIO EDUCATIVO DEL NIVEL PRIMARIO DE LA I.E. 71008, DEL DISTRITO DE LAMPA - LAMPA - PUNO</t>
  </si>
  <si>
    <t>07.LAMPA</t>
  </si>
  <si>
    <t>01.LAMPA</t>
  </si>
  <si>
    <t>3.EQUIPOS DE TELECOMUNICACIONES</t>
  </si>
  <si>
    <t>2585923.MEJORAMIENTO DEL SERVICIO DE EDUCACION PRIMARIA EN I.E. 71016 MARIA AUXILIADORA DISTRITO DE JULIACA DE LA PROVINCIA DE SAN ROMAN DEL DEPARTAMENTO DE PUNO</t>
  </si>
  <si>
    <t>0437555.MEJORAMIENTO DEL SERVICIO DE EDUCACION PRIMARIA EN LA I.E. N° 71016 MARIA AUXILIADORA, DISTRITO JULIACA - SAN ROMAN - PUNO</t>
  </si>
  <si>
    <t>2590087.MEJORAMIENTO DEL SERVICIO DE EDUCACION SECUNDARIA EN I.E. JOSE MARIA ARGUEDAS DISTRITO DE LLALLI DE LA PROVINCIA DE MELGAR DEL DEPARTAMENTO DE PUNO</t>
  </si>
  <si>
    <t>0395981.MEJORAMIENTO DEL SERVICIO DE EDUCACION SECUNDARIA EN I.E. JOSE MARIA ARGUEDAS DISTRITO DE LLALLI, MELGAR, PUNO</t>
  </si>
  <si>
    <t>04.LLALLI</t>
  </si>
  <si>
    <t>2616445.MEJORAMIENTO DEL SERVICIO DE EDUCACION SECUNDARIA EN I.E. CRFA LUPAKAS JULI DISTRITO DE JULI DE LA PROVINCIA DE CHUCUITO DEL DEPARTAMENTO DE PUNO</t>
  </si>
  <si>
    <t>0437571.MEJORAMIENTO DEL SERVICIO DE EDUCACION SECUNDARIA EN LA I.E. CRFA LUPAKAS JULI, DISTRITO JULI - CHUCUITO - PUNO</t>
  </si>
  <si>
    <t>01.JULI</t>
  </si>
  <si>
    <t>2618450.MEJORAMIENTO DEL SERVICIO DE EDUCACION PRIMARIA EN I.E. 70001 DISTRITO DE PUNO DE LA PROVINCIA DE PUNO DEL DEPARTAMENTO DE PUNO</t>
  </si>
  <si>
    <t>0454759.MEJORAMIENTO DEL SERVICIO DE EDUCACION PRIMARIA EN I.E. 70001, DISTRITO DE PUNO - PUNO - PUNO</t>
  </si>
  <si>
    <t>0437578.MEJORAMIENTO DEL SERVICIO DE EDUCACION SECUNDARIA EN LA I.E. ROSASPATA DE CENTRO POBLADO ROSASPATA, DISTRITO DE ROSASPATA - HUANCANE - PUNO</t>
  </si>
  <si>
    <t>06.ROSASPATA</t>
  </si>
  <si>
    <t>2637985.MEJORAMIENTO DEL SERVICIO DE EDUCACION SECUNDARIA EN I.E. LLAULLI DE CENTRO POBLADO LLAULLI DISTRITO DE MOHO DE LA PROVINCIA DE MOHO DEL DEPARTAMENTO DE PUNO</t>
  </si>
  <si>
    <t>0443413.MEJORAMIENTO DEL SERVICIO DE EDUCACION SECUNDARIA EN I.E. LLAULLI DE CENTRO POBLADO LLAULLI, DISTRITO DE MOHO - MOHO - PUNO</t>
  </si>
  <si>
    <t>09.MOHO</t>
  </si>
  <si>
    <t>01.MOHO</t>
  </si>
  <si>
    <t>2637997.MEJORAMIENTO DEL SERVICIO DE EDUCACION SECUNDARIA EN I.E. UMUCHI DISTRITO DE MOHO DE LA PROVINCIA DE MOHO DEL DEPARTAMENTO DE PUNO</t>
  </si>
  <si>
    <t>0443449.MEJORAMIENTO DEL SERVICIO DE EDUCACION SECUNDARIA EN I.E. UMUCHI, DISTRITO DE MOHO - MOHO - PUNO</t>
  </si>
  <si>
    <t>2638009.MEJORAMIENTO DEL SERVICIO DE EDUCACION SECUNDARIA EN I.E. HUARAYA DE CENTRO POBLADO HUARAYA DISTRITO DE MOHO DE LA PROVINCIA DE MOHO DEL DEPARTAMENTO DE PUNO</t>
  </si>
  <si>
    <t>0443412.MEJORAMIENTO DEL SERVICIO DE EDUCACION SECUNDARIA EN I.E. HUARAYA DE CENTRO POBLADO HUARAYA, DISTRITO DE MOHO - MOHO - PUNO</t>
  </si>
  <si>
    <t>0463825.MEJORAMIENTO DEL SERVICIO DE EDUCACION PRIMARIA EN LA I.E. N° 70726, DISTRITO DE PUNO - PUNO - PUNO</t>
  </si>
  <si>
    <t>2652119.MEJORAMIENTO DEL SERVICIO DE EDUCACION PRIMARIA EN I.E. 70802 DISTRITO DE PUNO DE LA PROVINCIA DE PUNO DEL DEPARTAMENTO DE PUNO</t>
  </si>
  <si>
    <t>0454756.MEJORAMIENTO DEL SERVICIO DE EDUCACION PRIMARIA EN I.E. 70802, DISTRITO DE PUNO - PUNO - PUNO</t>
  </si>
  <si>
    <t>0463824.MEJORAMIENTO DEL SERVICIO DE EDUCACION PRIMARIA EN LA I.E. N° 70682, DISTRITO DE PUNO - PUNO - PUNO</t>
  </si>
  <si>
    <t>0463855.MEJORAMIENTO DEL SERVICIO DE EDUCACION SECUNDARIA EN LA I.E. SOLLOCOTA DEL CENTRO POBLADO VIRGEN DEL ROSARIO SOLLOCOTA, DISTRITO DE SAN JOSE - AZANGARO - PUNO</t>
  </si>
  <si>
    <t>12.SAN JOSE</t>
  </si>
  <si>
    <t>2656882.MEJORAMIENTO DEL SERVICIO DE EDUCACION SECUNDARIA EN I.E. AGROINDUSTRIAL MAXIMO SAN ROMAN CACERES DE AJJATIRA, DE CENTRO POBLADO SANTIAGO AJJATIRA DISTRITO DE PEDRO VILCA APAZA DE LA PROVINCIA DE SAN ANTONIO DE PUTINA DEL DEPARTAMENTO DE PUNO</t>
  </si>
  <si>
    <t>0463838.MEJORAMIENTO DEL SERVICIO DE EDUCACION SECUNDARIA EN LA I.E. AGROINDUSTRIAL MAXIMO SAN ROMAN CACERES DE AJJATIRA, DEL CENTRO POBLADO SANTIAGO AJJATIRA, DISTRITO DE PEDRO VILCA APAZA - SAN ANTONIO DE PUTINA - PUNO</t>
  </si>
  <si>
    <t>10.SAN ANTONIO DE PUTINA</t>
  </si>
  <si>
    <t>03.PEDRO VILCA APAZA</t>
  </si>
  <si>
    <t>0463845.MEJORAMIENTO DEL SERVICIO DE EDUCACION SECUNDARIA EN LA I.E. JOSE ABELARDO QUIÑONES GONZALES DISTRITO DE MOHO - MOHO - PUNO</t>
  </si>
  <si>
    <t>2660479.MEJORAMIENTO DEL SERVICIO DE EDUCACION SECUNDARIA EN I.E. 20 DE ENERO DISTRITO DE JULIACA DE LA PROVINCIA DE SAN ROMAN DEL DEPARTAMENTO DE PUNO</t>
  </si>
  <si>
    <t>0463849.MEJORAMIENTO DEL SERVICIO DE EDUCACION SECUNDARIA EN LA I.E. N° 20 DE ENERO, DISTRITO DE JULIACA - SAN ROMAN - PUNO</t>
  </si>
  <si>
    <t>2662668.MEJORAMIENTO DEL SERVICIO DE EDUCACION PRIMARIA EN I.E. 72060 DE CENTRO POBLADO YURAJCHUPA DISTRITO DE SAN JUAN DE SALINAS DE LA PROVINCIA DE AZANGARO DEL DEPARTAMENTO DE PUNO</t>
  </si>
  <si>
    <t>0463826.MEJORAMIENTO DEL SERVICIO DE EDUCACION PRIMARIA EN LA I.E. N° 72060 DEL CENTRO POBLADO YURAJCHUPA, DISTRITO DE SAN JUAN DE SALINAS - AZANGARO - PUNO</t>
  </si>
  <si>
    <t>13.SAN JUAN DE SALINAS</t>
  </si>
  <si>
    <t>2662786.MEJORAMIENTO DEL SERVICIO DE EDUCACION PRIMARIA EN I.E. 72662 DE CENTRO POBLADO CALLA DISTRITO DE SAN JUAN DE SALINAS DE LA PROVINCIA DE AZANGARO DEL DEPARTAMENTO DE PUNO</t>
  </si>
  <si>
    <t>0459484.MEJORAMIENTO DEL SERVICIO DE EDUCACION PRIMARIA EN LA I.E. N° 72662 DE CENTRO POBLADO CALLA, DISTRITO DE SAN JUAN DE SALINAS - AZANGARO - PUNO</t>
  </si>
  <si>
    <t>0463847.MEJORAMIENTO DEL SERVICIO DE EDUCACION SECUNDARIA EN LA I.E. JOSE CARLOS MARIATEGUI, DISTRITO DE SAN JUAN DE SALINAS - AZANGARO - PUNO</t>
  </si>
  <si>
    <t>0463827.MEJORAMIENTO DEL SERVICIO DE EDUCACION PRIMARIA EN LA I.E. N° 72289 DEL CENTRO POBLADO HUARISANI, DISTRITO DE HUANCANE - HUANCANE - PUNO</t>
  </si>
  <si>
    <t>01.HUANCANE</t>
  </si>
  <si>
    <t>6000026.FORTALECIMIENTO DE CADENAS PRODUCTIVAS</t>
  </si>
  <si>
    <t>0255268.MEJORAMIENTO DE LAS CAPACIDADES TECNOLOGICAS EN EL MANEJO DE CADENA PRODUCTIVA DE TRUCHA, MULTIDISTRITAL - MULTIPROVINCIAL - PUNO</t>
  </si>
  <si>
    <t>0095.FORTALECIMIENTO DE LA PESCA ARTESANAL</t>
  </si>
  <si>
    <t>026.PESCA</t>
  </si>
  <si>
    <t>0053.INFRAESTRUCTURA PESQUERA</t>
  </si>
  <si>
    <t>2603148.MEJORAMIENTO DE LOS SERVICIOS DE APOYO AL DESARROLLO PRODUCTIVO EN 19 UNIDADES PRODUCTORAS 19 DISTRITOS DE 7 PROVINCIAS DEL DEPARTAMENTO DE PUNO</t>
  </si>
  <si>
    <t>0437053.MEJORAMIENTO DE LOS SERVICIOS DE APOYO AL DESARROLLO PRODUCTIVO EN 19 UNIDADES PRODUCTORAS 19 DISTRITOS DE 7 PROVINCIAS DEL PUNO</t>
  </si>
  <si>
    <t>117.EVENTOS</t>
  </si>
  <si>
    <t>3.PARA TRANSPORTE ACUATICO</t>
  </si>
  <si>
    <t>2603160.MEJORAMIENTO DE LOS SERVICIOS DE APOYO AL DESARROLLO PRODUCTIVO EN 4 UNIDADES PRODUCTORAS 4 DISTRITOS DE LAS PROVINCIAS DE SANDIA, CARABAYA DEL DEPARTAMENTO DE PUNO</t>
  </si>
  <si>
    <t>0452592.MEJORAMIENTO DE LOS SERVICIOS DE APOYO AL DESARROLLO PRODUCTIVO EN 4 UNIDADES PRODUCTORAS 4 DISTRITOS DE LAS PROVINCIAS DE SANDIA, CARABAYA, MULTIDISTRITAL - MULTIPROVINCIAL - PUNO</t>
  </si>
  <si>
    <t>12.SANDIA</t>
  </si>
  <si>
    <t>4000166.MEJORAMIENTO DE INFRAESTRUCTURA DEPORTIVA</t>
  </si>
  <si>
    <t>0234622.MEJORAMIENTO DEL SERVICIO DEPORTIVO, CULTURAL Y RECREACIONAL EN LA CAPITAL DE LA REGION PUNO, DISTRITO PUNO - PUNO - PUNO</t>
  </si>
  <si>
    <t>0101.INCREMENTO DE LA PRACTICA DE ACTIVIDADES FISICAS, DEPORTIVAS Y RECREATIVAS EN LA POBLACION PERUANA</t>
  </si>
  <si>
    <t>046.DEPORTES</t>
  </si>
  <si>
    <t>0102.INFRAESTRUCTURA DEPORTIVA Y RECREATIVA</t>
  </si>
  <si>
    <t>0131401.MEJORAMIENTO DE LA CAPACIDAD DE PRESTACION DE SERVICIOS DEPORTIVOS EN EL ESTADIO GUILLERMO BRICEÑO ROSAMEDINA, DISTRITO DE JULIACA - SAN ROMAN - PUNO</t>
  </si>
  <si>
    <t>2292669.MEJORAMIENTO Y AMPLIACION DEL SERVICIO DEPORTIVO DEL ESTADIO MUNICIPAL DE LA LOCALIDAD DE AYAVIRI DEL DISTRITO DE AYAVIRI - PROVINCIA DE MELGAR - DEPARTAMENTO DE PUNO</t>
  </si>
  <si>
    <t>0338247.MEJORAMIENTO Y AMPLIACION DEL SERVICIO DEPORTIVO DEL ESTADIO MUNICIPAL DE LA LOCALIDAD DE AYAVIRI DEL DISTRITO DE AYAVIRI - MELGAR - PUNO</t>
  </si>
  <si>
    <t>01.AYAVIRI</t>
  </si>
  <si>
    <t>2645340.REPARACION DE TRIBUNA Y/O PALCO Y SERVICIOS HIGIENICOS Y/O VESTIDORES; CONSTRUCCION DE CAMPO DEPORTIVO; EN EL(LA) ESTADIO MUNICIPAL CRUCERO DISTRITO DE CRUCERO, PROVINCIA CARABAYA, DEPARTAMENTO PUNO</t>
  </si>
  <si>
    <t>0431539.REPARACION DE TRIBUNA Y/O PALCO Y SERVICIOS HIGIENICOS Y/O VESTIDORES; CONSTRUCCION DE CAMPO DEPORTIVO; EN EL ESTADIO MUNICIPAL CRUCERO, DISTRITO CRUCERO - CARABAYA - PUNO</t>
  </si>
  <si>
    <t>06.CRUCERO</t>
  </si>
  <si>
    <t>2645376.REPARACION DE TRIBUNA Y/O PALCO Y CAMPO DEPORTIVO; CONSTRUCCION DE TRIBUNA Y/O PALCO Y PISTA DE ATLETISMO (DEPORTE RECREATIVO); ADEMAS DE OTROS ACTIVOS EN EL(LA) ESTADIO MUNICIPAL DE PUTINA DISTRITO DE PUTINA, PROVINCIA SAN ANTONIO DE PUTINA, DEPA</t>
  </si>
  <si>
    <t>0431535.REPARACION DE TRIBUNA Y/O PALCO Y CAMPO DEPORTIVO; CONSTRUCCION DE TRIBUNA Y/O PALCO Y PISTA DE ATLETISMO (DEPORTE RECREATIVO); ADEMAS DE OTROS ACTIVOS EN EL ESTADIO MUNICIPAL DE PUTINA, DISTRITO PUTINA - SAN ANTONIO DE PUTINA - PUNO</t>
  </si>
  <si>
    <t>01.PUTINA</t>
  </si>
  <si>
    <t>2645380.CONSTRUCCION DE TRIBUNA Y/O PALCO, CAMPO DEPORTIVO Y PISTA DE ATLETISMO (DEPORTE RECREATIVO); REPARACION DE SERVICIOS HIGIENICOS Y/O VESTIDORES; ADEMAS DE OTROS ACTIVOS EN EL(LA) ESTADIO MUNICIPAL FERNANDO ROMERO CARREON DISTRITO DE LAMPA, PROVINC</t>
  </si>
  <si>
    <t>0431532.CONSTRUCCION DE TRIBUNA Y/O PALCO, CAMPO DEPORTIVO Y PISTA DE ATLETISMO (DEPORTE RECREATIVO); REPARACION DE SERVICIOS HIGIENICOS Y/O VESTIDORES; ADEMAS DE OTROS ACTIVOS EN EL ESTADIO MUNICIPAL FERNANDO ROMERO CARREON, DISTRITO LAMPA - LAMPA - PUNO</t>
  </si>
  <si>
    <t>2645444.REPARACION DE TRIBUNA Y/O PALCO; CONSTRUCCION DE CAMPO DEPORTIVO; EN EL(LA) ESTADIO MUNICIPAL DE PILCUYO DISTRITO DE PILCUYO, PROVINCIA EL COLLAO, DEPARTAMENTO PUNO</t>
  </si>
  <si>
    <t>0431538.REPARACION DE TRIBUNA Y/O PALCO; CONSTRUCCION DE CAMPO DEPORTIVO; EN EL ESTADIO MUNICIPAL DE PILCUYO, DISTRITO PILCUYO - EL COLLAO - PUNO</t>
  </si>
  <si>
    <t>2645446.REPARACION DE TRIBUNA Y/O PALCO Y PISTA DE ATLETISMO (DEPORTE RECREATIVO); CONSTRUCCION DE CAMPO DEPORTIVO; EN EL(LA) ESTADIO DE LA GRAN UNIDAD SAN CARLOS DISTRITO DE PUNO, PROVINCIA PUNO, DEPARTAMENTO PUNO</t>
  </si>
  <si>
    <t>0431533.REPARACION DE TRIBUNA Y/O PALCO Y PISTA DE ATLETISMO (DEPORTE RECREATIVO); CONSTRUCCION DE CAMPO DEPORTIVO; EN EL ESTADIO DE LA GRAN UNIDAD SAN CARLOS, DISTRITO PUNO - PUNO - PUNO</t>
  </si>
  <si>
    <t>2646095.CONSTRUCCION DE CAMPO DEPORTIVO Y SERVICIOS HIGIENICOS Y/O VESTIDORES; REPARACION DE SERVICIOS HIGIENICOS Y/O VESTIDORES Y TRIBUNA Y/O PALCO; ADEMAS DE OTROS ACTIVOS EN EL(LA) ESTADIO MUNICIPAL DE CONIMA DISTRITO DE CONIMA, PROVINCIA MOHO, DEPARTA</t>
  </si>
  <si>
    <t>0431531.CONSTRUCCION DE CAMPO DEPORTIVO Y SERVICIOS HIGIENICOS Y/O VESTIDORES; REPARACION DE SERVICIOS HIGIENICOS Y/O VESTIDORES Y TRIBUNA Y/O PALCO; ADEMAS DE OTROS ACTIVOS EN EL ESTADIO MUNICIPAL DE CONIMA, DISTRITO CONIMA - MOHO - PUNO</t>
  </si>
  <si>
    <t>02.CONIMA</t>
  </si>
  <si>
    <t>2646096.CONSTRUCCION DE TRIBUNA Y/O PALCO; REPARACION DE TRIBUNA Y/O PALCO Y CAMPO DEPORTIVO; EN EL(LA) ESTADIO JOSE CARLOS MARIATEGUI DISTRITO DE YUNGUYO, PROVINCIA YUNGUYO, DEPARTAMENTO PUNO</t>
  </si>
  <si>
    <t>0431537.CONSTRUCCION DE TRIBUNA Y/O PALCO; REPARACION DE TRIBUNA Y/O PALCO Y CAMPO DEPORTIVO; EN EL ESTADIO JOSE CARLOS MARIATEGUI, DISTRITO YUNGUYO - YUNGUYO - PUNO</t>
  </si>
  <si>
    <t>13.YUNGUYO</t>
  </si>
  <si>
    <t>01.YUNGUYO</t>
  </si>
  <si>
    <t>2646100.CONSTRUCCION DE CAMPO DEPORTIVO Y SERVICIOS HIGIENICOS Y/O VESTIDORES PARA PERSONAL; REPARACION DE TRIBUNA Y/O PALCO; EN EL(LA) ESTADIO MUNICIPAL DE SAN PEDRO DE PUTINA PUNCO DISTRITO DE SAN PEDRO DE PUTINA PUNCO, PROVINCIA SANDIA, DEPARTAMENTO PU</t>
  </si>
  <si>
    <t>0431534.CONSTRUCCION DE CAMPO DEPORTIVO Y SERVICIOS HIGIENICOS Y/O VESTIDORES PARA PERSONAL; REPARACION DE TRIBUNA Y/O PALCO; EN EL ESTADIO MUNICIPAL DE SAN PEDRO DE PUTINA PUNCO, DISTRITO SAN PEDRO DE PUTINA PUNCO - SANDIA - PUNO</t>
  </si>
  <si>
    <t>10.SAN PEDRO DE PUTINA PUNCO</t>
  </si>
  <si>
    <t>2646109.REPARACION DE TRIBUNA Y/O PALCO; CONSTRUCCION DE CAMPO DEPORTIVO Y TRIBUNA Y/O PALCO; EN EL(LA) ESTADIO MUNICIPAL DE JULI DISTRITO DE JULI, PROVINCIA CHUCUITO, DEPARTAMENTO PUNO</t>
  </si>
  <si>
    <t>0431536.REPARACION DE TRIBUNA Y/O PALCO; CONSTRUCCION DE CAMPO DEPORTIVO Y TRIBUNA Y/O PALCO; EN EL ESTADIO MUNICIPAL DE JULI, DISTRITO JULI - CHUCUITO - PUNO</t>
  </si>
  <si>
    <t>2669946.MEJORAMIENTO DEL SERVICIO DE PRACTICA DEPORTIVA Y/O RECREATIVA EN ESTADIO MUNICIPAL DE MOHO DISTRITO DE MOHO DE LA PROVINCIA DE MOHO DEL DEPARTAMENTO DE PUNO</t>
  </si>
  <si>
    <t>0464014.MEJORAMIENTO DEL SERVICIO DE PRACTICA DEPORTIVA Y/O RECREATIVA EN ESTADIO MUNICIPAL DE MOHO DISTRITO DE MOHO - MOHO - PUNO</t>
  </si>
  <si>
    <t>5000276.GESTION DEL PROGRAMA</t>
  </si>
  <si>
    <t>0047173.GESTION DEL PROGRAMA</t>
  </si>
  <si>
    <t>0103.FORTALECIMIENTO DE LAS CONDICIONES LABORALES</t>
  </si>
  <si>
    <t>07.TRABAJO</t>
  </si>
  <si>
    <t>020.TRABAJO</t>
  </si>
  <si>
    <t>0041.REGULACION Y CONTROL DE LA RELACION LABORAL</t>
  </si>
  <si>
    <t>4.RETRIBUCIONES Y COMPLEMENTOS EN EFECTIVO VARIABLES</t>
  </si>
  <si>
    <t>1.GASTOS VARIABLES Y OCASIONALES</t>
  </si>
  <si>
    <t>2.COMPENSACION POR TIEMPO DE SERVICIOS DE OTROS REGÍMENES</t>
  </si>
  <si>
    <t>4.ASIGNACION POR CUMPLIR 25 O 30 AÑOS</t>
  </si>
  <si>
    <t>6.COMPENSACION VACACIONAL (VACACIONES TRUNCAS) AL PERSONAL ACTIVO</t>
  </si>
  <si>
    <t>1.PARA EDIFICIOS Y ESTRUCTURAS</t>
  </si>
  <si>
    <t>2.GASES</t>
  </si>
  <si>
    <t>2.DE COMUNICACIONES Y TELECOMUNICACIONES</t>
  </si>
  <si>
    <t>99.OTROS ACCESORIOS Y REPUESTOS</t>
  </si>
  <si>
    <t>7.ENSERES</t>
  </si>
  <si>
    <t>1.ENSERES</t>
  </si>
  <si>
    <t>8.SUMINISTROS MEDICOS</t>
  </si>
  <si>
    <t>1.PRODUCTOS FARMACEUTICOS</t>
  </si>
  <si>
    <t>2.MEDICAMENTOS</t>
  </si>
  <si>
    <t>3.LIBROS, DIARIOS, REVISTAS Y OTROS BIENES IMPRESOS NO VINCULADOS A ENSEÑANZA</t>
  </si>
  <si>
    <t>2.SERVICIOS DE TELEFONIA E INTERNET</t>
  </si>
  <si>
    <t>2.SERVICIO DE TELEFONIA FIJA</t>
  </si>
  <si>
    <t>3.SERVICIO DE INTERNET</t>
  </si>
  <si>
    <t>5.DE VEHICULOS</t>
  </si>
  <si>
    <t>1.DE EDIFICIOS Y ESTRUCTURAS</t>
  </si>
  <si>
    <t>1.SERVICIOS ADMINISTRATIVOS</t>
  </si>
  <si>
    <t>2.GASTOS NOTARIALES</t>
  </si>
  <si>
    <t>4.SERVICIOS DE PROCESAMIENTO DE DATOS E INFORMATICA</t>
  </si>
  <si>
    <t>99.OTROS SERVICIOS DE INFORMATICA</t>
  </si>
  <si>
    <t>02.ACORA</t>
  </si>
  <si>
    <t>5.SERVICIOS DE ALIMENTACION DE CONSUMO HUMANO</t>
  </si>
  <si>
    <t>3000635.PERSONAS CUENTAN CON ORIENTACION Y ASISTENCIA TECNICA EN MATERIA DE NORMATIVIDAD LABORAL Y BUENAS PRACTICAS LABORALES</t>
  </si>
  <si>
    <t>5004946.ABSOLUCION DE CONSULTAS EN MATERIAS LABORALES</t>
  </si>
  <si>
    <t>0135334.ABSOLUCION DE CONSULTAS EN MATERIAS LABORALES</t>
  </si>
  <si>
    <t>5005589.CAPACITACION Y DIFUSION DE LA NORMATIVA LABORAL A TRAVES DE MEDIOS DE DIFUSION MASIVA</t>
  </si>
  <si>
    <t>0160804.CAPACITACION Y DIFUSION DE LA NORMATIVA LABORAL A TRAVES DE MEDIOS DE DIFUSION MASIVA</t>
  </si>
  <si>
    <t>5006205.FORMALIZACION DE LA FUERZA LABORAL</t>
  </si>
  <si>
    <t>0236280.FORMALIZACION DE LA FUERZA LABORAL</t>
  </si>
  <si>
    <t>2357337.MEJORAMIENTO Y AMPLIACION DEL SERVICIO EDUCATIVO DE LA ESCUELA SUPERIOR DE FORMACION ARTISTICA PUBLICA (ESFAP - PUNO), DISTRITO DE PUNO - PROVINCIA DE PUNO - REGION PUNO</t>
  </si>
  <si>
    <t>4000021.INSTALACION DE INFRAESTRUCTURA DE EDUCACION SUPERIOR NO UNIVERSITARIA</t>
  </si>
  <si>
    <t>0282417.MEJORAMIENTO Y AMPLIACION DEL SERVICIO EDUCATIVO DE LA ESCUELA SUPERIOR DE FORMACION ARTISTICA PUBLICA (ESFAP - PUNO), DISTRITO PUNO - PUNO - PUNO</t>
  </si>
  <si>
    <t>0107.MEJORA DE  LA FORMACION EN CARRERAS DOCENTES EN INSTITUTOS DE EDUCACION SUPERIOR NO UNIVERSITARIA</t>
  </si>
  <si>
    <t>048.EDUCACION SUPERIOR</t>
  </si>
  <si>
    <t>0108.EDUCACION SUPERIOR NO UNIVERSITARIA</t>
  </si>
  <si>
    <t>2623873.MEJORAMIENTO DE LOS SERVICIOS EDUCACION SUPERIOR PEDAGOGICA EN EL INSTITUTO DE EDUCACION SUPERIOR PEDAGOGICO DE EDUCACION FISICA DE LAMPA DEL DISTRITO DE LAMPA DE LA PROVINCIA DE LAMPA DEL DEPARTAMENTO DE PUNO</t>
  </si>
  <si>
    <t>4000039.MEJORAMIENTO DE INFRAESTRUCTURA DE EDUCACION SUPERIOR NO UNIVERSITARIA</t>
  </si>
  <si>
    <t>0437117.MEJORAMIENTO DE LOS SERVICIOS EDUCACION SUPERIOR PEDAGOGICA EN EL INSTITUTO DE EDUCACION SUPERIOR PEDAGOGICO DE EDUCACION FISICA DE LAMPA DEL DISTRITO DE LAMPA - LAMPA - PUNO</t>
  </si>
  <si>
    <t>2627406.RENOVACION DE AMBIENTE COMPLEMENTARIO, AULA DE EDUCACION SUPERIOR PEDAGOGICA Y CERCO PERIMETRICO; ADQUISICION DE MOBILIARIO DE AULA DE EDUCACION SUPERIOR PEDAGOGICA; ADEMAS DE OTROS ACTIVOS EN EL(LA) INSTITUTO DE EDUCACION SUPERIOR PEDAGOGICA PUBL</t>
  </si>
  <si>
    <t>0423748.RENOVACION DE AMBIENTE COMPLEMENTARIO, AULA DE EDUCACION SUPERIOR PEDAGOGICA Y CERCO PERIMETRICO; ADQUISICION DE MOBILIARIO DE AULA DE EDUCACION SUPERIOR PEDAGOGICA; ADEMAS DE OTROS ACTIVOS EN EL IESPP JULI, DISTRITO JULI - CHUCUITO - PUNO</t>
  </si>
  <si>
    <t>3000577.PERSONAS INTERMEDIADAS PARA SU INSERCION LABORAL</t>
  </si>
  <si>
    <t>5006247.ATENCION DE SERVICIOS DE INTERMEDIACION LABORAL</t>
  </si>
  <si>
    <t>0258431.ATENCION DE SERVICIOS DE INTERMEDIACION LABORAL</t>
  </si>
  <si>
    <t>0116.MEJORAMIENTO DE LA EMPLEABILIDAD E INSERCION LABORAL-PROEMPLEO</t>
  </si>
  <si>
    <t>0042.PROMOCION LABORAL</t>
  </si>
  <si>
    <t>087.PERSONA ATENDIDA</t>
  </si>
  <si>
    <t>3000889.NIÑAS, NIÑOS Y ADOLESCENTES  EN DESPROTECCION FAMILIAR EN CENTROS DE ACOGIDA RESIDENCIAL RECIBEN SERVICIOS DE PROTECCION</t>
  </si>
  <si>
    <t>5006337.ATENCION, CUIDADO Y PROTECCION A NIÑAS, NIÑOS Y ADOLESCENTES EN DESPROTECCION FAMILIAR A TRAVES DE CENTROS DE ACOGIDA RESIDENCIAL BASICO</t>
  </si>
  <si>
    <t>0290671.ATENCION, CUIDADO Y PROTECCION A NIÑAS, NIÑOS Y ADOLESCENTES EN DESPROTECCION FAMILIAR A TRAVES DE CENTROS DE ACOGIDA RESIDENCIAL BASICO</t>
  </si>
  <si>
    <t>0117.ATENCION OPORTUNA DE NIÑAS, NIÑOS Y ADOLESCENTES EN PRESUNTO ESTADO DE ABANDONO</t>
  </si>
  <si>
    <t>23.PROTECCION SOCIAL</t>
  </si>
  <si>
    <t>051.ASISTENCIA SOCIAL</t>
  </si>
  <si>
    <t>0115.PROTECCION DE POBLACIONES EN RIESGO</t>
  </si>
  <si>
    <t>1.APOYO ALIMENTARIO</t>
  </si>
  <si>
    <t>99.OTROS BIENES DE APOYO ALIMENTARIO</t>
  </si>
  <si>
    <t>2.TEXTILES Y ACABADOS TEXTILES</t>
  </si>
  <si>
    <t>3.CALZADO</t>
  </si>
  <si>
    <t>2.DE COCINA, COMEDOR Y CAFETERIA</t>
  </si>
  <si>
    <t>2.MATERIAL,INSUMOS,INSTRUMENTAL Y ACCESORIOS MEDICOS,QUIRURGICOS, ODONTOLOGICOS Y DE LABORATORIO</t>
  </si>
  <si>
    <t>1.MATERIAL, INSUMOS, INSTRUMENTAL Y ACCESORIOS  MEDICOS, QUIRURGICOS, ODONTOLOGICOS Y DE LABORATORIO</t>
  </si>
  <si>
    <t>9.MATERIALES Y UTILES DE ENSEÑANZA</t>
  </si>
  <si>
    <t>1.MATERIALES Y UTILES DE ENSEÑANZA</t>
  </si>
  <si>
    <t>2.MATERIAL DIDACTICO, ACCESORIOS Y UTILES DE ENSEÑANZA</t>
  </si>
  <si>
    <t>1.HERRAMIENTAS</t>
  </si>
  <si>
    <t>2.DE VEHICULOS</t>
  </si>
  <si>
    <t>05.CAPACHICA</t>
  </si>
  <si>
    <t>4000081.MEJORAMIENTO DE LA RED VIAL DEPARTAMENTAL</t>
  </si>
  <si>
    <t>4.COSTO DE CONSTRUCCION POR ADMINISTRACION DIRECTA - PERSONAL</t>
  </si>
  <si>
    <t>0029447.CONSTRUCCION Y MEJORAMIENTO DE LA CARRETERA SAN JOSE (EMP. R 100) VALLE GRANDE ISILLUMA DEL DISTRITO DE ALTO INAMBARI</t>
  </si>
  <si>
    <t>0138.REDUCCION DEL COSTO, TIEMPO E INSEGURIDAD EN EL SISTEMA DE TRANSPORTE</t>
  </si>
  <si>
    <t>15.TRANSPORTE</t>
  </si>
  <si>
    <t>033.TRANSPORTE TERRESTRE</t>
  </si>
  <si>
    <t>0065.VIAS DEPARTAMENTALES</t>
  </si>
  <si>
    <t>09.ALTO INAMBARI</t>
  </si>
  <si>
    <t>5.COSTO DE CONSTRUCCION POR ADMINISTRACION DIRECTA - BIENES</t>
  </si>
  <si>
    <t>6.COSTO DE CONSTRUCCION POR ADMINISTRACION DIRECTA - SERVICIOS</t>
  </si>
  <si>
    <t>2055915.MEJORAMIENTO DE LA CARRETERA AZANGARO - SAYTOCOCHA - SANDIA - SAN JUAN DEL ORO</t>
  </si>
  <si>
    <t>0109233.MEJORAMIENTO DE LA CARRETERA AZANGARO - SAYTOCOCHA - SANDIA - SAN JUAN DEL ORO : TRAMO MUÑANI - SAYTOCOCHA - SECTOR II (KM. 14+700 AL KM 30+000), DISTRITO MUÑANI - AZANGARO - PUNO</t>
  </si>
  <si>
    <t>2131389.MEJORAMIENTO DE LA INFRAESTRUCTURA VIAL DEL CIRCUITO TURISTICO LAGO SAGRADO DE LOS INCAS - DISTRITOS CAPACHICA, CHUCUITO, PLATERIA, ACORA, ILAVE</t>
  </si>
  <si>
    <t>0047079.MEJORAMIENTO INFRAESTRUCTURA DEL CIRCUITO TURISTICO LAGO SAGRADO LOS INCAS</t>
  </si>
  <si>
    <t>4000072.CONSTRUCCION DE LA RED VIAL DEPARTAMENTAL</t>
  </si>
  <si>
    <t>0109237.CONSTRUCCION Y MEJORAMIENTO DE LA CARRETER A DESVIO VILQUECHICO COJATA - SINA - YANAHUAYA - TRAMO III - SUB TRAMO 002 (CHALLHUANI - PURUMPATA) KM. 31+200 AL KM. 48+800 ) - 17.600 KM, DISTRITO SINA - SAN ANTONIO DE PUTINA - PUNO</t>
  </si>
  <si>
    <t>05.SINA</t>
  </si>
  <si>
    <t>2159836.MEJORAMIENTO Y CREACION DEL CAMINO VECINAL SACO-HUANACURI, DISTRITO DE COASA - CARABAYA - PUNO</t>
  </si>
  <si>
    <t>4000079.MEJORAMIENTO DE CAMINO VECINAL</t>
  </si>
  <si>
    <t>0315389.MEJORAMIENTO Y CREACION DEL CAMINO VECINAL SACO-HUANACURI, DISTRITO COASA - CARABAYA - PUNO</t>
  </si>
  <si>
    <t>0066.VIAS VECINALES</t>
  </si>
  <si>
    <t>04.COASA</t>
  </si>
  <si>
    <t>2163760.MEJORAMIENTO DE LA INFRAESTRUCTURA VIAL TURISTICO, TRAMO PHUTINI - JAYU JAYU, DISTRITO DE ACORA - PUNO - PUNO</t>
  </si>
  <si>
    <t>0321500.MEJORAMIENTO DE LA INFRAESTRUCTURA VIAL TURISTICO, TRAMO PHUTINI - JAYU JAYU, DISTRITO DE ACORA - PUNO - PUNO</t>
  </si>
  <si>
    <t>2185111.MEJORAMIENTO DE LA CARRETERA (PU 112) PUTINA - MUÑANI, DISTRITOS DE PUTINA Y MUÑANI, PROVINCIAS DE SAN ANTONIO DE PUTINA Y AZANGARO - PUNO</t>
  </si>
  <si>
    <t>0125885.MEJORAMIENTO DE LA CARRETERA (PU 112) PUTINA - MUÑANI, MULTIDISTRITAL - MULTIPROVINCIAL - PUNO</t>
  </si>
  <si>
    <t>0216309.MEJORAMIENTO DE LA CARRETERA DV. DESAGUADERO (EMP PE 36A) - KELLUYO - PISACOMA : TRAMO II KELLUYO - PISACOMA 27+479 KM, MULTIDISTRITAL - CHUCUITO - PUNO</t>
  </si>
  <si>
    <t>04.KELLUYO</t>
  </si>
  <si>
    <t>0140958.MEJORAMIENTO DE LA CARRETERA (PU 675) POMATA - YOROHOCO, MULTIDISTRITAL - CHUCUITO - PUNO</t>
  </si>
  <si>
    <t>06.POMATA</t>
  </si>
  <si>
    <t>2195487.MEJORAMIENTO DEL CAMINO VECINAL (EMP. PE 3S) HUAQUINA ZAPIJICANE - PTO JULI - CHUCASUYO DEL DISTRITO DE JULI - PROVINCIA DE CHUCUITO - DEPARTAMENTO DE PUNO</t>
  </si>
  <si>
    <t>4000070.CONSTRUCCION DE CAMINO VECINAL</t>
  </si>
  <si>
    <t>0279938.MEJORAMIENTO DEL CAMINO VECINAL (EMP. PE 3S) HUAQUINA ZAPIJICANE - PTO JULI - CHUCASUYO, DISTRITO DE JULI - CHUCUITO - PUNO</t>
  </si>
  <si>
    <t>2232371.MEJORAMIENTO Y CONSTRUCCION DE LA CARRETERA PICHACANI - YURACMAYO DISTRITO DE PICHACANI Y SAN ANTONIO, PROVINCIA DE PUNO - PUNO</t>
  </si>
  <si>
    <t>0109958.MEJORAMIENTO Y CONSTRUCCION DE LA CARRETERA PICHACANI - YURACMAYO, DISTRITO DE PICHACANI Y SAN ANTONIO - PUNO - PUNO</t>
  </si>
  <si>
    <t>0236341.MEJORAMIENTO DE LA CARRETERA PU N-110: EMP. PE-34I ASIRUNI - ROSASPATA - HUAYRAPATA - EMP. PE-34I NINANTAYA - TRAMO I : DV. AZIRUNI - ROSASPATA (00+00 - 20+100), DISTRITO DE ROSASPATA - HUANCANE - PUNO</t>
  </si>
  <si>
    <t>2300575.MEJORAMIENTO DE LA AVENIDA CIRCUNVALACION II (EMP. PE- 3S-AV. HUANCANE-CIRCUNVALACION ESTE-EMP PE-3S) DE LA CIUDAD DE JULIACA- EMPALME PU-3S INICIO CON CIRCUNVALACION II - DISTRITO DE SAN MIGUEL - EMPALME PU-3S FINAL CON CIRCUNVALACION II - DISTRI</t>
  </si>
  <si>
    <t>4000084.MEJORAMIENTO DE VIA LOCAL</t>
  </si>
  <si>
    <t>0377940.MEJORAMIENTO DE AVENIDA CIRCUNVALACION II (EMP. PE- 3S-AV. HUANCANE-CIRCUNVALACION ESTE-EMP PE-3S) EMPALME PU-3S INICIO CIRCUNVALACION II - DISTRITO SAN MIGUEL - EMPALME PU-3S FINAL CON CIRCUNVALACION II - TRAMO I, MULTIDISTRITAL - SAN ROMAN - PUN</t>
  </si>
  <si>
    <t>2316291.MEJORAMIENTO Y AMPLIACION DEL CIRCUITO VIAL ECO TURISTICO, CAPACHICA - SIALE - CCOTOS - PARAMIS, DISTRITOS DE CAPACHICA, AMANTANI, PROVINCIA DE PUNO - PUNO</t>
  </si>
  <si>
    <t>0388667.MEJORAMIENTO Y AMPLIACION DEL CIRCUITO VIAL ECO TURISTICO, CAPACHICA - SIALE - CCOTOS - PARAMIS - TRAMO I : CAPACHICA - CCOTOS, DISTRITO CAPACHICA - PUNO - PUNO</t>
  </si>
  <si>
    <t>0203217.MEJORAMIENTO DE LOS SERVICIOS DE TRANSITABILIDAD DE LA VIA VECINAL PU-595: DV. PAMPA BLANCA - RINCONADA - CERRO LUNAR, DISTRITO DE ANANEA, SAN ANTONIO DE PUTINA, PUNO</t>
  </si>
  <si>
    <t>02.ANANEA</t>
  </si>
  <si>
    <t>2338085.CREACION DE LA CARRETERA PU-103 (EMP. PE-34B BOCA SANGABAN - DV. COASA), PU-108 (DV. COASA - ISILLUMA) EMP. PE-34P Y DV. PE-34P (SANTIAGO PAMPA) - EMP PE-34H (PUTINA PUNCO) DISTRITOS DE SAN GABAN, AYAPATA, ITUATA, COASA, LIMBANI, PHARA, ALTO INAMB</t>
  </si>
  <si>
    <t>0270158.CONSTRUCCION DE LA CARRETERA PU-103 (EMP. PE-34B BOCA SANGABAN - DV. COASA), PU-108 (DV. COASA - ISILLUMA) EMP. PE-34P Y DV. PE-34P (SANTIAGO PAMPA) - EMP PE-34H (PUTINA PUNCO), MULTIDISTRITAL - MULTIPROVINCIAL - PUNO</t>
  </si>
  <si>
    <t>0248315.MEJORAMIENTO DE LA CARRETERA (EMP 34B) AZANGARO - (EMP PU-102) JILA PURINA DE LOS DISTRITOS DE AZANGARO Y TIRAPATA - AZANGARO - PUNO</t>
  </si>
  <si>
    <t>0306731.CREACION DE LA INFRAESTRUCTURA DE INTEGRACION VIAL ENTRE SANDIA (CP. QUENEQUE) Y PATAMBUCO (C.P. TIRACA), DISTRITO DE SANDIA Y PATAMBUCO - SANDIA - PUNO</t>
  </si>
  <si>
    <t>2387422.MEJORAMIENTO DE LA CARRETERA TRAMO II (PUENTE CULLCO) - PICHINCUTA - QUELCAHUECO - CORARACA DEL - DISTRITO DE ILAVE - PROVINCIA DE EL COLLAO - DEPARTAMENTO DE PUNO</t>
  </si>
  <si>
    <t>0239523.MEJORAMIENTO DE LA CARRETERA TRAMO II (PUENTE CULLCO) - PICHINCUTA - QUELCAHUECO - CORARACA DEL DISTRITO DE ILAVE - EL COLLAO - PUNO</t>
  </si>
  <si>
    <t>2399543.MEJORAMIENTO DEL CAMINO VECINAL EMP. R01 (DV. LOANI) - CAMICACHI - EMP. R12 (ROSACANI) DISTRITO DE ILAVE - PROVINCIA DE EL COLLAO - REGION PUNO</t>
  </si>
  <si>
    <t>0407841.MEJORAMIENTO DEL CAMINO VECINAL EMP. R01 (DV. LOANI) - CAMICACHI - EMP. R12 (ROSACANI) DISTRITO DE ILAVE - EL COLLAO - PUNO</t>
  </si>
  <si>
    <t>0337436.MEJORAMIENTO DEL CAMINO VECINAL RUTA PU-713, EMP. PE 3S (AYAVIRI - DESV. CALUYO - TINAJANI - L. PROV. LAMPA), DISTRITO DE AYAVIRI - MELGAR - PUNO</t>
  </si>
  <si>
    <t>2443679.MEJORAMIENTO DEL SERVICIO DE TRANSITABILIDAD VEHICULAR DE LA CARRETERA TRAMO I: EMP- 34L (COJATA) - HUANCASAYA, TRAMO II: HUANCASAYA - TARUCANI-EMP-PU-115 (INCHUPALLA), DEL DISTRITO DE COJATA - PROVINCIA DE HUANCANE - DEPARTAMENTO DE PUNO</t>
  </si>
  <si>
    <t>0374224.MEJORAMIENTO DEL SERVICIO DE TRANSITABILIDAD VEHICULAR DE LA CARRETERA TRAMO I: EMP- 34L (COJATA) - HUANCASAYA, TRAMO II: HUANCASAYA - TARUCANI-EMP-PU-115 (INCHUPALLA), DISTRITO DE COJATA - HUANCANE - PUNO</t>
  </si>
  <si>
    <t>02.COJATA</t>
  </si>
  <si>
    <t>0373184.MEJORAMIENTO DE LA INFRAESTRUCTURA VIAL EN LA AV. SACSAYHUAMAN TRAMO (JR. MIRAFLORES - AV. AVIACION), JR. AMANECER TRAMO (AV. INDEPENDENCIA - JR. MIRAFLORES) DE LA CIUDAD DE JULIACA, DISTRITO JULIACA - SAN ROMAN - PUNO</t>
  </si>
  <si>
    <t>0337019.MEJORAMIENTO DE LA CARRETERA PU 147, EMP. PE-34I JIPATA - EMP. PE-34I MOHO, DISTRITO DE MOHO - MOHO - PUNO</t>
  </si>
  <si>
    <t>2470024.MEJORAMIENTO DEL SERVICIO DE TRANSITABILIDAD VEHICULAR A TRAVES DE PUENTES CARROZABLES EN LAS PROVINCIAS DE CARABAYA Y SANDIA DEL DEPARTAMENTO DE PUNO</t>
  </si>
  <si>
    <t>0337762.MEJORAMIENTO DEL SERVICIO DE TRANSITABILIDAD VEHICULAR A TRAVES DE PUENTES CARROZABLES EN LAS PROVINCIAS DE CARABAYA Y SANDIA DEL PUNO</t>
  </si>
  <si>
    <t>0350002.MEJORAMIENTO DE LA CARRETERA PU 146; EMP PE - 34 I (HUANCANE) - HUERTAPATA - VISCACHANI - QUELLAHUYO - EMP PE - 34 (CACUÑA), DISTRITO HUANCANE - HUANCANE - PUNO</t>
  </si>
  <si>
    <t>2514428.CREACION DEL SERVICIO DE INTERCONEXION DE MOVILIDAD URBANA EN LA VIA TRONCAL DEL PUENTE YARAJA DISTRITO DE AZANGARO - PROVINCIA DE AZANGARO - DEPARTAMENTO DE PUNO</t>
  </si>
  <si>
    <t>4000179.CONSTRUCCION DE PUENTES</t>
  </si>
  <si>
    <t>0369543.CREACION DEL SERVICIO DE INTERCONEXION DE MOVILIDAD URBANA EN LA VIA TRONCAL DEL PUENTE YARAJA DISTRITO, AZANGARO - AZANGARO - PUNO</t>
  </si>
  <si>
    <t>074.METRO LUZ</t>
  </si>
  <si>
    <t>2527184.MEJORAMIENTO DEL SERVICIO DE TRANSITABILIDAD VIAL DEL CAMINO VECINAL TRAMO VILLA PAXA A VENTILLA (PU- 1065) DEL DISTRITO DE PUNO - PROVINCIA DE PUNO - DEPARTAMENTO DE PUNO</t>
  </si>
  <si>
    <t>0374288.MEJORAMIENTO DEL SERVICIO DE TRANSITABILIDAD VIAL DEL CAMINO VECINAL TRAMO VILLA PAXA A VENTILLA (PU- 1065) DEL DISTRITO DE PUNO - PUNO - PUNO</t>
  </si>
  <si>
    <t>2585398.CREACION DEL SERVICIO DE TRANSITABILIDAD VIAL INTERURBANA EN EL PUENTE CARROZABLE CAMPUCO ENTRE EL DISTRITO SANTIAGO DE PUPUJA Y ARAPA DEL DISTRITO DE SANTIAGO DE PUPUJA DE LA PROVINCIA DE AZANGARO DEL DEPARTAMENTO DE PUNO</t>
  </si>
  <si>
    <t>0436075.CREACION DEL SERVICIO DE TRANSITABILIDAD VIAL INTERURBANA EN EL PUENTE CARROZABLE CAMPUCO ENTRE EL DISTRITO SANTIAGO DE PUPUJA Y ARAPA, DISTRITO SANTIAGO DE PUPUJA - AZANGARO - PUNO</t>
  </si>
  <si>
    <t>14.SANTIAGO DE PUPUJA</t>
  </si>
  <si>
    <t>2585540.MEJORAMIENTO DEL SERVICIO DE TRANSITABILIDAD VIAL INTERURBANA EN LA CARRETERA PU-139 (HDA. POTONI) - SAN JOSE, - COLLANA - EMP. PU-111 - PUENTE YARAJA (AZANGARO) DISTRITOS DE POTONI, SAN JOSE DE LA PROVINCIA DE AZANGARO DEL DEPARTAMENTO DE PUNO</t>
  </si>
  <si>
    <t>0437919.MEJORAMIENTO DEL SERVICIO DE TRANSITABILIDAD VIAL INTERURBANA EN LA CARRETERA PU-139 (HDA. POTONI) - SAN JOSE - COLLANA - EMP. PU-111 - PUENTE YARAJA (AZANGARO) DISTRITOS DE POTONI Y SAN JOSE - AZANGARO - PUNO</t>
  </si>
  <si>
    <t>2585541.CREACION DEL SERVICIO DE TRANSITABILIDAD VIAL INTERURBANA EN EL PUENTE CARROZABLE SANTA ROSA DE HUAYLLATA ENTRE LOS DISTRITOS DE ILAVE Y PILCUYO DEL DISTRITO DE ILAVE DE LA PROVINCIA DE EL COLLAO DEL DEPARTAMENTO DE PUNO</t>
  </si>
  <si>
    <t>0436076.CREACION DEL SERVICIO DE TRANSITABILIDAD VIAL INTERURBANA EN EL PUENTE CARROZABLE SANTA ROSA DE HUAYLLATA ENTRE LOS DISTRITOS DE ILAVE Y PILCUYO - EL COLLAO - PUNO</t>
  </si>
  <si>
    <t>2591732.MEJORAMIENTO DEL SERVICIO DE TRANSITABILIDAD VIAL INTERURBANA EN EL TRAMO DESAGUADERO (EMP PE-36C) - PUENTE CARANCAS - HUANOCOLLO DEL DISTRITO DE DESAGUADERO DE LA PROVINCIA DE CHUCUITO DEL DEPARTAMENTO DE PUNO</t>
  </si>
  <si>
    <t>0437912.MEJORAMIENTO DEL SERVICIO DE TRANSITABILIDAD VIAL INTERURBANA EN EL TRAMO DESAGUADERO (EMP PE-36C) - PUENTE CARANCAS - HUANOCOLLO, DISTRITO DESAGUADERO - CHUCUITO - PUNO</t>
  </si>
  <si>
    <t>02.DESAGUADERO</t>
  </si>
  <si>
    <t>2591951.MEJORAMIENTO DEL SERVICIO DE TRANSITABILIDAD VIAL INTERURBANA EN EL CAMINO VECINAL DEL KM0+000 (DESVIO PUENTE OCRA CHUPA) AL KM 6+373 (C.P. PEDRO VILCAPAZA DE MORORCCO), DISTRITO DE MUÑANI DE LA PROVINCIA DE AZANGARO DEL DEPARTAMENTO DE PUNO</t>
  </si>
  <si>
    <t>0464165.MEJORAMIENTO DEL SERVICIO DE TRANSITABILIDAD VIAL INTERURBANA EN EL CAMINO VECINAL DEL KM=0+000 (DESVIO PUENTE OCRA CHUPA) AL KM= 6+373 (C.P. PEDRO VILCAPAZA DE MORORCCO), DISTRITO DE MUÑANI - AZANGARO - PUNO</t>
  </si>
  <si>
    <t>08.MUNANI</t>
  </si>
  <si>
    <t>2602159.MEJORAMIENTO DEL SERVICIO DE TRANSITABILIDAD VIAL INTERURBANA EN PU-138: EMP PE-34 B - PASANOCOLLO, - PUCATILLANA - EMP PU-100 (NUÑOA) DISTRITOS DE ORURILLO, NUÑOA DE LA PROVINCIA DE MELGAR DEL DEPARTAMENTO DE PUNO</t>
  </si>
  <si>
    <t>0437932.MEJORAMIENTO DEL SERVICIO DE TRANSITABILIDAD VIAL INTERURBANA EN PU-138: EMP PE-34 B - PASANOCOLLO - PUCATILLANA - EMP PU-100 (NUÑOA) DISTRITOS DE ORURILLO - NUÑOA - MELGAR - PUNO</t>
  </si>
  <si>
    <t>2602163.MEJORAMIENTO DEL SERVICIO DE TRANSITABILIDAD VIAL INTERURBANA EN LA CARRETERA PU 866 (EMP PE 34 I) - EMP PU 110 (SULLCA), PU 870 (DV TOTORANI: EMP PU 866) - EMP PU 872 (OCCOPAMPA), PU 872: EMP. PU - 866 (HUAYRAPATA) - OCCOPAMPA - EMP. PU - 870 DIS</t>
  </si>
  <si>
    <t>0431133.MEJORAMIENTO DEL SERVICIO TRANSITABILIDAD VIAL INTERURBANA CARRETERA PU 866 (EMP PE 34 I) - EMP PU 110 (SULLCA), PU 870 (DV TOTORANI: EMP PU 866) - EMP PU 872 (OCCOPAMPA), PU 872: EMP. PU - 866 OCCOPAMPA - EMP. PU - 870, MULTIDISTRITAL - MOHO - PU</t>
  </si>
  <si>
    <t>2603164.MEJORAMIENTO DEL SERVICIO DE TRANSITABILIDAD VIAL INTERURBANA EN LA CARRETERA EN EL TRAMO CHUPA (EMP. PU 114) - CALA CRUZ (EMP. PU - 811), PU 811 (CALA CRUZ)- AYRAMPUNI (EMP PU 807), PU 807 (AYRAMPUNI) - DV. AYRAMPUNI (EMP. 808), TRAMO PU 808 (DV.</t>
  </si>
  <si>
    <t>0437917.MEJORAMIENTO DEL SERVICIO DE TRANSITABILIDAD VIAL INTERURBANA EN LA CARRETERA EN EL TRAMO CHUPA (EMP. PU 114) - CALA CRUZ (EMP. PU - 811), PU 811 (CALA CRUZ) - AYRAMPUNI (EMP PU 807), PU 807 (AYRAMPUNI) - DV. AYRAMPUNI (EMP. 808), TRAMO PU 808</t>
  </si>
  <si>
    <t>2603165.MEJORAMIENTO DEL SERVICIO DE TRANSITABILIDAD VIAL INTERURBANA EN LA CARRETERA TRAMO ACHAYA - EMP. PU 113(ARAPA), DE LOS DISTRITOS DE ACHAYA, ARAPA DE LA PROVINCIA DE AZANGARO DEL DEPARTAMENTO DE PUNO</t>
  </si>
  <si>
    <t>0432332.MEJORAMIENTO DEL SERVICIO DE TRANSITABILIDAD VIAL INTERURBANA EN LA CARRETERA TRAMO ACHAYA - EMP. PU 113(ARAPA), MULTIDISTRITAL - MULTIPROVINCIAL - PUNO</t>
  </si>
  <si>
    <t>0429533.MEJORAMIENTO DEL SERVICIO DE TRANSITABILIDAD VIAL INTERURBANA EN LA CARRETERA PU - 1233 (ILAVE)- ANOKARIRI (EMP. - 1234), ANOKARIRI - SACUYO - SECTOR NUEVA ALIANZA, PU 1103 (SECTOR NUEVA ALIANZA) - EMP. PE 36P, MULTIDISTRITAL - MULTIPROVINCIAL - P</t>
  </si>
  <si>
    <t>2603281.MEJORAMIENTO DEL SERVICIO DE TRANSITABILIDAD VIAL INTERURBANA EN LA CARRETERA PU 764: EMP PE-34B SAN SEBASTIAN - NICASIO - LARO, EMP PU 764 (LARO) - EMP PU-117 (SANTIAGO DE PUPUJA) DISTRITOS DE NICASIO, SANTIAGO DE PUPUJA DE LAS PROVINCIAS DE LAMP</t>
  </si>
  <si>
    <t>0437920.MEJORAMIENTO DEL SERVICIO DE TRANSITABILIDAD VIAL INTERURBANA EN LA CARRETERA PU-764: EMP PE-34B SAN SEBASTIAN - NICASIO - LARO, EMP PU 764 (LARO) - EMP PU-117 (SANTIAGO DE PUPUJA), MULTIDISTRITAL - MULTIPROVINCIAL - PUNO</t>
  </si>
  <si>
    <t>2607527.MEJORAMIENTO DEL SERVICIO DE TRANSITABILIDAD VIAL INTERURBANA EN LA CARRETERA PU - 985 (EMP. PE - 34A; DV. CHOROMA) - C.C. COARITA, PU - 992 (C.C. COARITA) - PALCA DISTRITOS DE PARATIA, PALCA DE LA PROVINCIA DE LAMPA DEL DEPARTAMENTO DE PUNO</t>
  </si>
  <si>
    <t>0437922.MEJORAMIENTO DEL SERVICIO DE TRANSITABILIDAD VIAL INTERURBANA EN LA CARRETERA PU-985 (EMP. PE - 34A; DV. CHOROMA) - C.C. COARITA, PU - 992 (C.C. COARITA) - PALCA, MULTIDISTRITAL - LAMPA - PUNO</t>
  </si>
  <si>
    <t>2614553.MEJORAMIENTO DEL SERVICIO DE TRANSITABILIDAD VIAL INTERURBANA EN LA CARRETERA MAÑAZO PU 1077 - PU 1091, - EMP PE 34 C(LLAPAPATA - CABANILLAS) DISTRITOS DE MAÑAZO, CABANILLAS DE LAS PROVINCIAS DE PUNO, SAN ROMAN DEL DEPARTAMENTO DE PUNO</t>
  </si>
  <si>
    <t>0430390.MEJORAMIENTO DEL SERVICIO DE TRANSITABILIDAD VIAL INTERURBANA EN LA CARRETERA MAÑAZO PU 1077 - PU 1091, - EMP PE 34 C(LLAPAPATA - CABANILLAS), MULTIDISTRITAL - MULTIPROVINCIAL - PUNO</t>
  </si>
  <si>
    <t>2634040.MEJORAMIENTO DEL SERVICIO DE TRANSITABILIDAD VIAL INTERURBANA EN EL CAMINO VECINAL, TRAMO DESVIO PUCARA - POBLACION SALINAS - ASILLO SALINAS (KM 0+000 - 1+900) DEL DISTRITO DE SAN JUAN DE SALINAS DE LA PROVINCIA DE AZANGARO DEL DEPARTAMENTO DE PUN</t>
  </si>
  <si>
    <t>0456945.MEJORAMIENTO DEL SERVICIO DE TRANSITABILIDAD VIAL INTERURBANA EN EL CAMINO VECINAL, TRAMO DESVIO PUCARA - POBLACION SALINAS - ASILLO SALINAS (KM 0+000 - 1+900), DISTRITO DE SAN JUAN DE SALINAS - AZANGARO - PUNO</t>
  </si>
  <si>
    <t>2645503.MEJORAMIENTO DEL SERVICIO DE TRANSITABILIDAD VIAL INTERURBANA EN LA CARRETERA PU-1040 EMP. PU 122 (VILQUE) - EMP. PU - 1039, - EMP. PU 1035 - EMP. PU 121 (CABANA) DISTRITOS DE VILQUE, CABANA DE LAS PROVINCIAS DE PUNO, SAN ROMAN DEL DEPARTAMENTO DE</t>
  </si>
  <si>
    <t>0444817.MEJORAMIENTO DEL SERVICIO DE TRANSITABILIDAD VIAL INTERURBANA EN LA CARRETERA PU-1040 EMP. PU 122 (VILQUE) - EMP. PU - 1039, - EMP. PU 1035 - EMP. PU 121 (CABANA), MULTIDISTRITAL - MULTIPROVINCIAL - PUNO</t>
  </si>
  <si>
    <t>2646859.MEJORAMIENTO DEL SERVICIO DE TRANSITABILIDAD VIAL INTERURBANA EN LA PU - 145 (EMP. PE - 34 I: HUANCANE, - EMP. PE - 34 H: HUATASANI) DE LOS DISTRITOS DE HUANCANE, HUATASANI DE LA PROVINCIA DE HUANCANE DEL DEPARTAMENTO DE PUNO</t>
  </si>
  <si>
    <t>0454935.MEJORAMIENTO DEL SERVICIO DE TRANSITABILIDAD VIAL INTERURBANA EN LA PU - 145 (EMP. PE - 34 I: HUANCANE, - EMP. PE - 34 H: HUATASANI), MULTIDISTRITAL - HUANCANE - PUNO</t>
  </si>
  <si>
    <t>2649221.MEJORAMIENTO DEL SERVICIO DE TRANSITABILIDAD VIAL INTERURBANA EN POQUERA CHICO - QUIACA - HUERTAPATA EN EL DISTRITO DE QUIACA DE LA PROVINCIA DE SANDIA DEL DEPARTAMENTO DE PUNO</t>
  </si>
  <si>
    <t>0444815.MEJORAMIENTO DEL SERVICIO DE TRANSITABILIDAD VIAL INTERURBANA EN POQUERA CHICO - QUIACA - HUERTAPATA, DISTRITO DE QUIACA - SANDIA - PUNO</t>
  </si>
  <si>
    <t>06.QUIACA</t>
  </si>
  <si>
    <t>2651270.MEJORAMIENTO DEL SERVICIO DE TRANSITABILIDAD VIAL INTERURBANA EN EL TRAMO ALMOZANCHE (EMP. PU 118), - SAMUCHACA - SANTA CRUZ CAPARA -ESCALLANI (EMP. PU 118) DE LOS DISTRITOS DE COATA, PUSI DE LAS PROVINCIAS DE PUNO, HUANCANE DEL DEPARTAMENTO DE PU</t>
  </si>
  <si>
    <t>0443410.MEJORAMIENTO DEL SERVICIO DE TRANSITABILIDAD VIAL INTERURBANA EN EL TRAMO ALMOZANCHE (EMP. PU 118), - SAMUCHACA - SANTA CRUZ CAPARA - ESCALLANI (EMP. PU 118), MULTIDISTRITAL - MULTIPROVINCIAL - PUNO</t>
  </si>
  <si>
    <t>2651271.MEJORAMIENTO DEL SERVICIO DE TRANSITABILIDAD VIAL INTERURBANA EN EL TRAMO ALMOZANCHE (EMP PU 118) - SUCASCO - SORAZA, - COYLATA URCUNIMUNI - HATUN AYLLU (EMP PU 118) DE LOS DISTRITOS DE COATA, PUSI DE LAS PROVINCIAS DE PUNO, HUANCANE DEL DEPARTAME</t>
  </si>
  <si>
    <t>0448847.MEJORAMIENTO DEL SERVICIO DE TRANSITABILIDAD VIAL INTERURBANA EN EL TRAMO ALMOZANCHE (EMP PU 118) - SUCASCO - SORAZA, - COYLATA URCUNIMUNI - HATUN AYLLU (EMP PU 118), MULTIDISTRITAL - MULTIPROVINCIAL - PUNO</t>
  </si>
  <si>
    <t>2652984.MEJORAMIENTO DEL SERVICIO DE TRANSITABILIDAD VIAL INTERURBANA EN LA CARRETERA YOROHOCO (HUACULLANI), - KELLUYO - HITO 31 DISTRITO DE HUACULLANI DE LA PROVINCIA DE CHUCUITO DEL DEPARTAMENTO DE PUNO</t>
  </si>
  <si>
    <t>0442438.MEJORAMIENTO DEL SERVICIO DE TRANSITABILIDAD VIAL INTERURBANA EN LA CARRETERA YOROHOCO (HUACULLANI), - KELLUYO - HITO 31, DISTRITO DE HUACULLANI - CHUCUITO - PUNO</t>
  </si>
  <si>
    <t>03.HUACULLANI</t>
  </si>
  <si>
    <t>2653737.MEJORAMIENTO DEL SERVICIO DE TRANSITABILIDAD VIAL INTERURBANA EN LA CARRETRA PU-144 (EMP. PE-34L: SOLITARIO, - EMP. PU-115: INCHUPALLA) DE LOS DISTRITOS DE VILQUE CHICO, INCHUPALLA DE LA PROVINCIA DE HUANCANE DEL DEPARTAMENTO DE PUNO</t>
  </si>
  <si>
    <t>0460947.MEJORAMIENTO DEL SERVICIO DE TRANSITABILIDAD VIAL INTERURBANA EN LA CARRETRA PU-144 (EMP. PE-34L: SOLITARIO, - EMP. PU-115: INCHUPALLA), MULTIDISTRITAL - HUANCANE - PUNO</t>
  </si>
  <si>
    <t>0464184.MEJORAMIENTO DEL SERVICIO DE TRANSITABILIDAD VIAL INTERURBANA EN LA CARRETERA PU 672 (EMP PE 3S-PTE. SANTA ROSA) - QUISHUARA - SANTA CRUZ- PU 673 (SANTA CRUZ-EMP. PU 680), PU 683 (MACARI, - LLALLI) DE LOS DISTRITOS DE MACARI Y CUPI - MELGAR - PUNO</t>
  </si>
  <si>
    <t>2654509.MEJORAMIENTO DEL SERVICIO DE TRANSITABILIDAD VIAL INTERURBANA EN LA CARRETERA PU 141: EMP. PU-111 (DV CAMBRIA) - CAMBRIA, - EMP PU - 112 (DV COLLPANI) DE LOS DISTRITOS DE PUTINA, MUÑANI DE LAS PROVINCIAS DE SAN ANTONIO DE PUTINA, AZANGARO DEL DEPA</t>
  </si>
  <si>
    <t>0464182.MEJORAMIENTO DEL SERVICIO DE TRANSITABILIDAD VIAL INTERURBANA EN LA CARRETERA PU 141: EMP. PU-111 (DV CAMBRIA) - CAMBRIA, - EMP PU - 112 (DV COLLPANI) DE LOS DISTRITOS DE PUTINA Y MUÑANI - SAN ANTONIO DE PUTINA Y AZANGARO - PUNO</t>
  </si>
  <si>
    <t>0464185.MEJORAMIENTO DEL SERVICIO DE TRANSITABILIDAD VIAL INTERURBANA EN LA CARRETERA PU-1376 (EMP PE-38 - CUIPACUIPA) - CUIPACUIPA - EMP PU - 132 (FRONTERA CON TACNA) DEL DISTRITO DE SANTA ROSA - EL COLLAO - PUNO</t>
  </si>
  <si>
    <t>04.SANTA ROSA</t>
  </si>
  <si>
    <t>2655389.CREACION DEL SERVICIO DE TRANSITABILIDAD VIAL INTERURBANA EN EL PUENTE CHOQUENASA DE LA CARRETERA PU-1243 DEL DISTRITO DE ILAVE DE LA PROVINCIA DE EL COLLAO DEL DEPARTAMENTO DE PUNO</t>
  </si>
  <si>
    <t>0460946.CREACION DEL SERVICIO DE TRANSITABILIDAD VIAL INTERURBANA EN EL PUENTE CHOQUENASA DE LA CARRETERA PU-1243, DISTRITO DE ILAVE - EL COLLAO - PUNO</t>
  </si>
  <si>
    <t>2656599.MEJORAMIENTO DEL SERVICIO DE TRANSITABILIDAD VIAL INTERURBANA EN LA CARRETERA TRAMO I: PU-142 (EMP PE 34 H: DV ALBARIZANI - EMP PE 34 L: TRAPICHE), TRAMO II: PU 598 (EMP PE 34L: TRAPICHE-EMP PU 109: IZCAY CRUZ) DE LOS DISTRITOS DE QUILCAPUNCU, ANA</t>
  </si>
  <si>
    <t>0453350.MEJORAMIENTO DEL SERVICIO DE TRANSITABILIDAD VIAL INTERURBANA CARRETERA TRAMO I: PU-142 (EMP PE 34 H: DV ALBARIZANI - EMP PE 34 L: TRAPICHE), TRAMO II: PU 598 (EMP PE 34L: TRAPICHE-EMP PU 109: IZCAY CRUZ), MULTIDISTRITAL-SAN ANTONIO DE PUTINA - PU</t>
  </si>
  <si>
    <t>0464183.MEJORAMIENTO DEL SERVICIO DE TRANSITABILIDAD VIAL INTERURBANA EN LA CARRETERA PU 535(COASA - TAMBILLO), - PU 534 (EMP PU 100 -TAYACUCHO - TAMBILLO) DE LOS DISTRITOS DE COASA Y ITUATA - CARABAYA - PUNO</t>
  </si>
  <si>
    <t xml:space="preserve">2657159.MEJORAMIENTO DEL SERVICIO DE TRANSITABILIDAD VIAL INTERURBANA EN LA CARRETERA PU-1139 (EMP. PU-1138: ACORA - EMP. PU-1143), PU-1143 (EMP. PU-1139 - EMP. PU-1144), PU-1144 (EMP. PU-1143 - EMP. PU-1145), PU-1145 (EMP. PU-1144 - HUARICONSE), PU-1148 </t>
  </si>
  <si>
    <t>0461218.MEJORAMIENTO DEL SERVICIO DE TRANSITABILIDAD VIAL CARRETERA PU-1139 (EMP. PU-1138: ACORA - EMP. PU-1143), PU-1143 (EMP. PU-1139 - EMP. PU-1144), PU-1144 (EMP. PU-1143 - EMP. PU-1145), PU-1145 (EMP. PU-1144), MULTIDISTRITAL - MULTIPROVINCIAL - PUNO</t>
  </si>
  <si>
    <t>2657484.CONSTRUCCION DE PUENTE; EN EL(LA) CARRETERA PU-111 (PUENTE TINTIRI) DEL DISTRITO DE AZANGARO, PROVINCIA AZANGARO, DEPARTAMENTO PUNO</t>
  </si>
  <si>
    <t>0461832.CONSTRUCCION DE PUENTE; EN LA CARRETERA PU-111 (PUENTE TINTIRI) DEL DISTRITO DE AZANGARO - AZANGARO - PUNO</t>
  </si>
  <si>
    <t>154.METRO LINEAL</t>
  </si>
  <si>
    <t>2657867.MEJORAMIENTO DEL SERVICIO DE TRANSITABILIDAD VIAL INTERURBANA EN LA CARRETERA PU-870(OCCOPAMPA - EMP. PU-873) - PU-873(EMP. PU-870 - EMP. PU-110: JACHA POMAOCA), PU-890(EMP. PU-110:POMAOCA - EMP. PU-889) - PU-889 (EMP.PU-890 - PACCHANI) - MUÑANI(L</t>
  </si>
  <si>
    <t>0464187.MEJORAMIENTO DEL SERVICIO DE TRANSITABILIDAD VIAL INTERURBANA EN LA CARRETERA PU-870(OCCOPAMPA - EMP. PU-873) -PU-873(EMP. PU-870 -EMP. PU-110: JACHA POMAOCA), PU-890(EMP. PU-110:POMAOCA -EMP. PU-889) -PU-889 (EMP.PU-890 - PACCHANI) -MOHO-MOHO-PUN</t>
  </si>
  <si>
    <t>0464155.MEJORAMIENTO DEL SERVICIO DE TRANSITABILIDAD VIAL INTERURBANA, CARRETERA PU 1247 -PU 1244 (CHIJICHAYA-MULLA ANCARANI)-PU 1246 (MULLA ANCARANI-EMP. PU -1250) - PU 1250 (CANGALLI-WENCASI), -PU 1251 (WENCASI-CONDURIRI) -PU 1260 (CONDURIRI) COLLAO- PU</t>
  </si>
  <si>
    <t>2661648.CREACION DEL SERVICIO DE TRANSITABILIDAD VIAL INTERURBANA EN EL PUENTE COLGANTE PEATONAL DE CENTRO POBLADO COHASIA DISTRITO DE HUANCANE DE LA PROVINCIA DE HUANCANE DEL DEPARTAMENTO DE PUNO</t>
  </si>
  <si>
    <t>0460945.CREACION DEL SERVICIO DE TRANSITABILIDAD VIAL INTERURBANA EN EL PUENTE COLGANTE PEATONAL DE CENTRO POBLADO COHASIA, DISTRITO DE HUANCANE - HUANCANE - PUNO</t>
  </si>
  <si>
    <t xml:space="preserve">2661660.MEJORAMIENTO DEL SERVICIO DE TRANSITABILIDAD VIAL INTERURBANA EN LA CARRETERA DESAGUADERO - LLALLAHUA, - VISTA ALEGRE - CHIMU - ANCOPUTO - ALTO PATACOLLO - HUAPACA SAN MIGUEL DE LOS DISTRITOS DE DESAGUADERO, ZEPITA DE LA PROVINCIA DE CHUCUITO DEL </t>
  </si>
  <si>
    <t>0464180.MEJORAMIENTO DEL SERVICIO DE TRANSITABILIDAD VIAL INTERURBANA EN LA CARRETERA DESAGUADERO - LLALLAHUA - VISTA ALEGRE - CHIMU - ANCOPUTO - ALTO PATACOLLO - HUAPACA SAN MIGUEL DE LOS DISTRITOS DE DESAGUADERO, ZEPITA - CHUCUITO - PUNO</t>
  </si>
  <si>
    <t>0463599.MEJORAMIENTO DEL SERV DE TRANSITABILIDAD VIAL INTERUR EN LA PU 1221 (EMP PU-1220 - EMP PU 1237) - PU 1237 (EMP PU-1221 -SAN CARLOS -EMP PU 1234) - PU 1234 (EMP 1237 - A LACACHI) -ANOKARIRI-PU 1240 -CARUMAS-AG. CALIENTES - PU 1099 (A.C.-JILATAMARCA</t>
  </si>
  <si>
    <t>2670620.MEJORAMIENTO DEL SERVICIO DE TRANSITABILIDAD VIAL INTERURBANA EN LA CARRETERA JOSE DOMINGO CHOQUEHUANCA - QUEQUERANA, - PRIMER CHIMPA JILAHUATA - DV CAYRAHUIRE DE LOS DISTRITOS DE JOSE DOMINGO CHOQUEHUANCA, AZANGARO DE LA PROVINCIA DE AZANGARO DEL</t>
  </si>
  <si>
    <t>0460950.MEJORAMIENTO DEL SERVICIO DE TRANSITABILIDAD VIAL INTERURBANA EN LA CARRETERA JOSE DOMINGO CHOQUEHUANCA - QUEQUERANA, - PRIMER CHIMPA JILAHUATA - DV CAYRAHUIRE, MULTIDISTRITAL - AZANGARO - PUNO</t>
  </si>
  <si>
    <t>2673441.MEJORAMIENTO DEL SERVICIO DE TRANSITABILIDAD VIAL INTERURBANA EN LA CARRETERA PU-1115 (EMP. PE-3S: INGENIO - EMP. PU-1116: ICHU) - PU-1116 (EMP. PU-1115: ICHU - EMP. PE-3S: SALLIHUA CALLEJON) DEL DISTRITO DE PUNO DE LA PROVINCIA DE PUNO DEL DEPART</t>
  </si>
  <si>
    <t>0453283.MEJORAMIENTO DEL SERVICIO DE TRANSITABILIDAD VIAL INTERURBANA EN LA CARRETERA PU-1115 (EMP. PE-3S: INGENIO - EMP. PU-1116: ICHU) - PU-1116 (EMP. PU-1115: ICHU - EMP. PE-3S: SALLIHUA CALLEJON), DISTRITO PUNO - PUNO - PUNO</t>
  </si>
  <si>
    <t>2681264.MEJORAMIENTO DEL SERVICIO DE TRANSITABILIDAD VIAL INTERURBANA EN LA CARRETERA PU-727 (PUCARA - CHIJNAYA) DEL DISTRITO DE PUCARA DE LA PROVINCIA DE LAMPA DEL DEPARTAMENTO DE PUNO</t>
  </si>
  <si>
    <t>0464186.MEJORAMIENTO DEL SERVICIO DE TRANSITABILIDAD VIAL INTERURBANA EN LA CARRETERA PU-727 (PUCARA - CHIJNAYA) DEL DISTRITO DE PUCARA - LAMPA - PUNO</t>
  </si>
  <si>
    <t>08.PUCARA</t>
  </si>
  <si>
    <t>2250970.MEJORAMIENTO DEL SERVICIO DE CONSERVACION DE LA DIVERSIDAD BIOLOGICA EN SELVA VERDE, SAN GABAN, PUNTA PERDIDA, COTACUCHO, PUNO, JUCUMARINI, CUSHINI, RIO CONDOR, RIO TAVARA, Y PACO PACUNI, DISTRITOS DE AYAPATA, SAN GABAN, SANTA ROSA, VILQUE CHICO-P</t>
  </si>
  <si>
    <t>0193106.MEJORAMIENTO DEL SERVICIO DE CONSERVACION DE LA DIVERSIDAD BIOLOGICA EN SELVA VERDE, SAN GABAN, PUNTA PERDIDA, COTACUCHO, PUNO, JUCUMARINI, CUSHINI, RIO CONDOR, RIO TAVARA, Y PACO PACUNI, MULTIDISTRITAL - MULTIPROVINCIAL - PUNO</t>
  </si>
  <si>
    <t>0144.CONSERVACION Y USO SOSTENIBLE DE ECOSISTEMAS PARA LA PROVISION DE SERVICIOS ECOSISTEMICOS</t>
  </si>
  <si>
    <t>054.DESARROLLO ESTRATEGICO, CONSERVACION Y APROVECHAMIENTO SOSTENIBLE DEL PATRIMONIO NATURAL</t>
  </si>
  <si>
    <t>0119.CONSERVACION Y APROVECHAMIENTO SOSTENIBLE DE LA DIVERSIDAD BIOLOGICA Y DE LOS RECURSOS NATURALES</t>
  </si>
  <si>
    <t>2625216.MEJORAMIENTO DE LOS SERVICIOS ECOSISTEMICOS EN EL RIO TOROCOCHA DE LA LOCALIDAD DE JULIACA DISTRITO DE JULIACA DE LA PROVINCIA DE SAN ROMAN DEL DEPARTAMENTO DE PUNO</t>
  </si>
  <si>
    <t>0437114.MEJORAMIENTO DE LOS SERVICIOS ECOSISTEMICOS EN EL RIO TOROCOCHA DE LA LOCALIDAD DE JULIACA, DISTRITO JULIACA - SAN ROMAN - PUNO</t>
  </si>
  <si>
    <t>2631070.RECUPERACION DE LOS SERVICIOS ECOSISTEMICOS EN 19 UNIDADES PRODUCTORAS 19 DISTRITOS DE 13 PROVINCIAS DEL DEPARTAMENTO DE PUNO</t>
  </si>
  <si>
    <t>0443677.RECUPERACION DE LOS SERVICIOS ECOSISTEMICOS EN 19 UNIDADES PRODUCTORAS 19 DISTRITOS DE 13 PROVINCIAS, MULTIDISTRITAL - MULTIPROVINCIAL - PUNO</t>
  </si>
  <si>
    <t>2403888.MEJORAMIENTO DE LOS SERVICIOS DE EDUCACION SUPERIOR DEL INSTITUTO DE EDUCACION SUPERIOR TECNOLOGICO PUBLICA DESAGUADERO DEL DISTRITO DE DESAGUADERO - PROVINCIA DE CHUCUITO - DEPARTAMENTO DE PUNO</t>
  </si>
  <si>
    <t>0429531.MEJORAMIENTO DE LOS SERVICIOS DE EDUCACION SUPERIOR DEL INSTITUTO DE EDUCACION SUPERIOR TECNOLOGICO PUBLICA DESAGUADERO, DISTRITO DESAGUADERO - CHUCUITO - PUNO</t>
  </si>
  <si>
    <t>0147.FORTALECIMIENTO DE LA EDUCACION SUPERIOR TECNOLOGICA</t>
  </si>
  <si>
    <t>2566572.MEJORAMIENTO Y AMPLIACION DE LOS SERVICIOS DE EDUCACION SUPERIOR DEL INSTITUTO SUPERIOR TECNOLOGICO PUBLICO DE NUÑOA DEL DISTRITO DE NUÑOA - PROVINCIA DE MELGAR - DEPARTAMENTO DE PUNO</t>
  </si>
  <si>
    <t>0427491.MEJORAMIENTO Y AMPLIACION DE LOS SERVICIOS DE EDUCACION SUPERIOR DEL INSTITUTO SUPERIOR TECNOLOGICO PUBLICO DE NUÑOA, DISTRITO NUÑOA - MELGAR - PUNO</t>
  </si>
  <si>
    <t>06.NUNOA</t>
  </si>
  <si>
    <t>2570033.MEJORAMIENTO DE LOS SERVICIOS DE EDUCACION SUPERIOR DEL INSTITUTO SUPERIOR TECNOLOGICO PUBLICA MUÑANI DEL DISTRITO DE MUÑANI - PROVINCIA DE AZANGARO - DEPARTAMENTO DE PUNO</t>
  </si>
  <si>
    <t>0429241.MEJORAMIENTO DE LOS SERVICIOS DE EDUCACION SUPERIOR DEL INSTITUTO SUPERIOR TECNOLOGICO PUBLICA MUÑANI, DISTRITO MUÑANI - AZANGARO - PUNO</t>
  </si>
  <si>
    <t>2570365.MEJORAMIENTO DEL INSTITUTO DE EDUCACION SUPERIOR TECNOLOGICO PUBLICO SANTA LUCIA DEL DISTRITO DE SANTA LUCIA - PROVINCIA DE LAMPA - DEPARTAMENTO DE PUNO</t>
  </si>
  <si>
    <t>0431027.MEJORAMIENTO DEL INSTITUTO DE EDUCACION SUPERIOR TECNOLOGICO PUBLICO SANTA LUCIA, DISTRITO SANTA LUCIA - LAMPA - PUNO</t>
  </si>
  <si>
    <t>09.SANTA LUCIA</t>
  </si>
  <si>
    <t>2570369.MEJORAMIENTO DE LOS SERVICIOS DE EDUCACION SUPERIOR DEL INSTITUTO SUPERIOR TECNOLOGICO PUBLICA SAN JUAN DEL ORO DEL DISTRITO DE SAN JUAN DEL ORO - PROVINCIA DE SANDIA - DEPARTAMENTO DE PUNO</t>
  </si>
  <si>
    <t>0429386.MEJORAMIENTO DE LOS SERVICIOS DE EDUCACION SUPERIOR DEL INSTITUTO SUPERIOR TECNOLOGICO PUBLICA SAN JUAN DEL ORO, DISTRITO SAN JUAN DEL ORO - SANDIA - PUNO</t>
  </si>
  <si>
    <t>07.SAN JUAN DEL ORO</t>
  </si>
  <si>
    <t>2570978.MEJORAMIENTO DE LOS SERVICIOS DE EDUCACION SUPERIOR DEL INSTITUTO SUPERIOR TECNOLOGICO PUBLICA DE CABANILLAS DEL DISTRITO DE CABANILLAS - PROVINCIA DE SAN ROMAN - DEPARTAMENTO DE PUNO</t>
  </si>
  <si>
    <t>0414460.MEJORAMIENTO DE LOS SERVICIOS DE EDUCACION SUPERIOR DEL INSTITUTO SUPERIOR TECNOLOGICO PUBLICA DE CABANILLAS, DISTRITO CABANILLAS - SAN ROMAN - PUNO</t>
  </si>
  <si>
    <t>03.CABANILLAS</t>
  </si>
  <si>
    <t>2585543.MEJORAMIENTO Y AMPLIACION DEL SERVICIO DE EDUCACION SUPERIOR TECNOLOGICA EN EL INSTITUTO DE EDUCACION SUPERIOR TECNOLOGICO PUBLICO ACORA DEL DISTRITO DE ACORA DE LA PROVINCIA DE PUNO DEL DEPARTAMENTO DE PUNO</t>
  </si>
  <si>
    <t>0427490.MEJORAMIENTO Y AMPLIACION DEL SERVICIO DE EDUCACION SUPERIOR TECNOLOGICA EN EL INSTITUTO DE EDUCACION SUPERIOR TECNOLOGICO PUBLICO ACORA, DISTRITO ACORA - PUNO - PUNO</t>
  </si>
  <si>
    <t>2591926.MEJORAMIENTO SERVICIO DE EDUCACION SUPERIOR TECNOLOGICA EN EL INSTITUTO SUPERIOR TECNOLOGICO PUBLICO JOSE DOMINGO CHOQUEHUANCA DEL DISTRITO DE JOSE DOMINGO CHOQUEHUANCA DE LA PROVINCIA DE AZANGARO DEL DEPARTAMENTO DE PUNO</t>
  </si>
  <si>
    <t>0430887.MEJORAMIENTO SERVICIO DE EDUCACION SUPERIOR TECNOLOGICA EN EL INSTITUTO SUPERIOR TECNOLOGICO PUBLICO JOSE DOMINGO CHOQUEHUANCA, DISTRITO JOSE DOMINGO CHOQUEHUANCA - AZANGARO - PUNO</t>
  </si>
  <si>
    <t>07.JOSE DOMINGO CHOQUEHUANCA</t>
  </si>
  <si>
    <t>2623875.MEJORAMIENTO DEL SERVICIO DE EDUCACION SUPERIOR TECNOLOGICA EN INSTITUTO DE EDUCACION SUPERIOR TECNOLOGICO PUBLICO SAN SALVADOR DE CAPACHICA DISTRITO DE CAPACHICA DE LA PROVINCIA DE PUNO DEL DEPARTAMENTO DE PUNO</t>
  </si>
  <si>
    <t>0444818.MEJORAMIENTO DEL SERVICIO DE EDUCACION SUPERIOR TECNOLOGICA EN INSTITUTO DE EDUCACION SUPERIOR TECNOLOGICO PUBLICO SAN SALVADOR DE CAPACHICA, DISTRITO DE CAPACHICA - PUNO - PUNO</t>
  </si>
  <si>
    <t>2623876.MEJORAMIENTO DEL SERVICIO DE EDUCACION SUPERIOR TECNOLOGICA EN EL INSTITUTO SUPERIOR TECNOLOGICO PUBLICO SANTA ROSA DEL DISTRITO DE SANTA ROSA DE LA PROVINCIA DE MELGAR DEL DEPARTAMENTO DE PUNO</t>
  </si>
  <si>
    <t>0443409.MEJORAMIENTO DEL SERVICIO DE EDUCACION SUPERIOR TECNOLOGICA EN EL INSTITUTO SUPERIOR TECNOLOGICO PUBLICO SANTA ROSA, DISTRITO DE SANTA ROSA - MELGAR - PUNO</t>
  </si>
  <si>
    <t>08.SANTA ROSA</t>
  </si>
  <si>
    <t>2662467.MEJORAMIENTO DEL SERVICIO DE EDUCACION SUPERIOR TECNOLOGICA EN EL INSTITUTO SUPERIOR TECNOLOGICO PUBLICA CHUPA DEL DISTRITO DE CHUPA DE LA PROVINCIA DE AZANGARO DEL DEPARTAMENTO DE PUNO</t>
  </si>
  <si>
    <t>0448767.MEJORAMIENTO DEL SERVICIO DE EDUCACION SUPERIOR TECNOLOGICA EN EL INSTITUTO SUPERIOR TECNOLOGICO PUBLICA CHUPA, DISTRITO DE CHUPA - AZANGARO - PUNO</t>
  </si>
  <si>
    <t>06.CHUPA</t>
  </si>
  <si>
    <t>2475053.MEJORAMIENTO DEL SERVICIO DE MOVILIDAD URBANA DE LA AV. ANDRES AVELINO CACERES (TRAMO: AV. TUPAC YUPANQUI - AV. AVIACION), AV. LOS GERANIOS DEL DISTRITO DE JULIACA - PROVINCIA DE SAN ROMAN - DEPARTAMENTO DE PUNO</t>
  </si>
  <si>
    <t>0308378.MEJORAMIENTO DEL SERVICIO DE MOVILIDAD URBANA DE LA AV. ANDRES AVELINO CACERES (TRAMO: AV. TUPAC YUPANQUI - AV. AVIACION), AV. LOS GERANIOS DEL DISTRITO DE JULIACA - SAN ROMAN - PUNO</t>
  </si>
  <si>
    <t>0148.REDUCCION DEL TIEMPO, INSEGURIDAD Y COSTO AMBIENTAL EN EL TRANSPORTE URBANO</t>
  </si>
  <si>
    <t>036.TRANSPORTE URBANO</t>
  </si>
  <si>
    <t>0074.VIAS URBANAS</t>
  </si>
  <si>
    <t>069.M2</t>
  </si>
  <si>
    <t>2519621.CREACION DEL SERVICIO DE TRANSITABILIDAD VEHICULAR Y PEATONAL EN EL JR. 7 DE JUNIO Y JR. BOLOGNESI CUADRA 10 DE LA LOCALIDAD DE YUNGUYO DEL DISTRITO DE YUNGUYO - PROVINCIA DE YUNGUYO - DEPARTAMENTO DE PUNO</t>
  </si>
  <si>
    <t>0389718.CREACION DEL SERVICIO DE TRANSITABILIDAD VEHICULAR Y PEATONAL EN EL JR. 7 DE JUNIO Y JR. BOLOGNESI CUADRA 10 DE LA LOCALIDAD DE YUNGUYO DEL DISTRITO DE YUNGUYO - YUNGUYO - PUNO</t>
  </si>
  <si>
    <t>2196834. MEJORAMIENTO DE LOS SERVICIOS DE EDUCACION INICIAL EN LA I.E.I. CUCURAYA DE LA COMUNIDAD DE CUCURAYA, DISTRITO DE TILALI, PROVINCIA DE MOHO - PUNO.</t>
  </si>
  <si>
    <t>4000035.MEJORAMIENTO DE INFRAESTRUCTURA DE EDUCACION INICIAL</t>
  </si>
  <si>
    <t>0145262.MEJORAMIENTO DE LOS SERVICIOS DE EDUCACION INICIAL EN LA I.E.I. CUCURAYA DE LA COMUNIDAD DE CUCURAYA, DISTRITO DE TILALI - MOHO - PUNO</t>
  </si>
  <si>
    <t>0150.INCREMENTO EN EL ACCESO DE LA POBLACION A LOS SERVICIOS EDUCATIVOS PUBLICOS DE LA EDUCACION BASICA</t>
  </si>
  <si>
    <t>0103.EDUCACION INICIAL</t>
  </si>
  <si>
    <t>2196857.INSTALACION DEL SERVICIO EDUCATIVO EN LA INSTITUCION EDUCATIVA INICIAL N 986 SAN JUAN BAUTISTA DEL DISTRITO DE JULIACA, PROVINCIA DE SAN ROMAN - PUNO</t>
  </si>
  <si>
    <t>4000017.INSTALACION DE INFRAESTRUCTURA DE EDUCACION INICIAL</t>
  </si>
  <si>
    <t>0145291.INSTALACION DEL SERVICIO EDUCATIVO EN LA INSTITUCION EDUCATIVA INICIAL N 986 SAN JUAN BAUTISTA, DISTRITO DE JULIACA - SAN ROMAN - PUNO</t>
  </si>
  <si>
    <t>2196865.MEJORAMIENTO DEL SERVICIO EDUCATIVO DE NIVEL INICIAL ESCOLARIZADO EN LA I.E.I. LLUNGO, DISTRITO DE ATUNCOLLA, PROVINCIA DE PUNO - PUNO.</t>
  </si>
  <si>
    <t>0145265.MEJORAMIENTO DEL SERVICIO EDUCATIVO DE NIVEL INICIAL ESCOLARIZADO EN LA I.E.I. LLUNGO, DISTRITO DE ATUNCOLLA - PUNO - PUNO</t>
  </si>
  <si>
    <t>04.ATUNCOLLA</t>
  </si>
  <si>
    <t>2250307.INSTALACION DEL SERVICIO EDUCATIVO ESCOLARIZADO DEL NIVEL INICIAL DE 3 A 5 AÑOS EN LA I.E.I. PICHACANI QUIRINI, DISTRITO DE MACARI, PROVINCIA MELGAR PUNO</t>
  </si>
  <si>
    <t>0163563.INSTALACION DEL SERVICIO EDUCATIVO ESCOLARIZADO DEL NIVEL INICIAL DE 3 A 5 AÑOS EN LA I.E.I. PICHACANI QUIRINI, DISTRITO MACARI - MELGAR - PUNO</t>
  </si>
  <si>
    <t>05.MACARI</t>
  </si>
  <si>
    <t>2250382.INSTALACION DE LOS SERVICIOS DE EDUCACION INICIAL EN LA I.E.I. CHIA, DEL C.P. DE CHIA, DEL DISTRITO DE OLLACHEA - PROVINCIA CARABAYA - REGION PUNO</t>
  </si>
  <si>
    <t>0163847.INSTALACION DE LOS SERVICIOS DE EDUCACION INICIAL EN LA I.E.I. CHIA, DEL C.P. DE CHIA, DISTRITO OLLACHEA - CARABAYA - PUNO</t>
  </si>
  <si>
    <t>08.OLLACHEA</t>
  </si>
  <si>
    <t>0163556.INSTALACION DEL SERVICIO EDUCATIVO DEL NIVEL INICIAL ESCOLARIZADO CICLO II EN LA I.E.I. 707 DEL CENTRO POBLADO DE JACHOCCO HUARACO, DISTRITO ILAVE - EL COLLAO - PUNO</t>
  </si>
  <si>
    <t>2250460.INSTALACION DEL SERVICIO EDUCATIVO DE LA INSTITUCION EDUCATIVA INICIAL CICLO II NUEVA ESPERANZA, DISTRITO DE MACARI, PROVINCIA DE MELGAR - PUNO</t>
  </si>
  <si>
    <t>0163558.INSTALACION DEL SERVICIO EDUCATIVO DE LA INSTITUCION EDUCATIVA INICIAL CICLO II NUEVA ESPERANZA, DISTRITO MACARI - MELGAR - PUNO</t>
  </si>
  <si>
    <t>2649797.MEJORAMIENTO DEL SERVICIO DE EDUCACION INICIAL EN I.E. 1450 HUELLITAS DE MONTESSORI MIRAMAR DISTRITO DE MOHO DE LA PROVINCIA DE MOHO DEL DEPARTAMENTO DE PUNO</t>
  </si>
  <si>
    <t>0453821.MEJORAMIENTO DEL SERVICIO DE EDUCACION INICIAL EN I.E. 1450 HUELLITAS DE MONTESSORI MIRAMAR, DISTRITO DE MOHO - MOHO - PUNO</t>
  </si>
  <si>
    <t>2649798.MEJORAMIENTO DEL SERVICIO DE EDUCACION INICIAL EN I.E. 056 DISTRITO DE CRUCERO DE LA PROVINCIA DE CARABAYA DEL DEPARTAMENTO DE PUNO</t>
  </si>
  <si>
    <t>0453827.MEJORAMIENTO DEL SERVICIO DE EDUCACION INICIAL EN I.E. 056, DISTRITO DE CRUCERO - CARABAYA - PUNO</t>
  </si>
  <si>
    <t>0463759.MEJORAMIENTO DEL SERVICIO DE EDUCACION INICIAL EN LA I.E. N° 1337 VISTA ALEGRE, DISTRITO DE JULIACA - SAN ROMAN - PUNO</t>
  </si>
  <si>
    <t>0463780.MEJORAMIENTO DEL SERVICIO DE EDUCACION INICIAL EN LA I.E. N° 72, DISTRITO DE PEDRO VILCA APAZA - SAN ANTONIO DE PUTINA - PUNO</t>
  </si>
  <si>
    <t>2649804.MEJORAMIENTO DEL SERVICIO DE EDUCACION INICIAL EN I.E. 50 DISTRITO DE ORURILLO DE LA PROVINCIA DE MELGAR DEL DEPARTAMENTO DE PUNO</t>
  </si>
  <si>
    <t>0453787.MEJORAMIENTO DEL SERVICIO DE EDUCACION INICIAL EN I.E. 50, DISTRITO DE ORURILLO - MELGAR - PUNO</t>
  </si>
  <si>
    <t>2649805.MEJORAMIENTO DEL SERVICIO DE EDUCACION INICIAL EN I.E. 881 DISTRITO DE CABANILLA DE LA PROVINCIA DE LAMPA DEL DEPARTAMENTO DE PUNO</t>
  </si>
  <si>
    <t>0453788.MEJORAMIENTO DEL SERVICIO DE EDUCACION INICIAL EN I.E. 881, DISTRITO DE CABANILLA - LAMPA - PUNO</t>
  </si>
  <si>
    <t>02.CABANILLA</t>
  </si>
  <si>
    <t>2649852.MEJORAMIENTO DEL SERVICIO DE EDUCACION INICIAL EN I.E. 325 DISTRITO DE PUNO DE LA PROVINCIA DE PUNO DEL DEPARTAMENTO DE PUNO</t>
  </si>
  <si>
    <t>0454760.MEJORAMIENTO DEL SERVICIO DE EDUCACION INICIAL EN I.E. 325, DISTRITO DE PUNO - PUNO - PUNO</t>
  </si>
  <si>
    <t>0463758.MEJORAMIENTO DEL SERVICIO DE EDUCACION INICIAL EN LA I.E. N° 1240 NIÑO JESUS, DISTRITO DE VILQUE - PUNO - PUNO</t>
  </si>
  <si>
    <t>15.VILQUE</t>
  </si>
  <si>
    <t>2649854.MEJORAMIENTO DEL SERVICIO DE EDUCACION INICIAL EN I.E. 1291 CORAZON DE JESUS DISTRITO DE ACORA DE LA PROVINCIA DE PUNO DEL DEPARTAMENTO DE PUNO</t>
  </si>
  <si>
    <t>0453826.MEJORAMIENTO DEL SERVICIO DE EDUCACION INICIAL EN I.E. 1291 CORAZON DE JESUS, DISTRITO DE ACORA - PUNO - PUNO</t>
  </si>
  <si>
    <t>2649855.MEJORAMIENTO DEL SERVICIO DE EDUCACION INICIAL EN I.E. 258 DISTRITO DE ACORA DE LA PROVINCIA DE PUNO DEL DEPARTAMENTO DE PUNO</t>
  </si>
  <si>
    <t>0453786.MEJORAMIENTO DEL SERVICIO DE EDUCACION INICIAL EN I.E. 258, DISTRITO DE ACORA - PUNO - PUNO</t>
  </si>
  <si>
    <t>2649856.MEJORAMIENTO DEL SERVICIO DE EDUCACION INICIAL EN I.E. 312 DE CENTRO POBLADO JAYU JAYU DISTRITO DE ACORA DE LA PROVINCIA DE PUNO DEL DEPARTAMENTO DE PUNO</t>
  </si>
  <si>
    <t>0453823.MEJORAMIENTO DEL SERVICIO DE EDUCACION INICIAL EN I.E. 312 DE CENTRO POBLADO JAYU JAYU, DISTRITO DE ACORA - PUNO - PUNO</t>
  </si>
  <si>
    <t>0463786.MEJORAMIENTO DEL SERVICIO DE EDUCACION INICIAL EN LA I.E. SAN JERONIMO DISTRITO DE ATUNCOLLA - PUNO - PUNO</t>
  </si>
  <si>
    <t>2649858.MEJORAMIENTO DEL SERVICIO DE EDUCACION INICIAL EN I.E. EDUARDITOS DISTRITO DE PICHACANI DE LA PROVINCIA DE PUNO DEL DEPARTAMENTO DE PUNO</t>
  </si>
  <si>
    <t>0453825.MEJORAMIENTO DEL SERVICIO DE EDUCACION INICIAL EN I.E. EDUARDITOS, DISTRITO DE PICHACANI - PUNO - PUNO</t>
  </si>
  <si>
    <t>2650268.MEJORAMIENTO DEL SERVICIO DE EDUCACION INICIAL EN I.E. 1243 DISTRITO DE MAÑAZO DE LA PROVINCIA DE PUNO DEL DEPARTAMENTO DE PUNO</t>
  </si>
  <si>
    <t>0451783.MEJORAMIENTO DEL SERVICIO DE EDUCACION INICIAL EN I.E. 1243, DISTRITO DE MAÑAZO - PUNO - PUNO</t>
  </si>
  <si>
    <t>09.MANAZO</t>
  </si>
  <si>
    <t>2651086.MEJORAMIENTO DEL SERVICIO DE EDUCACION INICIAL EN I.E. 1226 DISTRITO DE MAÑAZO DE LA PROVINCIA DE PUNO DEL DEPARTAMENTO DE PUNO</t>
  </si>
  <si>
    <t>0459284.MEJORAMIENTO DEL SERVICIO DE EDUCACION INICIAL EN I.E. 1226, DISTRITO DE MAÑAZO - PUNO - PUNO</t>
  </si>
  <si>
    <t>0463755.MEJORAMIENTO DEL SERVICIO DE EDUCACION INICIAL EN LA I.E. N° 1205, DISTRITO DE PUNO - PUNO - PUNO</t>
  </si>
  <si>
    <t>2652473.MEJORAMIENTO DEL SERVICIO DE EDUCACION INICIAL EN I.E. 944 DISTRITO DE JULIACA DE LA PROVINCIA DE SAN ROMAN DEL DEPARTAMENTO DE PUNO</t>
  </si>
  <si>
    <t>0448769.MEJORAMIENTO DEL SERVICIO DE EDUCACION INICIAL EN I.E. 944, DISTRITO DE JULIACA - SAN ROMAN - PUNO</t>
  </si>
  <si>
    <t>2659575.MEJORAMIENTO DEL SERVICIO DE EDUCACION INICIAL EN I.E. 1223 DIVINO NIÑO JESUS DISTRITO DE COATA DE LA PROVINCIA DE PUNO DEL DEPARTAMENTO DE PUNO</t>
  </si>
  <si>
    <t>0460951.MEJORAMIENTO DEL SERVICIO DE EDUCACION INICIAL EN I.E. 1223 DIVINO NIÑO JESUS, DISTRITO DE COATA - PUNO - PUNO</t>
  </si>
  <si>
    <t>07.COATA</t>
  </si>
  <si>
    <t>2664940.MEJORAMIENTO DEL SERVICIO DE EDUCACION INICIAL EN I.E. 1099 INMACULADA DISTRITO DE PUTINA DE LA PROVINCIA DE SAN ANTONIO DE PUTINA DEL DEPARTAMENTO DE PUNO</t>
  </si>
  <si>
    <t>0457921.MEJORAMIENTO DEL SERVICIO DE EDUCACION INICIAL EN I.E. 1099 INMACULADA, DISTRITO DE PUTINA - SAN ANTONIO DE PUTINA - PUNO</t>
  </si>
  <si>
    <t>2673614.MEJORAMIENTO DEL SERVICIO DE EDUCACION INICIAL EN I.E. HUARISANI RENJACHI DE CENTRO POBLADO HUARISANI DISTRITO DE HUANCANE DE LA PROVINCIA DE HUANCANE DEL DEPARTAMENTO DE PUNO</t>
  </si>
  <si>
    <t>0455624.MEJORAMIENTO DEL SERVICIO DE EDUCACION INICIAL EN I.E. HUARISANI RENJACHI DE CENTRO POBLADO HUARISANI, DISTRITO DE HUANCANE - HUANCANE - PUNO</t>
  </si>
  <si>
    <t>2154443.MEJORAMIENTO DEL ESTADO NUTRICIONAL DEL NIÑO MENOR DE TRES AÑOS Y LA MADRE GESTANTE EN LAS PROVINCIAS DE AZANGARO, LAMPA Y SAN ROMAN DE LA REGION PUNO</t>
  </si>
  <si>
    <t>0068743.MEJORAMIENTO DEL ESTADO NUTRICIONAL DEL NIÑO MENOR DE TRES AÑOS Y LA MADRE GESTANTE, MULTIDISTRITAL - MULTIPROVINCIAL - PUNO</t>
  </si>
  <si>
    <t>1001.PRODUCTOS ESPECIFICOS PARA DESARROLLO INFANTIL TEMPRANO</t>
  </si>
  <si>
    <t>043.SALUD COLECTIVA</t>
  </si>
  <si>
    <t>0095.CONTROL DE RIESGOS Y DAÑOS PARA LA SALUD</t>
  </si>
  <si>
    <t>2159149.MEJORAMIENTO DE LAS CAPACIDADES PARA PREVENIR LA DESNUTRICION CRONICA, EN MENORES DE 3 AÑOS EN LAS PROVINCIAS DE CARABAYA, MELGAR Y SANDIA DE LA REGION PUNO</t>
  </si>
  <si>
    <t>0078553.MEJORAMIENTO DE LAS CAPACIDADES PARA PREVENIR LA DESNUTRICION CRONICA, EN MENORES DE 3 AÑOS EN LAS PROVINCIAS DE CARABAYA, MELGAR Y SANDIA DE LA REGION PUNO, MULTIDISTRITAL - MULTIPROVINCIAL - PUNO</t>
  </si>
  <si>
    <t>4000013.MEJORAMIENTO DE PUESTOS DE SALUD</t>
  </si>
  <si>
    <t>0279896.MEJORAMIENTO DE LOS SERVICIOS DE SALUD DEL CENTRO DE SALUD ZEPITA, MICRO RED ZEPITA, RED DE SALUD CHUCUITO, DISTRITO DE ZEPITA - CHUCUITO - PUNO</t>
  </si>
  <si>
    <t>3999999.SIN PRODUCTO</t>
  </si>
  <si>
    <t>5000001.PLANEAMIENTO Y PRESUPUESTO</t>
  </si>
  <si>
    <t>0000395.CONDUCCION, SUPERVISION Y EVALUACION DE LOS PLANES Y PROGRAMAS, PRESUPUESTO Y COOPERACION TECNICA</t>
  </si>
  <si>
    <t>9001.ACCIONES CENTRALES</t>
  </si>
  <si>
    <t>004.PLANEAMIENTO GUBERNAMENTAL</t>
  </si>
  <si>
    <t>0005.PLANEAMIENTO INSTITUCIONAL</t>
  </si>
  <si>
    <t>036.DOCUMENTO</t>
  </si>
  <si>
    <t>1.SERVICIO DE TELEFONIA MOVIL</t>
  </si>
  <si>
    <t>0007979.ACCIONES DE PLANEAMIENTO Y PRESUPUESTO</t>
  </si>
  <si>
    <t>1.PRESTACIONES DE SALUD Y OTROS BENEFICIOS</t>
  </si>
  <si>
    <t>3.OTRAS PRESTACIONES DEL EMPLEADOR</t>
  </si>
  <si>
    <t>1.GASTOS DE SEPELIO Y LUTO DEL PERSONAL ACTIVO</t>
  </si>
  <si>
    <t>5.SERVICIOS DE DIFUSIÓN EN EL DIARIO OFICIAL</t>
  </si>
  <si>
    <t>1.DIFUSIÓN EN EL DIARIO OFICIAL</t>
  </si>
  <si>
    <t>09.RECURSOS DIRECTAMENTE RECAUDADOS</t>
  </si>
  <si>
    <t>1.GASTOS LEGALES Y JUDICIALES</t>
  </si>
  <si>
    <t>5000002.CONDUCCION Y ORIENTACION SUPERIOR</t>
  </si>
  <si>
    <t>7.FUNCIONARIOS DE ALTA DIRECCIÓN DE LAS ENTIDADES</t>
  </si>
  <si>
    <t>0000888.GESTION ADMINISTRATIVA</t>
  </si>
  <si>
    <t>006.GESTION</t>
  </si>
  <si>
    <t>0007.DIRECCION Y SUPERVISION SUPERIOR</t>
  </si>
  <si>
    <t>1.COMPENSACION POR TIEMPO DE SERVICIOS DEL REGIMEN LABORAL PRIVADO Y REGIMEN DEL SERVICIO CIVIL</t>
  </si>
  <si>
    <t>1.FUNCIONARIOS ELEGIDOS POR ELECCION POLITICA</t>
  </si>
  <si>
    <t>0023559.CONDUCCION DE LA POLITICA INSTITUCIONAL</t>
  </si>
  <si>
    <t>5000003.GESTION ADMINISTRATIVA</t>
  </si>
  <si>
    <t>0008.ASESORAMIENTO Y APOYO</t>
  </si>
  <si>
    <t>3.OTROS GASTOS VARIABLES Y OCASIONALES</t>
  </si>
  <si>
    <t>13.OTROS BONOS EXTRAORDINARIOS PERSONAL ACTIVO</t>
  </si>
  <si>
    <t>14.OTROS BONOS EXTRAORDINARIOS PERSONAL CAS</t>
  </si>
  <si>
    <t>7.VACACIONES TRUNCAS PERSONAL CAS</t>
  </si>
  <si>
    <t>5.OTROS MATERIALES DE MANTENIMIENTO</t>
  </si>
  <si>
    <t>1.LIBROS, TEXTOS Y OTROS MATERIALES IMPRESOS</t>
  </si>
  <si>
    <t>10.SERVICIO POR ATENCIONES Y CELEBRACIONES</t>
  </si>
  <si>
    <t>2.ATENCIONES OFICIALES Y CELEBRACIONES INSTITUCIONALES</t>
  </si>
  <si>
    <t>4.DONACIONES Y TRANSFERENCIAS</t>
  </si>
  <si>
    <t>1.DONACIONES Y TRANSFERENCIAS CORRIENTES</t>
  </si>
  <si>
    <t>3.A OTRAS UNIDADES DEL GOBIERNO</t>
  </si>
  <si>
    <t>1.A OTRAS UNIDADES DEL GOBIERNO</t>
  </si>
  <si>
    <t>1.A OTRAS UNIDADES DEL GOBIERNO NACIONAL</t>
  </si>
  <si>
    <t>5.OTROS GASTOS</t>
  </si>
  <si>
    <t>4.PAGO DE IMPUESTOS,  DERECHOS ADMINISTRATIVOS Y MULTAS GUBERNAMENTALES</t>
  </si>
  <si>
    <t>1.AL GOBIERNO NACIONAL</t>
  </si>
  <si>
    <t>2.DERECHOS ADMINISTRATIVOS</t>
  </si>
  <si>
    <t>1.DERECHOS ADMINISTRATIVOS</t>
  </si>
  <si>
    <t>3.MULTAS</t>
  </si>
  <si>
    <t>1.MULTAS</t>
  </si>
  <si>
    <t>4.PARA MAQUINARIAS Y EQUIPOS</t>
  </si>
  <si>
    <t>3.DE MOBILIARIO Y SIMILARES</t>
  </si>
  <si>
    <t>3.SERVICIOS RELACIONADOS CON FLORERIA, JARDINERIA Y OTRAS ACTIVIDADES SIMILARES</t>
  </si>
  <si>
    <t>0001050.MANTENIMIENTO Y REPARACION DE EQUIPO MECANICO</t>
  </si>
  <si>
    <t>455.MANTENIMIENTO</t>
  </si>
  <si>
    <t>0001156.PAGO DE PLANILLAS</t>
  </si>
  <si>
    <t>137.PLANILLA</t>
  </si>
  <si>
    <t>2.CONTRATO ADMINISTRATIVO DE SERVICIOS - TRANSITORIO</t>
  </si>
  <si>
    <t>3.APORTES A LOS FONDOS DE PENSIONES</t>
  </si>
  <si>
    <t>0238543.PAGO DE CUOTAS DEL REPRO-AFP</t>
  </si>
  <si>
    <t>026.CUOTA</t>
  </si>
  <si>
    <t>0000876.GARANTIZAR LA APLICACION DE NORMAS LABORALES</t>
  </si>
  <si>
    <t>4.SIMBOLOS, DISTINTIVOS Y CONDECORACIONES</t>
  </si>
  <si>
    <t>99.DE OTROS BIENES Y ACTIVOS</t>
  </si>
  <si>
    <t>1.SEMINARIOS ,TALLERES Y SIMILARES ORGANIZADOS POR LA  INSTITUCION</t>
  </si>
  <si>
    <t>13.MINERIA</t>
  </si>
  <si>
    <t>13.DONACIONES Y TRANSFERENCIAS</t>
  </si>
  <si>
    <t>5000004.ASESORAMIENTO TECNICO Y JURIDICO</t>
  </si>
  <si>
    <t>0000199.ASESORAMIENTO DE NATURALEZA JURIDICA</t>
  </si>
  <si>
    <t>3.PARA MOBILIARIO Y SIMILARES</t>
  </si>
  <si>
    <t>5000005.GESTION DE RECURSOS HUMANOS</t>
  </si>
  <si>
    <t>6.GASTOS POR IMPLEMENTACIÓN DE LA NEGOCIACIÓN COLECTIVA</t>
  </si>
  <si>
    <t>1.GASTOS POR IMPLEMENTACIÓN DE LA NEGOCIACIÓN COLECTIVA</t>
  </si>
  <si>
    <t>1.GASTOS POR IMPLEMENTACIÓN DE LA NEGOCIACIÓN COLECTIVA - NIVEL DESCENTRALIZADO</t>
  </si>
  <si>
    <t>1.GASTOS POR IMPLEMENTACIÓN DE LA NEGOCIACIÓN COLECTIVA - NIVEL DESCENTRALIZADO POR ENTIDAD PÚBLICA</t>
  </si>
  <si>
    <t>0436670.IMPLEMENTACION DE NEGOCIACION COLECTIVA DESCENTRALIZADA</t>
  </si>
  <si>
    <t>0011.PREPARACION Y PERFECCIONAMIENTO DE RECURSOS HUMANOS</t>
  </si>
  <si>
    <t>5000006.ACCIONES DE CONTROL Y AUDITORIA</t>
  </si>
  <si>
    <t>0001099.MONITOREO DEL SISTEMA DE CONTROL</t>
  </si>
  <si>
    <t>0012.CONTROL INTERNO</t>
  </si>
  <si>
    <t>5000007.DEFENSA JUDICIAL DEL ESTADO</t>
  </si>
  <si>
    <t>0159240.DEFENSA JURIDICA DEL ESTADO</t>
  </si>
  <si>
    <t>018.SEGURIDAD JURIDICA</t>
  </si>
  <si>
    <t>0039.DEFENSA DE LOS DERECHOS CONSTITUCIONALES Y LEGALES</t>
  </si>
  <si>
    <t>6000032.ESTUDIOS DE PRE - INVERSION</t>
  </si>
  <si>
    <t>2.ESTUDIO DE PREINVERSION</t>
  </si>
  <si>
    <t>1.ESTUDIO DE PREINVERSION</t>
  </si>
  <si>
    <t>0000705.ELABORACION DE ESTUDIO DE FACTIBILIDAD</t>
  </si>
  <si>
    <t>9002.ASIGNACIONES PRESUPUESTARIAS QUE NO RESULTAN EN PRODUCTOS</t>
  </si>
  <si>
    <t>213.ESTUDIO DE PREINVERSION</t>
  </si>
  <si>
    <t>6000033.ELABORACION DE PLANES</t>
  </si>
  <si>
    <t>0003523.APOYAR AL DESARROLLO PRODUCTIVO</t>
  </si>
  <si>
    <t>021.COMERCIO</t>
  </si>
  <si>
    <t>0043.PROMOCION DEL COMERCIO INTERNO</t>
  </si>
  <si>
    <t>0141313.MEJORAMIENTO DEL ESTADIO MUNICIPAL CESAR RAUL CARRERA DEL DISTRITO DE AZANGARO - AZANGARO - PUNO</t>
  </si>
  <si>
    <t>0351181.MEJORAMIENTO DE LA CADENA DE VALOR DE LA FIBRA DE ALPACA EN LA REGION PUNO - SEGUNDA ETAPA (AÑOS 3, 4, 5 Y 6), MULTIDISTRITAL - MULTIPROVINCIAL - PUNO</t>
  </si>
  <si>
    <t>024.PECUARIO</t>
  </si>
  <si>
    <t>0049.INOCUIDAD PECUARIA</t>
  </si>
  <si>
    <t>2251136.MEJORAMIENTO DE LA CAPACIDAD RESOLUTIVA DEL HOSPITAL LUCIO ALDAZABAL PAUCA DE REDES HUANCANE, PROVINCIA DE HUANCANE - REGION PUNO</t>
  </si>
  <si>
    <t>4000015.MEJORAMIENTO DE HOSPITALES</t>
  </si>
  <si>
    <t>0236739.MEJORAMIENTO DE LA CAPACIDAD RESOLUTIVA DEL HOSPITAL LUCIO ALDAZABAL PAUCA DE REDES HUANCANE, DISTRITO DE HUANCANE - HUANCANE - PUNO</t>
  </si>
  <si>
    <t>0169576.MEJORAMIENTO DE LOS SERVICIOS DE SALUD DEL HOSPITAL DE APOYO DE ILAVE, DISTRITO DE ILAVE - EL COLLAO - PUNO</t>
  </si>
  <si>
    <t>109.SUPERVISION</t>
  </si>
  <si>
    <t>2290342.MEJORAMIENTO DE LA CAPACIDAD RESOLUTIVA DE LOS SERVICIOS DEL PUESTO DE SALUD I - 1 DEL CENTRO POBLADO DE CARI CARI DEL DISTRITO DE MAÑAZO - PROVINCIA DE PUNO - DEPARTAMENTO DE PUNO</t>
  </si>
  <si>
    <t>0334342.MEJORAMIENTO DE LA CAPACIDAD RESOLUTIVA DE LOS SERVICIOS DEL PUESTO DE SALUD I - 1 DEL CENTRO POBLADO DE CARI CARI, DISTRITO DE MAÑAZO - PUNO - PUNO</t>
  </si>
  <si>
    <t>4.ADQUISICION DE MOBILIARIO, EQUIPOS Y APARATOS MEDICOS</t>
  </si>
  <si>
    <t>1.MOBILIARIO</t>
  </si>
  <si>
    <t>2.EQUIPOS</t>
  </si>
  <si>
    <t>0417737.MEJORAMIENTO DE LA CAPACIDAD RESOLUTIVA DEL PUESTO DE SALUD DE AYMAÑA DEL CENTRO POBLADO DE AYMAÑA (EJECUCION SALDO DE OBRA), DISTRITO CORANI - CARABAYA - PUNO</t>
  </si>
  <si>
    <t>05.CORANI</t>
  </si>
  <si>
    <t>0211639.MEJORAMIENTO DEL SERVICIO EDUCATIVO DE LAS CARRERAS DE PRODUCCION, AUTOMOTRIZ, MINERIA, CONTABILIDAD, COMPUTACION, SECRETARIADO, ENFERMERIA, LABORATORIO CLINICO Y PROTESIS DENTAL DEL IST MANUEL NUÑEZ BUTRON, DISTRITO DE JULIACA - SAN ROMAN - PUNO</t>
  </si>
  <si>
    <t>0232482.MEJORAMIENTO DEL SERVICIO EDUCATIVO DE LAS CARRERAS DE CONTABILIDAD, ENFERMERIA TECNICA, COMPUTACION E INFORMATICA, INDUSTRIA ALIMENTARIA Y PRODUCCION AGROPECUARIA DEL ISEPA, DISTRITO DE MELGAR - MELGAR - PUNO</t>
  </si>
  <si>
    <t>4000123.INSTALACION DE INFRAESTRUCTURA ADMINISTRATIVA</t>
  </si>
  <si>
    <t>1.EDIFICIOS ADMINISTRATIVOS</t>
  </si>
  <si>
    <t>0245414.CREACION DE LOS SERVICIOS DE PROMOCION DEL COMERCIO EXTERIOR EN LA ZEEDE PUNO, DISTRITO PUNO - PUNO - PUNO</t>
  </si>
  <si>
    <t>0044.PROMOCION DEL COMERCIO EXTERNO</t>
  </si>
  <si>
    <t>2357089.MEJORAMIENTO DE LOS SERVICIOS DEL CENTRO DE SALUD ESTRATEGICO SIMON BOLIVAR CATEGORIA I-4 RED DE SALUD PUNO, DISTRITO PUNO - PROVINCIA DE PUNO - REGION PUNO DISTRITO DE PUNO - PROVINCIA DE PUNO - DEPARTAMENTO DE PUNO</t>
  </si>
  <si>
    <t>4000014.MEJORAMIENTO DE CENTROS DE SALUD</t>
  </si>
  <si>
    <t>0373533.MEJORAMIENTO DE LOS SERVICIOS DEL CENTRO DE SALUD ESTRATEGICO SIMON BOLIVAR CATEGORIA I-4 RED DE SALUD PUNO, DISTRITO PUNO - PUNO - PUNO</t>
  </si>
  <si>
    <t>2357091.MEJORAMIENTO DE LA CAPACIDAD RESOLUTIVA DEL CENTRO DE SALUD COATA I-3 DE LA MICRORED JAE, RED DE SALUD PUNO - DIRESA PUNO, - DISTRITO DE COATA - PROVINCIA DE PUNO - REGION PUNO</t>
  </si>
  <si>
    <t>0287576.MEJORAMIENTO DE LA CAPACIDAD RESOLUTIVA DEL CENTRO DE SALUD COATA I-3 DE LA MICRORED JAE, RED DE SALUD PUNO - DIRESA PUNO, DISTRITO DE COATA - PUNO - PUNO</t>
  </si>
  <si>
    <t>0337011.MEJORAMIENTO DE LA CAPACIDAD RESOLUTIVA DEL CENTRO DE SALUD COJATA I-4, DE LA MICRO RED COJATA, RED DE SALUD HUANCANE, DIRESA PUNO, DISTRITO DE COJATA - HUANCANE - PUNO</t>
  </si>
  <si>
    <t>2357330.MEJORAMIENTO DEL SERVICIO EDUCATIVO DE LAS CARRERAS DE PRODUCCION AGROPECUARIA, MECANICA DE PRODUCCION, COMPUTACION E INFORMATICA, ENFERMERIA TECNICA EN EL INSTITUTO SUPERIOR TECNOLOGICO PUBLICO DE HUANCANE DISTRITO DE HUANCANE - PROVINCIA DE HUAN</t>
  </si>
  <si>
    <t>0444814.MEJORAMIENTO DEL SERVICIO EDUCATIVO DE LAS CARRERAS DE PRODUCCION AGROPECUARIA, MECANICA DE PRODUCCION, COMPUTACION E INFORMATICA, ENFERMERIA TECNICA EN EL ISTP DE HUANCANE - SECTOR 1, DISTRITO DE HUANCANE - HUANCANE - PUNO</t>
  </si>
  <si>
    <t>049.EDUCACION TECNICA PRODUCTIVA</t>
  </si>
  <si>
    <t>0112.FORMACION OCUPACIONAL</t>
  </si>
  <si>
    <t>2380088.MEJORAMIENTO Y AMPLIACION DE LOS SERVICIOS DE SALUD DEL HOSPITAL CARLOS CORNEJO ROSELLO VIZCARDO DE LA CIUDAD DE AZANGARO, DISTRITO Y PROVINCIA DE AZANGARO, DEPARTAMENTO DE PUNO</t>
  </si>
  <si>
    <t>0241242.MEJORAMIENTO Y AMPLIACION DE LOS SERVICIOS DE SALUD DEL HOSPITAL CARLOS CORNEJO ROSELLO VIZCARDO, DISTRITO DE AZANGARO - AZANGARO - PUNO</t>
  </si>
  <si>
    <t>2393101.MEJORAMIENTO Y AMPLIACION DEL SERVICIO ADMINISTRATIVO DE LA UNIDAD DE GESTION EDUCATIVA LOCAL MELGAR EN EL DISTRITO DE AYAVIRI, PROVINCIA DE MELGAR, REGION PUNO</t>
  </si>
  <si>
    <t>4000148.AMPLIACION DE INFRAESTRUCTURA ADMINISTRATIVA</t>
  </si>
  <si>
    <t>0464418.MEJORAMIENTO Y AMPLIACION DEL SERVICIO ADMINISTRATIVO DE LA UNIDAD DE GESTION EDUCATIVA LOCAL MELGAR EN EL DISTRITO DE AYAVIRI - MELGAR - PUNO</t>
  </si>
  <si>
    <t>0010.INFRAESTRUCTURA Y EQUIPAMIENTO</t>
  </si>
  <si>
    <t>0250744.MEJORAMIENTO Y AMPLIACION DE LA PRESTACION DE SERVICIOS PUBLICOS DEL GOBIERNO REGIONAL PUNO, DISTRITO DE PUNO - PUNO - PUNO</t>
  </si>
  <si>
    <t>2427364.MEJORAMIENTO DE LOS SERVICIOS DE SALUD DEL HOSPITAL ANTONIO BARRIONUEVO DISTRITO DE LAMPA - PROVINCIA DE LAMPA - DEPARTAMENTO DE PUNO</t>
  </si>
  <si>
    <t>0424681.MEJORAMIENTO DE LOS SERVICIOS DE SALUD DEL HOSPITAL ANTONIO BARRIONUEVO, DISTRITO LAMPA - LAMPA - PUNO</t>
  </si>
  <si>
    <t>0338099.MEJORAMIENTO Y AMPLIACION DE LOS SERVICIOS DE SALUD DEL CENTRO DE SALUD LA REVOLUCION (NIVEL I-4), DISTRITO DE SAN MIGUEL - SAN ROMAN - PUNO</t>
  </si>
  <si>
    <t>0337707.MEJORAMIENTO DEL SERVICIO DE SALUD EN EL CENTRO DE SALUD PILCUYO DE LA MICRORED PILCUYO, RED DE SALUD EL COLLAO DEL DISTRITO DE PILCUYO - EL COLLAO - PUNO</t>
  </si>
  <si>
    <t>03.PILCUYO</t>
  </si>
  <si>
    <t>2462296.CREACION DEL SERVICIO DE TRANSITABILIDAD A TRAVES DE LA INSTALACION DE PUENTES PEATONALES EN LAS PROVINCIAS DE CARABAYA Y SANDIA DEL DEPARTAMENTO DE PUNO</t>
  </si>
  <si>
    <t>0325538.CREACION DEL SERVICIO DE TRANSITABILIDAD A TRAVES DE LA INSTALACION DE PUENTES PEATONALES EN LAS PROVINCIAS DE CARABAYA Y SANDIA, MULTIDISTRITAL - MULTIPROVINCIAL - PUNO</t>
  </si>
  <si>
    <t>041.DESARROLLO URBANO</t>
  </si>
  <si>
    <t>0090.PLANEAMIENTO Y DESARROLLO URBANO Y RURAL</t>
  </si>
  <si>
    <t>2470517.MEJORAMIENTO DE LOS SERVICIOS DE SALUD DEL CENTRO DE SALUD COPANI DE LA MICRO RED COPANI, RED DE SALUD YUNGUYO, DISTRITO DE COPANI - PROVINCIA DE YUNGUYO - DEPARTAMENTO DE PUNO</t>
  </si>
  <si>
    <t>0373492.MEJORAMIENTO DE LOS SERVICIOS DE SALUD DEL CENTRO DE SALUD COPANI DE LA MICRO RED COPANI, RED DE SALUD YUNGUYO, DISTRITO DE COPANI - YUNGUYO - PUNO</t>
  </si>
  <si>
    <t>03.COPANI</t>
  </si>
  <si>
    <t>2476464.MEJORAMIENTO Y AMPLIACION DE LOS SERVICIOS DE SALUD DEL CENTRO DE SALUD KELLUYO DEL DISTRITO DE KELLUYO - PROVINCIA DE CHUCUITO - DEPARTAMENTO DE PUNO</t>
  </si>
  <si>
    <t>0430391.MEJORAMIENTO Y AMPLIACION DE LOS SERVICIOS DE SALUD DEL CENTRO DE SALUD KELLUYO, DISTRITO KELLUYO - CHUCUITO - PUNO</t>
  </si>
  <si>
    <t>0303735.CREACION DEL SERVICIO DE ANALISIS DE BIOLOGIA MOLECULAR DE DIAGNOSTICO COVID-19 EN EL LABORATORIO DE REFERENCIA REGIONAL DE LA DIRESA PUNO, DISTRITO PUNO - PUNO - PUNO</t>
  </si>
  <si>
    <t>0338101.MEJORAMIENTO Y AMPLIACION DE LOS SERVICIOS DE SALUD DEL ESTABLECIMIENTO DE SALUD NIVEL I- 4 DE LA LOCALIDAD DE TARACO, DISTRITO DE TARACO - HUANCANE - PUNO</t>
  </si>
  <si>
    <t>2494039.MEJORAMIENTO Y AMPLIACION DE LOS SERVICIOS DE SALUD EN EL ESTABLECIMIENTO DE SALUD UMACHIRI CATEGORIA I-2 DEL DISTRITO DE UMACHIRI - PROVINCIA DE MELGAR - DEPARTAMENTO DE PUNO</t>
  </si>
  <si>
    <t>0334341.MEJORAMIENTO Y AMPLIACION DE LOS SERVICIOS DE SALUD EN EL ESTABLECIMIENTO DE SALUD UMACHIRI CATEGORIA I-2, DISTRITO DE UMACHIRI - MELGAR - PUNO</t>
  </si>
  <si>
    <t>09.UMACHIRI</t>
  </si>
  <si>
    <t>0337709.MEJORAMIENTO DEL SERVICIO DE SALUD EN EL CENTRO DE SALUD YANAPATA DE LA MICRO RED COPANI, RED DE SALUD YUNGUYO, DISTRITO DE YUNGUYO - YUNGUYO - PUNO</t>
  </si>
  <si>
    <t>2506927.MEJORAMIENTO DE LOS SERVICIOS DE EDUCACION SUPERIOR TECNOLOGICA DEL IESTP JOSE ANTONIO ENCINAS, DISTRITO DE PUNO - PROVINCIA DE PUNO - DEPARTAMENTO DE PUNO</t>
  </si>
  <si>
    <t>0418004.MEJORAMIENTO DE LOS SERVICIOS DE EDUCACION SUPERIOR TECNOLOGICA DEL I.E.S.T.P. JOSE ANTONIO ENCINAS, DISTRITO PUNO - PUNO - PUNO</t>
  </si>
  <si>
    <t>0337708.MEJORAMIENTO DEL SERVICIO DE SALUD EN EL CENTRO DE SALUD SAN GABAN, DISTRITO DE SAN GABAN - CARABAYA - PUNO</t>
  </si>
  <si>
    <t>2521936.MEJORAMIENTO Y AMPLIACION DEL SERVICIO DE EDUCACION SUPERIOR TECNOLOGICA EN EL INSTITUTO SUPERIOR TECNOLOGICO PUBLICO DE MACUSANI DISTRITO DE MACUSANI - PROVINCIA DE CARABAYA - DEPARTAMENTO DE PUNO</t>
  </si>
  <si>
    <t>0375742.MEJORAMIENTO Y AMPLIACION DEL SERVICIO DE EDUCACION SUPERIOR TECNOLOGICA EN EL INSTITUTO SUPERIOR TECNOLOGICO PUBLICO DE MACUSANI, DISTRITO MACUSANI - CARABAYA - PUNO</t>
  </si>
  <si>
    <t>2527207.RECUPERACION DEL PUENTE COLONIAL DE LAMPA, DISTRITO DE LAMPA - PROVINCIA DE LAMPA - DEPARTAMENTO DE PUNO</t>
  </si>
  <si>
    <t>0428630.RECUPERACION DEL PUENTE COLONIAL DE LAMPA, DISTRITO LAMPA - LAMPA - PUNO</t>
  </si>
  <si>
    <t>045.CULTURA</t>
  </si>
  <si>
    <t>0099.PATRIMONIO HISTORICO Y CULTURAL</t>
  </si>
  <si>
    <t>2535611.MEJORAMIENTO Y AMPLIACION DEL SERVICIO DE EDUCACION SUPERIOR TECNOLOGICO PUBLICO EN EL INSTITUTO ANDRES AVELINO CACERES DISTRITO DE PUTINA - PROVINCIA DE SAN ANTONIO DE PUTINA - DEPARTAMENTO DE PUNO</t>
  </si>
  <si>
    <t>0354871.MEJORAMIENTO Y AMPLIACION DEL SERVICIO DE EDUCACION SUPERIOR TECNOLOGICO PUBLICO EN EL INSTITUTO ANDRES AVELINO CACERES, DISTRITO PUTINA - SAN ANTONIO DE PUTINA - PUNO</t>
  </si>
  <si>
    <t>2539673.MEJORAMIENTO Y AMPLIACION DEL SERVICIO DE EDUCACION SUPERIOR TECNOLOGICA EN EL INSTITUTO SUPERIOR TECNOLOGICO PUBLICO DE JULI, DISTRITO DE JULI - PROVINCIA DE CHUCUITO - DEPARTAMENTO DE PUNO</t>
  </si>
  <si>
    <t>0369316.MEJORAMIENTO Y AMPLIACION DEL SERVICIO DE EDUCACION SUPERIOR TECNOLOGICA EN EL INSTITUTO SUPERIOR TECNOLOGICO PUBLICO DE JULI, DISTRITO JULI - CHUCUITO - PUNO</t>
  </si>
  <si>
    <t>2544369.ADQUISICION DE AMBULANCIA RURAL Y AMBULANCIA RURAL; EN CINCUENTA Y CINCO ESTABLECIMIENTOS DE SALUD I.4, ESTABLECIMIENTOS DE SALUD I.2, ESTABLECIMIENTOS DE SALUD I.3 A NIVEL DEPARTAMENTAL (PUNO)</t>
  </si>
  <si>
    <t>6000007.ADQUISICION DE VEHICULOS</t>
  </si>
  <si>
    <t>0377356.ADQUISICION DE AMBULANCIA RURAL Y AMBULANCIA RURAL; EN CINCUENTA Y CINCO ESTABLECIMIENTOS DE SALUD I.4, ESTABLECIMIENTOS DE SALUD I.2, ESTABLECIMIENTOS DE SALUD I.3, MULTIDISTRITAL - MULTIPROVINCIAL - PUNO</t>
  </si>
  <si>
    <t>2549395.RECUPERACION DE ECOSISTEMAS DEGRADADOS EN LAS UNIDADES HIDROGRAFICAS: LLALLIMAYO DE LA UH 018 PUCARA Y UH 019 AZANGARO, DE LA CUENCA RAMIS DEL DEPARTAMENTO DE PUNO, REGION PUNO 5 PROVINCIAS DEL DEPARTAMENTO DE PUNO</t>
  </si>
  <si>
    <t>0411316.RECUPERACION DE ECOSISTEMAS DEGRADADOS EN LAS UNIDADES HIDROGRAFICAS: LLALLIMAYO DE LA UH 018 PUCARA Y UH 019 AZANGARO, DE LA CUENCA RAMIS, EN 5 PROVINCIAS, MULTIDISTRITAL - MULTIPROVINCIAL - PUNO</t>
  </si>
  <si>
    <t>0120.GESTION INTEGRADA Y SOSTENIBLE DE LOS ECOSISTEMAS</t>
  </si>
  <si>
    <t>2551456.MEJORAMIENTO DE LOS SERVICIOS DE SALUD DEL CENTRO DE SALUD GUADALUPE, DISTRITO DE JULIACA - PROVINCIA DE SAN ROMAN - DEPARTAMENTO DE PUNO</t>
  </si>
  <si>
    <t>0407640.MEJORAMIENTO DE LOS SERVICIOS DE SALUD DEL CENTRO DE SALUD GUADALUPE, DISTRITO DE JULIACA - SAN ROMAN - PUNO</t>
  </si>
  <si>
    <t>2555837.REPARACION DE CAMPO DEPORTIVO; ADQUISICION DE EQUIPO NO DEPORTIVO PARA INSTALACIONES DEPORTIVAS; EN EL(LA) ESTADIO ENRIQUE TORRES BELON DISTRITO DE PUNO, PROVINCIA PUNO, DEPARTAMENTO PUNO</t>
  </si>
  <si>
    <t>4.INSTALACIONES SOCIALES Y CULTURALES</t>
  </si>
  <si>
    <t>0367611.REPARACION DE CAMPO DEPORTIVO; ADQUISICION DE EQUIPO NO DEPORTIVO PARA INSTALACIONES DEPORTIVAS; EN EL ESTADIO ENRIQUE TORRES BELON, DISTRITO PUNO - PUNO - PUNO</t>
  </si>
  <si>
    <t>2566295.RECUPERACION DE ECOSISTEMAS DEGRADADOS EN ZONAS ALTO ANDINAS EN CABECERA DE CUENCA DE LAS UH0172, UH0178 Y UH0171 CUENCA SUCHES EN 4 PROVINCIAS DEL DEPARTAMENTO DE PUNO</t>
  </si>
  <si>
    <t>0411317.RECUPERACION DE ECOSISTEMAS DEGRADADOS EN ZONAS ALTO ANDINAS EN CABECERA DE CUENCA DE LAS UH0172, UH0178 Y UH0171 CUENCA SUCHES EN 4 PROVINCIAS, MULTIDISTRITAL - MULTIPROVINCIAL - PUNO</t>
  </si>
  <si>
    <t>2567368.ADQUISICION DE MAMOGRAFO; EN EL(LA) EESS SAN MARTIN DE P. (MACUSANI) - MACUSANI DISTRITO DE MACUSANI, PROVINCIA CARABAYA, DEPARTAMENTO PUNO</t>
  </si>
  <si>
    <t>6000017.ADQUISICION DE EQUIPOS MEDICOS</t>
  </si>
  <si>
    <t>0412318.ADQUISICION DE MAMOGRAFO; EN EL EESS SAN MARTIN DE P. (MACUSANI), DISTRITO MACUSANI - CARABAYA - PUNO</t>
  </si>
  <si>
    <t>0097.ATENCION MEDICA ESPECIALIZADA</t>
  </si>
  <si>
    <t>2567375.ADQUISICION DE TOMOGRAFO COMPUTARIZADO MULTICORTE; EN EL(LA) EESS SAN MARTIN DE P. (MACUSANI) - MACUSANI DISTRITO DE MACUSANI, PROVINCIA CARABAYA, DEPARTAMENTO PUNO</t>
  </si>
  <si>
    <t>0412314.ADQUISICION DE TOMOGRAFO COMPUTARIZADO MULTICORTE; EN EL EESS SAN MARTIN DE P. (MACUSANI), DISTRITO MACUSANI - CARABAYA - PUNO</t>
  </si>
  <si>
    <t>2570943.MEJORAMIENTO Y AMPLIACION DE LOS SERVICIOS DE SALUD DEL ESTABLECIMIENTO DE SALUD OLLARAYA, DISTRITO DE OLLARAYA - PROVINCIA DE YUNGUYO - DEPARTAMENTO DE PUNO</t>
  </si>
  <si>
    <t>0408801.MEJORAMIENTO Y AMPLIACION DE LOS SERVICIOS DE SALUD DEL ESTABLECIMIENTO DE SALUD OLLARAYA, DISTRITO DE OLLARAYA - YUNGUYO - PUNO</t>
  </si>
  <si>
    <t>05.OLLARAYA</t>
  </si>
  <si>
    <t>2578405.MEJORAMIENTO Y AMPLIACION DEL SERVICIO DE ATENCION DE SALUD BASICOS EN CHUPA - CHUPA DISTRITO DE CHUPA DE LA PROVINCIA DE AZANGARO DEL DEPARTAMENTO DE PUNO</t>
  </si>
  <si>
    <t>0438279.MEJORAMIENTO Y AMPLIACION DEL SERVICIO DE ATENCION DE SALUD BASICOS EN CHUPA - CHUPA, DISTRITO DE CHUPA - AZANGARO - PUNO</t>
  </si>
  <si>
    <t>2585395.MEJORAMIENTO DEL SERVICIO DE ATENCION DE SALUD BASICOS EN CAPACHICA DISTRITO DE CAPACHICA DE LA PROVINCIA DE PUNO DEL DEPARTAMENTO DE PUNO</t>
  </si>
  <si>
    <t>0437447.MEJORAMIENTO DEL SERVICIO DE ATENCION DE SALUD BASICOS EN CAPACHICA, DISTRITO CAPACHICA - PUNO - PUNO</t>
  </si>
  <si>
    <t>2592407.MEJORAMIENTO DE LOS SERVICIOS OPERATIVOS O MISIONALES INSTITUCIONALES EN LA OFICINA DE EQUIPO MECANICO DEL GOBIERNO REGIONAL PUNO DISTRITO DE PUNO DE LA PROVINCIA DE PUNO DEL DEPARTAMENTO DE PUNO</t>
  </si>
  <si>
    <t>6000045.ADQUISICION DE MAQUINARIA Y EQUIPOS</t>
  </si>
  <si>
    <t>0398321.MEJORAMIENTO DE LOS SERVICIOS OPERATIVOS O MISIONALES INSTITUCIONALES EN LA OFICINA DE EQUIPO MECANICO DEL GOBIERNO REGIONAL PUNO, DISTRITO PUNO - PUNO - PUNO</t>
  </si>
  <si>
    <t>143.MAQUINARIA PESADA</t>
  </si>
  <si>
    <t>2593683.REPARACION DE PISTA DE ATLETISMO (COMPETENCIA); ADQUISICION DE TORRE DE ILUMINACION; EN EL(LA) ESTADIO ENRIQUE TORRES BELON DEL DISTRITO DE PUNO, PROVINCIA PUNO, DEPARTAMENTO PUNO</t>
  </si>
  <si>
    <t>0403367.REPARACION DE PISTA DE ATLETISMO (COMPETENCIA); ADQUISICION DE TORRE DE ILUMINACION; EN EL ESTADIO ENRIQUE TORRES BELON, DISTRITO PUNO - PUNO - PUNO</t>
  </si>
  <si>
    <t>2594994.MEJORAMIENTO Y AMPLIACION DEL SERVICIO DE ATENCION DE SALUD BASICOS EN ASILLO DISTRITO DE ASILLO DE LA PROVINCIA DE AZANGARO DEL DEPARTAMENTO DE PUNO</t>
  </si>
  <si>
    <t>0438278.MEJORAMIENTO Y AMPLIACION DEL SERVICIO DE ATENCION DE SALUD BASICOS EN ASILLO, DISTRITO DE ASILLO - AZANGARO - PUNO</t>
  </si>
  <si>
    <t>04.ASILLO</t>
  </si>
  <si>
    <t>2599489.CONSTRUCCION DE CONSULTORIO; ADQUISICION DE EQUIPOS BIOMEDICOS Y MOBILIARIO CLINICO; EN EL(LA) HOSPITAL SANDIA DISTRITO DE SANDIA, PROVINCIA SANDIA, DEPARTAMENTO PUNO</t>
  </si>
  <si>
    <t>0404051.CONSTRUCCION DE CONSULTORIO; ADQUISICION DE EQUIPOS BIOMEDICOS Y MOBILIARIO CLINICO; EN EL HOSPITAL SANDIA DISTRITO SANDIA - SANDIA - PUNO</t>
  </si>
  <si>
    <t>01.SANDIA</t>
  </si>
  <si>
    <t>2600443.ADQUISICION DE SISTEMA DE CIRUGIA LAPAROSCOPICA, TOMOGRAFO, MESA DE OPERACIONES HIDRAULICA/ELECTRICA Y LAMPARA QUIRURGICA DE TECHO; ADEMAS DE OTROS ACTIVOS EN EL(LA) YUNGUYO DISTRITO DE YUNGUYO, PROVINCIA YUNGUYO, DEPARTAMENTO PUNO</t>
  </si>
  <si>
    <t>0433003.ADQUISICION DE SISTEMA DE CIRUGIA LAPAROSCOPICA, TOMOGRAFO, MESA DE OPERACIONES HIDRAULICA/ELECTRICA Y LAMPARA QUIRURGICA DE TECHO; ADEMAS DE OTROS ACTIVOS EN EL HOSPITAL DE YUNGUYO, DISTRITO YUNGUYO - YUNGUYO - PUNO</t>
  </si>
  <si>
    <t>2603155.MEJORAMIENTO DE LOS SERVICIOS DE APOYO AL DESARROLLO PRODUCTIVO EN 37 UNIDADES PRODUCTORAS 37 DISTRITOS DE 11 PROVINCIAS DEL DEPARTAMENTO DE PUNO</t>
  </si>
  <si>
    <t>0428504.MEJORAMIENTO DE LOS SERVICIOS DE APOYO AL DESARROLLO PRODUCTIVO EN 37 UNIDADES PRODUCTORAS 37 DISTRITOS DE 11 PROVINCIAS, MULTIDISTRITAL - MULTIPROVINCIAL - PUNO</t>
  </si>
  <si>
    <t>009.CIENCIA Y TECNOLOGIA</t>
  </si>
  <si>
    <t>0129.TRANSFERENCIA DE CONOCIMIENTOS Y TECNOLOGÍAS</t>
  </si>
  <si>
    <t>2603161.MEJORAMIENTO DEL SERVICIO DE ATENCION DE SALUD BASICOS EN MAÑAZO DISTRITO DE MAÑAZO DE LA PROVINCIA DE PUNO DEL DEPARTAMENTO DE PUNO</t>
  </si>
  <si>
    <t>0437463.MEJORAMIENTO DEL SERVICIO DE ATENCION DE SALUD BASICOS EN MAÑAZO, DISTRITO DE MAÑAZO - PUNO - PUNO</t>
  </si>
  <si>
    <t>2608728.REPARACION DE AMBIENTE DE RESIDENCIA; ADQUISICION DE EQUIPAMIENTO DE AMBIENTES DE BIENESTAR Y SERVICIOS GENERALES Y MOBILIARIO DE AMBIENTES DE BIENESTAR Y SERVICIOS GENERALES; EN EL(LA) ALDEA INFANTIL NIÑO SAN SALVADOR DEL DISTRITO DE CAPACHICA, P</t>
  </si>
  <si>
    <t>1.EDIFICIOS RESIDENCIALES</t>
  </si>
  <si>
    <t>0438858.REPARACION DE AMBIENTE DE RESIDENCIA; ADQUISICION DE EQUIPAMIENTO DE AMBIENTES DE BIENESTAR Y SERVICIOS GENERALES Y MOBILIARIO DE AMBIENTES DE BIENESTAR Y SERVICIOS GENERALES; DE ALDEA INFANTIL NIÑO SAN SALVADOR, DISTRITO CAPACHICA - PUNO - PUNO</t>
  </si>
  <si>
    <t>2623878.MEJORAMIENTO DEL SERVICIO DE ATENCION DE SALUD BASICOS EN CABANILLA DISTRITO DE CABANILLA DE LA PROVINCIA DE LAMPA DEL DEPARTAMENTO DE PUNO</t>
  </si>
  <si>
    <t>0437444.MEJORAMIENTO DEL SERVICIO DE ATENCION DE SALUD BASICOS EN CABANILLA, DISTRITO DE CABANILLA - LAMPA - PUNO</t>
  </si>
  <si>
    <t>2623879.MEJORAMIENTO DEL SERVICIO DE ATENCION DE SALUD BASICOS EN LARAQUERI DISTRITO DE PICHACANI DE LA PROVINCIA DE PUNO DEL DEPARTAMENTO DE PUNO</t>
  </si>
  <si>
    <t>0437462.MEJORAMIENTO DEL SERVICIO DE ATENCION DE SALUD BASICOS EN LARAQUERI, DISTRITO DE PICHACANI - PUNO - PUNO</t>
  </si>
  <si>
    <t>2632832.MEJORAMIENTO DEL SERVICIO DE ATENCION DE SALUD BASICOS EN VALLECITO DISTRITO DE PUNO DE LA PROVINCIA DE PUNO DEL DEPARTAMENTO DE PUNO</t>
  </si>
  <si>
    <t>0437472.MEJORAMIENTO DEL SERVICIO DE ATENCION DE SALUD BASICOS EN VALLECITO, DISTRITO PUNO - PUNO - PUNO</t>
  </si>
  <si>
    <t>2645524.MEJORAMIENTO DE LOS SERVICIOS TURISTICOS PUBLICOS EN RECURSOS TURISTICOS EN 4 UNIDADES PRODUCTORAS 4 DISTRITOS DE 3 PROVINCIAS DEL DEPARTAMENTO DE PUNO</t>
  </si>
  <si>
    <t>4000168.MEJORAMIENTO DE INFRAESTRUCTURA TURISTICA</t>
  </si>
  <si>
    <t>0437187.MEJORAMIENTO DE LOS SERVICIOS TURISTICOS PUBLICOS EN RECURSOS TURISTICOS EN 4 UNIDADES PRODUCTORAS 4 DISTRITOS DE 3 PROVINCIAS DE PUNO</t>
  </si>
  <si>
    <t>2649778.MEJORAMIENTO DEL SERVICIO DE ATENCION DE SALUD BASICOS EN CHIJNAYA DISTRITO DE PUCARA DE LA PROVINCIA DE LAMPA DEL DEPARTAMENTO DE PUNO</t>
  </si>
  <si>
    <t>0463703.MEJORAMIENTO DEL SERVICIO DE ATENCION DE SALUD BASICOS EN CHIJNAYA DISTRITO DE PUCARA - LAMPA - PUNO</t>
  </si>
  <si>
    <t>0463709.MEJORAMIENTO DEL SERVICIO DE ATENCION DE SALUD BASICOS EN HUAYCHO DISTRITO DE NUÑOA - MELGAR - PUNO</t>
  </si>
  <si>
    <t>2649780.MEJORAMIENTO DEL SERVICIO DE ATENCION DE SALUD BASICOS EN ACOCOLLO DISTRITO DE HUANCANE DE LA PROVINCIA DE HUANCANE DEL DEPARTAMENTO DE PUNO</t>
  </si>
  <si>
    <t>0458153.MEJORAMIENTO DEL SERVICIO DE ATENCION DE SALUD BASICOS EN ACOCOLLO, DISTRITO DE HUANCANE - HUANCANE - PUNO</t>
  </si>
  <si>
    <t>0469204.MEJORAMIENTO DEL SERVICIO DE ATENCION DE SALUD BASICOS EN CAYARANI, DISTRITO DE ORURILLO - MELGAR - PUNO</t>
  </si>
  <si>
    <t>2649786.MEJORAMIENTO DEL SERVICIO DE ATENCION DE SALUD BASICOS EN PASIRI DISTRITO DE JULI DE LA PROVINCIA DE CHUCUITO DEL DEPARTAMENTO DE PUNO</t>
  </si>
  <si>
    <t>0458155.MEJORAMIENTO DEL SERVICIO DE ATENCION DE SALUD BASICOS EN PASIRI, DISTRITO DE JULI - CHUCUITO - PUNO</t>
  </si>
  <si>
    <t>2649788.MEJORAMIENTO DEL SERVICIO DE ATENCION DE SALUD BASICOS EN CALLAZA DISTRITO DE HUACULLANI DE LA PROVINCIA DE CHUCUITO DEL DEPARTAMENTO DE PUNO</t>
  </si>
  <si>
    <t>0463701.MEJORAMIENTO DEL SERVICIO DE ATENCION DE SALUD BASICOS EN CALLAZA DISTRITO DE HUACULLANI - CHUCUITO - PUNO</t>
  </si>
  <si>
    <t>2649789.MEJORAMIENTO DEL SERVICIO DE ATENCION DE SALUD BASICOS EN CALLACAMI DISTRITO DE JULI DE LA PROVINCIA DE CHUCUITO DEL DEPARTAMENTO DE PUNO</t>
  </si>
  <si>
    <t>0458152.MEJORAMIENTO DEL SERVICIO DE ATENCION DE SALUD BASICOS EN CALLACAMI, DISTRITO DE JULI - CHUCUITO - PUNO</t>
  </si>
  <si>
    <t>0463702.MEJORAMIENTO DEL SERVICIO DE ATENCION DE SALUD BASICOS EN CHEJANI DISTRITO DE PHARA - SANDIA - PUNO</t>
  </si>
  <si>
    <t>05.PHARA</t>
  </si>
  <si>
    <t>0463716.MEJORAMIENTO DEL SERVICIO DE ATENCION DE SALUD BASICOS EN NINANTAYA DISTRITO DE MOHO - MOHO - PUNO</t>
  </si>
  <si>
    <t>0463724.MEJORAMIENTO DEL SERVICIO DE ATENCION DE SALUD BASICOS EN SACUYO RIO GRANDE DISTRITO DE ACORA - PUNO - PUNO</t>
  </si>
  <si>
    <t>0439943.ADQUISICION DE MESA DE OPERACIONES HIDRAULICA/ELECTRICA, ESTERILIZADOR Y GENERADOR ELECTRICO DE VAPOR (INS), EQUIPOS BIOMEDICOS Y COCHE DE PARO; ADEMAS DE OTROS ACTIVOS EN EL E. S. PUTINA, DISTRITO PUTINA - SAN ANTONIO DE PUTINA - PUNO</t>
  </si>
  <si>
    <t>2657043.MEJORAMIENTO Y AMPLIACION DEL SERVICIO DE ATENCION DE SALUD BASICOS EN MOHO DISTRITO DE MOHO DE LA PROVINCIA DE MOHO DEL DEPARTAMENTO DE PUNO</t>
  </si>
  <si>
    <t>0453284.MEJORAMIENTO Y AMPLIACION DEL SERVICIO DE ATENCION DE SALUD BASICOS EN MOHO, DISTRITO DE MOHO - MOHO - PUNO</t>
  </si>
  <si>
    <t>0463696.MEJORAMIENTO DEL SERVICIO DE ATENCION DE SALUD BASICOS EN ACCASO DISTRITO DE PILCUYO - EL COLLAO - PUNO</t>
  </si>
  <si>
    <t>0463705.MEJORAMIENTO DEL SERVICIO DE ATENCION DE SALUD BASICOS EN C.S. CLAS PUSI DISTRITO DE PUSI - HUANCANE - PUNO</t>
  </si>
  <si>
    <t>05.PUSI</t>
  </si>
  <si>
    <t>2684028.ADQUISICION DE AMBULANCIA URBANA; EN ONCE ESTABLECIMIENTOS DE SALUD II.1, ESTABLECIMIENTOS DE SALUD II.2 A NIVEL DEPARTAMENTAL (PUNO)</t>
  </si>
  <si>
    <t>6000019.ADQUISICION DE VEHICULOS DE TRANSPORTE ASISTIDO (AMBULANCIAS)</t>
  </si>
  <si>
    <t>0452597.ADQUISICION DE AMBULANCIA URBANA; EN ONCE ESTABLECIMIENTOS DE SALUD II.1, ESTABLECIMIENTOS DE SALUD II.2 A, MULTIDISTRTAL - MULTIPROVINCIAL - PUNO</t>
  </si>
  <si>
    <t>2685431.ADQUISICION DE AMBULANCIA URBANA, CAMIONETA, CAMION PLATAFORMA Y CAMION CISTERNA; ADEMAS DE OTROS ACTIVOS EN CINCO COMPAÑIA DE BOMBEROS A NIVEL DEPARTAMENTAL (PUNO)</t>
  </si>
  <si>
    <t>0453237.ADQUISICION DE AMBULANCIA URBANA, CAMIONETA, CAMION PLATAFORMA Y CAMION CISTERNA; ADEMAS DE OTROS ACTIVOS EN CINCO COMPAÑIA DE BOMBEROS, MULTIDISTRITAL - MULTIPROVINCIAL - PUNO</t>
  </si>
  <si>
    <t>0037.DEFENSA CONTRA INCENDIOS Y EMERGENCIAS MENORES</t>
  </si>
  <si>
    <t>2685776.ADQUISICION DE ANALIZADOR DE GASES Y ELECTROLITOS, ESPECTROFOTOMETRO, EQUIPO DE RAYOS X DENTAL Y BIDESTILADOR DE AGUA; ADEMAS DE OTROS ACTIVOS EN EL(LA) MOHO DISTRITO DE MOHO, PROVINCIA MOHO, DEPARTAMENTO PUNO</t>
  </si>
  <si>
    <t>0453824.ADQUISICION DE ANALIZADOR DE GASES Y ELECTROLITOS, ESPECTROFOTOMETRO, EQUIPO DE RAYOS X DENTAL Y BIDESTILADOR DE AGUA; ADEMAS DE OTROS ACTIVOS, DISTRITO DE MOHO - MOHO - PUNO</t>
  </si>
  <si>
    <t>5000376.ADMINISTRACION DEUDA INTERNA</t>
  </si>
  <si>
    <t>8.SERVICIO DE LA DEUDA PUBLICA</t>
  </si>
  <si>
    <t>1.AMORTIZACION DE LA DEUDA</t>
  </si>
  <si>
    <t>2.AMORTIZACION DE DEUDA INTERNA</t>
  </si>
  <si>
    <t>3.OTRAS AMORTIZACIONES INTERNAS</t>
  </si>
  <si>
    <t>4.DE CERTIFICADOS DE INVERSION PÚBLICA REGIONAL Y LOCAL</t>
  </si>
  <si>
    <t>0007683.SERVICIO DE LA DEUDA</t>
  </si>
  <si>
    <t>25.DEUDA PUBLICA</t>
  </si>
  <si>
    <t>053.DEUDA PUBLICA</t>
  </si>
  <si>
    <t>0118.PAGO DE LA DEUDA PUBLICA</t>
  </si>
  <si>
    <t>5000486.ASESORAMIENTO Y GESTION DEL MEDIO AMBIENTE</t>
  </si>
  <si>
    <t>0002013.PRESERVACION DEL MEDIO AMBIENTE Y AREAS NATURALES</t>
  </si>
  <si>
    <t>5000688.DESARROLLO ECONOMICO REGIONAL</t>
  </si>
  <si>
    <t>0001253.PROMOCION DE LA INVERSION PUBLICA Y PRIVADA</t>
  </si>
  <si>
    <t>9.SERVICIOS DE ORGANIZACION DE EVENTOS</t>
  </si>
  <si>
    <t>99.OTROS RELACIONADOS A ORGANIZACION DE EVENTOS</t>
  </si>
  <si>
    <t>5000698.DESARROLLO SOCIAL REGIONAL</t>
  </si>
  <si>
    <t>0001525.PROMOCION Y CONCERTACION DE INICIATIVAS SOCIALES</t>
  </si>
  <si>
    <t>13.SERVICIOS TÉCNICOS Y PROFESIONALES DESARROLLADOS POR PERSONAS JURÍDICAS</t>
  </si>
  <si>
    <t>98.OTROS SERVICIOS TÉCNICOS Y PROFESIONALES DESARROLLADOS POR PERSONAS JURÍDICAS</t>
  </si>
  <si>
    <t>1.ORGANIZACION Y CONDUCCION DE EVENTOS DEPORTIVOS</t>
  </si>
  <si>
    <t>5.ORGANIZACION DE EVENTOS CULTURALES</t>
  </si>
  <si>
    <t>0172798.ASILO DE ANCIANOS VIRGEN DEL ROSARIO DE CHUCUITO</t>
  </si>
  <si>
    <t>148.ADULTO MAYOR</t>
  </si>
  <si>
    <t>5000825.GESTION DE LA INFRAESTRUCTURA</t>
  </si>
  <si>
    <t>0000185.APOYO PARA EL DESARROLLO DE LOS PROYECTOS DE INVERSION</t>
  </si>
  <si>
    <t>5000861.IMAGEN INSTITUCIONAL</t>
  </si>
  <si>
    <t>0000914.IMAGEN INSTITUCIONAL</t>
  </si>
  <si>
    <t>5000936.MANTENIMIENTO DE INFRAESTRUCTURA PUBLICA</t>
  </si>
  <si>
    <t>0032899.MEJORAMIENTO DE INFRAESTRUCTURA SOCIAL</t>
  </si>
  <si>
    <t>0001018.MANTENIMIENTO DE INFRAESTRUCTURA CONSTRUIDA</t>
  </si>
  <si>
    <t>5000991.OBLIGACIONES PREVISIONALES</t>
  </si>
  <si>
    <t>1.PENSIONES</t>
  </si>
  <si>
    <t>1.REGIMEN DE PENSIONES DL. 20530</t>
  </si>
  <si>
    <t>0001154.PAGO DE PENSIONES Y BENEFICIOS A CESANTES Y JUBILADOS</t>
  </si>
  <si>
    <t>24.PREVISION SOCIAL</t>
  </si>
  <si>
    <t>052.PREVISION SOCIAL</t>
  </si>
  <si>
    <t>0116.SISTEMAS DE PENSIONES</t>
  </si>
  <si>
    <t>2.OTRAS COMPENSACIONES</t>
  </si>
  <si>
    <t>2.BONIFICACION FONAHPU - D.L. 20530</t>
  </si>
  <si>
    <t>2.GASTOS DE SEPELIO Y LUTO DEL PERSONAL PENSIONISTA</t>
  </si>
  <si>
    <t>2.ASISTENCIA SOCIAL EN PENSIONES E INDEMNIZACIONES</t>
  </si>
  <si>
    <t>1.PENSIONES E INDEMNIZACIONES ASISTENCIALES</t>
  </si>
  <si>
    <t>2.PENSIONES POR ACCIDENTES DE TRABAJO O VICTIMAS DE TERRORISMO</t>
  </si>
  <si>
    <t>5001031.PRESERVACION Y DIFUSION DE ACERVOS BIBLIOGRAFICOS, DOCUMENTALES Y ARCHIVISTICOS</t>
  </si>
  <si>
    <t>0000401.CONSERVACION Y CATALOGACION DE ARCHIVOS Y DOCUMENTOS</t>
  </si>
  <si>
    <t>012.IDENTIDAD Y CIUDADANIA</t>
  </si>
  <si>
    <t>0022.REGISTROS PUBLICOS</t>
  </si>
  <si>
    <t>107.SERVICIO</t>
  </si>
  <si>
    <t>5001122.PROTECCION SOCIAL</t>
  </si>
  <si>
    <t>0006835.MEJORAR LA CALIDAD DE VIDA DE LA POBLACION</t>
  </si>
  <si>
    <t>0114.DESARROLLO DE CAPACIDADES SOCIALES Y ECONOMICAS</t>
  </si>
  <si>
    <t>5001228.SUPERVISION Y CONTROL</t>
  </si>
  <si>
    <t>0410819.SEGUIMIENTO DE FISCALIZACION DE LOS CONSEJOS REGIONALES Y CONCEJOS MUNICIPALES A NIVEL NACIONAL</t>
  </si>
  <si>
    <t>10.DIETAS</t>
  </si>
  <si>
    <t>1.DIETAS</t>
  </si>
  <si>
    <t>2.DIETAS DE REGIDORES Y CONSEJEROS</t>
  </si>
  <si>
    <t>5001949.DIRECCION Y GESTION REGIONAL</t>
  </si>
  <si>
    <t>0000660.DIRECCION Y GESTION REGIONAL</t>
  </si>
  <si>
    <t>1.AIRE ACONDICIONADO Y REFRIGERACION</t>
  </si>
  <si>
    <t>5005387.MEJORAMIENTO Y ATENCION A LAS PERSONAS CON DISCAPACIDAD</t>
  </si>
  <si>
    <t>0444807.ATENCION A LAS PERSONAS CON DISCAPACIDAD MEDIANTE ACCIONES DE LA OFICINA REGIONAL DE ATENCION A LA PERSONA CON DISCAPACIDAD (OREDIS)</t>
  </si>
  <si>
    <t>4.ELECTRICIDAD Y ELECTRONICA</t>
  </si>
  <si>
    <t>2520451.CREACION DEL SERVICIO DE PROTECCION EN RIBERAS DEL RIO QUELLOMAYO MARGEN DERECHO VULNERABLES ANTE EL PELIGRO DE INUNDACION EN LA LOCALIDAD DE SAN GABAN, DEL DISTRITO DE SAN GABAN - PROVINCIA DE CARABAYA - DEPARTAMENTO DE PUNO</t>
  </si>
  <si>
    <t>4.INFRAESTRUCTURA AGRICOLA</t>
  </si>
  <si>
    <t>0372133.CREACION DEL SERVICIO DE PROTECCION EN RIBERAS DEL RIO QUELLOMAYO MARGEN DERECHO VULNERABLES ANTE EL PELIGRO DE INUNDACION EN LA LOCALIDAD DE SAN GABAN, DISTRITO SAN GABAN - CARABAYA - PUNO</t>
  </si>
  <si>
    <t>0468145.MEJORAMIENTO DEL SERVICIO DE TRANSITABILIDAD VIAL INTERURBANA EN EL CAMINO VECINAL R2106057 - TRAMO DESVIO CHUQUIAGUILLO, CUYURAYA, CHICASCO, ISAÑCUYO, SINTICUYO Y HUANCARANI, DISTRITO DE VILQUE CHICO - HUANCANE - PUNO</t>
  </si>
  <si>
    <t>08.VILQUE CHICO</t>
  </si>
  <si>
    <t>0468790.MEJORAMIENTO DEL SERVICIO DE EDUCACION SECUNDARIA EN la I.E. JOSE CARLOS MARIATEGUI, DISTRITO DE ILAVE - EL COLLAO - PUNO</t>
  </si>
  <si>
    <t>2606991.MEJORAMIENTO DEL SERVICIO DE EDUCACION INICIAL EN I.E. 69 DISTRITO DE ANTAUTA DE LA PROVINCIA DE MELGAR DEL DEPARTAMENTO DE PUNO</t>
  </si>
  <si>
    <t>0411463.MEJORAMIENTO DEL SERVICIO DE EDUCACION INICIAL EN I.E. 69 DISTRITO DE ANTAUTA-MELGAR-PUNO</t>
  </si>
  <si>
    <t>02.ANTAUTA</t>
  </si>
  <si>
    <t>2411335.MEJORAMIENTO DEL SERVICIO EDUCATIVO EN LA I.E.S. SAN SALVADOR, - DISTRITO DE PUNO - PROVINCIA DE PUNO - DEPARTAMENTO DE PUNO</t>
  </si>
  <si>
    <t>0250262.MEJORAMIENTO DEL SERVICIO EDUCATIVO EN LA I.E.S. SAN SALVADOR, DISTRITO PUNO - PUNO - PUNO</t>
  </si>
  <si>
    <t>0469179.MEJORAMIENTO DEL SERVICIO DE TRANSITABILIDAD VIAL INTERURBANA EN CARRETERA SAMAN (EMP. PU 804) - JUCCHILLY (DV. CHUCARIPO),PESQUERIA (EMP. PU - 113), CHUCARIPO-TITIHUE (EMP. PU 154), DV. QUEJON MOCCO, MULTIDISTRITAL - MULTIPROVINCIAL - PUNO</t>
  </si>
  <si>
    <t>0469092.MEJORAMIENTO DEL SERVICIO DE TRANSITABILIDAD VIAL INTERURBANA EN LA CARRETERA EMP. PE 34L (PUENTE ANTAJARANI) - C.P. MACHACAMARCA YAPUTIRA, - C.P. HALLA - ALTOGRANDE - EMP. PU-148 (C.C. UMABAMBA), MULTIDISTRITAL - HUANCANE- PUNO</t>
  </si>
  <si>
    <t>0469094.MEJORAMIENTO DEL SERVICIO DE TRANSITABILIDAD VIAL INTERURBANA EN LA CARRETERA EMP. PU 115: VIZCACHANI, - TOQUEPANI - LLOCOLLOCO - EMP. PU 115: INCHUPALLA, MULTIDIS DISTRITOS DE HUATASANI, INCHUPALLA, MULTIDISTRITAL - HUANCANE - PUNO</t>
  </si>
  <si>
    <t>0363734.MEJORAMIENTO Y AMPLIACION DEL SERVICIOS DE EDUCACION BASICA EN EL NIVEL PRIMARIO DE LA IEP Nº 72169 TAMBILLO, DISTRITO DE ITUATA - CARABAYA - PUNO</t>
  </si>
  <si>
    <t>0032843.GESTION DE ESTUDIOS Y PROYECTOS DE INVERSION</t>
  </si>
  <si>
    <t>2694246.ADQUISICION DE MAMOGRAFO, COLONOVIDEOENDOSCOPIO, MESA DE OPERACIONES HIDRAULICA/ELECTRICA Y CALDERO; ADEMAS DE OTROS ACTIVOS EN EL(LA) HOSPITAL REGIONAL MANUEL NUÑEZ BUTRON HOSPITAL REGIONAL MANUEL NUÑEZ BUTRON DISTRITO DE PUNO, PROVINCIA PUNO, DE</t>
  </si>
  <si>
    <t>0460133.ADQUISICION DE MAMOGRAFO, COLONOVIDEOENDOSCOPIO, MESA DE OPERACIONES HIDRAULICA/ELECTRICA Y CALDERO; ADEMAS DE OTROS ACTIVOS EN EL HOSPITAL REGIONAL MANUEL NUÑEZ BUTRON, DISTRITO DE PUNO - PUNO - PUNO</t>
  </si>
  <si>
    <t>2611144.ADQUISICION DE ANALIZADOR DE GASES Y ELECTROLITOS, ASPIRADOR DE SECRECIONES, BOMBA DE INFUSION Y COCHE DE PARO EQUIPADO; ADEMAS DE OTROS ACTIVOS EN EL(LA) CARLOS MONJE MEDRANO DISTRITO DE JULIACA, PROVINCIA SAN ROMAN, DEPARTAMENTO PUNO</t>
  </si>
  <si>
    <t>0414026.ADQUISICION DE ANALIZADOR DE GASES Y ELECTROLITOS, ASPIRADOR DE SECRECIONES, BOMBA DE INFUSION Y COCHE DE PARO EQUIPADO; ADEMAS DE OTROS ACTIVOS EN EL HOSPITAL CARLOS MONJE MEDRANO, DISTRITO JULIACA - SAN ROMAN - PUNO</t>
  </si>
  <si>
    <t>0337905.MEJORAMIENTO DEL SERVICIO EDUCATIVO DEL NIVEL SECUNDARIA DE LA I.E. AGROPECUARIO SAN JUAN DEL ORO EN EL DISTRITO DE SAN JUAN DEL ORO - SANDIA - PUNO</t>
  </si>
  <si>
    <t>0469208.MEJORAMIENTO DEL SERVICIO DE EDUCACION SUPERIOR TECNOLOGICA EN EL INSTITUTO SUPERIOR TECNOLOGICO PUBLICA MAÑAZO, DISTRITO DE MAÑAZO - PUNO - PUNO</t>
  </si>
  <si>
    <t>0455625.MEJORAMIENTO DEL SERVICIO DE EDUCACION PRIMARIA EN I.E. 73003, DISTRITO DE HUANCANE - HUANCANE - PUNO</t>
  </si>
  <si>
    <t>0460949.MEJORAMIENTO DEL SERVICIO DE EDUCACION SECUNDARIA EN I.E. HUAPACA SAN MIGUEL DE CENTRO POBLADO HUAPACA SAN MIGUEL, DISTRITO DE POMATA - CHUCUITO - PUNO</t>
  </si>
  <si>
    <t>0374015.MEJORAMIENTO DEL SERVICIO DE EDUCACION BASICA REGULAR</t>
  </si>
  <si>
    <t>0466192.CONSTRUCCION DE LOSA DEPORTIVA; ADQUISICION DE EQUIPAMIENTO DE AULA DE INNOVACION PEDAGOGICA Y MOBILIARIO DE AULA DE INNOVACION PEDAGOGICA; EN LA I.E. 70064 SAN MARTIN DE PORRES, DISTRITO DE PUNO - PUNO - PUNO</t>
  </si>
  <si>
    <t>0468149.MEJORAMIENTO DEL SERVICIO DEPORTIVO, CULTURAL Y RECREACIONAL EN LA CAPITAL DE LA REGION PUNO - COMPONNETE I CAMPO DE ENTRENAMIENTO, LOSAS DEPORTIVAS, CERCO PERIMETRICO Y SERVICIOS, DISTRITO DE PUNO - PUNO - PUNO</t>
  </si>
  <si>
    <t>0448768.MEJORAMIENTO DE LOS SERVICIOS EDUCACION SUPERIOR PEDAGOGICA EN EL INSTITUTO DE EDUCACION SUPERIOR PEDAGOGICO PUBLICO DE AYAVIRI, DISTRITO DE AYAVIRI - MELGAR - PUNO</t>
  </si>
  <si>
    <t>0443411.CONSTRUCCION Y MEJORAMIENTO DE LA CARRETERA DESVIO VILQUECHICO - COJATA - SINA - YANAHUAYA, TRAMO III (SINA - YANAHUAYA), SUB TRAMO 001 (SINA - PUENTE CHALLHUANI), DISTRITO DE SINA - SAN ANTONIO DE PUTINA - PUNO</t>
  </si>
  <si>
    <t>0433662.MEJORAMIENTO DEL SERVICIO DE TRANSITABILIDAD VIAL INTERURBANA EN EL TRAMO TIQUILLACA - CONDORIRI, DISTRITO TIQUILLACA - PUNO - PUNO</t>
  </si>
  <si>
    <t>14.TIQUILLACA</t>
  </si>
  <si>
    <t>0431140.MEJORAMIENTO DEL SERVICIO DE TRANSITABILIDAD VIAL INTERURBANA EN EN LA VIA VECINAL PU-713, L. PROV. LAMPA - QUISHUARANI - SALLAPATA - HUERTA -EMP. PU-124 (VILAVILA), DISTRITO DE VILAVILA - LAMPA - PUNO</t>
  </si>
  <si>
    <t>10.VILAVILA</t>
  </si>
  <si>
    <t>0460948.MEJORAMIENTO DEL SERVICIO DE TRANSITABILIDAD VIAL EN LA CARRETERA PU-617 (SAN JOSE - SAN ANTON), PU-624 (EMP. PE-34 B: SAN ANTON - EMP. PU-622: VILLAPAMPA) -PU-622 (EMP. PU-624: VILLAPAMPA - LARIMAYO), MULTIDISTRITAL - MULTIPROVINCIAL - PUNO</t>
  </si>
  <si>
    <t>0468146.MEJORAMIENTO DEL SERVICIO DE TRANSITABILIDAD VIAL INTERURBANA EN LA CARRETERA EMP. PE-3S (CHUA CHUA) - MOLINO - CHALLAPAMPA SANTA ROSA - EMP. PU-130 (TACAPISI), QUECCUANI - COPANI, MULTIDISTRITAL - MULTIPROVINCIAL - PUNO</t>
  </si>
  <si>
    <t>0468147.CONSTRUCCION DE PLATAFORMA Y DRENAJE TRANSVERSAL; REPARACION DE PLATAFORMA; ADQUISICION DE DISPOSITIVO DE CONTROL DE TRANSITO; EN LA CARRETERA PU-111 (EMP. JR. SULLANA - EMP. JR. LIMA), DISTRITO DE AZANGARO - AZANGARO - PUNO</t>
  </si>
  <si>
    <t>0145311.INSTALACION DEL SERVICIO EDUCATIVO EN LA INSTITUCION EDUCATIVA INICIAL AMAQUILLA CICLO II, DISTRITO DE COPANI - YUNGUYO - PUNO</t>
  </si>
  <si>
    <t>0425474.MEJORAMIENTO DE LOS SERVICIO EDUCATIVOS EN LA INSTITUCION EDUCATIVA INICIAL N° 68 DE LA LOCALIDAD DE AYAVIRI DEL DISTRITO DE AYAVIRI - MELGAR - PUNO</t>
  </si>
  <si>
    <t>0461217.MEJORAMIENTO DEL SERVICIO DE EDUCACION INICIAL EN I.E. 335, DISTRITO DE MOHO - MOHO - PUNO</t>
  </si>
  <si>
    <t>0454757.MEJORAMIENTO DEL SERVICIO DE EDUCACION INICIAL EN I.E. 941, DISTRITO DE CABANILLAS - SAN ROMAN - PUNO</t>
  </si>
  <si>
    <t>0451784.MEJORAMIENTO DEL SERVICIO DE EDUCACION INICIAL EN I.E. ARICATO, DISTRITO DE PHARA - SANDIA - PUNO</t>
  </si>
  <si>
    <t>0453822.MEJORAMIENTO DEL SERVICIO DE EDUCACION INICIAL EN I.E. 1137 DE CENTRO POBLADO LOS ANGELES, DISTRITO DE CABANILLAS - SAN ROMAN - PUNO</t>
  </si>
  <si>
    <t>0469093.CONSTRUCCION DE INSTALACIONES EXTERIORES DE SERVICIOS BASICOS Y CASA DE FUERZA; EN EL HOSPITAL SANDIA EN EL CENTRO POBLADO SANDIA, DISTRITO DE SANDIA - SANDIA - PUNO</t>
  </si>
  <si>
    <t>0468148.MEJORAMIENTO DEL SERVICIO DE TRANSITABILIDAD VIAL INTERURBANA EN LA CARRETERA PU - 1068 (CONDORIRI, - JUNCAL), MULTIDISTRITAL - PUNO - PUNO</t>
  </si>
  <si>
    <t>2692290.ADQUISICION DE EQUIPO DE ANESTESIA, VENTILADOR MECANICO, SISTEMA DE CIRUGIA LAPAROSCOPICA Y SISTEMA DE VIDEO GASTROENDOSCOPIA; ADEMAS DE OTROS ACTIVOS EN EL(LA) HOSPITAL SAN MARTIN DE PORRES DISTRITO DE MACUSANI, PROVINCIA CARABAYA, DEPARTAMENTO P</t>
  </si>
  <si>
    <t>0458935.ADQUISICION DE EQUIPO DE ANESTESIA, VENTILADOR MECANICO, SISTEMA DE CIRUGIA LAPAROSCOPICA Y SISTEMA DE VIDEO GASTROENDOSCOPIA; ADEMAS DE OTROS ACTIVOS EN EL HOSPITAL SAN MARTIN DE PORRES, DISTRITO DE MACUSANI - CARABAYA - PUNO</t>
  </si>
  <si>
    <t>2668521.ADQUISICION DE AMBULANCIA ACUATICA; EN DOS ESTABLECIMIENTOS DE SALUD I.2 A NIVEL PROVINCIAL (PUNO - YUNGUYO)</t>
  </si>
  <si>
    <t>0452599.ADQUISICION DE AMBULANCIA ACUATICA; EN DOS ESTABLECIMIENTOS DE SALUD I.2 A NIVEL PROVINCIAL (PUNO - YUNGUYO), MULTIDISTRITAL - MULTIPROVINCIAL - PUNO</t>
  </si>
  <si>
    <t>02.ANAPIA</t>
  </si>
  <si>
    <t>421.VEHICULOS</t>
  </si>
  <si>
    <t>2699546.ADQUISICION DE EQUIPAMIENTO DE AULA DE INNOVACION PEDAGOGICA; EN OCHO II.EE. PRIMARIA DISTRITO DE SAN JUAN DE SALINAS, PROVINCIA AZANGARO, DEPARTAMENTO PUNO</t>
  </si>
  <si>
    <t>0460883.ADQUISICION DE EQUIPAMIENTO DE AULA DE INNOVACION PEDAGOGICA; EN OCHO II.EE. PRIMARIA, DISTRITO DE SAN JUAN DE SALINAS - AZANGARO - PUNO</t>
  </si>
  <si>
    <t>2613817.ADQUISICION DE ECOCARDIOGRAFO, ARCO EN C, BOMBA DE INFUSION Y EQUIPO ECOGRAFO; ADEMAS DE OTROS ACTIVOS EN SIETE ESTABLECIMIENTOS DE SALUD II.1 A NIVEL DEPARTAMENTAL (PUNO)</t>
  </si>
  <si>
    <t>0414030.ADQUISICION DE ECOCARDIOGRAFO, ARCO EN C, BOMBA DE INFUSION Y EQUIPO ECOGRAFO; ADEMAS DE OTROS ACTIVOS EN SIETE ESTABLECIMIENTOS DE SALUD II.1 A, MULTIDISTRITAL - MULTIPROVINCIAL - PUNO</t>
  </si>
  <si>
    <t>0469205.CONSTRUCCION Y MEJORAMIENTO DE LA CARRETERA DESVIO VILQUECHICO - COJATA - SINA - YANAHUAYA - TRAMO II (COJATA - DV PERLAS - SINA), MULTIDISTRITAL - MULTIPROVINCIAL - PUNO</t>
  </si>
  <si>
    <t>2693441.ADQUISICION DE EQUIPO DE AULA DE EDUCACION SECUNDARIA; EN EL(LA) I.E. GLORIOSO SAN CARLOS DISTRITO DE PUNO, PROVINCIA PUNO, DEPARTAMENTO PUNO</t>
  </si>
  <si>
    <t>0458396.ADQUISICION DE EQUIPO DE AULA DE EDUCACION SECUNDARIA EN LA I.E. GLORIOSO SAN CARLOS, DISTRITO DE PUNO - PUNO - PUNO</t>
  </si>
  <si>
    <t>6.ADQUISICION DE OTROS ACTIVOS FIJOS</t>
  </si>
  <si>
    <t>1.ADQUISICION DE OTROS ACTIVOS FIJOS</t>
  </si>
  <si>
    <t>3.ACTIVOS INTANGIBLES</t>
  </si>
  <si>
    <t>2.SOFTWARES</t>
  </si>
  <si>
    <t>2692840.ADQUISICION DE EQUIPO DE AULA DE EDUCACION PRIMARIA; EN EL(LA) I.E. GLORIOSO SAN CARLOS DISTRITO DE PUNO, PROVINCIA PUNO, DEPARTAMENTO PUNO</t>
  </si>
  <si>
    <t>0458398.ADQUISICION DE EQUIPO DE AULA DE EDUCACION PRIMARIA EN LA I.E. GLORIOSO SAN CARLOS, DISTRITO DE PUNO - PUNO - PUNO</t>
  </si>
  <si>
    <t>5001247.SUPERVISION Y LIQUIDACION DE OBRAS</t>
  </si>
  <si>
    <t>0115447.SUPERVISION Y LIQUIDACION DE PROYECTOS DE INVERSION PUBLICA</t>
  </si>
  <si>
    <t>99.OTROS ACTIVOS INTANGIBLES</t>
  </si>
  <si>
    <t>2612522.MEJORAMIENTO DE LA PRODUCCION Y TRANSFORMACION DE QUESOS EN LA ASOCIACION DE PRODUCTORES LACTI SUR DE HUAPACA SANTIAGO DEL DISTRITO DE POMATA, PROVINCIA DE CHUCUITO Y DEPARTAMENTO DE PUN</t>
  </si>
  <si>
    <t>5.ADQUISICION DE MOBILIARIO Y EQUIPO DE USO AGRICOLA Y PESQUERO</t>
  </si>
  <si>
    <t>2.EQUIPO DE USO AGRICOLA Y PESQUERO</t>
  </si>
  <si>
    <t>0415392.MEJORAMIENTO DE LA PRODUCCION Y TRANSFORMACION DE QUESOS EN LA ASOCIACION DE PRODUCTORES LACTI SUR DE HUAPACA SANTIAGO, DISTRITO POMATA - CHUCUITO - PUNO</t>
  </si>
  <si>
    <t>2612541.MEJORAMIENTO DE LA PRODUCCION Y COMERCIALIZACION DE DERIVADOS LACTEOS EN LA ASOCIACION DE PRODUCTORES AGROPECUARIOS EMPRENDEDORES LOS CLAVELES DE SAN SALVADOR HUATASANI, DEL DISTRITO DE HUATASANI, PROVINCIA DE HUANCANE Y REGION DE PUNO</t>
  </si>
  <si>
    <t>0415379.MEJORAMIENTO DE LA PRODUCCION Y COMERCIALIZACION DE DERIVADOS LACTEOS EN LA ASOCIACION DE PRODUCTORES AGROPECUARIOS EMPRENDEDORES LOS CLAVELES DE SAN SALVADOR HUATASANI, DISTRITO HUATASANI - HUANCANE - PUNO</t>
  </si>
  <si>
    <t>03.HUATASANI</t>
  </si>
  <si>
    <t>2680578.MEJORAMIENTO DEL PROCESO Y CALIDAD DEL QUESO TIPO PARIA DE LA ASOCIACION LACTEOS LIKHA QUINSACHATA SOCIEDAD COMERCIAL DE RESPONSABILIDAD LIMITADA, DISTRITO CABANILLA, PROVINCIA LAMPA, REGION PUNO.</t>
  </si>
  <si>
    <t>0450318.MEJORAMIENTO DEL PROCESO Y CALIDAD DEL QUESO TIPO PARIA DE LA ASOCIACION LACTEOS LIKHA QUINSACHATA SOCIEDAD COMERCIAL DE RESPONSABILIDAD LIMITADA, DISTRITO CABANILLA LAMPA - PUNO</t>
  </si>
  <si>
    <t>2676418.MEJORAMIENTO DE UNA PLANTA PROCESADORA DE LECHE PARA LA ELABORACION DE QUESOS FRESCOS TIPO PARIA DE LA ASOCIACION DE PRODUCTORES AGROPECUARIOS VILLA ACASSO APROAVA, DISTRITO DE PILCUYO, PROVINCIA DE EL COLLAO, REGION DE PUNO</t>
  </si>
  <si>
    <t>0450316.MEJORAMIENTO DE UNA PLANTA PROCESADORA DE LECHE PARA LA ELABORACION DE QUESOS FRESCOS TIPO PARIA DE LA ASOCIACION DE PRODUCTORES AGROPECUARIOS VILLA ACASSO APROAVA, DISTRITO DE PILCUYO - EL COLLAO - PUNO</t>
  </si>
  <si>
    <t>2681120.MEJORAMIENTO TECNOLOGICO DEL VALOR AGREGADO DE HABAS EN LA ASOCIACION DE PRODUCTORES AGRARIOS Y PECUARIOS NUEVO PROGRESO TAUCAMAYA, DISTRITO DE COPANI, PROVINCIA DE YUNGUYO, REGION PUNO.</t>
  </si>
  <si>
    <t>0450315.MEJORAMIENTO TECNOLOGICO DEL VALOR AGREGADO DE HABAS EN LA ASOCIACION DE PRODUCTORES AGRARIOS Y PECUARIOS NUEVO PROGRESO TAUCAMAYA, DISTRITO DE COPANI - YUNGUYO - PUNO</t>
  </si>
  <si>
    <t>023.AGRARIO</t>
  </si>
  <si>
    <t>0047.INOCUIDAD AGROALIMENTARIA</t>
  </si>
  <si>
    <t>2676422.MEJORAMIENTO DE LA COMPETITIVIDAD PRODUCTIVA DE LA CERAMICA TRADICIONAL DE CHECCA PUPUJA EN LA ASOCIACION CERAMICA TRADICIONAL ANCESTRAL CHACCA PUPUJA, DISTRITO DE JOSE DOMINGO CHOQUEHUANCA, PROVINCIA DE AZANGARO, REGION PUNO.</t>
  </si>
  <si>
    <t>0450307.MEJORAMIENTO DE LA COMPETITIVIDAD PRODUCTIVA DE LA CERAMICA TRADICIONAL DE CHECCA PUPUJA EN LA ASOCIACION CERAMICA TRADICIONAL ANCESTRAL CHACCA PUPUJA, DISTRITO DE JOSE DOMINGO CHOQUEHUANCA - AZANGARO - PUNO</t>
  </si>
  <si>
    <t>14.INDUSTRIA</t>
  </si>
  <si>
    <t>031.INDUSTRIA</t>
  </si>
  <si>
    <t>0060.PROMOCION DE LA INDUSTRIA</t>
  </si>
  <si>
    <t>2676423.MEJORAMIENTO EN LA PRODUCCION DE QUESOS TIPO PARIA EN LA ASOCIACION DE PRODUCTORES DE LECHE Y SUS DERIVADOS PIAS MILAN DE LA COMUNIDAD DE HUAYTA, DISTRITO DE LAMPA, PROVINCIA DE LAMPA DEL DEPARTAMENTO DE PUNO.</t>
  </si>
  <si>
    <t>0450308.MEJORAMIENTO EN LA PRODUCCION DE QUESOS TIPO PARIA EN LA ASOCIACION DE PRODUCTORES DE LECHE Y SUS DERIVADOS PIAS MILAN DE LA COMUNIDAD DE HUAYTA, DISTRITO DE LAMPA - LAMPA - PUNO</t>
  </si>
  <si>
    <t>2676424.MEJORAMIENTO DE LA PLANTA PROCESADORA DE CAFE PARA LA ELABORACION DE CAFE TOSTADO MOLIDO DE LA COOPERATIVA AGRARIA CAFETALERA SAN IGNACIO LTDA., DISTRITO DE SAN PEDRO DE PUTINA PUNCO, PROVINCIA DE SANDIA, REGION DE PUNO</t>
  </si>
  <si>
    <t>0450312.MEJORAMIENTO DE LA PLANTA PROCESADORA DE CAFE PARA LA ELABORACION DE CAFE TOSTADO MOLIDO DE LA COOPERATIVA AGRARIA CAFETALERA SAN IGNACIO LTDA., DISTRITO DE SAN PEDRO DE PUTINA PUNCO - SANDIA - PUNO</t>
  </si>
  <si>
    <t>2681121.MEJORAMIENTO DE LA PRODUCCION DE PRENDAS DE ARTESANIA TEXTIL EN LA ASOCIACION DE PRODUCTORES RITA POMA DEL TAWANTINSUYO PUNO, DISTRITO PUNO, PROVINCIA PUNO Y REGION PUNO</t>
  </si>
  <si>
    <t>0450325.MEJORAMIENTO DE LA PRODUCCION DE QUESOS EN LA COOPERATIVA AGRARIA LAGO AZUL PHARATA, DISTRITO DE ILAVE - EL COLLAO - PUNO</t>
  </si>
  <si>
    <t>2676426.MEJORAMIENTO DE LA PRODUCTIVIDAD Y GENERACION DE VALOR AGREGADO DEL GRANO DE QUINUA PARA SU COMERCIALIZACION EN LA ASOCIACION DE PRODUCTORES AGROPECUARIOS AGROINDUSTRIALES KAPIA DEL DISTRITO DE YUNGUYO, PROVINCIA DE YUNGUYO, DEPARTAMENTO DE PUNO.</t>
  </si>
  <si>
    <t>0450285.MEJORAMIENTO DE LA PRODUCTIVIDAD Y GENERACION DE VALOR AGREGADO DEL GRANO DE QUINUA PARA SU COMERCIALIZACION EN LA ASOCIACION DE PRODUCTORES AGROPECUARIOS AGROINDUSTRIALES KAPIA, DISTRITO DE YUNGUYO - YUNGUYO - PUNO</t>
  </si>
  <si>
    <t>2676427.MEJORAMIENTO DE LA PRODUCCION DE LECHE FRESCA EN LA ASOCIACION DE PRODUCTORES AGROPECUARIOS, AGROINDUSTRIALES, ARTESANALES CCACCALLACTA AMPATUIRE ORURILLO, DISTRITO ORURILLO, PROVINCIA MELGAR, REGION PUNO</t>
  </si>
  <si>
    <t>0450286.MEJORAMIENTO DE LA PRODUCCION DE LECHE FRESCA EN LA ASOCIACION DE PRODUCTORES AGROPECUARIOS, AGROINDUSTRIALES, ARTESANALES CCACCALLACTA AMPATUIRE ORURILLO, DISTRITO ORURILLO - MELGAR - PUNO</t>
  </si>
  <si>
    <t>2676430.MEJORAMIENTO DEL PROCESO DE PANIFICACION DE GRANOS ANDINOS EN LA ASOCIACION DE PRODUCTORES AGROPECUARIOS AGROINDUSTRIALES Y SERVICIOS MULTIPLES JC3 APAASM JC3 EN EL DISTRITO DE ILAVE PROVINCIA EL COLLAO REGION PUNO</t>
  </si>
  <si>
    <t>0450297.MEJORAMIENTO DEL PROCESO DE PANIFICACION DE GRANOS ANDINOS EN LA ASOCIACION DE PRODUCTORES AGROPECUARIOS AGROINDUSTRIALES Y SERVICIOS MULTIPLES JC3 APAASM JC3, DISTRITO DE ILAVE - EL COLLAO - PUNO</t>
  </si>
  <si>
    <t>2676431.MEJORAMIENTO DE LA PRODUCCION TEXTIL DE FIBRA DE ALPACA EN LA ASOCIACION DE PRODUCTORES AGROPECUARIOS AGROINDUSTRIALES Y ARTESANOS HUAYLLAPUJO, DISTRITO DE SANTA ROSA, PROVINCIA DE EL COLLAO, REGION PUNO</t>
  </si>
  <si>
    <t>0450310.MEJORAMIENTO DE LA PRODUCCION TEXTIL DE FIBRA DE ALPACA EN LA ASOCIACION DE PRODUCTORES AGROPECUARIOS AGROINDUSTRIALES Y ARTESANOS HUAYLLAPUJO, DISTRITO DE SANTA ROSA - EL COLLAO - PUNO</t>
  </si>
  <si>
    <t>2676432.CREACION DE LA PLANTA DE PROCESO DE ELABORACION DE PAN DE QUINUA DE LA ASOCIACION DE TRANSFORMADORES DE GRANOS ANDINOS EN PANADERIA Y PASTELERIA ARTESANAL EL SOL DE LAMPA, DEL DISTRITO DE LAMPA, PROVINCIA DE LAMPA, REGION PUNO.</t>
  </si>
  <si>
    <t>0450291.CREACION DE LA PLANTA DE PROCESO DE ELABORACION DE PAN DE QUINUA DE LA ASOCIACION DE TRANSFORMADORES DE GRANOS ANDINOS EN PANADERIA Y PASTELERIA ARTESANAL EL SOL DE LAMPA, DISTRITO DE LAMPA - LAMPA - PUNO</t>
  </si>
  <si>
    <t>2681125.MEJORAMIENTO DE LA PRODUCTIVIDAD Y CALIDAD DE LECHE FRESCA EN LA ASOCIACION DE PRODUCTORES AGROPECUARIOS DE GANADO VACUNO LECHERO ARTESANAL KANCHAQ WASI DE COMUNIDAD COLCA ATUNCOLLA, DISTRITO DE ATUNCOLLA, PROVINCIA DE PUNO, REGION PUNO</t>
  </si>
  <si>
    <t>0450298.MEJORAMIENTO DE LA PRODUCTIVIDAD Y CALIDAD DE LECHE FRESCA EN LA ASOCIACION DE PRODUCTORES AGROPECUARIOS DE GANADO VACUNO LECHERO ARTESANAL KANCHAQ WASI DE COMUNIDAD COLCA ATUNCOLLA, DISTRITO DE ATUNCOLLA - PUNO - PUNO</t>
  </si>
  <si>
    <t>2681128.MEJORAMIENTO DE LA PRODUCCION DE QUESOS TIPO PARIA DE LA ASOCIACION DE PRODUCTORES ORGANICOS AGROPECUARIOS Y AGROINDUSTRIALES LA LIBERTAD NUNOA, DISTRITO DE NUNOA, PROVINCIA DE MELGAR, REGION PUNO</t>
  </si>
  <si>
    <t>0450266.MEJORAMIENTO DE LA PRODUCCION DE QUESOS TIPO PARIA DE LA ASOCIACION DE PRODUCTORES ORGANICOS AGROPECUARIOS Y AGROINDUSTRIALES LA LIBERTAD NUNOA, DISTRITO DE NUNOA - MELGAR - PUNO</t>
  </si>
  <si>
    <t>2681129.CREACION DE UN TALLER TEXTIL PARA LA ELABORACION DE PRENDAS DE VESTIR Y ARTICULOS DE FIBRA DE ALPACA, DE LA ASOCIACION 24 DE JUNIO CHAJANA EN EL DISTRITO DE COJATA, PROVINCIA DE HUANCANE, DEPARTAMENTO DE PUNO</t>
  </si>
  <si>
    <t>0450296.CREACION DE UN TALLER TEXTIL PARA LA ELABORACION DE PRENDAS DE VESTIR Y ARTICULOS DE FIBRA DE ALPACA, DE LA ASOCIACION 24 DE JUNIO CHAJANA, DISTRITO DE COJATA - HUANCANE - PUNO</t>
  </si>
  <si>
    <t>2681278.MEJORAMIENTO DEL PROCESO DE PRODUCCION DE SELECCIONADOR DE TRUCHAS EN MAQUINARIAS ACUITROUT SOCIEDAD COMERCIAL DE RESPONSABILIDAD DE LA COMUNIDAD DE KOLLPAJAHUIRA, DISTRITO DE JULI, PROVINCIA DE CHUCUITO, DEPARTAMENTO DE PUNO</t>
  </si>
  <si>
    <t>0450304.MEJORAMIENTO DEL PROCESO DE PRODUCCION DE SELECCIONADOR DE TRUCHAS EN MAQUINARIAS ACUITROUT SOCIEDAD COMERCIAL DE RESPONSABILIDAD DE LA COMUNIDAD DE KOLLPAJAHUIRA, DISTRITO DE JULI - CHUCUITO - PUNO</t>
  </si>
  <si>
    <t>2676435.MEJORAMIENTO DEL PROCESO DE ENGORDE Y COMERCIALIZACION DE GANADO VACUNO EN LA ASOCIACION DE PRODUCTORES AGROPECUARIOS STMA. TRINIDAD DE CCACCAPUNCO EN EL DISTRITO DE VILQUE, PROVINCIA PUNO Y REGION PUNO</t>
  </si>
  <si>
    <t>0450290.MEJORAMIENTO DEL PROCESO DE ENGORDE Y COMERCIALIZACION DE GANADO VACUNO EN LA ASOCIACION DE PRODUCTORES AGROPECUARIOS STMA. TRINIDAD DE CCACCAPUNCO, DISTRITO DE VILQUE - PUNO - PUNO</t>
  </si>
  <si>
    <t>2676436.AMPLIACION DE LA PLANTA PROCESADORA DE LECHE PARA LA ELABORACION DE QUESOS DE LA ASOCIACION DE PRODUCTORES DE LECHE Y DERIVADOS LACTEOS VIRGEN DE ASUNCION ROSASPATA, DISTRITO DE ROSASPATA, PROVINCIA DE HUANCANE, REGION PUNO</t>
  </si>
  <si>
    <t>0450303.AMPLIACION DE LA PLANTA PROCESADORA DE LECHE PARA LA ELABORACION DE QUESOS DE LA ASOCIACION DE PRODUCTORES DE LECHE Y DERIVADOS LACTEOS VIRGEN DE ASUNCION ROSASPATA, DISTRITO DE ROSASPATA - HUANCANE - PUNO</t>
  </si>
  <si>
    <t>2681276.MEJORAMIENTO EN LA CAPACIDAD TECNICA DE PRODUCCION DE PRENDAS DE TEXTIL DE TEJIDO A MANO DE ALTO RELIEVE DE FIBRA DE ALPACA DE LA ASOCIACION DE MUJERES ARTESANAS VIRGEN DE CANDELARIA PICHACANI QUIRINE DISTRITO MACARI, PROVINCIA MELGAR, REGION PUNO</t>
  </si>
  <si>
    <t>0450301.MEJORAMIENTO EN LA CAPACIDAD TECNICA DE PRODUCCION DE PRENDAS DE TEXTIL DE TEJIDO A MANO DE ALTO RELIEVE DE FIBRA DE ALPACA DE LA ASOCIACION DE MUJERES ARTESANAS VIRGEN DE CANDELARIA PICHACANI QUIRINE, DISTRITO MACARI - MELGAR - PUNO</t>
  </si>
  <si>
    <t>2681132.MEJORAMIENTO DE LA CAPACIDAD PRODUCTIVA DE CAFE TOSTADO Y MOLIDO EN LA COOPERATIVA AGRARIA EN INNOVACION TECNOLOGICA MONTANA AZUL LIMITADA, DISTRITO DE SAN PEDRO DE PUTINA PUNCO, PROVINCIA DE SANDIA, REGION PUNO.</t>
  </si>
  <si>
    <t>0450322.MEJORAMIENTO DE LA CAPACIDAD PRODUCTIVA DE CAFE TOSTADO Y MOLIDO EN LA COOPERATIVA AGRARIA EN INNOVACION TECNOLOGICA MONTANA AZUL LIMITADA, DISTRITO DE SAN PEDRO DE PUTINA PUNCO - SANDIA - PUNO</t>
  </si>
  <si>
    <t>2676438.MEJORAMIENTO DE LA PRODUCCION DE MIEL DE ABEJA DE LA ASOCIACION DE APICULTORES Y PRODUCTORES AGROPECUARIOS DEL VALLE YANAHUAYA, DEL DISTRITO DE YANAHUARA PROVINCIA DE SANDIA DEPARTAMENTO DE PUNO</t>
  </si>
  <si>
    <t>0450289.MEJORAMIENTO DE LA PRODUCCION DE MIEL DE ABEJA DE LA ASOCIACION DE APICULTORES Y PRODUCTORES AGROPECUARIOS DEL VALLE YANAHUAYA, DISTRITO DE YANAHUAYA - SANDIA - PUNO</t>
  </si>
  <si>
    <t>08.YANAHUAYA</t>
  </si>
  <si>
    <t>2681274.MEJORAMIENTO DEL PROCESO DE PRODUCCION DE ARTICULOS MECANICOS EN LA CORPORACION MARSAD S.A.C. DEL DISTRITO DE PUNO, PROVINCIA DE PUNO, REGION DE PUNO</t>
  </si>
  <si>
    <t>0450302.MEJORAMIENTO DEL PROCESO DE PRODUCCION DE ARTICULOS MECANICOS EN LA CORPORACION MARSAD S.A.C, DISTRITO DE PUNO - PUNO - PUNO</t>
  </si>
  <si>
    <t>2681123.MEJORAMIENTO EN EL PROCESO DE VALOR AGREGADO DE TRUCHAS EN LA EMPRESA AMERICAN TROUT FARO S.R.L. EN EL DISTRITO DE POMATA, PROVINCIA DE CHUCUITO Y DEPARTAMENTO DE PUNO.</t>
  </si>
  <si>
    <t>0450306.MEJORAMIENTO EN EL PROCESO DE VALOR AGREGADO DE TRUCHAS EN LA EMPRESA AMERICAN TROUT FARO S.R.L, DISTRITO DE POMATA - CHUCUITO - PUNO</t>
  </si>
  <si>
    <t>2676433.MEJORAMIENTO DE LA CAPACIDAD PRODUCTIVA DE PRENDAS A BASE DE FIBRA DE ALPACA DE LA EMPRESA JOMATEX SRL, DISTRITO JULIACA, PROVINCIA SAN ROMAN, REGION PUNO.</t>
  </si>
  <si>
    <t>0450287.MEJORAMIENTO DE LA CAPACIDAD PRODUCTIVA DE PRENDAS A BASE DE FIBRA DE ALPACA DE LA EMPRESA JOMATEX SRL, DISTRITO JULIACA - SAN ROMAN - PUNO</t>
  </si>
  <si>
    <t>2681130.MEJORAMIENTO DE LA PRODUCCION DEL ENVASADO DE AGUA DE MESA DE LA EMPRESA GRUPO ANCCASI SOCIEDAD ANONIMA CERRADA DEL DISTRITO DE CORANI, PROVINCIA CARABAYA, DEPARTAMENTO PUNO</t>
  </si>
  <si>
    <t>6000025.FORTALECIMIENTOS DE MERCADOS</t>
  </si>
  <si>
    <t>0450314.MEJORAMIENTO DE LA PRODUCCION DEL ENVASADO DE AGUA DE MESA DE LA EMPRESA GRUPO ANCCASI SOCIEDAD ANONIMA CERRADA, DISTRITO DE CORANI - CARABAYA - PUNO</t>
  </si>
  <si>
    <t>530.BIEN</t>
  </si>
  <si>
    <t>2676440.MEJORAMIENTO DE LA PRODUCCION Y LA PRODUCTIVIDAD DE QUESO TIPO PARIA PASTEURIZADO DE LA EMPRESA DE PRODUCCION AGROPECUARIA MICA ASUNCION SAC DEL, DISTRITO DE AZANGARO, PROVINCIA AZANGARO, DEPARTAMENTO PUNO.</t>
  </si>
  <si>
    <t>0450309.MEJORAMIENTO DE LA PRODUCCION Y LA PRODUCTIVIDAD DE QUESO TIPO PARIA PASTEURIZADO DE LA EMPRESA DE PRODUCCION AGROPECUARIA MICA ASUNCION SAC, DISTRITO DE AZANGARO - AZANGARO - PUNO</t>
  </si>
  <si>
    <t>2692846.ADQUISICION DE EQUIPO ECOGRAFO, MESA HIDRAULICA PARA OPERACION QUIRURGICA, LAVADORA SECADORA AUTOMATICA Y INCUBADORA DE TRANSPORTE (SAMU); ADEMAS DE OTROS ACTIVOS EN EL(LA) CARLOS CORNEJO ROSELLO DISTRITO DE AZANGARO, PROVINCIA AZANGARO, DEPARTAME</t>
  </si>
  <si>
    <t>0458936.ADQUISICION DE EQUIPO ECOGRAFO, MESA HIDRAULICA PARA OPERACION QUIRURGICA, LAVADORA SECADORA AUTOMATICA E INCUBADORA DE TRANSPORTE (SAMU); ADEMAS DE OTROS ACTIVOS EN CARLOS CORNEJO ROSELLO, DISTRITO DE AZANGARO - AZANGARO - PUNO</t>
  </si>
  <si>
    <t>2691682.ADQUISICION DE MESA DE OPERACIONES HIDRAULICA/ELECTRICA, EQUIPO ECOGRAFO - ULTRASONIDO, EQUIPO ECOGRAFO Y ELECTROENCEFALOGRAFO; ADEMAS DE OTROS ACTIVOS EN EL(LA) ANTONIO BARRIONUEVO (LAMPA) DISTRITO DE LAMPA, PROVINCIA LAMPA, DEPARTAMENTO PUNO</t>
  </si>
  <si>
    <t>0458933.ADQUISICION DE MESA DE OPERACIONES HIDRAULICA/ELECTRICA, EQUIPO ECOGRAFO - ULTRASONIDO, EQUIPO ECOGRAFO Y ELECTROENCEFALOGRAFO; ADEMAS DE OTROS ACTIVOS EN ANTONIO BARRIONUEVO, DISTRITO DE LAMPA - LAMPA - PUNO</t>
  </si>
  <si>
    <t>5001903.CONSEJO REGIONAL</t>
  </si>
  <si>
    <t>0008103.CONSEJO REGIONAL</t>
  </si>
  <si>
    <t>0468950.ADQUISICION DE ESTERILIZADOR; EN SIETE ESTABLECIMIENTOS DE SALUD II.1, ESTABLECIMIENTOS DE SALUD II.2, DISTRITO DE PUNO - PUNO - PUNO</t>
  </si>
  <si>
    <t>0469499.MEJORAMIENTO DE LOS SERVICIOS TURISTICOS DE AVENTURA Y ALOJAMIENTO RURAL EN LA ASOCIACION DE TURISMO VIVENCIAL COMUNITARIO LUQUINA CHICO, DISTRITO CHUCUITO - PUNO - PUNO</t>
  </si>
  <si>
    <t>06.CHUCUITO</t>
  </si>
  <si>
    <t>0469500.MEJORAMIENTO DE LA PRODUCCION DE LECHE FRESCA EN LA ASOCIACION DE PRODUCTORES AGROPECUARIOS FORUNTANI SAMAN, DISTRITO DE SAMAN - AZANGARO - PUNO</t>
  </si>
  <si>
    <t>10.SAMAN</t>
  </si>
  <si>
    <t>0469501.MEJORAMIENTO EN LA PRODUCCION DE HILOS ARTESANALES DE LA ASOCIACION DE PRODUCTORES DE CAMELIDOS SUDAMERICANOS, ARTESANAL Y AGRICOLA TIKARIY PAMPA, DISTRITO MACUSANI - CARABAYA - PUNO</t>
  </si>
  <si>
    <t>0469502.MEJORAMIENTO DEL PROCESO PRODUCTIVO Y EL VALOR CULTURAL DE LAS CERAMICAS DE LA ASOCIACION DE ARTESANOS PRODUCTORES MUSUQ PAQARIY PUKARA, DISTRITO DE PUCARA - LAMPA - PUNO</t>
  </si>
  <si>
    <t>0469503.MEJORAMIENTO DE LA PRODUCCION DE LECHE FRESCA EN LA ASOCIACION DE PRODUCTORES AGROPECUARIOS SUMAC KANCHAY DE LA LIBERTAD NUNOA MELGAR, DISTRITO DE NUNOA - MELGAR - PUNO</t>
  </si>
  <si>
    <t>0469505.MEJORAMIENTO DE LA PRODUCCION DE LECHE EN LA ASOCIACION DE PRODUCTORES AGROPECUARIOS LUZ Y VIDA DE LA COMUNIDAD DE NAUPAPAMPA, DISTRITO DE ASILLO - AZANGARO - PUNO</t>
  </si>
  <si>
    <t>0469506.MEJORAMIENTO Y AMPLIACION DE LA PRODUCCION Y COMERCIALIZACION DE CAFE TOSTADO MOLIDO Y FILTRANTE DE LA COOPERATIVA AGRARIA CAFETALERA SAN JORGE LTDA, DISTRITO DE SAN PEDRO DE PUTINA PUNCO - SANDIA - PUNO</t>
  </si>
  <si>
    <t>0469507.MEJORAMIENTO DE LA CAPACIDAD PRODUCTIVA DE QUESO PARIA PASTEURIZADO EN LA ASOCIACION DE PRODUCTORES AGROPECUARIOS VIRGEN DEL CARMEN BALSAPATA, DISTRITO ORURILLO - MELGAR -PUNO</t>
  </si>
  <si>
    <t>0469508.MEJORAMIENTO DE LA PRODUCCION DE LECHE FRESCA EN LA ASOCIACION DE PRODUCTORES AGROPECUARIOS Y AGROINDUSTRIALES SAN JUAN, DISTRITO DE ORURILLO - MELGAR - PUNO</t>
  </si>
  <si>
    <t>0469512.MEJORAMIENTO DE LA PRODUCCION Y LA COMERCIALIZACION DE LECHE FRESCA EN LA ORGANIZACION DE PRODUCTORES SAN JUAN DE FAON, DISTRITO DE HUATA - PUNO - PUNO</t>
  </si>
  <si>
    <t>08.HUATA</t>
  </si>
  <si>
    <t>0469514.MEJORAMIENTO DE LA PRODUCCION Y ENGORDE DE GANADO VACUNO A TRAVES DE LA OPTIMIZACION DE LA ALIMENTACION EN LA ASOCIACION DE PRODUCTORES AGROPECUARIOS EL TORITO BRAVO, DISTRITO DE QUILCAPUNCO - SAN ANTONIO DE PUTINA - PUNO</t>
  </si>
  <si>
    <t>04.QUILCAPUNCU</t>
  </si>
  <si>
    <t>0469515.MEJORAMIENTO DE LA PRODUCCION DE PACAS EN LA ASOCIACION DE PRODUCTORES AGROPECUARIOS Y FORESTALES SAN PEDRO DE FRAYLIMA, DISTRITO DE AZANGARO - AZANGARO - PUNO</t>
  </si>
  <si>
    <t>0469516.MEJORAMIENTO DEL PROCESO DE PRODUCCION DE QUESO PARIA DE LA ASOCIACION DE PRODUCTORES AGROPECUARIOS DE DERIVADOS LACTEOS VILLA ORURILLO, DISTRITO DE ORURILLO - MELGAR - PUNO</t>
  </si>
  <si>
    <t>0469517.MEJORAMIENTO DEL SISTEMA PRODUCTIVO DEL CULTIVO DE QUINUA EN LA ASOCIACION AGROPECUARIA ECOLOGICA SURPERU, DISTRITO DE PILCUYO - EL COLLAO - PUNO</t>
  </si>
  <si>
    <t>0469519.MEJORAMIENTO DE LA CAPACIDAD DE TRANSFORMACION DE CHIPS DE PAPA NATIVA, EN LA AEO ASOCIACION DE PRODUCTORES MULTIPLES SAN ISIDRO DE TANTAMACO, DISTRITO DE MACUSANI - CARABAYA - PUNO</t>
  </si>
  <si>
    <t>0469520.MEJORAMIENTO DE PRODUCCION DE LECHE FRESCA EN LA ASOCIACION DE PRODUCTORES VILLA PALCA, DISTRITO DE PAUCARCOLLA - PUNO - PUNO</t>
  </si>
  <si>
    <t>10.PAUCARCOLLA</t>
  </si>
  <si>
    <t>0469521.MEJORAMIENTO DE LA CAPACIDAD PRODUCTIVA Y DE COMERCIALIZACION DE MIEL MEDIANTE EL FORTALECIMIENTO DE PROCESOS PRODUCTIVOS APICOLAS EN LA ASOCIACION DE PRODUCTORES AGROPECUARIOS MONTE SILOE KOLLA MISKI, DISTRITO PLATERIA - PUNO - PUNO</t>
  </si>
  <si>
    <t>12.PLATERIA</t>
  </si>
  <si>
    <t>0469522.AMPLIACION DE LA CAPACIDAD PRODUCTIVA DE QUESO PARIA EN LA ASOCIACION DE EMPRENDEDORES RURALES CORIFLOR COMUNIDAD LICAS ACHAYA, DISTRITO DE ACHAYA - AZANGARO - PUNO</t>
  </si>
  <si>
    <t>02.ACHAYA</t>
  </si>
  <si>
    <t>0469523.MEJORAMIENTO DE LA PRODUCCION Y COMERCIALIZACION DE LECHE FRESCA CON INNOVACION TECNOLOGIA EN LA ASOCIACION DE PRODUCTORES AGROPECUARIOS Y CRIADORES DE OVINO BELLON DE ORO, DISTRITO DE AZANGARO - AZANGARO - PUNO</t>
  </si>
  <si>
    <t>0469524.MEJORAMIENTO DEL CULTIVO DE HABAS EN LA ASOCIACION DE PRODUCTORES AGROPECUARIOS VALLECITO SECTOR CCORCORI, DISTRITO DE COPANI - YUNGUYO - PUNO</t>
  </si>
  <si>
    <t>0469525.MEJORAMIENTO DEL PROCESO DE PRODUCCION DE LECHE FRESCA DE LA ASOCIACION DE PRODUCTORES AGROPECUARIOS CORANI CUPI APAC, DISTRITO DE CUPI - MELGAR - PUNO</t>
  </si>
  <si>
    <t>03.CUPI</t>
  </si>
  <si>
    <t>0469526.CREACION DE UNA PLANTA PROCESADORA DE QUINUA EN LA AEO ASOCIACION DE PRODUCTORES AGROPECUARIOS ROQUE APAZA PAMPA, DISTRITO DE PAUCARCOLLA - PUNO - PUNO</t>
  </si>
  <si>
    <t>0469527.MEJORAMIENTO DE LA PRODUCCION DE LECHE EN LA ASOCIACION DE PRODUCTORES AGROPECUARIOS Y ARTESANIA TOTORUMA PAMPA LLAQUEPA, DISTRITO DE POMATA - CHUCUITO - PUNO</t>
  </si>
  <si>
    <t>0469528.MEJORAMIENTO DE LA PRODUCCION DE LECHE DE LA ASOCIACION DE PRODUCTORES AGROPECUARIOS SANTA ANA HUAYTA, DISTRITO DE LAMPA - LAMPA - PUNO</t>
  </si>
  <si>
    <t>0469529.MEJORAMIENTO DEL PROCESO DE PRODUCCION DE QUESO EN LA ASOCIACION DE PEQUENOS PRODUCTORES AGROPECUARIOS DE DERIVADOS LACTEOS SAN JOSE TATASQA, DISTRITO DE LAMPA - LAMPA - PUNO</t>
  </si>
  <si>
    <t>0469530.MEJORAMIENTO DE LA PRODUCCION DE DERIVADOS DE QUINUA EN HARINA EXTRUIDA Y POP EXTRUIDO DE LA EMPRESA CORPORACION DALSAR SOCIEDAD ANONIMA CERRADA, DISTRITO DE PUNO - PUNO - PUNO</t>
  </si>
  <si>
    <t>0469531.MEJORAMIENTO DEL ENGORDE DE GANADO VACUNO EN EL AEO ASOCIACION CAMPO VERDE TOTORALES ENGORDE AGRO Y AGROPECUARIO, DISTRITO DE ILAVE - EL COLLAO - PUNO</t>
  </si>
  <si>
    <t>0469533.MEJORAMIENTO DE LOS SERVICIOS DE ALOJAMIENTO TURISTICO Y DEL TURISMO VIVENCIAL DE OBSERVACION ASTRONOMICA EN LA ASOCIACION DE TURISMO COMUNITARIO TIKA WASI LLACHON, DISTRITO DE CAPACHICA - PUNO -PUNO</t>
  </si>
  <si>
    <t>0469534.AMPLIACION DE LA CAPACIDAD PRODUCTIVA DE QUESOS PARIA DE LA ASOCIACION DE PRODUCTORES AGROPECUARIOS NUEVO AMANECER ALAYTIRA VILLA ORURILO, DISTRITO DE ORURILLO - MELGAR - PUNO</t>
  </si>
  <si>
    <t>0469536.MEJORAMIENTO TECNOLOGICO DE LA PRODUCCION Y COMPETITIVIDAD EN EL ENGORDE DE VACUNOS DE CARNE DE LA ASOCIACION DE PRODUCTORES AGROPECUARIOS Y OTROS GENERACION ACTIVA DE LA COMUNIDAD DE CHALLACOLLO, DISTRITO HUACULLAN - CHUCUITO - PUNO</t>
  </si>
  <si>
    <t>0469537.MEJORAMIENTO DEL CULTIVO DE HABAS EN CORPORACION PECUARIO AGRICOLA EMMANUEL S.A.C., DISTRITO DE ZEPITA - CHUCUITO - PUNO</t>
  </si>
  <si>
    <t>0469655.MEJORAMIENTO DE LA PRODUCCION Y CALIDAD DE LECHE FRESCA EN LA ASOCIACION DE PRODUCTORES DE LECHE MOYANDINA, DISTRITO DE AYAVIRI - MELGAR - PUNO</t>
  </si>
  <si>
    <t>0469538.MEJORAMIENTO DE LA PRODUCCION DE LECHE EN LA ASOCIACION DE PRODUCTORES AGROPECUARIOS E INDUSTRIALES ARACACHI JAHUERJALAC, DISTRITO DE KELLUYO - CHUCUITO - PUNO</t>
  </si>
  <si>
    <t>0469543.MEJORAMIENTO DE LA PRODUCCION Y PRODUCTIVIDAD DE LA QUINUA EN LA ASOCIACION DE PRODUCTORES AGROPECUARIOS LA ESTANCIA SUMA MARKA, DISTRITO DE ACORA - PUNO - PUNO</t>
  </si>
  <si>
    <t>0469544.MEJORAMIENTO DE VALOR AGREGADO DE LA TRUCHA EN AQUA INDUSTRIAS EL FARO SOCIEDAD COMERCIAL DE RESPONSABILIDAD LIMITADA, DISTRITO DE POMATA - CHUCUITO - PUNO</t>
  </si>
  <si>
    <t>0469545.MEJORAMIENTO DE LA PLANTA DE TRANSFORMACION DE GRANOS ANDINOS DEL GRUPO TURISTICO GASTRONOMICO SAMKA S.A.C., DISTRITO PUNO - PUNO - PUNO</t>
  </si>
  <si>
    <t>0469541.MEJORAMIENTO DE LA PRODUCCION DE VACUNOS DE ENGORDE MEDIANTE TECNOLOGIAS SOSTENIBLES EN LA ASOCIACION DE EMPRENDEDORES AGROPECUARIOS TIERRA SANTA ROSASPATA, DISTRITO DE ROSASPATA - HUANCANE - PUNO</t>
  </si>
  <si>
    <t>0469546.MEJORAMIENTO DE LA COMPETITIVIDAD DE LA PRODUCCION DE LECHE FRESCA EN LA COOPERATIVA AGROINDUSTRIAL SAGRADO CORAZON DE JESUS DE CCOTA, DISTRITO DE PLATERIA - PUNO - PUNO</t>
  </si>
  <si>
    <t>0469547.MEJORAMIENTO DE LA PRODUCCION DE YOGURT EN EL AEO AGROINDUSTRIA YOGULE S.A.C., DISTRITO DE CABANA - SAN ROMAN - PUNO</t>
  </si>
  <si>
    <t>02.CABANA</t>
  </si>
  <si>
    <t>0469548.MEJORAMIENTO DE LA PRODUCCION DE QUESO TIPO PARIA EN LA ASOCIACION DE PRODUCTORES DE LECHE Y DERIVADOS LACTEOS RIDANI LLINQUICHUPA, DISTRITO DE LAMPA - LAMPA - PUNO</t>
  </si>
  <si>
    <t>0469550.MEJORAMIENTO DE LA PRODUCCION Y PROCESAMIENTO DE CULTIVOS FORRAJEROS EN LA ASOCIACION DE PRODUCTORES AGROPECUARIOS ALIANZA RENOVADO CALLANCA, DISTRITO DE PLATERIA - PUNO - PUNO</t>
  </si>
  <si>
    <t>0469552.AMPLIACION DE LA CAPACIDAD PRODUCCION DE QUESO PARIA EN GRUPO NEBRASKA S.A.C, DISTRITO DE JULIACA - SAN ROMAN - PUNO</t>
  </si>
  <si>
    <t>0469551.MEJORAMIENTO DEL CENTRO DE ENGORDE Y COMERCIALIZACION DE GANADO VACUNO EN LA ASOCIACION DE PRODUCTORES GANADERIA LA CANTUTA, DISTRITO DE VILQUE - PUNO - PUNO</t>
  </si>
  <si>
    <t>0469549.MEJORAMIENTO DE LA PRODUCTIVIDAD DE LECHE FRESCA EN LA ASOCIACION DE PRODUCTORES AGROPECUARIOS ESQUERICA, DISTRITO DE ROSASPATA - HUANCANE - PUNO</t>
  </si>
  <si>
    <t>0000574.DEMARCACION Y ORDENAMIENTO TERRITORIAL</t>
  </si>
  <si>
    <t>0321708.RECUPERACION DEL PUENTE COLGANTE PEATONAL SOBRE EL RIO INAMBARI EN LA LOCALIDAD SANTA ROSA YANAMAYO DEL DISTRITO DE ALTO INAMBARI - SANDIA - PUNO</t>
  </si>
  <si>
    <t>2278822.MEJORAMIENTO DE LOS SERVICIOS DE SALUD DEL HOSPITAL RAFAEL ORTIZ RAVINES DE JULI, PROVINCIA DE CHUCUITO - REGION PUNO</t>
  </si>
  <si>
    <t>0169575.MEJORAMIENTO DE LOS SERVICIOS DE SALUD DEL HOSPITAL RAFAEL ORTIZ RAVINES DE JULI, DISTRITO DE JULI - CHUCUITO - PUNO</t>
  </si>
  <si>
    <t>0000709.ELABORACION DE ESTUDIOS DE PREFACTIBILIDAD</t>
  </si>
  <si>
    <t>5005590.CAPACITACION Y SENSIBILIZACION EN MATERIA DE TRABAJO FORZOSO, TRATA DE PERSONAS Y OTROS GRUPOS VULNERABLES</t>
  </si>
  <si>
    <t>0160805.CAPACITACION Y SENSIBILIZACION EN MATERIA DE TRABAJO FORZOSO, TRATA DE PERSONAS Y OTROS GRUPOS VULNERABLES</t>
  </si>
  <si>
    <t>0145309.INSTALACION DEL SERVICIO DE EDUCACION INICIAL DE LA I.E.I. NRO. 94 DEL CENTRO POBLADO DE UMUCHI, DISTRITO DE MOHO - MOHO - PUNO</t>
  </si>
  <si>
    <t>0469719.ADQUISICION DE SISTEMA DE VIDEO GASTROENDOSCOPIA, GRUPO ELECTROGENO, EQUIPO ECOGRAFO - ULTRASONIDO Y LAVADORA SECADORA AUTOMATICA; ADEMAS DE OTROS ACTIVOS EN EL CARLOS MONJE MEDRANO, DISTRITO DE JULIACA - SAN ROMAN - PUNO</t>
  </si>
  <si>
    <t>0287476.MEJORAMIENTO DE LOS SERVICIOS DE EDUCACION SECUNDARIA DE LA INSTITUCION EDUCATIVA LIBERTADOR JOSE DE SAN MARTIN DE HUARISANI DEL DISTRITO DE HUANCANE-HUANCANE-PUNO</t>
  </si>
  <si>
    <t>0471609.MEJORAMIENTO DEL SERVICIO DE EDUCACION SECUNDARIA EN I.E. SAN AGUSTIN, DISTRITO DE COATA - PUNO - PUNO</t>
  </si>
  <si>
    <t>0426872.MEJORAMIENTO DEL SERVICIO EDUCATIVO EN LA IEP N° 70477 SAGRADO CORAZON DE JESUS DEL DISTRITO DE AYAVIRI - MELGAR - PUNO</t>
  </si>
  <si>
    <t>2699544.ADQUISICION DE EQUIPAMIENTO DE AULA; EN SIETE II.EE. INICIAL DISTRITO DE SAN JUAN DE SALINAS, PROVINCIA AZANGARO, DEPARTAMENTO PUNO</t>
  </si>
  <si>
    <t>0466797.ADQUISICION DE EQUIPAMIENTO DE AULA; EN SIETE II.EE. INICIAL DISTRITO SAN JUAN DE SALINAS - AZANGARO - PUNO</t>
  </si>
  <si>
    <t>2511009.MEJORAMIENTO DEL SERVICIO VIAL URBANO DE LA AVENIDA INDUSTRIAL DEL CENTRO POBLADO DE SALCEDO, DISTRITO DE PUNO - PROVINCIA DE PUNO - DEPARTAMENTO DE PUNO</t>
  </si>
  <si>
    <t>0382001.MEJORAMIENTO DEL SERVICIO VIAL URBANO DE LA AVENIDA INDUSTRIAL DEL CENTRO POBLADO DE SALCEDO, DISTRITO DE PUNO - PUNO - PUNO</t>
  </si>
  <si>
    <t>0337637.MEJORAMIENTO DEL SERVICIO DE EDUCACION SECUNDARIA DE LA IES CABANILLAS, DISTRITO DE CABANILLAS - SAN ROMAN - PUNO</t>
  </si>
  <si>
    <t>0207945.MEJORAMIENTO DE LA GESTION INTEGRADA DE LOS RECURSOS HIDRICOS EN CUENCAS DE LA REGION PUNO, MULTIDISTRITAL - MULTIPROVINCIAL - PUNO</t>
  </si>
  <si>
    <t>0122.GESTION INTEGRADA DE LOS RECURSOS HIDRICOS</t>
  </si>
  <si>
    <t>5006304.MONITOREO DE LA PRESTACION DE LOS SERVICIOS DE AGUA POTABLE Y DISPOSICION SANITARIA DE EXCRETAS PARA HOGARES CONCENTRADOS</t>
  </si>
  <si>
    <t>0290582.MONITOREO DE LA PRESTACION DE LOS SERVICIOS DE AGUA POTABLE Y DISPOSICION SANITARIA DE EXCRETAS PARA HOGARES CONCENTRADOS</t>
  </si>
  <si>
    <t>3000879.ADOLESCENTES CON ATENCIÓN PREVENTIVA DE ANEMIA Y OTRAS DEFICIENCIAS NUTRICIONALES</t>
  </si>
  <si>
    <t>5006271.ADMINISTRAR SUPLEMENTO DE HIERRO Y ACIDO FOLICO A ADOLESCENTES</t>
  </si>
  <si>
    <t>0289982.ADMINISTRAR SUPLEMENTO DE HIERRO Y ACIDO FOLICO A ADOLESCENTE</t>
  </si>
  <si>
    <t>3000927.AGUA POTABLE PARA EL CONSUMO HUMANO PARA HOGARES CONCENTRADOS</t>
  </si>
  <si>
    <t>5004428.VIGILANCIA DE LA CALIDAD DEL AGUA PARA EL CONSUMO HUMANO</t>
  </si>
  <si>
    <t>0033260.VIGILANCIA DE LA CALIDAD DEL AGUA PARA EL CONSUMO HUMANO</t>
  </si>
  <si>
    <t>636.SISTEMA DE ABASTECIMIENTO</t>
  </si>
  <si>
    <t>5004426.MONITOREO, SUPERVISION, EVALUACION Y CONTROL DEL PROGRAMA ARTICULADO NUTRICIONAL</t>
  </si>
  <si>
    <t>0044276.MONITOREO, SUPERVISION, EVALUACION Y CONTROL DEL PROGRAMA ARTICULADO NUTRICIONAL</t>
  </si>
  <si>
    <t>4000053.MEJORAMIENTO DEL SISTEMA DE AGUA POTABLE</t>
  </si>
  <si>
    <t>5.AGUA Y SANEAMIENTO</t>
  </si>
  <si>
    <t>0473133.MEJORAMIENTO Y AMPLIACION DE LOS SERVICIOS DE AGUA POTABLE Y ALCANTARILLADO SANITARIO EN LA LOCALIDAD DE CARACOTO, DISTRITO DE CARACOTO - SAN ROMAN - PUNO</t>
  </si>
  <si>
    <t>4000201.MEJORAMIENTO DE SISTEMA DE RECOLECCION Y TRATAMIENTO DE RESIDUOS SOLIDOS</t>
  </si>
  <si>
    <t>0473132.MEJORAMIENTO Y AMPLIACION DEL SERVICIO DE LIMPIEZA PUBLICA EN 7 UNIDADES PRODUCTORAS 7 DISTRITOS, MULTIDISTRITAL - MELGAR - PUNO</t>
  </si>
  <si>
    <t>055.GESTION INTEGRAL DE LA CALIDAD AMBIENTAL</t>
  </si>
  <si>
    <t>0124.GESTION DE LOS RESIDUOS SOLIDOS</t>
  </si>
  <si>
    <t>0044672.FORTALECIMIENTO DE LOS GOBIERNOS REGIONALES EN MATERIA DE LAS FUNCIONES SECTORIALES TRANSFERIDAS</t>
  </si>
  <si>
    <t>0472535.MEJORAMIENTO DE LA PRODUCCION Y COMERCIALIZACION DE QUESOS TIPO PARIA DE LA ASOCIACION AGROINDUSTRIAL YURAQ WASI DE LA COMUNIDAD CAMPESINA PRIMER JILAHUATA, DISTRITO DE AZANGARO - AZANGARO - PUNO</t>
  </si>
  <si>
    <t>0472536.MEJORAMIENTO DE LA PRODUCCION Y TRANSFORMACION DE FILETE DE TRUCHA DE LA EMPRESA TITIKAKA TROUT PERU SOCIEDAD COMERCIAL DE RESPONSABILIDAD LIMITADA, DISTRITO DE POMATA - CHUCUITO - PUNO</t>
  </si>
  <si>
    <t>027.ACUICULTURA</t>
  </si>
  <si>
    <t>0054.FOMENTO DE LA PRODUCCION ACUICOLA</t>
  </si>
  <si>
    <t>0472537.MEJORAMIENTO DE LA PRODUCCION Y COMERCIALIZACION DE ARTESANIA DE FIBRA DE ALPACA Y LANA DE OVINO EN LA ASOCIACION DE ARTESANOS EMPRENDEDORES EN la TEXTILERIA SAN JUAN BAUTISTA DE NAPA ROSASPATA, DISTRITO DE ROSASPATA - HUANCANE - PUNO</t>
  </si>
  <si>
    <t>0472538.MEJORAMIENTO DE LA TRANSFORMACION Y COMERCIALIZACION DE HILOS Y PRENDAS DE TONOS Y TENIDOS NATURALES DE FIBRA DE ALPACA EN LA ASOCIACION DE ARTESANAS KISWAR TIKA, DISTRITO DE OCUVIRI - LAMPA - PUNO</t>
  </si>
  <si>
    <t>05.OCUVIRI</t>
  </si>
  <si>
    <t>0472539.MEJORAMIENTO DE LA CAPACIDAD PRODUCTIVA DE HELADOS ARTESANALES A BASE DE GRANOS ANDINOS DEL GRUPO DE PRODUCTORES, COMERCIALIZACION Y TRANSFORMACION DE CEREALES ANDINOS SAN SANTIAGO S.A.C., DISTRITO DE PUNO - PUNO - PUNO</t>
  </si>
  <si>
    <t>0472540.MEJORAMIENTO DE VACUNO EN PIE EN LA ASOCIACION DE PRODUCTORES AGROPECUARIOS FLORES ANDINOS ANCCACCA PICHACANI, LARAQUERI, DISTRITO PICHACANI - PUNO - PUNO</t>
  </si>
  <si>
    <t>0473272.MEJORAMIENTO DEL SERVICIO DE EDUCACION SECUNDARIA EN I.E. SAN FRANCISCO DE BORJA, DISTRITO DE TARACO - HUANCANE - PUNO</t>
  </si>
  <si>
    <t>6000006.ADQUISICION DE MOBILIARIO</t>
  </si>
  <si>
    <t>0433330.ADQUISICION DE EQUIPAMIENTO DE AMBIENTES COMPLEMENTARIOS Y MOBILIARIO DE AULA; EN LA I.E. EL CENTENARIO DISTRITO DE PUTINA - SAN ANTONIO DE PUTINA - PUNO</t>
  </si>
  <si>
    <t>077.MODULO</t>
  </si>
  <si>
    <t>2.ASEO,  LIMPIEZA Y COCINA</t>
  </si>
  <si>
    <t>0427923.ADQUISICION DE INCUBADORA NEONATAL Y CUNA DE CALOR RADIANTE; EN EL EESS YUNGUYO - YUNGUYO EN LA LOCALIDAD YUNGUYO, DISTRITO YUNGUYO - YUNGUYO - PUNO</t>
  </si>
  <si>
    <t>2623682.RENOVACION DE AULA DE EDUCACION SUPERIOR PEDAGOGICA, LABORATORIO Y/O TALLER Y AMBIENTE COMPLEMENTARIO; REPARACION DE CERCO Y/O PORTADA; ADEMAS DE OTROS ACTIVOS EN EL(LA) INSTITUTO DE EDUCACION SUPERIOR PEDAGOGICO HUANCANE DEL DISTRITO DE HUANCANE,</t>
  </si>
  <si>
    <t>0423774.RENOVACION DE AULA DE EDUCACION SUPERIOR PEDAGOGICA, LABORATORIO Y/O TALLER Y AMBIENTE COMPLEMENTARIO; REPARACION DE CERCO Y/O PORTADA; ADEMAS DE OTROS ACTIVOS EN EL IESP HUANCANE. DISTRITO HUANCANE - HUANCANE - PUNO</t>
  </si>
  <si>
    <t>5001253.TRANSFERENCIA DE RECURSOS PARA LA EJECUCION DE PROYECTOS DE INVERSION</t>
  </si>
  <si>
    <t>2.DONACIONES Y TRANSFERENCIAS DE CAPITAL</t>
  </si>
  <si>
    <t>3.A OTRAS UNIDADES DEL GOBIERNO LOCAL</t>
  </si>
  <si>
    <t>0038911.TRANSFERENCIA FINANCIERA PARA PROYECTOS DE INVERSION</t>
  </si>
  <si>
    <t>011.TRANSFERENCIAS E INTERMEDIACION FINANCIERA</t>
  </si>
  <si>
    <t>0019.TRANSFERENCIAS DE CARACTER GENERAL</t>
  </si>
  <si>
    <t>180.TRANSFERENCIAS FINANCIERAS</t>
  </si>
  <si>
    <t>0248890.MEJORAMIENTO DE LOS SERVICIOS DE APOYO A LA CADENA PRODUCTIVA DE CAFES ESPECIALES EN LOS DISTRITOS DE COASA, ITUATA, OLLACHEA, USICAYOS, LIMBANI, PATAMBUCO Y PHARA, MULTIDISTRITAL - MULTIPROVINCIAL - PUNO</t>
  </si>
  <si>
    <t>0121.MEJORA DE LA ARTICULACION DE PEQUEÑOS PRODUCTORES AL MERCADO</t>
  </si>
  <si>
    <t>010.EFICIENCIA DE MERCADOS</t>
  </si>
  <si>
    <t>0018.EFICIENCIA DE MERCADOS</t>
  </si>
  <si>
    <t>0362167.MEJORAMIENTO DEL SERVICIO EDUCATIVO EN LA INSTITUCION EDUCATIVA PRIMARIA Nº 70815, DISTRITO DE ORURILLO - MELGAR - PUNO</t>
  </si>
  <si>
    <t>0362168.MEJORAMIENTO DEL SERVICIO EDUCATIVO EN LA INSTITUCION EDUCATIVA PRIMARIA Nº 72637, DISTRITO DE ORURILLO - MELGAR - PUNO</t>
  </si>
  <si>
    <t>2440946.MEJORAMIENTO DEL SERVICIO DE TRANSITABILIDAD VEHICULAR DE LA CARRETERA TRAMO ACHAYA (PU-140) - ESTRELLA (EMP. PE- 3S) DEL DISTRITO DE ACHAYA - PROVINCIA DE AZANGARO - DEPARTAMENTO DE PUNO</t>
  </si>
  <si>
    <t>2714049.REPARACION DE CAMPO DEPORTIVO; EN EL(LA) POLIDEPORTIVO AZANGARO DISTRITO DE AZANGARO, PROVINCIA AZANGARO, DEPARTAMENTO PUNO</t>
  </si>
  <si>
    <t>2681029.MEJORAMIENTO DEL SERVICIO DE EDUCACION SECUNDARIA EN I.E. CESAR VALLEJO DISTRITO DE HUANCANE DE LA PROVINCIA DE HUANCANE DEL DEPARTAMENTO DE PUNO</t>
  </si>
  <si>
    <t>3.AL GOBIERNO LOCAL</t>
  </si>
  <si>
    <t>2518131.AMPLIACION Y MEJORAMIENTO DE LOS SERVICIOS DE ADMINISTRACION DE JUSTICIA DE LOS ORGANOS JURISDICCIONALES DE LA SEDE CENTRAL DEL DISTRITO JUDICIAL DE PUNO, DISTRITO DE PUNO - PROVINCIA DE PUNO - DEPARTAMENTO DE PUNO</t>
  </si>
  <si>
    <t>6000001.EXPEDIENTE TECNICO</t>
  </si>
  <si>
    <t>0413474.AMPLIACION Y MEJORAMIENTO DE LOS SERVICIOS DE ADMINISTRACION DE JUSTICIA DE LOS ORGANOS JURISDICCIONALES DE LA SEDE CENTRAL DEL DISTRITO JUDICIAL DE PUNO, DISTRITO PUNO - PUNO - PUNO</t>
  </si>
  <si>
    <t>06.JUSTICIA</t>
  </si>
  <si>
    <t>017.ADMINISTRACION DE JUSTICIA</t>
  </si>
  <si>
    <t>2230752.MEJORAMIENTO DE LOS SERVICIOS ASISTENCIALES DE LA ALDEA INFANTIL VIRGEN DE LA CANDELARIA EN EL BARRIO LA RINCONADA DEL CENTRO POBLADO DE SALCEDO, DISTRITO DE PUNO, PROVINCIA DE PUNO, REGION DE PUNO</t>
  </si>
  <si>
    <t>4000203.AMPLIACION DE INSTALACIONES DE VIVIENDA</t>
  </si>
  <si>
    <t>0114025.MEJORAMIENTO DE LOS SERVICIOS ASISTENCIALES DE LA ALDEA INFANTIL VIRGEN DE LA CANDELARIA EN EL BARRIO LA RINCONADA DEL CENTRO POBLADO DE SALCEDO, DISTRITO DE PUNO, PROVINCIA DE PUNO, REGION DE PUNO</t>
  </si>
  <si>
    <t>0363771.MEJORAMIENTO DEL SERVICIO DE TRANSITABILIDAD VEHICULAR DE LA CARRETERA TRAMO ACHAYA (PU-140) - ESTRELLA (EMP. PE- 3S), DISTRITO DE ACHAYA - AZANGARO - PUNO</t>
  </si>
  <si>
    <t>2639523.ADQUISICION DE TOMOGRAFO COMPUTARIZADO MULTICORTE; EN EL(LA) CARLOS MONJE MEDRANO DISTRITO DE JULIACA, PROVINCIA SAN ROMAN, DEPARTAMENTO PUNO</t>
  </si>
  <si>
    <t>0427846.ADQUISICION DE TOMOGRAFO COMPUTARIZADO MULTICORTE; EN EL EESS CARLOS MONJE MEDRANO, DISTRITO JULIACA - SAN ROMAN - PUNO</t>
  </si>
  <si>
    <t>0476038.REPARACION DE CAMPO DEPORTIVO; EN EL POLIDEPORTIVO AZANGARO, DISTRITO DE AZANGARO - AZANGARO - PUNO</t>
  </si>
  <si>
    <t>0034082.MEJORAMIENTO DE LOS SERVICIOS EDUCATIVOS DE LA INSTITUCION EDUCATIVA SECUNDARIA CESAR VALLEJO DE HUANCANE</t>
  </si>
  <si>
    <t>2695768.REPARACION DE SALA DE CUIDADOS INTENSIVOS; EN EL(LA) CARLOS MONJE MEDRANO DISTRITO DE JULIACA, PROVINCIA SAN ROMAN, DEPARTAMENTO PUNO</t>
  </si>
  <si>
    <t>2681019.MEJORAMIENTO DEL SERVICIO DE EDUCACION SECUNDARIA EN I.E. JOSE OLAYA BALANDRA DISTRITO DE JULIACA DE LA PROVINCIA DE SAN ROMAN DEL DEPARTAMENTO DE PUNO</t>
  </si>
  <si>
    <t>2681037.MEJORAMIENTO DEL SERVICIO DE EDUCACION SECUNDARIA EN I.E. CENTENARIO PATAMBUCO DISTRITO DE PATAMBUCO DE LA PROVINCIA DE SANDIA DEL DEPARTAMENTO DE PUNO</t>
  </si>
  <si>
    <t>MEJORAMIENTO DE LOS SERVICIOS EDUCATIVOS EN LA I.E.I. N 596 MUNAYPATA DEL CENTRO POBLADO DE MUNAYPATA, DISTRITO DE OLLACHEA PROVINCIA DE CARABAYA PUNO</t>
  </si>
  <si>
    <t>2694640.ADQUISICION DE EQUIPO ECOGRAFO, EQUIPO ECOGRAFO, EQUIPO ECOGRAFO Y EQUIPO ECOGRAFO; ADEMAS DE OTROS ACTIVOS EN NUEVE ESTABLECIMIENTOS DE SALUD I.2, ESTABLECIMIENTOS DE SALUD I.3, ESTABLECIMIENTOS DE SALUD I.1 A NIVEL PROVINCIAL (PUNO - MELGAR)</t>
  </si>
  <si>
    <t>2694772.ADQUISICION DE ANALIZADOR BIOQUIMICO SEMI AUTOMATICO, DETECTOR DE LATIDOS FETALES (TELEMEDICINA), ANALIZADOR BIOQUIMICO SEMI AUTOMATICO Y ANALIZADOR BIOQUIMICO SEMI AUTOMATICO; ADEMAS DE OTROS ACTIVOS EN CATORCE ESTABLECIMIENTOS DE SALUD I.2, ESTA</t>
  </si>
  <si>
    <t>ANEXO N° 02</t>
  </si>
  <si>
    <t>2681054.MEJORAMIENTO DEL SERVICIO DE EDUCACION PRIMARIA EN I.E. 70291 DISTRITO DE HUACULLANI DE LA PROVINCIA DE CHUCUITO DEL DEPARTAMENTO DE PUNO</t>
  </si>
  <si>
    <t>2700348.MEJORAMIENTO DEL SERVICIO DE EDUCACION PRIMARIA EN I.E. 70288 DISTRITO DE DESAGUADERO DE LA PROVINCIA DE CHUCUITO DEL DEPARTAMENTO DE PUNO</t>
  </si>
  <si>
    <t>2714101.REMODELACION DE AMBIENTE ADMINISTRATIVO; CONSTRUCCION DE AMBIENTE COMPLEMENTARIO; ADQUISICION DE EMBARCACION Y BARCAZA; ADEMAS DE OTROS ACTIVOS EN EL(LA) CENTRO ACUICOLA DE LLAQUEPA Y BARCO - DIREPRO DISTRITO DE CHUCUITO, PROVINCIA PUNO, DEPARTAME</t>
  </si>
  <si>
    <t>2630072.CREACION DEL SERVICIO DE PRACTICA DEPORTIVA Y/O RECREATIVA EN COLISEO CERRADO DE AYAPATA DISTRITO DE AYAPATA DE LA PROVINCIA DE CARABAYA DEL DEPARTAMENTO DE PUNO</t>
  </si>
  <si>
    <t>2727355.CONSTRUCCION DE CAMPO DEPORTIVO SINGULAR; REFORZAMIENTO ESTRUCTURAL DE CAMPO DEPORTIVO Y ESPACIO DEPORTIVO CON COBERTURA; EN EL(LA) I.E. 73001 DISTRITO DE AZANGARO, PROVINCIA AZANGARO, DEPARTAMENTO PUNO</t>
  </si>
  <si>
    <t>2501244.MEJORAMIENTO DEL SERVICIO EDUCATIVO DEL NIVEL SECUNDARIA DE LA I.E. AGROPECUARIO PAMPA YANAMAYO DEL DISTRITO DE ALTO INAMBARI - PROVINCIA DE SANDIA - DEPARTAMENTO DE PUNO</t>
  </si>
  <si>
    <t>2721991.RENOVACION DE AULA DE EDUCACION PRIMARIA, AMBIENTE ADMINISTRATIVO, SERVICIOS HIGIENICOS Y/O VESTIDORES Y AMBIENTE DE USOS MULTIPLES; ADEMAS DE OTROS ACTIVOS EN CUATRO II.EE. PRIMARIA A NIVEL DISTRITAL (PUNO - SANDIA - SAN PEDRO DE PUTINA PUNCO)</t>
  </si>
  <si>
    <t>2721892.CONSTRUCCION DE AULA DE EDUCACION SECUNDARIA, AMBIENTE ADMINISTRATIVO Y SERVICIOS HIGIENICOS Y/O VESTIDORES; ADQUISICION DE MOBILIARIO DE AULA; EN EL(LA) IE PUERTO DE EDEN DISTRITO DE SAN PEDRO DE PUTINA PUNCO, PROVINCIA SANDIA, DEPARTAMENTO PUNO</t>
  </si>
  <si>
    <t>2719529.RENOVACION DE AULA DE EDUCACION PRIMARIA, SERVICIOS HIGIENICOS Y/O VESTIDORES Y AMBIENTE DE USOS MULTIPLES; ADQUISICION DE MOBILIARIO DE AULA; EN TRES II.EE. PRIMARIA A NIVEL DISTRITAL (PUNO - SANDIA - ALTO INAMBARI)</t>
  </si>
  <si>
    <t>2723359.CONSTRUCCION DE AULA DE EDUCACION SECUNDARIA; ADQUISICION DE MOBILIARIO DE AULA; EN EL(LA) IE SECUNDARIA SANTA ROSA DISTRITO DE ALTO INAMBARI, PROVINCIA SANDIA, DEPARTAMENTO PUNO</t>
  </si>
  <si>
    <t>2721888.CONSTRUCCION DE AULA DE EDUCACION SECUNDARIA; ADQUISICION DE MOBILIARIO DE AULA; EN EL(LA) IE I.E. SECUNDARIA JOSE MARIA ARGUEDAS EN LA LOCALIDAD CCAPUNA, DISTRITO DE SANDIA, PROVINCIA SANDIA, DEPARTAMENTO PUNO</t>
  </si>
  <si>
    <t>2721886.CONSTRUCCION DE AULA DE EDUCACION INICIAL; ADQUISICION DE MOBILIARIO DE AULA; EN EL(LA) IE INICIAL N° 1048 DE HUENCALLA DISTRITO DE SANDIA, PROVINCIA SANDIA, DEPARTAMENTO PUNO</t>
  </si>
  <si>
    <t>2721889.CONSTRUCCION DE AULA DE EDUCACION INICIAL Y AMBIENTE ADMINISTRATIVO; ADQUISICION DE MOBILIARIO DE AULA Y EQUIPAMIENTO DE AULA; EN EL(LA) IE 1027 EN LA LOCALIDAD ISILLUMA, DISTRITO DE ALTO INAMBARI, PROVINCIA SANDIA, DEPARTAMENTO PUNO</t>
  </si>
  <si>
    <t>2729834.CONSTRUCCION DE AULA DE EDUCACION PRIMARIA, SERVICIOS HIGIENICOS Y/O VESTIDORES PARA ESTUDIANTES Y AMBIENTE DE GESTION ADMINISTRATIVA Y DIRECCION; ADQUISICION DE MOBILIARIO DE AULA; EN EL(LA) I.E. 72544 DISTRITO DE ALTO INAMBARI, PROVINCIA SANDIA,</t>
  </si>
  <si>
    <t>2650804.MEJORAMIENTO DEL SERVICIO DE EDUCACION PRIMARIA EN I.E. 73010 DISTRITO DE SAN PEDRO DE PUTINA PUNCO DE LA PROVINCIA DE SANDIA DEL DEPARTAMENTO DE PUNO</t>
  </si>
  <si>
    <t>2658446.PROYECTOS PARA EL DESARROLLO LOCAL</t>
  </si>
  <si>
    <t>2681015.CREACION DEL SERVICIO DE EDUCACION SUPERIOR TECNOLOGICA EN INSTITUTO SUPERIOR TECNOLOGICO MARIANO CHANCATUMA EN LA LOCALIDAD DE ASILLO DISTRITO DE ASILLO DE LA PROVINCIA DE AZANGARO DEL DEPARTAMENTO DE PUNO</t>
  </si>
  <si>
    <t>2681358.MEJORAMIENTO Y AMPLIACION DEL SERVICIO DE PROVISION DE AGUA PARA RIEGO EN LOS SECTORES DE ALBERTONI Y AGUADA DE LA COMUNIDAD DE LLUSTA, DISTRITO DE SANTA ROSA DE LA PROVINCIA DE EL COLLAO DEL DEPARTAMENTO DE PUNO</t>
  </si>
  <si>
    <t>2730957.ADQUISICION DE UNIDAD DENTAL Y AUTOCLAVE; EN EL(LA) ANANEA DISTRITO DE ANANEA, PROVINCIA SAN ANTONIO DE PUTINA, DEPARTAMENTO PUNO</t>
  </si>
  <si>
    <t>413-1759: SALUD SAN ANTONIO DE PUTINA</t>
  </si>
  <si>
    <t>2718285.CONSTRUCCION DE ESPACIO DEPORTIVO CON COBERTURA, ESPACIO DEPORTIVO SIN COBERTURA Y ESPACIO DE CIRCULACION INTERIOR ; EN EL(LA) I.E. JOSE ANTONIO ENCINAS DISTRITO DE JULIACA, PROVINCIA SAN ROMAN, DEPARTAMENTO PUNO</t>
  </si>
  <si>
    <t>2730161.RENOVACION DE AULA DE EDUCACION PRIMARIA; ADQUISICION DE EQUIPAMIENTO DE AULA, EQUIPAMIENTO DE TALLER Y MOBILIARIO DE AULA; EN EL(LA) I.E. 70617 CESAR VALLEJO DISTRITO DE JULIACA, PROVINCIA SAN ROMAN, DEPARTAMENTO PUNO</t>
  </si>
  <si>
    <t>2727133.CONSTRUCCION DE PUENTE; EN EL(LA) CARRETERA PU 588 - ACCESO AL CENTRO POBLADO DE CURVA ALEGRE (PUENTE NUEVA ESPERANZA), DISTRITO DE SAN PEDRO DE PUTINA PUNCO, PROVINCIA SANDIA, DEPARTAMENTO PUNO</t>
  </si>
  <si>
    <t>2727299.CONSTRUCCION DE PUENTE; EN EL(LA) CARRETERA R211223 EN ACCESO AL C.P. VICTORIA, DISTRITO DE SAN PEDRO DE PUTINA PUNCO, PROVINCIA SANDIA, DEPARTAMENTO PUNO</t>
  </si>
  <si>
    <t>2719323.REPARACION DE CONSULTORIO, LABORATORIO, ALMACEN O DEPOSITO Y AMBIENTE COMPLEMENTARIO; ADEMAS DE OTROS ACTIVOS EN EL(LA) CUTURAPI DISTRITO DE CUTURAPI, PROVINCIA YUNGUYO, DEPARTAMENTO PUNO</t>
  </si>
  <si>
    <t>2733644.ADQUISICION DE PATRULLEROS Y PATRULLEROS; EN EL(LA) FRENTE POLICIAL PUNO - COMISARIAS EN LAS 13 PROVINCIAS DE LA REGION PUNO, DISTRITO DE PUNO, PROVINCIA PUNO, DEPARTAMENTO PUNO</t>
  </si>
  <si>
    <t>TOTAL G.R. DESARROLLO ECONOMICO</t>
  </si>
  <si>
    <t>TOTAL G.R. AUTORIDAD AMBIENTAL</t>
  </si>
  <si>
    <t>GERENCIA REGIONAL DE AUTORIDAD AMBIENTAL</t>
  </si>
  <si>
    <t>TOTAL P.E.T.T.</t>
  </si>
  <si>
    <t>TOTAL P.E.C.S.A.</t>
  </si>
  <si>
    <t>TOTAL G.R. DESARROLLO SOCIAL</t>
  </si>
  <si>
    <t>TOTAL D. ESTUDIOS DE PRE-INVERSION</t>
  </si>
  <si>
    <t>EJECUCIÓN POR ADMINISTRACIÓN DIRECTA - DIRECTIVA 10</t>
  </si>
  <si>
    <t>ANEXO N° 03</t>
  </si>
  <si>
    <t>ANEXO N° 04</t>
  </si>
  <si>
    <t>ANEXO N° 05</t>
  </si>
  <si>
    <t>ANEXO N° 06</t>
  </si>
  <si>
    <t>ANEXO N° 07</t>
  </si>
  <si>
    <t>CERTIFICACIÓN      (B)</t>
  </si>
  <si>
    <t>CERTIFICACIÓN           (B)</t>
  </si>
  <si>
    <t>GERENCIA</t>
  </si>
  <si>
    <t>U.E. 001 SEDE CENTRAL</t>
  </si>
  <si>
    <t>TOTAL U.E. 001 SEDE CENTRAL</t>
  </si>
  <si>
    <t>G.R. DESARROLLO ECONOMICO</t>
  </si>
  <si>
    <t>G. R. INFRESTRUCTURA</t>
  </si>
  <si>
    <t>G.R. AUTORIDAD AMBIENTAL</t>
  </si>
  <si>
    <t>P.E.T.T.</t>
  </si>
  <si>
    <t>P.E.C.S.A.</t>
  </si>
  <si>
    <t>G.R. DESARROLLO SOCIAL</t>
  </si>
  <si>
    <t>D. ESTUDIOS DE PRE-INVERSION</t>
  </si>
  <si>
    <t>%                   DEVEN</t>
  </si>
  <si>
    <t>%                 SIN               CERTIFICAR</t>
  </si>
  <si>
    <t xml:space="preserve">  COMPORTAMIENTO DE EJECUCIÓN DE  PROYECTOS DE INVERSION PUBLICA DEL AÑO FISCAL 2026 DE GERENCIAS REGIONALES</t>
  </si>
  <si>
    <t>PLIEGO 458 - GOBIERNO REGIONAL PUNO</t>
  </si>
  <si>
    <t>%                 SIN               DEVENGAR</t>
  </si>
  <si>
    <t xml:space="preserve">2650473.CONSTRUCCION DE AULA DE EDUCACION SECUNDARIA, LABORATORIO Y/O TALLER, CERCO Y/O PORTADA Y SERVICIOS HIGIENICOS Y/O VESTIDORES; ADEMAS DE OTROS ACTIVOS EN EL(LA) I.E. AGROINDUSTRIAL DISTRITO DE PUTINA, PROVINCIA SAN ANTONIO DE PUTINA, DEPARTAMENTO </t>
  </si>
  <si>
    <t>2313145.MEJORAMIENTO DEL MANEJO SOSTENIBLE DE VICUÑAS EN ZONAS ALTOANDINAS DE LA REGION PUNO</t>
  </si>
  <si>
    <t>2681133.MEJORAMIENTO DE LA PRODUCCION DE QUESOS TIPO PARIA PASTEURIZADO DE LA CENTRAL DE ASOCIACIONES GANADEROS LECHEROS Y AGRARIOS DEL DISTRITO DE VILQUE, DISTRITO DE VILQUE, PROVINCIA DE PUNO, REGION PUNO</t>
  </si>
  <si>
    <t>2681074.MEJORAMIENTO DEL SERVICIO DE ATENCION DE SALUD BASICOS EN ALTO PAVITA DISTRITO DE ZEPITA DE LA PROVINCIA DE CHUCUITO DEL DEPARTAMENTO DE PUNO</t>
  </si>
  <si>
    <t xml:space="preserve">  COMPORTAMIENTO DE EJECUCIÓN DE  PROYECTOS DE INVERSION PUBLICA DEL AÑO FISCAL 2026 DE GERENCIAS REGIONALES Y UNIDADES EJECUTORAS 16/09/2026</t>
  </si>
  <si>
    <t>AL 16/09/2026</t>
  </si>
  <si>
    <t>ANEXO N° 08</t>
  </si>
  <si>
    <t>ANEXO N° 09</t>
  </si>
  <si>
    <t>ANEXO N° 10</t>
  </si>
  <si>
    <t>ANEXO N° 11</t>
  </si>
  <si>
    <t>TOTAL PESQUERIA</t>
  </si>
  <si>
    <t>TOTAL PRORRIDRE</t>
  </si>
  <si>
    <t>TOTAL PRADERA</t>
  </si>
  <si>
    <t>TOTAL AGRICULTURA</t>
  </si>
  <si>
    <t>U.E. OTROS SECTORES</t>
  </si>
  <si>
    <t>TOTAL OTROS SECTORES</t>
  </si>
  <si>
    <t>002 PESQUERIA</t>
  </si>
  <si>
    <t>003 PRORRIDRE</t>
  </si>
  <si>
    <t>005 PRADERA</t>
  </si>
  <si>
    <t>100 AGRICULTURA</t>
  </si>
  <si>
    <t>TOTAL EDUCACIÓN MELGAR</t>
  </si>
  <si>
    <t>302 EDUCACIÓN MELGAR</t>
  </si>
  <si>
    <t xml:space="preserve">  COMPORTAMIENTO DE EJECUCIÓN DE  PROYECTOS DE INVERSION PUBLICA DEL AÑO FISCAL 2026 DE UNIDADES EJECUTORAS</t>
  </si>
  <si>
    <t>UNIDAD EJECUTORA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</si>
</sst>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 #,##0.00_ ;_ * \-#,##0.00_ ;_ * &quot;-&quot;??_ ;_ @_ "/>
    <numFmt numFmtId="165" formatCode="#,##0_ ;[Red]\-#,##0\ "/>
    <numFmt numFmtId="167" formatCode="0.0%"/>
  </numFmts>
  <fonts count="5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b/>
      <sz val="14"/>
      <name val="Arial"/>
      <family val="2"/>
    </font>
    <font>
      <sz val="10"/>
      <name val="Arial"/>
      <family val="2"/>
    </font>
    <font>
      <sz val="14"/>
      <name val="Arial"/>
      <family val="2"/>
    </font>
    <font>
      <sz val="10"/>
      <name val="Arial"/>
      <family val="2"/>
    </font>
    <font>
      <sz val="13"/>
      <name val="Arial"/>
      <family val="2"/>
    </font>
    <font>
      <b/>
      <sz val="13"/>
      <name val="Arial"/>
      <family val="2"/>
    </font>
    <font>
      <sz val="10"/>
      <name val="Arial"/>
      <family val="2"/>
    </font>
    <font>
      <b/>
      <sz val="10"/>
      <name val="Arial"/>
      <family val="2"/>
    </font>
    <font>
      <sz val="10"/>
      <name val="Arial Narrow"/>
      <family val="2"/>
    </font>
    <font>
      <sz val="8"/>
      <name val="Arial"/>
      <family val="2"/>
    </font>
    <font>
      <sz val="9"/>
      <name val="Arial"/>
      <family val="2"/>
    </font>
    <font>
      <sz val="11"/>
      <name val="Arial"/>
      <family val="2"/>
    </font>
    <font>
      <b/>
      <sz val="10"/>
      <name val="Arial Narrow"/>
      <family val="2"/>
    </font>
    <font>
      <b/>
      <sz val="11"/>
      <name val="Arial Narrow"/>
      <family val="2"/>
    </font>
    <font>
      <sz val="13"/>
      <name val="Arial Narrow"/>
      <family val="2"/>
    </font>
    <font>
      <b/>
      <sz val="15"/>
      <name val="Arial Narrow"/>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name val="Arial Narrow"/>
      <family val="2"/>
    </font>
    <font>
      <b/>
      <sz val="12"/>
      <color theme="1"/>
      <name val="Arial Narrow"/>
      <family val="2"/>
    </font>
    <font>
      <sz val="12"/>
      <name val="Arial Narrow"/>
      <family val="2"/>
    </font>
    <font>
      <b/>
      <sz val="11"/>
      <name val="Arial"/>
      <family val="2"/>
    </font>
    <font>
      <sz val="12"/>
      <name val="Arial"/>
      <family val="2"/>
    </font>
    <font>
      <b/>
      <sz val="8"/>
      <name val="Arial Narrow"/>
      <family val="2"/>
    </font>
    <font>
      <sz val="7"/>
      <name val="Arial Narrow"/>
      <family val="2"/>
    </font>
    <font>
      <sz val="7"/>
      <name val="Arial"/>
      <family val="2"/>
    </font>
    <font>
      <b/>
      <u/>
      <sz val="14"/>
      <name val="Arial"/>
      <family val="2"/>
    </font>
    <font>
      <b/>
      <sz val="2"/>
      <name val="Arial"/>
      <family val="2"/>
    </font>
    <font>
      <b/>
      <sz val="13"/>
      <color theme="0"/>
      <name val="Arial"/>
      <family val="2"/>
    </font>
    <font>
      <b/>
      <sz val="13"/>
      <color theme="1"/>
      <name val="Arial Narrow"/>
      <family val="2"/>
    </font>
    <font>
      <sz val="11"/>
      <name val="Arial Narrow"/>
      <family val="2"/>
    </font>
    <font>
      <b/>
      <u/>
      <sz val="11"/>
      <name val="Arial Narrow"/>
      <family val="2"/>
    </font>
    <font>
      <b/>
      <sz val="10"/>
      <color theme="1"/>
      <name val="Arial Narrow"/>
      <family val="2"/>
    </font>
    <font>
      <b/>
      <sz val="12"/>
      <color theme="0"/>
      <name val="Arial Narrow"/>
      <family val="2"/>
    </font>
    <font>
      <b/>
      <sz val="12"/>
      <color theme="0"/>
      <name val="Arial"/>
      <family val="2"/>
    </font>
    <font>
      <sz val="10"/>
      <color theme="0"/>
      <name val="Arial"/>
      <family val="2"/>
    </font>
    <font>
      <b/>
      <sz val="10"/>
      <color theme="0"/>
      <name val="Arial"/>
      <family val="2"/>
    </font>
    <font>
      <sz val="8"/>
      <name val="Arial Narrow"/>
      <family val="2"/>
    </font>
    <font>
      <b/>
      <sz val="11"/>
      <color theme="0"/>
      <name val="Arial Narrow"/>
      <family val="2"/>
    </font>
    <font>
      <b/>
      <sz val="11"/>
      <color theme="0"/>
      <name val="Arial"/>
      <family val="2"/>
    </font>
    <font>
      <b/>
      <sz val="9"/>
      <name val="Arial Narrow"/>
      <family val="2"/>
    </font>
  </fonts>
  <fills count="45">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rgb="FF00B0F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rgb="FF002060"/>
        <bgColor indexed="64"/>
      </patternFill>
    </fill>
    <fill>
      <patternFill patternType="solid">
        <fgColor theme="5" tint="0.39997558519241921"/>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right/>
      <top style="thin">
        <color rgb="FF999999"/>
      </top>
      <bottom/>
      <diagonal/>
    </border>
    <border>
      <left/>
      <right style="thin">
        <color rgb="FF999999"/>
      </right>
      <top style="thin">
        <color rgb="FF999999"/>
      </top>
      <bottom/>
      <diagonal/>
    </border>
    <border>
      <left style="thin">
        <color rgb="FF999999"/>
      </left>
      <right/>
      <top style="thin">
        <color indexed="65"/>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thin">
        <color indexed="64"/>
      </left>
      <right style="thin">
        <color theme="0" tint="-4.9989318521683403E-2"/>
      </right>
      <top style="thin">
        <color indexed="64"/>
      </top>
      <bottom/>
      <diagonal/>
    </border>
    <border>
      <left style="thin">
        <color indexed="64"/>
      </left>
      <right style="thin">
        <color theme="0" tint="-4.9989318521683403E-2"/>
      </right>
      <top/>
      <bottom style="thin">
        <color indexed="64"/>
      </bottom>
      <diagonal/>
    </border>
    <border>
      <left style="thin">
        <color theme="0" tint="-4.9989318521683403E-2"/>
      </left>
      <right/>
      <top style="thin">
        <color indexed="64"/>
      </top>
      <bottom/>
      <diagonal/>
    </border>
    <border>
      <left style="thin">
        <color theme="0" tint="-4.9989318521683403E-2"/>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theme="0" tint="-4.9989318521683403E-2"/>
      </right>
      <top/>
      <bottom style="thin">
        <color indexed="64"/>
      </bottom>
      <diagonal/>
    </border>
    <border>
      <left/>
      <right style="thin">
        <color theme="0" tint="-4.9989318521683403E-2"/>
      </right>
      <top style="thin">
        <color indexed="64"/>
      </top>
      <bottom style="thin">
        <color indexed="64"/>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right style="thin">
        <color theme="0"/>
      </right>
      <top style="thin">
        <color indexed="64"/>
      </top>
      <bottom/>
      <diagonal/>
    </border>
    <border>
      <left/>
      <right style="thin">
        <color theme="0"/>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indexed="64"/>
      </top>
      <bottom/>
      <diagonal/>
    </border>
    <border>
      <left style="thin">
        <color theme="0"/>
      </left>
      <right style="thin">
        <color theme="0"/>
      </right>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2">
    <xf numFmtId="0" fontId="0" fillId="0" borderId="0"/>
    <xf numFmtId="0" fontId="5" fillId="0" borderId="0"/>
    <xf numFmtId="0" fontId="7" fillId="0" borderId="0"/>
    <xf numFmtId="9" fontId="5" fillId="0" borderId="0" applyFont="0" applyFill="0" applyBorder="0" applyAlignment="0" applyProtection="0"/>
    <xf numFmtId="0" fontId="10" fillId="0" borderId="0"/>
    <xf numFmtId="9" fontId="10" fillId="0" borderId="0" applyFon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10" applyNumberFormat="0" applyFill="0" applyAlignment="0" applyProtection="0"/>
    <xf numFmtId="0" fontId="23" fillId="0" borderId="11" applyNumberFormat="0" applyFill="0" applyAlignment="0" applyProtection="0"/>
    <xf numFmtId="0" fontId="23" fillId="0" borderId="0" applyNumberFormat="0" applyFill="0" applyBorder="0" applyAlignment="0" applyProtection="0"/>
    <xf numFmtId="0" fontId="24" fillId="6" borderId="0" applyNumberFormat="0" applyBorder="0" applyAlignment="0" applyProtection="0"/>
    <xf numFmtId="0" fontId="25" fillId="7" borderId="0" applyNumberFormat="0" applyBorder="0" applyAlignment="0" applyProtection="0"/>
    <xf numFmtId="0" fontId="26" fillId="8" borderId="0" applyNumberFormat="0" applyBorder="0" applyAlignment="0" applyProtection="0"/>
    <xf numFmtId="0" fontId="27" fillId="9" borderId="12" applyNumberFormat="0" applyAlignment="0" applyProtection="0"/>
    <xf numFmtId="0" fontId="28" fillId="10" borderId="13" applyNumberFormat="0" applyAlignment="0" applyProtection="0"/>
    <xf numFmtId="0" fontId="29" fillId="10" borderId="12" applyNumberFormat="0" applyAlignment="0" applyProtection="0"/>
    <xf numFmtId="0" fontId="30" fillId="0" borderId="14" applyNumberFormat="0" applyFill="0" applyAlignment="0" applyProtection="0"/>
    <xf numFmtId="0" fontId="31" fillId="11" borderId="15"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17" applyNumberFormat="0" applyFill="0" applyAlignment="0" applyProtection="0"/>
    <xf numFmtId="0" fontId="35"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5"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5"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5"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5"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5"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0" borderId="0"/>
    <xf numFmtId="0" fontId="3" fillId="12" borderId="16" applyNumberFormat="0" applyFont="0" applyAlignment="0" applyProtection="0"/>
    <xf numFmtId="0" fontId="2" fillId="0" borderId="0"/>
    <xf numFmtId="164" fontId="2" fillId="0" borderId="0" applyFont="0" applyFill="0" applyBorder="0" applyAlignment="0" applyProtection="0"/>
    <xf numFmtId="0" fontId="5" fillId="0" borderId="0"/>
    <xf numFmtId="0" fontId="1" fillId="0" borderId="0"/>
  </cellStyleXfs>
  <cellXfs count="276">
    <xf numFmtId="0" fontId="0" fillId="0" borderId="0" xfId="0"/>
    <xf numFmtId="0" fontId="8" fillId="0" borderId="0" xfId="0" applyFont="1" applyAlignment="1">
      <alignment horizontal="center" vertical="center"/>
    </xf>
    <xf numFmtId="165" fontId="6" fillId="0" borderId="0" xfId="0" applyNumberFormat="1" applyFont="1" applyAlignment="1">
      <alignment vertical="center"/>
    </xf>
    <xf numFmtId="0" fontId="15" fillId="0" borderId="0" xfId="0" applyFont="1" applyAlignment="1">
      <alignment horizontal="center" vertical="center"/>
    </xf>
    <xf numFmtId="0" fontId="0" fillId="0" borderId="0" xfId="0" applyAlignment="1">
      <alignment horizontal="center"/>
    </xf>
    <xf numFmtId="0" fontId="8" fillId="0" borderId="1" xfId="0" applyFont="1" applyBorder="1" applyAlignment="1">
      <alignment horizontal="center" vertical="center"/>
    </xf>
    <xf numFmtId="0" fontId="18" fillId="0" borderId="1" xfId="0" applyFont="1" applyBorder="1" applyAlignment="1">
      <alignment vertical="center" wrapText="1"/>
    </xf>
    <xf numFmtId="49" fontId="8" fillId="0" borderId="1" xfId="0" applyNumberFormat="1" applyFont="1" applyBorder="1" applyAlignment="1">
      <alignment horizontal="center" vertical="center"/>
    </xf>
    <xf numFmtId="0" fontId="18" fillId="0" borderId="1" xfId="1" applyFont="1" applyBorder="1" applyAlignment="1">
      <alignment vertical="center" wrapText="1"/>
    </xf>
    <xf numFmtId="0" fontId="9" fillId="0" borderId="1" xfId="0" applyFont="1" applyBorder="1" applyAlignment="1">
      <alignment horizontal="center" vertical="center" wrapText="1"/>
    </xf>
    <xf numFmtId="3" fontId="0" fillId="0" borderId="0" xfId="0" applyNumberFormat="1"/>
    <xf numFmtId="165" fontId="6" fillId="0" borderId="1" xfId="0" applyNumberFormat="1" applyFont="1" applyBorder="1" applyAlignment="1">
      <alignment vertical="center"/>
    </xf>
    <xf numFmtId="0" fontId="8" fillId="0" borderId="0" xfId="0" applyFont="1" applyAlignment="1">
      <alignment horizontal="center" vertical="center" wrapText="1"/>
    </xf>
    <xf numFmtId="0" fontId="0" fillId="0" borderId="0" xfId="0" applyAlignment="1">
      <alignment wrapText="1"/>
    </xf>
    <xf numFmtId="0" fontId="8" fillId="0" borderId="1" xfId="0" applyFont="1" applyBorder="1" applyAlignment="1">
      <alignment horizontal="center" vertical="center" wrapText="1"/>
    </xf>
    <xf numFmtId="165" fontId="6" fillId="0" borderId="1" xfId="0" applyNumberFormat="1" applyFont="1" applyBorder="1" applyAlignment="1">
      <alignment vertical="center" wrapText="1"/>
    </xf>
    <xf numFmtId="165" fontId="6" fillId="0" borderId="1" xfId="0" applyNumberFormat="1" applyFont="1" applyBorder="1" applyAlignment="1">
      <alignment horizontal="right" vertical="center" wrapText="1"/>
    </xf>
    <xf numFmtId="167" fontId="6" fillId="0" borderId="1" xfId="3" applyNumberFormat="1" applyFont="1" applyFill="1" applyBorder="1" applyAlignment="1">
      <alignment horizontal="right" vertical="center" wrapText="1"/>
    </xf>
    <xf numFmtId="165" fontId="4" fillId="0" borderId="0" xfId="0" applyNumberFormat="1" applyFont="1" applyAlignment="1">
      <alignment vertical="center"/>
    </xf>
    <xf numFmtId="167" fontId="6" fillId="0" borderId="1" xfId="3" applyNumberFormat="1" applyFont="1" applyFill="1" applyBorder="1" applyAlignment="1">
      <alignment vertical="center"/>
    </xf>
    <xf numFmtId="167" fontId="0" fillId="0" borderId="0" xfId="0" applyNumberFormat="1" applyAlignment="1">
      <alignment wrapText="1"/>
    </xf>
    <xf numFmtId="167" fontId="4" fillId="0" borderId="0" xfId="3" applyNumberFormat="1" applyFont="1" applyFill="1" applyBorder="1" applyAlignment="1">
      <alignment vertical="center"/>
    </xf>
    <xf numFmtId="167" fontId="0" fillId="0" borderId="0" xfId="0" applyNumberFormat="1"/>
    <xf numFmtId="0" fontId="0" fillId="4" borderId="0" xfId="0" applyFill="1" applyAlignment="1">
      <alignment wrapText="1"/>
    </xf>
    <xf numFmtId="9" fontId="6" fillId="0" borderId="1" xfId="3" applyFont="1" applyFill="1" applyBorder="1" applyAlignment="1">
      <alignment vertical="center"/>
    </xf>
    <xf numFmtId="0" fontId="4" fillId="0" borderId="7" xfId="0" applyFont="1" applyBorder="1" applyAlignment="1">
      <alignment horizontal="right"/>
    </xf>
    <xf numFmtId="0" fontId="0" fillId="37" borderId="0" xfId="0" applyFill="1"/>
    <xf numFmtId="49" fontId="8" fillId="0" borderId="1" xfId="0" applyNumberFormat="1" applyFont="1" applyBorder="1" applyAlignment="1">
      <alignment horizontal="center" vertical="center" wrapText="1"/>
    </xf>
    <xf numFmtId="167" fontId="6" fillId="0" borderId="1" xfId="3" applyNumberFormat="1" applyFont="1" applyFill="1" applyBorder="1" applyAlignment="1">
      <alignment vertical="center" wrapText="1"/>
    </xf>
    <xf numFmtId="9" fontId="6" fillId="0" borderId="1" xfId="3" applyFont="1" applyFill="1" applyBorder="1" applyAlignment="1">
      <alignment vertical="center" wrapText="1"/>
    </xf>
    <xf numFmtId="0" fontId="0" fillId="0" borderId="1" xfId="0" applyBorder="1"/>
    <xf numFmtId="0" fontId="38" fillId="0" borderId="1" xfId="0" applyFont="1" applyBorder="1" applyAlignment="1">
      <alignment vertical="center" wrapText="1"/>
    </xf>
    <xf numFmtId="0" fontId="38" fillId="0" borderId="1" xfId="0" applyFont="1" applyBorder="1" applyAlignment="1">
      <alignment horizontal="left" vertical="center" wrapText="1"/>
    </xf>
    <xf numFmtId="0" fontId="38" fillId="0" borderId="1" xfId="0" applyFont="1" applyBorder="1" applyAlignment="1">
      <alignment horizontal="center" vertical="center" wrapText="1"/>
    </xf>
    <xf numFmtId="49" fontId="8" fillId="5" borderId="1" xfId="0" applyNumberFormat="1" applyFont="1" applyFill="1" applyBorder="1" applyAlignment="1">
      <alignment horizontal="center" vertical="center"/>
    </xf>
    <xf numFmtId="165" fontId="0" fillId="0" borderId="0" xfId="0" applyNumberFormat="1" applyAlignment="1">
      <alignment wrapText="1"/>
    </xf>
    <xf numFmtId="0" fontId="41" fillId="0" borderId="1" xfId="0" applyFont="1" applyBorder="1" applyAlignment="1">
      <alignment horizontal="center" vertical="center" wrapText="1"/>
    </xf>
    <xf numFmtId="0" fontId="42" fillId="0" borderId="1" xfId="0" applyFont="1" applyBorder="1" applyAlignment="1">
      <alignment horizontal="center" vertical="center" wrapText="1"/>
    </xf>
    <xf numFmtId="3" fontId="42" fillId="0" borderId="1" xfId="0" applyNumberFormat="1" applyFont="1" applyBorder="1" applyAlignment="1">
      <alignment horizontal="center" vertical="center" wrapText="1"/>
    </xf>
    <xf numFmtId="0" fontId="42" fillId="0" borderId="1" xfId="0" applyFont="1" applyBorder="1" applyAlignment="1">
      <alignment horizontal="left" vertical="top" wrapText="1"/>
    </xf>
    <xf numFmtId="0" fontId="42" fillId="39" borderId="1" xfId="0" applyFont="1" applyFill="1" applyBorder="1" applyAlignment="1">
      <alignment horizontal="center" vertical="center" wrapText="1"/>
    </xf>
    <xf numFmtId="0" fontId="42" fillId="38" borderId="1" xfId="0" applyFont="1" applyFill="1" applyBorder="1" applyAlignment="1">
      <alignment horizontal="center" vertical="center" wrapText="1"/>
    </xf>
    <xf numFmtId="3" fontId="42" fillId="40" borderId="1" xfId="0" applyNumberFormat="1" applyFont="1" applyFill="1" applyBorder="1" applyAlignment="1">
      <alignment horizontal="center" vertical="center" wrapText="1"/>
    </xf>
    <xf numFmtId="0" fontId="14" fillId="0" borderId="0" xfId="0" applyFont="1"/>
    <xf numFmtId="0" fontId="13" fillId="0" borderId="0" xfId="0" applyFont="1"/>
    <xf numFmtId="3" fontId="43" fillId="0" borderId="1" xfId="0" applyNumberFormat="1" applyFont="1" applyBorder="1"/>
    <xf numFmtId="167" fontId="13" fillId="0" borderId="1" xfId="3" applyNumberFormat="1" applyFont="1" applyBorder="1"/>
    <xf numFmtId="0" fontId="14" fillId="0" borderId="1" xfId="0" applyFont="1" applyBorder="1"/>
    <xf numFmtId="3" fontId="13" fillId="0" borderId="1" xfId="0" applyNumberFormat="1" applyFont="1" applyBorder="1"/>
    <xf numFmtId="3" fontId="43" fillId="40" borderId="1" xfId="0" applyNumberFormat="1" applyFont="1" applyFill="1" applyBorder="1"/>
    <xf numFmtId="3" fontId="13" fillId="40" borderId="1" xfId="0" applyNumberFormat="1" applyFont="1" applyFill="1" applyBorder="1"/>
    <xf numFmtId="0" fontId="14" fillId="40" borderId="1" xfId="0" applyFont="1" applyFill="1" applyBorder="1"/>
    <xf numFmtId="167" fontId="13" fillId="40" borderId="1" xfId="3" applyNumberFormat="1" applyFont="1" applyFill="1" applyBorder="1"/>
    <xf numFmtId="0" fontId="42" fillId="41" borderId="1" xfId="0" applyFont="1" applyFill="1" applyBorder="1" applyAlignment="1">
      <alignment horizontal="center" vertical="center" wrapText="1"/>
    </xf>
    <xf numFmtId="0" fontId="42" fillId="41" borderId="1" xfId="0" applyFont="1" applyFill="1" applyBorder="1" applyAlignment="1">
      <alignment horizontal="left" vertical="top" wrapText="1"/>
    </xf>
    <xf numFmtId="3" fontId="42" fillId="41" borderId="1" xfId="0" applyNumberFormat="1" applyFont="1" applyFill="1" applyBorder="1" applyAlignment="1">
      <alignment horizontal="center" vertical="center" wrapText="1"/>
    </xf>
    <xf numFmtId="0" fontId="0" fillId="0" borderId="0" xfId="0" applyFill="1"/>
    <xf numFmtId="167" fontId="45" fillId="0" borderId="0" xfId="3" applyNumberFormat="1" applyFont="1" applyFill="1" applyBorder="1" applyAlignment="1">
      <alignment vertical="center"/>
    </xf>
    <xf numFmtId="0" fontId="42" fillId="0" borderId="1" xfId="3" applyNumberFormat="1" applyFont="1" applyBorder="1" applyAlignment="1">
      <alignment horizontal="center" vertical="center" wrapText="1"/>
    </xf>
    <xf numFmtId="0" fontId="42" fillId="41" borderId="1" xfId="3" applyNumberFormat="1" applyFont="1" applyFill="1" applyBorder="1" applyAlignment="1">
      <alignment horizontal="center" vertical="center" wrapText="1"/>
    </xf>
    <xf numFmtId="0" fontId="42" fillId="0" borderId="1" xfId="3" applyNumberFormat="1" applyFont="1" applyFill="1" applyBorder="1" applyAlignment="1">
      <alignment horizontal="center" vertical="center" wrapText="1"/>
    </xf>
    <xf numFmtId="0" fontId="38" fillId="42" borderId="1" xfId="0" applyFont="1" applyFill="1" applyBorder="1" applyAlignment="1">
      <alignment vertical="center" wrapText="1"/>
    </xf>
    <xf numFmtId="165" fontId="6" fillId="42" borderId="1" xfId="0" applyNumberFormat="1" applyFont="1" applyFill="1" applyBorder="1" applyAlignment="1">
      <alignment vertical="center" wrapText="1"/>
    </xf>
    <xf numFmtId="0" fontId="46" fillId="0" borderId="1" xfId="0" applyFont="1" applyBorder="1" applyAlignment="1">
      <alignment horizontal="center" vertical="center" wrapText="1"/>
    </xf>
    <xf numFmtId="0" fontId="36" fillId="0" borderId="1" xfId="0" applyFont="1" applyBorder="1" applyAlignment="1">
      <alignment horizontal="center" vertical="center" wrapText="1"/>
    </xf>
    <xf numFmtId="0" fontId="37" fillId="0" borderId="1" xfId="0" applyFont="1" applyBorder="1" applyAlignment="1">
      <alignment horizontal="center" vertical="center" wrapText="1"/>
    </xf>
    <xf numFmtId="49" fontId="36" fillId="0" borderId="1" xfId="0" applyNumberFormat="1" applyFont="1" applyBorder="1" applyAlignment="1">
      <alignment horizontal="center" vertical="center" wrapText="1"/>
    </xf>
    <xf numFmtId="49" fontId="37" fillId="0" borderId="1" xfId="0" applyNumberFormat="1" applyFont="1" applyBorder="1" applyAlignment="1">
      <alignment horizontal="center" vertical="center" wrapText="1"/>
    </xf>
    <xf numFmtId="1" fontId="37" fillId="0" borderId="1" xfId="0" applyNumberFormat="1" applyFont="1" applyBorder="1" applyAlignment="1">
      <alignment horizontal="center" vertical="center" wrapText="1"/>
    </xf>
    <xf numFmtId="49" fontId="9" fillId="0" borderId="1" xfId="0" applyNumberFormat="1" applyFont="1" applyBorder="1" applyAlignment="1">
      <alignment horizontal="center" vertical="center" wrapText="1"/>
    </xf>
    <xf numFmtId="49" fontId="47" fillId="0" borderId="1" xfId="0" applyNumberFormat="1" applyFont="1" applyBorder="1" applyAlignment="1">
      <alignment horizontal="center" vertical="center" wrapText="1"/>
    </xf>
    <xf numFmtId="0" fontId="9" fillId="0" borderId="1" xfId="0" applyFont="1" applyBorder="1" applyAlignment="1">
      <alignment horizontal="center" vertical="center"/>
    </xf>
    <xf numFmtId="165" fontId="0" fillId="0" borderId="0" xfId="0" applyNumberFormat="1"/>
    <xf numFmtId="0" fontId="40" fillId="0" borderId="1" xfId="0" applyFont="1" applyBorder="1" applyAlignment="1">
      <alignment horizontal="center" vertical="center" wrapText="1"/>
    </xf>
    <xf numFmtId="0" fontId="36" fillId="0" borderId="5" xfId="0" applyFont="1" applyBorder="1" applyAlignment="1">
      <alignment vertical="center" wrapText="1"/>
    </xf>
    <xf numFmtId="0" fontId="17" fillId="0" borderId="0" xfId="0" applyFont="1" applyAlignment="1">
      <alignment horizontal="center" vertical="center" wrapText="1"/>
    </xf>
    <xf numFmtId="0" fontId="17" fillId="0" borderId="0" xfId="0" applyFont="1" applyAlignment="1">
      <alignment horizontal="center" vertical="center"/>
    </xf>
    <xf numFmtId="0" fontId="19" fillId="0" borderId="0" xfId="0" applyFont="1" applyAlignment="1">
      <alignment horizontal="center" vertical="center"/>
    </xf>
    <xf numFmtId="0" fontId="40" fillId="0" borderId="1" xfId="0" applyFont="1" applyBorder="1" applyAlignment="1">
      <alignment horizontal="center"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wrapText="1"/>
    </xf>
    <xf numFmtId="0" fontId="38" fillId="0" borderId="1" xfId="1" applyFont="1" applyBorder="1" applyAlignment="1">
      <alignment vertical="center" wrapText="1"/>
    </xf>
    <xf numFmtId="0" fontId="15" fillId="0" borderId="1" xfId="0" applyFont="1" applyBorder="1" applyAlignment="1">
      <alignment horizontal="center" vertical="center" wrapText="1"/>
    </xf>
    <xf numFmtId="0" fontId="0" fillId="0" borderId="0" xfId="0" applyFill="1" applyAlignment="1">
      <alignment wrapText="1"/>
    </xf>
    <xf numFmtId="0" fontId="44" fillId="0" borderId="0" xfId="0" applyFont="1" applyAlignment="1">
      <alignment horizontal="center" vertical="center" wrapText="1"/>
    </xf>
    <xf numFmtId="165" fontId="39" fillId="3" borderId="1" xfId="0" applyNumberFormat="1" applyFont="1" applyFill="1" applyBorder="1" applyAlignment="1">
      <alignment horizontal="right" vertical="center" wrapText="1"/>
    </xf>
    <xf numFmtId="10" fontId="39" fillId="3" borderId="1" xfId="3" applyNumberFormat="1" applyFont="1" applyFill="1" applyBorder="1" applyAlignment="1">
      <alignment horizontal="right" vertical="center" wrapText="1"/>
    </xf>
    <xf numFmtId="165" fontId="39" fillId="4" borderId="1" xfId="0" applyNumberFormat="1" applyFont="1" applyFill="1" applyBorder="1" applyAlignment="1">
      <alignment horizontal="right" vertical="center" wrapText="1"/>
    </xf>
    <xf numFmtId="167" fontId="39" fillId="4" borderId="1" xfId="3" applyNumberFormat="1" applyFont="1" applyFill="1" applyBorder="1" applyAlignment="1">
      <alignment horizontal="right" vertical="center" wrapText="1"/>
    </xf>
    <xf numFmtId="165" fontId="39" fillId="3" borderId="1" xfId="0" applyNumberFormat="1" applyFont="1" applyFill="1" applyBorder="1" applyAlignment="1">
      <alignment vertical="center" wrapText="1"/>
    </xf>
    <xf numFmtId="167" fontId="39" fillId="3" borderId="1" xfId="3" applyNumberFormat="1" applyFont="1" applyFill="1" applyBorder="1" applyAlignment="1">
      <alignment vertical="center" wrapText="1"/>
    </xf>
    <xf numFmtId="165" fontId="15" fillId="44" borderId="1" xfId="0" applyNumberFormat="1" applyFont="1" applyFill="1" applyBorder="1" applyAlignment="1">
      <alignment vertical="center" wrapText="1"/>
    </xf>
    <xf numFmtId="167" fontId="15" fillId="44" borderId="1" xfId="3" applyNumberFormat="1" applyFont="1" applyFill="1" applyBorder="1" applyAlignment="1">
      <alignment vertical="center" wrapText="1"/>
    </xf>
    <xf numFmtId="0" fontId="0" fillId="0" borderId="1" xfId="0" applyFont="1" applyBorder="1" applyAlignment="1">
      <alignment horizontal="center" vertical="center" wrapText="1"/>
    </xf>
    <xf numFmtId="0" fontId="16" fillId="0" borderId="1" xfId="0" applyFont="1" applyBorder="1" applyAlignment="1">
      <alignment horizontal="center" vertical="center" wrapText="1"/>
    </xf>
    <xf numFmtId="165" fontId="0" fillId="0" borderId="1" xfId="0" applyNumberFormat="1" applyFont="1" applyBorder="1" applyAlignment="1">
      <alignment horizontal="right" vertical="center" wrapText="1"/>
    </xf>
    <xf numFmtId="167" fontId="0" fillId="0" borderId="1" xfId="3" applyNumberFormat="1" applyFont="1" applyFill="1" applyBorder="1" applyAlignment="1">
      <alignment horizontal="right" vertical="center" wrapText="1"/>
    </xf>
    <xf numFmtId="0" fontId="50" fillId="0" borderId="1" xfId="0" applyFont="1" applyBorder="1" applyAlignment="1">
      <alignment horizontal="center" vertical="center" wrapText="1"/>
    </xf>
    <xf numFmtId="49" fontId="16" fillId="0" borderId="1" xfId="0" applyNumberFormat="1" applyFont="1" applyBorder="1" applyAlignment="1">
      <alignment horizontal="center" vertical="center" wrapText="1"/>
    </xf>
    <xf numFmtId="49" fontId="50" fillId="0" borderId="1" xfId="0" applyNumberFormat="1" applyFont="1" applyBorder="1" applyAlignment="1">
      <alignment horizontal="center" vertical="center" wrapText="1"/>
    </xf>
    <xf numFmtId="0" fontId="16" fillId="0" borderId="5" xfId="0" applyFont="1" applyBorder="1" applyAlignment="1">
      <alignment vertical="center" wrapText="1"/>
    </xf>
    <xf numFmtId="165" fontId="0" fillId="0" borderId="1" xfId="0" applyNumberFormat="1" applyFont="1" applyBorder="1" applyAlignment="1">
      <alignment vertical="center" wrapText="1"/>
    </xf>
    <xf numFmtId="165" fontId="0" fillId="0" borderId="1" xfId="0" applyNumberFormat="1" applyFont="1" applyFill="1" applyBorder="1" applyAlignment="1">
      <alignment horizontal="right" vertical="center" wrapText="1"/>
    </xf>
    <xf numFmtId="0" fontId="16" fillId="0" borderId="5" xfId="0" applyFont="1" applyBorder="1" applyAlignment="1">
      <alignment horizontal="center" vertical="center" wrapText="1"/>
    </xf>
    <xf numFmtId="165" fontId="17" fillId="3" borderId="1" xfId="0" applyNumberFormat="1" applyFont="1" applyFill="1" applyBorder="1" applyAlignment="1">
      <alignment vertical="center" wrapText="1"/>
    </xf>
    <xf numFmtId="167" fontId="17" fillId="3" borderId="1" xfId="3" applyNumberFormat="1" applyFont="1" applyFill="1" applyBorder="1" applyAlignment="1">
      <alignment vertical="center" wrapText="1"/>
    </xf>
    <xf numFmtId="167" fontId="11" fillId="0" borderId="1" xfId="3" applyNumberFormat="1" applyFont="1" applyFill="1" applyBorder="1" applyAlignment="1">
      <alignment vertical="center" wrapText="1"/>
    </xf>
    <xf numFmtId="167" fontId="0" fillId="0" borderId="1" xfId="3" applyNumberFormat="1" applyFont="1" applyFill="1" applyBorder="1" applyAlignment="1">
      <alignment vertical="center" wrapText="1"/>
    </xf>
    <xf numFmtId="165" fontId="39" fillId="3" borderId="1" xfId="0" applyNumberFormat="1" applyFont="1" applyFill="1" applyBorder="1" applyAlignment="1">
      <alignment vertical="center"/>
    </xf>
    <xf numFmtId="167" fontId="39" fillId="3" borderId="1" xfId="3" applyNumberFormat="1" applyFont="1" applyFill="1" applyBorder="1" applyAlignment="1">
      <alignment vertical="center"/>
    </xf>
    <xf numFmtId="0" fontId="11" fillId="0" borderId="1" xfId="0" applyFont="1" applyBorder="1" applyAlignment="1">
      <alignment horizontal="center" vertical="center" wrapText="1"/>
    </xf>
    <xf numFmtId="49" fontId="11"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48" fillId="0" borderId="1" xfId="1" applyFont="1" applyBorder="1" applyAlignment="1">
      <alignment vertical="center" wrapText="1"/>
    </xf>
    <xf numFmtId="165" fontId="15" fillId="0" borderId="1" xfId="0" applyNumberFormat="1" applyFont="1" applyBorder="1" applyAlignment="1">
      <alignment vertical="center" wrapText="1"/>
    </xf>
    <xf numFmtId="167" fontId="15" fillId="0" borderId="1" xfId="3" applyNumberFormat="1" applyFont="1" applyFill="1" applyBorder="1" applyAlignment="1">
      <alignment vertical="center" wrapText="1"/>
    </xf>
    <xf numFmtId="0" fontId="39" fillId="0" borderId="1" xfId="0" applyFont="1" applyBorder="1" applyAlignment="1">
      <alignment horizontal="center" vertical="center" wrapText="1"/>
    </xf>
    <xf numFmtId="0" fontId="11" fillId="0" borderId="1" xfId="0" applyFont="1" applyBorder="1" applyAlignment="1">
      <alignment horizontal="center" vertical="center"/>
    </xf>
    <xf numFmtId="165" fontId="0" fillId="0" borderId="1" xfId="0" applyNumberFormat="1" applyFont="1" applyBorder="1" applyAlignment="1">
      <alignment vertical="center"/>
    </xf>
    <xf numFmtId="167" fontId="0" fillId="0" borderId="1" xfId="3" applyNumberFormat="1" applyFont="1" applyFill="1" applyBorder="1" applyAlignment="1">
      <alignment vertical="center"/>
    </xf>
    <xf numFmtId="165" fontId="52" fillId="43" borderId="1" xfId="0" applyNumberFormat="1" applyFont="1" applyFill="1" applyBorder="1" applyAlignment="1">
      <alignment vertical="center"/>
    </xf>
    <xf numFmtId="167" fontId="52" fillId="43" borderId="1" xfId="3" applyNumberFormat="1" applyFont="1" applyFill="1" applyBorder="1" applyAlignment="1">
      <alignment vertical="center"/>
    </xf>
    <xf numFmtId="0" fontId="53" fillId="0" borderId="1" xfId="0" applyFont="1" applyBorder="1" applyAlignment="1">
      <alignment horizontal="center"/>
    </xf>
    <xf numFmtId="49" fontId="0" fillId="5" borderId="1" xfId="0" applyNumberFormat="1" applyFont="1" applyFill="1" applyBorder="1" applyAlignment="1">
      <alignment horizontal="center" vertical="center"/>
    </xf>
    <xf numFmtId="9" fontId="0" fillId="0" borderId="1" xfId="3" applyFont="1" applyFill="1" applyBorder="1" applyAlignment="1">
      <alignment vertical="center"/>
    </xf>
    <xf numFmtId="0" fontId="54" fillId="0" borderId="1" xfId="0" applyFont="1" applyBorder="1" applyAlignment="1">
      <alignment horizontal="center" vertical="center" wrapText="1"/>
    </xf>
    <xf numFmtId="0" fontId="53" fillId="0" borderId="1" xfId="0" applyFont="1" applyBorder="1" applyAlignment="1">
      <alignment horizontal="center" vertical="center"/>
    </xf>
    <xf numFmtId="0" fontId="55" fillId="0" borderId="1" xfId="0" applyFont="1" applyBorder="1" applyAlignment="1">
      <alignment vertical="center" wrapText="1"/>
    </xf>
    <xf numFmtId="0" fontId="55" fillId="0" borderId="1" xfId="1" applyFont="1" applyBorder="1" applyAlignment="1">
      <alignment vertical="center" wrapText="1"/>
    </xf>
    <xf numFmtId="0" fontId="55" fillId="0" borderId="4" xfId="1" applyFont="1" applyBorder="1" applyAlignment="1">
      <alignment vertical="center" wrapText="1"/>
    </xf>
    <xf numFmtId="0" fontId="0" fillId="0" borderId="18" xfId="0" applyBorder="1"/>
    <xf numFmtId="0" fontId="0" fillId="0" borderId="19" xfId="0" applyBorder="1"/>
    <xf numFmtId="0" fontId="0" fillId="0" borderId="20" xfId="0" applyBorder="1"/>
    <xf numFmtId="0" fontId="0" fillId="0" borderId="21" xfId="0" applyBorder="1"/>
    <xf numFmtId="0" fontId="16" fillId="0" borderId="5" xfId="0" applyFont="1" applyBorder="1" applyAlignment="1">
      <alignment horizontal="center" vertical="center" wrapText="1"/>
    </xf>
    <xf numFmtId="167" fontId="57" fillId="43" borderId="4" xfId="3" applyNumberFormat="1" applyFont="1" applyFill="1" applyBorder="1" applyAlignment="1">
      <alignment vertical="center"/>
    </xf>
    <xf numFmtId="165" fontId="57" fillId="43" borderId="34" xfId="0" applyNumberFormat="1" applyFont="1" applyFill="1" applyBorder="1" applyAlignment="1">
      <alignment vertical="center"/>
    </xf>
    <xf numFmtId="165" fontId="57" fillId="43" borderId="31" xfId="0" applyNumberFormat="1" applyFont="1" applyFill="1" applyBorder="1" applyAlignment="1">
      <alignment vertical="center"/>
    </xf>
    <xf numFmtId="165" fontId="57" fillId="43" borderId="3" xfId="0" applyNumberFormat="1" applyFont="1" applyFill="1" applyBorder="1" applyAlignment="1">
      <alignment vertical="center"/>
    </xf>
    <xf numFmtId="167" fontId="57" fillId="43" borderId="42" xfId="3" applyNumberFormat="1" applyFont="1" applyFill="1" applyBorder="1" applyAlignment="1">
      <alignment vertical="center"/>
    </xf>
    <xf numFmtId="165" fontId="57" fillId="43" borderId="39" xfId="0" applyNumberFormat="1" applyFont="1" applyFill="1" applyBorder="1" applyAlignment="1">
      <alignment vertical="center"/>
    </xf>
    <xf numFmtId="165" fontId="57" fillId="43" borderId="43" xfId="0" applyNumberFormat="1" applyFont="1" applyFill="1" applyBorder="1" applyAlignment="1">
      <alignment vertical="center"/>
    </xf>
    <xf numFmtId="165" fontId="57" fillId="43" borderId="44" xfId="0" applyNumberFormat="1" applyFont="1" applyFill="1" applyBorder="1" applyAlignment="1">
      <alignment vertical="center"/>
    </xf>
    <xf numFmtId="167" fontId="52" fillId="43" borderId="42" xfId="3" applyNumberFormat="1" applyFont="1" applyFill="1" applyBorder="1" applyAlignment="1">
      <alignment vertical="center"/>
    </xf>
    <xf numFmtId="165" fontId="52" fillId="43" borderId="39" xfId="0" applyNumberFormat="1" applyFont="1" applyFill="1" applyBorder="1" applyAlignment="1">
      <alignment vertical="center"/>
    </xf>
    <xf numFmtId="167" fontId="57" fillId="43" borderId="47" xfId="3" applyNumberFormat="1" applyFont="1" applyFill="1" applyBorder="1" applyAlignment="1">
      <alignment vertical="center"/>
    </xf>
    <xf numFmtId="0" fontId="4" fillId="0" borderId="0" xfId="0" applyFont="1" applyBorder="1" applyAlignment="1">
      <alignment horizontal="right"/>
    </xf>
    <xf numFmtId="0" fontId="9" fillId="0" borderId="0" xfId="0" applyFont="1" applyAlignment="1">
      <alignment horizontal="left" vertical="center"/>
    </xf>
    <xf numFmtId="167" fontId="39" fillId="0" borderId="1" xfId="3" applyNumberFormat="1" applyFont="1" applyFill="1" applyBorder="1" applyAlignment="1">
      <alignment vertical="center"/>
    </xf>
    <xf numFmtId="0" fontId="0" fillId="0" borderId="1" xfId="0" applyFont="1" applyFill="1" applyBorder="1" applyAlignment="1">
      <alignment horizontal="center" vertical="center"/>
    </xf>
    <xf numFmtId="3" fontId="15" fillId="0" borderId="1" xfId="0" applyNumberFormat="1" applyFont="1" applyFill="1" applyBorder="1"/>
    <xf numFmtId="0" fontId="11" fillId="0" borderId="0" xfId="0" applyFont="1" applyBorder="1" applyAlignment="1">
      <alignment horizontal="left"/>
    </xf>
    <xf numFmtId="0" fontId="0" fillId="0" borderId="5" xfId="0" applyFont="1" applyFill="1" applyBorder="1" applyAlignment="1">
      <alignment horizontal="center" vertical="center"/>
    </xf>
    <xf numFmtId="3" fontId="15" fillId="0" borderId="5" xfId="0" applyNumberFormat="1" applyFont="1" applyFill="1" applyBorder="1"/>
    <xf numFmtId="167" fontId="39" fillId="0" borderId="5" xfId="3" applyNumberFormat="1" applyFont="1" applyFill="1" applyBorder="1" applyAlignment="1">
      <alignment vertical="center"/>
    </xf>
    <xf numFmtId="3" fontId="39" fillId="0" borderId="49" xfId="0" applyNumberFormat="1" applyFont="1" applyBorder="1"/>
    <xf numFmtId="167" fontId="39" fillId="0" borderId="49" xfId="3" applyNumberFormat="1" applyFont="1" applyBorder="1"/>
    <xf numFmtId="167" fontId="39" fillId="0" borderId="50" xfId="3" applyNumberFormat="1" applyFont="1" applyBorder="1"/>
    <xf numFmtId="0" fontId="0" fillId="0" borderId="6" xfId="0" applyFont="1" applyFill="1" applyBorder="1" applyAlignment="1">
      <alignment horizontal="center" vertical="center"/>
    </xf>
    <xf numFmtId="3" fontId="15" fillId="0" borderId="6" xfId="0" applyNumberFormat="1" applyFont="1" applyFill="1" applyBorder="1" applyAlignment="1">
      <alignment vertical="center"/>
    </xf>
    <xf numFmtId="167" fontId="39" fillId="0" borderId="6" xfId="3" applyNumberFormat="1" applyFont="1" applyFill="1" applyBorder="1" applyAlignment="1">
      <alignment vertical="center"/>
    </xf>
    <xf numFmtId="0" fontId="55" fillId="0" borderId="1" xfId="0" applyFont="1" applyFill="1" applyBorder="1" applyAlignment="1">
      <alignment vertical="center" wrapText="1"/>
    </xf>
    <xf numFmtId="3" fontId="0" fillId="0" borderId="1" xfId="0" applyNumberFormat="1" applyFont="1" applyFill="1" applyBorder="1" applyAlignment="1">
      <alignment horizontal="right" vertical="center" wrapText="1"/>
    </xf>
    <xf numFmtId="3" fontId="13" fillId="0" borderId="1" xfId="0" applyNumberFormat="1" applyFont="1" applyFill="1" applyBorder="1" applyAlignment="1">
      <alignment vertical="center" wrapText="1"/>
    </xf>
    <xf numFmtId="0" fontId="12" fillId="0" borderId="5" xfId="0" applyFont="1" applyFill="1" applyBorder="1" applyAlignment="1">
      <alignment horizontal="center" vertical="center" wrapText="1"/>
    </xf>
    <xf numFmtId="0" fontId="16" fillId="0" borderId="5" xfId="0" applyFont="1" applyFill="1" applyBorder="1" applyAlignment="1">
      <alignment horizontal="center" vertical="center" wrapText="1"/>
    </xf>
    <xf numFmtId="0" fontId="55" fillId="0" borderId="1" xfId="0" applyFont="1" applyFill="1" applyBorder="1" applyAlignment="1">
      <alignment horizontal="left" vertical="center" wrapText="1"/>
    </xf>
    <xf numFmtId="0" fontId="12" fillId="0" borderId="6" xfId="0" applyFont="1" applyFill="1" applyBorder="1" applyAlignment="1">
      <alignment horizontal="center" vertical="center" wrapText="1"/>
    </xf>
    <xf numFmtId="0" fontId="16"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50" fillId="0" borderId="5" xfId="0" applyFont="1" applyFill="1" applyBorder="1" applyAlignment="1">
      <alignment horizontal="center" vertical="center" wrapText="1"/>
    </xf>
    <xf numFmtId="0" fontId="0" fillId="0" borderId="2" xfId="0" applyFont="1" applyBorder="1" applyAlignment="1">
      <alignment horizontal="center" vertical="center" wrapText="1"/>
    </xf>
    <xf numFmtId="0" fontId="11" fillId="0" borderId="3" xfId="0" applyFont="1" applyBorder="1" applyAlignment="1">
      <alignment horizontal="center" vertical="center" wrapText="1"/>
    </xf>
    <xf numFmtId="0" fontId="55" fillId="0" borderId="3" xfId="1" applyFont="1" applyBorder="1" applyAlignment="1">
      <alignment vertical="center" wrapText="1"/>
    </xf>
    <xf numFmtId="165" fontId="0" fillId="0" borderId="3" xfId="0" applyNumberFormat="1" applyFont="1" applyBorder="1" applyAlignment="1">
      <alignment vertical="center" wrapText="1"/>
    </xf>
    <xf numFmtId="167" fontId="0" fillId="0" borderId="4" xfId="3" applyNumberFormat="1" applyFont="1" applyFill="1" applyBorder="1" applyAlignment="1">
      <alignment vertical="center" wrapText="1"/>
    </xf>
    <xf numFmtId="0" fontId="0" fillId="0" borderId="0" xfId="0" applyAlignment="1">
      <alignment vertical="center"/>
    </xf>
    <xf numFmtId="0" fontId="16" fillId="0" borderId="5" xfId="0" applyFont="1" applyFill="1" applyBorder="1" applyAlignment="1">
      <alignment horizontal="center" vertical="center" wrapText="1"/>
    </xf>
    <xf numFmtId="0" fontId="16" fillId="0" borderId="6"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7" fillId="44" borderId="1" xfId="0" applyFont="1" applyFill="1" applyBorder="1" applyAlignment="1">
      <alignment horizontal="left" vertical="center"/>
    </xf>
    <xf numFmtId="0" fontId="17" fillId="3" borderId="1" xfId="0" applyFont="1" applyFill="1" applyBorder="1" applyAlignment="1">
      <alignment horizontal="left" vertical="center" wrapText="1"/>
    </xf>
    <xf numFmtId="0" fontId="17" fillId="44" borderId="2" xfId="0" applyFont="1" applyFill="1" applyBorder="1" applyAlignment="1">
      <alignment horizontal="left" vertical="center"/>
    </xf>
    <xf numFmtId="0" fontId="17" fillId="44" borderId="3" xfId="0" applyFont="1" applyFill="1" applyBorder="1" applyAlignment="1">
      <alignment horizontal="left" vertical="center"/>
    </xf>
    <xf numFmtId="0" fontId="17" fillId="44" borderId="4" xfId="0" applyFont="1" applyFill="1" applyBorder="1" applyAlignment="1">
      <alignment horizontal="left" vertical="center"/>
    </xf>
    <xf numFmtId="0" fontId="16" fillId="0" borderId="8"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50" fillId="0" borderId="5" xfId="0" applyFont="1" applyFill="1" applyBorder="1" applyAlignment="1">
      <alignment horizontal="center" vertical="center" wrapText="1"/>
    </xf>
    <xf numFmtId="0" fontId="50" fillId="0" borderId="8" xfId="0" applyFont="1" applyFill="1" applyBorder="1" applyAlignment="1">
      <alignment horizontal="center" vertical="center" wrapText="1"/>
    </xf>
    <xf numFmtId="0" fontId="50" fillId="0" borderId="6" xfId="0" applyFont="1" applyFill="1" applyBorder="1" applyAlignment="1">
      <alignment horizontal="center" vertical="center" wrapText="1"/>
    </xf>
    <xf numFmtId="0" fontId="56" fillId="43" borderId="44" xfId="0" applyFont="1" applyFill="1" applyBorder="1" applyAlignment="1">
      <alignment horizontal="center" vertical="center"/>
    </xf>
    <xf numFmtId="0" fontId="56" fillId="43" borderId="3" xfId="0" applyFont="1" applyFill="1" applyBorder="1" applyAlignment="1">
      <alignment horizontal="center" vertical="center"/>
    </xf>
    <xf numFmtId="0" fontId="56" fillId="43" borderId="43" xfId="0" applyFont="1" applyFill="1" applyBorder="1" applyAlignment="1">
      <alignment horizontal="center" vertical="center"/>
    </xf>
    <xf numFmtId="0" fontId="17" fillId="44" borderId="1" xfId="0" applyFont="1" applyFill="1" applyBorder="1" applyAlignment="1">
      <alignment horizontal="left" vertical="center" wrapText="1"/>
    </xf>
    <xf numFmtId="0" fontId="51" fillId="43" borderId="39" xfId="0" applyFont="1" applyFill="1" applyBorder="1" applyAlignment="1">
      <alignment horizontal="center" vertical="center" wrapText="1"/>
    </xf>
    <xf numFmtId="0" fontId="49" fillId="3" borderId="1" xfId="0" applyFont="1" applyFill="1" applyBorder="1" applyAlignment="1">
      <alignment horizontal="left" vertical="center" wrapText="1"/>
    </xf>
    <xf numFmtId="0" fontId="17" fillId="4" borderId="1" xfId="0" applyFont="1" applyFill="1" applyBorder="1" applyAlignment="1">
      <alignment horizontal="left" vertical="center" wrapText="1"/>
    </xf>
    <xf numFmtId="0" fontId="17" fillId="44" borderId="2" xfId="0" applyFont="1" applyFill="1" applyBorder="1" applyAlignment="1">
      <alignment horizontal="left" vertical="center" wrapText="1"/>
    </xf>
    <xf numFmtId="0" fontId="17" fillId="44" borderId="3" xfId="0" applyFont="1" applyFill="1" applyBorder="1" applyAlignment="1">
      <alignment horizontal="left" vertical="center" wrapText="1"/>
    </xf>
    <xf numFmtId="0" fontId="17" fillId="44" borderId="4" xfId="0" applyFont="1" applyFill="1" applyBorder="1" applyAlignment="1">
      <alignment horizontal="left" vertical="center" wrapText="1"/>
    </xf>
    <xf numFmtId="0" fontId="51" fillId="43" borderId="2" xfId="0" applyFont="1" applyFill="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horizontal="center" wrapText="1"/>
    </xf>
    <xf numFmtId="167" fontId="51" fillId="43" borderId="42" xfId="0" applyNumberFormat="1" applyFont="1" applyFill="1" applyBorder="1" applyAlignment="1">
      <alignment horizontal="center" vertical="center" wrapText="1"/>
    </xf>
    <xf numFmtId="0" fontId="40" fillId="0" borderId="5" xfId="0" applyFont="1" applyBorder="1" applyAlignment="1">
      <alignment horizontal="center" vertical="center" wrapText="1"/>
    </xf>
    <xf numFmtId="0" fontId="40" fillId="0" borderId="6"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6" xfId="0" applyFont="1" applyBorder="1" applyAlignment="1">
      <alignment horizontal="center" vertical="center" wrapText="1"/>
    </xf>
    <xf numFmtId="3" fontId="16" fillId="0" borderId="5" xfId="0" applyNumberFormat="1" applyFont="1" applyFill="1" applyBorder="1" applyAlignment="1">
      <alignment horizontal="center" vertical="center" wrapText="1"/>
    </xf>
    <xf numFmtId="3" fontId="16" fillId="0" borderId="6" xfId="0" applyNumberFormat="1" applyFont="1" applyFill="1" applyBorder="1" applyAlignment="1">
      <alignment horizontal="center" vertical="center" wrapText="1"/>
    </xf>
    <xf numFmtId="0" fontId="51" fillId="43" borderId="2" xfId="0" applyFont="1" applyFill="1" applyBorder="1" applyAlignment="1">
      <alignment horizontal="center" vertical="center"/>
    </xf>
    <xf numFmtId="0" fontId="51" fillId="43" borderId="3" xfId="0" applyFont="1" applyFill="1" applyBorder="1" applyAlignment="1">
      <alignment horizontal="center" vertical="center"/>
    </xf>
    <xf numFmtId="0" fontId="51" fillId="43" borderId="4" xfId="0" applyFont="1" applyFill="1" applyBorder="1" applyAlignment="1">
      <alignment horizontal="center" vertical="center"/>
    </xf>
    <xf numFmtId="0" fontId="36" fillId="2" borderId="1" xfId="0" applyFont="1" applyFill="1" applyBorder="1" applyAlignment="1">
      <alignment horizontal="center" vertical="center" wrapText="1"/>
    </xf>
    <xf numFmtId="0" fontId="49" fillId="3" borderId="2" xfId="0" applyFont="1" applyFill="1" applyBorder="1" applyAlignment="1">
      <alignment horizontal="left" vertical="center"/>
    </xf>
    <xf numFmtId="0" fontId="49" fillId="3" borderId="3" xfId="0" applyFont="1" applyFill="1" applyBorder="1" applyAlignment="1">
      <alignment horizontal="left" vertical="center"/>
    </xf>
    <xf numFmtId="0" fontId="49" fillId="3" borderId="4" xfId="0" applyFont="1" applyFill="1" applyBorder="1" applyAlignment="1">
      <alignment horizontal="left" vertical="center"/>
    </xf>
    <xf numFmtId="0" fontId="17" fillId="3" borderId="2" xfId="0" applyFont="1" applyFill="1" applyBorder="1" applyAlignment="1">
      <alignment horizontal="left" vertical="center"/>
    </xf>
    <xf numFmtId="0" fontId="17" fillId="3" borderId="3" xfId="0" applyFont="1" applyFill="1" applyBorder="1" applyAlignment="1">
      <alignment horizontal="left" vertical="center"/>
    </xf>
    <xf numFmtId="0" fontId="17" fillId="3" borderId="4" xfId="0" applyFont="1" applyFill="1" applyBorder="1" applyAlignment="1">
      <alignment horizontal="left" vertical="center"/>
    </xf>
    <xf numFmtId="0" fontId="51" fillId="43" borderId="2" xfId="0" applyFont="1" applyFill="1" applyBorder="1" applyAlignment="1">
      <alignment horizontal="left" vertical="center"/>
    </xf>
    <xf numFmtId="0" fontId="51" fillId="43" borderId="3" xfId="0" applyFont="1" applyFill="1" applyBorder="1" applyAlignment="1">
      <alignment horizontal="left" vertical="center"/>
    </xf>
    <xf numFmtId="0" fontId="51" fillId="43" borderId="4" xfId="0" applyFont="1" applyFill="1" applyBorder="1" applyAlignment="1">
      <alignment horizontal="left" vertical="center"/>
    </xf>
    <xf numFmtId="167" fontId="36" fillId="2" borderId="1" xfId="0" applyNumberFormat="1" applyFont="1" applyFill="1" applyBorder="1" applyAlignment="1">
      <alignment horizontal="center" vertical="center" wrapText="1"/>
    </xf>
    <xf numFmtId="0" fontId="17" fillId="3" borderId="2" xfId="0" applyFont="1" applyFill="1" applyBorder="1" applyAlignment="1">
      <alignment horizontal="left" vertical="center" wrapText="1"/>
    </xf>
    <xf numFmtId="0" fontId="17" fillId="3" borderId="3" xfId="0" applyFont="1" applyFill="1" applyBorder="1" applyAlignment="1">
      <alignment horizontal="left" vertical="center" wrapText="1"/>
    </xf>
    <xf numFmtId="0" fontId="17" fillId="3" borderId="4" xfId="0" applyFont="1" applyFill="1" applyBorder="1" applyAlignment="1">
      <alignment horizontal="left" vertical="center" wrapText="1"/>
    </xf>
    <xf numFmtId="0" fontId="49" fillId="3" borderId="2" xfId="0" applyFont="1" applyFill="1" applyBorder="1" applyAlignment="1">
      <alignment horizontal="left" vertical="center" wrapText="1"/>
    </xf>
    <xf numFmtId="0" fontId="49" fillId="3" borderId="3" xfId="0" applyFont="1" applyFill="1" applyBorder="1" applyAlignment="1">
      <alignment horizontal="left" vertical="center" wrapText="1"/>
    </xf>
    <xf numFmtId="0" fontId="49" fillId="3" borderId="4" xfId="0" applyFont="1" applyFill="1" applyBorder="1" applyAlignment="1">
      <alignment horizontal="left" vertical="center" wrapText="1"/>
    </xf>
    <xf numFmtId="0" fontId="44" fillId="0" borderId="0" xfId="0" applyFont="1" applyAlignment="1">
      <alignment horizontal="center" vertical="center"/>
    </xf>
    <xf numFmtId="167" fontId="51" fillId="43" borderId="45" xfId="0" applyNumberFormat="1" applyFont="1" applyFill="1" applyBorder="1" applyAlignment="1">
      <alignment horizontal="center" vertical="center" wrapText="1"/>
    </xf>
    <xf numFmtId="167" fontId="51" fillId="43" borderId="46" xfId="0" applyNumberFormat="1" applyFont="1" applyFill="1" applyBorder="1" applyAlignment="1">
      <alignment horizontal="center" vertical="center" wrapText="1"/>
    </xf>
    <xf numFmtId="0" fontId="51" fillId="43" borderId="22" xfId="0" applyFont="1" applyFill="1" applyBorder="1" applyAlignment="1">
      <alignment horizontal="center" vertical="center" wrapText="1"/>
    </xf>
    <xf numFmtId="0" fontId="51" fillId="43" borderId="23" xfId="0" applyFont="1" applyFill="1" applyBorder="1" applyAlignment="1">
      <alignment horizontal="center" vertical="center" wrapText="1"/>
    </xf>
    <xf numFmtId="0" fontId="51" fillId="43" borderId="40" xfId="0" applyFont="1" applyFill="1" applyBorder="1" applyAlignment="1">
      <alignment horizontal="center" vertical="center" wrapText="1"/>
    </xf>
    <xf numFmtId="0" fontId="51" fillId="43" borderId="41" xfId="0" applyFont="1" applyFill="1" applyBorder="1" applyAlignment="1">
      <alignment horizontal="center" vertical="center" wrapText="1"/>
    </xf>
    <xf numFmtId="0" fontId="56" fillId="43" borderId="2" xfId="0" applyFont="1" applyFill="1" applyBorder="1" applyAlignment="1">
      <alignment horizontal="left" vertical="center"/>
    </xf>
    <xf numFmtId="0" fontId="56" fillId="43" borderId="3" xfId="0" applyFont="1" applyFill="1" applyBorder="1" applyAlignment="1">
      <alignment horizontal="left" vertical="center"/>
    </xf>
    <xf numFmtId="0" fontId="16" fillId="3" borderId="2" xfId="0" applyFont="1" applyFill="1" applyBorder="1" applyAlignment="1">
      <alignment horizontal="left" vertical="center" wrapText="1"/>
    </xf>
    <xf numFmtId="0" fontId="16" fillId="3" borderId="3" xfId="0" applyFont="1" applyFill="1" applyBorder="1" applyAlignment="1">
      <alignment horizontal="left" vertical="center" wrapText="1"/>
    </xf>
    <xf numFmtId="0" fontId="16" fillId="3" borderId="4" xfId="0" applyFont="1" applyFill="1" applyBorder="1" applyAlignment="1">
      <alignment horizontal="left" vertical="center" wrapText="1"/>
    </xf>
    <xf numFmtId="167" fontId="51" fillId="43" borderId="29" xfId="0" applyNumberFormat="1" applyFont="1" applyFill="1" applyBorder="1" applyAlignment="1">
      <alignment horizontal="center" vertical="center" wrapText="1"/>
    </xf>
    <xf numFmtId="167" fontId="51" fillId="43" borderId="30" xfId="0" applyNumberFormat="1" applyFont="1" applyFill="1" applyBorder="1" applyAlignment="1">
      <alignment horizontal="center" vertical="center" wrapText="1"/>
    </xf>
    <xf numFmtId="0" fontId="41" fillId="3" borderId="1" xfId="0" applyFont="1" applyFill="1" applyBorder="1" applyAlignment="1">
      <alignment horizontal="left" vertical="center" wrapText="1"/>
    </xf>
    <xf numFmtId="0" fontId="58" fillId="44" borderId="1" xfId="0" applyFont="1" applyFill="1" applyBorder="1" applyAlignment="1">
      <alignment horizontal="left" vertical="center" wrapText="1"/>
    </xf>
    <xf numFmtId="0" fontId="51" fillId="43" borderId="37" xfId="0" applyFont="1" applyFill="1" applyBorder="1" applyAlignment="1">
      <alignment horizontal="center" vertical="center" wrapText="1"/>
    </xf>
    <xf numFmtId="0" fontId="51" fillId="43" borderId="38" xfId="0" applyFont="1" applyFill="1" applyBorder="1" applyAlignment="1">
      <alignment horizontal="center" vertical="center" wrapText="1"/>
    </xf>
    <xf numFmtId="0" fontId="51" fillId="43" borderId="24" xfId="0" applyFont="1" applyFill="1" applyBorder="1" applyAlignment="1">
      <alignment horizontal="center" vertical="center" wrapText="1"/>
    </xf>
    <xf numFmtId="0" fontId="51" fillId="43" borderId="7" xfId="0" applyFont="1" applyFill="1" applyBorder="1" applyAlignment="1">
      <alignment horizontal="center" vertical="center" wrapText="1"/>
    </xf>
    <xf numFmtId="0" fontId="51" fillId="43" borderId="35" xfId="0" applyFont="1" applyFill="1" applyBorder="1" applyAlignment="1">
      <alignment horizontal="center" vertical="center" wrapText="1"/>
    </xf>
    <xf numFmtId="0" fontId="51" fillId="43" borderId="36" xfId="0" applyFont="1" applyFill="1" applyBorder="1" applyAlignment="1">
      <alignment horizontal="center" vertical="center" wrapText="1"/>
    </xf>
    <xf numFmtId="0" fontId="51" fillId="43" borderId="32" xfId="0" applyFont="1" applyFill="1" applyBorder="1" applyAlignment="1">
      <alignment horizontal="center" vertical="center" wrapText="1"/>
    </xf>
    <xf numFmtId="0" fontId="51" fillId="43" borderId="33" xfId="0" applyFont="1" applyFill="1" applyBorder="1" applyAlignment="1">
      <alignment horizontal="center" vertical="center" wrapText="1"/>
    </xf>
    <xf numFmtId="0" fontId="51" fillId="43" borderId="29" xfId="0" applyFont="1" applyFill="1" applyBorder="1" applyAlignment="1">
      <alignment horizontal="center" vertical="center" wrapText="1"/>
    </xf>
    <xf numFmtId="0" fontId="51" fillId="43" borderId="30" xfId="0" applyFont="1" applyFill="1" applyBorder="1" applyAlignment="1">
      <alignment horizontal="center" vertical="center" wrapText="1"/>
    </xf>
    <xf numFmtId="0" fontId="51" fillId="43" borderId="25" xfId="0" applyFont="1" applyFill="1" applyBorder="1" applyAlignment="1">
      <alignment horizontal="center" vertical="center" wrapText="1"/>
    </xf>
    <xf numFmtId="0" fontId="51" fillId="43" borderId="26" xfId="0" applyFont="1" applyFill="1" applyBorder="1" applyAlignment="1">
      <alignment horizontal="center" vertical="center" wrapText="1"/>
    </xf>
    <xf numFmtId="0" fontId="51" fillId="43" borderId="27" xfId="0" applyFont="1" applyFill="1" applyBorder="1" applyAlignment="1">
      <alignment horizontal="center" vertical="center" wrapText="1"/>
    </xf>
    <xf numFmtId="0" fontId="51" fillId="43" borderId="28" xfId="0" applyFont="1" applyFill="1" applyBorder="1" applyAlignment="1">
      <alignment horizontal="center" vertical="center" wrapText="1"/>
    </xf>
    <xf numFmtId="0" fontId="48" fillId="0" borderId="1" xfId="0" applyFont="1" applyFill="1" applyBorder="1" applyAlignment="1">
      <alignment horizontal="left" vertical="center"/>
    </xf>
    <xf numFmtId="0" fontId="48" fillId="0" borderId="5" xfId="0" applyFont="1" applyFill="1" applyBorder="1" applyAlignment="1">
      <alignment horizontal="left" vertical="center"/>
    </xf>
    <xf numFmtId="0" fontId="11" fillId="0" borderId="48" xfId="0" applyFont="1" applyBorder="1" applyAlignment="1">
      <alignment horizontal="center"/>
    </xf>
    <xf numFmtId="0" fontId="11" fillId="0" borderId="49" xfId="0" applyFont="1" applyBorder="1" applyAlignment="1">
      <alignment horizontal="center"/>
    </xf>
    <xf numFmtId="167" fontId="36" fillId="0" borderId="53" xfId="0" applyNumberFormat="1" applyFont="1" applyFill="1" applyBorder="1" applyAlignment="1">
      <alignment horizontal="center" vertical="center" wrapText="1"/>
    </xf>
    <xf numFmtId="167" fontId="36" fillId="0" borderId="56" xfId="0" applyNumberFormat="1" applyFont="1" applyFill="1" applyBorder="1" applyAlignment="1">
      <alignment horizontal="center" vertical="center" wrapText="1"/>
    </xf>
    <xf numFmtId="167" fontId="36" fillId="0" borderId="52" xfId="0" applyNumberFormat="1" applyFont="1" applyFill="1" applyBorder="1" applyAlignment="1">
      <alignment horizontal="center" vertical="center" wrapText="1"/>
    </xf>
    <xf numFmtId="167" fontId="36" fillId="0" borderId="55" xfId="0" applyNumberFormat="1" applyFont="1" applyFill="1" applyBorder="1" applyAlignment="1">
      <alignment horizontal="center" vertical="center" wrapText="1"/>
    </xf>
    <xf numFmtId="0" fontId="48" fillId="0" borderId="6" xfId="0" applyFont="1" applyFill="1" applyBorder="1" applyAlignment="1">
      <alignment horizontal="left" vertical="center"/>
    </xf>
    <xf numFmtId="0" fontId="36" fillId="0" borderId="52" xfId="0" applyFont="1" applyFill="1" applyBorder="1" applyAlignment="1">
      <alignment horizontal="center" vertical="center" wrapText="1"/>
    </xf>
    <xf numFmtId="0" fontId="36" fillId="0" borderId="55" xfId="0" applyFont="1" applyFill="1" applyBorder="1" applyAlignment="1">
      <alignment horizontal="center" vertical="center" wrapText="1"/>
    </xf>
    <xf numFmtId="0" fontId="38" fillId="0" borderId="1" xfId="0" applyFont="1" applyFill="1" applyBorder="1" applyAlignment="1">
      <alignment horizontal="left" vertical="center"/>
    </xf>
    <xf numFmtId="0" fontId="36" fillId="0" borderId="51" xfId="0" applyFont="1" applyFill="1" applyBorder="1" applyAlignment="1">
      <alignment horizontal="center" vertical="center" wrapText="1"/>
    </xf>
    <xf numFmtId="0" fontId="36" fillId="0" borderId="54" xfId="0" applyFont="1" applyFill="1" applyBorder="1" applyAlignment="1">
      <alignment horizontal="center" vertical="center" wrapText="1"/>
    </xf>
  </cellXfs>
  <cellStyles count="52">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1" builtinId="26" customBuiltin="1"/>
    <cellStyle name="Cálculo" xfId="16" builtinId="22" customBuiltin="1"/>
    <cellStyle name="Celda de comprobación" xfId="18" builtinId="23" customBuiltin="1"/>
    <cellStyle name="Celda vinculada" xfId="17" builtinId="24" customBuiltin="1"/>
    <cellStyle name="Encabezado 1" xfId="7" builtinId="16" customBuiltin="1"/>
    <cellStyle name="Encabezado 4" xfId="10"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4" builtinId="20" customBuiltin="1"/>
    <cellStyle name="Incorrecto" xfId="12" builtinId="27" customBuiltin="1"/>
    <cellStyle name="Millares 2" xfId="49" xr:uid="{00000000-0005-0000-0000-000020000000}"/>
    <cellStyle name="Neutral" xfId="13" builtinId="28" customBuiltin="1"/>
    <cellStyle name="Normal" xfId="0" builtinId="0"/>
    <cellStyle name="Normal 2" xfId="1" xr:uid="{00000000-0005-0000-0000-000023000000}"/>
    <cellStyle name="Normal 3" xfId="2" xr:uid="{00000000-0005-0000-0000-000024000000}"/>
    <cellStyle name="Normal 4" xfId="4" xr:uid="{00000000-0005-0000-0000-000025000000}"/>
    <cellStyle name="Normal 4 2" xfId="50" xr:uid="{00000000-0005-0000-0000-000026000000}"/>
    <cellStyle name="Normal 5" xfId="46" xr:uid="{00000000-0005-0000-0000-000027000000}"/>
    <cellStyle name="Normal 6" xfId="48" xr:uid="{00000000-0005-0000-0000-000028000000}"/>
    <cellStyle name="Normal 7" xfId="51" xr:uid="{00000000-0005-0000-0000-000029000000}"/>
    <cellStyle name="Notas 2" xfId="47" xr:uid="{00000000-0005-0000-0000-00002A000000}"/>
    <cellStyle name="Porcentaje" xfId="3" builtinId="5"/>
    <cellStyle name="Porcentaje 2" xfId="5" xr:uid="{00000000-0005-0000-0000-00002C000000}"/>
    <cellStyle name="Salida" xfId="15" builtinId="21" customBuiltin="1"/>
    <cellStyle name="Texto de advertencia" xfId="19" builtinId="11" customBuiltin="1"/>
    <cellStyle name="Texto explicativo" xfId="20" builtinId="53" customBuiltin="1"/>
    <cellStyle name="Título" xfId="6" builtinId="15" customBuiltin="1"/>
    <cellStyle name="Título 2" xfId="8" builtinId="17" customBuiltin="1"/>
    <cellStyle name="Título 3" xfId="9" builtinId="18" customBuiltin="1"/>
    <cellStyle name="Total" xfId="21"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2</xdr:col>
          <xdr:colOff>408213</xdr:colOff>
          <xdr:row>412</xdr:row>
          <xdr:rowOff>190496</xdr:rowOff>
        </xdr:from>
        <xdr:ext cx="7701643" cy="4004833"/>
        <xdr:pic>
          <xdr:nvPicPr>
            <xdr:cNvPr id="2" name="Imagen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4]Hoja1!$B$42:$G$55" spid="_x0000_s29399"/>
                </a:ext>
              </a:extLst>
            </xdr:cNvPicPr>
          </xdr:nvPicPr>
          <xdr:blipFill>
            <a:blip xmlns:r="http://schemas.openxmlformats.org/officeDocument/2006/relationships" r:embed="rId1">
              <a:grayscl/>
              <a:alphaModFix/>
            </a:blip>
            <a:srcRect/>
            <a:stretch>
              <a:fillRect/>
            </a:stretch>
          </xdr:blipFill>
          <xdr:spPr bwMode="auto">
            <a:xfrm>
              <a:off x="1932213" y="49387121"/>
              <a:ext cx="7701643" cy="4004833"/>
            </a:xfrm>
            <a:prstGeom prst="rect">
              <a:avLst/>
            </a:prstGeom>
            <a:noFill/>
            <a:ln>
              <a:solidFill>
                <a:schemeClr val="tx1"/>
              </a:solidFill>
            </a:ln>
            <a:extLst>
              <a:ext uri="{909E8E84-426E-40DD-AFC4-6F175D3DCCD1}">
                <a14:hiddenFill>
                  <a:solidFill>
                    <a:srgbClr val="FFFFFF"/>
                  </a:solidFill>
                </a14:hiddenFill>
              </a:ext>
            </a:extLst>
          </xdr:spPr>
        </xdr:pic>
        <xdr:clientData/>
      </xdr:one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LEX%20KILVER\2026\SALDO%20EXP\ORIGEN%202026-AG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CARPETA%20G\EVALUACION%20SEDE%20CENTRAL\EVA%20SEMESTRAL%20Sede%20%20Central\EVALUACION%20SEMESTRAL%202026\DATOS%20ORIGEN%20I%20SEMESTRE%20-%20202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ULTI-202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aximo/Desktop/EVALUACION/PCA%20%25%25%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
      <sheetName val="EVA"/>
      <sheetName val="Hoja1"/>
      <sheetName val="PRODUCCION"/>
      <sheetName val="PRORRIDRE"/>
      <sheetName val="PRADERA"/>
      <sheetName val="AGRICULTURA"/>
      <sheetName val="EDU. MELGAR"/>
      <sheetName val="S.PUTINA"/>
      <sheetName val="Hoja2"/>
      <sheetName val="SEGUIMIENTO DE INVERSIONES"/>
    </sheetNames>
    <sheetDataSet>
      <sheetData sheetId="0">
        <row r="2">
          <cell r="D2">
            <v>767303</v>
          </cell>
          <cell r="E2">
            <v>149951.29999999999</v>
          </cell>
          <cell r="F2">
            <v>617351.69999999995</v>
          </cell>
          <cell r="G2">
            <v>93335.409999999989</v>
          </cell>
          <cell r="H2">
            <v>673967.59</v>
          </cell>
        </row>
        <row r="3">
          <cell r="D3">
            <v>4143455</v>
          </cell>
          <cell r="E3">
            <v>4043454.41</v>
          </cell>
          <cell r="F3">
            <v>100000.58999999985</v>
          </cell>
          <cell r="G3">
            <v>4043454.41</v>
          </cell>
          <cell r="H3">
            <v>100000.58999999985</v>
          </cell>
        </row>
        <row r="4">
          <cell r="D4">
            <v>6785637</v>
          </cell>
          <cell r="E4">
            <v>6674549.6900000004</v>
          </cell>
          <cell r="F4">
            <v>111087.31</v>
          </cell>
          <cell r="G4">
            <v>5710969.1800000016</v>
          </cell>
          <cell r="H4">
            <v>1074667.82</v>
          </cell>
        </row>
        <row r="5">
          <cell r="D5">
            <v>10918999</v>
          </cell>
          <cell r="E5">
            <v>10614681.809999999</v>
          </cell>
          <cell r="F5">
            <v>304317.19000000024</v>
          </cell>
          <cell r="G5">
            <v>4222670.8699999992</v>
          </cell>
          <cell r="H5">
            <v>6696328.129999999</v>
          </cell>
        </row>
        <row r="6">
          <cell r="D6">
            <v>1800000</v>
          </cell>
          <cell r="E6">
            <v>26893</v>
          </cell>
          <cell r="F6">
            <v>1773107</v>
          </cell>
          <cell r="G6">
            <v>26892.69</v>
          </cell>
          <cell r="H6">
            <v>1773107.31</v>
          </cell>
        </row>
        <row r="7">
          <cell r="D7">
            <v>19658</v>
          </cell>
          <cell r="E7">
            <v>3612</v>
          </cell>
          <cell r="F7">
            <v>16046</v>
          </cell>
          <cell r="G7">
            <v>0</v>
          </cell>
          <cell r="H7">
            <v>19658</v>
          </cell>
        </row>
        <row r="8">
          <cell r="D8">
            <v>32099</v>
          </cell>
          <cell r="E8">
            <v>0</v>
          </cell>
          <cell r="F8">
            <v>32099</v>
          </cell>
          <cell r="G8">
            <v>0</v>
          </cell>
          <cell r="H8">
            <v>32099</v>
          </cell>
        </row>
        <row r="9">
          <cell r="D9">
            <v>2659376</v>
          </cell>
          <cell r="E9">
            <v>1816152.02</v>
          </cell>
          <cell r="F9">
            <v>843223.98</v>
          </cell>
          <cell r="G9">
            <v>1265261.03</v>
          </cell>
          <cell r="H9">
            <v>1394114.97</v>
          </cell>
        </row>
        <row r="10">
          <cell r="D10">
            <v>0</v>
          </cell>
          <cell r="E10">
            <v>0</v>
          </cell>
          <cell r="F10">
            <v>0</v>
          </cell>
          <cell r="G10">
            <v>0</v>
          </cell>
          <cell r="H10">
            <v>0</v>
          </cell>
        </row>
        <row r="11">
          <cell r="D11">
            <v>167505</v>
          </cell>
          <cell r="E11">
            <v>76159.179999999993</v>
          </cell>
          <cell r="F11">
            <v>91345.82</v>
          </cell>
          <cell r="G11">
            <v>76159.180000000008</v>
          </cell>
          <cell r="H11">
            <v>91345.819999999992</v>
          </cell>
        </row>
        <row r="12">
          <cell r="D12">
            <v>0</v>
          </cell>
          <cell r="E12">
            <v>0</v>
          </cell>
          <cell r="F12">
            <v>0</v>
          </cell>
          <cell r="G12">
            <v>0</v>
          </cell>
          <cell r="H12">
            <v>0</v>
          </cell>
        </row>
        <row r="13">
          <cell r="D13">
            <v>0</v>
          </cell>
          <cell r="E13">
            <v>0</v>
          </cell>
          <cell r="F13">
            <v>0</v>
          </cell>
          <cell r="G13">
            <v>0</v>
          </cell>
          <cell r="H13">
            <v>0</v>
          </cell>
        </row>
        <row r="14">
          <cell r="D14">
            <v>19276780</v>
          </cell>
          <cell r="E14">
            <v>17838049.559999999</v>
          </cell>
          <cell r="F14">
            <v>1438730.4399999992</v>
          </cell>
          <cell r="G14">
            <v>14335526.07</v>
          </cell>
          <cell r="H14">
            <v>4941253.93</v>
          </cell>
        </row>
        <row r="15">
          <cell r="D15">
            <v>4291327</v>
          </cell>
          <cell r="E15">
            <v>4093667.05</v>
          </cell>
          <cell r="F15">
            <v>197659.9500000001</v>
          </cell>
          <cell r="G15">
            <v>3585840.7899999996</v>
          </cell>
          <cell r="H15">
            <v>705486.2100000002</v>
          </cell>
        </row>
        <row r="16">
          <cell r="D16">
            <v>909204</v>
          </cell>
          <cell r="E16">
            <v>725859.11</v>
          </cell>
          <cell r="F16">
            <v>183344.89000000007</v>
          </cell>
          <cell r="G16">
            <v>715665.61</v>
          </cell>
          <cell r="H16">
            <v>193538.39000000007</v>
          </cell>
        </row>
        <row r="17">
          <cell r="D17">
            <v>4026127</v>
          </cell>
          <cell r="E17">
            <v>3873158.5</v>
          </cell>
          <cell r="F17">
            <v>152968.5</v>
          </cell>
          <cell r="G17">
            <v>1265521.6200000001</v>
          </cell>
          <cell r="H17">
            <v>2760605.38</v>
          </cell>
        </row>
        <row r="18">
          <cell r="D18">
            <v>2121919</v>
          </cell>
          <cell r="E18">
            <v>1994037.46</v>
          </cell>
          <cell r="F18">
            <v>127881.54000000011</v>
          </cell>
          <cell r="G18">
            <v>1940802.94</v>
          </cell>
          <cell r="H18">
            <v>181116.06000000011</v>
          </cell>
        </row>
        <row r="19">
          <cell r="D19">
            <v>19795501</v>
          </cell>
          <cell r="E19">
            <v>18952715.59</v>
          </cell>
          <cell r="F19">
            <v>842785.41000000073</v>
          </cell>
          <cell r="G19">
            <v>12452734.579999998</v>
          </cell>
          <cell r="H19">
            <v>7342766.4200000009</v>
          </cell>
        </row>
        <row r="20">
          <cell r="D20">
            <v>100000</v>
          </cell>
          <cell r="E20">
            <v>85000</v>
          </cell>
          <cell r="F20">
            <v>15000</v>
          </cell>
          <cell r="G20">
            <v>53585.48</v>
          </cell>
          <cell r="H20">
            <v>46414.52</v>
          </cell>
        </row>
        <row r="21">
          <cell r="D21">
            <v>4495134</v>
          </cell>
          <cell r="E21">
            <v>3925006.5900000003</v>
          </cell>
          <cell r="F21">
            <v>570127.4099999998</v>
          </cell>
          <cell r="G21">
            <v>1003412.6100000001</v>
          </cell>
          <cell r="H21">
            <v>3491721.39</v>
          </cell>
        </row>
        <row r="22">
          <cell r="D22">
            <v>16972964</v>
          </cell>
          <cell r="E22">
            <v>16665505.02</v>
          </cell>
          <cell r="F22">
            <v>307458.98000000027</v>
          </cell>
          <cell r="G22">
            <v>9943556.3199999984</v>
          </cell>
          <cell r="H22">
            <v>7029407.6800000016</v>
          </cell>
        </row>
        <row r="23">
          <cell r="D23">
            <v>19102343</v>
          </cell>
          <cell r="E23">
            <v>18606427.760000002</v>
          </cell>
          <cell r="F23">
            <v>495915.24</v>
          </cell>
          <cell r="G23">
            <v>3535778.8299999996</v>
          </cell>
          <cell r="H23">
            <v>15566564.170000002</v>
          </cell>
        </row>
        <row r="24">
          <cell r="D24">
            <v>21914154</v>
          </cell>
          <cell r="E24">
            <v>21331876.830000002</v>
          </cell>
          <cell r="F24">
            <v>582277.16999999969</v>
          </cell>
          <cell r="G24">
            <v>13047518.030000001</v>
          </cell>
          <cell r="H24">
            <v>8866635.9699999988</v>
          </cell>
        </row>
        <row r="25">
          <cell r="D25">
            <v>4802506</v>
          </cell>
          <cell r="E25">
            <v>4223221.13</v>
          </cell>
          <cell r="F25">
            <v>579284.87000000011</v>
          </cell>
          <cell r="G25">
            <v>2795976.44</v>
          </cell>
          <cell r="H25">
            <v>2006529.56</v>
          </cell>
        </row>
        <row r="26">
          <cell r="D26">
            <v>50132</v>
          </cell>
          <cell r="E26">
            <v>47450.05</v>
          </cell>
          <cell r="F26">
            <v>2681.9499999999971</v>
          </cell>
          <cell r="G26">
            <v>47450.05</v>
          </cell>
          <cell r="H26">
            <v>2681.9499999999971</v>
          </cell>
        </row>
        <row r="27">
          <cell r="D27">
            <v>0</v>
          </cell>
          <cell r="E27">
            <v>0</v>
          </cell>
          <cell r="F27">
            <v>0</v>
          </cell>
          <cell r="G27">
            <v>0</v>
          </cell>
          <cell r="H27">
            <v>0</v>
          </cell>
        </row>
        <row r="28">
          <cell r="D28">
            <v>6765264</v>
          </cell>
          <cell r="E28">
            <v>6573193.7800000003</v>
          </cell>
          <cell r="F28">
            <v>192070.2199999998</v>
          </cell>
          <cell r="G28">
            <v>3684142.54</v>
          </cell>
          <cell r="H28">
            <v>3081121.4600000004</v>
          </cell>
        </row>
        <row r="29">
          <cell r="D29">
            <v>58259</v>
          </cell>
          <cell r="E29">
            <v>58259</v>
          </cell>
          <cell r="F29">
            <v>0</v>
          </cell>
          <cell r="G29">
            <v>50730.47</v>
          </cell>
          <cell r="H29">
            <v>7528.5299999999988</v>
          </cell>
        </row>
        <row r="30">
          <cell r="D30">
            <v>5799805</v>
          </cell>
          <cell r="E30">
            <v>5158644.4400000004</v>
          </cell>
          <cell r="F30">
            <v>641160.55999999994</v>
          </cell>
          <cell r="G30">
            <v>3424336.2300000004</v>
          </cell>
          <cell r="H30">
            <v>2375468.7699999996</v>
          </cell>
        </row>
        <row r="31">
          <cell r="D31">
            <v>100000</v>
          </cell>
          <cell r="E31">
            <v>100000</v>
          </cell>
          <cell r="F31">
            <v>0</v>
          </cell>
          <cell r="G31">
            <v>45460.229999999996</v>
          </cell>
          <cell r="H31">
            <v>54539.770000000004</v>
          </cell>
        </row>
        <row r="32">
          <cell r="D32">
            <v>100000</v>
          </cell>
          <cell r="E32">
            <v>98580</v>
          </cell>
          <cell r="F32">
            <v>1420</v>
          </cell>
          <cell r="G32">
            <v>78118.170000000013</v>
          </cell>
          <cell r="H32">
            <v>21881.829999999987</v>
          </cell>
        </row>
        <row r="33">
          <cell r="D33">
            <v>3656326</v>
          </cell>
          <cell r="E33">
            <v>2527064.17</v>
          </cell>
          <cell r="F33">
            <v>1129261.83</v>
          </cell>
          <cell r="G33">
            <v>1590544.42</v>
          </cell>
          <cell r="H33">
            <v>2065781.58</v>
          </cell>
        </row>
        <row r="34">
          <cell r="D34">
            <v>0</v>
          </cell>
          <cell r="E34">
            <v>0</v>
          </cell>
          <cell r="F34">
            <v>0</v>
          </cell>
          <cell r="G34">
            <v>0</v>
          </cell>
          <cell r="H34">
            <v>0</v>
          </cell>
        </row>
        <row r="35">
          <cell r="D35">
            <v>0</v>
          </cell>
          <cell r="E35">
            <v>0</v>
          </cell>
          <cell r="F35">
            <v>0</v>
          </cell>
          <cell r="G35">
            <v>0</v>
          </cell>
          <cell r="H35">
            <v>0</v>
          </cell>
        </row>
        <row r="36">
          <cell r="D36">
            <v>0</v>
          </cell>
          <cell r="E36">
            <v>0</v>
          </cell>
          <cell r="F36">
            <v>0</v>
          </cell>
          <cell r="G36">
            <v>0</v>
          </cell>
          <cell r="H36">
            <v>0</v>
          </cell>
        </row>
        <row r="37">
          <cell r="D37">
            <v>250000</v>
          </cell>
          <cell r="E37">
            <v>250000</v>
          </cell>
          <cell r="F37">
            <v>0</v>
          </cell>
          <cell r="G37">
            <v>240998.16</v>
          </cell>
          <cell r="H37">
            <v>9001.8399999999965</v>
          </cell>
        </row>
        <row r="38">
          <cell r="D38">
            <v>100000</v>
          </cell>
          <cell r="E38">
            <v>98287</v>
          </cell>
          <cell r="F38">
            <v>1713</v>
          </cell>
          <cell r="G38">
            <v>0</v>
          </cell>
          <cell r="H38">
            <v>100000</v>
          </cell>
        </row>
        <row r="39">
          <cell r="D39">
            <v>350214</v>
          </cell>
          <cell r="E39">
            <v>350214</v>
          </cell>
          <cell r="F39">
            <v>0</v>
          </cell>
          <cell r="G39">
            <v>244639.06</v>
          </cell>
          <cell r="H39">
            <v>105574.94</v>
          </cell>
        </row>
        <row r="40">
          <cell r="D40">
            <v>0</v>
          </cell>
          <cell r="E40">
            <v>0</v>
          </cell>
          <cell r="F40">
            <v>0</v>
          </cell>
          <cell r="G40">
            <v>0</v>
          </cell>
          <cell r="H40">
            <v>0</v>
          </cell>
        </row>
        <row r="41">
          <cell r="D41">
            <v>126982</v>
          </cell>
          <cell r="E41">
            <v>126982</v>
          </cell>
          <cell r="F41">
            <v>0</v>
          </cell>
          <cell r="G41">
            <v>120317.20999999999</v>
          </cell>
          <cell r="H41">
            <v>6664.7900000000081</v>
          </cell>
        </row>
        <row r="42">
          <cell r="D42">
            <v>0</v>
          </cell>
          <cell r="E42">
            <v>0</v>
          </cell>
          <cell r="F42">
            <v>0</v>
          </cell>
          <cell r="G42">
            <v>0</v>
          </cell>
          <cell r="H42">
            <v>0</v>
          </cell>
        </row>
        <row r="43">
          <cell r="D43">
            <v>112244</v>
          </cell>
          <cell r="E43">
            <v>112243.56</v>
          </cell>
          <cell r="F43">
            <v>0.44000000000232831</v>
          </cell>
          <cell r="G43">
            <v>58311.839999999997</v>
          </cell>
          <cell r="H43">
            <v>53932.160000000003</v>
          </cell>
        </row>
        <row r="44">
          <cell r="D44">
            <v>164979</v>
          </cell>
          <cell r="E44">
            <v>164373</v>
          </cell>
          <cell r="F44">
            <v>606</v>
          </cell>
          <cell r="G44">
            <v>152477.03999999998</v>
          </cell>
          <cell r="H44">
            <v>12501.960000000021</v>
          </cell>
        </row>
        <row r="45">
          <cell r="D45">
            <v>99897</v>
          </cell>
          <cell r="E45">
            <v>99879.63</v>
          </cell>
          <cell r="F45">
            <v>17.369999999995343</v>
          </cell>
          <cell r="G45">
            <v>91645.049999999988</v>
          </cell>
          <cell r="H45">
            <v>8251.9500000000116</v>
          </cell>
        </row>
        <row r="46">
          <cell r="D46">
            <v>250000</v>
          </cell>
          <cell r="E46">
            <v>250000</v>
          </cell>
          <cell r="F46">
            <v>0</v>
          </cell>
          <cell r="G46">
            <v>165235.16999999998</v>
          </cell>
          <cell r="H46">
            <v>84764.830000000016</v>
          </cell>
        </row>
        <row r="47">
          <cell r="D47">
            <v>0</v>
          </cell>
          <cell r="E47">
            <v>0</v>
          </cell>
          <cell r="F47">
            <v>0</v>
          </cell>
          <cell r="G47">
            <v>0</v>
          </cell>
          <cell r="H47">
            <v>0</v>
          </cell>
        </row>
        <row r="48">
          <cell r="D48">
            <v>550560</v>
          </cell>
          <cell r="E48">
            <v>519500</v>
          </cell>
          <cell r="F48">
            <v>31060</v>
          </cell>
          <cell r="G48">
            <v>517920.08999999997</v>
          </cell>
          <cell r="H48">
            <v>32639.910000000011</v>
          </cell>
        </row>
        <row r="49">
          <cell r="D49">
            <v>12532522</v>
          </cell>
          <cell r="E49">
            <v>12073903.850000001</v>
          </cell>
          <cell r="F49">
            <v>458618.15</v>
          </cell>
          <cell r="G49">
            <v>2754409.12</v>
          </cell>
          <cell r="H49">
            <v>9778112.879999999</v>
          </cell>
        </row>
        <row r="50">
          <cell r="D50">
            <v>100000</v>
          </cell>
          <cell r="E50">
            <v>0</v>
          </cell>
          <cell r="F50">
            <v>100000</v>
          </cell>
          <cell r="G50">
            <v>0</v>
          </cell>
          <cell r="H50">
            <v>100000</v>
          </cell>
        </row>
        <row r="51">
          <cell r="D51">
            <v>1180793</v>
          </cell>
          <cell r="E51">
            <v>1108033.83</v>
          </cell>
          <cell r="F51">
            <v>72759.17</v>
          </cell>
          <cell r="G51">
            <v>1072519.9099999999</v>
          </cell>
          <cell r="H51">
            <v>108273.09</v>
          </cell>
        </row>
        <row r="52">
          <cell r="D52">
            <v>5921783</v>
          </cell>
          <cell r="E52">
            <v>5841984.7199999997</v>
          </cell>
          <cell r="F52">
            <v>79798.280000000377</v>
          </cell>
          <cell r="G52">
            <v>1173718.23</v>
          </cell>
          <cell r="H52">
            <v>4748064.7699999996</v>
          </cell>
        </row>
        <row r="53">
          <cell r="D53">
            <v>6912542</v>
          </cell>
          <cell r="E53">
            <v>6827594.0599999996</v>
          </cell>
          <cell r="F53">
            <v>84947.940000000031</v>
          </cell>
          <cell r="G53">
            <v>4372489.41</v>
          </cell>
          <cell r="H53">
            <v>2540052.5900000003</v>
          </cell>
        </row>
        <row r="54">
          <cell r="D54">
            <v>2028388</v>
          </cell>
          <cell r="E54">
            <v>2028388</v>
          </cell>
          <cell r="F54">
            <v>0</v>
          </cell>
          <cell r="G54">
            <v>1711781.12</v>
          </cell>
          <cell r="H54">
            <v>316606.87999999995</v>
          </cell>
        </row>
        <row r="55">
          <cell r="D55">
            <v>3796481</v>
          </cell>
          <cell r="E55">
            <v>3705791.48</v>
          </cell>
          <cell r="F55">
            <v>90689.520000000019</v>
          </cell>
          <cell r="G55">
            <v>1420990.86</v>
          </cell>
          <cell r="H55">
            <v>2375490.14</v>
          </cell>
        </row>
        <row r="56">
          <cell r="D56">
            <v>2575916</v>
          </cell>
          <cell r="E56">
            <v>2500859</v>
          </cell>
          <cell r="F56">
            <v>75057</v>
          </cell>
          <cell r="G56">
            <v>23527.19</v>
          </cell>
          <cell r="H56">
            <v>2552388.81</v>
          </cell>
        </row>
        <row r="57">
          <cell r="D57">
            <v>48882</v>
          </cell>
          <cell r="E57">
            <v>30000</v>
          </cell>
          <cell r="F57">
            <v>18882</v>
          </cell>
          <cell r="G57">
            <v>0</v>
          </cell>
          <cell r="H57">
            <v>48882</v>
          </cell>
        </row>
        <row r="58">
          <cell r="D58">
            <v>1075076</v>
          </cell>
          <cell r="E58">
            <v>1062250</v>
          </cell>
          <cell r="F58">
            <v>12826</v>
          </cell>
          <cell r="G58">
            <v>20822.47</v>
          </cell>
          <cell r="H58">
            <v>1054253.53</v>
          </cell>
        </row>
        <row r="59">
          <cell r="D59">
            <v>25425</v>
          </cell>
          <cell r="E59">
            <v>0</v>
          </cell>
          <cell r="F59">
            <v>25425</v>
          </cell>
          <cell r="G59">
            <v>0</v>
          </cell>
          <cell r="H59">
            <v>25425</v>
          </cell>
        </row>
        <row r="60">
          <cell r="D60">
            <v>2054253</v>
          </cell>
          <cell r="E60">
            <v>1854253</v>
          </cell>
          <cell r="F60">
            <v>200000</v>
          </cell>
          <cell r="G60">
            <v>0</v>
          </cell>
          <cell r="H60">
            <v>2054253</v>
          </cell>
        </row>
        <row r="61">
          <cell r="D61">
            <v>3067172</v>
          </cell>
          <cell r="E61">
            <v>1860545</v>
          </cell>
          <cell r="F61">
            <v>1206627</v>
          </cell>
          <cell r="G61">
            <v>26447.489999999998</v>
          </cell>
          <cell r="H61">
            <v>3040724.5100000002</v>
          </cell>
        </row>
        <row r="62">
          <cell r="D62">
            <v>4474004</v>
          </cell>
          <cell r="E62">
            <v>4473905</v>
          </cell>
          <cell r="F62">
            <v>99</v>
          </cell>
          <cell r="G62">
            <v>0</v>
          </cell>
          <cell r="H62">
            <v>4474004</v>
          </cell>
        </row>
        <row r="63">
          <cell r="D63">
            <v>50000</v>
          </cell>
          <cell r="E63">
            <v>50000</v>
          </cell>
          <cell r="F63">
            <v>0</v>
          </cell>
          <cell r="G63">
            <v>47967.16</v>
          </cell>
          <cell r="H63">
            <v>2032.8399999999965</v>
          </cell>
        </row>
        <row r="64">
          <cell r="D64">
            <v>100000</v>
          </cell>
          <cell r="E64">
            <v>50000</v>
          </cell>
          <cell r="F64">
            <v>50000</v>
          </cell>
          <cell r="G64">
            <v>0</v>
          </cell>
          <cell r="H64">
            <v>100000</v>
          </cell>
        </row>
        <row r="65">
          <cell r="D65">
            <v>408761</v>
          </cell>
          <cell r="E65">
            <v>356083</v>
          </cell>
          <cell r="F65">
            <v>52678</v>
          </cell>
          <cell r="G65">
            <v>191885.63</v>
          </cell>
          <cell r="H65">
            <v>216875.37</v>
          </cell>
        </row>
        <row r="66">
          <cell r="D66">
            <v>61203</v>
          </cell>
          <cell r="E66">
            <v>0</v>
          </cell>
          <cell r="F66">
            <v>61203</v>
          </cell>
          <cell r="G66">
            <v>0</v>
          </cell>
          <cell r="H66">
            <v>61203</v>
          </cell>
        </row>
        <row r="67">
          <cell r="D67">
            <v>1122559</v>
          </cell>
          <cell r="E67">
            <v>1113371.05</v>
          </cell>
          <cell r="F67">
            <v>9187.9500000000116</v>
          </cell>
          <cell r="G67">
            <v>1019064.1</v>
          </cell>
          <cell r="H67">
            <v>103494.89999999998</v>
          </cell>
        </row>
        <row r="68">
          <cell r="D68">
            <v>0</v>
          </cell>
          <cell r="E68">
            <v>0</v>
          </cell>
          <cell r="F68">
            <v>0</v>
          </cell>
          <cell r="G68">
            <v>0</v>
          </cell>
          <cell r="H68">
            <v>0</v>
          </cell>
        </row>
        <row r="69">
          <cell r="D69">
            <v>0</v>
          </cell>
          <cell r="E69">
            <v>0</v>
          </cell>
          <cell r="F69">
            <v>0</v>
          </cell>
          <cell r="G69">
            <v>0</v>
          </cell>
          <cell r="H69">
            <v>0</v>
          </cell>
        </row>
        <row r="70">
          <cell r="D70">
            <v>459851</v>
          </cell>
          <cell r="E70">
            <v>344060.18</v>
          </cell>
          <cell r="F70">
            <v>115790.82</v>
          </cell>
          <cell r="G70">
            <v>300345.76</v>
          </cell>
          <cell r="H70">
            <v>159505.24</v>
          </cell>
        </row>
        <row r="71">
          <cell r="D71">
            <v>350198</v>
          </cell>
          <cell r="E71">
            <v>287570</v>
          </cell>
          <cell r="F71">
            <v>62628</v>
          </cell>
          <cell r="G71">
            <v>225625.48</v>
          </cell>
          <cell r="H71">
            <v>124572.51999999999</v>
          </cell>
        </row>
        <row r="72">
          <cell r="D72">
            <v>1260590</v>
          </cell>
          <cell r="E72">
            <v>1151623.79</v>
          </cell>
          <cell r="F72">
            <v>108966.21</v>
          </cell>
          <cell r="G72">
            <v>1105100.42</v>
          </cell>
          <cell r="H72">
            <v>155489.58000000002</v>
          </cell>
        </row>
        <row r="73">
          <cell r="D73">
            <v>0</v>
          </cell>
          <cell r="E73">
            <v>0</v>
          </cell>
          <cell r="F73">
            <v>0</v>
          </cell>
          <cell r="G73">
            <v>0</v>
          </cell>
          <cell r="H73">
            <v>0</v>
          </cell>
        </row>
        <row r="74">
          <cell r="D74">
            <v>67139</v>
          </cell>
          <cell r="E74">
            <v>0</v>
          </cell>
          <cell r="F74">
            <v>67139</v>
          </cell>
          <cell r="G74">
            <v>0</v>
          </cell>
          <cell r="H74">
            <v>67139</v>
          </cell>
        </row>
        <row r="75">
          <cell r="D75">
            <v>18401182</v>
          </cell>
          <cell r="E75">
            <v>17727197.93</v>
          </cell>
          <cell r="F75">
            <v>673984.06999999983</v>
          </cell>
          <cell r="G75">
            <v>13953950.129999999</v>
          </cell>
          <cell r="H75">
            <v>4447231.870000001</v>
          </cell>
        </row>
        <row r="76">
          <cell r="D76">
            <v>91759</v>
          </cell>
          <cell r="E76">
            <v>91758.5</v>
          </cell>
          <cell r="F76">
            <v>0.5</v>
          </cell>
          <cell r="G76">
            <v>82094.58</v>
          </cell>
          <cell r="H76">
            <v>9664.4199999999983</v>
          </cell>
        </row>
        <row r="77">
          <cell r="D77">
            <v>0</v>
          </cell>
          <cell r="E77">
            <v>0</v>
          </cell>
          <cell r="F77">
            <v>0</v>
          </cell>
          <cell r="G77">
            <v>0</v>
          </cell>
          <cell r="H77">
            <v>0</v>
          </cell>
        </row>
        <row r="78">
          <cell r="D78">
            <v>10002053</v>
          </cell>
          <cell r="E78">
            <v>9636351.4800000004</v>
          </cell>
          <cell r="F78">
            <v>365701.52000000019</v>
          </cell>
          <cell r="G78">
            <v>4907767.4499999993</v>
          </cell>
          <cell r="H78">
            <v>5094285.5500000007</v>
          </cell>
        </row>
        <row r="79">
          <cell r="D79">
            <v>2470745</v>
          </cell>
          <cell r="E79">
            <v>2316938.79</v>
          </cell>
          <cell r="F79">
            <v>153806.21000000008</v>
          </cell>
          <cell r="G79">
            <v>1216798.8400000001</v>
          </cell>
          <cell r="H79">
            <v>1253946.1599999999</v>
          </cell>
        </row>
        <row r="80">
          <cell r="D80">
            <v>262341</v>
          </cell>
          <cell r="E80">
            <v>0</v>
          </cell>
          <cell r="F80">
            <v>262341</v>
          </cell>
          <cell r="G80">
            <v>0</v>
          </cell>
          <cell r="H80">
            <v>262341</v>
          </cell>
        </row>
        <row r="81">
          <cell r="D81">
            <v>844818</v>
          </cell>
          <cell r="E81">
            <v>75387.03</v>
          </cell>
          <cell r="F81">
            <v>769430.97</v>
          </cell>
          <cell r="G81">
            <v>75387.03</v>
          </cell>
          <cell r="H81">
            <v>769430.97</v>
          </cell>
        </row>
        <row r="82">
          <cell r="D82">
            <v>0</v>
          </cell>
          <cell r="E82">
            <v>0</v>
          </cell>
          <cell r="F82">
            <v>0</v>
          </cell>
          <cell r="G82">
            <v>0</v>
          </cell>
          <cell r="H82">
            <v>0</v>
          </cell>
        </row>
        <row r="83">
          <cell r="D83">
            <v>14991498</v>
          </cell>
          <cell r="E83">
            <v>14098507.41</v>
          </cell>
          <cell r="F83">
            <v>892990.59000000055</v>
          </cell>
          <cell r="G83">
            <v>9856776.3099999987</v>
          </cell>
          <cell r="H83">
            <v>5134721.6900000013</v>
          </cell>
        </row>
        <row r="84">
          <cell r="D84">
            <v>167638</v>
          </cell>
          <cell r="E84">
            <v>167637.03</v>
          </cell>
          <cell r="F84">
            <v>0.97000000000116415</v>
          </cell>
          <cell r="G84">
            <v>119604.61</v>
          </cell>
          <cell r="H84">
            <v>48033.39</v>
          </cell>
        </row>
        <row r="85">
          <cell r="D85">
            <v>6531673</v>
          </cell>
          <cell r="E85">
            <v>6254262.6699999999</v>
          </cell>
          <cell r="F85">
            <v>277410.32999999996</v>
          </cell>
          <cell r="G85">
            <v>3928904.77</v>
          </cell>
          <cell r="H85">
            <v>2602768.2299999995</v>
          </cell>
        </row>
        <row r="86">
          <cell r="D86">
            <v>5334428</v>
          </cell>
          <cell r="E86">
            <v>5222084.29</v>
          </cell>
          <cell r="F86">
            <v>112343.7099999999</v>
          </cell>
          <cell r="G86">
            <v>5220159.290000001</v>
          </cell>
          <cell r="H86">
            <v>114268.70999999956</v>
          </cell>
        </row>
        <row r="87">
          <cell r="D87">
            <v>22224878</v>
          </cell>
          <cell r="E87">
            <v>21945068.199999999</v>
          </cell>
          <cell r="F87">
            <v>279809.79999999993</v>
          </cell>
          <cell r="G87">
            <v>6322587.9100000001</v>
          </cell>
          <cell r="H87">
            <v>15902290.09</v>
          </cell>
        </row>
        <row r="88">
          <cell r="D88">
            <v>0</v>
          </cell>
          <cell r="E88">
            <v>0</v>
          </cell>
          <cell r="F88">
            <v>0</v>
          </cell>
          <cell r="G88">
            <v>0</v>
          </cell>
          <cell r="H88">
            <v>0</v>
          </cell>
        </row>
        <row r="89">
          <cell r="D89">
            <v>3991499</v>
          </cell>
          <cell r="E89">
            <v>3978899</v>
          </cell>
          <cell r="F89">
            <v>12600</v>
          </cell>
          <cell r="G89">
            <v>0</v>
          </cell>
          <cell r="H89">
            <v>3991499</v>
          </cell>
        </row>
        <row r="90">
          <cell r="D90">
            <v>23727945</v>
          </cell>
          <cell r="E90">
            <v>22694983.110000003</v>
          </cell>
          <cell r="F90">
            <v>1032961.8899999992</v>
          </cell>
          <cell r="G90">
            <v>10808564.640000001</v>
          </cell>
          <cell r="H90">
            <v>12919380.359999999</v>
          </cell>
        </row>
        <row r="91">
          <cell r="D91">
            <v>0</v>
          </cell>
          <cell r="E91">
            <v>0</v>
          </cell>
          <cell r="F91">
            <v>0</v>
          </cell>
          <cell r="G91">
            <v>0</v>
          </cell>
          <cell r="H91">
            <v>0</v>
          </cell>
        </row>
        <row r="92">
          <cell r="D92">
            <v>3297813</v>
          </cell>
          <cell r="E92">
            <v>3297810.4499999997</v>
          </cell>
          <cell r="F92">
            <v>2.5500000001047738</v>
          </cell>
          <cell r="G92">
            <v>3254989.7</v>
          </cell>
          <cell r="H92">
            <v>42823.300000000105</v>
          </cell>
        </row>
        <row r="93">
          <cell r="D93">
            <v>104124</v>
          </cell>
          <cell r="E93">
            <v>48234.880000000005</v>
          </cell>
          <cell r="F93">
            <v>55889.119999999995</v>
          </cell>
          <cell r="G93">
            <v>48234.879999999997</v>
          </cell>
          <cell r="H93">
            <v>55889.120000000003</v>
          </cell>
        </row>
        <row r="94">
          <cell r="D94">
            <v>936343</v>
          </cell>
          <cell r="E94">
            <v>866828.77</v>
          </cell>
          <cell r="F94">
            <v>69514.229999999981</v>
          </cell>
          <cell r="G94">
            <v>866828.77</v>
          </cell>
          <cell r="H94">
            <v>69514.229999999981</v>
          </cell>
        </row>
        <row r="95">
          <cell r="D95">
            <v>100000</v>
          </cell>
          <cell r="E95">
            <v>20000</v>
          </cell>
          <cell r="F95">
            <v>80000</v>
          </cell>
          <cell r="G95">
            <v>13772.3</v>
          </cell>
          <cell r="H95">
            <v>86227.7</v>
          </cell>
        </row>
        <row r="96">
          <cell r="D96">
            <v>6736048</v>
          </cell>
          <cell r="E96">
            <v>6528785.71</v>
          </cell>
          <cell r="F96">
            <v>207262.29</v>
          </cell>
          <cell r="G96">
            <v>2578625.13</v>
          </cell>
          <cell r="H96">
            <v>4157422.8699999996</v>
          </cell>
        </row>
        <row r="97">
          <cell r="D97">
            <v>391951</v>
          </cell>
          <cell r="E97">
            <v>130000</v>
          </cell>
          <cell r="F97">
            <v>261951</v>
          </cell>
          <cell r="G97">
            <v>0</v>
          </cell>
          <cell r="H97">
            <v>391951</v>
          </cell>
        </row>
        <row r="98">
          <cell r="D98">
            <v>0</v>
          </cell>
          <cell r="E98">
            <v>0</v>
          </cell>
          <cell r="F98">
            <v>0</v>
          </cell>
          <cell r="G98">
            <v>0</v>
          </cell>
          <cell r="H98">
            <v>0</v>
          </cell>
        </row>
        <row r="99">
          <cell r="D99">
            <v>6770858</v>
          </cell>
          <cell r="E99">
            <v>5727900.0300000003</v>
          </cell>
          <cell r="F99">
            <v>1042957.9699999997</v>
          </cell>
          <cell r="G99">
            <v>3232450.25</v>
          </cell>
          <cell r="H99">
            <v>3538407.75</v>
          </cell>
        </row>
        <row r="100">
          <cell r="D100">
            <v>171047</v>
          </cell>
          <cell r="E100">
            <v>170547</v>
          </cell>
          <cell r="F100">
            <v>500</v>
          </cell>
          <cell r="G100">
            <v>104642.82</v>
          </cell>
          <cell r="H100">
            <v>66404.179999999993</v>
          </cell>
        </row>
        <row r="101">
          <cell r="D101">
            <v>2408286</v>
          </cell>
          <cell r="E101">
            <v>0</v>
          </cell>
          <cell r="F101">
            <v>2408286</v>
          </cell>
          <cell r="G101">
            <v>0</v>
          </cell>
          <cell r="H101">
            <v>2408286</v>
          </cell>
        </row>
        <row r="102">
          <cell r="D102">
            <v>840279</v>
          </cell>
          <cell r="E102">
            <v>588334</v>
          </cell>
          <cell r="F102">
            <v>251945</v>
          </cell>
          <cell r="G102">
            <v>459222.51</v>
          </cell>
          <cell r="H102">
            <v>381056.49</v>
          </cell>
        </row>
        <row r="103">
          <cell r="D103">
            <v>8141874</v>
          </cell>
          <cell r="E103">
            <v>7901531.1600000001</v>
          </cell>
          <cell r="F103">
            <v>240342.83999999985</v>
          </cell>
          <cell r="G103">
            <v>3734440.93</v>
          </cell>
          <cell r="H103">
            <v>4407433.07</v>
          </cell>
        </row>
        <row r="104">
          <cell r="D104">
            <v>10719366</v>
          </cell>
          <cell r="E104">
            <v>9503663.8200000003</v>
          </cell>
          <cell r="F104">
            <v>1215702.18</v>
          </cell>
          <cell r="G104">
            <v>4582226.3099999996</v>
          </cell>
          <cell r="H104">
            <v>6137139.6899999995</v>
          </cell>
        </row>
        <row r="105">
          <cell r="D105">
            <v>674368</v>
          </cell>
          <cell r="E105">
            <v>173868</v>
          </cell>
          <cell r="F105">
            <v>500500</v>
          </cell>
          <cell r="G105">
            <v>97687.86</v>
          </cell>
          <cell r="H105">
            <v>576680.14</v>
          </cell>
        </row>
        <row r="106">
          <cell r="D106">
            <v>520686</v>
          </cell>
          <cell r="E106">
            <v>519936</v>
          </cell>
          <cell r="F106">
            <v>750</v>
          </cell>
          <cell r="G106">
            <v>435290.95000000007</v>
          </cell>
          <cell r="H106">
            <v>85395.04999999993</v>
          </cell>
        </row>
        <row r="107">
          <cell r="D107">
            <v>321536</v>
          </cell>
          <cell r="E107">
            <v>319536</v>
          </cell>
          <cell r="F107">
            <v>2000</v>
          </cell>
          <cell r="G107">
            <v>219666.12</v>
          </cell>
          <cell r="H107">
            <v>101869.88</v>
          </cell>
        </row>
        <row r="108">
          <cell r="D108">
            <v>4106961</v>
          </cell>
          <cell r="E108">
            <v>3654988.21</v>
          </cell>
          <cell r="F108">
            <v>451972.79000000004</v>
          </cell>
          <cell r="G108">
            <v>1764492.71</v>
          </cell>
          <cell r="H108">
            <v>2342468.29</v>
          </cell>
        </row>
        <row r="109">
          <cell r="D109">
            <v>230847</v>
          </cell>
          <cell r="E109">
            <v>230597</v>
          </cell>
          <cell r="F109">
            <v>250</v>
          </cell>
          <cell r="G109">
            <v>149795.84000000003</v>
          </cell>
          <cell r="H109">
            <v>81051.159999999974</v>
          </cell>
        </row>
        <row r="110">
          <cell r="D110">
            <v>349206</v>
          </cell>
          <cell r="E110">
            <v>243147.4</v>
          </cell>
          <cell r="F110">
            <v>106058.6</v>
          </cell>
          <cell r="G110">
            <v>203537.66999999998</v>
          </cell>
          <cell r="H110">
            <v>145668.33000000002</v>
          </cell>
        </row>
        <row r="111">
          <cell r="D111">
            <v>239379</v>
          </cell>
          <cell r="E111">
            <v>206500</v>
          </cell>
          <cell r="F111">
            <v>32879</v>
          </cell>
          <cell r="G111">
            <v>87235.37</v>
          </cell>
          <cell r="H111">
            <v>152143.63</v>
          </cell>
        </row>
        <row r="112">
          <cell r="D112">
            <v>118786</v>
          </cell>
          <cell r="E112">
            <v>112400</v>
          </cell>
          <cell r="F112">
            <v>6386</v>
          </cell>
          <cell r="G112">
            <v>73781.179999999993</v>
          </cell>
          <cell r="H112">
            <v>45004.820000000007</v>
          </cell>
        </row>
        <row r="113">
          <cell r="D113">
            <v>141416</v>
          </cell>
          <cell r="E113">
            <v>130450</v>
          </cell>
          <cell r="F113">
            <v>10966</v>
          </cell>
          <cell r="G113">
            <v>91615.61</v>
          </cell>
          <cell r="H113">
            <v>49800.39</v>
          </cell>
        </row>
        <row r="114">
          <cell r="D114">
            <v>230550</v>
          </cell>
          <cell r="E114">
            <v>189499</v>
          </cell>
          <cell r="F114">
            <v>41051</v>
          </cell>
          <cell r="G114">
            <v>133985.88</v>
          </cell>
          <cell r="H114">
            <v>96564.12</v>
          </cell>
        </row>
        <row r="115">
          <cell r="D115">
            <v>490000</v>
          </cell>
          <cell r="E115">
            <v>490000</v>
          </cell>
          <cell r="F115">
            <v>0</v>
          </cell>
          <cell r="G115">
            <v>334344.42000000004</v>
          </cell>
          <cell r="H115">
            <v>155655.57999999996</v>
          </cell>
        </row>
        <row r="116">
          <cell r="D116">
            <v>0</v>
          </cell>
          <cell r="E116">
            <v>0</v>
          </cell>
          <cell r="F116">
            <v>0</v>
          </cell>
          <cell r="G116">
            <v>0</v>
          </cell>
          <cell r="H116">
            <v>0</v>
          </cell>
        </row>
        <row r="117">
          <cell r="D117">
            <v>350000</v>
          </cell>
          <cell r="E117">
            <v>350000</v>
          </cell>
          <cell r="F117">
            <v>0</v>
          </cell>
          <cell r="G117">
            <v>145642.76999999999</v>
          </cell>
          <cell r="H117">
            <v>204357.23</v>
          </cell>
        </row>
        <row r="118">
          <cell r="D118">
            <v>550000</v>
          </cell>
          <cell r="E118">
            <v>547400</v>
          </cell>
          <cell r="F118">
            <v>2600</v>
          </cell>
          <cell r="G118">
            <v>231637.81</v>
          </cell>
          <cell r="H118">
            <v>318362.19</v>
          </cell>
        </row>
        <row r="119">
          <cell r="D119">
            <v>75173</v>
          </cell>
          <cell r="E119">
            <v>75173</v>
          </cell>
          <cell r="F119">
            <v>0</v>
          </cell>
          <cell r="G119">
            <v>59170.239999999998</v>
          </cell>
          <cell r="H119">
            <v>16002.760000000002</v>
          </cell>
        </row>
        <row r="120">
          <cell r="D120">
            <v>0</v>
          </cell>
          <cell r="E120">
            <v>0</v>
          </cell>
          <cell r="F120">
            <v>0</v>
          </cell>
          <cell r="G120">
            <v>0</v>
          </cell>
          <cell r="H120">
            <v>0</v>
          </cell>
        </row>
        <row r="121">
          <cell r="D121">
            <v>0</v>
          </cell>
          <cell r="E121">
            <v>0</v>
          </cell>
          <cell r="F121">
            <v>0</v>
          </cell>
          <cell r="G121">
            <v>0</v>
          </cell>
          <cell r="H121">
            <v>0</v>
          </cell>
        </row>
        <row r="122">
          <cell r="D122">
            <v>330710</v>
          </cell>
          <cell r="E122">
            <v>275398.95</v>
          </cell>
          <cell r="F122">
            <v>55311.049999999988</v>
          </cell>
          <cell r="G122">
            <v>184886.54</v>
          </cell>
          <cell r="H122">
            <v>145823.46</v>
          </cell>
        </row>
        <row r="123">
          <cell r="D123">
            <v>50000</v>
          </cell>
          <cell r="E123">
            <v>49980</v>
          </cell>
          <cell r="F123">
            <v>20</v>
          </cell>
          <cell r="G123">
            <v>49974.770000000004</v>
          </cell>
          <cell r="H123">
            <v>25.229999999995925</v>
          </cell>
        </row>
        <row r="124">
          <cell r="D124">
            <v>278409</v>
          </cell>
          <cell r="E124">
            <v>278409</v>
          </cell>
          <cell r="F124">
            <v>0</v>
          </cell>
          <cell r="G124">
            <v>202805.9</v>
          </cell>
          <cell r="H124">
            <v>75603.100000000006</v>
          </cell>
        </row>
        <row r="125">
          <cell r="D125">
            <v>347083</v>
          </cell>
          <cell r="E125">
            <v>346214.6</v>
          </cell>
          <cell r="F125">
            <v>868.40000000002328</v>
          </cell>
          <cell r="G125">
            <v>229284.11000000002</v>
          </cell>
          <cell r="H125">
            <v>117798.88999999998</v>
          </cell>
        </row>
        <row r="126">
          <cell r="D126">
            <v>159651</v>
          </cell>
          <cell r="E126">
            <v>151653</v>
          </cell>
          <cell r="F126">
            <v>7998</v>
          </cell>
          <cell r="G126">
            <v>12000</v>
          </cell>
          <cell r="H126">
            <v>147651</v>
          </cell>
        </row>
        <row r="127">
          <cell r="D127">
            <v>612293</v>
          </cell>
          <cell r="E127">
            <v>612293</v>
          </cell>
          <cell r="F127">
            <v>0</v>
          </cell>
          <cell r="G127">
            <v>544921.63</v>
          </cell>
          <cell r="H127">
            <v>67371.37</v>
          </cell>
        </row>
        <row r="128">
          <cell r="D128">
            <v>0</v>
          </cell>
          <cell r="E128">
            <v>0</v>
          </cell>
          <cell r="F128">
            <v>0</v>
          </cell>
          <cell r="G128">
            <v>0</v>
          </cell>
          <cell r="H128">
            <v>0</v>
          </cell>
        </row>
        <row r="129">
          <cell r="D129">
            <v>275790</v>
          </cell>
          <cell r="E129">
            <v>274002.40000000002</v>
          </cell>
          <cell r="F129">
            <v>1787.5999999999767</v>
          </cell>
          <cell r="G129">
            <v>141484.27000000002</v>
          </cell>
          <cell r="H129">
            <v>134305.72999999998</v>
          </cell>
        </row>
        <row r="130">
          <cell r="D130">
            <v>255799</v>
          </cell>
          <cell r="E130">
            <v>195378.5</v>
          </cell>
          <cell r="F130">
            <v>60420.5</v>
          </cell>
          <cell r="G130">
            <v>130926.67000000001</v>
          </cell>
          <cell r="H130">
            <v>124872.32999999999</v>
          </cell>
        </row>
        <row r="131">
          <cell r="D131">
            <v>222962</v>
          </cell>
          <cell r="E131">
            <v>193349.5</v>
          </cell>
          <cell r="F131">
            <v>29612.5</v>
          </cell>
          <cell r="G131">
            <v>193266.31</v>
          </cell>
          <cell r="H131">
            <v>29695.690000000002</v>
          </cell>
        </row>
        <row r="132">
          <cell r="D132">
            <v>30000</v>
          </cell>
          <cell r="E132">
            <v>0</v>
          </cell>
          <cell r="F132">
            <v>30000</v>
          </cell>
          <cell r="G132">
            <v>0</v>
          </cell>
          <cell r="H132">
            <v>30000</v>
          </cell>
        </row>
        <row r="133">
          <cell r="D133">
            <v>100000</v>
          </cell>
          <cell r="E133">
            <v>0</v>
          </cell>
          <cell r="F133">
            <v>100000</v>
          </cell>
          <cell r="G133">
            <v>0</v>
          </cell>
          <cell r="H133">
            <v>100000</v>
          </cell>
        </row>
        <row r="134">
          <cell r="D134">
            <v>90586</v>
          </cell>
          <cell r="E134">
            <v>90435.199999999997</v>
          </cell>
          <cell r="F134">
            <v>150.80000000000291</v>
          </cell>
          <cell r="G134">
            <v>78301.599999999991</v>
          </cell>
          <cell r="H134">
            <v>12284.400000000009</v>
          </cell>
        </row>
        <row r="135">
          <cell r="D135">
            <v>84111</v>
          </cell>
          <cell r="E135">
            <v>84111</v>
          </cell>
          <cell r="F135">
            <v>0</v>
          </cell>
          <cell r="G135">
            <v>81079.12999999999</v>
          </cell>
          <cell r="H135">
            <v>3031.8700000000099</v>
          </cell>
        </row>
        <row r="136">
          <cell r="D136">
            <v>1479604</v>
          </cell>
          <cell r="E136">
            <v>1473924.03</v>
          </cell>
          <cell r="F136">
            <v>5679.9700000000012</v>
          </cell>
          <cell r="G136">
            <v>7416.86</v>
          </cell>
          <cell r="H136">
            <v>1472187.14</v>
          </cell>
        </row>
        <row r="137">
          <cell r="D137">
            <v>5089845</v>
          </cell>
          <cell r="E137">
            <v>5064673</v>
          </cell>
          <cell r="F137">
            <v>25172</v>
          </cell>
          <cell r="G137">
            <v>0</v>
          </cell>
          <cell r="H137">
            <v>5089845</v>
          </cell>
        </row>
        <row r="138">
          <cell r="D138">
            <v>4863</v>
          </cell>
          <cell r="E138">
            <v>4863</v>
          </cell>
          <cell r="F138">
            <v>0</v>
          </cell>
          <cell r="G138">
            <v>0</v>
          </cell>
          <cell r="H138">
            <v>4863</v>
          </cell>
        </row>
        <row r="139">
          <cell r="D139">
            <v>5931027</v>
          </cell>
          <cell r="E139">
            <v>5660459</v>
          </cell>
          <cell r="F139">
            <v>270568</v>
          </cell>
          <cell r="G139">
            <v>1327663.78</v>
          </cell>
          <cell r="H139">
            <v>4603363.22</v>
          </cell>
        </row>
        <row r="140">
          <cell r="D140">
            <v>9222405</v>
          </cell>
          <cell r="E140">
            <v>8798687.2000000011</v>
          </cell>
          <cell r="F140">
            <v>423717.79999999987</v>
          </cell>
          <cell r="G140">
            <v>4917447.71</v>
          </cell>
          <cell r="H140">
            <v>4304957.29</v>
          </cell>
        </row>
        <row r="141">
          <cell r="D141">
            <v>14380884</v>
          </cell>
          <cell r="E141">
            <v>14132471.25</v>
          </cell>
          <cell r="F141">
            <v>248412.75000000006</v>
          </cell>
          <cell r="G141">
            <v>7870455.29</v>
          </cell>
          <cell r="H141">
            <v>6510428.71</v>
          </cell>
        </row>
        <row r="142">
          <cell r="D142">
            <v>5194033</v>
          </cell>
          <cell r="E142">
            <v>5104756.7699999996</v>
          </cell>
          <cell r="F142">
            <v>89276.230000000447</v>
          </cell>
          <cell r="G142">
            <v>385631.47</v>
          </cell>
          <cell r="H142">
            <v>4808401.53</v>
          </cell>
        </row>
        <row r="143">
          <cell r="D143">
            <v>178134</v>
          </cell>
          <cell r="E143">
            <v>129803.29</v>
          </cell>
          <cell r="F143">
            <v>48330.710000000006</v>
          </cell>
          <cell r="G143">
            <v>122423.54</v>
          </cell>
          <cell r="H143">
            <v>55710.460000000006</v>
          </cell>
        </row>
        <row r="144">
          <cell r="D144">
            <v>220481</v>
          </cell>
          <cell r="E144">
            <v>81593.5</v>
          </cell>
          <cell r="F144">
            <v>138887.5</v>
          </cell>
          <cell r="G144">
            <v>69050.51999999999</v>
          </cell>
          <cell r="H144">
            <v>151430.48000000001</v>
          </cell>
        </row>
        <row r="145">
          <cell r="D145">
            <v>57442</v>
          </cell>
          <cell r="E145">
            <v>57136.9</v>
          </cell>
          <cell r="F145">
            <v>305.09999999999854</v>
          </cell>
          <cell r="G145">
            <v>54415.03</v>
          </cell>
          <cell r="H145">
            <v>3026.9700000000012</v>
          </cell>
        </row>
        <row r="146">
          <cell r="D146">
            <v>225842</v>
          </cell>
          <cell r="E146">
            <v>0</v>
          </cell>
          <cell r="F146">
            <v>225842</v>
          </cell>
          <cell r="G146">
            <v>0</v>
          </cell>
          <cell r="H146">
            <v>225842</v>
          </cell>
        </row>
        <row r="147">
          <cell r="D147">
            <v>565870</v>
          </cell>
          <cell r="E147">
            <v>502948.57</v>
          </cell>
          <cell r="F147">
            <v>62921.43</v>
          </cell>
          <cell r="G147">
            <v>446229.16000000003</v>
          </cell>
          <cell r="H147">
            <v>119640.84</v>
          </cell>
        </row>
        <row r="148">
          <cell r="D148">
            <v>728529</v>
          </cell>
          <cell r="E148">
            <v>0</v>
          </cell>
          <cell r="F148">
            <v>728529</v>
          </cell>
          <cell r="G148">
            <v>0</v>
          </cell>
          <cell r="H148">
            <v>728529</v>
          </cell>
        </row>
        <row r="149">
          <cell r="D149">
            <v>0</v>
          </cell>
          <cell r="E149">
            <v>0</v>
          </cell>
          <cell r="F149">
            <v>0</v>
          </cell>
          <cell r="G149">
            <v>0</v>
          </cell>
          <cell r="H149">
            <v>0</v>
          </cell>
        </row>
        <row r="150">
          <cell r="D150">
            <v>118539</v>
          </cell>
          <cell r="E150">
            <v>70562.12999999999</v>
          </cell>
          <cell r="F150">
            <v>47976.87</v>
          </cell>
          <cell r="G150">
            <v>70562.12999999999</v>
          </cell>
          <cell r="H150">
            <v>47976.87</v>
          </cell>
        </row>
        <row r="151">
          <cell r="D151">
            <v>0</v>
          </cell>
          <cell r="E151">
            <v>0</v>
          </cell>
          <cell r="F151">
            <v>0</v>
          </cell>
          <cell r="G151">
            <v>0</v>
          </cell>
          <cell r="H151">
            <v>0</v>
          </cell>
        </row>
        <row r="152">
          <cell r="D152">
            <v>2342684</v>
          </cell>
          <cell r="E152">
            <v>2103427</v>
          </cell>
          <cell r="F152">
            <v>239257</v>
          </cell>
          <cell r="G152">
            <v>757130.86999999988</v>
          </cell>
          <cell r="H152">
            <v>1585553.1300000001</v>
          </cell>
        </row>
        <row r="153">
          <cell r="D153">
            <v>41720</v>
          </cell>
          <cell r="E153">
            <v>31883.37</v>
          </cell>
          <cell r="F153">
            <v>9836.630000000001</v>
          </cell>
          <cell r="G153">
            <v>31883.370000000003</v>
          </cell>
          <cell r="H153">
            <v>9836.6299999999974</v>
          </cell>
        </row>
        <row r="154">
          <cell r="D154">
            <v>0</v>
          </cell>
          <cell r="E154">
            <v>0</v>
          </cell>
          <cell r="F154">
            <v>0</v>
          </cell>
          <cell r="G154">
            <v>0</v>
          </cell>
          <cell r="H154">
            <v>0</v>
          </cell>
        </row>
        <row r="155">
          <cell r="D155">
            <v>29298</v>
          </cell>
          <cell r="E155">
            <v>29298</v>
          </cell>
          <cell r="F155">
            <v>0</v>
          </cell>
          <cell r="G155">
            <v>0</v>
          </cell>
          <cell r="H155">
            <v>29298</v>
          </cell>
        </row>
        <row r="156">
          <cell r="D156">
            <v>80000</v>
          </cell>
          <cell r="E156">
            <v>55480</v>
          </cell>
          <cell r="F156">
            <v>24520</v>
          </cell>
          <cell r="G156">
            <v>33156.76</v>
          </cell>
          <cell r="H156">
            <v>46843.24</v>
          </cell>
        </row>
        <row r="157">
          <cell r="D157">
            <v>0</v>
          </cell>
          <cell r="E157">
            <v>0</v>
          </cell>
          <cell r="F157">
            <v>0</v>
          </cell>
          <cell r="G157">
            <v>0</v>
          </cell>
          <cell r="H157">
            <v>0</v>
          </cell>
        </row>
        <row r="158">
          <cell r="D158">
            <v>171495</v>
          </cell>
          <cell r="E158">
            <v>171495</v>
          </cell>
          <cell r="F158">
            <v>0</v>
          </cell>
          <cell r="G158">
            <v>98043.32</v>
          </cell>
          <cell r="H158">
            <v>73451.679999999993</v>
          </cell>
        </row>
        <row r="159">
          <cell r="D159">
            <v>400000</v>
          </cell>
          <cell r="E159">
            <v>0</v>
          </cell>
          <cell r="F159">
            <v>400000</v>
          </cell>
          <cell r="G159">
            <v>0</v>
          </cell>
          <cell r="H159">
            <v>400000</v>
          </cell>
        </row>
        <row r="160">
          <cell r="D160">
            <v>704972</v>
          </cell>
          <cell r="E160">
            <v>255972</v>
          </cell>
          <cell r="F160">
            <v>449000</v>
          </cell>
          <cell r="G160">
            <v>6849.33</v>
          </cell>
          <cell r="H160">
            <v>698122.66999999993</v>
          </cell>
        </row>
        <row r="161">
          <cell r="D161">
            <v>1142346</v>
          </cell>
          <cell r="E161">
            <v>441795.1</v>
          </cell>
          <cell r="F161">
            <v>700550.9</v>
          </cell>
          <cell r="G161">
            <v>5098.8500000000004</v>
          </cell>
          <cell r="H161">
            <v>1137247.1499999999</v>
          </cell>
        </row>
        <row r="162">
          <cell r="D162">
            <v>151569</v>
          </cell>
          <cell r="E162">
            <v>148381</v>
          </cell>
          <cell r="F162">
            <v>3188</v>
          </cell>
          <cell r="G162">
            <v>136766.03</v>
          </cell>
          <cell r="H162">
            <v>14802.970000000001</v>
          </cell>
        </row>
        <row r="163">
          <cell r="D163">
            <v>0</v>
          </cell>
          <cell r="E163">
            <v>0</v>
          </cell>
          <cell r="F163">
            <v>0</v>
          </cell>
          <cell r="G163">
            <v>0</v>
          </cell>
          <cell r="H163">
            <v>0</v>
          </cell>
        </row>
        <row r="164">
          <cell r="D164">
            <v>33556</v>
          </cell>
          <cell r="E164">
            <v>33489.5</v>
          </cell>
          <cell r="F164">
            <v>66.5</v>
          </cell>
          <cell r="G164">
            <v>28428.44</v>
          </cell>
          <cell r="H164">
            <v>5127.5600000000013</v>
          </cell>
        </row>
        <row r="165">
          <cell r="D165">
            <v>0</v>
          </cell>
          <cell r="E165">
            <v>0</v>
          </cell>
          <cell r="F165">
            <v>0</v>
          </cell>
          <cell r="G165">
            <v>0</v>
          </cell>
          <cell r="H165">
            <v>0</v>
          </cell>
        </row>
        <row r="166">
          <cell r="D166">
            <v>0</v>
          </cell>
          <cell r="E166">
            <v>0</v>
          </cell>
          <cell r="F166">
            <v>0</v>
          </cell>
          <cell r="G166">
            <v>0</v>
          </cell>
          <cell r="H166">
            <v>0</v>
          </cell>
        </row>
        <row r="167">
          <cell r="D167">
            <v>2397705</v>
          </cell>
          <cell r="E167">
            <v>1478359.3599999999</v>
          </cell>
          <cell r="F167">
            <v>919345.64</v>
          </cell>
          <cell r="G167">
            <v>736272.58</v>
          </cell>
          <cell r="H167">
            <v>1661432.42</v>
          </cell>
        </row>
        <row r="168">
          <cell r="D168">
            <v>100000</v>
          </cell>
          <cell r="E168">
            <v>24506.97</v>
          </cell>
          <cell r="F168">
            <v>75493.03</v>
          </cell>
          <cell r="G168">
            <v>24506.97</v>
          </cell>
          <cell r="H168">
            <v>75493.03</v>
          </cell>
        </row>
        <row r="169">
          <cell r="D169">
            <v>106670</v>
          </cell>
          <cell r="E169">
            <v>106670</v>
          </cell>
          <cell r="F169">
            <v>0</v>
          </cell>
          <cell r="G169">
            <v>96622.29</v>
          </cell>
          <cell r="H169">
            <v>10047.710000000006</v>
          </cell>
        </row>
        <row r="170">
          <cell r="D170">
            <v>306148</v>
          </cell>
          <cell r="E170">
            <v>306148</v>
          </cell>
          <cell r="F170">
            <v>0</v>
          </cell>
          <cell r="G170">
            <v>173568.25</v>
          </cell>
          <cell r="H170">
            <v>132579.75</v>
          </cell>
        </row>
        <row r="171">
          <cell r="D171">
            <v>40486</v>
          </cell>
          <cell r="E171">
            <v>27985</v>
          </cell>
          <cell r="F171">
            <v>12501</v>
          </cell>
          <cell r="G171">
            <v>15934.18</v>
          </cell>
          <cell r="H171">
            <v>24551.82</v>
          </cell>
        </row>
        <row r="172">
          <cell r="D172">
            <v>159574</v>
          </cell>
          <cell r="E172">
            <v>125168.92</v>
          </cell>
          <cell r="F172">
            <v>34405.08</v>
          </cell>
          <cell r="G172">
            <v>80461.59</v>
          </cell>
          <cell r="H172">
            <v>79112.41</v>
          </cell>
        </row>
        <row r="173">
          <cell r="D173">
            <v>1861270</v>
          </cell>
          <cell r="E173">
            <v>1239981.4100000001</v>
          </cell>
          <cell r="F173">
            <v>621288.59</v>
          </cell>
          <cell r="G173">
            <v>982360.76</v>
          </cell>
          <cell r="H173">
            <v>878909.24000000022</v>
          </cell>
        </row>
        <row r="174">
          <cell r="D174">
            <v>50467</v>
          </cell>
          <cell r="E174">
            <v>50466.81</v>
          </cell>
          <cell r="F174">
            <v>0.19000000000232831</v>
          </cell>
          <cell r="G174">
            <v>48902.8</v>
          </cell>
          <cell r="H174">
            <v>1564.1999999999971</v>
          </cell>
        </row>
        <row r="175">
          <cell r="D175">
            <v>0</v>
          </cell>
          <cell r="E175">
            <v>0</v>
          </cell>
          <cell r="F175">
            <v>0</v>
          </cell>
          <cell r="G175">
            <v>0</v>
          </cell>
          <cell r="H175">
            <v>0</v>
          </cell>
        </row>
        <row r="176">
          <cell r="D176">
            <v>0</v>
          </cell>
          <cell r="E176">
            <v>0</v>
          </cell>
          <cell r="F176">
            <v>0</v>
          </cell>
          <cell r="G176">
            <v>0</v>
          </cell>
          <cell r="H176">
            <v>0</v>
          </cell>
        </row>
        <row r="177">
          <cell r="D177">
            <v>3866926</v>
          </cell>
          <cell r="E177">
            <v>2101121.2600000002</v>
          </cell>
          <cell r="F177">
            <v>1765804.74</v>
          </cell>
          <cell r="G177">
            <v>1977904.6299999997</v>
          </cell>
          <cell r="H177">
            <v>1889021.37</v>
          </cell>
        </row>
        <row r="178">
          <cell r="D178">
            <v>1731459</v>
          </cell>
          <cell r="E178">
            <v>0</v>
          </cell>
          <cell r="F178">
            <v>1731459</v>
          </cell>
          <cell r="G178">
            <v>0</v>
          </cell>
          <cell r="H178">
            <v>1731459</v>
          </cell>
        </row>
        <row r="179">
          <cell r="D179">
            <v>1367094</v>
          </cell>
          <cell r="E179">
            <v>0</v>
          </cell>
          <cell r="F179">
            <v>1367094</v>
          </cell>
          <cell r="G179">
            <v>0</v>
          </cell>
          <cell r="H179">
            <v>1367094</v>
          </cell>
        </row>
        <row r="180">
          <cell r="D180">
            <v>0</v>
          </cell>
          <cell r="E180">
            <v>0</v>
          </cell>
          <cell r="F180">
            <v>0</v>
          </cell>
          <cell r="G180">
            <v>0</v>
          </cell>
          <cell r="H180">
            <v>0</v>
          </cell>
        </row>
        <row r="181">
          <cell r="D181">
            <v>928209</v>
          </cell>
          <cell r="E181">
            <v>899241.03</v>
          </cell>
          <cell r="F181">
            <v>28967.969999999972</v>
          </cell>
          <cell r="G181">
            <v>562739.85</v>
          </cell>
          <cell r="H181">
            <v>365469.15</v>
          </cell>
        </row>
        <row r="182">
          <cell r="D182">
            <v>5810277</v>
          </cell>
          <cell r="E182">
            <v>5160201.5999999996</v>
          </cell>
          <cell r="F182">
            <v>650075.39999999991</v>
          </cell>
          <cell r="G182">
            <v>1005736.6399999999</v>
          </cell>
          <cell r="H182">
            <v>4804540.3599999994</v>
          </cell>
        </row>
        <row r="183">
          <cell r="D183">
            <v>1332387</v>
          </cell>
          <cell r="E183">
            <v>1330869.6099999999</v>
          </cell>
          <cell r="F183">
            <v>1517.390000000014</v>
          </cell>
          <cell r="G183">
            <v>1187718.7999999998</v>
          </cell>
          <cell r="H183">
            <v>144668.20000000013</v>
          </cell>
        </row>
        <row r="184">
          <cell r="D184">
            <v>56150305</v>
          </cell>
          <cell r="E184">
            <v>56070305</v>
          </cell>
          <cell r="F184">
            <v>80000</v>
          </cell>
          <cell r="G184">
            <v>25347755.030000001</v>
          </cell>
          <cell r="H184">
            <v>30802549.969999999</v>
          </cell>
        </row>
        <row r="185">
          <cell r="D185">
            <v>53759397</v>
          </cell>
          <cell r="E185">
            <v>53759396.899999999</v>
          </cell>
          <cell r="F185">
            <v>0.10000000000002274</v>
          </cell>
          <cell r="G185">
            <v>261343.05</v>
          </cell>
          <cell r="H185">
            <v>53498053.950000003</v>
          </cell>
        </row>
        <row r="186">
          <cell r="D186">
            <v>3318026</v>
          </cell>
          <cell r="E186">
            <v>3033590.45</v>
          </cell>
          <cell r="F186">
            <v>284435.55</v>
          </cell>
          <cell r="G186">
            <v>2064305.0299999998</v>
          </cell>
          <cell r="H186">
            <v>1253720.9700000002</v>
          </cell>
        </row>
        <row r="187">
          <cell r="D187">
            <v>407088</v>
          </cell>
          <cell r="E187">
            <v>322680.40000000002</v>
          </cell>
          <cell r="F187">
            <v>84407.599999999977</v>
          </cell>
          <cell r="G187">
            <v>280852.02</v>
          </cell>
          <cell r="H187">
            <v>126235.98</v>
          </cell>
        </row>
        <row r="188">
          <cell r="D188">
            <v>10519577</v>
          </cell>
          <cell r="E188">
            <v>9232380.2200000007</v>
          </cell>
          <cell r="F188">
            <v>1287196.7799999998</v>
          </cell>
          <cell r="G188">
            <v>6703493.129999999</v>
          </cell>
          <cell r="H188">
            <v>3816083.8700000006</v>
          </cell>
        </row>
        <row r="189">
          <cell r="D189">
            <v>10208307</v>
          </cell>
          <cell r="E189">
            <v>9880484.9199999999</v>
          </cell>
          <cell r="F189">
            <v>327822.08000000042</v>
          </cell>
          <cell r="G189">
            <v>4806962.3599999994</v>
          </cell>
          <cell r="H189">
            <v>5401344.6400000006</v>
          </cell>
        </row>
        <row r="190">
          <cell r="D190">
            <v>46429</v>
          </cell>
          <cell r="E190">
            <v>0</v>
          </cell>
          <cell r="F190">
            <v>46429</v>
          </cell>
          <cell r="G190">
            <v>0</v>
          </cell>
          <cell r="H190">
            <v>46429</v>
          </cell>
        </row>
        <row r="191">
          <cell r="D191">
            <v>18753537</v>
          </cell>
          <cell r="E191">
            <v>18471517.050000001</v>
          </cell>
          <cell r="F191">
            <v>282019.94999999925</v>
          </cell>
          <cell r="G191">
            <v>16212318.050000001</v>
          </cell>
          <cell r="H191">
            <v>2541218.9499999993</v>
          </cell>
        </row>
        <row r="192">
          <cell r="D192">
            <v>10399190</v>
          </cell>
          <cell r="E192">
            <v>9609876</v>
          </cell>
          <cell r="F192">
            <v>789314</v>
          </cell>
          <cell r="G192">
            <v>0</v>
          </cell>
          <cell r="H192">
            <v>10399190</v>
          </cell>
        </row>
        <row r="193">
          <cell r="D193">
            <v>6997430</v>
          </cell>
          <cell r="E193">
            <v>6729413.1099999994</v>
          </cell>
          <cell r="F193">
            <v>268016.89000000007</v>
          </cell>
          <cell r="G193">
            <v>2245057.4900000002</v>
          </cell>
          <cell r="H193">
            <v>4752372.51</v>
          </cell>
        </row>
        <row r="194">
          <cell r="D194">
            <v>18108320</v>
          </cell>
          <cell r="E194">
            <v>16981604.630000003</v>
          </cell>
          <cell r="F194">
            <v>1126715.3699999999</v>
          </cell>
          <cell r="G194">
            <v>7610417.5800000001</v>
          </cell>
          <cell r="H194">
            <v>10497902.42</v>
          </cell>
        </row>
        <row r="195">
          <cell r="D195">
            <v>133512</v>
          </cell>
          <cell r="E195">
            <v>0</v>
          </cell>
          <cell r="F195">
            <v>133512</v>
          </cell>
          <cell r="G195">
            <v>0</v>
          </cell>
          <cell r="H195">
            <v>133512</v>
          </cell>
        </row>
        <row r="196">
          <cell r="D196">
            <v>0</v>
          </cell>
          <cell r="E196">
            <v>0</v>
          </cell>
          <cell r="F196">
            <v>0</v>
          </cell>
          <cell r="G196">
            <v>0</v>
          </cell>
          <cell r="H196">
            <v>0</v>
          </cell>
        </row>
        <row r="197">
          <cell r="D197">
            <v>0</v>
          </cell>
          <cell r="E197">
            <v>0</v>
          </cell>
          <cell r="F197">
            <v>0</v>
          </cell>
          <cell r="G197">
            <v>0</v>
          </cell>
          <cell r="H197">
            <v>0</v>
          </cell>
        </row>
        <row r="198">
          <cell r="D198">
            <v>1333346</v>
          </cell>
          <cell r="E198">
            <v>746819.06</v>
          </cell>
          <cell r="F198">
            <v>586526.94000000006</v>
          </cell>
          <cell r="G198">
            <v>3128.7</v>
          </cell>
          <cell r="H198">
            <v>1330217.3</v>
          </cell>
        </row>
        <row r="199">
          <cell r="D199">
            <v>17484286</v>
          </cell>
          <cell r="E199">
            <v>17330462.93</v>
          </cell>
          <cell r="F199">
            <v>153823.07000000018</v>
          </cell>
          <cell r="G199">
            <v>15329100.540000001</v>
          </cell>
          <cell r="H199">
            <v>2155185.459999999</v>
          </cell>
        </row>
        <row r="200">
          <cell r="D200">
            <v>0</v>
          </cell>
          <cell r="E200">
            <v>0</v>
          </cell>
          <cell r="F200">
            <v>0</v>
          </cell>
          <cell r="G200">
            <v>0</v>
          </cell>
          <cell r="H200">
            <v>0</v>
          </cell>
        </row>
        <row r="201">
          <cell r="D201">
            <v>0</v>
          </cell>
          <cell r="E201">
            <v>0</v>
          </cell>
          <cell r="F201">
            <v>0</v>
          </cell>
          <cell r="G201">
            <v>0</v>
          </cell>
          <cell r="H201">
            <v>0</v>
          </cell>
        </row>
        <row r="202">
          <cell r="D202">
            <v>7374992</v>
          </cell>
          <cell r="E202">
            <v>7374802</v>
          </cell>
          <cell r="F202">
            <v>190</v>
          </cell>
          <cell r="G202">
            <v>0</v>
          </cell>
          <cell r="H202">
            <v>7374992</v>
          </cell>
        </row>
        <row r="203">
          <cell r="D203">
            <v>5217703</v>
          </cell>
          <cell r="E203">
            <v>5217703</v>
          </cell>
          <cell r="F203">
            <v>0</v>
          </cell>
          <cell r="G203">
            <v>0</v>
          </cell>
          <cell r="H203">
            <v>5217703</v>
          </cell>
        </row>
        <row r="204">
          <cell r="D204">
            <v>0</v>
          </cell>
          <cell r="E204">
            <v>0</v>
          </cell>
          <cell r="F204">
            <v>0</v>
          </cell>
          <cell r="G204">
            <v>0</v>
          </cell>
          <cell r="H204">
            <v>0</v>
          </cell>
        </row>
        <row r="205">
          <cell r="D205">
            <v>8766661</v>
          </cell>
          <cell r="E205">
            <v>8493624.370000001</v>
          </cell>
          <cell r="F205">
            <v>273036.62999999977</v>
          </cell>
          <cell r="G205">
            <v>3756081.38</v>
          </cell>
          <cell r="H205">
            <v>5010579.62</v>
          </cell>
        </row>
        <row r="206">
          <cell r="D206">
            <v>6688287</v>
          </cell>
          <cell r="E206">
            <v>6029188.9400000004</v>
          </cell>
          <cell r="F206">
            <v>659098.06000000017</v>
          </cell>
          <cell r="G206">
            <v>3108351.64</v>
          </cell>
          <cell r="H206">
            <v>3579935.3599999994</v>
          </cell>
        </row>
        <row r="207">
          <cell r="D207">
            <v>8256172</v>
          </cell>
          <cell r="E207">
            <v>7020145.0099999998</v>
          </cell>
          <cell r="F207">
            <v>1236026.99</v>
          </cell>
          <cell r="G207">
            <v>3494346.91</v>
          </cell>
          <cell r="H207">
            <v>4761825.09</v>
          </cell>
        </row>
        <row r="208">
          <cell r="D208">
            <v>0</v>
          </cell>
          <cell r="E208">
            <v>0</v>
          </cell>
          <cell r="F208">
            <v>0</v>
          </cell>
          <cell r="G208">
            <v>0</v>
          </cell>
          <cell r="H208">
            <v>0</v>
          </cell>
        </row>
        <row r="209">
          <cell r="D209">
            <v>200000</v>
          </cell>
          <cell r="E209">
            <v>50000</v>
          </cell>
          <cell r="F209">
            <v>150000</v>
          </cell>
          <cell r="G209">
            <v>0</v>
          </cell>
          <cell r="H209">
            <v>200000</v>
          </cell>
        </row>
        <row r="210">
          <cell r="D210">
            <v>11203165</v>
          </cell>
          <cell r="E210">
            <v>10760828.15</v>
          </cell>
          <cell r="F210">
            <v>442336.84999999957</v>
          </cell>
          <cell r="G210">
            <v>5694332.8400000008</v>
          </cell>
          <cell r="H210">
            <v>5508832.1599999992</v>
          </cell>
        </row>
        <row r="211">
          <cell r="D211">
            <v>582593</v>
          </cell>
          <cell r="E211">
            <v>140000</v>
          </cell>
          <cell r="F211">
            <v>442593</v>
          </cell>
          <cell r="G211">
            <v>140000</v>
          </cell>
          <cell r="H211">
            <v>442593</v>
          </cell>
        </row>
        <row r="212">
          <cell r="D212">
            <v>9666000</v>
          </cell>
          <cell r="E212">
            <v>9262049.4800000004</v>
          </cell>
          <cell r="F212">
            <v>403950.51999999961</v>
          </cell>
          <cell r="G212">
            <v>4751708.2400000012</v>
          </cell>
          <cell r="H212">
            <v>4914291.7599999988</v>
          </cell>
        </row>
        <row r="213">
          <cell r="D213">
            <v>2000000</v>
          </cell>
          <cell r="E213">
            <v>2000000</v>
          </cell>
          <cell r="F213">
            <v>0</v>
          </cell>
          <cell r="G213">
            <v>0</v>
          </cell>
          <cell r="H213">
            <v>2000000</v>
          </cell>
        </row>
        <row r="214">
          <cell r="D214">
            <v>0</v>
          </cell>
          <cell r="E214">
            <v>0</v>
          </cell>
          <cell r="F214">
            <v>0</v>
          </cell>
          <cell r="G214">
            <v>0</v>
          </cell>
          <cell r="H214">
            <v>0</v>
          </cell>
        </row>
        <row r="215">
          <cell r="D215">
            <v>0</v>
          </cell>
          <cell r="E215">
            <v>0</v>
          </cell>
          <cell r="F215">
            <v>0</v>
          </cell>
          <cell r="G215">
            <v>0</v>
          </cell>
          <cell r="H215">
            <v>0</v>
          </cell>
        </row>
        <row r="216">
          <cell r="D216">
            <v>654662</v>
          </cell>
          <cell r="E216">
            <v>654662</v>
          </cell>
          <cell r="F216">
            <v>0</v>
          </cell>
          <cell r="G216">
            <v>0</v>
          </cell>
          <cell r="H216">
            <v>654662</v>
          </cell>
        </row>
        <row r="217">
          <cell r="D217">
            <v>2047936</v>
          </cell>
          <cell r="E217">
            <v>327863</v>
          </cell>
          <cell r="F217">
            <v>1720073</v>
          </cell>
          <cell r="G217">
            <v>316632.23</v>
          </cell>
          <cell r="H217">
            <v>1731303.77</v>
          </cell>
        </row>
        <row r="218">
          <cell r="D218">
            <v>0</v>
          </cell>
          <cell r="E218">
            <v>0</v>
          </cell>
          <cell r="F218">
            <v>0</v>
          </cell>
          <cell r="G218">
            <v>0</v>
          </cell>
          <cell r="H218">
            <v>0</v>
          </cell>
        </row>
        <row r="219">
          <cell r="D219">
            <v>2390440</v>
          </cell>
          <cell r="E219">
            <v>2376240</v>
          </cell>
          <cell r="F219">
            <v>14200</v>
          </cell>
          <cell r="G219">
            <v>820979.69</v>
          </cell>
          <cell r="H219">
            <v>1569460.31</v>
          </cell>
        </row>
        <row r="220">
          <cell r="D220">
            <v>20600</v>
          </cell>
          <cell r="E220">
            <v>20600</v>
          </cell>
          <cell r="F220">
            <v>0</v>
          </cell>
          <cell r="G220">
            <v>17783.599999999999</v>
          </cell>
          <cell r="H220">
            <v>2816.4000000000015</v>
          </cell>
        </row>
        <row r="221">
          <cell r="D221">
            <v>82568</v>
          </cell>
          <cell r="E221">
            <v>82568</v>
          </cell>
          <cell r="F221">
            <v>0</v>
          </cell>
          <cell r="G221">
            <v>57743.81</v>
          </cell>
          <cell r="H221">
            <v>24824.190000000002</v>
          </cell>
        </row>
        <row r="222">
          <cell r="D222">
            <v>100000</v>
          </cell>
          <cell r="E222">
            <v>100000</v>
          </cell>
          <cell r="F222">
            <v>0</v>
          </cell>
          <cell r="G222">
            <v>85262.53</v>
          </cell>
          <cell r="H222">
            <v>14737.470000000001</v>
          </cell>
        </row>
        <row r="223">
          <cell r="D223">
            <v>0</v>
          </cell>
          <cell r="E223">
            <v>0</v>
          </cell>
          <cell r="F223">
            <v>0</v>
          </cell>
          <cell r="G223">
            <v>0</v>
          </cell>
          <cell r="H223">
            <v>0</v>
          </cell>
        </row>
        <row r="224">
          <cell r="D224">
            <v>7542377</v>
          </cell>
          <cell r="E224">
            <v>7542076.8799999999</v>
          </cell>
          <cell r="F224">
            <v>300.11999999999534</v>
          </cell>
          <cell r="G224">
            <v>7531497.7200000007</v>
          </cell>
          <cell r="H224">
            <v>10879.279999999999</v>
          </cell>
        </row>
        <row r="225">
          <cell r="D225">
            <v>290270</v>
          </cell>
          <cell r="E225">
            <v>100000</v>
          </cell>
          <cell r="F225">
            <v>190270</v>
          </cell>
          <cell r="G225">
            <v>0</v>
          </cell>
          <cell r="H225">
            <v>290270</v>
          </cell>
        </row>
        <row r="226">
          <cell r="D226">
            <v>154665</v>
          </cell>
          <cell r="E226">
            <v>154665</v>
          </cell>
          <cell r="F226">
            <v>0</v>
          </cell>
          <cell r="G226">
            <v>154066.76999999999</v>
          </cell>
          <cell r="H226">
            <v>598.23000000001048</v>
          </cell>
        </row>
        <row r="227">
          <cell r="D227">
            <v>1750696</v>
          </cell>
          <cell r="E227">
            <v>1750696</v>
          </cell>
          <cell r="F227">
            <v>0</v>
          </cell>
          <cell r="G227">
            <v>0</v>
          </cell>
          <cell r="H227">
            <v>1750696</v>
          </cell>
        </row>
        <row r="228">
          <cell r="D228">
            <v>3517960</v>
          </cell>
          <cell r="E228">
            <v>3401217.1</v>
          </cell>
          <cell r="F228">
            <v>116742.9</v>
          </cell>
          <cell r="G228">
            <v>2157904.81</v>
          </cell>
          <cell r="H228">
            <v>1360055.19</v>
          </cell>
        </row>
        <row r="229">
          <cell r="D229">
            <v>4271598</v>
          </cell>
          <cell r="E229">
            <v>3608182.7700000005</v>
          </cell>
          <cell r="F229">
            <v>663415.23</v>
          </cell>
          <cell r="G229">
            <v>1599897.3900000004</v>
          </cell>
          <cell r="H229">
            <v>2671700.61</v>
          </cell>
        </row>
        <row r="230">
          <cell r="D230">
            <v>0</v>
          </cell>
          <cell r="E230">
            <v>0</v>
          </cell>
          <cell r="F230">
            <v>0</v>
          </cell>
          <cell r="G230">
            <v>0</v>
          </cell>
          <cell r="H230">
            <v>0</v>
          </cell>
        </row>
        <row r="231">
          <cell r="D231">
            <v>0</v>
          </cell>
          <cell r="E231">
            <v>0</v>
          </cell>
          <cell r="F231">
            <v>0</v>
          </cell>
          <cell r="G231">
            <v>0</v>
          </cell>
          <cell r="H231">
            <v>0</v>
          </cell>
        </row>
        <row r="232">
          <cell r="D232">
            <v>656461</v>
          </cell>
          <cell r="E232">
            <v>656461</v>
          </cell>
          <cell r="F232">
            <v>0</v>
          </cell>
          <cell r="G232">
            <v>0</v>
          </cell>
          <cell r="H232">
            <v>656461</v>
          </cell>
        </row>
        <row r="233">
          <cell r="D233">
            <v>706461</v>
          </cell>
          <cell r="E233">
            <v>606460.53</v>
          </cell>
          <cell r="F233">
            <v>100000.46999999997</v>
          </cell>
          <cell r="G233">
            <v>0</v>
          </cell>
          <cell r="H233">
            <v>706461</v>
          </cell>
        </row>
        <row r="234">
          <cell r="D234">
            <v>0</v>
          </cell>
          <cell r="E234">
            <v>0</v>
          </cell>
          <cell r="F234">
            <v>0</v>
          </cell>
          <cell r="G234">
            <v>0</v>
          </cell>
          <cell r="H234">
            <v>0</v>
          </cell>
        </row>
        <row r="235">
          <cell r="D235">
            <v>1349649</v>
          </cell>
          <cell r="E235">
            <v>0</v>
          </cell>
          <cell r="F235">
            <v>1349649</v>
          </cell>
          <cell r="G235">
            <v>0</v>
          </cell>
          <cell r="H235">
            <v>1349649</v>
          </cell>
        </row>
        <row r="236">
          <cell r="D236">
            <v>50000</v>
          </cell>
          <cell r="E236">
            <v>50000</v>
          </cell>
          <cell r="F236">
            <v>0</v>
          </cell>
          <cell r="G236">
            <v>43796.88</v>
          </cell>
          <cell r="H236">
            <v>6203.1200000000026</v>
          </cell>
        </row>
        <row r="237">
          <cell r="D237">
            <v>0</v>
          </cell>
          <cell r="E237">
            <v>0</v>
          </cell>
          <cell r="F237">
            <v>0</v>
          </cell>
          <cell r="G237">
            <v>0</v>
          </cell>
          <cell r="H237">
            <v>0</v>
          </cell>
        </row>
        <row r="238">
          <cell r="D238">
            <v>82042</v>
          </cell>
          <cell r="E238">
            <v>73137.02</v>
          </cell>
          <cell r="F238">
            <v>8904.9799999999959</v>
          </cell>
          <cell r="G238">
            <v>48346.770000000004</v>
          </cell>
          <cell r="H238">
            <v>33695.229999999996</v>
          </cell>
        </row>
        <row r="239">
          <cell r="D239">
            <v>0</v>
          </cell>
          <cell r="E239">
            <v>0</v>
          </cell>
          <cell r="F239">
            <v>0</v>
          </cell>
          <cell r="G239">
            <v>0</v>
          </cell>
          <cell r="H239">
            <v>0</v>
          </cell>
        </row>
        <row r="240">
          <cell r="D240">
            <v>72190</v>
          </cell>
          <cell r="E240">
            <v>62384.34</v>
          </cell>
          <cell r="F240">
            <v>9805.6600000000035</v>
          </cell>
          <cell r="G240">
            <v>55271.61</v>
          </cell>
          <cell r="H240">
            <v>16918.39</v>
          </cell>
        </row>
        <row r="241">
          <cell r="D241">
            <v>69837</v>
          </cell>
          <cell r="E241">
            <v>30000</v>
          </cell>
          <cell r="F241">
            <v>39837</v>
          </cell>
          <cell r="G241">
            <v>24166.33</v>
          </cell>
          <cell r="H241">
            <v>45670.67</v>
          </cell>
        </row>
        <row r="242">
          <cell r="D242">
            <v>50000</v>
          </cell>
          <cell r="E242">
            <v>50000</v>
          </cell>
          <cell r="F242">
            <v>0</v>
          </cell>
          <cell r="G242">
            <v>48541.71</v>
          </cell>
          <cell r="H242">
            <v>1458.2900000000009</v>
          </cell>
        </row>
        <row r="243">
          <cell r="D243">
            <v>304060</v>
          </cell>
          <cell r="E243">
            <v>291997.5</v>
          </cell>
          <cell r="F243">
            <v>12062.5</v>
          </cell>
          <cell r="G243">
            <v>226901.79</v>
          </cell>
          <cell r="H243">
            <v>77158.209999999992</v>
          </cell>
        </row>
        <row r="244">
          <cell r="D244">
            <v>0</v>
          </cell>
          <cell r="E244">
            <v>0</v>
          </cell>
          <cell r="F244">
            <v>0</v>
          </cell>
          <cell r="G244">
            <v>0</v>
          </cell>
          <cell r="H244">
            <v>0</v>
          </cell>
        </row>
        <row r="245">
          <cell r="D245">
            <v>0</v>
          </cell>
          <cell r="E245">
            <v>0</v>
          </cell>
          <cell r="F245">
            <v>0</v>
          </cell>
          <cell r="G245">
            <v>0</v>
          </cell>
          <cell r="H245">
            <v>0</v>
          </cell>
        </row>
        <row r="246">
          <cell r="D246">
            <v>2170829</v>
          </cell>
          <cell r="E246">
            <v>2170829</v>
          </cell>
          <cell r="F246">
            <v>0</v>
          </cell>
          <cell r="G246">
            <v>132128.85</v>
          </cell>
          <cell r="H246">
            <v>2038700.15</v>
          </cell>
        </row>
        <row r="247">
          <cell r="D247">
            <v>1588917</v>
          </cell>
          <cell r="E247">
            <v>1382455.8</v>
          </cell>
          <cell r="F247">
            <v>206461.19999999995</v>
          </cell>
          <cell r="G247">
            <v>215371.16</v>
          </cell>
          <cell r="H247">
            <v>1373545.8399999999</v>
          </cell>
        </row>
        <row r="248">
          <cell r="D248">
            <v>340317</v>
          </cell>
          <cell r="E248">
            <v>335271.5</v>
          </cell>
          <cell r="F248">
            <v>5045.5</v>
          </cell>
          <cell r="G248">
            <v>228699.2</v>
          </cell>
          <cell r="H248">
            <v>111617.79999999999</v>
          </cell>
        </row>
        <row r="249">
          <cell r="D249">
            <v>282553</v>
          </cell>
          <cell r="E249">
            <v>282553</v>
          </cell>
          <cell r="F249">
            <v>0</v>
          </cell>
          <cell r="G249">
            <v>0</v>
          </cell>
          <cell r="H249">
            <v>282553</v>
          </cell>
        </row>
        <row r="250">
          <cell r="D250">
            <v>31336</v>
          </cell>
          <cell r="E250">
            <v>0</v>
          </cell>
          <cell r="F250">
            <v>31336</v>
          </cell>
          <cell r="G250">
            <v>0</v>
          </cell>
          <cell r="H250">
            <v>31336</v>
          </cell>
        </row>
        <row r="251">
          <cell r="D251">
            <v>6755108</v>
          </cell>
          <cell r="E251">
            <v>6452888.0899999999</v>
          </cell>
          <cell r="F251">
            <v>302219.91000000003</v>
          </cell>
          <cell r="G251">
            <v>130835.95000000001</v>
          </cell>
          <cell r="H251">
            <v>6624272.0500000007</v>
          </cell>
        </row>
        <row r="252">
          <cell r="D252">
            <v>1263865</v>
          </cell>
          <cell r="E252">
            <v>1173567.94</v>
          </cell>
          <cell r="F252">
            <v>90297.06</v>
          </cell>
          <cell r="G252">
            <v>138884.04999999999</v>
          </cell>
          <cell r="H252">
            <v>1124980.95</v>
          </cell>
        </row>
        <row r="253">
          <cell r="D253">
            <v>5182053</v>
          </cell>
          <cell r="E253">
            <v>4788733.1399999997</v>
          </cell>
          <cell r="F253">
            <v>393319.8600000001</v>
          </cell>
          <cell r="G253">
            <v>2050259.8599999999</v>
          </cell>
          <cell r="H253">
            <v>3131793.1399999997</v>
          </cell>
        </row>
        <row r="254">
          <cell r="D254">
            <v>350000</v>
          </cell>
          <cell r="E254">
            <v>349617</v>
          </cell>
          <cell r="F254">
            <v>383</v>
          </cell>
          <cell r="G254">
            <v>189727.76</v>
          </cell>
          <cell r="H254">
            <v>160272.24</v>
          </cell>
        </row>
        <row r="256">
          <cell r="D256">
            <v>3252523</v>
          </cell>
          <cell r="E256">
            <v>3248301.29</v>
          </cell>
          <cell r="F256">
            <v>4221.71</v>
          </cell>
          <cell r="G256">
            <v>2592973.7000000002</v>
          </cell>
          <cell r="H256">
            <v>659549.29999999993</v>
          </cell>
        </row>
        <row r="257">
          <cell r="D257">
            <v>1272735</v>
          </cell>
          <cell r="E257">
            <v>1253656.8600000001</v>
          </cell>
          <cell r="F257">
            <v>19078.140000000047</v>
          </cell>
          <cell r="G257">
            <v>1175927.1499999999</v>
          </cell>
          <cell r="H257">
            <v>96807.850000000035</v>
          </cell>
        </row>
        <row r="258">
          <cell r="D258">
            <v>350000</v>
          </cell>
          <cell r="E258">
            <v>193545</v>
          </cell>
          <cell r="F258">
            <v>156455</v>
          </cell>
          <cell r="G258">
            <v>65074.959999999992</v>
          </cell>
          <cell r="H258">
            <v>284925.04000000004</v>
          </cell>
        </row>
        <row r="259">
          <cell r="D259">
            <v>400000</v>
          </cell>
          <cell r="E259">
            <v>353445</v>
          </cell>
          <cell r="F259">
            <v>46555</v>
          </cell>
          <cell r="G259">
            <v>206876.56</v>
          </cell>
          <cell r="H259">
            <v>193123.44</v>
          </cell>
        </row>
        <row r="260">
          <cell r="D260">
            <v>386035</v>
          </cell>
          <cell r="E260">
            <v>365592.91</v>
          </cell>
          <cell r="F260">
            <v>20442.090000000026</v>
          </cell>
          <cell r="G260">
            <v>241402.90000000002</v>
          </cell>
          <cell r="H260">
            <v>144632.09999999998</v>
          </cell>
        </row>
        <row r="261">
          <cell r="D261">
            <v>4992699</v>
          </cell>
          <cell r="E261">
            <v>4233964.21</v>
          </cell>
          <cell r="F261">
            <v>758734.79</v>
          </cell>
          <cell r="G261">
            <v>2874461.9999999995</v>
          </cell>
          <cell r="H261">
            <v>2118237</v>
          </cell>
        </row>
        <row r="262">
          <cell r="D262">
            <v>8483998</v>
          </cell>
          <cell r="E262">
            <v>8474782.3099999987</v>
          </cell>
          <cell r="F262">
            <v>9215.69</v>
          </cell>
          <cell r="G262">
            <v>5307804.1899999995</v>
          </cell>
          <cell r="H262">
            <v>3176193.8100000005</v>
          </cell>
        </row>
        <row r="263">
          <cell r="D263">
            <v>4219373</v>
          </cell>
          <cell r="E263">
            <v>4183621.03</v>
          </cell>
          <cell r="F263">
            <v>35751.97</v>
          </cell>
          <cell r="G263">
            <v>3829328.0799999996</v>
          </cell>
          <cell r="H263">
            <v>390044.92000000004</v>
          </cell>
        </row>
        <row r="264">
          <cell r="D264">
            <v>1445268</v>
          </cell>
          <cell r="E264">
            <v>1239788.9000000001</v>
          </cell>
          <cell r="F264">
            <v>205479.10000000003</v>
          </cell>
          <cell r="G264">
            <v>1144536.9800000002</v>
          </cell>
          <cell r="H264">
            <v>300731.02</v>
          </cell>
        </row>
        <row r="265">
          <cell r="D265">
            <v>350000</v>
          </cell>
          <cell r="E265">
            <v>350000</v>
          </cell>
          <cell r="F265">
            <v>0</v>
          </cell>
          <cell r="G265">
            <v>101121.51999999999</v>
          </cell>
          <cell r="H265">
            <v>248878.48</v>
          </cell>
        </row>
        <row r="266">
          <cell r="D266">
            <v>81646</v>
          </cell>
          <cell r="E266">
            <v>0</v>
          </cell>
          <cell r="F266">
            <v>81646</v>
          </cell>
          <cell r="G266">
            <v>0</v>
          </cell>
          <cell r="H266">
            <v>81646</v>
          </cell>
        </row>
        <row r="267">
          <cell r="D267">
            <v>292573</v>
          </cell>
          <cell r="E267">
            <v>0</v>
          </cell>
          <cell r="F267">
            <v>292573</v>
          </cell>
          <cell r="G267">
            <v>0</v>
          </cell>
          <cell r="H267">
            <v>292573</v>
          </cell>
        </row>
        <row r="268">
          <cell r="D268">
            <v>645412</v>
          </cell>
          <cell r="E268">
            <v>638599.5</v>
          </cell>
          <cell r="F268">
            <v>6812.5</v>
          </cell>
          <cell r="G268">
            <v>553137.36</v>
          </cell>
          <cell r="H268">
            <v>92274.640000000014</v>
          </cell>
        </row>
        <row r="269">
          <cell r="D269">
            <v>45161</v>
          </cell>
          <cell r="E269">
            <v>45161</v>
          </cell>
          <cell r="F269">
            <v>0</v>
          </cell>
          <cell r="G269">
            <v>21082.560000000001</v>
          </cell>
          <cell r="H269">
            <v>24078.44</v>
          </cell>
        </row>
        <row r="270">
          <cell r="D270">
            <v>325721</v>
          </cell>
          <cell r="E270">
            <v>251714</v>
          </cell>
          <cell r="F270">
            <v>74007</v>
          </cell>
          <cell r="G270">
            <v>116213.92</v>
          </cell>
          <cell r="H270">
            <v>209507.08000000002</v>
          </cell>
        </row>
        <row r="271">
          <cell r="D271">
            <v>58627</v>
          </cell>
          <cell r="E271">
            <v>0</v>
          </cell>
          <cell r="F271">
            <v>58627</v>
          </cell>
          <cell r="G271">
            <v>0</v>
          </cell>
          <cell r="H271">
            <v>58627</v>
          </cell>
        </row>
        <row r="272">
          <cell r="D272">
            <v>1308901</v>
          </cell>
          <cell r="E272">
            <v>1298673.22</v>
          </cell>
          <cell r="F272">
            <v>10227.780000000001</v>
          </cell>
          <cell r="G272">
            <v>8087.22</v>
          </cell>
          <cell r="H272">
            <v>1300813.78</v>
          </cell>
        </row>
        <row r="273">
          <cell r="D273">
            <v>18371</v>
          </cell>
          <cell r="E273">
            <v>0</v>
          </cell>
          <cell r="F273">
            <v>18371</v>
          </cell>
          <cell r="G273">
            <v>0</v>
          </cell>
          <cell r="H273">
            <v>18371</v>
          </cell>
        </row>
        <row r="274">
          <cell r="D274">
            <v>225183</v>
          </cell>
          <cell r="E274">
            <v>180000</v>
          </cell>
          <cell r="F274">
            <v>45183</v>
          </cell>
          <cell r="G274">
            <v>179898.4</v>
          </cell>
          <cell r="H274">
            <v>45284.600000000006</v>
          </cell>
        </row>
        <row r="275">
          <cell r="D275">
            <v>630000</v>
          </cell>
          <cell r="E275">
            <v>626480</v>
          </cell>
          <cell r="F275">
            <v>3520</v>
          </cell>
          <cell r="G275">
            <v>463894.66000000003</v>
          </cell>
          <cell r="H275">
            <v>166105.33999999997</v>
          </cell>
        </row>
        <row r="276">
          <cell r="D276">
            <v>300000</v>
          </cell>
          <cell r="E276">
            <v>300000</v>
          </cell>
          <cell r="F276">
            <v>0</v>
          </cell>
          <cell r="G276">
            <v>118352.3</v>
          </cell>
          <cell r="H276">
            <v>181647.7</v>
          </cell>
        </row>
        <row r="277">
          <cell r="D277">
            <v>206971</v>
          </cell>
          <cell r="E277">
            <v>206970.5</v>
          </cell>
          <cell r="F277">
            <v>0.5</v>
          </cell>
          <cell r="G277">
            <v>110370.29</v>
          </cell>
          <cell r="H277">
            <v>96600.71</v>
          </cell>
        </row>
        <row r="278">
          <cell r="D278">
            <v>57428</v>
          </cell>
          <cell r="E278">
            <v>0</v>
          </cell>
          <cell r="F278">
            <v>57428</v>
          </cell>
          <cell r="G278">
            <v>0</v>
          </cell>
          <cell r="H278">
            <v>57428</v>
          </cell>
        </row>
        <row r="279">
          <cell r="D279">
            <v>175496</v>
          </cell>
          <cell r="E279">
            <v>175392</v>
          </cell>
          <cell r="F279">
            <v>104</v>
          </cell>
          <cell r="G279">
            <v>171767.41</v>
          </cell>
          <cell r="H279">
            <v>3728.5899999999965</v>
          </cell>
        </row>
        <row r="280">
          <cell r="D280">
            <v>129991</v>
          </cell>
          <cell r="E280">
            <v>129991</v>
          </cell>
          <cell r="F280">
            <v>0</v>
          </cell>
          <cell r="G280">
            <v>129329.12</v>
          </cell>
          <cell r="H280">
            <v>661.88000000000466</v>
          </cell>
        </row>
        <row r="281">
          <cell r="D281">
            <v>1171778</v>
          </cell>
          <cell r="E281">
            <v>0</v>
          </cell>
          <cell r="F281">
            <v>1171778</v>
          </cell>
          <cell r="G281">
            <v>0</v>
          </cell>
          <cell r="H281">
            <v>1171778</v>
          </cell>
        </row>
        <row r="282">
          <cell r="D282">
            <v>24413</v>
          </cell>
          <cell r="E282">
            <v>23994.5</v>
          </cell>
          <cell r="F282">
            <v>418.5</v>
          </cell>
          <cell r="G282">
            <v>19205.73</v>
          </cell>
          <cell r="H282">
            <v>5207.2700000000004</v>
          </cell>
        </row>
        <row r="283">
          <cell r="D283">
            <v>28407</v>
          </cell>
          <cell r="E283">
            <v>0</v>
          </cell>
          <cell r="F283">
            <v>28407</v>
          </cell>
          <cell r="G283">
            <v>0</v>
          </cell>
          <cell r="H283">
            <v>28407</v>
          </cell>
        </row>
        <row r="284">
          <cell r="D284">
            <v>200000</v>
          </cell>
          <cell r="E284">
            <v>0</v>
          </cell>
          <cell r="F284">
            <v>200000</v>
          </cell>
          <cell r="G284">
            <v>0</v>
          </cell>
          <cell r="H284">
            <v>200000</v>
          </cell>
        </row>
        <row r="285">
          <cell r="D285">
            <v>111816</v>
          </cell>
          <cell r="E285">
            <v>111816</v>
          </cell>
          <cell r="F285">
            <v>0</v>
          </cell>
          <cell r="G285">
            <v>106621.20000000001</v>
          </cell>
          <cell r="H285">
            <v>5194.7999999999884</v>
          </cell>
        </row>
        <row r="286">
          <cell r="D286">
            <v>654463</v>
          </cell>
          <cell r="E286">
            <v>654329.5</v>
          </cell>
          <cell r="F286">
            <v>133.5</v>
          </cell>
          <cell r="G286">
            <v>369403.18</v>
          </cell>
          <cell r="H286">
            <v>285059.82</v>
          </cell>
        </row>
        <row r="287">
          <cell r="D287">
            <v>13926334</v>
          </cell>
          <cell r="E287">
            <v>10437696</v>
          </cell>
          <cell r="F287">
            <v>3488638</v>
          </cell>
          <cell r="G287">
            <v>152548.22</v>
          </cell>
          <cell r="H287">
            <v>13773785.780000001</v>
          </cell>
        </row>
        <row r="288">
          <cell r="D288">
            <v>1044621</v>
          </cell>
          <cell r="E288">
            <v>277579.94</v>
          </cell>
          <cell r="F288">
            <v>767041.06</v>
          </cell>
          <cell r="G288">
            <v>264157.59999999998</v>
          </cell>
          <cell r="H288">
            <v>780463.4</v>
          </cell>
        </row>
        <row r="289">
          <cell r="D289">
            <v>271707</v>
          </cell>
          <cell r="E289">
            <v>271705.69</v>
          </cell>
          <cell r="F289">
            <v>1.3099999999994907</v>
          </cell>
          <cell r="G289">
            <v>270842.66000000003</v>
          </cell>
          <cell r="H289">
            <v>864.33999999999651</v>
          </cell>
        </row>
        <row r="290">
          <cell r="D290">
            <v>392605</v>
          </cell>
          <cell r="E290">
            <v>337020.28</v>
          </cell>
          <cell r="F290">
            <v>55584.72</v>
          </cell>
          <cell r="G290">
            <v>298073.84999999998</v>
          </cell>
          <cell r="H290">
            <v>94531.15</v>
          </cell>
        </row>
        <row r="291">
          <cell r="D291">
            <v>100000</v>
          </cell>
          <cell r="E291">
            <v>0</v>
          </cell>
          <cell r="F291">
            <v>100000</v>
          </cell>
          <cell r="G291">
            <v>0</v>
          </cell>
          <cell r="H291">
            <v>100000</v>
          </cell>
        </row>
        <row r="292">
          <cell r="D292">
            <v>70059</v>
          </cell>
          <cell r="E292">
            <v>70057.899999999994</v>
          </cell>
          <cell r="F292">
            <v>1.1000000000003638</v>
          </cell>
          <cell r="G292">
            <v>70029.94</v>
          </cell>
          <cell r="H292">
            <v>29.059999999999491</v>
          </cell>
        </row>
        <row r="293">
          <cell r="D293">
            <v>100785</v>
          </cell>
          <cell r="E293">
            <v>100589.42</v>
          </cell>
          <cell r="F293">
            <v>195.57999999999902</v>
          </cell>
          <cell r="G293">
            <v>88974.89</v>
          </cell>
          <cell r="H293">
            <v>11810.109999999997</v>
          </cell>
        </row>
        <row r="294">
          <cell r="D294">
            <v>61500</v>
          </cell>
          <cell r="E294">
            <v>59000</v>
          </cell>
          <cell r="F294">
            <v>2500</v>
          </cell>
          <cell r="G294">
            <v>0</v>
          </cell>
          <cell r="H294">
            <v>61500</v>
          </cell>
        </row>
        <row r="295">
          <cell r="D295">
            <v>62000</v>
          </cell>
          <cell r="E295">
            <v>61766.67</v>
          </cell>
          <cell r="F295">
            <v>233.33000000000175</v>
          </cell>
          <cell r="G295">
            <v>0</v>
          </cell>
          <cell r="H295">
            <v>62000</v>
          </cell>
        </row>
        <row r="296">
          <cell r="D296">
            <v>63755</v>
          </cell>
          <cell r="E296">
            <v>60139.48</v>
          </cell>
          <cell r="F296">
            <v>3615.52</v>
          </cell>
          <cell r="G296">
            <v>2139.48</v>
          </cell>
          <cell r="H296">
            <v>61615.519999999997</v>
          </cell>
        </row>
        <row r="297">
          <cell r="D297">
            <v>65438</v>
          </cell>
          <cell r="E297">
            <v>0</v>
          </cell>
          <cell r="F297">
            <v>65438</v>
          </cell>
          <cell r="G297">
            <v>0</v>
          </cell>
          <cell r="H297">
            <v>65438</v>
          </cell>
        </row>
        <row r="298">
          <cell r="D298">
            <v>61200</v>
          </cell>
          <cell r="E298">
            <v>59150</v>
          </cell>
          <cell r="F298">
            <v>2050</v>
          </cell>
          <cell r="G298">
            <v>59150</v>
          </cell>
          <cell r="H298">
            <v>2050</v>
          </cell>
        </row>
        <row r="299">
          <cell r="D299">
            <v>5365</v>
          </cell>
          <cell r="E299">
            <v>5364</v>
          </cell>
          <cell r="F299">
            <v>1</v>
          </cell>
          <cell r="G299">
            <v>5364</v>
          </cell>
          <cell r="H299">
            <v>1</v>
          </cell>
        </row>
        <row r="300">
          <cell r="D300">
            <v>2936</v>
          </cell>
          <cell r="E300">
            <v>2936</v>
          </cell>
          <cell r="F300">
            <v>0</v>
          </cell>
          <cell r="G300">
            <v>2936</v>
          </cell>
          <cell r="H300">
            <v>0</v>
          </cell>
        </row>
        <row r="301">
          <cell r="D301">
            <v>10692</v>
          </cell>
          <cell r="E301">
            <v>10691.76</v>
          </cell>
          <cell r="F301">
            <v>0.23999999999978172</v>
          </cell>
          <cell r="G301">
            <v>10691.76</v>
          </cell>
          <cell r="H301">
            <v>0.23999999999978172</v>
          </cell>
        </row>
        <row r="302">
          <cell r="D302">
            <v>7816</v>
          </cell>
          <cell r="E302">
            <v>4500</v>
          </cell>
          <cell r="F302">
            <v>3316</v>
          </cell>
          <cell r="G302">
            <v>0</v>
          </cell>
          <cell r="H302">
            <v>7816</v>
          </cell>
        </row>
        <row r="303">
          <cell r="D303">
            <v>3546</v>
          </cell>
          <cell r="E303">
            <v>3546</v>
          </cell>
          <cell r="F303">
            <v>0</v>
          </cell>
          <cell r="G303">
            <v>3546</v>
          </cell>
          <cell r="H303">
            <v>0</v>
          </cell>
        </row>
        <row r="304">
          <cell r="D304">
            <v>2555</v>
          </cell>
          <cell r="E304">
            <v>2550</v>
          </cell>
          <cell r="F304">
            <v>5</v>
          </cell>
          <cell r="G304">
            <v>2550</v>
          </cell>
          <cell r="H304">
            <v>5</v>
          </cell>
        </row>
        <row r="305">
          <cell r="D305">
            <v>73376</v>
          </cell>
          <cell r="E305">
            <v>69875.75</v>
          </cell>
          <cell r="F305">
            <v>3500.25</v>
          </cell>
          <cell r="G305">
            <v>69875.75</v>
          </cell>
          <cell r="H305">
            <v>3500.25</v>
          </cell>
        </row>
        <row r="306">
          <cell r="D306">
            <v>54964</v>
          </cell>
          <cell r="E306">
            <v>1977.5</v>
          </cell>
          <cell r="F306">
            <v>52986.5</v>
          </cell>
          <cell r="G306">
            <v>1977.5</v>
          </cell>
          <cell r="H306">
            <v>52986.5</v>
          </cell>
        </row>
        <row r="307">
          <cell r="D307">
            <v>73915</v>
          </cell>
          <cell r="E307">
            <v>71560</v>
          </cell>
          <cell r="F307">
            <v>2355</v>
          </cell>
          <cell r="G307">
            <v>69710</v>
          </cell>
          <cell r="H307">
            <v>4205</v>
          </cell>
        </row>
        <row r="308">
          <cell r="D308">
            <v>5098</v>
          </cell>
          <cell r="E308">
            <v>5097</v>
          </cell>
          <cell r="F308">
            <v>1</v>
          </cell>
          <cell r="G308">
            <v>5097</v>
          </cell>
          <cell r="H308">
            <v>1</v>
          </cell>
        </row>
        <row r="309">
          <cell r="D309">
            <v>4800</v>
          </cell>
          <cell r="E309">
            <v>4800</v>
          </cell>
          <cell r="F309">
            <v>0</v>
          </cell>
          <cell r="G309">
            <v>4800</v>
          </cell>
          <cell r="H309">
            <v>0</v>
          </cell>
        </row>
        <row r="310">
          <cell r="D310">
            <v>12800</v>
          </cell>
          <cell r="E310">
            <v>12800</v>
          </cell>
          <cell r="F310">
            <v>0</v>
          </cell>
          <cell r="G310">
            <v>12800</v>
          </cell>
          <cell r="H310">
            <v>0</v>
          </cell>
        </row>
        <row r="311">
          <cell r="D311">
            <v>179500</v>
          </cell>
          <cell r="E311">
            <v>163750</v>
          </cell>
          <cell r="F311">
            <v>15750</v>
          </cell>
          <cell r="G311">
            <v>3750</v>
          </cell>
          <cell r="H311">
            <v>175750</v>
          </cell>
        </row>
        <row r="312">
          <cell r="D312">
            <v>57400</v>
          </cell>
          <cell r="E312">
            <v>57400</v>
          </cell>
          <cell r="F312">
            <v>0</v>
          </cell>
          <cell r="G312">
            <v>57400</v>
          </cell>
          <cell r="H312">
            <v>0</v>
          </cell>
        </row>
        <row r="313">
          <cell r="D313">
            <v>5898</v>
          </cell>
          <cell r="E313">
            <v>5898</v>
          </cell>
          <cell r="F313">
            <v>0</v>
          </cell>
          <cell r="G313">
            <v>5898</v>
          </cell>
          <cell r="H313">
            <v>0</v>
          </cell>
        </row>
        <row r="314">
          <cell r="D314">
            <v>3000</v>
          </cell>
          <cell r="E314">
            <v>3000</v>
          </cell>
          <cell r="F314">
            <v>0</v>
          </cell>
          <cell r="G314">
            <v>3000</v>
          </cell>
          <cell r="H314">
            <v>0</v>
          </cell>
        </row>
        <row r="315">
          <cell r="D315">
            <v>87790</v>
          </cell>
          <cell r="E315">
            <v>83112</v>
          </cell>
          <cell r="F315">
            <v>4678</v>
          </cell>
          <cell r="G315">
            <v>77990</v>
          </cell>
          <cell r="H315">
            <v>9800</v>
          </cell>
        </row>
        <row r="316">
          <cell r="D316">
            <v>83160</v>
          </cell>
          <cell r="E316">
            <v>83160</v>
          </cell>
          <cell r="F316">
            <v>0</v>
          </cell>
          <cell r="G316">
            <v>83100.399999999994</v>
          </cell>
          <cell r="H316">
            <v>59.600000000005821</v>
          </cell>
        </row>
        <row r="317">
          <cell r="D317">
            <v>335890</v>
          </cell>
          <cell r="E317">
            <v>314900</v>
          </cell>
          <cell r="F317">
            <v>20990</v>
          </cell>
          <cell r="G317">
            <v>0</v>
          </cell>
          <cell r="H317">
            <v>335890</v>
          </cell>
        </row>
        <row r="318">
          <cell r="D318">
            <v>175166</v>
          </cell>
          <cell r="E318">
            <v>166872</v>
          </cell>
          <cell r="F318">
            <v>8294</v>
          </cell>
          <cell r="G318">
            <v>5872</v>
          </cell>
          <cell r="H318">
            <v>169294</v>
          </cell>
        </row>
        <row r="319">
          <cell r="D319">
            <v>14715</v>
          </cell>
          <cell r="E319">
            <v>14714</v>
          </cell>
          <cell r="F319">
            <v>1</v>
          </cell>
          <cell r="G319">
            <v>14714</v>
          </cell>
          <cell r="H319">
            <v>1</v>
          </cell>
        </row>
        <row r="320">
          <cell r="D320">
            <v>157066</v>
          </cell>
          <cell r="E320">
            <v>157066</v>
          </cell>
          <cell r="F320">
            <v>0</v>
          </cell>
          <cell r="G320">
            <v>157066</v>
          </cell>
          <cell r="H320">
            <v>0</v>
          </cell>
        </row>
        <row r="321">
          <cell r="D321">
            <v>209400</v>
          </cell>
          <cell r="E321">
            <v>136550</v>
          </cell>
          <cell r="F321">
            <v>72850</v>
          </cell>
          <cell r="G321">
            <v>136550</v>
          </cell>
          <cell r="H321">
            <v>72850</v>
          </cell>
        </row>
        <row r="322">
          <cell r="D322">
            <v>167074</v>
          </cell>
          <cell r="E322">
            <v>97869.14</v>
          </cell>
          <cell r="F322">
            <v>69204.86</v>
          </cell>
          <cell r="G322">
            <v>62264.090000000004</v>
          </cell>
          <cell r="H322">
            <v>104809.91</v>
          </cell>
        </row>
        <row r="323">
          <cell r="D323">
            <v>2967206</v>
          </cell>
          <cell r="E323">
            <v>2958279.03</v>
          </cell>
          <cell r="F323">
            <v>8926.9699999999266</v>
          </cell>
          <cell r="G323">
            <v>310369.43</v>
          </cell>
          <cell r="H323">
            <v>2656836.5700000003</v>
          </cell>
        </row>
        <row r="324">
          <cell r="D324">
            <v>2040218</v>
          </cell>
          <cell r="E324">
            <v>2014066.28</v>
          </cell>
          <cell r="F324">
            <v>26151.72</v>
          </cell>
          <cell r="G324">
            <v>132532.70000000001</v>
          </cell>
          <cell r="H324">
            <v>1907685.3</v>
          </cell>
        </row>
        <row r="325">
          <cell r="D325">
            <v>159946</v>
          </cell>
          <cell r="E325">
            <v>123441</v>
          </cell>
          <cell r="F325">
            <v>36505</v>
          </cell>
          <cell r="G325">
            <v>60441</v>
          </cell>
          <cell r="H325">
            <v>99505</v>
          </cell>
        </row>
        <row r="326">
          <cell r="D326">
            <v>159547</v>
          </cell>
          <cell r="E326">
            <v>154167</v>
          </cell>
          <cell r="F326">
            <v>5380</v>
          </cell>
          <cell r="G326">
            <v>110933.5</v>
          </cell>
          <cell r="H326">
            <v>48613.5</v>
          </cell>
        </row>
        <row r="327">
          <cell r="D327">
            <v>158642</v>
          </cell>
          <cell r="E327">
            <v>65482.62</v>
          </cell>
          <cell r="F327">
            <v>93159.38</v>
          </cell>
          <cell r="G327">
            <v>0</v>
          </cell>
          <cell r="H327">
            <v>158642</v>
          </cell>
        </row>
        <row r="328">
          <cell r="D328">
            <v>159345</v>
          </cell>
          <cell r="E328">
            <v>150543</v>
          </cell>
          <cell r="F328">
            <v>8802</v>
          </cell>
          <cell r="G328">
            <v>148210</v>
          </cell>
          <cell r="H328">
            <v>11135</v>
          </cell>
        </row>
        <row r="329">
          <cell r="D329">
            <v>269980</v>
          </cell>
          <cell r="E329">
            <v>259749</v>
          </cell>
          <cell r="F329">
            <v>10231</v>
          </cell>
          <cell r="G329">
            <v>251883</v>
          </cell>
          <cell r="H329">
            <v>18097</v>
          </cell>
        </row>
        <row r="330">
          <cell r="D330">
            <v>159352</v>
          </cell>
          <cell r="E330">
            <v>154000</v>
          </cell>
          <cell r="F330">
            <v>5352</v>
          </cell>
          <cell r="G330">
            <v>144970</v>
          </cell>
          <cell r="H330">
            <v>14382</v>
          </cell>
        </row>
        <row r="331">
          <cell r="D331">
            <v>159613</v>
          </cell>
          <cell r="E331">
            <v>149133.25</v>
          </cell>
          <cell r="F331">
            <v>10479.75</v>
          </cell>
          <cell r="G331">
            <v>7133.25</v>
          </cell>
          <cell r="H331">
            <v>152479.75</v>
          </cell>
        </row>
        <row r="332">
          <cell r="D332">
            <v>159555</v>
          </cell>
          <cell r="E332">
            <v>132645</v>
          </cell>
          <cell r="F332">
            <v>26910</v>
          </cell>
          <cell r="G332">
            <v>74845</v>
          </cell>
          <cell r="H332">
            <v>84710</v>
          </cell>
        </row>
        <row r="333">
          <cell r="D333">
            <v>154799</v>
          </cell>
          <cell r="E333">
            <v>147492</v>
          </cell>
          <cell r="F333">
            <v>7307</v>
          </cell>
          <cell r="G333">
            <v>143262</v>
          </cell>
          <cell r="H333">
            <v>11537</v>
          </cell>
        </row>
        <row r="334">
          <cell r="D334">
            <v>160000</v>
          </cell>
          <cell r="E334">
            <v>143401</v>
          </cell>
          <cell r="F334">
            <v>16599</v>
          </cell>
          <cell r="G334">
            <v>118401</v>
          </cell>
          <cell r="H334">
            <v>41599</v>
          </cell>
        </row>
        <row r="335">
          <cell r="D335">
            <v>160000</v>
          </cell>
          <cell r="E335">
            <v>149840</v>
          </cell>
          <cell r="F335">
            <v>10160</v>
          </cell>
          <cell r="G335">
            <v>15740</v>
          </cell>
          <cell r="H335">
            <v>144260</v>
          </cell>
        </row>
        <row r="336">
          <cell r="D336">
            <v>349792</v>
          </cell>
          <cell r="E336">
            <v>321500</v>
          </cell>
          <cell r="F336">
            <v>28292</v>
          </cell>
          <cell r="G336">
            <v>0</v>
          </cell>
          <cell r="H336">
            <v>349792</v>
          </cell>
        </row>
        <row r="337">
          <cell r="D337">
            <v>155278</v>
          </cell>
          <cell r="E337">
            <v>149496</v>
          </cell>
          <cell r="F337">
            <v>5782</v>
          </cell>
          <cell r="G337">
            <v>110040</v>
          </cell>
          <cell r="H337">
            <v>45238</v>
          </cell>
        </row>
        <row r="338">
          <cell r="D338">
            <v>159890</v>
          </cell>
          <cell r="E338">
            <v>5349</v>
          </cell>
          <cell r="F338">
            <v>154541</v>
          </cell>
          <cell r="G338">
            <v>5349</v>
          </cell>
          <cell r="H338">
            <v>154541</v>
          </cell>
        </row>
        <row r="339">
          <cell r="D339">
            <v>160000</v>
          </cell>
          <cell r="E339">
            <v>148960</v>
          </cell>
          <cell r="F339">
            <v>11040</v>
          </cell>
          <cell r="G339">
            <v>26000</v>
          </cell>
          <cell r="H339">
            <v>134000</v>
          </cell>
        </row>
        <row r="340">
          <cell r="D340">
            <v>159321</v>
          </cell>
          <cell r="E340">
            <v>152810</v>
          </cell>
          <cell r="F340">
            <v>6511</v>
          </cell>
          <cell r="G340">
            <v>130010</v>
          </cell>
          <cell r="H340">
            <v>29311</v>
          </cell>
        </row>
        <row r="341">
          <cell r="D341">
            <v>160000</v>
          </cell>
          <cell r="E341">
            <v>0</v>
          </cell>
          <cell r="F341">
            <v>160000</v>
          </cell>
          <cell r="G341">
            <v>0</v>
          </cell>
          <cell r="H341">
            <v>160000</v>
          </cell>
        </row>
        <row r="342">
          <cell r="D342">
            <v>146532</v>
          </cell>
          <cell r="E342">
            <v>140645</v>
          </cell>
          <cell r="F342">
            <v>5887</v>
          </cell>
          <cell r="G342">
            <v>109445</v>
          </cell>
          <cell r="H342">
            <v>37087</v>
          </cell>
        </row>
        <row r="343">
          <cell r="D343">
            <v>155656</v>
          </cell>
          <cell r="E343">
            <v>151053</v>
          </cell>
          <cell r="F343">
            <v>4603</v>
          </cell>
          <cell r="G343">
            <v>0</v>
          </cell>
          <cell r="H343">
            <v>155656</v>
          </cell>
        </row>
        <row r="344">
          <cell r="D344">
            <v>159060</v>
          </cell>
          <cell r="E344">
            <v>151725</v>
          </cell>
          <cell r="F344">
            <v>7335</v>
          </cell>
          <cell r="G344">
            <v>0</v>
          </cell>
          <cell r="H344">
            <v>159060</v>
          </cell>
        </row>
        <row r="345">
          <cell r="D345">
            <v>159862</v>
          </cell>
          <cell r="E345">
            <v>86882.5</v>
          </cell>
          <cell r="F345">
            <v>72979.5</v>
          </cell>
          <cell r="G345">
            <v>86872.5</v>
          </cell>
          <cell r="H345">
            <v>72989.5</v>
          </cell>
        </row>
        <row r="346">
          <cell r="D346">
            <v>160000</v>
          </cell>
          <cell r="E346">
            <v>150870</v>
          </cell>
          <cell r="F346">
            <v>9130</v>
          </cell>
          <cell r="G346">
            <v>45270</v>
          </cell>
          <cell r="H346">
            <v>114730</v>
          </cell>
        </row>
        <row r="347">
          <cell r="D347">
            <v>157300</v>
          </cell>
          <cell r="E347">
            <v>149830</v>
          </cell>
          <cell r="F347">
            <v>7470</v>
          </cell>
          <cell r="G347">
            <v>149790</v>
          </cell>
          <cell r="H347">
            <v>7510</v>
          </cell>
        </row>
        <row r="348">
          <cell r="D348">
            <v>159720</v>
          </cell>
          <cell r="E348">
            <v>150040</v>
          </cell>
          <cell r="F348">
            <v>9680</v>
          </cell>
          <cell r="G348">
            <v>146395</v>
          </cell>
          <cell r="H348">
            <v>13325</v>
          </cell>
        </row>
        <row r="349">
          <cell r="D349">
            <v>160000</v>
          </cell>
          <cell r="E349">
            <v>151322</v>
          </cell>
          <cell r="F349">
            <v>8678</v>
          </cell>
          <cell r="G349">
            <v>96322</v>
          </cell>
          <cell r="H349">
            <v>63678</v>
          </cell>
        </row>
        <row r="350">
          <cell r="D350">
            <v>349792</v>
          </cell>
          <cell r="E350">
            <v>329100</v>
          </cell>
          <cell r="F350">
            <v>20692</v>
          </cell>
          <cell r="G350">
            <v>0</v>
          </cell>
          <cell r="H350">
            <v>349792</v>
          </cell>
        </row>
        <row r="351">
          <cell r="D351">
            <v>159007</v>
          </cell>
          <cell r="E351">
            <v>49260</v>
          </cell>
          <cell r="F351">
            <v>109747</v>
          </cell>
          <cell r="G351">
            <v>49260</v>
          </cell>
          <cell r="H351">
            <v>109747</v>
          </cell>
        </row>
        <row r="352">
          <cell r="D352">
            <v>158892</v>
          </cell>
          <cell r="E352">
            <v>79382.5</v>
          </cell>
          <cell r="F352">
            <v>79509.5</v>
          </cell>
          <cell r="G352">
            <v>44582.5</v>
          </cell>
          <cell r="H352">
            <v>114309.5</v>
          </cell>
        </row>
        <row r="353">
          <cell r="D353">
            <v>159876</v>
          </cell>
          <cell r="E353">
            <v>122810</v>
          </cell>
          <cell r="F353">
            <v>37066</v>
          </cell>
          <cell r="G353">
            <v>113200</v>
          </cell>
          <cell r="H353">
            <v>46676</v>
          </cell>
        </row>
        <row r="354">
          <cell r="D354">
            <v>160000</v>
          </cell>
          <cell r="E354">
            <v>145570.62</v>
          </cell>
          <cell r="F354">
            <v>14429.380000000005</v>
          </cell>
          <cell r="G354">
            <v>10545</v>
          </cell>
          <cell r="H354">
            <v>149455</v>
          </cell>
        </row>
        <row r="355">
          <cell r="D355">
            <v>349899</v>
          </cell>
          <cell r="E355">
            <v>307070</v>
          </cell>
          <cell r="F355">
            <v>42829</v>
          </cell>
          <cell r="G355">
            <v>7000</v>
          </cell>
          <cell r="H355">
            <v>342899</v>
          </cell>
        </row>
        <row r="356">
          <cell r="D356">
            <v>158527</v>
          </cell>
          <cell r="E356">
            <v>149776</v>
          </cell>
          <cell r="F356">
            <v>8751</v>
          </cell>
          <cell r="G356">
            <v>52174</v>
          </cell>
          <cell r="H356">
            <v>106353</v>
          </cell>
        </row>
        <row r="357">
          <cell r="D357">
            <v>158640</v>
          </cell>
          <cell r="E357">
            <v>133515</v>
          </cell>
          <cell r="F357">
            <v>25125</v>
          </cell>
          <cell r="G357">
            <v>0</v>
          </cell>
          <cell r="H357">
            <v>158640</v>
          </cell>
        </row>
        <row r="358">
          <cell r="D358">
            <v>159041</v>
          </cell>
          <cell r="E358">
            <v>139000</v>
          </cell>
          <cell r="F358">
            <v>20041</v>
          </cell>
          <cell r="G358">
            <v>0</v>
          </cell>
          <cell r="H358">
            <v>159041</v>
          </cell>
        </row>
        <row r="359">
          <cell r="D359">
            <v>349792</v>
          </cell>
          <cell r="E359">
            <v>308833.33</v>
          </cell>
          <cell r="F359">
            <v>40958.669999999984</v>
          </cell>
          <cell r="G359">
            <v>0</v>
          </cell>
          <cell r="H359">
            <v>349792</v>
          </cell>
        </row>
        <row r="360">
          <cell r="D360">
            <v>350000</v>
          </cell>
          <cell r="E360">
            <v>324160</v>
          </cell>
          <cell r="F360">
            <v>25840</v>
          </cell>
          <cell r="G360">
            <v>62360</v>
          </cell>
          <cell r="H360">
            <v>287640</v>
          </cell>
        </row>
        <row r="361">
          <cell r="D361">
            <v>159584</v>
          </cell>
          <cell r="E361">
            <v>152800</v>
          </cell>
          <cell r="F361">
            <v>6784</v>
          </cell>
          <cell r="G361">
            <v>5800</v>
          </cell>
          <cell r="H361">
            <v>153784</v>
          </cell>
        </row>
        <row r="362">
          <cell r="D362">
            <v>160000</v>
          </cell>
          <cell r="E362">
            <v>152470</v>
          </cell>
          <cell r="F362">
            <v>7530</v>
          </cell>
          <cell r="G362">
            <v>126270</v>
          </cell>
          <cell r="H362">
            <v>33730</v>
          </cell>
        </row>
        <row r="363">
          <cell r="D363">
            <v>346711</v>
          </cell>
          <cell r="E363">
            <v>318955</v>
          </cell>
          <cell r="F363">
            <v>27756</v>
          </cell>
          <cell r="G363">
            <v>40200</v>
          </cell>
          <cell r="H363">
            <v>306511</v>
          </cell>
        </row>
        <row r="364">
          <cell r="D364">
            <v>159830</v>
          </cell>
          <cell r="E364">
            <v>97085</v>
          </cell>
          <cell r="F364">
            <v>62745</v>
          </cell>
          <cell r="G364">
            <v>97085</v>
          </cell>
          <cell r="H364">
            <v>62745</v>
          </cell>
        </row>
        <row r="365">
          <cell r="D365">
            <v>160000</v>
          </cell>
          <cell r="E365">
            <v>146000</v>
          </cell>
          <cell r="F365">
            <v>14000</v>
          </cell>
          <cell r="G365">
            <v>0</v>
          </cell>
          <cell r="H365">
            <v>160000</v>
          </cell>
        </row>
        <row r="366">
          <cell r="D366">
            <v>349950</v>
          </cell>
          <cell r="E366">
            <v>287705</v>
          </cell>
          <cell r="F366">
            <v>62245</v>
          </cell>
          <cell r="G366">
            <v>129470</v>
          </cell>
          <cell r="H366">
            <v>220480</v>
          </cell>
        </row>
        <row r="367">
          <cell r="D367">
            <v>160000</v>
          </cell>
          <cell r="E367">
            <v>89310</v>
          </cell>
          <cell r="F367">
            <v>70690</v>
          </cell>
          <cell r="G367">
            <v>75340</v>
          </cell>
          <cell r="H367">
            <v>84660</v>
          </cell>
        </row>
        <row r="368">
          <cell r="D368">
            <v>159880</v>
          </cell>
          <cell r="E368">
            <v>152030</v>
          </cell>
          <cell r="F368">
            <v>7850</v>
          </cell>
          <cell r="G368">
            <v>50840</v>
          </cell>
          <cell r="H368">
            <v>109040</v>
          </cell>
        </row>
        <row r="369">
          <cell r="D369">
            <v>1185238</v>
          </cell>
          <cell r="E369">
            <v>895458.81</v>
          </cell>
          <cell r="F369">
            <v>289779.18999999994</v>
          </cell>
          <cell r="G369">
            <v>848303.96000000008</v>
          </cell>
          <cell r="H369">
            <v>336934.03999999992</v>
          </cell>
        </row>
        <row r="370">
          <cell r="D370">
            <v>303086</v>
          </cell>
          <cell r="E370">
            <v>276239.45</v>
          </cell>
          <cell r="F370">
            <v>26846.549999999988</v>
          </cell>
          <cell r="G370">
            <v>275941.00000000006</v>
          </cell>
          <cell r="H370">
            <v>27144.999999999942</v>
          </cell>
        </row>
        <row r="371">
          <cell r="D371">
            <v>1627635</v>
          </cell>
          <cell r="E371">
            <v>1273793.6299999999</v>
          </cell>
          <cell r="F371">
            <v>353841.37000000011</v>
          </cell>
          <cell r="G371">
            <v>1205599.73</v>
          </cell>
          <cell r="H371">
            <v>422035.27</v>
          </cell>
        </row>
        <row r="372">
          <cell r="D372">
            <v>1116717</v>
          </cell>
          <cell r="E372">
            <v>836728.57000000007</v>
          </cell>
          <cell r="F372">
            <v>279988.42999999993</v>
          </cell>
          <cell r="G372">
            <v>803787.89</v>
          </cell>
          <cell r="H372">
            <v>312929.11</v>
          </cell>
        </row>
        <row r="373">
          <cell r="D373">
            <v>1333400</v>
          </cell>
          <cell r="E373">
            <v>1175768.47</v>
          </cell>
          <cell r="F373">
            <v>157631.53000000003</v>
          </cell>
          <cell r="G373">
            <v>1143663.05</v>
          </cell>
          <cell r="H373">
            <v>189736.94999999995</v>
          </cell>
        </row>
        <row r="374">
          <cell r="D374">
            <v>105000</v>
          </cell>
          <cell r="E374">
            <v>44312.3</v>
          </cell>
          <cell r="F374">
            <v>60687.7</v>
          </cell>
          <cell r="G374">
            <v>39935.869999999995</v>
          </cell>
          <cell r="H374">
            <v>65064.13</v>
          </cell>
        </row>
        <row r="375">
          <cell r="D375">
            <v>41519761</v>
          </cell>
          <cell r="E375">
            <v>39185248.729999997</v>
          </cell>
          <cell r="F375">
            <v>2334512.2699999996</v>
          </cell>
          <cell r="G375">
            <v>10203967.820000002</v>
          </cell>
          <cell r="H375">
            <v>31315793.18</v>
          </cell>
        </row>
        <row r="376">
          <cell r="D376">
            <v>768405</v>
          </cell>
          <cell r="E376">
            <v>699477.1</v>
          </cell>
          <cell r="F376">
            <v>68927.900000000023</v>
          </cell>
          <cell r="G376">
            <v>405902.22</v>
          </cell>
          <cell r="H376">
            <v>362502.78</v>
          </cell>
        </row>
        <row r="377">
          <cell r="D377">
            <v>3974680</v>
          </cell>
          <cell r="E377">
            <v>3830379.2</v>
          </cell>
          <cell r="F377">
            <v>144300.79999999999</v>
          </cell>
          <cell r="G377">
            <v>101545.06</v>
          </cell>
          <cell r="H377">
            <v>3873134.9400000004</v>
          </cell>
        </row>
        <row r="378">
          <cell r="D378">
            <v>17714</v>
          </cell>
          <cell r="E378">
            <v>14228.68</v>
          </cell>
          <cell r="F378">
            <v>3485.32</v>
          </cell>
          <cell r="G378">
            <v>9749.7999999999993</v>
          </cell>
          <cell r="H378">
            <v>7964.2000000000007</v>
          </cell>
        </row>
        <row r="379">
          <cell r="D379">
            <v>80738</v>
          </cell>
          <cell r="E379">
            <v>0</v>
          </cell>
          <cell r="F379">
            <v>80738</v>
          </cell>
          <cell r="G379">
            <v>0</v>
          </cell>
          <cell r="H379">
            <v>80738</v>
          </cell>
        </row>
        <row r="380">
          <cell r="D380">
            <v>4265759</v>
          </cell>
          <cell r="E380">
            <v>3757265.0300000003</v>
          </cell>
          <cell r="F380">
            <v>508493.97000000003</v>
          </cell>
          <cell r="G380">
            <v>2262317.61</v>
          </cell>
          <cell r="H380">
            <v>2003441.3900000001</v>
          </cell>
        </row>
        <row r="381">
          <cell r="D381">
            <v>99230</v>
          </cell>
          <cell r="E381">
            <v>99007.59</v>
          </cell>
          <cell r="F381">
            <v>222.40999999999985</v>
          </cell>
          <cell r="G381">
            <v>93345.76999999999</v>
          </cell>
          <cell r="H381">
            <v>5884.23</v>
          </cell>
        </row>
        <row r="382">
          <cell r="D382">
            <v>28752</v>
          </cell>
          <cell r="E382">
            <v>28751.599999999999</v>
          </cell>
          <cell r="F382">
            <v>0.40000000000145519</v>
          </cell>
          <cell r="G382">
            <v>28751.599999999999</v>
          </cell>
          <cell r="H382">
            <v>0.40000000000145519</v>
          </cell>
        </row>
        <row r="383">
          <cell r="D383">
            <v>521845</v>
          </cell>
          <cell r="E383">
            <v>521845</v>
          </cell>
          <cell r="F383">
            <v>0</v>
          </cell>
          <cell r="G383">
            <v>282163.19</v>
          </cell>
          <cell r="H383">
            <v>239681.81</v>
          </cell>
        </row>
        <row r="384">
          <cell r="D384">
            <v>4437995</v>
          </cell>
          <cell r="E384">
            <v>3379876.18</v>
          </cell>
          <cell r="F384">
            <v>1058118.82</v>
          </cell>
          <cell r="G384">
            <v>2129195.96</v>
          </cell>
          <cell r="H384">
            <v>2308799.04</v>
          </cell>
        </row>
        <row r="385">
          <cell r="D385">
            <v>195079</v>
          </cell>
          <cell r="E385">
            <v>186354</v>
          </cell>
          <cell r="F385">
            <v>8725.0000000000036</v>
          </cell>
          <cell r="G385">
            <v>176804.43</v>
          </cell>
          <cell r="H385">
            <v>18274.570000000007</v>
          </cell>
        </row>
        <row r="386">
          <cell r="D386">
            <v>5872577</v>
          </cell>
          <cell r="E386">
            <v>3639207.8200000003</v>
          </cell>
          <cell r="F386">
            <v>2233369.1800000002</v>
          </cell>
          <cell r="G386">
            <v>1600903.33</v>
          </cell>
          <cell r="H386">
            <v>4271673.67</v>
          </cell>
        </row>
        <row r="387">
          <cell r="D387">
            <v>1827737</v>
          </cell>
          <cell r="E387">
            <v>300000</v>
          </cell>
          <cell r="F387">
            <v>1527737</v>
          </cell>
          <cell r="G387">
            <v>0</v>
          </cell>
          <cell r="H387">
            <v>1827737</v>
          </cell>
        </row>
        <row r="388">
          <cell r="D388">
            <v>40621</v>
          </cell>
          <cell r="E388">
            <v>28914.400000000001</v>
          </cell>
          <cell r="F388">
            <v>11706.6</v>
          </cell>
          <cell r="G388">
            <v>27953.93</v>
          </cell>
          <cell r="H388">
            <v>12667.070000000002</v>
          </cell>
        </row>
        <row r="389">
          <cell r="D389">
            <v>70632</v>
          </cell>
          <cell r="E389">
            <v>12544</v>
          </cell>
          <cell r="F389">
            <v>58088</v>
          </cell>
          <cell r="G389">
            <v>12544</v>
          </cell>
          <cell r="H389">
            <v>58088</v>
          </cell>
        </row>
        <row r="390">
          <cell r="D390">
            <v>11000</v>
          </cell>
          <cell r="E390">
            <v>11000</v>
          </cell>
          <cell r="F390">
            <v>0</v>
          </cell>
          <cell r="G390">
            <v>0</v>
          </cell>
          <cell r="H390">
            <v>11000</v>
          </cell>
        </row>
        <row r="391">
          <cell r="D391">
            <v>11000</v>
          </cell>
          <cell r="E391">
            <v>11000</v>
          </cell>
          <cell r="F391">
            <v>0</v>
          </cell>
          <cell r="G391">
            <v>0</v>
          </cell>
          <cell r="H391">
            <v>11000</v>
          </cell>
        </row>
        <row r="392">
          <cell r="D392">
            <v>160000</v>
          </cell>
          <cell r="E392">
            <v>145797</v>
          </cell>
          <cell r="F392">
            <v>14203</v>
          </cell>
          <cell r="G392">
            <v>41950</v>
          </cell>
          <cell r="H392">
            <v>118050</v>
          </cell>
        </row>
        <row r="393">
          <cell r="D393">
            <v>349668</v>
          </cell>
          <cell r="E393">
            <v>247983.34</v>
          </cell>
          <cell r="F393">
            <v>101684.66</v>
          </cell>
          <cell r="G393">
            <v>20700</v>
          </cell>
          <cell r="H393">
            <v>328968</v>
          </cell>
        </row>
        <row r="394">
          <cell r="D394">
            <v>159560</v>
          </cell>
          <cell r="E394">
            <v>97390</v>
          </cell>
          <cell r="F394">
            <v>62170</v>
          </cell>
          <cell r="G394">
            <v>13950</v>
          </cell>
          <cell r="H394">
            <v>145610</v>
          </cell>
        </row>
        <row r="395">
          <cell r="D395">
            <v>141150</v>
          </cell>
          <cell r="E395">
            <v>0</v>
          </cell>
          <cell r="F395">
            <v>141150</v>
          </cell>
          <cell r="G395">
            <v>0</v>
          </cell>
          <cell r="H395">
            <v>141150</v>
          </cell>
        </row>
        <row r="396">
          <cell r="D396">
            <v>350000</v>
          </cell>
          <cell r="E396">
            <v>151520</v>
          </cell>
          <cell r="F396">
            <v>198480</v>
          </cell>
          <cell r="G396">
            <v>57400</v>
          </cell>
          <cell r="H396">
            <v>292600</v>
          </cell>
        </row>
        <row r="397">
          <cell r="D397">
            <v>159978</v>
          </cell>
          <cell r="E397">
            <v>146490</v>
          </cell>
          <cell r="F397">
            <v>13488</v>
          </cell>
          <cell r="G397">
            <v>0</v>
          </cell>
          <cell r="H397">
            <v>159978</v>
          </cell>
        </row>
        <row r="398">
          <cell r="D398">
            <v>442669</v>
          </cell>
          <cell r="E398">
            <v>414894</v>
          </cell>
          <cell r="F398">
            <v>27775</v>
          </cell>
          <cell r="G398">
            <v>211662.5</v>
          </cell>
          <cell r="H398">
            <v>231006.5</v>
          </cell>
        </row>
        <row r="399">
          <cell r="D399">
            <v>677644</v>
          </cell>
          <cell r="E399">
            <v>540812.88</v>
          </cell>
          <cell r="F399">
            <v>136831.12</v>
          </cell>
          <cell r="G399">
            <v>123643.38</v>
          </cell>
          <cell r="H399">
            <v>554000.62</v>
          </cell>
        </row>
        <row r="400">
          <cell r="D400">
            <v>84425</v>
          </cell>
          <cell r="E400">
            <v>79219.88</v>
          </cell>
          <cell r="F400">
            <v>5205.1199999999953</v>
          </cell>
          <cell r="G400">
            <v>79219.88</v>
          </cell>
          <cell r="H400">
            <v>5205.1199999999953</v>
          </cell>
        </row>
        <row r="401">
          <cell r="D401">
            <v>13758</v>
          </cell>
          <cell r="E401">
            <v>13758</v>
          </cell>
          <cell r="F401">
            <v>0</v>
          </cell>
          <cell r="G401">
            <v>13212.64</v>
          </cell>
          <cell r="H401">
            <v>545.36000000000058</v>
          </cell>
        </row>
        <row r="402">
          <cell r="D402">
            <v>23560</v>
          </cell>
          <cell r="E402">
            <v>22650</v>
          </cell>
          <cell r="F402">
            <v>910</v>
          </cell>
          <cell r="G402">
            <v>14282.09</v>
          </cell>
          <cell r="H402">
            <v>9277.91</v>
          </cell>
        </row>
        <row r="403">
          <cell r="D403">
            <v>10277</v>
          </cell>
          <cell r="E403">
            <v>9570</v>
          </cell>
          <cell r="F403">
            <v>707</v>
          </cell>
          <cell r="G403">
            <v>9564.68</v>
          </cell>
          <cell r="H403">
            <v>712.31999999999971</v>
          </cell>
        </row>
        <row r="404">
          <cell r="D404">
            <v>44000</v>
          </cell>
          <cell r="E404">
            <v>43500</v>
          </cell>
          <cell r="F404">
            <v>500</v>
          </cell>
          <cell r="G404">
            <v>17400</v>
          </cell>
          <cell r="H404">
            <v>26600</v>
          </cell>
        </row>
        <row r="405">
          <cell r="D405">
            <v>25000</v>
          </cell>
          <cell r="E405">
            <v>0</v>
          </cell>
          <cell r="F405">
            <v>25000</v>
          </cell>
          <cell r="G405">
            <v>0</v>
          </cell>
          <cell r="H405">
            <v>25000</v>
          </cell>
        </row>
        <row r="406">
          <cell r="D406">
            <v>28700</v>
          </cell>
          <cell r="E406">
            <v>0</v>
          </cell>
          <cell r="F406">
            <v>28700</v>
          </cell>
          <cell r="G406">
            <v>0</v>
          </cell>
          <cell r="H406">
            <v>28700</v>
          </cell>
        </row>
        <row r="407">
          <cell r="D407">
            <v>100021</v>
          </cell>
          <cell r="E407">
            <v>51392</v>
          </cell>
          <cell r="F407">
            <v>48629</v>
          </cell>
          <cell r="G407">
            <v>0</v>
          </cell>
          <cell r="H407">
            <v>100021</v>
          </cell>
        </row>
        <row r="408">
          <cell r="D408">
            <v>634869</v>
          </cell>
          <cell r="E408">
            <v>634869</v>
          </cell>
          <cell r="F408">
            <v>0</v>
          </cell>
          <cell r="G408">
            <v>527095.36</v>
          </cell>
          <cell r="H408">
            <v>107773.64000000001</v>
          </cell>
        </row>
        <row r="409">
          <cell r="D409">
            <v>170000</v>
          </cell>
          <cell r="E409">
            <v>43010</v>
          </cell>
          <cell r="F409">
            <v>126990</v>
          </cell>
          <cell r="G409">
            <v>21399.239999999998</v>
          </cell>
          <cell r="H409">
            <v>148600.76</v>
          </cell>
        </row>
        <row r="410">
          <cell r="D410">
            <v>114255</v>
          </cell>
          <cell r="E410">
            <v>0</v>
          </cell>
          <cell r="F410">
            <v>114255</v>
          </cell>
          <cell r="G410">
            <v>0</v>
          </cell>
          <cell r="H410">
            <v>114255</v>
          </cell>
        </row>
        <row r="411">
          <cell r="D411">
            <v>199545</v>
          </cell>
          <cell r="E411">
            <v>199545</v>
          </cell>
          <cell r="F411">
            <v>0</v>
          </cell>
          <cell r="G411">
            <v>127534.07</v>
          </cell>
          <cell r="H411">
            <v>72010.929999999993</v>
          </cell>
        </row>
        <row r="412">
          <cell r="D412">
            <v>192812</v>
          </cell>
          <cell r="E412">
            <v>180485</v>
          </cell>
          <cell r="F412">
            <v>12327</v>
          </cell>
          <cell r="G412">
            <v>82982.33</v>
          </cell>
          <cell r="H412">
            <v>109829.67</v>
          </cell>
        </row>
        <row r="413">
          <cell r="D413">
            <v>36445</v>
          </cell>
          <cell r="E413">
            <v>0</v>
          </cell>
          <cell r="F413">
            <v>36445</v>
          </cell>
          <cell r="G413">
            <v>0</v>
          </cell>
          <cell r="H413">
            <v>36445</v>
          </cell>
        </row>
        <row r="414">
          <cell r="D414">
            <v>39485</v>
          </cell>
          <cell r="E414">
            <v>0</v>
          </cell>
          <cell r="F414">
            <v>39485</v>
          </cell>
          <cell r="G414">
            <v>0</v>
          </cell>
          <cell r="H414">
            <v>39485</v>
          </cell>
        </row>
        <row r="415">
          <cell r="D415">
            <v>20166</v>
          </cell>
          <cell r="E415">
            <v>19362</v>
          </cell>
          <cell r="F415">
            <v>804</v>
          </cell>
          <cell r="G415">
            <v>18148.25</v>
          </cell>
          <cell r="H415">
            <v>2017.75</v>
          </cell>
        </row>
        <row r="416">
          <cell r="D416">
            <v>287709</v>
          </cell>
          <cell r="E416">
            <v>60651.5</v>
          </cell>
          <cell r="F416">
            <v>227057.5</v>
          </cell>
          <cell r="G416">
            <v>0</v>
          </cell>
          <cell r="H416">
            <v>287709</v>
          </cell>
        </row>
        <row r="417">
          <cell r="D417">
            <v>140000</v>
          </cell>
          <cell r="E417">
            <v>140000</v>
          </cell>
          <cell r="F417">
            <v>0</v>
          </cell>
          <cell r="G417">
            <v>131428.18</v>
          </cell>
          <cell r="H417">
            <v>8571.820000000007</v>
          </cell>
        </row>
        <row r="418">
          <cell r="D418">
            <v>900000</v>
          </cell>
          <cell r="E418">
            <v>619249.54</v>
          </cell>
          <cell r="F418">
            <v>280750.46000000002</v>
          </cell>
          <cell r="G418">
            <v>0</v>
          </cell>
          <cell r="H418">
            <v>900000</v>
          </cell>
        </row>
        <row r="419">
          <cell r="D419">
            <v>87823</v>
          </cell>
          <cell r="E419">
            <v>0</v>
          </cell>
          <cell r="F419">
            <v>87823</v>
          </cell>
          <cell r="G419">
            <v>0</v>
          </cell>
          <cell r="H419">
            <v>87823</v>
          </cell>
        </row>
        <row r="420">
          <cell r="D420">
            <v>1038097</v>
          </cell>
          <cell r="E420">
            <v>1038097</v>
          </cell>
          <cell r="F420">
            <v>0</v>
          </cell>
          <cell r="G420">
            <v>0</v>
          </cell>
          <cell r="H420">
            <v>1038097</v>
          </cell>
        </row>
        <row r="421">
          <cell r="D421">
            <v>2741138</v>
          </cell>
          <cell r="E421">
            <v>0</v>
          </cell>
          <cell r="F421">
            <v>2741138</v>
          </cell>
          <cell r="G421">
            <v>0</v>
          </cell>
          <cell r="H421">
            <v>2741138</v>
          </cell>
        </row>
        <row r="422">
          <cell r="D422">
            <v>94054</v>
          </cell>
          <cell r="E422">
            <v>94054</v>
          </cell>
          <cell r="F422">
            <v>0</v>
          </cell>
          <cell r="G422">
            <v>60075.86</v>
          </cell>
          <cell r="H422">
            <v>33978.14</v>
          </cell>
        </row>
        <row r="423">
          <cell r="D423">
            <v>680748</v>
          </cell>
          <cell r="E423">
            <v>538302.91999999993</v>
          </cell>
          <cell r="F423">
            <v>142445.08000000002</v>
          </cell>
          <cell r="G423">
            <v>0</v>
          </cell>
          <cell r="H423">
            <v>680748</v>
          </cell>
        </row>
        <row r="424">
          <cell r="D424">
            <v>670100</v>
          </cell>
          <cell r="E424">
            <v>532791.97</v>
          </cell>
          <cell r="F424">
            <v>137308.03000000003</v>
          </cell>
          <cell r="G424">
            <v>0</v>
          </cell>
          <cell r="H424">
            <v>670100</v>
          </cell>
        </row>
        <row r="425">
          <cell r="D425">
            <v>388514</v>
          </cell>
          <cell r="E425">
            <v>269223.83999999997</v>
          </cell>
          <cell r="F425">
            <v>119290.16</v>
          </cell>
          <cell r="G425">
            <v>0</v>
          </cell>
          <cell r="H425">
            <v>388514</v>
          </cell>
        </row>
        <row r="426">
          <cell r="D426">
            <v>3254770</v>
          </cell>
          <cell r="E426">
            <v>2925559.55</v>
          </cell>
          <cell r="F426">
            <v>329210.44999999995</v>
          </cell>
          <cell r="G426">
            <v>0</v>
          </cell>
          <cell r="H426">
            <v>3254770</v>
          </cell>
        </row>
        <row r="427">
          <cell r="D427">
            <v>1007572</v>
          </cell>
          <cell r="E427">
            <v>838299.38</v>
          </cell>
          <cell r="F427">
            <v>169272.62</v>
          </cell>
          <cell r="G427">
            <v>0</v>
          </cell>
          <cell r="H427">
            <v>1007572</v>
          </cell>
        </row>
        <row r="428">
          <cell r="D428">
            <v>542416</v>
          </cell>
          <cell r="E428">
            <v>401911.51</v>
          </cell>
          <cell r="F428">
            <v>140504.49</v>
          </cell>
          <cell r="G428">
            <v>0</v>
          </cell>
          <cell r="H428">
            <v>542416</v>
          </cell>
        </row>
        <row r="429">
          <cell r="D429">
            <v>1688098</v>
          </cell>
          <cell r="E429">
            <v>1486603.23</v>
          </cell>
          <cell r="F429">
            <v>201494.77000000002</v>
          </cell>
          <cell r="G429">
            <v>0</v>
          </cell>
          <cell r="H429">
            <v>1688098</v>
          </cell>
        </row>
        <row r="430">
          <cell r="D430">
            <v>928545</v>
          </cell>
          <cell r="E430">
            <v>0</v>
          </cell>
          <cell r="F430">
            <v>928545</v>
          </cell>
          <cell r="G430">
            <v>0</v>
          </cell>
          <cell r="H430">
            <v>928545</v>
          </cell>
        </row>
        <row r="431">
          <cell r="D431">
            <v>200000</v>
          </cell>
          <cell r="E431">
            <v>0</v>
          </cell>
          <cell r="F431">
            <v>200000</v>
          </cell>
          <cell r="G431">
            <v>0</v>
          </cell>
          <cell r="H431">
            <v>200000</v>
          </cell>
        </row>
        <row r="432">
          <cell r="D432">
            <v>200000</v>
          </cell>
          <cell r="E432">
            <v>0</v>
          </cell>
          <cell r="F432">
            <v>200000</v>
          </cell>
          <cell r="G432">
            <v>0</v>
          </cell>
          <cell r="H432">
            <v>200000</v>
          </cell>
        </row>
        <row r="433">
          <cell r="D433">
            <v>171496</v>
          </cell>
          <cell r="E433">
            <v>0</v>
          </cell>
          <cell r="F433">
            <v>171496</v>
          </cell>
          <cell r="G433">
            <v>0</v>
          </cell>
          <cell r="H433">
            <v>171496</v>
          </cell>
        </row>
        <row r="434">
          <cell r="D434">
            <v>273457</v>
          </cell>
          <cell r="E434">
            <v>0</v>
          </cell>
          <cell r="F434">
            <v>273457</v>
          </cell>
          <cell r="G434">
            <v>0</v>
          </cell>
          <cell r="H434">
            <v>273457</v>
          </cell>
        </row>
        <row r="435">
          <cell r="D435">
            <v>81510</v>
          </cell>
          <cell r="E435">
            <v>0</v>
          </cell>
          <cell r="F435">
            <v>81510</v>
          </cell>
          <cell r="G435">
            <v>0</v>
          </cell>
          <cell r="H435">
            <v>81510</v>
          </cell>
        </row>
        <row r="436">
          <cell r="D436">
            <v>75291</v>
          </cell>
          <cell r="E436">
            <v>0</v>
          </cell>
          <cell r="F436">
            <v>75291</v>
          </cell>
          <cell r="G436">
            <v>0</v>
          </cell>
          <cell r="H436">
            <v>75291</v>
          </cell>
        </row>
        <row r="437">
          <cell r="D437">
            <v>149283</v>
          </cell>
          <cell r="E437">
            <v>0</v>
          </cell>
          <cell r="F437">
            <v>149283</v>
          </cell>
          <cell r="G437">
            <v>0</v>
          </cell>
          <cell r="H437">
            <v>149283</v>
          </cell>
        </row>
        <row r="438">
          <cell r="D438">
            <v>25610</v>
          </cell>
          <cell r="E438">
            <v>0</v>
          </cell>
          <cell r="F438">
            <v>25610</v>
          </cell>
          <cell r="G438">
            <v>0</v>
          </cell>
          <cell r="H438">
            <v>25610</v>
          </cell>
        </row>
        <row r="439">
          <cell r="D439">
            <v>2394005</v>
          </cell>
          <cell r="E439">
            <v>0</v>
          </cell>
          <cell r="F439">
            <v>2394005</v>
          </cell>
          <cell r="G439">
            <v>0</v>
          </cell>
          <cell r="H439">
            <v>2394005</v>
          </cell>
        </row>
        <row r="440">
          <cell r="D440">
            <v>2795</v>
          </cell>
          <cell r="E440">
            <v>2795</v>
          </cell>
          <cell r="F440">
            <v>0</v>
          </cell>
          <cell r="G440">
            <v>0</v>
          </cell>
          <cell r="H440">
            <v>2795</v>
          </cell>
        </row>
        <row r="441">
          <cell r="D441">
            <v>150000</v>
          </cell>
          <cell r="E441">
            <v>0</v>
          </cell>
          <cell r="F441">
            <v>150000</v>
          </cell>
          <cell r="G441">
            <v>0</v>
          </cell>
          <cell r="H441">
            <v>150000</v>
          </cell>
        </row>
      </sheetData>
      <sheetData sheetId="1"/>
      <sheetData sheetId="2"/>
      <sheetData sheetId="3">
        <row r="6">
          <cell r="C6">
            <v>119950</v>
          </cell>
          <cell r="D6">
            <v>116328.89</v>
          </cell>
          <cell r="E6">
            <v>3621.1100000000006</v>
          </cell>
          <cell r="F6">
            <v>70291.22</v>
          </cell>
          <cell r="G6">
            <v>49658.78</v>
          </cell>
        </row>
        <row r="7">
          <cell r="C7">
            <v>2417454</v>
          </cell>
          <cell r="D7">
            <v>1640334.6</v>
          </cell>
          <cell r="E7">
            <v>777119.39999999991</v>
          </cell>
          <cell r="F7">
            <v>1313234.81</v>
          </cell>
          <cell r="G7">
            <v>1104219.19</v>
          </cell>
        </row>
        <row r="8">
          <cell r="C8">
            <v>45000</v>
          </cell>
          <cell r="D8">
            <v>0</v>
          </cell>
          <cell r="E8">
            <v>45000</v>
          </cell>
          <cell r="F8">
            <v>0</v>
          </cell>
          <cell r="G8">
            <v>45000</v>
          </cell>
        </row>
      </sheetData>
      <sheetData sheetId="4">
        <row r="5">
          <cell r="C5">
            <v>678214</v>
          </cell>
          <cell r="D5">
            <v>554739.75</v>
          </cell>
          <cell r="E5">
            <v>123474.25</v>
          </cell>
          <cell r="F5">
            <v>267521.35000000003</v>
          </cell>
          <cell r="G5">
            <v>410692.64999999997</v>
          </cell>
        </row>
        <row r="6">
          <cell r="C6">
            <v>34081</v>
          </cell>
          <cell r="D6">
            <v>33741.480000000003</v>
          </cell>
          <cell r="E6">
            <v>339.5199999999968</v>
          </cell>
          <cell r="F6">
            <v>33314.799999999996</v>
          </cell>
          <cell r="G6">
            <v>766.20000000000437</v>
          </cell>
        </row>
        <row r="7">
          <cell r="C7">
            <v>4990675</v>
          </cell>
          <cell r="D7">
            <v>4968620.57</v>
          </cell>
          <cell r="E7">
            <v>22054.429999999702</v>
          </cell>
          <cell r="F7">
            <v>3328854.66</v>
          </cell>
          <cell r="G7">
            <v>1661820.3399999999</v>
          </cell>
        </row>
        <row r="8">
          <cell r="C8">
            <v>2302588</v>
          </cell>
          <cell r="D8">
            <v>2230821.5100000002</v>
          </cell>
          <cell r="E8">
            <v>71766.489999999758</v>
          </cell>
          <cell r="F8">
            <v>2069034.1200000003</v>
          </cell>
          <cell r="G8">
            <v>233553.87999999966</v>
          </cell>
        </row>
        <row r="9">
          <cell r="C9">
            <v>6874937</v>
          </cell>
          <cell r="D9">
            <v>6395140.3299999991</v>
          </cell>
          <cell r="E9">
            <v>479796.67000000086</v>
          </cell>
          <cell r="F9">
            <v>6249139.4399999995</v>
          </cell>
          <cell r="G9">
            <v>625797.56000000052</v>
          </cell>
        </row>
        <row r="10">
          <cell r="C10">
            <v>8164506</v>
          </cell>
          <cell r="D10">
            <v>8096101.1999999993</v>
          </cell>
          <cell r="E10">
            <v>68404.800000000745</v>
          </cell>
          <cell r="F10">
            <v>7138306.3300000001</v>
          </cell>
          <cell r="G10">
            <v>1026199.6699999999</v>
          </cell>
        </row>
        <row r="11">
          <cell r="C11">
            <v>0</v>
          </cell>
          <cell r="D11">
            <v>0</v>
          </cell>
          <cell r="E11">
            <v>0</v>
          </cell>
          <cell r="F11">
            <v>0</v>
          </cell>
          <cell r="G11">
            <v>0</v>
          </cell>
        </row>
        <row r="12">
          <cell r="C12">
            <v>6565000</v>
          </cell>
          <cell r="D12">
            <v>6440621.3900000006</v>
          </cell>
          <cell r="E12">
            <v>124378.6099999994</v>
          </cell>
          <cell r="F12">
            <v>5244884.37</v>
          </cell>
          <cell r="G12">
            <v>1320115.6299999999</v>
          </cell>
        </row>
        <row r="13">
          <cell r="C13">
            <v>0</v>
          </cell>
          <cell r="D13">
            <v>0</v>
          </cell>
          <cell r="E13">
            <v>0</v>
          </cell>
          <cell r="F13">
            <v>0</v>
          </cell>
          <cell r="G13">
            <v>0</v>
          </cell>
        </row>
        <row r="14">
          <cell r="C14">
            <v>267289</v>
          </cell>
          <cell r="D14">
            <v>267284.07</v>
          </cell>
          <cell r="E14">
            <v>4.9299999999930151</v>
          </cell>
          <cell r="F14">
            <v>245284.07</v>
          </cell>
          <cell r="G14">
            <v>22004.929999999993</v>
          </cell>
        </row>
        <row r="15">
          <cell r="C15">
            <v>270883</v>
          </cell>
          <cell r="D15">
            <v>262882.90000000002</v>
          </cell>
          <cell r="E15">
            <v>8000.0999999999767</v>
          </cell>
          <cell r="F15">
            <v>262822.90000000002</v>
          </cell>
          <cell r="G15">
            <v>8060.0999999999767</v>
          </cell>
        </row>
        <row r="16">
          <cell r="C16">
            <v>6186530</v>
          </cell>
          <cell r="D16">
            <v>5855274.04</v>
          </cell>
          <cell r="E16">
            <v>331255.95999999996</v>
          </cell>
          <cell r="F16">
            <v>2386512.9900000002</v>
          </cell>
          <cell r="G16">
            <v>3800017.01</v>
          </cell>
        </row>
        <row r="17">
          <cell r="C17">
            <v>152639</v>
          </cell>
          <cell r="D17">
            <v>152604.54999999999</v>
          </cell>
          <cell r="E17">
            <v>34.450000000011642</v>
          </cell>
          <cell r="F17">
            <v>152604.54999999999</v>
          </cell>
          <cell r="G17">
            <v>34.450000000011642</v>
          </cell>
        </row>
        <row r="18">
          <cell r="C18">
            <v>150000</v>
          </cell>
          <cell r="D18">
            <v>149147</v>
          </cell>
          <cell r="E18">
            <v>853</v>
          </cell>
          <cell r="F18">
            <v>32051.83</v>
          </cell>
          <cell r="G18">
            <v>117948.17</v>
          </cell>
        </row>
      </sheetData>
      <sheetData sheetId="5">
        <row r="6">
          <cell r="C6">
            <v>30000</v>
          </cell>
          <cell r="D6">
            <v>0</v>
          </cell>
          <cell r="E6">
            <v>30000</v>
          </cell>
          <cell r="F6">
            <v>0</v>
          </cell>
          <cell r="G6">
            <v>30000</v>
          </cell>
        </row>
        <row r="7">
          <cell r="C7">
            <v>3595787</v>
          </cell>
          <cell r="D7">
            <v>3387260.04</v>
          </cell>
          <cell r="E7">
            <v>208526.95999999996</v>
          </cell>
          <cell r="F7">
            <v>3206258.25</v>
          </cell>
          <cell r="G7">
            <v>389528.75</v>
          </cell>
        </row>
        <row r="8">
          <cell r="C8">
            <v>0</v>
          </cell>
          <cell r="D8">
            <v>0</v>
          </cell>
          <cell r="E8">
            <v>0</v>
          </cell>
          <cell r="F8">
            <v>0</v>
          </cell>
          <cell r="G8">
            <v>0</v>
          </cell>
        </row>
        <row r="9">
          <cell r="C9">
            <v>10473026</v>
          </cell>
          <cell r="D9">
            <v>10227931.92</v>
          </cell>
          <cell r="E9">
            <v>245094.08000000007</v>
          </cell>
          <cell r="F9">
            <v>7901431.669999999</v>
          </cell>
          <cell r="G9">
            <v>2571594.330000001</v>
          </cell>
        </row>
        <row r="10">
          <cell r="C10">
            <v>5701948</v>
          </cell>
          <cell r="D10">
            <v>5069506</v>
          </cell>
          <cell r="E10">
            <v>632442</v>
          </cell>
          <cell r="F10">
            <v>1844075.8900000001</v>
          </cell>
          <cell r="G10">
            <v>3857872.11</v>
          </cell>
        </row>
      </sheetData>
      <sheetData sheetId="6">
        <row r="5">
          <cell r="C5">
            <v>90000</v>
          </cell>
          <cell r="D5">
            <v>83616</v>
          </cell>
          <cell r="E5">
            <v>6384</v>
          </cell>
          <cell r="F5">
            <v>32100.5</v>
          </cell>
          <cell r="G5">
            <v>57899.5</v>
          </cell>
        </row>
        <row r="6">
          <cell r="C6">
            <v>40000</v>
          </cell>
          <cell r="D6">
            <v>0</v>
          </cell>
          <cell r="E6">
            <v>40000</v>
          </cell>
          <cell r="F6">
            <v>0</v>
          </cell>
          <cell r="G6">
            <v>40000</v>
          </cell>
        </row>
        <row r="7">
          <cell r="C7">
            <v>30892</v>
          </cell>
          <cell r="D7">
            <v>30000</v>
          </cell>
          <cell r="E7">
            <v>892</v>
          </cell>
          <cell r="F7">
            <v>0</v>
          </cell>
          <cell r="G7">
            <v>30892</v>
          </cell>
        </row>
        <row r="8">
          <cell r="C8">
            <v>4417847</v>
          </cell>
          <cell r="D8">
            <v>4133291.7699999996</v>
          </cell>
          <cell r="E8">
            <v>284555.23000000045</v>
          </cell>
          <cell r="F8">
            <v>3353379.79</v>
          </cell>
          <cell r="G8">
            <v>1064467.21</v>
          </cell>
        </row>
        <row r="9">
          <cell r="C9">
            <v>2000000</v>
          </cell>
          <cell r="D9">
            <v>1999999.53</v>
          </cell>
          <cell r="E9">
            <v>0.46999999997206032</v>
          </cell>
          <cell r="F9">
            <v>1956578.22</v>
          </cell>
          <cell r="G9">
            <v>43421.780000000028</v>
          </cell>
        </row>
        <row r="10">
          <cell r="C10">
            <v>7439155</v>
          </cell>
          <cell r="D10">
            <v>5519138.54</v>
          </cell>
          <cell r="E10">
            <v>1920016.46</v>
          </cell>
          <cell r="F10">
            <v>4857937.9300000006</v>
          </cell>
          <cell r="G10">
            <v>2581217.0699999994</v>
          </cell>
        </row>
        <row r="11">
          <cell r="C11">
            <v>20000</v>
          </cell>
          <cell r="D11">
            <v>20000</v>
          </cell>
          <cell r="E11">
            <v>0</v>
          </cell>
          <cell r="F11">
            <v>0</v>
          </cell>
          <cell r="G11">
            <v>20000</v>
          </cell>
        </row>
        <row r="12">
          <cell r="C12">
            <v>500000</v>
          </cell>
          <cell r="D12">
            <v>39550</v>
          </cell>
          <cell r="E12">
            <v>460450</v>
          </cell>
          <cell r="F12">
            <v>5000</v>
          </cell>
          <cell r="G12">
            <v>495000</v>
          </cell>
        </row>
      </sheetData>
      <sheetData sheetId="7">
        <row r="4">
          <cell r="C4">
            <v>32592</v>
          </cell>
          <cell r="D4">
            <v>0</v>
          </cell>
          <cell r="E4">
            <v>32592</v>
          </cell>
          <cell r="F4">
            <v>0</v>
          </cell>
          <cell r="G4">
            <v>32592</v>
          </cell>
        </row>
      </sheetData>
      <sheetData sheetId="8">
        <row r="4">
          <cell r="C4">
            <v>41800</v>
          </cell>
          <cell r="D4">
            <v>41500</v>
          </cell>
          <cell r="E4">
            <v>300</v>
          </cell>
          <cell r="F4">
            <v>41500</v>
          </cell>
          <cell r="G4">
            <v>300</v>
          </cell>
        </row>
      </sheetData>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A"/>
      <sheetName val="EVA"/>
      <sheetName val="Hoja1"/>
      <sheetName val="PRODUCCION"/>
      <sheetName val="PRORRIDRE"/>
      <sheetName val="PRADERA"/>
      <sheetName val="AGRICULTURA"/>
      <sheetName val="EDU. MELGAR"/>
      <sheetName val="Hoja2"/>
      <sheetName val="SEGUIMIENTO DE INVERSIONES"/>
    </sheetNames>
    <sheetDataSet>
      <sheetData sheetId="0" refreshError="1">
        <row r="2">
          <cell r="D2">
            <v>767303</v>
          </cell>
          <cell r="E2">
            <v>109951.3</v>
          </cell>
          <cell r="F2">
            <v>657351.69999999995</v>
          </cell>
          <cell r="G2">
            <v>74825.14</v>
          </cell>
          <cell r="H2">
            <v>692477.86</v>
          </cell>
        </row>
        <row r="3">
          <cell r="D3">
            <v>4143455</v>
          </cell>
          <cell r="E3">
            <v>4043454.41</v>
          </cell>
          <cell r="F3">
            <v>100000.58999999985</v>
          </cell>
          <cell r="G3">
            <v>4043454.41</v>
          </cell>
          <cell r="H3">
            <v>100000.58999999985</v>
          </cell>
        </row>
        <row r="4">
          <cell r="D4">
            <v>6785637</v>
          </cell>
          <cell r="E4">
            <v>6605303.6900000004</v>
          </cell>
          <cell r="F4">
            <v>180333.31</v>
          </cell>
          <cell r="G4">
            <v>118012.87999999999</v>
          </cell>
          <cell r="H4">
            <v>6667624.1199999992</v>
          </cell>
        </row>
        <row r="5">
          <cell r="D5">
            <v>10918999</v>
          </cell>
          <cell r="E5">
            <v>10898179.49</v>
          </cell>
          <cell r="F5">
            <v>20819.509999999776</v>
          </cell>
          <cell r="G5">
            <v>1805867.62</v>
          </cell>
          <cell r="H5">
            <v>9113131.379999999</v>
          </cell>
        </row>
        <row r="6">
          <cell r="D6">
            <v>300000</v>
          </cell>
          <cell r="E6">
            <v>26893</v>
          </cell>
          <cell r="F6">
            <v>273107</v>
          </cell>
          <cell r="G6">
            <v>26892.69</v>
          </cell>
          <cell r="H6">
            <v>273107.31</v>
          </cell>
        </row>
        <row r="7">
          <cell r="D7">
            <v>19658</v>
          </cell>
          <cell r="E7">
            <v>3612</v>
          </cell>
          <cell r="F7">
            <v>16046</v>
          </cell>
          <cell r="G7">
            <v>0</v>
          </cell>
          <cell r="H7">
            <v>19658</v>
          </cell>
        </row>
        <row r="8">
          <cell r="D8">
            <v>32099</v>
          </cell>
          <cell r="E8">
            <v>0</v>
          </cell>
          <cell r="F8">
            <v>32099</v>
          </cell>
          <cell r="G8">
            <v>0</v>
          </cell>
          <cell r="H8">
            <v>32099</v>
          </cell>
        </row>
        <row r="9">
          <cell r="D9">
            <v>3659376</v>
          </cell>
          <cell r="E9">
            <v>1696574.6600000001</v>
          </cell>
          <cell r="F9">
            <v>1962801.3399999999</v>
          </cell>
          <cell r="G9">
            <v>928088.22</v>
          </cell>
          <cell r="H9">
            <v>2731287.78</v>
          </cell>
        </row>
        <row r="10">
          <cell r="D10">
            <v>0</v>
          </cell>
          <cell r="E10">
            <v>0</v>
          </cell>
          <cell r="F10">
            <v>0</v>
          </cell>
          <cell r="G10">
            <v>0</v>
          </cell>
          <cell r="H10">
            <v>0</v>
          </cell>
        </row>
        <row r="11">
          <cell r="D11">
            <v>357505</v>
          </cell>
          <cell r="E11">
            <v>77427</v>
          </cell>
          <cell r="F11">
            <v>280078</v>
          </cell>
          <cell r="G11">
            <v>76159.180000000008</v>
          </cell>
          <cell r="H11">
            <v>281345.82</v>
          </cell>
        </row>
        <row r="12">
          <cell r="D12">
            <v>144908</v>
          </cell>
          <cell r="E12">
            <v>0</v>
          </cell>
          <cell r="F12">
            <v>144908</v>
          </cell>
          <cell r="G12">
            <v>0</v>
          </cell>
          <cell r="H12">
            <v>144908</v>
          </cell>
        </row>
        <row r="13">
          <cell r="D13">
            <v>17477</v>
          </cell>
          <cell r="E13">
            <v>0</v>
          </cell>
          <cell r="F13">
            <v>17477</v>
          </cell>
          <cell r="G13">
            <v>0</v>
          </cell>
          <cell r="H13">
            <v>17477</v>
          </cell>
        </row>
        <row r="14">
          <cell r="D14">
            <v>17049232</v>
          </cell>
          <cell r="E14">
            <v>16542652.17</v>
          </cell>
          <cell r="F14">
            <v>506579.82999999961</v>
          </cell>
          <cell r="G14">
            <v>12185452.670000002</v>
          </cell>
          <cell r="H14">
            <v>4863779.3299999982</v>
          </cell>
        </row>
        <row r="15">
          <cell r="D15">
            <v>4291327</v>
          </cell>
          <cell r="E15">
            <v>4215545.6500000004</v>
          </cell>
          <cell r="F15">
            <v>75781.350000000093</v>
          </cell>
          <cell r="G15">
            <v>3439618.01</v>
          </cell>
          <cell r="H15">
            <v>851708.99</v>
          </cell>
        </row>
        <row r="16">
          <cell r="D16">
            <v>909204</v>
          </cell>
          <cell r="E16">
            <v>732638.17</v>
          </cell>
          <cell r="F16">
            <v>176565.83000000002</v>
          </cell>
          <cell r="G16">
            <v>680995.61</v>
          </cell>
          <cell r="H16">
            <v>228208.39</v>
          </cell>
        </row>
        <row r="17">
          <cell r="D17">
            <v>2120577</v>
          </cell>
          <cell r="E17">
            <v>2120577</v>
          </cell>
          <cell r="F17">
            <v>0</v>
          </cell>
          <cell r="G17">
            <v>1231974.1200000001</v>
          </cell>
          <cell r="H17">
            <v>888602.87999999989</v>
          </cell>
        </row>
        <row r="18">
          <cell r="D18">
            <v>2397647</v>
          </cell>
          <cell r="E18">
            <v>2036808.03</v>
          </cell>
          <cell r="F18">
            <v>360838.97000000003</v>
          </cell>
          <cell r="G18">
            <v>1918482.46</v>
          </cell>
          <cell r="H18">
            <v>479164.54000000004</v>
          </cell>
        </row>
        <row r="19">
          <cell r="D19">
            <v>19795501</v>
          </cell>
          <cell r="E19">
            <v>14796509.479999999</v>
          </cell>
          <cell r="F19">
            <v>4998991.5200000014</v>
          </cell>
          <cell r="G19">
            <v>8716701.5899999999</v>
          </cell>
          <cell r="H19">
            <v>11078799.41</v>
          </cell>
        </row>
        <row r="20">
          <cell r="D20">
            <v>100000</v>
          </cell>
          <cell r="E20">
            <v>60000</v>
          </cell>
          <cell r="F20">
            <v>40000</v>
          </cell>
          <cell r="G20">
            <v>53585.48</v>
          </cell>
          <cell r="H20">
            <v>46414.52</v>
          </cell>
        </row>
        <row r="21">
          <cell r="D21">
            <v>2000000</v>
          </cell>
          <cell r="E21">
            <v>817165.68</v>
          </cell>
          <cell r="F21">
            <v>1182834.3199999998</v>
          </cell>
          <cell r="G21">
            <v>28470.21</v>
          </cell>
          <cell r="H21">
            <v>1971529.79</v>
          </cell>
        </row>
        <row r="22">
          <cell r="D22">
            <v>13266014</v>
          </cell>
          <cell r="E22">
            <v>12499370.98</v>
          </cell>
          <cell r="F22">
            <v>766643.01999999967</v>
          </cell>
          <cell r="G22">
            <v>7221946.4300000006</v>
          </cell>
          <cell r="H22">
            <v>6044067.5700000003</v>
          </cell>
        </row>
        <row r="23">
          <cell r="D23">
            <v>19102343</v>
          </cell>
          <cell r="E23">
            <v>18486105.460000001</v>
          </cell>
          <cell r="F23">
            <v>616237.54</v>
          </cell>
          <cell r="G23">
            <v>2983337.4499999997</v>
          </cell>
          <cell r="H23">
            <v>16119005.549999999</v>
          </cell>
        </row>
        <row r="24">
          <cell r="D24">
            <v>21914154</v>
          </cell>
          <cell r="E24">
            <v>19379293.079999998</v>
          </cell>
          <cell r="F24">
            <v>2534860.9200000004</v>
          </cell>
          <cell r="G24">
            <v>8911732.2199999988</v>
          </cell>
          <cell r="H24">
            <v>13002421.779999997</v>
          </cell>
        </row>
        <row r="25">
          <cell r="D25">
            <v>4802506</v>
          </cell>
          <cell r="E25">
            <v>3860673.04</v>
          </cell>
          <cell r="F25">
            <v>941832.96</v>
          </cell>
          <cell r="G25">
            <v>2166047.83</v>
          </cell>
          <cell r="H25">
            <v>2636458.17</v>
          </cell>
        </row>
        <row r="26">
          <cell r="D26">
            <v>175369</v>
          </cell>
          <cell r="E26">
            <v>50132</v>
          </cell>
          <cell r="F26">
            <v>125237</v>
          </cell>
          <cell r="G26">
            <v>47450.05</v>
          </cell>
          <cell r="H26">
            <v>127918.95</v>
          </cell>
        </row>
        <row r="27">
          <cell r="D27">
            <v>0</v>
          </cell>
          <cell r="E27">
            <v>0</v>
          </cell>
          <cell r="F27">
            <v>0</v>
          </cell>
          <cell r="G27">
            <v>0</v>
          </cell>
          <cell r="H27">
            <v>0</v>
          </cell>
        </row>
        <row r="28">
          <cell r="D28">
            <v>5465264</v>
          </cell>
          <cell r="E28">
            <v>4172720.92</v>
          </cell>
          <cell r="F28">
            <v>1292543.0799999998</v>
          </cell>
          <cell r="G28">
            <v>2669203.9799999995</v>
          </cell>
          <cell r="H28">
            <v>2796060.02</v>
          </cell>
        </row>
        <row r="29">
          <cell r="D29">
            <v>58259</v>
          </cell>
          <cell r="E29">
            <v>58259</v>
          </cell>
          <cell r="F29">
            <v>0</v>
          </cell>
          <cell r="G29">
            <v>30229.29</v>
          </cell>
          <cell r="H29">
            <v>28029.71</v>
          </cell>
        </row>
        <row r="30">
          <cell r="D30">
            <v>5799805</v>
          </cell>
          <cell r="E30">
            <v>4822983.3</v>
          </cell>
          <cell r="F30">
            <v>976821.7</v>
          </cell>
          <cell r="G30">
            <v>2329625.77</v>
          </cell>
          <cell r="H30">
            <v>3470179.23</v>
          </cell>
        </row>
        <row r="31">
          <cell r="D31">
            <v>100000</v>
          </cell>
          <cell r="E31">
            <v>100000</v>
          </cell>
          <cell r="F31">
            <v>0</v>
          </cell>
          <cell r="G31">
            <v>45460.229999999996</v>
          </cell>
          <cell r="H31">
            <v>54539.770000000004</v>
          </cell>
        </row>
        <row r="32">
          <cell r="D32">
            <v>100000</v>
          </cell>
          <cell r="E32">
            <v>98580</v>
          </cell>
          <cell r="F32">
            <v>1420</v>
          </cell>
          <cell r="G32">
            <v>78118.170000000013</v>
          </cell>
          <cell r="H32">
            <v>21881.829999999987</v>
          </cell>
        </row>
        <row r="33">
          <cell r="D33">
            <v>2278000</v>
          </cell>
          <cell r="E33">
            <v>2028484.71</v>
          </cell>
          <cell r="F33">
            <v>249515.29000000004</v>
          </cell>
          <cell r="G33">
            <v>536472.05999999994</v>
          </cell>
          <cell r="H33">
            <v>1741527.94</v>
          </cell>
        </row>
        <row r="34">
          <cell r="D34">
            <v>200000</v>
          </cell>
          <cell r="E34">
            <v>0</v>
          </cell>
          <cell r="F34">
            <v>200000</v>
          </cell>
          <cell r="G34">
            <v>0</v>
          </cell>
          <cell r="H34">
            <v>200000</v>
          </cell>
        </row>
        <row r="35">
          <cell r="D35">
            <v>937817</v>
          </cell>
          <cell r="E35">
            <v>0</v>
          </cell>
          <cell r="F35">
            <v>937817</v>
          </cell>
          <cell r="G35">
            <v>0</v>
          </cell>
          <cell r="H35">
            <v>937817</v>
          </cell>
        </row>
        <row r="36">
          <cell r="D36">
            <v>200000</v>
          </cell>
          <cell r="E36">
            <v>0</v>
          </cell>
          <cell r="F36">
            <v>200000</v>
          </cell>
          <cell r="G36">
            <v>0</v>
          </cell>
          <cell r="H36">
            <v>200000</v>
          </cell>
        </row>
        <row r="37">
          <cell r="D37">
            <v>250000</v>
          </cell>
          <cell r="E37">
            <v>250000</v>
          </cell>
          <cell r="F37">
            <v>0</v>
          </cell>
          <cell r="G37">
            <v>172068.84</v>
          </cell>
          <cell r="H37">
            <v>77931.16</v>
          </cell>
        </row>
        <row r="38">
          <cell r="D38">
            <v>100000</v>
          </cell>
          <cell r="E38">
            <v>50000</v>
          </cell>
          <cell r="F38">
            <v>50000</v>
          </cell>
          <cell r="G38">
            <v>0</v>
          </cell>
          <cell r="H38">
            <v>100000</v>
          </cell>
        </row>
        <row r="39">
          <cell r="D39">
            <v>250000</v>
          </cell>
          <cell r="E39">
            <v>250000</v>
          </cell>
          <cell r="F39">
            <v>0</v>
          </cell>
          <cell r="G39">
            <v>187291.43</v>
          </cell>
          <cell r="H39">
            <v>62708.570000000007</v>
          </cell>
        </row>
        <row r="40">
          <cell r="D40">
            <v>0</v>
          </cell>
          <cell r="E40">
            <v>0</v>
          </cell>
          <cell r="F40">
            <v>0</v>
          </cell>
          <cell r="G40">
            <v>0</v>
          </cell>
          <cell r="H40">
            <v>0</v>
          </cell>
        </row>
        <row r="41">
          <cell r="D41">
            <v>126982</v>
          </cell>
          <cell r="E41">
            <v>86625.5</v>
          </cell>
          <cell r="F41">
            <v>40356.5</v>
          </cell>
          <cell r="G41">
            <v>42904.19</v>
          </cell>
          <cell r="H41">
            <v>84077.81</v>
          </cell>
        </row>
        <row r="42">
          <cell r="D42">
            <v>0</v>
          </cell>
          <cell r="E42">
            <v>0</v>
          </cell>
          <cell r="F42">
            <v>0</v>
          </cell>
          <cell r="G42">
            <v>0</v>
          </cell>
          <cell r="H42">
            <v>0</v>
          </cell>
        </row>
        <row r="43">
          <cell r="D43">
            <v>112244</v>
          </cell>
          <cell r="E43">
            <v>112243.56</v>
          </cell>
          <cell r="F43">
            <v>0.44000000000232831</v>
          </cell>
          <cell r="G43">
            <v>36882.92</v>
          </cell>
          <cell r="H43">
            <v>75361.08</v>
          </cell>
        </row>
        <row r="44">
          <cell r="D44">
            <v>164979</v>
          </cell>
          <cell r="E44">
            <v>157373</v>
          </cell>
          <cell r="F44">
            <v>7606</v>
          </cell>
          <cell r="G44">
            <v>138407.03999999998</v>
          </cell>
          <cell r="H44">
            <v>26571.960000000021</v>
          </cell>
        </row>
        <row r="45">
          <cell r="D45">
            <v>99897</v>
          </cell>
          <cell r="E45">
            <v>99879.63</v>
          </cell>
          <cell r="F45">
            <v>17.369999999995343</v>
          </cell>
          <cell r="G45">
            <v>70228.429999999993</v>
          </cell>
          <cell r="H45">
            <v>29668.570000000007</v>
          </cell>
        </row>
        <row r="46">
          <cell r="D46">
            <v>50000</v>
          </cell>
          <cell r="E46">
            <v>50000</v>
          </cell>
          <cell r="F46">
            <v>0</v>
          </cell>
          <cell r="G46">
            <v>48402.59</v>
          </cell>
          <cell r="H46">
            <v>1597.4100000000035</v>
          </cell>
        </row>
        <row r="47">
          <cell r="D47">
            <v>0</v>
          </cell>
          <cell r="E47">
            <v>0</v>
          </cell>
          <cell r="F47">
            <v>0</v>
          </cell>
          <cell r="G47">
            <v>0</v>
          </cell>
          <cell r="H47">
            <v>0</v>
          </cell>
        </row>
        <row r="48">
          <cell r="D48">
            <v>550560</v>
          </cell>
          <cell r="E48">
            <v>519500</v>
          </cell>
          <cell r="F48">
            <v>31060</v>
          </cell>
          <cell r="G48">
            <v>76620.09</v>
          </cell>
          <cell r="H48">
            <v>473939.91</v>
          </cell>
        </row>
        <row r="49">
          <cell r="D49">
            <v>5000000</v>
          </cell>
          <cell r="E49">
            <v>4938862.46</v>
          </cell>
          <cell r="F49">
            <v>61137.540000000074</v>
          </cell>
          <cell r="G49">
            <v>2241272.1599999997</v>
          </cell>
          <cell r="H49">
            <v>2758727.84</v>
          </cell>
        </row>
        <row r="50">
          <cell r="D50">
            <v>100000</v>
          </cell>
          <cell r="E50">
            <v>0</v>
          </cell>
          <cell r="F50">
            <v>100000</v>
          </cell>
          <cell r="G50">
            <v>0</v>
          </cell>
          <cell r="H50">
            <v>100000</v>
          </cell>
        </row>
        <row r="51">
          <cell r="D51">
            <v>1180793</v>
          </cell>
          <cell r="E51">
            <v>1095104.03</v>
          </cell>
          <cell r="F51">
            <v>85688.97</v>
          </cell>
          <cell r="G51">
            <v>1055765.1099999999</v>
          </cell>
          <cell r="H51">
            <v>125027.89000000001</v>
          </cell>
        </row>
        <row r="52">
          <cell r="D52">
            <v>5921783</v>
          </cell>
          <cell r="E52">
            <v>5270526.25</v>
          </cell>
          <cell r="F52">
            <v>651256.74999999988</v>
          </cell>
          <cell r="G52">
            <v>536249.17999999993</v>
          </cell>
          <cell r="H52">
            <v>5385533.8200000003</v>
          </cell>
        </row>
        <row r="53">
          <cell r="D53">
            <v>6912542</v>
          </cell>
          <cell r="E53">
            <v>6389065.5999999996</v>
          </cell>
          <cell r="F53">
            <v>523476.4</v>
          </cell>
          <cell r="G53">
            <v>4220633.46</v>
          </cell>
          <cell r="H53">
            <v>2691908.54</v>
          </cell>
        </row>
        <row r="54">
          <cell r="D54">
            <v>2028388</v>
          </cell>
          <cell r="E54">
            <v>2028388</v>
          </cell>
          <cell r="F54">
            <v>0</v>
          </cell>
          <cell r="G54">
            <v>1002005.56</v>
          </cell>
          <cell r="H54">
            <v>1026382.44</v>
          </cell>
        </row>
        <row r="55">
          <cell r="D55">
            <v>3796481</v>
          </cell>
          <cell r="E55">
            <v>3611305.48</v>
          </cell>
          <cell r="F55">
            <v>185175.52000000002</v>
          </cell>
          <cell r="G55">
            <v>2965.18</v>
          </cell>
          <cell r="H55">
            <v>3793515.82</v>
          </cell>
        </row>
        <row r="56">
          <cell r="D56">
            <v>2575916</v>
          </cell>
          <cell r="E56">
            <v>2392219</v>
          </cell>
          <cell r="F56">
            <v>183697</v>
          </cell>
          <cell r="G56">
            <v>0</v>
          </cell>
          <cell r="H56">
            <v>2575916</v>
          </cell>
        </row>
        <row r="57">
          <cell r="D57">
            <v>48882</v>
          </cell>
          <cell r="E57">
            <v>30000</v>
          </cell>
          <cell r="F57">
            <v>18882</v>
          </cell>
          <cell r="G57">
            <v>0</v>
          </cell>
          <cell r="H57">
            <v>48882</v>
          </cell>
        </row>
        <row r="58">
          <cell r="D58">
            <v>38244</v>
          </cell>
          <cell r="E58">
            <v>25418</v>
          </cell>
          <cell r="F58">
            <v>12826</v>
          </cell>
          <cell r="G58">
            <v>0</v>
          </cell>
          <cell r="H58">
            <v>38244</v>
          </cell>
        </row>
        <row r="59">
          <cell r="D59">
            <v>25425</v>
          </cell>
          <cell r="E59">
            <v>0</v>
          </cell>
          <cell r="F59">
            <v>25425</v>
          </cell>
          <cell r="G59">
            <v>0</v>
          </cell>
          <cell r="H59">
            <v>25425</v>
          </cell>
        </row>
        <row r="60">
          <cell r="D60">
            <v>2054253</v>
          </cell>
          <cell r="E60">
            <v>1854253</v>
          </cell>
          <cell r="F60">
            <v>200000</v>
          </cell>
          <cell r="G60">
            <v>0</v>
          </cell>
          <cell r="H60">
            <v>2054253</v>
          </cell>
        </row>
        <row r="61">
          <cell r="D61">
            <v>3067172</v>
          </cell>
          <cell r="E61">
            <v>1807009</v>
          </cell>
          <cell r="F61">
            <v>1260163</v>
          </cell>
          <cell r="G61">
            <v>3589.2700000000004</v>
          </cell>
          <cell r="H61">
            <v>3063582.73</v>
          </cell>
        </row>
        <row r="62">
          <cell r="D62">
            <v>4474004</v>
          </cell>
          <cell r="E62">
            <v>4473905</v>
          </cell>
          <cell r="F62">
            <v>99</v>
          </cell>
          <cell r="G62">
            <v>0</v>
          </cell>
          <cell r="H62">
            <v>4474004</v>
          </cell>
        </row>
        <row r="63">
          <cell r="D63">
            <v>50000</v>
          </cell>
          <cell r="E63">
            <v>50000</v>
          </cell>
          <cell r="F63">
            <v>0</v>
          </cell>
          <cell r="G63">
            <v>47967.16</v>
          </cell>
          <cell r="H63">
            <v>2032.8399999999965</v>
          </cell>
        </row>
        <row r="64">
          <cell r="D64">
            <v>100000</v>
          </cell>
          <cell r="E64">
            <v>50000</v>
          </cell>
          <cell r="F64">
            <v>50000</v>
          </cell>
          <cell r="G64">
            <v>0</v>
          </cell>
          <cell r="H64">
            <v>100000</v>
          </cell>
        </row>
        <row r="65">
          <cell r="D65">
            <v>408761</v>
          </cell>
          <cell r="E65">
            <v>356083</v>
          </cell>
          <cell r="F65">
            <v>52678</v>
          </cell>
          <cell r="G65">
            <v>82609.03</v>
          </cell>
          <cell r="H65">
            <v>326151.96999999997</v>
          </cell>
        </row>
        <row r="66">
          <cell r="D66">
            <v>61203</v>
          </cell>
          <cell r="E66">
            <v>0</v>
          </cell>
          <cell r="F66">
            <v>61203</v>
          </cell>
          <cell r="G66">
            <v>0</v>
          </cell>
          <cell r="H66">
            <v>61203</v>
          </cell>
        </row>
        <row r="67">
          <cell r="D67">
            <v>1282700</v>
          </cell>
          <cell r="E67">
            <v>1074158.6000000001</v>
          </cell>
          <cell r="F67">
            <v>208541.4</v>
          </cell>
          <cell r="G67">
            <v>933521.02</v>
          </cell>
          <cell r="H67">
            <v>349178.98</v>
          </cell>
        </row>
        <row r="68">
          <cell r="D68">
            <v>0</v>
          </cell>
          <cell r="E68">
            <v>0</v>
          </cell>
          <cell r="F68">
            <v>0</v>
          </cell>
          <cell r="G68">
            <v>0</v>
          </cell>
          <cell r="H68">
            <v>0</v>
          </cell>
        </row>
        <row r="69">
          <cell r="D69">
            <v>0</v>
          </cell>
          <cell r="E69">
            <v>0</v>
          </cell>
          <cell r="F69">
            <v>0</v>
          </cell>
          <cell r="G69">
            <v>0</v>
          </cell>
          <cell r="H69">
            <v>0</v>
          </cell>
        </row>
        <row r="70">
          <cell r="D70">
            <v>459851</v>
          </cell>
          <cell r="E70">
            <v>284060.18</v>
          </cell>
          <cell r="F70">
            <v>175790.82</v>
          </cell>
          <cell r="G70">
            <v>23434.35</v>
          </cell>
          <cell r="H70">
            <v>436416.65</v>
          </cell>
        </row>
        <row r="71">
          <cell r="D71">
            <v>350198</v>
          </cell>
          <cell r="E71">
            <v>287570</v>
          </cell>
          <cell r="F71">
            <v>62628</v>
          </cell>
          <cell r="G71">
            <v>171962.29</v>
          </cell>
          <cell r="H71">
            <v>178235.71</v>
          </cell>
        </row>
        <row r="72">
          <cell r="D72">
            <v>1286549</v>
          </cell>
          <cell r="E72">
            <v>1257830.26</v>
          </cell>
          <cell r="F72">
            <v>28718.739999999991</v>
          </cell>
          <cell r="G72">
            <v>1078114.1399999999</v>
          </cell>
          <cell r="H72">
            <v>208434.86000000004</v>
          </cell>
        </row>
        <row r="73">
          <cell r="D73">
            <v>0</v>
          </cell>
          <cell r="E73">
            <v>0</v>
          </cell>
          <cell r="F73">
            <v>0</v>
          </cell>
          <cell r="G73">
            <v>0</v>
          </cell>
          <cell r="H73">
            <v>0</v>
          </cell>
        </row>
        <row r="74">
          <cell r="D74">
            <v>67139</v>
          </cell>
          <cell r="E74">
            <v>0</v>
          </cell>
          <cell r="F74">
            <v>67139</v>
          </cell>
          <cell r="G74">
            <v>0</v>
          </cell>
          <cell r="H74">
            <v>67139</v>
          </cell>
        </row>
        <row r="75">
          <cell r="D75">
            <v>17412634</v>
          </cell>
          <cell r="E75">
            <v>15156377.84</v>
          </cell>
          <cell r="F75">
            <v>2256256.1599999997</v>
          </cell>
          <cell r="G75">
            <v>10247892.65</v>
          </cell>
          <cell r="H75">
            <v>7164741.3499999996</v>
          </cell>
        </row>
        <row r="76">
          <cell r="D76">
            <v>274665</v>
          </cell>
          <cell r="E76">
            <v>83758.5</v>
          </cell>
          <cell r="F76">
            <v>190906.5</v>
          </cell>
          <cell r="G76">
            <v>69804.3</v>
          </cell>
          <cell r="H76">
            <v>204860.7</v>
          </cell>
        </row>
        <row r="77">
          <cell r="D77">
            <v>0</v>
          </cell>
          <cell r="E77">
            <v>0</v>
          </cell>
          <cell r="F77">
            <v>0</v>
          </cell>
          <cell r="G77">
            <v>0</v>
          </cell>
          <cell r="H77">
            <v>0</v>
          </cell>
        </row>
        <row r="78">
          <cell r="D78">
            <v>10002053</v>
          </cell>
          <cell r="E78">
            <v>9178541.6199999992</v>
          </cell>
          <cell r="F78">
            <v>823511.37999999977</v>
          </cell>
          <cell r="G78">
            <v>3686666.08</v>
          </cell>
          <cell r="H78">
            <v>6315386.9199999999</v>
          </cell>
        </row>
        <row r="79">
          <cell r="D79">
            <v>2470745</v>
          </cell>
          <cell r="E79">
            <v>2458112.5699999998</v>
          </cell>
          <cell r="F79">
            <v>12632.43000000008</v>
          </cell>
          <cell r="G79">
            <v>1211538.9600000002</v>
          </cell>
          <cell r="H79">
            <v>1259206.04</v>
          </cell>
        </row>
        <row r="80">
          <cell r="D80">
            <v>2513964</v>
          </cell>
          <cell r="E80">
            <v>0</v>
          </cell>
          <cell r="F80">
            <v>2513964</v>
          </cell>
          <cell r="G80">
            <v>0</v>
          </cell>
          <cell r="H80">
            <v>2513964</v>
          </cell>
        </row>
        <row r="81">
          <cell r="D81">
            <v>1050000</v>
          </cell>
          <cell r="E81">
            <v>75446.8</v>
          </cell>
          <cell r="F81">
            <v>974553.2</v>
          </cell>
          <cell r="G81">
            <v>75387.03</v>
          </cell>
          <cell r="H81">
            <v>974612.97</v>
          </cell>
        </row>
        <row r="82">
          <cell r="D82">
            <v>0</v>
          </cell>
          <cell r="E82">
            <v>0</v>
          </cell>
          <cell r="F82">
            <v>0</v>
          </cell>
          <cell r="G82">
            <v>0</v>
          </cell>
          <cell r="H82">
            <v>0</v>
          </cell>
        </row>
        <row r="83">
          <cell r="D83">
            <v>14991498</v>
          </cell>
          <cell r="E83">
            <v>12502165.27</v>
          </cell>
          <cell r="F83">
            <v>2489332.7300000004</v>
          </cell>
          <cell r="G83">
            <v>7077155.6199999992</v>
          </cell>
          <cell r="H83">
            <v>7914342.3800000008</v>
          </cell>
        </row>
        <row r="84">
          <cell r="D84">
            <v>350000</v>
          </cell>
          <cell r="E84">
            <v>167637.03</v>
          </cell>
          <cell r="F84">
            <v>182362.97</v>
          </cell>
          <cell r="G84">
            <v>109933.32</v>
          </cell>
          <cell r="H84">
            <v>240066.68</v>
          </cell>
        </row>
        <row r="85">
          <cell r="D85">
            <v>5565791</v>
          </cell>
          <cell r="E85">
            <v>4269590.08</v>
          </cell>
          <cell r="F85">
            <v>1296200.92</v>
          </cell>
          <cell r="G85">
            <v>2754530.3800000004</v>
          </cell>
          <cell r="H85">
            <v>2811260.6199999996</v>
          </cell>
        </row>
        <row r="86">
          <cell r="D86">
            <v>5569024</v>
          </cell>
          <cell r="E86">
            <v>5446324.2699999996</v>
          </cell>
          <cell r="F86">
            <v>122699.72999999998</v>
          </cell>
          <cell r="G86">
            <v>5025166.63</v>
          </cell>
          <cell r="H86">
            <v>543857.36999999965</v>
          </cell>
        </row>
        <row r="87">
          <cell r="D87">
            <v>27582881</v>
          </cell>
          <cell r="E87">
            <v>21637816.779999997</v>
          </cell>
          <cell r="F87">
            <v>5945064.2199999997</v>
          </cell>
          <cell r="G87">
            <v>4051494.71</v>
          </cell>
          <cell r="H87">
            <v>23531386.289999999</v>
          </cell>
        </row>
        <row r="88">
          <cell r="D88">
            <v>0</v>
          </cell>
          <cell r="E88">
            <v>0</v>
          </cell>
          <cell r="F88">
            <v>0</v>
          </cell>
          <cell r="G88">
            <v>0</v>
          </cell>
          <cell r="H88">
            <v>0</v>
          </cell>
        </row>
        <row r="89">
          <cell r="D89">
            <v>6000000</v>
          </cell>
          <cell r="E89">
            <v>3991499</v>
          </cell>
          <cell r="F89">
            <v>2008501</v>
          </cell>
          <cell r="G89">
            <v>0</v>
          </cell>
          <cell r="H89">
            <v>6000000</v>
          </cell>
        </row>
        <row r="90">
          <cell r="D90">
            <v>23727945</v>
          </cell>
          <cell r="E90">
            <v>23425477.93</v>
          </cell>
          <cell r="F90">
            <v>302467.07000000053</v>
          </cell>
          <cell r="G90">
            <v>9825481.4199999999</v>
          </cell>
          <cell r="H90">
            <v>13902463.58</v>
          </cell>
        </row>
        <row r="91">
          <cell r="D91">
            <v>196824</v>
          </cell>
          <cell r="E91">
            <v>0</v>
          </cell>
          <cell r="F91">
            <v>196824</v>
          </cell>
          <cell r="G91">
            <v>0</v>
          </cell>
          <cell r="H91">
            <v>196824</v>
          </cell>
        </row>
        <row r="92">
          <cell r="D92">
            <v>3602457</v>
          </cell>
          <cell r="E92">
            <v>3297811.5</v>
          </cell>
          <cell r="F92">
            <v>304645.50000000012</v>
          </cell>
          <cell r="G92">
            <v>3183814.91</v>
          </cell>
          <cell r="H92">
            <v>418642.09000000008</v>
          </cell>
        </row>
        <row r="93">
          <cell r="D93">
            <v>228677</v>
          </cell>
          <cell r="E93">
            <v>48391.68</v>
          </cell>
          <cell r="F93">
            <v>180285.32</v>
          </cell>
          <cell r="G93">
            <v>46362.079999999994</v>
          </cell>
          <cell r="H93">
            <v>182314.91999999998</v>
          </cell>
        </row>
        <row r="94">
          <cell r="D94">
            <v>936343</v>
          </cell>
          <cell r="E94">
            <v>889908.22</v>
          </cell>
          <cell r="F94">
            <v>46434.77999999997</v>
          </cell>
          <cell r="G94">
            <v>866828.77</v>
          </cell>
          <cell r="H94">
            <v>69514.229999999981</v>
          </cell>
        </row>
        <row r="95">
          <cell r="D95">
            <v>100000</v>
          </cell>
          <cell r="E95">
            <v>60000</v>
          </cell>
          <cell r="F95">
            <v>40000</v>
          </cell>
          <cell r="G95">
            <v>0</v>
          </cell>
          <cell r="H95">
            <v>100000</v>
          </cell>
        </row>
        <row r="96">
          <cell r="D96">
            <v>6830102</v>
          </cell>
          <cell r="E96">
            <v>5645017.1799999997</v>
          </cell>
          <cell r="F96">
            <v>1185084.8200000003</v>
          </cell>
          <cell r="G96">
            <v>969466.66000000015</v>
          </cell>
          <cell r="H96">
            <v>5860635.3400000008</v>
          </cell>
        </row>
        <row r="97">
          <cell r="D97">
            <v>391951</v>
          </cell>
          <cell r="E97">
            <v>130000</v>
          </cell>
          <cell r="F97">
            <v>261951</v>
          </cell>
          <cell r="G97">
            <v>0</v>
          </cell>
          <cell r="H97">
            <v>391951</v>
          </cell>
        </row>
        <row r="98">
          <cell r="D98">
            <v>0</v>
          </cell>
          <cell r="E98">
            <v>0</v>
          </cell>
          <cell r="F98">
            <v>0</v>
          </cell>
          <cell r="G98">
            <v>0</v>
          </cell>
          <cell r="H98">
            <v>0</v>
          </cell>
        </row>
        <row r="99">
          <cell r="D99">
            <v>5998406</v>
          </cell>
          <cell r="E99">
            <v>5414291.79</v>
          </cell>
          <cell r="F99">
            <v>584114.21</v>
          </cell>
          <cell r="G99">
            <v>1933545.52</v>
          </cell>
          <cell r="H99">
            <v>4064860.48</v>
          </cell>
        </row>
        <row r="100">
          <cell r="D100">
            <v>171047</v>
          </cell>
          <cell r="E100">
            <v>171047</v>
          </cell>
          <cell r="F100">
            <v>0</v>
          </cell>
          <cell r="G100">
            <v>104642.82</v>
          </cell>
          <cell r="H100">
            <v>66404.179999999993</v>
          </cell>
        </row>
        <row r="101">
          <cell r="D101">
            <v>4408286</v>
          </cell>
          <cell r="E101">
            <v>0</v>
          </cell>
          <cell r="F101">
            <v>4408286</v>
          </cell>
          <cell r="G101">
            <v>0</v>
          </cell>
          <cell r="H101">
            <v>4408286</v>
          </cell>
        </row>
        <row r="102">
          <cell r="D102">
            <v>528334</v>
          </cell>
          <cell r="E102">
            <v>490460</v>
          </cell>
          <cell r="F102">
            <v>37874</v>
          </cell>
          <cell r="G102">
            <v>340882.28</v>
          </cell>
          <cell r="H102">
            <v>187451.71999999997</v>
          </cell>
        </row>
        <row r="103">
          <cell r="D103">
            <v>4516874</v>
          </cell>
          <cell r="E103">
            <v>4034994.71</v>
          </cell>
          <cell r="F103">
            <v>481879.29</v>
          </cell>
          <cell r="G103">
            <v>1728895.3099999998</v>
          </cell>
          <cell r="H103">
            <v>2787978.69</v>
          </cell>
        </row>
        <row r="104">
          <cell r="D104">
            <v>6379172</v>
          </cell>
          <cell r="E104">
            <v>5481422.71</v>
          </cell>
          <cell r="F104">
            <v>897749.29</v>
          </cell>
          <cell r="G104">
            <v>1491520.44</v>
          </cell>
          <cell r="H104">
            <v>4887651.5600000005</v>
          </cell>
        </row>
        <row r="105">
          <cell r="D105">
            <v>174368</v>
          </cell>
          <cell r="E105">
            <v>155114</v>
          </cell>
          <cell r="F105">
            <v>19254</v>
          </cell>
          <cell r="G105">
            <v>97687.86</v>
          </cell>
          <cell r="H105">
            <v>76680.14</v>
          </cell>
        </row>
        <row r="106">
          <cell r="D106">
            <v>520686</v>
          </cell>
          <cell r="E106">
            <v>505986</v>
          </cell>
          <cell r="F106">
            <v>14700</v>
          </cell>
          <cell r="G106">
            <v>317740.95000000007</v>
          </cell>
          <cell r="H106">
            <v>202945.04999999993</v>
          </cell>
        </row>
        <row r="107">
          <cell r="D107">
            <v>157636</v>
          </cell>
          <cell r="E107">
            <v>157636</v>
          </cell>
          <cell r="F107">
            <v>0</v>
          </cell>
          <cell r="G107">
            <v>136413.5</v>
          </cell>
          <cell r="H107">
            <v>21222.5</v>
          </cell>
        </row>
        <row r="108">
          <cell r="D108">
            <v>4106961</v>
          </cell>
          <cell r="E108">
            <v>3202666.74</v>
          </cell>
          <cell r="F108">
            <v>904294.26</v>
          </cell>
          <cell r="G108">
            <v>1764492.71</v>
          </cell>
          <cell r="H108">
            <v>2342468.29</v>
          </cell>
        </row>
        <row r="109">
          <cell r="D109">
            <v>230847</v>
          </cell>
          <cell r="E109">
            <v>230847</v>
          </cell>
          <cell r="F109">
            <v>0</v>
          </cell>
          <cell r="G109">
            <v>115109.84000000001</v>
          </cell>
          <cell r="H109">
            <v>115737.15999999999</v>
          </cell>
        </row>
        <row r="110">
          <cell r="D110">
            <v>318062</v>
          </cell>
          <cell r="E110">
            <v>243147.4</v>
          </cell>
          <cell r="F110">
            <v>74914.600000000006</v>
          </cell>
          <cell r="G110">
            <v>196337.66999999998</v>
          </cell>
          <cell r="H110">
            <v>121724.33000000002</v>
          </cell>
        </row>
        <row r="111">
          <cell r="D111">
            <v>239379</v>
          </cell>
          <cell r="E111">
            <v>206500</v>
          </cell>
          <cell r="F111">
            <v>32879</v>
          </cell>
          <cell r="G111">
            <v>79503.489999999991</v>
          </cell>
          <cell r="H111">
            <v>159875.51</v>
          </cell>
        </row>
        <row r="112">
          <cell r="D112">
            <v>118786</v>
          </cell>
          <cell r="E112">
            <v>112400</v>
          </cell>
          <cell r="F112">
            <v>6386</v>
          </cell>
          <cell r="G112">
            <v>31660.559999999998</v>
          </cell>
          <cell r="H112">
            <v>87125.440000000002</v>
          </cell>
        </row>
        <row r="113">
          <cell r="D113">
            <v>141416</v>
          </cell>
          <cell r="E113">
            <v>120950</v>
          </cell>
          <cell r="F113">
            <v>20466</v>
          </cell>
          <cell r="G113">
            <v>91615.61</v>
          </cell>
          <cell r="H113">
            <v>49800.39</v>
          </cell>
        </row>
        <row r="114">
          <cell r="D114">
            <v>230550</v>
          </cell>
          <cell r="E114">
            <v>179749</v>
          </cell>
          <cell r="F114">
            <v>50801</v>
          </cell>
          <cell r="G114">
            <v>111422.39999999999</v>
          </cell>
          <cell r="H114">
            <v>119127.6</v>
          </cell>
        </row>
        <row r="115">
          <cell r="D115">
            <v>490000</v>
          </cell>
          <cell r="E115">
            <v>490000</v>
          </cell>
          <cell r="F115">
            <v>0</v>
          </cell>
          <cell r="G115">
            <v>328860.41000000003</v>
          </cell>
          <cell r="H115">
            <v>161139.58999999997</v>
          </cell>
        </row>
        <row r="116">
          <cell r="D116">
            <v>0</v>
          </cell>
          <cell r="E116">
            <v>0</v>
          </cell>
          <cell r="F116">
            <v>0</v>
          </cell>
          <cell r="G116">
            <v>0</v>
          </cell>
          <cell r="H116">
            <v>0</v>
          </cell>
        </row>
        <row r="117">
          <cell r="D117">
            <v>350000</v>
          </cell>
          <cell r="E117">
            <v>336963.1</v>
          </cell>
          <cell r="F117">
            <v>13036.900000000023</v>
          </cell>
          <cell r="G117">
            <v>133392.76999999999</v>
          </cell>
          <cell r="H117">
            <v>216607.23</v>
          </cell>
        </row>
        <row r="118">
          <cell r="D118">
            <v>550000</v>
          </cell>
          <cell r="E118">
            <v>350000</v>
          </cell>
          <cell r="F118">
            <v>200000</v>
          </cell>
          <cell r="G118">
            <v>155777.91</v>
          </cell>
          <cell r="H118">
            <v>394222.08999999997</v>
          </cell>
        </row>
        <row r="119">
          <cell r="D119">
            <v>75173</v>
          </cell>
          <cell r="E119">
            <v>65000</v>
          </cell>
          <cell r="F119">
            <v>10173</v>
          </cell>
          <cell r="G119">
            <v>59170.239999999998</v>
          </cell>
          <cell r="H119">
            <v>16002.760000000002</v>
          </cell>
        </row>
        <row r="120">
          <cell r="D120">
            <v>0</v>
          </cell>
          <cell r="E120">
            <v>0</v>
          </cell>
          <cell r="F120">
            <v>0</v>
          </cell>
          <cell r="G120">
            <v>0</v>
          </cell>
          <cell r="H120">
            <v>0</v>
          </cell>
        </row>
        <row r="121">
          <cell r="D121">
            <v>0</v>
          </cell>
          <cell r="E121">
            <v>0</v>
          </cell>
          <cell r="F121">
            <v>0</v>
          </cell>
          <cell r="G121">
            <v>0</v>
          </cell>
          <cell r="H121">
            <v>0</v>
          </cell>
        </row>
        <row r="122">
          <cell r="D122">
            <v>330710</v>
          </cell>
          <cell r="E122">
            <v>273398.95</v>
          </cell>
          <cell r="F122">
            <v>57311.049999999988</v>
          </cell>
          <cell r="G122">
            <v>144969</v>
          </cell>
          <cell r="H122">
            <v>185741</v>
          </cell>
        </row>
        <row r="123">
          <cell r="D123">
            <v>50000</v>
          </cell>
          <cell r="E123">
            <v>49980</v>
          </cell>
          <cell r="F123">
            <v>20</v>
          </cell>
          <cell r="G123">
            <v>49974.770000000004</v>
          </cell>
          <cell r="H123">
            <v>25.229999999995925</v>
          </cell>
        </row>
        <row r="124">
          <cell r="D124">
            <v>278409</v>
          </cell>
          <cell r="E124">
            <v>269409</v>
          </cell>
          <cell r="F124">
            <v>9000</v>
          </cell>
          <cell r="G124">
            <v>168805.9</v>
          </cell>
          <cell r="H124">
            <v>109603.1</v>
          </cell>
        </row>
        <row r="125">
          <cell r="D125">
            <v>316902</v>
          </cell>
          <cell r="E125">
            <v>316214.59999999998</v>
          </cell>
          <cell r="F125">
            <v>687.40000000002328</v>
          </cell>
          <cell r="G125">
            <v>140423.94</v>
          </cell>
          <cell r="H125">
            <v>176478.06</v>
          </cell>
        </row>
        <row r="126">
          <cell r="D126">
            <v>159651</v>
          </cell>
          <cell r="E126">
            <v>128000</v>
          </cell>
          <cell r="F126">
            <v>31651</v>
          </cell>
          <cell r="G126">
            <v>0</v>
          </cell>
          <cell r="H126">
            <v>159651</v>
          </cell>
        </row>
        <row r="127">
          <cell r="D127">
            <v>612293</v>
          </cell>
          <cell r="E127">
            <v>612201</v>
          </cell>
          <cell r="F127">
            <v>92</v>
          </cell>
          <cell r="G127">
            <v>343940.07</v>
          </cell>
          <cell r="H127">
            <v>268352.93</v>
          </cell>
        </row>
        <row r="128">
          <cell r="D128">
            <v>0</v>
          </cell>
          <cell r="E128">
            <v>0</v>
          </cell>
          <cell r="F128">
            <v>0</v>
          </cell>
          <cell r="G128">
            <v>0</v>
          </cell>
          <cell r="H128">
            <v>0</v>
          </cell>
        </row>
        <row r="129">
          <cell r="D129">
            <v>275790</v>
          </cell>
          <cell r="E129">
            <v>274002.40000000002</v>
          </cell>
          <cell r="F129">
            <v>1787.5999999999767</v>
          </cell>
          <cell r="G129">
            <v>141484.27000000002</v>
          </cell>
          <cell r="H129">
            <v>134305.72999999998</v>
          </cell>
        </row>
        <row r="130">
          <cell r="D130">
            <v>255799</v>
          </cell>
          <cell r="E130">
            <v>155378.5</v>
          </cell>
          <cell r="F130">
            <v>100420.5</v>
          </cell>
          <cell r="G130">
            <v>56008.51</v>
          </cell>
          <cell r="H130">
            <v>199790.49</v>
          </cell>
        </row>
        <row r="131">
          <cell r="D131">
            <v>222962</v>
          </cell>
          <cell r="E131">
            <v>193149.5</v>
          </cell>
          <cell r="F131">
            <v>29812.5</v>
          </cell>
          <cell r="G131">
            <v>170812.81</v>
          </cell>
          <cell r="H131">
            <v>52149.19</v>
          </cell>
        </row>
        <row r="132">
          <cell r="D132">
            <v>30000</v>
          </cell>
          <cell r="E132">
            <v>0</v>
          </cell>
          <cell r="F132">
            <v>30000</v>
          </cell>
          <cell r="G132">
            <v>0</v>
          </cell>
          <cell r="H132">
            <v>30000</v>
          </cell>
        </row>
        <row r="133">
          <cell r="D133">
            <v>100000</v>
          </cell>
          <cell r="E133">
            <v>0</v>
          </cell>
          <cell r="F133">
            <v>100000</v>
          </cell>
          <cell r="G133">
            <v>0</v>
          </cell>
          <cell r="H133">
            <v>100000</v>
          </cell>
        </row>
        <row r="134">
          <cell r="D134">
            <v>90586</v>
          </cell>
          <cell r="E134">
            <v>90435.199999999997</v>
          </cell>
          <cell r="F134">
            <v>150.80000000000291</v>
          </cell>
          <cell r="G134">
            <v>11955</v>
          </cell>
          <cell r="H134">
            <v>78631</v>
          </cell>
        </row>
        <row r="135">
          <cell r="D135">
            <v>84111</v>
          </cell>
          <cell r="E135">
            <v>50000</v>
          </cell>
          <cell r="F135">
            <v>34111</v>
          </cell>
          <cell r="G135">
            <v>13707.55</v>
          </cell>
          <cell r="H135">
            <v>70403.45</v>
          </cell>
        </row>
        <row r="136">
          <cell r="D136">
            <v>1479604</v>
          </cell>
          <cell r="E136">
            <v>19462.03</v>
          </cell>
          <cell r="F136">
            <v>1460141.97</v>
          </cell>
          <cell r="G136">
            <v>7416.86</v>
          </cell>
          <cell r="H136">
            <v>1472187.14</v>
          </cell>
        </row>
        <row r="137">
          <cell r="D137">
            <v>6239845</v>
          </cell>
          <cell r="E137">
            <v>5064673</v>
          </cell>
          <cell r="F137">
            <v>1175172</v>
          </cell>
          <cell r="G137">
            <v>0</v>
          </cell>
          <cell r="H137">
            <v>6239845</v>
          </cell>
        </row>
        <row r="138">
          <cell r="D138">
            <v>4863</v>
          </cell>
          <cell r="E138">
            <v>4863</v>
          </cell>
          <cell r="F138">
            <v>0</v>
          </cell>
          <cell r="G138">
            <v>0</v>
          </cell>
          <cell r="H138">
            <v>4863</v>
          </cell>
        </row>
        <row r="139">
          <cell r="D139">
            <v>5931027</v>
          </cell>
          <cell r="E139">
            <v>5660459</v>
          </cell>
          <cell r="F139">
            <v>270568</v>
          </cell>
          <cell r="G139">
            <v>0</v>
          </cell>
          <cell r="H139">
            <v>5931027</v>
          </cell>
        </row>
        <row r="140">
          <cell r="D140">
            <v>9222405</v>
          </cell>
          <cell r="E140">
            <v>6243156.4199999999</v>
          </cell>
          <cell r="F140">
            <v>2979248.5800000005</v>
          </cell>
          <cell r="G140">
            <v>3328680.31</v>
          </cell>
          <cell r="H140">
            <v>5893724.6899999995</v>
          </cell>
        </row>
        <row r="141">
          <cell r="D141">
            <v>14380884</v>
          </cell>
          <cell r="E141">
            <v>10354241.540000001</v>
          </cell>
          <cell r="F141">
            <v>4026642.46</v>
          </cell>
          <cell r="G141">
            <v>5997054.9400000004</v>
          </cell>
          <cell r="H141">
            <v>8383829.0600000005</v>
          </cell>
        </row>
        <row r="142">
          <cell r="D142">
            <v>5194033</v>
          </cell>
          <cell r="E142">
            <v>5103556.7699999996</v>
          </cell>
          <cell r="F142">
            <v>90476.230000000447</v>
          </cell>
          <cell r="G142">
            <v>0</v>
          </cell>
          <cell r="H142">
            <v>5194033</v>
          </cell>
        </row>
        <row r="143">
          <cell r="D143">
            <v>178134</v>
          </cell>
          <cell r="E143">
            <v>129803.29</v>
          </cell>
          <cell r="F143">
            <v>48330.710000000006</v>
          </cell>
          <cell r="G143">
            <v>122423.54</v>
          </cell>
          <cell r="H143">
            <v>55710.460000000006</v>
          </cell>
        </row>
        <row r="144">
          <cell r="D144">
            <v>82625</v>
          </cell>
          <cell r="E144">
            <v>81593.5</v>
          </cell>
          <cell r="F144">
            <v>1031.5</v>
          </cell>
          <cell r="G144">
            <v>69050.51999999999</v>
          </cell>
          <cell r="H144">
            <v>13574.48000000001</v>
          </cell>
        </row>
        <row r="145">
          <cell r="D145">
            <v>57442</v>
          </cell>
          <cell r="E145">
            <v>57136.9</v>
          </cell>
          <cell r="F145">
            <v>305.09999999999854</v>
          </cell>
          <cell r="G145">
            <v>54415.03</v>
          </cell>
          <cell r="H145">
            <v>3026.9700000000012</v>
          </cell>
        </row>
        <row r="146">
          <cell r="D146">
            <v>225842</v>
          </cell>
          <cell r="E146">
            <v>0</v>
          </cell>
          <cell r="F146">
            <v>225842</v>
          </cell>
          <cell r="G146">
            <v>0</v>
          </cell>
          <cell r="H146">
            <v>225842</v>
          </cell>
        </row>
        <row r="147">
          <cell r="D147">
            <v>565870</v>
          </cell>
          <cell r="E147">
            <v>531198.31000000006</v>
          </cell>
          <cell r="F147">
            <v>34671.69000000001</v>
          </cell>
          <cell r="G147">
            <v>415365.87000000005</v>
          </cell>
          <cell r="H147">
            <v>150504.13</v>
          </cell>
        </row>
        <row r="148">
          <cell r="D148">
            <v>1029126</v>
          </cell>
          <cell r="E148">
            <v>14550</v>
          </cell>
          <cell r="F148">
            <v>1014576</v>
          </cell>
          <cell r="G148">
            <v>0</v>
          </cell>
          <cell r="H148">
            <v>1029126</v>
          </cell>
        </row>
        <row r="149">
          <cell r="D149">
            <v>0</v>
          </cell>
          <cell r="E149">
            <v>0</v>
          </cell>
          <cell r="F149">
            <v>0</v>
          </cell>
          <cell r="G149">
            <v>0</v>
          </cell>
          <cell r="H149">
            <v>0</v>
          </cell>
        </row>
        <row r="150">
          <cell r="D150">
            <v>159740</v>
          </cell>
          <cell r="E150">
            <v>46163.79</v>
          </cell>
          <cell r="F150">
            <v>113576.21</v>
          </cell>
          <cell r="G150">
            <v>46163.519999999997</v>
          </cell>
          <cell r="H150">
            <v>113576.48000000001</v>
          </cell>
        </row>
        <row r="151">
          <cell r="D151">
            <v>0</v>
          </cell>
          <cell r="E151">
            <v>0</v>
          </cell>
          <cell r="F151">
            <v>0</v>
          </cell>
          <cell r="G151">
            <v>0</v>
          </cell>
          <cell r="H151">
            <v>0</v>
          </cell>
        </row>
        <row r="152">
          <cell r="D152">
            <v>2342684</v>
          </cell>
          <cell r="E152">
            <v>1634831.19</v>
          </cell>
          <cell r="F152">
            <v>707852.81</v>
          </cell>
          <cell r="G152">
            <v>308604.36</v>
          </cell>
          <cell r="H152">
            <v>2034079.6400000001</v>
          </cell>
        </row>
        <row r="153">
          <cell r="D153">
            <v>41720</v>
          </cell>
          <cell r="E153">
            <v>31883.37</v>
          </cell>
          <cell r="F153">
            <v>9836.630000000001</v>
          </cell>
          <cell r="G153">
            <v>27893.370000000003</v>
          </cell>
          <cell r="H153">
            <v>13826.629999999997</v>
          </cell>
        </row>
        <row r="154">
          <cell r="D154">
            <v>0</v>
          </cell>
          <cell r="E154">
            <v>0</v>
          </cell>
          <cell r="F154">
            <v>0</v>
          </cell>
          <cell r="G154">
            <v>0</v>
          </cell>
          <cell r="H154">
            <v>0</v>
          </cell>
        </row>
        <row r="155">
          <cell r="D155">
            <v>29298</v>
          </cell>
          <cell r="E155">
            <v>29298</v>
          </cell>
          <cell r="F155">
            <v>0</v>
          </cell>
          <cell r="G155">
            <v>0</v>
          </cell>
          <cell r="H155">
            <v>29298</v>
          </cell>
        </row>
        <row r="156">
          <cell r="D156">
            <v>80000</v>
          </cell>
          <cell r="E156">
            <v>55480</v>
          </cell>
          <cell r="F156">
            <v>24520</v>
          </cell>
          <cell r="G156">
            <v>33156.76</v>
          </cell>
          <cell r="H156">
            <v>46843.24</v>
          </cell>
        </row>
        <row r="157">
          <cell r="D157">
            <v>0</v>
          </cell>
          <cell r="E157">
            <v>0</v>
          </cell>
          <cell r="F157">
            <v>0</v>
          </cell>
          <cell r="G157">
            <v>0</v>
          </cell>
          <cell r="H157">
            <v>0</v>
          </cell>
        </row>
        <row r="158">
          <cell r="D158">
            <v>171495</v>
          </cell>
          <cell r="E158">
            <v>50000</v>
          </cell>
          <cell r="F158">
            <v>121495</v>
          </cell>
          <cell r="G158">
            <v>47904.75</v>
          </cell>
          <cell r="H158">
            <v>123590.25</v>
          </cell>
        </row>
        <row r="159">
          <cell r="D159">
            <v>0</v>
          </cell>
          <cell r="E159">
            <v>0</v>
          </cell>
          <cell r="F159">
            <v>0</v>
          </cell>
          <cell r="G159">
            <v>0</v>
          </cell>
          <cell r="H159">
            <v>0</v>
          </cell>
        </row>
        <row r="160">
          <cell r="D160">
            <v>704972</v>
          </cell>
          <cell r="E160">
            <v>10995</v>
          </cell>
          <cell r="F160">
            <v>693977</v>
          </cell>
          <cell r="G160">
            <v>0</v>
          </cell>
          <cell r="H160">
            <v>704972</v>
          </cell>
        </row>
        <row r="161">
          <cell r="D161">
            <v>1142346</v>
          </cell>
          <cell r="E161">
            <v>0</v>
          </cell>
          <cell r="F161">
            <v>1142346</v>
          </cell>
          <cell r="G161">
            <v>0</v>
          </cell>
          <cell r="H161">
            <v>1142346</v>
          </cell>
        </row>
        <row r="162">
          <cell r="D162">
            <v>95335</v>
          </cell>
          <cell r="E162">
            <v>95335</v>
          </cell>
          <cell r="F162">
            <v>0</v>
          </cell>
          <cell r="G162">
            <v>85338.67</v>
          </cell>
          <cell r="H162">
            <v>9996.3300000000017</v>
          </cell>
        </row>
        <row r="163">
          <cell r="D163">
            <v>0</v>
          </cell>
          <cell r="E163">
            <v>0</v>
          </cell>
          <cell r="F163">
            <v>0</v>
          </cell>
          <cell r="G163">
            <v>0</v>
          </cell>
          <cell r="H163">
            <v>0</v>
          </cell>
        </row>
        <row r="164">
          <cell r="D164">
            <v>33556</v>
          </cell>
          <cell r="E164">
            <v>33489.5</v>
          </cell>
          <cell r="F164">
            <v>66.5</v>
          </cell>
          <cell r="G164">
            <v>22684.6</v>
          </cell>
          <cell r="H164">
            <v>10871.400000000001</v>
          </cell>
        </row>
        <row r="165">
          <cell r="D165">
            <v>0</v>
          </cell>
          <cell r="E165">
            <v>0</v>
          </cell>
          <cell r="F165">
            <v>0</v>
          </cell>
          <cell r="G165">
            <v>0</v>
          </cell>
          <cell r="H165">
            <v>0</v>
          </cell>
        </row>
        <row r="166">
          <cell r="D166">
            <v>0</v>
          </cell>
          <cell r="E166">
            <v>0</v>
          </cell>
          <cell r="F166">
            <v>0</v>
          </cell>
          <cell r="G166">
            <v>0</v>
          </cell>
          <cell r="H166">
            <v>0</v>
          </cell>
        </row>
        <row r="167">
          <cell r="D167">
            <v>2397705</v>
          </cell>
          <cell r="E167">
            <v>1422039.8399999999</v>
          </cell>
          <cell r="F167">
            <v>975665.16</v>
          </cell>
          <cell r="G167">
            <v>70054.98000000001</v>
          </cell>
          <cell r="H167">
            <v>2327650.02</v>
          </cell>
        </row>
        <row r="168">
          <cell r="D168">
            <v>100000</v>
          </cell>
          <cell r="E168">
            <v>28122</v>
          </cell>
          <cell r="F168">
            <v>71878</v>
          </cell>
          <cell r="G168">
            <v>24506.97</v>
          </cell>
          <cell r="H168">
            <v>75493.03</v>
          </cell>
        </row>
        <row r="169">
          <cell r="D169">
            <v>106670</v>
          </cell>
          <cell r="E169">
            <v>106670</v>
          </cell>
          <cell r="F169">
            <v>0</v>
          </cell>
          <cell r="G169">
            <v>96622.29</v>
          </cell>
          <cell r="H169">
            <v>10047.710000000006</v>
          </cell>
        </row>
        <row r="170">
          <cell r="D170">
            <v>200000</v>
          </cell>
          <cell r="E170">
            <v>200000</v>
          </cell>
          <cell r="F170">
            <v>0</v>
          </cell>
          <cell r="G170">
            <v>126950.09</v>
          </cell>
          <cell r="H170">
            <v>73049.91</v>
          </cell>
        </row>
        <row r="171">
          <cell r="D171">
            <v>40486</v>
          </cell>
          <cell r="E171">
            <v>27985</v>
          </cell>
          <cell r="F171">
            <v>12501</v>
          </cell>
          <cell r="G171">
            <v>15934.18</v>
          </cell>
          <cell r="H171">
            <v>24551.82</v>
          </cell>
        </row>
        <row r="172">
          <cell r="D172">
            <v>159574</v>
          </cell>
          <cell r="E172">
            <v>125168.92</v>
          </cell>
          <cell r="F172">
            <v>34405.08</v>
          </cell>
          <cell r="G172">
            <v>80461.59</v>
          </cell>
          <cell r="H172">
            <v>79112.41</v>
          </cell>
        </row>
        <row r="173">
          <cell r="D173">
            <v>1410000</v>
          </cell>
          <cell r="E173">
            <v>1012169.41</v>
          </cell>
          <cell r="F173">
            <v>397830.58999999997</v>
          </cell>
          <cell r="G173">
            <v>406362.05000000005</v>
          </cell>
          <cell r="H173">
            <v>1003637.9500000001</v>
          </cell>
        </row>
        <row r="174">
          <cell r="D174">
            <v>50467</v>
          </cell>
          <cell r="E174">
            <v>50466.81</v>
          </cell>
          <cell r="F174">
            <v>0.19000000000232831</v>
          </cell>
          <cell r="G174">
            <v>48902.8</v>
          </cell>
          <cell r="H174">
            <v>1564.1999999999971</v>
          </cell>
        </row>
        <row r="175">
          <cell r="D175">
            <v>0</v>
          </cell>
          <cell r="E175">
            <v>0</v>
          </cell>
          <cell r="F175">
            <v>0</v>
          </cell>
          <cell r="G175">
            <v>0</v>
          </cell>
          <cell r="H175">
            <v>0</v>
          </cell>
        </row>
        <row r="176">
          <cell r="D176">
            <v>0</v>
          </cell>
          <cell r="E176">
            <v>0</v>
          </cell>
          <cell r="F176">
            <v>0</v>
          </cell>
          <cell r="G176">
            <v>0</v>
          </cell>
          <cell r="H176">
            <v>0</v>
          </cell>
        </row>
        <row r="177">
          <cell r="D177">
            <v>3866926</v>
          </cell>
          <cell r="E177">
            <v>1976433.06</v>
          </cell>
          <cell r="F177">
            <v>1890492.94</v>
          </cell>
          <cell r="G177">
            <v>1546370.9999999998</v>
          </cell>
          <cell r="H177">
            <v>2320555</v>
          </cell>
        </row>
        <row r="178">
          <cell r="D178">
            <v>39135749</v>
          </cell>
          <cell r="E178">
            <v>0</v>
          </cell>
          <cell r="F178">
            <v>39135749</v>
          </cell>
          <cell r="G178">
            <v>0</v>
          </cell>
          <cell r="H178">
            <v>39135749</v>
          </cell>
        </row>
        <row r="179">
          <cell r="D179">
            <v>4005282</v>
          </cell>
          <cell r="E179">
            <v>0</v>
          </cell>
          <cell r="F179">
            <v>4005282</v>
          </cell>
          <cell r="G179">
            <v>0</v>
          </cell>
          <cell r="H179">
            <v>4005282</v>
          </cell>
        </row>
        <row r="180">
          <cell r="D180">
            <v>0</v>
          </cell>
          <cell r="E180">
            <v>0</v>
          </cell>
          <cell r="F180">
            <v>0</v>
          </cell>
          <cell r="G180">
            <v>0</v>
          </cell>
          <cell r="H180">
            <v>0</v>
          </cell>
        </row>
        <row r="181">
          <cell r="D181">
            <v>928209</v>
          </cell>
          <cell r="E181">
            <v>879625.49</v>
          </cell>
          <cell r="F181">
            <v>48583.510000000009</v>
          </cell>
          <cell r="G181">
            <v>414106.81</v>
          </cell>
          <cell r="H181">
            <v>514102.19</v>
          </cell>
        </row>
        <row r="182">
          <cell r="D182">
            <v>6269000</v>
          </cell>
          <cell r="E182">
            <v>5142276.4800000004</v>
          </cell>
          <cell r="F182">
            <v>1126723.52</v>
          </cell>
          <cell r="G182">
            <v>934429.17999999993</v>
          </cell>
          <cell r="H182">
            <v>5334570.82</v>
          </cell>
        </row>
        <row r="183">
          <cell r="D183">
            <v>1150445</v>
          </cell>
          <cell r="E183">
            <v>1051294.8999999999</v>
          </cell>
          <cell r="F183">
            <v>99150.1</v>
          </cell>
          <cell r="G183">
            <v>860641.51</v>
          </cell>
          <cell r="H183">
            <v>289803.49000000005</v>
          </cell>
        </row>
        <row r="184">
          <cell r="D184">
            <v>56150305</v>
          </cell>
          <cell r="E184">
            <v>54439970.839999996</v>
          </cell>
          <cell r="F184">
            <v>1710334.1600000015</v>
          </cell>
          <cell r="G184">
            <v>13120953.74</v>
          </cell>
          <cell r="H184">
            <v>43029351.260000005</v>
          </cell>
        </row>
        <row r="185">
          <cell r="D185">
            <v>54666680</v>
          </cell>
          <cell r="E185">
            <v>53669896.899999999</v>
          </cell>
          <cell r="F185">
            <v>996783.1</v>
          </cell>
          <cell r="G185">
            <v>94005.53</v>
          </cell>
          <cell r="H185">
            <v>54572674.469999999</v>
          </cell>
        </row>
        <row r="186">
          <cell r="D186">
            <v>3240369</v>
          </cell>
          <cell r="E186">
            <v>2944317.4</v>
          </cell>
          <cell r="F186">
            <v>296051.59999999998</v>
          </cell>
          <cell r="G186">
            <v>1463904.21</v>
          </cell>
          <cell r="H186">
            <v>1776464.79</v>
          </cell>
        </row>
        <row r="187">
          <cell r="D187">
            <v>407088</v>
          </cell>
          <cell r="E187">
            <v>323566</v>
          </cell>
          <cell r="F187">
            <v>83522</v>
          </cell>
          <cell r="G187">
            <v>211525.14</v>
          </cell>
          <cell r="H187">
            <v>195562.86</v>
          </cell>
        </row>
        <row r="188">
          <cell r="D188">
            <v>13519577</v>
          </cell>
          <cell r="E188">
            <v>9144555.1699999999</v>
          </cell>
          <cell r="F188">
            <v>4375021.83</v>
          </cell>
          <cell r="G188">
            <v>5568989.7400000002</v>
          </cell>
          <cell r="H188">
            <v>7950587.2599999998</v>
          </cell>
        </row>
        <row r="189">
          <cell r="D189">
            <v>9180007</v>
          </cell>
          <cell r="E189">
            <v>8808338.5300000012</v>
          </cell>
          <cell r="F189">
            <v>371668.46999999974</v>
          </cell>
          <cell r="G189">
            <v>3440219.9499999997</v>
          </cell>
          <cell r="H189">
            <v>5739787.0499999998</v>
          </cell>
        </row>
        <row r="190">
          <cell r="D190">
            <v>46429</v>
          </cell>
          <cell r="E190">
            <v>0</v>
          </cell>
          <cell r="F190">
            <v>46429</v>
          </cell>
          <cell r="G190">
            <v>0</v>
          </cell>
          <cell r="H190">
            <v>46429</v>
          </cell>
        </row>
        <row r="191">
          <cell r="D191">
            <v>19293362</v>
          </cell>
          <cell r="E191">
            <v>150000</v>
          </cell>
          <cell r="F191">
            <v>19143362</v>
          </cell>
          <cell r="G191">
            <v>0</v>
          </cell>
          <cell r="H191">
            <v>19293362</v>
          </cell>
        </row>
        <row r="192">
          <cell r="D192">
            <v>17814428</v>
          </cell>
          <cell r="E192">
            <v>9609876</v>
          </cell>
          <cell r="F192">
            <v>8204552</v>
          </cell>
          <cell r="G192">
            <v>0</v>
          </cell>
          <cell r="H192">
            <v>17814428</v>
          </cell>
        </row>
        <row r="193">
          <cell r="D193">
            <v>8000000</v>
          </cell>
          <cell r="E193">
            <v>6266882.4100000001</v>
          </cell>
          <cell r="F193">
            <v>1733117.5899999999</v>
          </cell>
          <cell r="G193">
            <v>1427735.79</v>
          </cell>
          <cell r="H193">
            <v>6572264.2100000009</v>
          </cell>
        </row>
        <row r="194">
          <cell r="D194">
            <v>18108320</v>
          </cell>
          <cell r="E194">
            <v>16121061.469999999</v>
          </cell>
          <cell r="F194">
            <v>1987258.530000001</v>
          </cell>
          <cell r="G194">
            <v>5476831.4000000004</v>
          </cell>
          <cell r="H194">
            <v>12631488.6</v>
          </cell>
        </row>
        <row r="195">
          <cell r="D195">
            <v>350000</v>
          </cell>
          <cell r="E195">
            <v>0</v>
          </cell>
          <cell r="F195">
            <v>350000</v>
          </cell>
          <cell r="G195">
            <v>0</v>
          </cell>
          <cell r="H195">
            <v>350000</v>
          </cell>
        </row>
        <row r="196">
          <cell r="D196">
            <v>0</v>
          </cell>
          <cell r="E196">
            <v>0</v>
          </cell>
          <cell r="F196">
            <v>0</v>
          </cell>
          <cell r="G196">
            <v>0</v>
          </cell>
          <cell r="H196">
            <v>0</v>
          </cell>
        </row>
        <row r="197">
          <cell r="D197">
            <v>0</v>
          </cell>
          <cell r="E197">
            <v>0</v>
          </cell>
          <cell r="F197">
            <v>0</v>
          </cell>
          <cell r="G197">
            <v>0</v>
          </cell>
          <cell r="H197">
            <v>0</v>
          </cell>
        </row>
        <row r="198">
          <cell r="D198">
            <v>1333346</v>
          </cell>
          <cell r="E198">
            <v>743690.36</v>
          </cell>
          <cell r="F198">
            <v>589655.64</v>
          </cell>
          <cell r="G198">
            <v>3128.7</v>
          </cell>
          <cell r="H198">
            <v>1330217.3</v>
          </cell>
        </row>
        <row r="199">
          <cell r="D199">
            <v>16210021</v>
          </cell>
          <cell r="E199">
            <v>1004711.34</v>
          </cell>
          <cell r="F199">
            <v>15205309.66</v>
          </cell>
          <cell r="G199">
            <v>0</v>
          </cell>
          <cell r="H199">
            <v>16210021</v>
          </cell>
        </row>
        <row r="200">
          <cell r="D200">
            <v>0</v>
          </cell>
          <cell r="E200">
            <v>0</v>
          </cell>
          <cell r="F200">
            <v>0</v>
          </cell>
          <cell r="G200">
            <v>0</v>
          </cell>
          <cell r="H200">
            <v>0</v>
          </cell>
        </row>
        <row r="201">
          <cell r="D201">
            <v>0</v>
          </cell>
          <cell r="E201">
            <v>0</v>
          </cell>
          <cell r="F201">
            <v>0</v>
          </cell>
          <cell r="G201">
            <v>0</v>
          </cell>
          <cell r="H201">
            <v>0</v>
          </cell>
        </row>
        <row r="202">
          <cell r="D202">
            <v>6655043</v>
          </cell>
          <cell r="E202">
            <v>0</v>
          </cell>
          <cell r="F202">
            <v>6655043</v>
          </cell>
          <cell r="G202">
            <v>0</v>
          </cell>
          <cell r="H202">
            <v>6655043</v>
          </cell>
        </row>
        <row r="203">
          <cell r="D203">
            <v>5217703</v>
          </cell>
          <cell r="E203">
            <v>184669</v>
          </cell>
          <cell r="F203">
            <v>5033034</v>
          </cell>
          <cell r="G203">
            <v>0</v>
          </cell>
          <cell r="H203">
            <v>5217703</v>
          </cell>
        </row>
        <row r="204">
          <cell r="D204">
            <v>0</v>
          </cell>
          <cell r="E204">
            <v>0</v>
          </cell>
          <cell r="F204">
            <v>0</v>
          </cell>
          <cell r="G204">
            <v>0</v>
          </cell>
          <cell r="H204">
            <v>0</v>
          </cell>
        </row>
        <row r="205">
          <cell r="D205">
            <v>10023590</v>
          </cell>
          <cell r="E205">
            <v>8257729.3100000005</v>
          </cell>
          <cell r="F205">
            <v>1765860.69</v>
          </cell>
          <cell r="G205">
            <v>2552784.9800000004</v>
          </cell>
          <cell r="H205">
            <v>7470805.0199999996</v>
          </cell>
        </row>
        <row r="206">
          <cell r="D206">
            <v>6688287</v>
          </cell>
          <cell r="E206">
            <v>5067798.8699999992</v>
          </cell>
          <cell r="F206">
            <v>1620488.1300000001</v>
          </cell>
          <cell r="G206">
            <v>2026168.8700000003</v>
          </cell>
          <cell r="H206">
            <v>4662118.129999999</v>
          </cell>
        </row>
        <row r="207">
          <cell r="D207">
            <v>9468125</v>
          </cell>
          <cell r="E207">
            <v>5776412.1999999993</v>
          </cell>
          <cell r="F207">
            <v>3691712.8000000003</v>
          </cell>
          <cell r="G207">
            <v>2429256.1399999997</v>
          </cell>
          <cell r="H207">
            <v>7038868.8599999994</v>
          </cell>
        </row>
        <row r="208">
          <cell r="D208">
            <v>0</v>
          </cell>
          <cell r="E208">
            <v>0</v>
          </cell>
          <cell r="F208">
            <v>0</v>
          </cell>
          <cell r="G208">
            <v>0</v>
          </cell>
          <cell r="H208">
            <v>0</v>
          </cell>
        </row>
        <row r="209">
          <cell r="D209">
            <v>200000</v>
          </cell>
          <cell r="E209">
            <v>50000</v>
          </cell>
          <cell r="F209">
            <v>150000</v>
          </cell>
          <cell r="G209">
            <v>0</v>
          </cell>
          <cell r="H209">
            <v>200000</v>
          </cell>
        </row>
        <row r="210">
          <cell r="D210">
            <v>11203165</v>
          </cell>
          <cell r="E210">
            <v>8687600.3499999996</v>
          </cell>
          <cell r="F210">
            <v>2515564.65</v>
          </cell>
          <cell r="G210">
            <v>3343892.5100000002</v>
          </cell>
          <cell r="H210">
            <v>7859272.4900000002</v>
          </cell>
        </row>
        <row r="211">
          <cell r="D211">
            <v>582593</v>
          </cell>
          <cell r="E211">
            <v>140000</v>
          </cell>
          <cell r="F211">
            <v>442593</v>
          </cell>
          <cell r="G211">
            <v>140000</v>
          </cell>
          <cell r="H211">
            <v>442593</v>
          </cell>
        </row>
        <row r="212">
          <cell r="D212">
            <v>7546000</v>
          </cell>
          <cell r="E212">
            <v>6967921.3200000003</v>
          </cell>
          <cell r="F212">
            <v>578078.68000000005</v>
          </cell>
          <cell r="G212">
            <v>3307834.5200000005</v>
          </cell>
          <cell r="H212">
            <v>4238165.4800000004</v>
          </cell>
        </row>
        <row r="213">
          <cell r="D213">
            <v>2000000</v>
          </cell>
          <cell r="E213">
            <v>1179793</v>
          </cell>
          <cell r="F213">
            <v>820207</v>
          </cell>
          <cell r="G213">
            <v>0</v>
          </cell>
          <cell r="H213">
            <v>2000000</v>
          </cell>
        </row>
        <row r="214">
          <cell r="D214">
            <v>0</v>
          </cell>
          <cell r="E214">
            <v>0</v>
          </cell>
          <cell r="F214">
            <v>0</v>
          </cell>
          <cell r="G214">
            <v>0</v>
          </cell>
          <cell r="H214">
            <v>0</v>
          </cell>
        </row>
        <row r="215">
          <cell r="D215">
            <v>0</v>
          </cell>
          <cell r="E215">
            <v>0</v>
          </cell>
          <cell r="F215">
            <v>0</v>
          </cell>
          <cell r="G215">
            <v>0</v>
          </cell>
          <cell r="H215">
            <v>0</v>
          </cell>
        </row>
        <row r="216">
          <cell r="D216">
            <v>1458166</v>
          </cell>
          <cell r="E216">
            <v>480065.3</v>
          </cell>
          <cell r="F216">
            <v>978100.7</v>
          </cell>
          <cell r="G216">
            <v>0</v>
          </cell>
          <cell r="H216">
            <v>1458166</v>
          </cell>
        </row>
        <row r="217">
          <cell r="D217">
            <v>327863</v>
          </cell>
          <cell r="E217">
            <v>327863</v>
          </cell>
          <cell r="F217">
            <v>0</v>
          </cell>
          <cell r="G217">
            <v>0</v>
          </cell>
          <cell r="H217">
            <v>327863</v>
          </cell>
        </row>
        <row r="218">
          <cell r="D218">
            <v>0</v>
          </cell>
          <cell r="E218">
            <v>0</v>
          </cell>
          <cell r="F218">
            <v>0</v>
          </cell>
          <cell r="G218">
            <v>0</v>
          </cell>
          <cell r="H218">
            <v>0</v>
          </cell>
        </row>
        <row r="219">
          <cell r="D219">
            <v>2390440</v>
          </cell>
          <cell r="E219">
            <v>2268240</v>
          </cell>
          <cell r="F219">
            <v>122200</v>
          </cell>
          <cell r="G219">
            <v>64557.45</v>
          </cell>
          <cell r="H219">
            <v>2325882.5499999998</v>
          </cell>
        </row>
        <row r="220">
          <cell r="D220">
            <v>40062</v>
          </cell>
          <cell r="E220">
            <v>20600</v>
          </cell>
          <cell r="F220">
            <v>19462</v>
          </cell>
          <cell r="G220">
            <v>17783.599999999999</v>
          </cell>
          <cell r="H220">
            <v>22278.400000000001</v>
          </cell>
        </row>
        <row r="221">
          <cell r="D221">
            <v>82568</v>
          </cell>
          <cell r="E221">
            <v>82568</v>
          </cell>
          <cell r="F221">
            <v>0</v>
          </cell>
          <cell r="G221">
            <v>57743.81</v>
          </cell>
          <cell r="H221">
            <v>24824.190000000002</v>
          </cell>
        </row>
        <row r="222">
          <cell r="D222">
            <v>100000</v>
          </cell>
          <cell r="E222">
            <v>100000</v>
          </cell>
          <cell r="F222">
            <v>0</v>
          </cell>
          <cell r="G222">
            <v>78413.2</v>
          </cell>
          <cell r="H222">
            <v>21586.800000000003</v>
          </cell>
        </row>
        <row r="223">
          <cell r="D223">
            <v>0</v>
          </cell>
          <cell r="E223">
            <v>0</v>
          </cell>
          <cell r="F223">
            <v>0</v>
          </cell>
          <cell r="G223">
            <v>0</v>
          </cell>
          <cell r="H223">
            <v>0</v>
          </cell>
        </row>
        <row r="224">
          <cell r="D224">
            <v>7516000</v>
          </cell>
          <cell r="E224">
            <v>7496556</v>
          </cell>
          <cell r="F224">
            <v>19444</v>
          </cell>
          <cell r="G224">
            <v>7466683.5700000003</v>
          </cell>
          <cell r="H224">
            <v>49316.429999999993</v>
          </cell>
        </row>
        <row r="225">
          <cell r="D225">
            <v>290270</v>
          </cell>
          <cell r="E225">
            <v>100000</v>
          </cell>
          <cell r="F225">
            <v>190270</v>
          </cell>
          <cell r="G225">
            <v>0</v>
          </cell>
          <cell r="H225">
            <v>290270</v>
          </cell>
        </row>
        <row r="226">
          <cell r="D226">
            <v>154665</v>
          </cell>
          <cell r="E226">
            <v>154665</v>
          </cell>
          <cell r="F226">
            <v>0</v>
          </cell>
          <cell r="G226">
            <v>124684.82999999999</v>
          </cell>
          <cell r="H226">
            <v>29980.170000000013</v>
          </cell>
        </row>
        <row r="227">
          <cell r="D227">
            <v>1750696</v>
          </cell>
          <cell r="E227">
            <v>379449</v>
          </cell>
          <cell r="F227">
            <v>1371247</v>
          </cell>
          <cell r="G227">
            <v>0</v>
          </cell>
          <cell r="H227">
            <v>1750696</v>
          </cell>
        </row>
        <row r="228">
          <cell r="D228">
            <v>1967860</v>
          </cell>
          <cell r="E228">
            <v>1950515.1</v>
          </cell>
          <cell r="F228">
            <v>17344.900000000001</v>
          </cell>
          <cell r="G228">
            <v>98487.84</v>
          </cell>
          <cell r="H228">
            <v>1869372.16</v>
          </cell>
        </row>
        <row r="229">
          <cell r="D229">
            <v>3196845</v>
          </cell>
          <cell r="E229">
            <v>1848345.8900000001</v>
          </cell>
          <cell r="F229">
            <v>1348499.1099999999</v>
          </cell>
          <cell r="G229">
            <v>752439.03</v>
          </cell>
          <cell r="H229">
            <v>2444405.9699999997</v>
          </cell>
        </row>
        <row r="230">
          <cell r="D230">
            <v>0</v>
          </cell>
          <cell r="E230">
            <v>0</v>
          </cell>
          <cell r="F230">
            <v>0</v>
          </cell>
          <cell r="G230">
            <v>0</v>
          </cell>
          <cell r="H230">
            <v>0</v>
          </cell>
        </row>
        <row r="231">
          <cell r="D231">
            <v>49574</v>
          </cell>
          <cell r="E231">
            <v>0</v>
          </cell>
          <cell r="F231">
            <v>49574</v>
          </cell>
          <cell r="G231">
            <v>0</v>
          </cell>
          <cell r="H231">
            <v>49574</v>
          </cell>
        </row>
        <row r="232">
          <cell r="D232">
            <v>656461</v>
          </cell>
          <cell r="E232">
            <v>606460.53</v>
          </cell>
          <cell r="F232">
            <v>50000.469999999972</v>
          </cell>
          <cell r="G232">
            <v>0</v>
          </cell>
          <cell r="H232">
            <v>656461</v>
          </cell>
        </row>
        <row r="233">
          <cell r="D233">
            <v>706461</v>
          </cell>
          <cell r="E233">
            <v>606460.53</v>
          </cell>
          <cell r="F233">
            <v>100000.46999999997</v>
          </cell>
          <cell r="G233">
            <v>0</v>
          </cell>
          <cell r="H233">
            <v>706461</v>
          </cell>
        </row>
        <row r="234">
          <cell r="D234">
            <v>0</v>
          </cell>
          <cell r="E234">
            <v>0</v>
          </cell>
          <cell r="F234">
            <v>0</v>
          </cell>
          <cell r="G234">
            <v>0</v>
          </cell>
          <cell r="H234">
            <v>0</v>
          </cell>
        </row>
        <row r="235">
          <cell r="D235">
            <v>1349649</v>
          </cell>
          <cell r="E235">
            <v>0</v>
          </cell>
          <cell r="F235">
            <v>1349649</v>
          </cell>
          <cell r="G235">
            <v>0</v>
          </cell>
          <cell r="H235">
            <v>1349649</v>
          </cell>
        </row>
        <row r="236">
          <cell r="D236">
            <v>50000</v>
          </cell>
          <cell r="E236">
            <v>50000</v>
          </cell>
          <cell r="F236">
            <v>0</v>
          </cell>
          <cell r="G236">
            <v>13050.99</v>
          </cell>
          <cell r="H236">
            <v>36949.01</v>
          </cell>
        </row>
        <row r="237">
          <cell r="D237">
            <v>0</v>
          </cell>
          <cell r="E237">
            <v>0</v>
          </cell>
          <cell r="F237">
            <v>0</v>
          </cell>
          <cell r="G237">
            <v>0</v>
          </cell>
          <cell r="H237">
            <v>0</v>
          </cell>
        </row>
        <row r="238">
          <cell r="D238">
            <v>82042</v>
          </cell>
          <cell r="E238">
            <v>73137.02</v>
          </cell>
          <cell r="F238">
            <v>8904.9799999999959</v>
          </cell>
          <cell r="G238">
            <v>48346.770000000004</v>
          </cell>
          <cell r="H238">
            <v>33695.229999999996</v>
          </cell>
        </row>
        <row r="239">
          <cell r="D239">
            <v>0</v>
          </cell>
          <cell r="E239">
            <v>0</v>
          </cell>
          <cell r="F239">
            <v>0</v>
          </cell>
          <cell r="G239">
            <v>0</v>
          </cell>
          <cell r="H239">
            <v>0</v>
          </cell>
        </row>
        <row r="240">
          <cell r="D240">
            <v>72190</v>
          </cell>
          <cell r="E240">
            <v>62384.34</v>
          </cell>
          <cell r="F240">
            <v>9805.6600000000035</v>
          </cell>
          <cell r="G240">
            <v>55271.61</v>
          </cell>
          <cell r="H240">
            <v>16918.39</v>
          </cell>
        </row>
        <row r="241">
          <cell r="D241">
            <v>69837</v>
          </cell>
          <cell r="E241">
            <v>30000</v>
          </cell>
          <cell r="F241">
            <v>39837</v>
          </cell>
          <cell r="G241">
            <v>24166.33</v>
          </cell>
          <cell r="H241">
            <v>45670.67</v>
          </cell>
        </row>
        <row r="242">
          <cell r="D242">
            <v>50000</v>
          </cell>
          <cell r="E242">
            <v>50000</v>
          </cell>
          <cell r="F242">
            <v>0</v>
          </cell>
          <cell r="G242">
            <v>48541.71</v>
          </cell>
          <cell r="H242">
            <v>1458.2900000000009</v>
          </cell>
        </row>
        <row r="243">
          <cell r="D243">
            <v>304060</v>
          </cell>
          <cell r="E243">
            <v>291997.5</v>
          </cell>
          <cell r="F243">
            <v>12062.5</v>
          </cell>
          <cell r="G243">
            <v>177994.32</v>
          </cell>
          <cell r="H243">
            <v>126065.68</v>
          </cell>
        </row>
        <row r="244">
          <cell r="D244">
            <v>0</v>
          </cell>
          <cell r="E244">
            <v>0</v>
          </cell>
          <cell r="F244">
            <v>0</v>
          </cell>
          <cell r="G244">
            <v>0</v>
          </cell>
          <cell r="H244">
            <v>0</v>
          </cell>
        </row>
        <row r="245">
          <cell r="D245">
            <v>0</v>
          </cell>
          <cell r="E245">
            <v>0</v>
          </cell>
          <cell r="F245">
            <v>0</v>
          </cell>
          <cell r="G245">
            <v>0</v>
          </cell>
          <cell r="H245">
            <v>0</v>
          </cell>
        </row>
        <row r="246">
          <cell r="D246">
            <v>2170829</v>
          </cell>
          <cell r="E246">
            <v>97983</v>
          </cell>
          <cell r="F246">
            <v>2072846</v>
          </cell>
          <cell r="G246">
            <v>91311.81</v>
          </cell>
          <cell r="H246">
            <v>2079517.19</v>
          </cell>
        </row>
        <row r="247">
          <cell r="D247">
            <v>1588917</v>
          </cell>
          <cell r="E247">
            <v>1382455.8</v>
          </cell>
          <cell r="F247">
            <v>206461.19999999995</v>
          </cell>
          <cell r="G247">
            <v>0</v>
          </cell>
          <cell r="H247">
            <v>1588917</v>
          </cell>
        </row>
        <row r="248">
          <cell r="D248">
            <v>340317</v>
          </cell>
          <cell r="E248">
            <v>335271.5</v>
          </cell>
          <cell r="F248">
            <v>5045.5</v>
          </cell>
          <cell r="G248">
            <v>185179.12000000002</v>
          </cell>
          <cell r="H248">
            <v>155137.87999999998</v>
          </cell>
        </row>
        <row r="249">
          <cell r="D249">
            <v>50000</v>
          </cell>
          <cell r="E249">
            <v>0</v>
          </cell>
          <cell r="F249">
            <v>50000</v>
          </cell>
          <cell r="G249">
            <v>0</v>
          </cell>
          <cell r="H249">
            <v>50000</v>
          </cell>
        </row>
        <row r="250">
          <cell r="D250">
            <v>31336</v>
          </cell>
          <cell r="E250">
            <v>0</v>
          </cell>
          <cell r="F250">
            <v>31336</v>
          </cell>
          <cell r="G250">
            <v>0</v>
          </cell>
          <cell r="H250">
            <v>31336</v>
          </cell>
        </row>
        <row r="251">
          <cell r="D251">
            <v>6575108</v>
          </cell>
          <cell r="E251">
            <v>6229287.5</v>
          </cell>
          <cell r="F251">
            <v>345820.5</v>
          </cell>
          <cell r="G251">
            <v>100865.04000000001</v>
          </cell>
          <cell r="H251">
            <v>6474242.96</v>
          </cell>
        </row>
        <row r="252">
          <cell r="D252">
            <v>236702</v>
          </cell>
          <cell r="E252">
            <v>130645.3</v>
          </cell>
          <cell r="F252">
            <v>106056.7</v>
          </cell>
          <cell r="G252">
            <v>112990.07</v>
          </cell>
          <cell r="H252">
            <v>123711.93</v>
          </cell>
        </row>
        <row r="253">
          <cell r="D253">
            <v>3235672</v>
          </cell>
          <cell r="E253">
            <v>3072609.46</v>
          </cell>
          <cell r="F253">
            <v>163062.54000000004</v>
          </cell>
          <cell r="G253">
            <v>910683.16</v>
          </cell>
          <cell r="H253">
            <v>2324988.8400000003</v>
          </cell>
        </row>
        <row r="254">
          <cell r="D254">
            <v>350000</v>
          </cell>
          <cell r="E254">
            <v>333117</v>
          </cell>
          <cell r="F254">
            <v>16883</v>
          </cell>
          <cell r="G254">
            <v>189727.76</v>
          </cell>
          <cell r="H254">
            <v>160272.24</v>
          </cell>
        </row>
        <row r="255">
          <cell r="D255">
            <v>0</v>
          </cell>
          <cell r="E255">
            <v>0</v>
          </cell>
          <cell r="F255">
            <v>0</v>
          </cell>
          <cell r="G255">
            <v>0</v>
          </cell>
          <cell r="H255">
            <v>0</v>
          </cell>
        </row>
        <row r="256">
          <cell r="D256">
            <v>3252523</v>
          </cell>
          <cell r="E256">
            <v>2551505.9299999997</v>
          </cell>
          <cell r="F256">
            <v>701017.07000000007</v>
          </cell>
          <cell r="G256">
            <v>1786302.12</v>
          </cell>
          <cell r="H256">
            <v>1466220.88</v>
          </cell>
        </row>
        <row r="257">
          <cell r="D257">
            <v>1272735</v>
          </cell>
          <cell r="E257">
            <v>1247006.76</v>
          </cell>
          <cell r="F257">
            <v>25728.240000000005</v>
          </cell>
          <cell r="G257">
            <v>1159870.4799999997</v>
          </cell>
          <cell r="H257">
            <v>112864.52000000005</v>
          </cell>
        </row>
        <row r="261">
          <cell r="D261">
            <v>3714096</v>
          </cell>
          <cell r="E261">
            <v>2816309.79</v>
          </cell>
          <cell r="F261">
            <v>897786.21</v>
          </cell>
          <cell r="G261">
            <v>2077380.8699999999</v>
          </cell>
          <cell r="H261">
            <v>1636715.1300000001</v>
          </cell>
        </row>
        <row r="262">
          <cell r="D262">
            <v>8483998</v>
          </cell>
          <cell r="E262">
            <v>7232228</v>
          </cell>
          <cell r="F262">
            <v>1251770</v>
          </cell>
          <cell r="G262">
            <v>5241779.8099999996</v>
          </cell>
          <cell r="H262">
            <v>3242218.1900000004</v>
          </cell>
        </row>
        <row r="263">
          <cell r="D263">
            <v>3431878</v>
          </cell>
          <cell r="E263">
            <v>3396126.53</v>
          </cell>
          <cell r="F263">
            <v>35751.47</v>
          </cell>
          <cell r="G263">
            <v>3066640.11</v>
          </cell>
          <cell r="H263">
            <v>365237.89</v>
          </cell>
        </row>
        <row r="264">
          <cell r="D264">
            <v>1445268</v>
          </cell>
          <cell r="E264">
            <v>1222493.1299999999</v>
          </cell>
          <cell r="F264">
            <v>222774.87000000002</v>
          </cell>
          <cell r="G264">
            <v>979738.35</v>
          </cell>
          <cell r="H264">
            <v>465529.65</v>
          </cell>
        </row>
        <row r="287">
          <cell r="D287">
            <v>8468830</v>
          </cell>
          <cell r="E287">
            <v>7635696</v>
          </cell>
          <cell r="F287">
            <v>833134</v>
          </cell>
          <cell r="G287">
            <v>113879.13</v>
          </cell>
          <cell r="H287">
            <v>8354950.8699999992</v>
          </cell>
        </row>
        <row r="288">
          <cell r="D288">
            <v>1044621</v>
          </cell>
          <cell r="E288">
            <v>267854.94</v>
          </cell>
          <cell r="F288">
            <v>776766.06</v>
          </cell>
          <cell r="G288">
            <v>248158.12</v>
          </cell>
          <cell r="H288">
            <v>796462.88</v>
          </cell>
        </row>
        <row r="292">
          <cell r="D292">
            <v>70958</v>
          </cell>
          <cell r="E292">
            <v>70057.899999999994</v>
          </cell>
          <cell r="F292">
            <v>900.10000000000036</v>
          </cell>
          <cell r="G292">
            <v>70029.94</v>
          </cell>
          <cell r="H292">
            <v>928.05999999999949</v>
          </cell>
        </row>
        <row r="293">
          <cell r="D293">
            <v>102687</v>
          </cell>
          <cell r="E293">
            <v>100785.22</v>
          </cell>
          <cell r="F293">
            <v>1901.7799999999988</v>
          </cell>
          <cell r="G293">
            <v>88859.24</v>
          </cell>
          <cell r="H293">
            <v>13827.759999999998</v>
          </cell>
        </row>
        <row r="294">
          <cell r="D294">
            <v>61500</v>
          </cell>
          <cell r="E294">
            <v>59000</v>
          </cell>
          <cell r="F294">
            <v>2500</v>
          </cell>
          <cell r="G294">
            <v>0</v>
          </cell>
          <cell r="H294">
            <v>61500</v>
          </cell>
        </row>
        <row r="295">
          <cell r="D295">
            <v>62000</v>
          </cell>
          <cell r="E295">
            <v>61766.67</v>
          </cell>
          <cell r="F295">
            <v>233.33000000000175</v>
          </cell>
          <cell r="G295">
            <v>0</v>
          </cell>
          <cell r="H295">
            <v>62000</v>
          </cell>
        </row>
        <row r="296">
          <cell r="D296">
            <v>63755</v>
          </cell>
          <cell r="E296">
            <v>60139.48</v>
          </cell>
          <cell r="F296">
            <v>3615.52</v>
          </cell>
          <cell r="G296">
            <v>0</v>
          </cell>
          <cell r="H296">
            <v>63755</v>
          </cell>
        </row>
        <row r="297">
          <cell r="D297">
            <v>65438</v>
          </cell>
          <cell r="E297">
            <v>0</v>
          </cell>
          <cell r="F297">
            <v>65438</v>
          </cell>
          <cell r="G297">
            <v>0</v>
          </cell>
          <cell r="H297">
            <v>65438</v>
          </cell>
        </row>
        <row r="298">
          <cell r="D298">
            <v>61200</v>
          </cell>
          <cell r="E298">
            <v>59150</v>
          </cell>
          <cell r="F298">
            <v>2050</v>
          </cell>
          <cell r="G298">
            <v>59150</v>
          </cell>
          <cell r="H298">
            <v>2050</v>
          </cell>
        </row>
        <row r="299">
          <cell r="D299">
            <v>5365</v>
          </cell>
          <cell r="E299">
            <v>5364</v>
          </cell>
          <cell r="F299">
            <v>1</v>
          </cell>
          <cell r="G299">
            <v>5364</v>
          </cell>
          <cell r="H299">
            <v>1</v>
          </cell>
        </row>
        <row r="300">
          <cell r="D300">
            <v>2936</v>
          </cell>
          <cell r="E300">
            <v>2936</v>
          </cell>
          <cell r="F300">
            <v>0</v>
          </cell>
          <cell r="G300">
            <v>2936</v>
          </cell>
          <cell r="H300">
            <v>0</v>
          </cell>
        </row>
        <row r="301">
          <cell r="D301">
            <v>10692</v>
          </cell>
          <cell r="E301">
            <v>10691.76</v>
          </cell>
          <cell r="F301">
            <v>0.23999999999978172</v>
          </cell>
          <cell r="G301">
            <v>5600</v>
          </cell>
          <cell r="H301">
            <v>5092</v>
          </cell>
        </row>
        <row r="302">
          <cell r="D302">
            <v>7816</v>
          </cell>
          <cell r="E302">
            <v>0</v>
          </cell>
          <cell r="F302">
            <v>7816</v>
          </cell>
          <cell r="G302">
            <v>0</v>
          </cell>
          <cell r="H302">
            <v>7816</v>
          </cell>
        </row>
        <row r="303">
          <cell r="D303">
            <v>3546</v>
          </cell>
          <cell r="E303">
            <v>3546</v>
          </cell>
          <cell r="F303">
            <v>0</v>
          </cell>
          <cell r="G303">
            <v>3546</v>
          </cell>
          <cell r="H303">
            <v>0</v>
          </cell>
        </row>
        <row r="304">
          <cell r="D304">
            <v>2555</v>
          </cell>
          <cell r="E304">
            <v>2550</v>
          </cell>
          <cell r="F304">
            <v>5</v>
          </cell>
          <cell r="G304">
            <v>2550</v>
          </cell>
          <cell r="H304">
            <v>5</v>
          </cell>
        </row>
        <row r="305">
          <cell r="D305">
            <v>73376</v>
          </cell>
          <cell r="E305">
            <v>69875.75</v>
          </cell>
          <cell r="F305">
            <v>3500.25</v>
          </cell>
          <cell r="G305">
            <v>61500</v>
          </cell>
          <cell r="H305">
            <v>11876</v>
          </cell>
        </row>
        <row r="306">
          <cell r="D306">
            <v>54964</v>
          </cell>
          <cell r="E306">
            <v>1977.5</v>
          </cell>
          <cell r="F306">
            <v>52986.5</v>
          </cell>
          <cell r="G306">
            <v>1977.5</v>
          </cell>
          <cell r="H306">
            <v>52986.5</v>
          </cell>
        </row>
        <row r="307">
          <cell r="D307">
            <v>76710</v>
          </cell>
          <cell r="E307">
            <v>69710</v>
          </cell>
          <cell r="F307">
            <v>7000</v>
          </cell>
          <cell r="G307">
            <v>69710</v>
          </cell>
          <cell r="H307">
            <v>7000</v>
          </cell>
        </row>
        <row r="308">
          <cell r="D308">
            <v>5098</v>
          </cell>
          <cell r="E308">
            <v>5097</v>
          </cell>
          <cell r="F308">
            <v>1</v>
          </cell>
          <cell r="G308">
            <v>5097</v>
          </cell>
          <cell r="H308">
            <v>1</v>
          </cell>
        </row>
        <row r="309">
          <cell r="D309">
            <v>4800</v>
          </cell>
          <cell r="E309">
            <v>4800</v>
          </cell>
          <cell r="F309">
            <v>0</v>
          </cell>
          <cell r="G309">
            <v>4800</v>
          </cell>
          <cell r="H309">
            <v>0</v>
          </cell>
        </row>
        <row r="310">
          <cell r="D310">
            <v>12800</v>
          </cell>
          <cell r="E310">
            <v>12800</v>
          </cell>
          <cell r="F310">
            <v>0</v>
          </cell>
          <cell r="G310">
            <v>0</v>
          </cell>
          <cell r="H310">
            <v>12800</v>
          </cell>
        </row>
        <row r="311">
          <cell r="D311">
            <v>179500</v>
          </cell>
          <cell r="E311">
            <v>3750</v>
          </cell>
          <cell r="F311">
            <v>175750</v>
          </cell>
          <cell r="G311">
            <v>0</v>
          </cell>
          <cell r="H311">
            <v>179500</v>
          </cell>
        </row>
        <row r="312">
          <cell r="D312">
            <v>57400</v>
          </cell>
          <cell r="E312">
            <v>57400</v>
          </cell>
          <cell r="F312">
            <v>0</v>
          </cell>
          <cell r="G312">
            <v>57400</v>
          </cell>
          <cell r="H312">
            <v>0</v>
          </cell>
        </row>
        <row r="313">
          <cell r="D313">
            <v>5898</v>
          </cell>
          <cell r="E313">
            <v>5898</v>
          </cell>
          <cell r="F313">
            <v>0</v>
          </cell>
          <cell r="G313">
            <v>5898</v>
          </cell>
          <cell r="H313">
            <v>0</v>
          </cell>
        </row>
        <row r="314">
          <cell r="D314">
            <v>3000</v>
          </cell>
          <cell r="E314">
            <v>3000</v>
          </cell>
          <cell r="F314">
            <v>0</v>
          </cell>
          <cell r="G314">
            <v>3000</v>
          </cell>
          <cell r="H314">
            <v>0</v>
          </cell>
        </row>
        <row r="315">
          <cell r="D315">
            <v>87790</v>
          </cell>
          <cell r="E315">
            <v>78000</v>
          </cell>
          <cell r="F315">
            <v>9790</v>
          </cell>
          <cell r="G315">
            <v>0</v>
          </cell>
          <cell r="H315">
            <v>87790</v>
          </cell>
        </row>
        <row r="316">
          <cell r="D316">
            <v>83160</v>
          </cell>
          <cell r="E316">
            <v>83160</v>
          </cell>
          <cell r="F316">
            <v>0</v>
          </cell>
          <cell r="G316">
            <v>83100.399999999994</v>
          </cell>
          <cell r="H316">
            <v>59.600000000005821</v>
          </cell>
        </row>
        <row r="317">
          <cell r="D317">
            <v>335890</v>
          </cell>
          <cell r="E317">
            <v>314900</v>
          </cell>
          <cell r="F317">
            <v>20990</v>
          </cell>
          <cell r="G317">
            <v>0</v>
          </cell>
          <cell r="H317">
            <v>335890</v>
          </cell>
        </row>
        <row r="318">
          <cell r="D318">
            <v>175166</v>
          </cell>
          <cell r="E318">
            <v>166872</v>
          </cell>
          <cell r="F318">
            <v>8294</v>
          </cell>
          <cell r="G318">
            <v>5872</v>
          </cell>
          <cell r="H318">
            <v>169294</v>
          </cell>
        </row>
        <row r="319">
          <cell r="D319">
            <v>14715</v>
          </cell>
          <cell r="E319">
            <v>14714</v>
          </cell>
          <cell r="F319">
            <v>1</v>
          </cell>
          <cell r="G319">
            <v>14714</v>
          </cell>
          <cell r="H319">
            <v>1</v>
          </cell>
        </row>
        <row r="320">
          <cell r="D320">
            <v>157066</v>
          </cell>
          <cell r="E320">
            <v>157066</v>
          </cell>
          <cell r="F320">
            <v>0</v>
          </cell>
          <cell r="G320">
            <v>157066</v>
          </cell>
          <cell r="H320">
            <v>0</v>
          </cell>
        </row>
        <row r="321">
          <cell r="D321">
            <v>209400</v>
          </cell>
          <cell r="E321">
            <v>136550</v>
          </cell>
          <cell r="F321">
            <v>72850</v>
          </cell>
          <cell r="G321">
            <v>131850</v>
          </cell>
          <cell r="H321">
            <v>77550</v>
          </cell>
        </row>
        <row r="322">
          <cell r="D322">
            <v>167074</v>
          </cell>
          <cell r="E322">
            <v>98119.94</v>
          </cell>
          <cell r="F322">
            <v>68954.06</v>
          </cell>
          <cell r="G322">
            <v>61985.670000000006</v>
          </cell>
          <cell r="H322">
            <v>105088.32999999999</v>
          </cell>
        </row>
        <row r="323">
          <cell r="D323">
            <v>2967206</v>
          </cell>
          <cell r="E323">
            <v>1373205.5</v>
          </cell>
          <cell r="F323">
            <v>1594000.5</v>
          </cell>
          <cell r="G323">
            <v>206343.90000000002</v>
          </cell>
          <cell r="H323">
            <v>2760862.1</v>
          </cell>
        </row>
        <row r="325">
          <cell r="D325">
            <v>159946</v>
          </cell>
          <cell r="E325">
            <v>60441</v>
          </cell>
          <cell r="F325">
            <v>99505</v>
          </cell>
          <cell r="G325">
            <v>56941</v>
          </cell>
          <cell r="H325">
            <v>103005</v>
          </cell>
        </row>
        <row r="326">
          <cell r="D326">
            <v>159547</v>
          </cell>
          <cell r="E326">
            <v>149367</v>
          </cell>
          <cell r="F326">
            <v>10180</v>
          </cell>
          <cell r="G326">
            <v>21450</v>
          </cell>
          <cell r="H326">
            <v>138097</v>
          </cell>
        </row>
        <row r="327">
          <cell r="D327">
            <v>158642</v>
          </cell>
          <cell r="E327">
            <v>0</v>
          </cell>
          <cell r="F327">
            <v>158642</v>
          </cell>
          <cell r="G327">
            <v>0</v>
          </cell>
          <cell r="H327">
            <v>158642</v>
          </cell>
        </row>
        <row r="328">
          <cell r="D328">
            <v>159345</v>
          </cell>
          <cell r="E328">
            <v>148490</v>
          </cell>
          <cell r="F328">
            <v>10855</v>
          </cell>
          <cell r="G328">
            <v>30190</v>
          </cell>
          <cell r="H328">
            <v>129155</v>
          </cell>
        </row>
        <row r="329">
          <cell r="D329">
            <v>269980</v>
          </cell>
          <cell r="E329">
            <v>255749</v>
          </cell>
          <cell r="F329">
            <v>14231</v>
          </cell>
          <cell r="G329">
            <v>27200</v>
          </cell>
          <cell r="H329">
            <v>242780</v>
          </cell>
        </row>
        <row r="330">
          <cell r="D330">
            <v>159352</v>
          </cell>
          <cell r="E330">
            <v>149000</v>
          </cell>
          <cell r="F330">
            <v>10352</v>
          </cell>
          <cell r="G330">
            <v>22250</v>
          </cell>
          <cell r="H330">
            <v>137102</v>
          </cell>
        </row>
        <row r="331">
          <cell r="D331">
            <v>159613</v>
          </cell>
          <cell r="E331">
            <v>89133.25</v>
          </cell>
          <cell r="F331">
            <v>70479.75</v>
          </cell>
          <cell r="G331">
            <v>3566.63</v>
          </cell>
          <cell r="H331">
            <v>156046.37</v>
          </cell>
        </row>
        <row r="332">
          <cell r="D332">
            <v>159555</v>
          </cell>
          <cell r="E332">
            <v>100345</v>
          </cell>
          <cell r="F332">
            <v>59210</v>
          </cell>
          <cell r="G332">
            <v>62850</v>
          </cell>
          <cell r="H332">
            <v>96705</v>
          </cell>
        </row>
        <row r="333">
          <cell r="D333">
            <v>154799</v>
          </cell>
          <cell r="E333">
            <v>144492</v>
          </cell>
          <cell r="F333">
            <v>10307</v>
          </cell>
          <cell r="G333">
            <v>136700</v>
          </cell>
          <cell r="H333">
            <v>18099</v>
          </cell>
        </row>
        <row r="334">
          <cell r="D334">
            <v>160000</v>
          </cell>
          <cell r="E334">
            <v>118401</v>
          </cell>
          <cell r="F334">
            <v>41599</v>
          </cell>
          <cell r="G334">
            <v>113671</v>
          </cell>
          <cell r="H334">
            <v>46329</v>
          </cell>
        </row>
        <row r="335">
          <cell r="D335">
            <v>160000</v>
          </cell>
          <cell r="E335">
            <v>134540</v>
          </cell>
          <cell r="F335">
            <v>25460</v>
          </cell>
          <cell r="G335">
            <v>12740</v>
          </cell>
          <cell r="H335">
            <v>147260</v>
          </cell>
        </row>
        <row r="336">
          <cell r="D336">
            <v>349792</v>
          </cell>
          <cell r="E336">
            <v>321500</v>
          </cell>
          <cell r="F336">
            <v>28292</v>
          </cell>
          <cell r="G336">
            <v>0</v>
          </cell>
          <cell r="H336">
            <v>349792</v>
          </cell>
        </row>
        <row r="337">
          <cell r="D337">
            <v>155278</v>
          </cell>
          <cell r="E337">
            <v>147260</v>
          </cell>
          <cell r="F337">
            <v>8018</v>
          </cell>
          <cell r="G337">
            <v>86900</v>
          </cell>
          <cell r="H337">
            <v>68378</v>
          </cell>
        </row>
        <row r="338">
          <cell r="D338">
            <v>159890</v>
          </cell>
          <cell r="E338">
            <v>5349</v>
          </cell>
          <cell r="F338">
            <v>154541</v>
          </cell>
          <cell r="G338">
            <v>1783</v>
          </cell>
          <cell r="H338">
            <v>158107</v>
          </cell>
        </row>
        <row r="339">
          <cell r="D339">
            <v>160000</v>
          </cell>
          <cell r="E339">
            <v>148960</v>
          </cell>
          <cell r="F339">
            <v>11040</v>
          </cell>
          <cell r="G339">
            <v>23000</v>
          </cell>
          <cell r="H339">
            <v>137000</v>
          </cell>
        </row>
        <row r="340">
          <cell r="D340">
            <v>159321</v>
          </cell>
          <cell r="E340">
            <v>152810</v>
          </cell>
          <cell r="F340">
            <v>6511</v>
          </cell>
          <cell r="G340">
            <v>3255</v>
          </cell>
          <cell r="H340">
            <v>156066</v>
          </cell>
        </row>
        <row r="341">
          <cell r="D341">
            <v>160000</v>
          </cell>
          <cell r="E341">
            <v>0</v>
          </cell>
          <cell r="F341">
            <v>160000</v>
          </cell>
          <cell r="G341">
            <v>0</v>
          </cell>
          <cell r="H341">
            <v>160000</v>
          </cell>
        </row>
        <row r="342">
          <cell r="D342">
            <v>146532</v>
          </cell>
          <cell r="E342">
            <v>140645</v>
          </cell>
          <cell r="F342">
            <v>5887</v>
          </cell>
          <cell r="G342">
            <v>105497.5</v>
          </cell>
          <cell r="H342">
            <v>41034.5</v>
          </cell>
        </row>
        <row r="343">
          <cell r="D343">
            <v>155656</v>
          </cell>
          <cell r="E343">
            <v>54400</v>
          </cell>
          <cell r="F343">
            <v>101256</v>
          </cell>
          <cell r="G343">
            <v>0</v>
          </cell>
          <cell r="H343">
            <v>155656</v>
          </cell>
        </row>
        <row r="344">
          <cell r="D344">
            <v>159060</v>
          </cell>
          <cell r="E344">
            <v>144500</v>
          </cell>
          <cell r="F344">
            <v>14560</v>
          </cell>
          <cell r="G344">
            <v>0</v>
          </cell>
          <cell r="H344">
            <v>159060</v>
          </cell>
        </row>
        <row r="345">
          <cell r="D345">
            <v>159862</v>
          </cell>
          <cell r="E345">
            <v>86882.5</v>
          </cell>
          <cell r="F345">
            <v>72979.5</v>
          </cell>
          <cell r="G345">
            <v>83431.25</v>
          </cell>
          <cell r="H345">
            <v>76430.75</v>
          </cell>
        </row>
        <row r="346">
          <cell r="D346">
            <v>160000</v>
          </cell>
          <cell r="E346">
            <v>144870</v>
          </cell>
          <cell r="F346">
            <v>15130</v>
          </cell>
          <cell r="G346">
            <v>45270</v>
          </cell>
          <cell r="H346">
            <v>114730</v>
          </cell>
        </row>
        <row r="347">
          <cell r="D347">
            <v>157300</v>
          </cell>
          <cell r="E347">
            <v>149830</v>
          </cell>
          <cell r="F347">
            <v>7470</v>
          </cell>
          <cell r="G347">
            <v>86425</v>
          </cell>
          <cell r="H347">
            <v>70875</v>
          </cell>
        </row>
        <row r="348">
          <cell r="D348">
            <v>159720</v>
          </cell>
          <cell r="E348">
            <v>150040</v>
          </cell>
          <cell r="F348">
            <v>9680</v>
          </cell>
          <cell r="G348">
            <v>65990</v>
          </cell>
          <cell r="H348">
            <v>93730</v>
          </cell>
        </row>
        <row r="349">
          <cell r="D349">
            <v>160000</v>
          </cell>
          <cell r="E349">
            <v>151322</v>
          </cell>
          <cell r="F349">
            <v>8678</v>
          </cell>
          <cell r="G349">
            <v>93222</v>
          </cell>
          <cell r="H349">
            <v>66778</v>
          </cell>
        </row>
        <row r="350">
          <cell r="D350">
            <v>349792</v>
          </cell>
          <cell r="E350">
            <v>166000</v>
          </cell>
          <cell r="F350">
            <v>183792</v>
          </cell>
          <cell r="G350">
            <v>0</v>
          </cell>
          <cell r="H350">
            <v>349792</v>
          </cell>
        </row>
        <row r="351">
          <cell r="D351">
            <v>159007</v>
          </cell>
          <cell r="E351">
            <v>49260</v>
          </cell>
          <cell r="F351">
            <v>109747</v>
          </cell>
          <cell r="G351">
            <v>24990</v>
          </cell>
          <cell r="H351">
            <v>134017</v>
          </cell>
        </row>
        <row r="352">
          <cell r="D352">
            <v>158892</v>
          </cell>
          <cell r="E352">
            <v>44582.5</v>
          </cell>
          <cell r="F352">
            <v>114309.5</v>
          </cell>
          <cell r="G352">
            <v>38000</v>
          </cell>
          <cell r="H352">
            <v>120892</v>
          </cell>
        </row>
        <row r="353">
          <cell r="D353">
            <v>159876</v>
          </cell>
          <cell r="E353">
            <v>113200</v>
          </cell>
          <cell r="F353">
            <v>46676</v>
          </cell>
          <cell r="G353">
            <v>113200</v>
          </cell>
          <cell r="H353">
            <v>46676</v>
          </cell>
        </row>
        <row r="354">
          <cell r="D354">
            <v>160000</v>
          </cell>
          <cell r="E354">
            <v>14120</v>
          </cell>
          <cell r="F354">
            <v>145880</v>
          </cell>
          <cell r="G354">
            <v>6970</v>
          </cell>
          <cell r="H354">
            <v>153030</v>
          </cell>
        </row>
        <row r="355">
          <cell r="D355">
            <v>349899</v>
          </cell>
          <cell r="E355">
            <v>307070</v>
          </cell>
          <cell r="F355">
            <v>42829</v>
          </cell>
          <cell r="G355">
            <v>3500</v>
          </cell>
          <cell r="H355">
            <v>346399</v>
          </cell>
        </row>
        <row r="356">
          <cell r="D356">
            <v>158527</v>
          </cell>
          <cell r="E356">
            <v>137504</v>
          </cell>
          <cell r="F356">
            <v>21023</v>
          </cell>
          <cell r="G356">
            <v>39500</v>
          </cell>
          <cell r="H356">
            <v>119027</v>
          </cell>
        </row>
        <row r="357">
          <cell r="D357">
            <v>158640</v>
          </cell>
          <cell r="E357">
            <v>82875</v>
          </cell>
          <cell r="F357">
            <v>75765</v>
          </cell>
          <cell r="G357">
            <v>0</v>
          </cell>
          <cell r="H357">
            <v>158640</v>
          </cell>
        </row>
        <row r="358">
          <cell r="D358">
            <v>159041</v>
          </cell>
          <cell r="E358">
            <v>139000</v>
          </cell>
          <cell r="F358">
            <v>20041</v>
          </cell>
          <cell r="G358">
            <v>0</v>
          </cell>
          <cell r="H358">
            <v>159041</v>
          </cell>
        </row>
        <row r="359">
          <cell r="D359">
            <v>349792</v>
          </cell>
          <cell r="E359">
            <v>0</v>
          </cell>
          <cell r="F359">
            <v>349792</v>
          </cell>
          <cell r="G359">
            <v>0</v>
          </cell>
          <cell r="H359">
            <v>349792</v>
          </cell>
        </row>
        <row r="360">
          <cell r="D360">
            <v>350000</v>
          </cell>
          <cell r="E360">
            <v>321160</v>
          </cell>
          <cell r="F360">
            <v>28840</v>
          </cell>
          <cell r="G360">
            <v>62360</v>
          </cell>
          <cell r="H360">
            <v>287640</v>
          </cell>
        </row>
        <row r="361">
          <cell r="D361">
            <v>159584</v>
          </cell>
          <cell r="E361">
            <v>152800</v>
          </cell>
          <cell r="F361">
            <v>6784</v>
          </cell>
          <cell r="G361">
            <v>0</v>
          </cell>
          <cell r="H361">
            <v>159584</v>
          </cell>
        </row>
        <row r="362">
          <cell r="D362">
            <v>160000</v>
          </cell>
          <cell r="E362">
            <v>149270</v>
          </cell>
          <cell r="F362">
            <v>10730</v>
          </cell>
          <cell r="G362">
            <v>103280</v>
          </cell>
          <cell r="H362">
            <v>56720</v>
          </cell>
        </row>
        <row r="363">
          <cell r="D363">
            <v>346711</v>
          </cell>
          <cell r="E363">
            <v>312200</v>
          </cell>
          <cell r="F363">
            <v>34511</v>
          </cell>
          <cell r="G363">
            <v>40200</v>
          </cell>
          <cell r="H363">
            <v>306511</v>
          </cell>
        </row>
        <row r="364">
          <cell r="D364">
            <v>159830</v>
          </cell>
          <cell r="E364">
            <v>97085</v>
          </cell>
          <cell r="F364">
            <v>62745</v>
          </cell>
          <cell r="G364">
            <v>31742.5</v>
          </cell>
          <cell r="H364">
            <v>128087.5</v>
          </cell>
        </row>
        <row r="365">
          <cell r="D365">
            <v>160000</v>
          </cell>
          <cell r="E365">
            <v>0</v>
          </cell>
          <cell r="F365">
            <v>160000</v>
          </cell>
          <cell r="G365">
            <v>0</v>
          </cell>
          <cell r="H365">
            <v>160000</v>
          </cell>
        </row>
        <row r="366">
          <cell r="D366">
            <v>349950</v>
          </cell>
          <cell r="E366">
            <v>189470</v>
          </cell>
          <cell r="F366">
            <v>160480</v>
          </cell>
          <cell r="G366">
            <v>93470</v>
          </cell>
          <cell r="H366">
            <v>256480</v>
          </cell>
        </row>
        <row r="367">
          <cell r="D367">
            <v>160000</v>
          </cell>
          <cell r="E367">
            <v>75350</v>
          </cell>
          <cell r="F367">
            <v>84650</v>
          </cell>
          <cell r="G367">
            <v>25920</v>
          </cell>
          <cell r="H367">
            <v>134080</v>
          </cell>
        </row>
        <row r="368">
          <cell r="D368">
            <v>159880</v>
          </cell>
          <cell r="E368">
            <v>145050</v>
          </cell>
          <cell r="F368">
            <v>14830</v>
          </cell>
          <cell r="G368">
            <v>0</v>
          </cell>
          <cell r="H368">
            <v>159880</v>
          </cell>
        </row>
        <row r="369">
          <cell r="D369">
            <v>592595</v>
          </cell>
          <cell r="E369">
            <v>512793</v>
          </cell>
          <cell r="F369">
            <v>79802</v>
          </cell>
          <cell r="G369">
            <v>457562.99</v>
          </cell>
          <cell r="H369">
            <v>135032.01</v>
          </cell>
        </row>
        <row r="370">
          <cell r="D370">
            <v>303086</v>
          </cell>
          <cell r="E370">
            <v>276239.45</v>
          </cell>
          <cell r="F370">
            <v>26846.549999999988</v>
          </cell>
          <cell r="G370">
            <v>251355.56000000003</v>
          </cell>
          <cell r="H370">
            <v>51730.439999999973</v>
          </cell>
        </row>
        <row r="371">
          <cell r="D371">
            <v>1186632</v>
          </cell>
          <cell r="E371">
            <v>848127.14</v>
          </cell>
          <cell r="F371">
            <v>338504.86</v>
          </cell>
          <cell r="G371">
            <v>604772.85</v>
          </cell>
          <cell r="H371">
            <v>581859.15</v>
          </cell>
        </row>
        <row r="372">
          <cell r="D372">
            <v>1041737</v>
          </cell>
          <cell r="E372">
            <v>744129.26</v>
          </cell>
          <cell r="F372">
            <v>297607.74</v>
          </cell>
          <cell r="G372">
            <v>656080.49</v>
          </cell>
          <cell r="H372">
            <v>385656.51</v>
          </cell>
        </row>
        <row r="373">
          <cell r="D373">
            <v>1192344</v>
          </cell>
          <cell r="E373">
            <v>1134656.92</v>
          </cell>
          <cell r="F373">
            <v>57687.080000000075</v>
          </cell>
          <cell r="G373">
            <v>964452.33</v>
          </cell>
          <cell r="H373">
            <v>227891.67000000004</v>
          </cell>
        </row>
        <row r="374">
          <cell r="D374">
            <v>105000</v>
          </cell>
          <cell r="E374">
            <v>41847.300000000003</v>
          </cell>
          <cell r="F374">
            <v>63152.7</v>
          </cell>
          <cell r="G374">
            <v>30806.95</v>
          </cell>
          <cell r="H374">
            <v>74193.05</v>
          </cell>
        </row>
        <row r="375">
          <cell r="D375">
            <v>7112293</v>
          </cell>
          <cell r="E375">
            <v>7092128.8300000001</v>
          </cell>
          <cell r="F375">
            <v>20164.169999999925</v>
          </cell>
          <cell r="G375">
            <v>6963811.4800000004</v>
          </cell>
          <cell r="H375">
            <v>148481.51999999993</v>
          </cell>
        </row>
        <row r="376">
          <cell r="D376">
            <v>768405</v>
          </cell>
          <cell r="E376">
            <v>701949</v>
          </cell>
          <cell r="F376">
            <v>66456</v>
          </cell>
          <cell r="G376">
            <v>218956.35</v>
          </cell>
          <cell r="H376">
            <v>549448.65</v>
          </cell>
        </row>
        <row r="378">
          <cell r="D378">
            <v>17714</v>
          </cell>
          <cell r="E378">
            <v>14228.68</v>
          </cell>
          <cell r="F378">
            <v>3485.32</v>
          </cell>
          <cell r="G378">
            <v>9749.7999999999993</v>
          </cell>
          <cell r="H378">
            <v>7964.2000000000007</v>
          </cell>
        </row>
        <row r="379">
          <cell r="D379">
            <v>80738</v>
          </cell>
          <cell r="E379">
            <v>0</v>
          </cell>
          <cell r="F379">
            <v>80738</v>
          </cell>
          <cell r="G379">
            <v>0</v>
          </cell>
          <cell r="H379">
            <v>80738</v>
          </cell>
        </row>
        <row r="380">
          <cell r="D380">
            <v>4265759</v>
          </cell>
          <cell r="E380">
            <v>2900834.3899999997</v>
          </cell>
          <cell r="F380">
            <v>1364924.6099999999</v>
          </cell>
          <cell r="G380">
            <v>895927.55999999994</v>
          </cell>
          <cell r="H380">
            <v>3369831.44</v>
          </cell>
        </row>
        <row r="383">
          <cell r="D383">
            <v>521845</v>
          </cell>
          <cell r="E383">
            <v>521845</v>
          </cell>
          <cell r="F383">
            <v>0</v>
          </cell>
          <cell r="G383">
            <v>109567.98</v>
          </cell>
          <cell r="H383">
            <v>412277.02</v>
          </cell>
        </row>
        <row r="384">
          <cell r="D384">
            <v>4437995</v>
          </cell>
          <cell r="E384">
            <v>2739092.42</v>
          </cell>
          <cell r="F384">
            <v>1698902.58</v>
          </cell>
          <cell r="G384">
            <v>936112.25</v>
          </cell>
          <cell r="H384">
            <v>3501882.75</v>
          </cell>
        </row>
        <row r="387">
          <cell r="D387">
            <v>1827737</v>
          </cell>
          <cell r="E387">
            <v>0</v>
          </cell>
          <cell r="F387">
            <v>1827737</v>
          </cell>
          <cell r="G387">
            <v>0</v>
          </cell>
          <cell r="H387">
            <v>1827737</v>
          </cell>
        </row>
        <row r="388">
          <cell r="D388">
            <v>40621</v>
          </cell>
          <cell r="E388">
            <v>2454.4</v>
          </cell>
          <cell r="F388">
            <v>38166.6</v>
          </cell>
          <cell r="G388">
            <v>2454.4</v>
          </cell>
          <cell r="H388">
            <v>38166.6</v>
          </cell>
        </row>
        <row r="390">
          <cell r="D390">
            <v>11000</v>
          </cell>
          <cell r="E390">
            <v>11000</v>
          </cell>
          <cell r="F390">
            <v>0</v>
          </cell>
          <cell r="G390">
            <v>0</v>
          </cell>
          <cell r="H390">
            <v>11000</v>
          </cell>
        </row>
        <row r="391">
          <cell r="D391">
            <v>11000</v>
          </cell>
          <cell r="E391">
            <v>11000</v>
          </cell>
          <cell r="F391">
            <v>0</v>
          </cell>
          <cell r="G391">
            <v>0</v>
          </cell>
          <cell r="H391">
            <v>11000</v>
          </cell>
        </row>
        <row r="392">
          <cell r="D392">
            <v>160000</v>
          </cell>
          <cell r="E392">
            <v>41950</v>
          </cell>
          <cell r="F392">
            <v>118050</v>
          </cell>
          <cell r="G392">
            <v>0</v>
          </cell>
          <cell r="H392">
            <v>160000</v>
          </cell>
        </row>
        <row r="393">
          <cell r="D393">
            <v>349668</v>
          </cell>
          <cell r="E393">
            <v>20700</v>
          </cell>
          <cell r="F393">
            <v>328968</v>
          </cell>
          <cell r="G393">
            <v>0</v>
          </cell>
          <cell r="H393">
            <v>349668</v>
          </cell>
        </row>
        <row r="394">
          <cell r="D394">
            <v>159560</v>
          </cell>
          <cell r="E394">
            <v>0</v>
          </cell>
          <cell r="F394">
            <v>159560</v>
          </cell>
          <cell r="G394">
            <v>0</v>
          </cell>
          <cell r="H394">
            <v>159560</v>
          </cell>
        </row>
        <row r="395">
          <cell r="D395">
            <v>141150</v>
          </cell>
          <cell r="E395">
            <v>0</v>
          </cell>
          <cell r="F395">
            <v>141150</v>
          </cell>
          <cell r="G395">
            <v>0</v>
          </cell>
          <cell r="H395">
            <v>141150</v>
          </cell>
        </row>
        <row r="396">
          <cell r="D396">
            <v>350000</v>
          </cell>
          <cell r="E396">
            <v>22400</v>
          </cell>
          <cell r="F396">
            <v>327600</v>
          </cell>
          <cell r="G396">
            <v>0</v>
          </cell>
          <cell r="H396">
            <v>350000</v>
          </cell>
        </row>
        <row r="397">
          <cell r="D397">
            <v>159978</v>
          </cell>
          <cell r="E397">
            <v>132250</v>
          </cell>
          <cell r="F397">
            <v>27728</v>
          </cell>
          <cell r="G397">
            <v>0</v>
          </cell>
          <cell r="H397">
            <v>159978</v>
          </cell>
        </row>
        <row r="398">
          <cell r="D398">
            <v>442669</v>
          </cell>
          <cell r="E398">
            <v>442669</v>
          </cell>
          <cell r="F398">
            <v>0</v>
          </cell>
          <cell r="G398">
            <v>119014.34</v>
          </cell>
          <cell r="H398">
            <v>323654.66000000003</v>
          </cell>
        </row>
        <row r="399">
          <cell r="D399">
            <v>677644</v>
          </cell>
          <cell r="E399">
            <v>277926.16000000003</v>
          </cell>
          <cell r="F399">
            <v>399717.83999999997</v>
          </cell>
          <cell r="G399">
            <v>40110</v>
          </cell>
          <cell r="H399">
            <v>637534</v>
          </cell>
        </row>
        <row r="400">
          <cell r="D400">
            <v>84425</v>
          </cell>
          <cell r="E400">
            <v>79219.88</v>
          </cell>
          <cell r="F400">
            <v>5205.1199999999953</v>
          </cell>
          <cell r="G400">
            <v>79219.88</v>
          </cell>
          <cell r="H400">
            <v>5205.1199999999953</v>
          </cell>
        </row>
        <row r="401">
          <cell r="D401">
            <v>13758</v>
          </cell>
          <cell r="E401">
            <v>13758</v>
          </cell>
          <cell r="F401">
            <v>0</v>
          </cell>
          <cell r="G401">
            <v>13212.64</v>
          </cell>
          <cell r="H401">
            <v>545.36000000000058</v>
          </cell>
        </row>
        <row r="402">
          <cell r="D402">
            <v>23560</v>
          </cell>
          <cell r="E402">
            <v>19650</v>
          </cell>
          <cell r="F402">
            <v>3910</v>
          </cell>
          <cell r="G402">
            <v>11282.09</v>
          </cell>
          <cell r="H402">
            <v>12277.91</v>
          </cell>
        </row>
        <row r="404">
          <cell r="D404">
            <v>44000</v>
          </cell>
          <cell r="E404">
            <v>43500</v>
          </cell>
          <cell r="F404">
            <v>500</v>
          </cell>
          <cell r="G404">
            <v>0</v>
          </cell>
          <cell r="H404">
            <v>44000</v>
          </cell>
        </row>
        <row r="405">
          <cell r="D405">
            <v>25000</v>
          </cell>
          <cell r="E405">
            <v>0</v>
          </cell>
          <cell r="F405">
            <v>25000</v>
          </cell>
          <cell r="G405">
            <v>0</v>
          </cell>
          <cell r="H405">
            <v>25000</v>
          </cell>
        </row>
        <row r="406">
          <cell r="D406">
            <v>28700</v>
          </cell>
          <cell r="E406">
            <v>0</v>
          </cell>
          <cell r="F406">
            <v>28700</v>
          </cell>
          <cell r="G406">
            <v>0</v>
          </cell>
          <cell r="H406">
            <v>28700</v>
          </cell>
        </row>
        <row r="408">
          <cell r="D408">
            <v>340000</v>
          </cell>
          <cell r="E408">
            <v>340000</v>
          </cell>
          <cell r="F408">
            <v>0</v>
          </cell>
          <cell r="G408">
            <v>184345.36</v>
          </cell>
          <cell r="H408">
            <v>155654.64000000001</v>
          </cell>
        </row>
        <row r="409">
          <cell r="D409">
            <v>170000</v>
          </cell>
          <cell r="E409">
            <v>19100</v>
          </cell>
          <cell r="F409">
            <v>150900</v>
          </cell>
          <cell r="G409">
            <v>19100</v>
          </cell>
          <cell r="H409">
            <v>150900</v>
          </cell>
        </row>
        <row r="410">
          <cell r="D410">
            <v>114255</v>
          </cell>
          <cell r="E410">
            <v>0</v>
          </cell>
          <cell r="F410">
            <v>114255</v>
          </cell>
          <cell r="G410">
            <v>0</v>
          </cell>
          <cell r="H410">
            <v>114255</v>
          </cell>
        </row>
        <row r="411">
          <cell r="D411">
            <v>199545</v>
          </cell>
          <cell r="E411">
            <v>199545</v>
          </cell>
          <cell r="F411">
            <v>0</v>
          </cell>
          <cell r="G411">
            <v>43576.5</v>
          </cell>
          <cell r="H411">
            <v>155968.5</v>
          </cell>
        </row>
        <row r="412">
          <cell r="D412">
            <v>192812</v>
          </cell>
          <cell r="E412">
            <v>180485</v>
          </cell>
          <cell r="F412">
            <v>12327</v>
          </cell>
          <cell r="G412">
            <v>0</v>
          </cell>
          <cell r="H412">
            <v>192812</v>
          </cell>
        </row>
        <row r="413">
          <cell r="D413">
            <v>36445</v>
          </cell>
          <cell r="E413">
            <v>0</v>
          </cell>
          <cell r="F413">
            <v>36445</v>
          </cell>
          <cell r="G413">
            <v>0</v>
          </cell>
          <cell r="H413">
            <v>36445</v>
          </cell>
        </row>
        <row r="414">
          <cell r="D414">
            <v>39485</v>
          </cell>
          <cell r="E414">
            <v>0</v>
          </cell>
          <cell r="F414">
            <v>39485</v>
          </cell>
          <cell r="G414">
            <v>0</v>
          </cell>
          <cell r="H414">
            <v>39485</v>
          </cell>
        </row>
        <row r="415">
          <cell r="D415">
            <v>20166</v>
          </cell>
          <cell r="E415">
            <v>19362</v>
          </cell>
          <cell r="F415">
            <v>804</v>
          </cell>
          <cell r="G415">
            <v>7211.37</v>
          </cell>
          <cell r="H415">
            <v>12954.630000000001</v>
          </cell>
        </row>
        <row r="416">
          <cell r="D416">
            <v>287709</v>
          </cell>
          <cell r="E416">
            <v>0</v>
          </cell>
          <cell r="F416">
            <v>287709</v>
          </cell>
          <cell r="G416">
            <v>0</v>
          </cell>
          <cell r="H416">
            <v>287709</v>
          </cell>
        </row>
        <row r="417">
          <cell r="D417">
            <v>140000</v>
          </cell>
          <cell r="E417">
            <v>0</v>
          </cell>
          <cell r="F417">
            <v>140000</v>
          </cell>
          <cell r="G417">
            <v>0</v>
          </cell>
          <cell r="H417">
            <v>140000</v>
          </cell>
        </row>
        <row r="418">
          <cell r="D418">
            <v>900000</v>
          </cell>
          <cell r="E418">
            <v>0</v>
          </cell>
          <cell r="F418">
            <v>900000</v>
          </cell>
          <cell r="G418">
            <v>0</v>
          </cell>
          <cell r="H418">
            <v>900000</v>
          </cell>
        </row>
        <row r="419">
          <cell r="D419">
            <v>87823</v>
          </cell>
          <cell r="E419">
            <v>0</v>
          </cell>
          <cell r="F419">
            <v>87823</v>
          </cell>
          <cell r="G419">
            <v>0</v>
          </cell>
          <cell r="H419">
            <v>87823</v>
          </cell>
        </row>
        <row r="420">
          <cell r="D420">
            <v>1038097</v>
          </cell>
          <cell r="E420">
            <v>0</v>
          </cell>
          <cell r="F420">
            <v>1038097</v>
          </cell>
          <cell r="G420">
            <v>0</v>
          </cell>
          <cell r="H420">
            <v>1038097</v>
          </cell>
        </row>
        <row r="421">
          <cell r="D421"/>
          <cell r="E421"/>
          <cell r="F421"/>
          <cell r="G421"/>
          <cell r="H421"/>
        </row>
        <row r="422">
          <cell r="D422"/>
          <cell r="E422"/>
          <cell r="F422"/>
          <cell r="G422"/>
          <cell r="H422"/>
        </row>
        <row r="423">
          <cell r="D423"/>
          <cell r="E423"/>
          <cell r="F423"/>
          <cell r="G423"/>
          <cell r="H423"/>
        </row>
        <row r="424">
          <cell r="D424"/>
          <cell r="E424"/>
          <cell r="F424"/>
          <cell r="G424"/>
          <cell r="H424"/>
        </row>
        <row r="425">
          <cell r="D425"/>
          <cell r="E425"/>
          <cell r="F425"/>
          <cell r="G425"/>
          <cell r="H425"/>
        </row>
        <row r="426">
          <cell r="D426"/>
          <cell r="E426"/>
          <cell r="F426"/>
          <cell r="G426"/>
          <cell r="H426"/>
        </row>
        <row r="427">
          <cell r="D427"/>
          <cell r="E427"/>
          <cell r="F427"/>
          <cell r="G427"/>
          <cell r="H427"/>
        </row>
        <row r="428">
          <cell r="D428"/>
          <cell r="E428"/>
          <cell r="F428"/>
          <cell r="G428"/>
          <cell r="H428"/>
        </row>
        <row r="429">
          <cell r="D429"/>
          <cell r="E429"/>
          <cell r="F429"/>
          <cell r="G429"/>
          <cell r="H429"/>
        </row>
      </sheetData>
      <sheetData sheetId="1" refreshError="1"/>
      <sheetData sheetId="2" refreshError="1"/>
      <sheetData sheetId="3" refreshError="1">
        <row r="5">
          <cell r="A5">
            <v>2001621</v>
          </cell>
        </row>
        <row r="6">
          <cell r="C6">
            <v>119950</v>
          </cell>
          <cell r="D6">
            <v>119950</v>
          </cell>
          <cell r="E6">
            <v>0</v>
          </cell>
          <cell r="F6">
            <v>70291.22</v>
          </cell>
          <cell r="G6">
            <v>49658.78</v>
          </cell>
        </row>
        <row r="7">
          <cell r="C7">
            <v>1217454</v>
          </cell>
          <cell r="D7">
            <v>1148881.3999999999</v>
          </cell>
          <cell r="E7">
            <v>68572.600000000093</v>
          </cell>
          <cell r="F7">
            <v>1055655.94</v>
          </cell>
          <cell r="G7">
            <v>161798.06000000006</v>
          </cell>
        </row>
      </sheetData>
      <sheetData sheetId="4" refreshError="1">
        <row r="5">
          <cell r="A5">
            <v>2001621</v>
          </cell>
          <cell r="C5">
            <v>496511</v>
          </cell>
          <cell r="D5">
            <v>101658.34</v>
          </cell>
          <cell r="E5">
            <v>394852.66000000003</v>
          </cell>
          <cell r="F5">
            <v>28465.339999999997</v>
          </cell>
          <cell r="G5">
            <v>468045.66000000003</v>
          </cell>
        </row>
        <row r="6">
          <cell r="C6">
            <v>34081</v>
          </cell>
          <cell r="D6">
            <v>33741.480000000003</v>
          </cell>
          <cell r="E6">
            <v>339.5199999999968</v>
          </cell>
          <cell r="F6">
            <v>33314.799999999996</v>
          </cell>
          <cell r="G6">
            <v>766.20000000000437</v>
          </cell>
        </row>
        <row r="7">
          <cell r="C7">
            <v>2780000</v>
          </cell>
          <cell r="D7">
            <v>2540807.52</v>
          </cell>
          <cell r="E7">
            <v>239192.47999999998</v>
          </cell>
          <cell r="F7">
            <v>1399109.84</v>
          </cell>
          <cell r="G7">
            <v>1380890.16</v>
          </cell>
        </row>
        <row r="8">
          <cell r="C8">
            <v>2343799</v>
          </cell>
          <cell r="D8">
            <v>2131358.5699999998</v>
          </cell>
          <cell r="E8">
            <v>212440.43000000017</v>
          </cell>
          <cell r="F8">
            <v>1983248.7100000002</v>
          </cell>
          <cell r="G8">
            <v>360550.2899999998</v>
          </cell>
        </row>
        <row r="9">
          <cell r="C9">
            <v>6071731</v>
          </cell>
          <cell r="D9">
            <v>4513090.8399999989</v>
          </cell>
          <cell r="E9">
            <v>1558640.1600000011</v>
          </cell>
          <cell r="F9">
            <v>4281593.92</v>
          </cell>
          <cell r="G9">
            <v>1790137.08</v>
          </cell>
        </row>
        <row r="10">
          <cell r="C10">
            <v>7512362</v>
          </cell>
          <cell r="D10">
            <v>6453680.3700000001</v>
          </cell>
          <cell r="E10">
            <v>1058681.6299999999</v>
          </cell>
          <cell r="F10">
            <v>5914242.0099999998</v>
          </cell>
          <cell r="G10">
            <v>1598119.9900000002</v>
          </cell>
        </row>
        <row r="11">
          <cell r="C11">
            <v>265000</v>
          </cell>
          <cell r="D11">
            <v>0</v>
          </cell>
          <cell r="E11">
            <v>265000</v>
          </cell>
          <cell r="F11">
            <v>0</v>
          </cell>
          <cell r="G11">
            <v>265000</v>
          </cell>
        </row>
        <row r="12">
          <cell r="C12">
            <v>6565000</v>
          </cell>
          <cell r="D12">
            <v>5060262.290000001</v>
          </cell>
          <cell r="E12">
            <v>1504737.709999999</v>
          </cell>
          <cell r="F12">
            <v>3501657.0399999991</v>
          </cell>
          <cell r="G12">
            <v>3063342.9600000009</v>
          </cell>
        </row>
        <row r="13">
          <cell r="C13">
            <v>0</v>
          </cell>
          <cell r="D13">
            <v>0</v>
          </cell>
          <cell r="E13">
            <v>0</v>
          </cell>
          <cell r="F13">
            <v>0</v>
          </cell>
          <cell r="G13">
            <v>0</v>
          </cell>
        </row>
        <row r="14">
          <cell r="C14">
            <v>267289</v>
          </cell>
          <cell r="D14">
            <v>267284.07</v>
          </cell>
          <cell r="E14">
            <v>4.9299999999930151</v>
          </cell>
          <cell r="F14">
            <v>245284.07</v>
          </cell>
          <cell r="G14">
            <v>22004.929999999993</v>
          </cell>
        </row>
        <row r="15">
          <cell r="C15">
            <v>2505054</v>
          </cell>
          <cell r="D15">
            <v>262882.90000000002</v>
          </cell>
          <cell r="E15">
            <v>2242171.1</v>
          </cell>
          <cell r="F15">
            <v>262822.90000000002</v>
          </cell>
          <cell r="G15">
            <v>2242231.1</v>
          </cell>
        </row>
        <row r="16">
          <cell r="C16">
            <v>5730000</v>
          </cell>
          <cell r="D16">
            <v>1480640.4300000002</v>
          </cell>
          <cell r="E16">
            <v>4249359.57</v>
          </cell>
          <cell r="F16">
            <v>594563.65</v>
          </cell>
          <cell r="G16">
            <v>5135436.3499999996</v>
          </cell>
        </row>
      </sheetData>
      <sheetData sheetId="5" refreshError="1">
        <row r="5">
          <cell r="A5">
            <v>2001621</v>
          </cell>
          <cell r="C5"/>
          <cell r="D5"/>
          <cell r="E5">
            <v>0</v>
          </cell>
          <cell r="F5"/>
          <cell r="G5">
            <v>0</v>
          </cell>
        </row>
        <row r="6">
          <cell r="C6">
            <v>30000</v>
          </cell>
          <cell r="D6">
            <v>0</v>
          </cell>
          <cell r="E6">
            <v>30000</v>
          </cell>
          <cell r="F6">
            <v>0</v>
          </cell>
          <cell r="G6">
            <v>30000</v>
          </cell>
        </row>
        <row r="7">
          <cell r="C7">
            <v>3265787</v>
          </cell>
          <cell r="D7">
            <v>3036279.54</v>
          </cell>
          <cell r="E7">
            <v>229507.45999999996</v>
          </cell>
          <cell r="F7">
            <v>2402411.39</v>
          </cell>
          <cell r="G7">
            <v>863375.60999999987</v>
          </cell>
        </row>
        <row r="8">
          <cell r="C8">
            <v>301762</v>
          </cell>
          <cell r="D8">
            <v>0</v>
          </cell>
          <cell r="E8">
            <v>301762</v>
          </cell>
          <cell r="F8">
            <v>0</v>
          </cell>
          <cell r="G8">
            <v>301762</v>
          </cell>
        </row>
        <row r="9">
          <cell r="C9">
            <v>9372234</v>
          </cell>
          <cell r="D9">
            <v>8684341.2300000004</v>
          </cell>
          <cell r="E9">
            <v>687892.76999999955</v>
          </cell>
          <cell r="F9">
            <v>6668256.9999999991</v>
          </cell>
          <cell r="G9">
            <v>2703977.0000000009</v>
          </cell>
        </row>
        <row r="10">
          <cell r="C10">
            <v>5141948</v>
          </cell>
          <cell r="D10">
            <v>4508551</v>
          </cell>
          <cell r="E10">
            <v>633397</v>
          </cell>
          <cell r="F10">
            <v>602651.11</v>
          </cell>
          <cell r="G10">
            <v>4539296.8899999997</v>
          </cell>
        </row>
      </sheetData>
      <sheetData sheetId="6" refreshError="1">
        <row r="5">
          <cell r="A5">
            <v>2001621</v>
          </cell>
          <cell r="C5">
            <v>90000</v>
          </cell>
          <cell r="D5">
            <v>0</v>
          </cell>
          <cell r="E5">
            <v>90000</v>
          </cell>
          <cell r="F5">
            <v>0</v>
          </cell>
          <cell r="G5">
            <v>90000</v>
          </cell>
        </row>
        <row r="6">
          <cell r="C6"/>
          <cell r="D6"/>
          <cell r="E6">
            <v>0</v>
          </cell>
          <cell r="F6"/>
          <cell r="G6">
            <v>0</v>
          </cell>
        </row>
        <row r="7">
          <cell r="C7">
            <v>30892</v>
          </cell>
          <cell r="D7">
            <v>30000</v>
          </cell>
          <cell r="E7">
            <v>892</v>
          </cell>
          <cell r="F7">
            <v>0</v>
          </cell>
          <cell r="G7">
            <v>30892</v>
          </cell>
        </row>
        <row r="8">
          <cell r="C8">
            <v>3480030</v>
          </cell>
          <cell r="D8">
            <v>3278955.9</v>
          </cell>
          <cell r="E8">
            <v>201074.10000000009</v>
          </cell>
          <cell r="F8">
            <v>2611455.3499999996</v>
          </cell>
          <cell r="G8">
            <v>868574.65000000037</v>
          </cell>
        </row>
        <row r="9">
          <cell r="C9">
            <v>2000000</v>
          </cell>
          <cell r="D9">
            <v>1837086.53</v>
          </cell>
          <cell r="E9">
            <v>162913.46999999997</v>
          </cell>
          <cell r="F9">
            <v>1103412.8900000001</v>
          </cell>
          <cell r="G9">
            <v>896587.10999999987</v>
          </cell>
        </row>
        <row r="10">
          <cell r="C10">
            <v>5534000</v>
          </cell>
          <cell r="D10">
            <v>5352297.4400000004</v>
          </cell>
          <cell r="E10">
            <v>181702.55999999959</v>
          </cell>
          <cell r="F10">
            <v>3701506.9699999997</v>
          </cell>
          <cell r="G10">
            <v>1832493.0300000003</v>
          </cell>
        </row>
        <row r="11">
          <cell r="C11">
            <v>20000</v>
          </cell>
          <cell r="D11">
            <v>17500</v>
          </cell>
          <cell r="E11">
            <v>2500</v>
          </cell>
          <cell r="F11">
            <v>0</v>
          </cell>
          <cell r="G11">
            <v>20000</v>
          </cell>
        </row>
        <row r="12">
          <cell r="C12">
            <v>500000</v>
          </cell>
          <cell r="D12">
            <v>39550</v>
          </cell>
          <cell r="E12">
            <v>460450</v>
          </cell>
          <cell r="F12">
            <v>5000</v>
          </cell>
          <cell r="G12">
            <v>495000</v>
          </cell>
        </row>
      </sheetData>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4"/>
      <sheetName val="H1"/>
      <sheetName val="Hoja2"/>
    </sheetNames>
    <sheetDataSet>
      <sheetData sheetId="0">
        <row r="2">
          <cell r="C2" t="str">
            <v>2.6.2.2.2 - 2.COSTO DE CONSTRUCCION POR CONTRATA</v>
          </cell>
          <cell r="D2">
            <v>0</v>
          </cell>
          <cell r="E2">
            <v>0</v>
          </cell>
          <cell r="F2">
            <v>0</v>
          </cell>
          <cell r="G2">
            <v>0</v>
          </cell>
          <cell r="H2">
            <v>0</v>
          </cell>
        </row>
        <row r="3">
          <cell r="C3" t="str">
            <v>2.6.8.1.3 - 1.ELABORACION DE EXPEDIENTES TECNICOS</v>
          </cell>
          <cell r="D3">
            <v>57442</v>
          </cell>
          <cell r="E3">
            <v>57136.9</v>
          </cell>
          <cell r="F3">
            <v>305.09999999999854</v>
          </cell>
          <cell r="G3">
            <v>54415.03</v>
          </cell>
          <cell r="H3">
            <v>3026.9700000000012</v>
          </cell>
        </row>
        <row r="5">
          <cell r="C5" t="str">
            <v>2.6.8.1.3 - 1.ELABORACION DE EXPEDIENTES TECNICOS</v>
          </cell>
          <cell r="D5">
            <v>100000</v>
          </cell>
          <cell r="E5">
            <v>24506.97</v>
          </cell>
          <cell r="F5">
            <v>75493.03</v>
          </cell>
          <cell r="G5">
            <v>24506.97</v>
          </cell>
          <cell r="H5">
            <v>75493.03</v>
          </cell>
        </row>
        <row r="9">
          <cell r="C9" t="str">
            <v>2.6.2.2.2 - 2.COSTO DE CONSTRUCCION POR CONTRATA</v>
          </cell>
          <cell r="D9">
            <v>0</v>
          </cell>
          <cell r="E9">
            <v>0</v>
          </cell>
          <cell r="F9">
            <v>0</v>
          </cell>
          <cell r="G9">
            <v>0</v>
          </cell>
          <cell r="H9">
            <v>0</v>
          </cell>
        </row>
        <row r="10">
          <cell r="C10" t="str">
            <v>2.6.8.1.3 - 1.ELABORACION DE EXPEDIENTES TECNICOS</v>
          </cell>
          <cell r="D10">
            <v>40486</v>
          </cell>
          <cell r="E10">
            <v>27985</v>
          </cell>
          <cell r="F10">
            <v>12501</v>
          </cell>
          <cell r="G10">
            <v>15934.18</v>
          </cell>
          <cell r="H10">
            <v>24551.82</v>
          </cell>
        </row>
        <row r="13">
          <cell r="C13" t="str">
            <v>2.6.2.3.2 - 5.COSTO DE CONSTRUCCION POR ADMINISTRACION DIRECTA - BIENES</v>
          </cell>
          <cell r="D13">
            <v>0</v>
          </cell>
          <cell r="E13">
            <v>0</v>
          </cell>
          <cell r="F13">
            <v>0</v>
          </cell>
          <cell r="G13">
            <v>0</v>
          </cell>
          <cell r="H13">
            <v>0</v>
          </cell>
        </row>
        <row r="14">
          <cell r="C14" t="str">
            <v>2.6.8.1.3 - 1.ELABORACION DE EXPEDIENTES TECNICOS</v>
          </cell>
          <cell r="D14">
            <v>350000</v>
          </cell>
          <cell r="E14">
            <v>349617</v>
          </cell>
          <cell r="F14">
            <v>383</v>
          </cell>
          <cell r="G14">
            <v>189727.76</v>
          </cell>
          <cell r="H14">
            <v>160272.24</v>
          </cell>
        </row>
        <row r="17">
          <cell r="C17" t="str">
            <v>2.6.8.1.3 - 1.ELABORACION DE EXPEDIENTES TECNICOS</v>
          </cell>
          <cell r="D17">
            <v>350000</v>
          </cell>
          <cell r="E17">
            <v>193545</v>
          </cell>
          <cell r="F17">
            <v>156455</v>
          </cell>
          <cell r="G17">
            <v>65074.959999999992</v>
          </cell>
          <cell r="H17">
            <v>284925.04000000004</v>
          </cell>
        </row>
        <row r="21">
          <cell r="C21" t="str">
            <v>2.6.8.1.3 - 1.ELABORACION DE EXPEDIENTES TECNICOS</v>
          </cell>
          <cell r="D21">
            <v>400000</v>
          </cell>
          <cell r="E21">
            <v>353445</v>
          </cell>
          <cell r="F21">
            <v>46555</v>
          </cell>
          <cell r="G21">
            <v>206876.56</v>
          </cell>
          <cell r="H21">
            <v>193123.44</v>
          </cell>
        </row>
        <row r="25">
          <cell r="C25" t="str">
            <v>2.6.8.1.3 - 1.ELABORACION DE EXPEDIENTES TECNICOS</v>
          </cell>
          <cell r="D25">
            <v>386035</v>
          </cell>
          <cell r="E25">
            <v>365592.91</v>
          </cell>
          <cell r="F25">
            <v>20442.090000000026</v>
          </cell>
          <cell r="G25">
            <v>241402.90000000002</v>
          </cell>
          <cell r="H25">
            <v>144632.09999999998</v>
          </cell>
        </row>
        <row r="29">
          <cell r="C29" t="str">
            <v>2.6.8.1.3 - 1.ELABORACION DE EXPEDIENTES TECNICOS</v>
          </cell>
          <cell r="D29">
            <v>350000</v>
          </cell>
          <cell r="E29">
            <v>350000</v>
          </cell>
          <cell r="F29">
            <v>0</v>
          </cell>
          <cell r="G29">
            <v>101121.51999999999</v>
          </cell>
          <cell r="H29">
            <v>248878.48</v>
          </cell>
        </row>
        <row r="33">
          <cell r="C33" t="str">
            <v>2.6.8.1.3 - 1.ELABORACION DE EXPEDIENTES TECNICOS</v>
          </cell>
          <cell r="D33">
            <v>81646</v>
          </cell>
          <cell r="E33">
            <v>0</v>
          </cell>
          <cell r="F33">
            <v>81646</v>
          </cell>
          <cell r="G33">
            <v>0</v>
          </cell>
          <cell r="H33">
            <v>81646</v>
          </cell>
        </row>
        <row r="37">
          <cell r="C37" t="str">
            <v>2.6.8.1.3 - 1.ELABORACION DE EXPEDIENTES TECNICOS</v>
          </cell>
          <cell r="D37">
            <v>292573</v>
          </cell>
          <cell r="E37">
            <v>0</v>
          </cell>
          <cell r="F37">
            <v>292573</v>
          </cell>
          <cell r="G37">
            <v>0</v>
          </cell>
          <cell r="H37">
            <v>292573</v>
          </cell>
        </row>
        <row r="41">
          <cell r="C41" t="str">
            <v>2.6.8.1.3 - 1.ELABORACION DE EXPEDIENTES TECNICOS</v>
          </cell>
          <cell r="D41">
            <v>645412</v>
          </cell>
          <cell r="E41">
            <v>638599.5</v>
          </cell>
          <cell r="F41">
            <v>6812.5</v>
          </cell>
          <cell r="G41">
            <v>553137.36</v>
          </cell>
          <cell r="H41">
            <v>92274.640000000014</v>
          </cell>
        </row>
        <row r="45">
          <cell r="C45" t="str">
            <v>2.6.8.1.3 - 1.ELABORACION DE EXPEDIENTES TECNICOS</v>
          </cell>
          <cell r="D45">
            <v>45161</v>
          </cell>
          <cell r="E45">
            <v>45161</v>
          </cell>
          <cell r="F45">
            <v>0</v>
          </cell>
          <cell r="G45">
            <v>21082.560000000001</v>
          </cell>
          <cell r="H45">
            <v>24078.44</v>
          </cell>
        </row>
        <row r="49">
          <cell r="C49" t="str">
            <v>2.6.8.1.3 - 1.ELABORACION DE EXPEDIENTES TECNICOS</v>
          </cell>
          <cell r="D49">
            <v>325721</v>
          </cell>
          <cell r="E49">
            <v>251714</v>
          </cell>
          <cell r="F49">
            <v>74007</v>
          </cell>
          <cell r="G49">
            <v>116213.92</v>
          </cell>
          <cell r="H49">
            <v>209507.08000000002</v>
          </cell>
        </row>
        <row r="53">
          <cell r="C53" t="str">
            <v>2.6.8.1.3 - 1.ELABORACION DE EXPEDIENTES TECNICOS</v>
          </cell>
          <cell r="D53">
            <v>58627</v>
          </cell>
          <cell r="E53">
            <v>0</v>
          </cell>
          <cell r="F53">
            <v>58627</v>
          </cell>
          <cell r="G53">
            <v>0</v>
          </cell>
          <cell r="H53">
            <v>58627</v>
          </cell>
        </row>
        <row r="57">
          <cell r="C57" t="str">
            <v>2.6.2.3.2 - 3.COSTO DE CONSTRUCCION POR CONTRATA</v>
          </cell>
          <cell r="D57">
            <v>1289186</v>
          </cell>
          <cell r="E57">
            <v>1289186</v>
          </cell>
          <cell r="F57">
            <v>0</v>
          </cell>
          <cell r="G57">
            <v>0</v>
          </cell>
          <cell r="H57">
            <v>1289186</v>
          </cell>
        </row>
        <row r="58">
          <cell r="C58" t="str">
            <v>2.6.8.1.3 - 1.ELABORACION DE EXPEDIENTES TECNICOS</v>
          </cell>
          <cell r="D58">
            <v>19715</v>
          </cell>
          <cell r="E58">
            <v>9487.2199999999993</v>
          </cell>
          <cell r="F58">
            <v>10227.780000000001</v>
          </cell>
          <cell r="G58">
            <v>8087.22</v>
          </cell>
          <cell r="H58">
            <v>11627.779999999999</v>
          </cell>
        </row>
        <row r="61">
          <cell r="C61" t="str">
            <v>2.6.8.1.3 - 1.ELABORACION DE EXPEDIENTES TECNICOS</v>
          </cell>
          <cell r="D61">
            <v>18371</v>
          </cell>
          <cell r="E61">
            <v>0</v>
          </cell>
          <cell r="F61">
            <v>18371</v>
          </cell>
          <cell r="G61">
            <v>0</v>
          </cell>
          <cell r="H61">
            <v>18371</v>
          </cell>
        </row>
        <row r="65">
          <cell r="C65" t="str">
            <v>2.6.8.1.3 - 1.ELABORACION DE EXPEDIENTES TECNICOS</v>
          </cell>
          <cell r="D65">
            <v>225183</v>
          </cell>
          <cell r="E65">
            <v>180000</v>
          </cell>
          <cell r="F65">
            <v>45183</v>
          </cell>
          <cell r="G65">
            <v>179898.4</v>
          </cell>
          <cell r="H65">
            <v>45284.600000000006</v>
          </cell>
        </row>
        <row r="69">
          <cell r="C69" t="str">
            <v>2.6.8.1.3 - 1.ELABORACION DE EXPEDIENTES TECNICOS</v>
          </cell>
          <cell r="D69">
            <v>630000</v>
          </cell>
          <cell r="E69">
            <v>626480</v>
          </cell>
          <cell r="F69">
            <v>3520</v>
          </cell>
          <cell r="G69">
            <v>463894.66000000003</v>
          </cell>
          <cell r="H69">
            <v>166105.33999999997</v>
          </cell>
        </row>
        <row r="73">
          <cell r="C73" t="str">
            <v>2.6.8.1.3 - 1.ELABORACION DE EXPEDIENTES TECNICOS</v>
          </cell>
          <cell r="D73">
            <v>300000</v>
          </cell>
          <cell r="E73">
            <v>300000</v>
          </cell>
          <cell r="F73">
            <v>0</v>
          </cell>
          <cell r="G73">
            <v>118352.3</v>
          </cell>
          <cell r="H73">
            <v>181647.7</v>
          </cell>
        </row>
        <row r="77">
          <cell r="C77" t="str">
            <v>2.6.8.1.3 - 1.ELABORACION DE EXPEDIENTES TECNICOS</v>
          </cell>
          <cell r="D77">
            <v>206971</v>
          </cell>
          <cell r="E77">
            <v>206970.5</v>
          </cell>
          <cell r="F77">
            <v>0.5</v>
          </cell>
          <cell r="G77">
            <v>110370.29</v>
          </cell>
          <cell r="H77">
            <v>96600.71</v>
          </cell>
        </row>
        <row r="81">
          <cell r="C81" t="str">
            <v>2.6.8.1.3 - 1.ELABORACION DE EXPEDIENTES TECNICOS</v>
          </cell>
          <cell r="D81">
            <v>57428</v>
          </cell>
          <cell r="E81">
            <v>0</v>
          </cell>
          <cell r="F81">
            <v>57428</v>
          </cell>
          <cell r="G81">
            <v>0</v>
          </cell>
          <cell r="H81">
            <v>57428</v>
          </cell>
        </row>
        <row r="85">
          <cell r="C85" t="str">
            <v>2.6.8.1.3 - 1.ELABORACION DE EXPEDIENTES TECNICOS</v>
          </cell>
          <cell r="D85">
            <v>175496</v>
          </cell>
          <cell r="E85">
            <v>175392</v>
          </cell>
          <cell r="F85">
            <v>104</v>
          </cell>
          <cell r="G85">
            <v>171767.41</v>
          </cell>
          <cell r="H85">
            <v>3728.5899999999965</v>
          </cell>
        </row>
        <row r="89">
          <cell r="C89" t="str">
            <v>2.6.8.1.3 - 1.ELABORACION DE EXPEDIENTES TECNICOS</v>
          </cell>
          <cell r="D89">
            <v>129991</v>
          </cell>
          <cell r="E89">
            <v>129991</v>
          </cell>
          <cell r="F89">
            <v>0</v>
          </cell>
          <cell r="G89">
            <v>129329.12</v>
          </cell>
          <cell r="H89">
            <v>661.88000000000466</v>
          </cell>
        </row>
        <row r="93">
          <cell r="C93" t="str">
            <v>2.6.8.1.3 - 1.ELABORACION DE EXPEDIENTES TECNICOS</v>
          </cell>
          <cell r="D93">
            <v>24413</v>
          </cell>
          <cell r="E93">
            <v>23994.5</v>
          </cell>
          <cell r="F93">
            <v>418.5</v>
          </cell>
          <cell r="G93">
            <v>19205.73</v>
          </cell>
          <cell r="H93">
            <v>5207.2700000000004</v>
          </cell>
        </row>
        <row r="97">
          <cell r="C97" t="str">
            <v>2.6.8.1.3 - 1.ELABORACION DE EXPEDIENTES TECNICOS</v>
          </cell>
          <cell r="D97">
            <v>28407</v>
          </cell>
          <cell r="E97">
            <v>0</v>
          </cell>
          <cell r="F97">
            <v>28407</v>
          </cell>
          <cell r="G97">
            <v>0</v>
          </cell>
          <cell r="H97">
            <v>28407</v>
          </cell>
        </row>
        <row r="101">
          <cell r="C101" t="str">
            <v>2.6.8.1.3 - 1.ELABORACION DE EXPEDIENTES TECNICOS</v>
          </cell>
          <cell r="D101">
            <v>111816</v>
          </cell>
          <cell r="E101">
            <v>111816</v>
          </cell>
          <cell r="F101">
            <v>0</v>
          </cell>
          <cell r="G101">
            <v>106621.20000000001</v>
          </cell>
          <cell r="H101">
            <v>5194.7999999999884</v>
          </cell>
        </row>
        <row r="105">
          <cell r="C105" t="str">
            <v>2.6.8.1.3 - 1.ELABORACION DE EXPEDIENTES TECNICOS</v>
          </cell>
          <cell r="D105">
            <v>654463</v>
          </cell>
          <cell r="E105">
            <v>654329.5</v>
          </cell>
          <cell r="F105">
            <v>133.5</v>
          </cell>
          <cell r="G105">
            <v>369403.18</v>
          </cell>
          <cell r="H105">
            <v>285059.82</v>
          </cell>
        </row>
        <row r="109">
          <cell r="C109" t="str">
            <v>2.6.8.1.3 - 1.ELABORACION DE EXPEDIENTES TECNICOS</v>
          </cell>
          <cell r="D109">
            <v>100000</v>
          </cell>
          <cell r="E109">
            <v>0</v>
          </cell>
          <cell r="F109">
            <v>100000</v>
          </cell>
          <cell r="G109">
            <v>0</v>
          </cell>
          <cell r="H109">
            <v>100000</v>
          </cell>
        </row>
        <row r="113">
          <cell r="C113" t="str">
            <v>2.6.8.1.3 - 1.ELABORACION DE EXPEDIENTES TECNICOS</v>
          </cell>
          <cell r="D113">
            <v>521845</v>
          </cell>
          <cell r="E113">
            <v>521845</v>
          </cell>
          <cell r="F113">
            <v>0</v>
          </cell>
          <cell r="G113">
            <v>282163.19</v>
          </cell>
          <cell r="H113">
            <v>239681.81</v>
          </cell>
        </row>
        <row r="117">
          <cell r="C117" t="str">
            <v>2.6.8.1.3 - 1.ELABORACION DE EXPEDIENTES TECNICOS</v>
          </cell>
          <cell r="D117">
            <v>100021</v>
          </cell>
          <cell r="E117">
            <v>51392</v>
          </cell>
          <cell r="F117">
            <v>48629</v>
          </cell>
          <cell r="G117">
            <v>0</v>
          </cell>
          <cell r="H117">
            <v>100021</v>
          </cell>
        </row>
        <row r="121">
          <cell r="C121" t="str">
            <v>2.6.8.1.3 - 1.ELABORACION DE EXPEDIENTES TECNICOS</v>
          </cell>
          <cell r="D121">
            <v>634869</v>
          </cell>
          <cell r="E121">
            <v>634869</v>
          </cell>
          <cell r="F121">
            <v>0</v>
          </cell>
          <cell r="G121">
            <v>527095.36</v>
          </cell>
          <cell r="H121">
            <v>107773.64000000001</v>
          </cell>
        </row>
        <row r="125">
          <cell r="C125" t="str">
            <v>2.6.2.2.2 - 2.COSTO DE CONSTRUCCION POR CONTRATA</v>
          </cell>
          <cell r="D125">
            <v>0</v>
          </cell>
          <cell r="E125">
            <v>0</v>
          </cell>
          <cell r="F125">
            <v>0</v>
          </cell>
          <cell r="G125">
            <v>0</v>
          </cell>
          <cell r="H125">
            <v>0</v>
          </cell>
        </row>
        <row r="129">
          <cell r="C129" t="str">
            <v>2.6.2.2.2 - 2.COSTO DE CONSTRUCCION POR CONTRATA</v>
          </cell>
          <cell r="D129">
            <v>0</v>
          </cell>
          <cell r="E129">
            <v>0</v>
          </cell>
          <cell r="F129">
            <v>0</v>
          </cell>
          <cell r="G129">
            <v>0</v>
          </cell>
          <cell r="H129">
            <v>0</v>
          </cell>
        </row>
        <row r="130">
          <cell r="C130" t="str">
            <v>2.6.8.1.3 - 1.ELABORACION DE EXPEDIENTES TECNICOS</v>
          </cell>
          <cell r="D130">
            <v>100000</v>
          </cell>
          <cell r="E130">
            <v>85000</v>
          </cell>
          <cell r="F130">
            <v>15000</v>
          </cell>
          <cell r="G130">
            <v>53585.48</v>
          </cell>
          <cell r="H130">
            <v>46414.52</v>
          </cell>
        </row>
        <row r="133">
          <cell r="C133" t="str">
            <v>2.6.2.2.2 - 2.COSTO DE CONSTRUCCION POR CONTRATA</v>
          </cell>
          <cell r="D133">
            <v>0</v>
          </cell>
          <cell r="E133">
            <v>0</v>
          </cell>
          <cell r="F133">
            <v>0</v>
          </cell>
          <cell r="G133">
            <v>0</v>
          </cell>
          <cell r="H133">
            <v>0</v>
          </cell>
        </row>
        <row r="137">
          <cell r="C137" t="str">
            <v>2.6.2.2.2 - 2.COSTO DE CONSTRUCCION POR CONTRATA</v>
          </cell>
          <cell r="D137">
            <v>0</v>
          </cell>
          <cell r="E137">
            <v>0</v>
          </cell>
          <cell r="F137">
            <v>0</v>
          </cell>
          <cell r="G137">
            <v>0</v>
          </cell>
          <cell r="H137">
            <v>0</v>
          </cell>
        </row>
        <row r="138">
          <cell r="C138" t="str">
            <v>2.6.8.1.3 - 1.ELABORACION DE EXPEDIENTES TECNICOS</v>
          </cell>
          <cell r="D138">
            <v>58259</v>
          </cell>
          <cell r="E138">
            <v>58259</v>
          </cell>
          <cell r="F138">
            <v>0</v>
          </cell>
          <cell r="G138">
            <v>50730.47</v>
          </cell>
          <cell r="H138">
            <v>7528.5299999999988</v>
          </cell>
        </row>
        <row r="141">
          <cell r="C141" t="str">
            <v>2.6.2.2.2 - 2.COSTO DE CONSTRUCCION POR CONTRATA</v>
          </cell>
          <cell r="D141">
            <v>0</v>
          </cell>
          <cell r="E141">
            <v>0</v>
          </cell>
          <cell r="F141">
            <v>0</v>
          </cell>
          <cell r="G141">
            <v>0</v>
          </cell>
          <cell r="H141">
            <v>0</v>
          </cell>
        </row>
        <row r="142">
          <cell r="C142" t="str">
            <v>2.6.8.1.3 - 1.ELABORACION DE EXPEDIENTES TECNICOS</v>
          </cell>
          <cell r="D142">
            <v>100000</v>
          </cell>
          <cell r="E142">
            <v>100000</v>
          </cell>
          <cell r="F142">
            <v>0</v>
          </cell>
          <cell r="G142">
            <v>45460.229999999996</v>
          </cell>
          <cell r="H142">
            <v>54539.770000000004</v>
          </cell>
        </row>
        <row r="145">
          <cell r="C145" t="str">
            <v>2.6.2.2.2 - 2.COSTO DE CONSTRUCCION POR CONTRATA</v>
          </cell>
          <cell r="D145">
            <v>1420</v>
          </cell>
          <cell r="E145">
            <v>0</v>
          </cell>
          <cell r="F145">
            <v>1420</v>
          </cell>
          <cell r="G145">
            <v>0</v>
          </cell>
          <cell r="H145">
            <v>1420</v>
          </cell>
        </row>
        <row r="146">
          <cell r="C146" t="str">
            <v>2.6.8.1.3 - 1.ELABORACION DE EXPEDIENTES TECNICOS</v>
          </cell>
          <cell r="D146">
            <v>98580</v>
          </cell>
          <cell r="E146">
            <v>98580</v>
          </cell>
          <cell r="F146">
            <v>0</v>
          </cell>
          <cell r="G146">
            <v>78118.170000000013</v>
          </cell>
          <cell r="H146">
            <v>20461.829999999987</v>
          </cell>
        </row>
        <row r="149">
          <cell r="C149" t="str">
            <v>2.6.2.2.2 - 2.COSTO DE CONSTRUCCION POR CONTRATA</v>
          </cell>
          <cell r="D149">
            <v>0</v>
          </cell>
          <cell r="E149">
            <v>0</v>
          </cell>
          <cell r="F149">
            <v>0</v>
          </cell>
          <cell r="G149">
            <v>0</v>
          </cell>
          <cell r="H149">
            <v>0</v>
          </cell>
        </row>
        <row r="153">
          <cell r="C153" t="str">
            <v>2.6.2.2.2 - 2.COSTO DE CONSTRUCCION POR CONTRATA</v>
          </cell>
          <cell r="D153">
            <v>0</v>
          </cell>
          <cell r="E153">
            <v>0</v>
          </cell>
          <cell r="F153">
            <v>0</v>
          </cell>
          <cell r="G153">
            <v>0</v>
          </cell>
          <cell r="H153">
            <v>0</v>
          </cell>
        </row>
        <row r="154">
          <cell r="C154" t="str">
            <v>2.6.8.1.3 - 1.ELABORACION DE EXPEDIENTES TECNICOS</v>
          </cell>
          <cell r="D154">
            <v>250000</v>
          </cell>
          <cell r="E154">
            <v>250000</v>
          </cell>
          <cell r="F154">
            <v>0</v>
          </cell>
          <cell r="G154">
            <v>240998.16</v>
          </cell>
          <cell r="H154">
            <v>9001.8399999999965</v>
          </cell>
        </row>
        <row r="157">
          <cell r="C157" t="str">
            <v>2.6.2.2.2 - 2.COSTO DE CONSTRUCCION POR CONTRATA</v>
          </cell>
          <cell r="D157">
            <v>0</v>
          </cell>
          <cell r="E157">
            <v>0</v>
          </cell>
          <cell r="F157">
            <v>0</v>
          </cell>
          <cell r="G157">
            <v>0</v>
          </cell>
          <cell r="H157">
            <v>0</v>
          </cell>
        </row>
        <row r="158">
          <cell r="C158" t="str">
            <v>2.6.8.1.3 - 1.ELABORACION DE EXPEDIENTES TECNICOS</v>
          </cell>
          <cell r="D158">
            <v>100000</v>
          </cell>
          <cell r="E158">
            <v>98287</v>
          </cell>
          <cell r="F158">
            <v>1713</v>
          </cell>
          <cell r="G158">
            <v>0</v>
          </cell>
          <cell r="H158">
            <v>100000</v>
          </cell>
        </row>
        <row r="161">
          <cell r="C161" t="str">
            <v>2.6.2.2.2 - 2.COSTO DE CONSTRUCCION POR CONTRATA</v>
          </cell>
          <cell r="D161">
            <v>0</v>
          </cell>
          <cell r="E161">
            <v>0</v>
          </cell>
          <cell r="F161">
            <v>0</v>
          </cell>
          <cell r="G161">
            <v>0</v>
          </cell>
          <cell r="H161">
            <v>0</v>
          </cell>
        </row>
        <row r="162">
          <cell r="C162" t="str">
            <v>2.6.8.1.3 - 1.ELABORACION DE EXPEDIENTES TECNICOS</v>
          </cell>
          <cell r="D162">
            <v>350214</v>
          </cell>
          <cell r="E162">
            <v>350214</v>
          </cell>
          <cell r="F162">
            <v>0</v>
          </cell>
          <cell r="G162">
            <v>244639.06</v>
          </cell>
          <cell r="H162">
            <v>105574.94</v>
          </cell>
        </row>
        <row r="165">
          <cell r="C165" t="str">
            <v>2.6.2.2.2 - 2.COSTO DE CONSTRUCCION POR CONTRATA</v>
          </cell>
          <cell r="D165">
            <v>0</v>
          </cell>
          <cell r="E165">
            <v>0</v>
          </cell>
          <cell r="F165">
            <v>0</v>
          </cell>
          <cell r="G165">
            <v>0</v>
          </cell>
          <cell r="H165">
            <v>0</v>
          </cell>
        </row>
        <row r="166">
          <cell r="C166" t="str">
            <v>2.6.8.1.3 - 1.ELABORACION DE EXPEDIENTES TECNICOS</v>
          </cell>
          <cell r="D166">
            <v>0</v>
          </cell>
          <cell r="E166">
            <v>0</v>
          </cell>
          <cell r="F166">
            <v>0</v>
          </cell>
          <cell r="G166">
            <v>0</v>
          </cell>
          <cell r="H166">
            <v>0</v>
          </cell>
        </row>
        <row r="169">
          <cell r="C169" t="str">
            <v>2.6.2.2.2 - 2.COSTO DE CONSTRUCCION POR CONTRATA</v>
          </cell>
          <cell r="D169">
            <v>0</v>
          </cell>
          <cell r="E169">
            <v>0</v>
          </cell>
          <cell r="F169">
            <v>0</v>
          </cell>
          <cell r="G169">
            <v>0</v>
          </cell>
          <cell r="H169">
            <v>0</v>
          </cell>
        </row>
        <row r="170">
          <cell r="C170" t="str">
            <v>2.6.8.1.3 - 1.ELABORACION DE EXPEDIENTES TECNICOS</v>
          </cell>
          <cell r="D170">
            <v>126982</v>
          </cell>
          <cell r="E170">
            <v>126982</v>
          </cell>
          <cell r="F170">
            <v>0</v>
          </cell>
          <cell r="G170">
            <v>120317.20999999999</v>
          </cell>
          <cell r="H170">
            <v>6664.7900000000081</v>
          </cell>
        </row>
        <row r="173">
          <cell r="C173" t="str">
            <v>2.6.2.2.2 - 2.COSTO DE CONSTRUCCION POR CONTRATA</v>
          </cell>
          <cell r="D173">
            <v>0</v>
          </cell>
          <cell r="E173">
            <v>0</v>
          </cell>
          <cell r="F173">
            <v>0</v>
          </cell>
          <cell r="G173">
            <v>0</v>
          </cell>
          <cell r="H173">
            <v>0</v>
          </cell>
        </row>
        <row r="174">
          <cell r="C174" t="str">
            <v>2.6.8.1.3 - 1.ELABORACION DE EXPEDIENTES TECNICOS</v>
          </cell>
          <cell r="D174">
            <v>0</v>
          </cell>
          <cell r="E174">
            <v>0</v>
          </cell>
          <cell r="F174">
            <v>0</v>
          </cell>
          <cell r="G174">
            <v>0</v>
          </cell>
          <cell r="H174">
            <v>0</v>
          </cell>
        </row>
        <row r="177">
          <cell r="C177" t="str">
            <v>2.6.2.2.2 - 2.COSTO DE CONSTRUCCION POR CONTRATA</v>
          </cell>
          <cell r="D177">
            <v>0</v>
          </cell>
          <cell r="E177">
            <v>0</v>
          </cell>
          <cell r="F177">
            <v>0</v>
          </cell>
          <cell r="G177">
            <v>0</v>
          </cell>
          <cell r="H177">
            <v>0</v>
          </cell>
        </row>
        <row r="178">
          <cell r="C178" t="str">
            <v>2.6.8.1.3 - 1.ELABORACION DE EXPEDIENTES TECNICOS</v>
          </cell>
          <cell r="D178">
            <v>112244</v>
          </cell>
          <cell r="E178">
            <v>112243.56</v>
          </cell>
          <cell r="F178">
            <v>0.44000000000232831</v>
          </cell>
          <cell r="G178">
            <v>58311.839999999997</v>
          </cell>
          <cell r="H178">
            <v>53932.160000000003</v>
          </cell>
        </row>
        <row r="181">
          <cell r="C181" t="str">
            <v>2.6.2.2.2 - 2.COSTO DE CONSTRUCCION POR CONTRATA</v>
          </cell>
          <cell r="D181">
            <v>0</v>
          </cell>
          <cell r="E181">
            <v>0</v>
          </cell>
          <cell r="F181">
            <v>0</v>
          </cell>
          <cell r="G181">
            <v>0</v>
          </cell>
          <cell r="H181">
            <v>0</v>
          </cell>
        </row>
        <row r="182">
          <cell r="C182" t="str">
            <v>2.6.8.1.3 - 1.ELABORACION DE EXPEDIENTES TECNICOS</v>
          </cell>
          <cell r="D182">
            <v>164979</v>
          </cell>
          <cell r="E182">
            <v>164373</v>
          </cell>
          <cell r="F182">
            <v>606</v>
          </cell>
          <cell r="G182">
            <v>152477.03999999998</v>
          </cell>
          <cell r="H182">
            <v>12501.960000000021</v>
          </cell>
        </row>
        <row r="185">
          <cell r="C185" t="str">
            <v>2.6.2.2.2 - 2.COSTO DE CONSTRUCCION POR CONTRATA</v>
          </cell>
          <cell r="D185">
            <v>0</v>
          </cell>
          <cell r="E185">
            <v>0</v>
          </cell>
          <cell r="F185">
            <v>0</v>
          </cell>
          <cell r="G185">
            <v>0</v>
          </cell>
          <cell r="H185">
            <v>0</v>
          </cell>
        </row>
        <row r="186">
          <cell r="C186" t="str">
            <v>2.6.8.1.3 - 1.ELABORACION DE EXPEDIENTES TECNICOS</v>
          </cell>
          <cell r="D186">
            <v>99897</v>
          </cell>
          <cell r="E186">
            <v>99879.63</v>
          </cell>
          <cell r="F186">
            <v>17.369999999995343</v>
          </cell>
          <cell r="G186">
            <v>91645.049999999988</v>
          </cell>
          <cell r="H186">
            <v>8251.9500000000116</v>
          </cell>
        </row>
        <row r="189">
          <cell r="C189" t="str">
            <v>2.6.2.2.2 - 2.COSTO DE CONSTRUCCION POR CONTRATA</v>
          </cell>
          <cell r="D189">
            <v>0</v>
          </cell>
          <cell r="E189">
            <v>0</v>
          </cell>
          <cell r="F189">
            <v>0</v>
          </cell>
          <cell r="G189">
            <v>0</v>
          </cell>
          <cell r="H189">
            <v>0</v>
          </cell>
        </row>
        <row r="190">
          <cell r="C190" t="str">
            <v>2.6.8.1.3 - 1.ELABORACION DE EXPEDIENTES TECNICOS</v>
          </cell>
          <cell r="D190">
            <v>250000</v>
          </cell>
          <cell r="E190">
            <v>250000</v>
          </cell>
          <cell r="F190">
            <v>0</v>
          </cell>
          <cell r="G190">
            <v>165235.16999999998</v>
          </cell>
          <cell r="H190">
            <v>84764.830000000016</v>
          </cell>
        </row>
        <row r="193">
          <cell r="C193" t="str">
            <v>2.6.2.2.2 - 2.COSTO DE CONSTRUCCION POR CONTRATA</v>
          </cell>
          <cell r="D193">
            <v>0</v>
          </cell>
          <cell r="E193">
            <v>0</v>
          </cell>
          <cell r="F193">
            <v>0</v>
          </cell>
          <cell r="G193">
            <v>0</v>
          </cell>
          <cell r="H193">
            <v>0</v>
          </cell>
        </row>
        <row r="194">
          <cell r="C194" t="str">
            <v>2.6.8.1.3 - 1.ELABORACION DE EXPEDIENTES TECNICOS</v>
          </cell>
          <cell r="D194">
            <v>0</v>
          </cell>
          <cell r="E194">
            <v>0</v>
          </cell>
          <cell r="F194">
            <v>0</v>
          </cell>
          <cell r="G194">
            <v>0</v>
          </cell>
          <cell r="H194">
            <v>0</v>
          </cell>
        </row>
        <row r="197">
          <cell r="C197" t="str">
            <v>2.6.2.3.9 - 2.COSTO DE CONSTRUCCION POR CONTRATA</v>
          </cell>
          <cell r="D197">
            <v>0</v>
          </cell>
          <cell r="E197">
            <v>0</v>
          </cell>
          <cell r="F197">
            <v>0</v>
          </cell>
          <cell r="G197">
            <v>0</v>
          </cell>
          <cell r="H197">
            <v>0</v>
          </cell>
        </row>
        <row r="198">
          <cell r="C198" t="str">
            <v>2.6.8.1.3 - 1.ELABORACION DE EXPEDIENTES TECNICOS</v>
          </cell>
          <cell r="D198">
            <v>48882</v>
          </cell>
          <cell r="E198">
            <v>30000</v>
          </cell>
          <cell r="F198">
            <v>18882</v>
          </cell>
          <cell r="G198">
            <v>0</v>
          </cell>
          <cell r="H198">
            <v>48882</v>
          </cell>
        </row>
        <row r="201">
          <cell r="C201" t="str">
            <v>2.6.2.3.9 - 2.COSTO DE CONSTRUCCION POR CONTRATA</v>
          </cell>
          <cell r="D201">
            <v>0</v>
          </cell>
          <cell r="E201">
            <v>0</v>
          </cell>
          <cell r="F201">
            <v>0</v>
          </cell>
          <cell r="G201">
            <v>0</v>
          </cell>
          <cell r="H201">
            <v>0</v>
          </cell>
        </row>
        <row r="202">
          <cell r="C202" t="str">
            <v>2.6.8.1.3 - 1.ELABORACION DE EXPEDIENTES TECNICOS</v>
          </cell>
          <cell r="D202">
            <v>25425</v>
          </cell>
          <cell r="E202">
            <v>0</v>
          </cell>
          <cell r="F202">
            <v>25425</v>
          </cell>
          <cell r="G202">
            <v>0</v>
          </cell>
          <cell r="H202">
            <v>25425</v>
          </cell>
        </row>
        <row r="205">
          <cell r="C205" t="str">
            <v>2.6.2.3.9 - 2.COSTO DE CONSTRUCCION POR CONTRATA</v>
          </cell>
          <cell r="D205">
            <v>0</v>
          </cell>
          <cell r="E205">
            <v>0</v>
          </cell>
          <cell r="F205">
            <v>0</v>
          </cell>
          <cell r="G205">
            <v>0</v>
          </cell>
          <cell r="H205">
            <v>0</v>
          </cell>
        </row>
        <row r="206">
          <cell r="C206" t="str">
            <v>2.6.8.1.3 - 1.ELABORACION DE EXPEDIENTES TECNICOS</v>
          </cell>
          <cell r="D206">
            <v>50000</v>
          </cell>
          <cell r="E206">
            <v>50000</v>
          </cell>
          <cell r="F206">
            <v>0</v>
          </cell>
          <cell r="G206">
            <v>47967.16</v>
          </cell>
          <cell r="H206">
            <v>2032.8399999999965</v>
          </cell>
        </row>
        <row r="209">
          <cell r="C209" t="str">
            <v>2.6.2.2.2 - 2.COSTO DE CONSTRUCCION POR CONTRATA</v>
          </cell>
          <cell r="D209">
            <v>0</v>
          </cell>
          <cell r="E209">
            <v>0</v>
          </cell>
          <cell r="F209">
            <v>0</v>
          </cell>
          <cell r="G209">
            <v>0</v>
          </cell>
          <cell r="H209">
            <v>0</v>
          </cell>
        </row>
        <row r="210">
          <cell r="C210" t="str">
            <v>2.6.8.1.3 - 1.ELABORACION DE EXPEDIENTES TECNICOS</v>
          </cell>
          <cell r="D210">
            <v>100000</v>
          </cell>
          <cell r="E210">
            <v>50000</v>
          </cell>
          <cell r="F210">
            <v>50000</v>
          </cell>
          <cell r="G210">
            <v>0</v>
          </cell>
          <cell r="H210">
            <v>100000</v>
          </cell>
        </row>
        <row r="213">
          <cell r="C213" t="str">
            <v>2.6.2.2.2 - 2.COSTO DE CONSTRUCCION POR CONTRATA</v>
          </cell>
          <cell r="D213">
            <v>0</v>
          </cell>
          <cell r="E213">
            <v>0</v>
          </cell>
          <cell r="F213">
            <v>0</v>
          </cell>
          <cell r="G213">
            <v>0</v>
          </cell>
          <cell r="H213">
            <v>0</v>
          </cell>
        </row>
        <row r="214">
          <cell r="C214" t="str">
            <v>2.6.8.1.3 - 1.ELABORACION DE EXPEDIENTES TECNICOS</v>
          </cell>
          <cell r="D214">
            <v>408761</v>
          </cell>
          <cell r="E214">
            <v>356083</v>
          </cell>
          <cell r="F214">
            <v>52678</v>
          </cell>
          <cell r="G214">
            <v>191885.63</v>
          </cell>
          <cell r="H214">
            <v>216875.37</v>
          </cell>
        </row>
        <row r="217">
          <cell r="C217" t="str">
            <v>2.6.2.3.2 - 3.COSTO DE CONSTRUCCION POR CONTRATA</v>
          </cell>
          <cell r="D217">
            <v>0</v>
          </cell>
          <cell r="E217">
            <v>0</v>
          </cell>
          <cell r="F217">
            <v>0</v>
          </cell>
          <cell r="G217">
            <v>0</v>
          </cell>
          <cell r="H217">
            <v>0</v>
          </cell>
        </row>
        <row r="218">
          <cell r="C218" t="str">
            <v>2.6.8.1.3 - 1.ELABORACION DE EXPEDIENTES TECNICOS</v>
          </cell>
          <cell r="D218">
            <v>350198</v>
          </cell>
          <cell r="E218">
            <v>287570</v>
          </cell>
          <cell r="F218">
            <v>62628</v>
          </cell>
          <cell r="G218">
            <v>225625.48</v>
          </cell>
          <cell r="H218">
            <v>124572.51999999999</v>
          </cell>
        </row>
        <row r="221">
          <cell r="C221" t="str">
            <v>2.6.2.3.2 - 3.COSTO DE CONSTRUCCION POR CONTRATA</v>
          </cell>
          <cell r="D221">
            <v>0</v>
          </cell>
          <cell r="E221">
            <v>0</v>
          </cell>
          <cell r="F221">
            <v>0</v>
          </cell>
          <cell r="G221">
            <v>0</v>
          </cell>
          <cell r="H221">
            <v>0</v>
          </cell>
        </row>
        <row r="227">
          <cell r="C227" t="str">
            <v>2.6.2.3.2 - 5.COSTO DE CONSTRUCCION POR ADMINISTRACION DIRECTA - BIENES</v>
          </cell>
          <cell r="D227">
            <v>262341</v>
          </cell>
          <cell r="E227">
            <v>0</v>
          </cell>
          <cell r="F227">
            <v>262341</v>
          </cell>
          <cell r="G227">
            <v>0</v>
          </cell>
          <cell r="H227">
            <v>262341</v>
          </cell>
        </row>
        <row r="229">
          <cell r="C229" t="str">
            <v>2.6.2.3.2 - 3.COSTO DE CONSTRUCCION POR CONTRATA</v>
          </cell>
          <cell r="D229">
            <v>0</v>
          </cell>
          <cell r="E229">
            <v>0</v>
          </cell>
          <cell r="F229">
            <v>0</v>
          </cell>
          <cell r="G229">
            <v>0</v>
          </cell>
          <cell r="H229">
            <v>0</v>
          </cell>
        </row>
        <row r="233">
          <cell r="C233" t="str">
            <v>2.6.2.3.2 - 3.COSTO DE CONSTRUCCION POR CONTRATA</v>
          </cell>
          <cell r="D233">
            <v>45608</v>
          </cell>
          <cell r="E233">
            <v>0</v>
          </cell>
          <cell r="F233">
            <v>45608</v>
          </cell>
          <cell r="G233">
            <v>0</v>
          </cell>
          <cell r="H233">
            <v>45608</v>
          </cell>
        </row>
        <row r="234">
          <cell r="C234" t="str">
            <v>2.6.8.1.3 - 1.ELABORACION DE EXPEDIENTES TECNICOS</v>
          </cell>
          <cell r="D234">
            <v>151216</v>
          </cell>
          <cell r="E234">
            <v>0</v>
          </cell>
          <cell r="F234">
            <v>151216</v>
          </cell>
          <cell r="G234">
            <v>0</v>
          </cell>
          <cell r="H234">
            <v>151216</v>
          </cell>
        </row>
        <row r="237">
          <cell r="C237" t="str">
            <v>2.6.2.3.2 - 3.COSTO DE CONSTRUCCION POR CONTRATA</v>
          </cell>
          <cell r="D237">
            <v>0</v>
          </cell>
          <cell r="E237">
            <v>0</v>
          </cell>
          <cell r="F237">
            <v>0</v>
          </cell>
          <cell r="G237">
            <v>0</v>
          </cell>
          <cell r="H237">
            <v>0</v>
          </cell>
        </row>
        <row r="238">
          <cell r="C238" t="str">
            <v>2.6.8.1.3 - 1.ELABORACION DE EXPEDIENTES TECNICOS</v>
          </cell>
          <cell r="D238">
            <v>100000</v>
          </cell>
          <cell r="E238">
            <v>20000</v>
          </cell>
          <cell r="F238">
            <v>80000</v>
          </cell>
          <cell r="G238">
            <v>13772.3</v>
          </cell>
          <cell r="H238">
            <v>86227.7</v>
          </cell>
        </row>
        <row r="241">
          <cell r="C241" t="str">
            <v>2.6.2.3.2 - 3.COSTO DE CONSTRUCCION POR CONTRATA</v>
          </cell>
          <cell r="D241">
            <v>0</v>
          </cell>
          <cell r="E241">
            <v>0</v>
          </cell>
          <cell r="F241">
            <v>0</v>
          </cell>
          <cell r="G241">
            <v>0</v>
          </cell>
          <cell r="H241">
            <v>0</v>
          </cell>
        </row>
        <row r="242">
          <cell r="C242" t="str">
            <v>2.6.8.1.3 - 1.ELABORACION DE EXPEDIENTES TECNICOS</v>
          </cell>
          <cell r="D242">
            <v>391951</v>
          </cell>
          <cell r="E242">
            <v>130000</v>
          </cell>
          <cell r="F242">
            <v>261951</v>
          </cell>
          <cell r="G242">
            <v>0</v>
          </cell>
          <cell r="H242">
            <v>391951</v>
          </cell>
        </row>
        <row r="245">
          <cell r="C245" t="str">
            <v>2.6.2.3.2 - 3.COSTO DE CONSTRUCCION POR CONTRATA</v>
          </cell>
          <cell r="D245">
            <v>0</v>
          </cell>
          <cell r="E245">
            <v>0</v>
          </cell>
          <cell r="F245">
            <v>0</v>
          </cell>
          <cell r="G245">
            <v>0</v>
          </cell>
          <cell r="H245">
            <v>0</v>
          </cell>
        </row>
        <row r="249">
          <cell r="C249" t="str">
            <v>2.6.2.3.2 - 3.COSTO DE CONSTRUCCION POR CONTRATA</v>
          </cell>
          <cell r="D249">
            <v>0</v>
          </cell>
          <cell r="E249">
            <v>0</v>
          </cell>
          <cell r="F249">
            <v>0</v>
          </cell>
          <cell r="G249">
            <v>0</v>
          </cell>
          <cell r="H249">
            <v>0</v>
          </cell>
        </row>
        <row r="250">
          <cell r="C250" t="str">
            <v>2.6.8.1.3 - 1.ELABORACION DE EXPEDIENTES TECNICOS</v>
          </cell>
          <cell r="D250">
            <v>171047</v>
          </cell>
          <cell r="E250">
            <v>170547</v>
          </cell>
          <cell r="F250">
            <v>500</v>
          </cell>
          <cell r="G250">
            <v>104642.82</v>
          </cell>
          <cell r="H250">
            <v>66404.179999999993</v>
          </cell>
        </row>
        <row r="253">
          <cell r="C253" t="str">
            <v>2.6.2.3.2 - 3.COSTO DE CONSTRUCCION POR CONTRATA</v>
          </cell>
          <cell r="D253">
            <v>0</v>
          </cell>
          <cell r="E253">
            <v>0</v>
          </cell>
          <cell r="F253">
            <v>0</v>
          </cell>
          <cell r="G253">
            <v>0</v>
          </cell>
          <cell r="H253">
            <v>0</v>
          </cell>
        </row>
        <row r="254">
          <cell r="C254" t="str">
            <v>2.6.8.1.3 - 1.ELABORACION DE EXPEDIENTES TECNICOS</v>
          </cell>
          <cell r="D254">
            <v>840279</v>
          </cell>
          <cell r="E254">
            <v>588334</v>
          </cell>
          <cell r="F254">
            <v>251945</v>
          </cell>
          <cell r="G254">
            <v>459222.51</v>
          </cell>
          <cell r="H254">
            <v>381056.49</v>
          </cell>
        </row>
        <row r="257">
          <cell r="C257" t="str">
            <v>2.6.2.3.2 - 3.COSTO DE CONSTRUCCION POR CONTRATA</v>
          </cell>
          <cell r="D257">
            <v>500000</v>
          </cell>
          <cell r="E257">
            <v>0</v>
          </cell>
          <cell r="F257">
            <v>500000</v>
          </cell>
          <cell r="G257">
            <v>0</v>
          </cell>
          <cell r="H257">
            <v>500000</v>
          </cell>
        </row>
        <row r="258">
          <cell r="C258" t="str">
            <v>2.6.8.1.3 - 1.ELABORACION DE EXPEDIENTES TECNICOS</v>
          </cell>
          <cell r="D258">
            <v>174368</v>
          </cell>
          <cell r="E258">
            <v>173868</v>
          </cell>
          <cell r="F258">
            <v>500</v>
          </cell>
          <cell r="G258">
            <v>97687.86</v>
          </cell>
          <cell r="H258">
            <v>76680.14</v>
          </cell>
        </row>
        <row r="261">
          <cell r="C261" t="str">
            <v>2.6.2.3.2 - 3.COSTO DE CONSTRUCCION POR CONTRATA</v>
          </cell>
          <cell r="D261">
            <v>0</v>
          </cell>
          <cell r="E261">
            <v>0</v>
          </cell>
          <cell r="F261">
            <v>0</v>
          </cell>
          <cell r="G261">
            <v>0</v>
          </cell>
          <cell r="H261">
            <v>0</v>
          </cell>
        </row>
        <row r="262">
          <cell r="C262" t="str">
            <v>2.6.8.1.3 - 1.ELABORACION DE EXPEDIENTES TECNICOS</v>
          </cell>
          <cell r="D262">
            <v>520686</v>
          </cell>
          <cell r="E262">
            <v>519936</v>
          </cell>
          <cell r="F262">
            <v>750</v>
          </cell>
          <cell r="G262">
            <v>435290.95000000007</v>
          </cell>
          <cell r="H262">
            <v>85395.04999999993</v>
          </cell>
        </row>
        <row r="265">
          <cell r="C265" t="str">
            <v>2.6.2.2.3 - 2.COSTO DE CONSTRUCCION POR CONTRATA</v>
          </cell>
          <cell r="D265">
            <v>0</v>
          </cell>
          <cell r="E265">
            <v>0</v>
          </cell>
          <cell r="F265">
            <v>0</v>
          </cell>
          <cell r="G265">
            <v>0</v>
          </cell>
          <cell r="H265">
            <v>0</v>
          </cell>
        </row>
        <row r="266">
          <cell r="C266" t="str">
            <v>2.6.2.3.2 - 3.COSTO DE CONSTRUCCION POR CONTRATA</v>
          </cell>
          <cell r="D266">
            <v>0</v>
          </cell>
          <cell r="E266">
            <v>0</v>
          </cell>
          <cell r="F266">
            <v>0</v>
          </cell>
          <cell r="G266">
            <v>0</v>
          </cell>
          <cell r="H266">
            <v>0</v>
          </cell>
        </row>
        <row r="267">
          <cell r="C267" t="str">
            <v>2.6.8.1.3 - 1.ELABORACION DE EXPEDIENTES TECNICOS</v>
          </cell>
          <cell r="D267">
            <v>321536</v>
          </cell>
          <cell r="E267">
            <v>319536</v>
          </cell>
          <cell r="F267">
            <v>2000</v>
          </cell>
          <cell r="G267">
            <v>219666.12</v>
          </cell>
          <cell r="H267">
            <v>101869.88</v>
          </cell>
        </row>
        <row r="269">
          <cell r="C269" t="str">
            <v>2.6.2.3.2 - 3.COSTO DE CONSTRUCCION POR CONTRATA</v>
          </cell>
          <cell r="D269">
            <v>0</v>
          </cell>
          <cell r="E269">
            <v>0</v>
          </cell>
          <cell r="F269">
            <v>0</v>
          </cell>
          <cell r="G269">
            <v>0</v>
          </cell>
          <cell r="H269">
            <v>0</v>
          </cell>
        </row>
        <row r="270">
          <cell r="C270" t="str">
            <v>2.6.8.1.3 - 1.ELABORACION DE EXPEDIENTES TECNICOS</v>
          </cell>
          <cell r="D270">
            <v>230847</v>
          </cell>
          <cell r="E270">
            <v>230597</v>
          </cell>
          <cell r="F270">
            <v>250</v>
          </cell>
          <cell r="G270">
            <v>149795.84000000003</v>
          </cell>
          <cell r="H270">
            <v>81051.159999999974</v>
          </cell>
        </row>
        <row r="273">
          <cell r="C273" t="str">
            <v>2.6.2.3.2 - 3.COSTO DE CONSTRUCCION POR CONTRATA</v>
          </cell>
          <cell r="D273">
            <v>0</v>
          </cell>
          <cell r="E273">
            <v>0</v>
          </cell>
          <cell r="F273">
            <v>0</v>
          </cell>
          <cell r="G273">
            <v>0</v>
          </cell>
          <cell r="H273">
            <v>0</v>
          </cell>
        </row>
        <row r="274">
          <cell r="C274" t="str">
            <v>2.6.8.1.3 - 1.ELABORACION DE EXPEDIENTES TECNICOS</v>
          </cell>
          <cell r="D274">
            <v>349206</v>
          </cell>
          <cell r="E274">
            <v>243147.4</v>
          </cell>
          <cell r="F274">
            <v>106058.6</v>
          </cell>
          <cell r="G274">
            <v>203537.66999999998</v>
          </cell>
          <cell r="H274">
            <v>145668.33000000002</v>
          </cell>
        </row>
        <row r="277">
          <cell r="C277" t="str">
            <v>2.6.2.3.2 - 3.COSTO DE CONSTRUCCION POR CONTRATA</v>
          </cell>
          <cell r="D277">
            <v>0</v>
          </cell>
          <cell r="E277">
            <v>0</v>
          </cell>
          <cell r="F277">
            <v>0</v>
          </cell>
          <cell r="G277">
            <v>0</v>
          </cell>
          <cell r="H277">
            <v>0</v>
          </cell>
        </row>
        <row r="278">
          <cell r="C278" t="str">
            <v>2.6.8.1.3 - 1.ELABORACION DE EXPEDIENTES TECNICOS</v>
          </cell>
          <cell r="D278">
            <v>239379</v>
          </cell>
          <cell r="E278">
            <v>206500</v>
          </cell>
          <cell r="F278">
            <v>32879</v>
          </cell>
          <cell r="G278">
            <v>87235.37</v>
          </cell>
          <cell r="H278">
            <v>152143.63</v>
          </cell>
        </row>
        <row r="281">
          <cell r="C281" t="str">
            <v>2.6.2.3.2 - 3.COSTO DE CONSTRUCCION POR CONTRATA</v>
          </cell>
          <cell r="D281">
            <v>0</v>
          </cell>
          <cell r="E281">
            <v>0</v>
          </cell>
          <cell r="F281">
            <v>0</v>
          </cell>
          <cell r="G281">
            <v>0</v>
          </cell>
          <cell r="H281">
            <v>0</v>
          </cell>
        </row>
        <row r="282">
          <cell r="C282" t="str">
            <v>2.6.8.1.3 - 1.ELABORACION DE EXPEDIENTES TECNICOS</v>
          </cell>
          <cell r="D282">
            <v>118786</v>
          </cell>
          <cell r="E282">
            <v>112400</v>
          </cell>
          <cell r="F282">
            <v>6386</v>
          </cell>
          <cell r="G282">
            <v>73781.179999999993</v>
          </cell>
          <cell r="H282">
            <v>45004.820000000007</v>
          </cell>
        </row>
        <row r="285">
          <cell r="C285" t="str">
            <v>2.6.2.3.2 - 3.COSTO DE CONSTRUCCION POR CONTRATA</v>
          </cell>
          <cell r="D285">
            <v>0</v>
          </cell>
          <cell r="E285">
            <v>0</v>
          </cell>
          <cell r="F285">
            <v>0</v>
          </cell>
          <cell r="G285">
            <v>0</v>
          </cell>
          <cell r="H285">
            <v>0</v>
          </cell>
        </row>
        <row r="286">
          <cell r="C286" t="str">
            <v>2.6.8.1.3 - 1.ELABORACION DE EXPEDIENTES TECNICOS</v>
          </cell>
          <cell r="D286">
            <v>141416</v>
          </cell>
          <cell r="E286">
            <v>130450</v>
          </cell>
          <cell r="F286">
            <v>10966</v>
          </cell>
          <cell r="G286">
            <v>91615.61</v>
          </cell>
          <cell r="H286">
            <v>49800.39</v>
          </cell>
        </row>
        <row r="289">
          <cell r="C289" t="str">
            <v>2.6.2.3.2 - 3.COSTO DE CONSTRUCCION POR CONTRATA</v>
          </cell>
          <cell r="D289">
            <v>0</v>
          </cell>
          <cell r="E289">
            <v>0</v>
          </cell>
          <cell r="F289">
            <v>0</v>
          </cell>
          <cell r="G289">
            <v>0</v>
          </cell>
          <cell r="H289">
            <v>0</v>
          </cell>
        </row>
        <row r="290">
          <cell r="C290" t="str">
            <v>2.6.8.1.3 - 1.ELABORACION DE EXPEDIENTES TECNICOS</v>
          </cell>
          <cell r="D290">
            <v>230550</v>
          </cell>
          <cell r="E290">
            <v>189499</v>
          </cell>
          <cell r="F290">
            <v>41051</v>
          </cell>
          <cell r="G290">
            <v>133985.88</v>
          </cell>
          <cell r="H290">
            <v>96564.12</v>
          </cell>
        </row>
        <row r="293">
          <cell r="C293" t="str">
            <v>2.6.2.3.2 - 3.COSTO DE CONSTRUCCION POR CONTRATA</v>
          </cell>
          <cell r="D293">
            <v>0</v>
          </cell>
          <cell r="E293">
            <v>0</v>
          </cell>
          <cell r="F293">
            <v>0</v>
          </cell>
          <cell r="G293">
            <v>0</v>
          </cell>
          <cell r="H293">
            <v>0</v>
          </cell>
        </row>
        <row r="294">
          <cell r="C294" t="str">
            <v>2.6.8.1.3 - 1.ELABORACION DE EXPEDIENTES TECNICOS</v>
          </cell>
          <cell r="D294">
            <v>490000</v>
          </cell>
          <cell r="E294">
            <v>490000</v>
          </cell>
          <cell r="F294">
            <v>0</v>
          </cell>
          <cell r="G294">
            <v>334344.42000000004</v>
          </cell>
          <cell r="H294">
            <v>155655.57999999996</v>
          </cell>
        </row>
        <row r="297">
          <cell r="C297" t="str">
            <v>2.6.2.3.2 - 3.COSTO DE CONSTRUCCION POR CONTRATA</v>
          </cell>
          <cell r="D297">
            <v>0</v>
          </cell>
          <cell r="E297">
            <v>0</v>
          </cell>
          <cell r="F297">
            <v>0</v>
          </cell>
          <cell r="G297">
            <v>0</v>
          </cell>
          <cell r="H297">
            <v>0</v>
          </cell>
        </row>
        <row r="298">
          <cell r="C298" t="str">
            <v>2.6.8.1.3 - 1.ELABORACION DE EXPEDIENTES TECNICOS</v>
          </cell>
          <cell r="D298">
            <v>0</v>
          </cell>
          <cell r="E298">
            <v>0</v>
          </cell>
          <cell r="F298">
            <v>0</v>
          </cell>
          <cell r="G298">
            <v>0</v>
          </cell>
          <cell r="H298">
            <v>0</v>
          </cell>
        </row>
        <row r="301">
          <cell r="C301" t="str">
            <v>2.6.2.3.2 - 3.COSTO DE CONSTRUCCION POR CONTRATA</v>
          </cell>
          <cell r="D301">
            <v>0</v>
          </cell>
          <cell r="E301">
            <v>0</v>
          </cell>
          <cell r="F301">
            <v>0</v>
          </cell>
          <cell r="G301">
            <v>0</v>
          </cell>
          <cell r="H301">
            <v>0</v>
          </cell>
        </row>
        <row r="302">
          <cell r="C302" t="str">
            <v>2.6.8.1.3 - 1.ELABORACION DE EXPEDIENTES TECNICOS</v>
          </cell>
          <cell r="D302">
            <v>350000</v>
          </cell>
          <cell r="E302">
            <v>350000</v>
          </cell>
          <cell r="F302">
            <v>0</v>
          </cell>
          <cell r="G302">
            <v>145642.76999999999</v>
          </cell>
          <cell r="H302">
            <v>204357.23</v>
          </cell>
        </row>
        <row r="305">
          <cell r="C305" t="str">
            <v>2.6.2.3.2 - 3.COSTO DE CONSTRUCCION POR CONTRATA</v>
          </cell>
          <cell r="D305">
            <v>0</v>
          </cell>
          <cell r="E305">
            <v>0</v>
          </cell>
          <cell r="F305">
            <v>0</v>
          </cell>
          <cell r="G305">
            <v>0</v>
          </cell>
          <cell r="H305">
            <v>0</v>
          </cell>
        </row>
        <row r="306">
          <cell r="C306" t="str">
            <v>2.6.8.1.3 - 1.ELABORACION DE EXPEDIENTES TECNICOS</v>
          </cell>
          <cell r="D306">
            <v>550000</v>
          </cell>
          <cell r="E306">
            <v>547400</v>
          </cell>
          <cell r="F306">
            <v>2600</v>
          </cell>
          <cell r="G306">
            <v>231637.81</v>
          </cell>
          <cell r="H306">
            <v>318362.19</v>
          </cell>
        </row>
        <row r="309">
          <cell r="C309" t="str">
            <v>2.6.2.3.2 - 3.COSTO DE CONSTRUCCION POR CONTRATA</v>
          </cell>
          <cell r="D309">
            <v>0</v>
          </cell>
          <cell r="E309">
            <v>0</v>
          </cell>
          <cell r="F309">
            <v>0</v>
          </cell>
          <cell r="G309">
            <v>0</v>
          </cell>
          <cell r="H309">
            <v>0</v>
          </cell>
        </row>
        <row r="310">
          <cell r="C310" t="str">
            <v>2.6.8.1.3 - 1.ELABORACION DE EXPEDIENTES TECNICOS</v>
          </cell>
          <cell r="D310">
            <v>75173</v>
          </cell>
          <cell r="E310">
            <v>75173</v>
          </cell>
          <cell r="F310">
            <v>0</v>
          </cell>
          <cell r="G310">
            <v>59170.239999999998</v>
          </cell>
          <cell r="H310">
            <v>16002.760000000002</v>
          </cell>
        </row>
        <row r="313">
          <cell r="C313" t="str">
            <v>2.6.2.3.2 - 3.COSTO DE CONSTRUCCION POR CONTRATA</v>
          </cell>
          <cell r="D313">
            <v>0</v>
          </cell>
          <cell r="E313">
            <v>0</v>
          </cell>
          <cell r="F313">
            <v>0</v>
          </cell>
          <cell r="G313">
            <v>0</v>
          </cell>
          <cell r="H313">
            <v>0</v>
          </cell>
        </row>
        <row r="314">
          <cell r="C314" t="str">
            <v>2.6.8.1.3 - 1.ELABORACION DE EXPEDIENTES TECNICOS</v>
          </cell>
          <cell r="D314">
            <v>0</v>
          </cell>
          <cell r="E314">
            <v>0</v>
          </cell>
          <cell r="F314">
            <v>0</v>
          </cell>
          <cell r="G314">
            <v>0</v>
          </cell>
          <cell r="H314">
            <v>0</v>
          </cell>
        </row>
        <row r="317">
          <cell r="C317" t="str">
            <v>2.6.2.3.2 - 3.COSTO DE CONSTRUCCION POR CONTRATA</v>
          </cell>
          <cell r="D317">
            <v>0</v>
          </cell>
          <cell r="E317">
            <v>0</v>
          </cell>
          <cell r="F317">
            <v>0</v>
          </cell>
          <cell r="G317">
            <v>0</v>
          </cell>
          <cell r="H317">
            <v>0</v>
          </cell>
        </row>
        <row r="318">
          <cell r="C318" t="str">
            <v>2.6.8.1.3 - 1.ELABORACION DE EXPEDIENTES TECNICOS</v>
          </cell>
          <cell r="D318">
            <v>0</v>
          </cell>
          <cell r="E318">
            <v>0</v>
          </cell>
          <cell r="F318">
            <v>0</v>
          </cell>
          <cell r="G318">
            <v>0</v>
          </cell>
          <cell r="H318">
            <v>0</v>
          </cell>
        </row>
        <row r="321">
          <cell r="C321" t="str">
            <v>2.6.2.3.2 - 3.COSTO DE CONSTRUCCION POR CONTRATA</v>
          </cell>
          <cell r="D321">
            <v>0</v>
          </cell>
          <cell r="E321">
            <v>0</v>
          </cell>
          <cell r="F321">
            <v>0</v>
          </cell>
          <cell r="G321">
            <v>0</v>
          </cell>
          <cell r="H321">
            <v>0</v>
          </cell>
        </row>
        <row r="322">
          <cell r="C322" t="str">
            <v>2.6.8.1.3 - 1.ELABORACION DE EXPEDIENTES TECNICOS</v>
          </cell>
          <cell r="D322">
            <v>330710</v>
          </cell>
          <cell r="E322">
            <v>275398.95</v>
          </cell>
          <cell r="F322">
            <v>55311.049999999988</v>
          </cell>
          <cell r="G322">
            <v>182886.54</v>
          </cell>
          <cell r="H322">
            <v>147823.46</v>
          </cell>
        </row>
        <row r="323">
          <cell r="C323" t="str">
            <v>2.6.8.1.4 - 1.GASTO POR LA CONTRATACION DE PERSONAL</v>
          </cell>
          <cell r="D323">
            <v>0</v>
          </cell>
          <cell r="E323">
            <v>0</v>
          </cell>
          <cell r="F323">
            <v>0</v>
          </cell>
          <cell r="G323">
            <v>0</v>
          </cell>
          <cell r="H323">
            <v>0</v>
          </cell>
        </row>
        <row r="325">
          <cell r="C325" t="str">
            <v>2.6.2.3.9 - 2.COSTO DE CONSTRUCCION POR CONTRATA</v>
          </cell>
          <cell r="D325">
            <v>0</v>
          </cell>
          <cell r="E325">
            <v>0</v>
          </cell>
          <cell r="F325">
            <v>0</v>
          </cell>
          <cell r="G325">
            <v>0</v>
          </cell>
          <cell r="H325">
            <v>0</v>
          </cell>
        </row>
        <row r="326">
          <cell r="C326" t="str">
            <v>2.6.8.1.3 - 1.ELABORACION DE EXPEDIENTES TECNICOS</v>
          </cell>
          <cell r="D326">
            <v>50000</v>
          </cell>
          <cell r="E326">
            <v>49980</v>
          </cell>
          <cell r="F326">
            <v>20</v>
          </cell>
          <cell r="G326">
            <v>49974.770000000004</v>
          </cell>
          <cell r="H326">
            <v>25.229999999995925</v>
          </cell>
        </row>
        <row r="329">
          <cell r="C329" t="str">
            <v>2.6.2.3.2 - 3.COSTO DE CONSTRUCCION POR CONTRATA</v>
          </cell>
          <cell r="D329">
            <v>0</v>
          </cell>
          <cell r="E329">
            <v>0</v>
          </cell>
          <cell r="F329">
            <v>0</v>
          </cell>
          <cell r="G329">
            <v>0</v>
          </cell>
          <cell r="H329">
            <v>0</v>
          </cell>
        </row>
        <row r="330">
          <cell r="C330" t="str">
            <v>2.6.8.1.3 - 1.ELABORACION DE EXPEDIENTES TECNICOS</v>
          </cell>
          <cell r="D330">
            <v>278409</v>
          </cell>
          <cell r="E330">
            <v>278409</v>
          </cell>
          <cell r="F330">
            <v>0</v>
          </cell>
          <cell r="G330">
            <v>202805.9</v>
          </cell>
          <cell r="H330">
            <v>75603.100000000006</v>
          </cell>
        </row>
        <row r="333">
          <cell r="C333" t="str">
            <v>2.6.2.3.2 - 3.COSTO DE CONSTRUCCION POR CONTRATA</v>
          </cell>
          <cell r="D333">
            <v>0</v>
          </cell>
          <cell r="E333">
            <v>0</v>
          </cell>
          <cell r="F333">
            <v>0</v>
          </cell>
          <cell r="G333">
            <v>0</v>
          </cell>
          <cell r="H333">
            <v>0</v>
          </cell>
        </row>
        <row r="334">
          <cell r="C334" t="str">
            <v>2.6.8.1.3 - 1.ELABORACION DE EXPEDIENTES TECNICOS</v>
          </cell>
          <cell r="D334">
            <v>347083</v>
          </cell>
          <cell r="E334">
            <v>346214.6</v>
          </cell>
          <cell r="F334">
            <v>868.40000000002328</v>
          </cell>
          <cell r="G334">
            <v>229284.11000000002</v>
          </cell>
          <cell r="H334">
            <v>117798.88999999998</v>
          </cell>
        </row>
        <row r="337">
          <cell r="C337" t="str">
            <v>2.6.2.3.2 - 3.COSTO DE CONSTRUCCION POR CONTRATA</v>
          </cell>
          <cell r="D337">
            <v>0</v>
          </cell>
          <cell r="E337">
            <v>0</v>
          </cell>
          <cell r="F337">
            <v>0</v>
          </cell>
          <cell r="G337">
            <v>0</v>
          </cell>
          <cell r="H337">
            <v>0</v>
          </cell>
        </row>
        <row r="338">
          <cell r="C338" t="str">
            <v>2.6.8.1.3 - 1.ELABORACION DE EXPEDIENTES TECNICOS</v>
          </cell>
          <cell r="D338">
            <v>159651</v>
          </cell>
          <cell r="E338">
            <v>151653</v>
          </cell>
          <cell r="F338">
            <v>7998</v>
          </cell>
          <cell r="G338">
            <v>12000</v>
          </cell>
          <cell r="H338">
            <v>147651</v>
          </cell>
        </row>
        <row r="341">
          <cell r="C341" t="str">
            <v>2.6.2.3.2 - 3.COSTO DE CONSTRUCCION POR CONTRATA</v>
          </cell>
          <cell r="D341">
            <v>0</v>
          </cell>
          <cell r="E341">
            <v>0</v>
          </cell>
          <cell r="F341">
            <v>0</v>
          </cell>
          <cell r="G341">
            <v>0</v>
          </cell>
          <cell r="H341">
            <v>0</v>
          </cell>
        </row>
        <row r="342">
          <cell r="C342" t="str">
            <v>2.6.8.1.3 - 1.ELABORACION DE EXPEDIENTES TECNICOS</v>
          </cell>
          <cell r="D342">
            <v>612293</v>
          </cell>
          <cell r="E342">
            <v>612293</v>
          </cell>
          <cell r="F342">
            <v>0</v>
          </cell>
          <cell r="G342">
            <v>544921.63</v>
          </cell>
          <cell r="H342">
            <v>67371.37</v>
          </cell>
        </row>
        <row r="345">
          <cell r="C345" t="str">
            <v>2.6.2.3.2 - 3.COSTO DE CONSTRUCCION POR CONTRATA</v>
          </cell>
          <cell r="D345">
            <v>0</v>
          </cell>
          <cell r="E345">
            <v>0</v>
          </cell>
          <cell r="F345">
            <v>0</v>
          </cell>
          <cell r="G345">
            <v>0</v>
          </cell>
          <cell r="H345">
            <v>0</v>
          </cell>
        </row>
        <row r="346">
          <cell r="C346" t="str">
            <v>2.6.8.1.3 - 1.ELABORACION DE EXPEDIENTES TECNICOS</v>
          </cell>
          <cell r="D346">
            <v>0</v>
          </cell>
          <cell r="E346">
            <v>0</v>
          </cell>
          <cell r="F346">
            <v>0</v>
          </cell>
          <cell r="G346">
            <v>0</v>
          </cell>
          <cell r="H346">
            <v>0</v>
          </cell>
        </row>
        <row r="349">
          <cell r="C349" t="str">
            <v>2.6.2.3.2 - 3.COSTO DE CONSTRUCCION POR CONTRATA</v>
          </cell>
          <cell r="D349">
            <v>0</v>
          </cell>
          <cell r="E349">
            <v>0</v>
          </cell>
          <cell r="F349">
            <v>0</v>
          </cell>
          <cell r="G349">
            <v>0</v>
          </cell>
          <cell r="H349">
            <v>0</v>
          </cell>
        </row>
        <row r="350">
          <cell r="C350" t="str">
            <v>2.6.8.1.3 - 1.ELABORACION DE EXPEDIENTES TECNICOS</v>
          </cell>
          <cell r="D350">
            <v>275790</v>
          </cell>
          <cell r="E350">
            <v>274002.40000000002</v>
          </cell>
          <cell r="F350">
            <v>1787.5999999999767</v>
          </cell>
          <cell r="G350">
            <v>141484.27000000002</v>
          </cell>
          <cell r="H350">
            <v>134305.72999999998</v>
          </cell>
        </row>
        <row r="353">
          <cell r="C353" t="str">
            <v>2.6.2.3.2 - 3.COSTO DE CONSTRUCCION POR CONTRATA</v>
          </cell>
          <cell r="D353">
            <v>0</v>
          </cell>
          <cell r="E353">
            <v>0</v>
          </cell>
          <cell r="F353">
            <v>0</v>
          </cell>
          <cell r="G353">
            <v>0</v>
          </cell>
          <cell r="H353">
            <v>0</v>
          </cell>
        </row>
        <row r="354">
          <cell r="C354" t="str">
            <v>2.6.8.1.3 - 1.ELABORACION DE EXPEDIENTES TECNICOS</v>
          </cell>
          <cell r="D354">
            <v>255799</v>
          </cell>
          <cell r="E354">
            <v>195378.5</v>
          </cell>
          <cell r="F354">
            <v>60420.5</v>
          </cell>
          <cell r="G354">
            <v>130926.67000000001</v>
          </cell>
          <cell r="H354">
            <v>124872.32999999999</v>
          </cell>
        </row>
        <row r="357">
          <cell r="C357" t="str">
            <v>2.6.2.3.2 - 3.COSTO DE CONSTRUCCION POR CONTRATA</v>
          </cell>
          <cell r="D357">
            <v>0</v>
          </cell>
          <cell r="E357">
            <v>0</v>
          </cell>
          <cell r="F357">
            <v>0</v>
          </cell>
          <cell r="G357">
            <v>0</v>
          </cell>
          <cell r="H357">
            <v>0</v>
          </cell>
        </row>
        <row r="358">
          <cell r="C358" t="str">
            <v>2.6.8.1.3 - 1.ELABORACION DE EXPEDIENTES TECNICOS</v>
          </cell>
          <cell r="D358">
            <v>222962</v>
          </cell>
          <cell r="E358">
            <v>193349.5</v>
          </cell>
          <cell r="F358">
            <v>29612.5</v>
          </cell>
          <cell r="G358">
            <v>193266.31</v>
          </cell>
          <cell r="H358">
            <v>29695.690000000002</v>
          </cell>
        </row>
        <row r="361">
          <cell r="C361" t="str">
            <v>2.6.2.3.9 - 2.COSTO DE CONSTRUCCION POR CONTRATA</v>
          </cell>
          <cell r="D361">
            <v>100000</v>
          </cell>
          <cell r="E361">
            <v>0</v>
          </cell>
          <cell r="F361">
            <v>100000</v>
          </cell>
          <cell r="G361">
            <v>0</v>
          </cell>
          <cell r="H361">
            <v>100000</v>
          </cell>
        </row>
        <row r="365">
          <cell r="C365" t="str">
            <v>2.6.2.2.3 - 2.COSTO DE CONSTRUCCION POR CONTRATA</v>
          </cell>
          <cell r="D365">
            <v>0</v>
          </cell>
          <cell r="E365">
            <v>0</v>
          </cell>
          <cell r="F365">
            <v>0</v>
          </cell>
          <cell r="G365">
            <v>0</v>
          </cell>
          <cell r="H365">
            <v>0</v>
          </cell>
        </row>
        <row r="366">
          <cell r="C366" t="str">
            <v>2.6.8.1.3 - 1.ELABORACION DE EXPEDIENTES TECNICOS</v>
          </cell>
          <cell r="D366">
            <v>84111</v>
          </cell>
          <cell r="E366">
            <v>84111</v>
          </cell>
          <cell r="F366">
            <v>0</v>
          </cell>
          <cell r="G366">
            <v>81079.12999999999</v>
          </cell>
          <cell r="H366">
            <v>3031.8700000000099</v>
          </cell>
        </row>
        <row r="369">
          <cell r="C369" t="str">
            <v>2.6.2.2.2 - 2.COSTO DE CONSTRUCCION POR CONTRATA</v>
          </cell>
          <cell r="D369">
            <v>5064673</v>
          </cell>
          <cell r="E369">
            <v>5064673</v>
          </cell>
          <cell r="F369">
            <v>0</v>
          </cell>
          <cell r="G369">
            <v>0</v>
          </cell>
          <cell r="H369">
            <v>5064673</v>
          </cell>
        </row>
        <row r="370">
          <cell r="C370" t="str">
            <v>2.6.8.1.4 - 3.GASTO POR LA CONTRATACION DE SERVICIOS</v>
          </cell>
          <cell r="D370">
            <v>25172</v>
          </cell>
          <cell r="E370">
            <v>0</v>
          </cell>
          <cell r="F370">
            <v>25172</v>
          </cell>
          <cell r="G370">
            <v>0</v>
          </cell>
          <cell r="H370">
            <v>25172</v>
          </cell>
        </row>
        <row r="373">
          <cell r="C373" t="str">
            <v>2.6.2.2.2 - 2.COSTO DE CONSTRUCCION POR CONTRATA</v>
          </cell>
          <cell r="D373">
            <v>0</v>
          </cell>
          <cell r="E373">
            <v>0</v>
          </cell>
          <cell r="F373">
            <v>0</v>
          </cell>
          <cell r="G373">
            <v>0</v>
          </cell>
          <cell r="H373">
            <v>0</v>
          </cell>
        </row>
        <row r="374">
          <cell r="C374" t="str">
            <v>2.6.8.1.3 - 1.ELABORACION DE EXPEDIENTES TECNICOS</v>
          </cell>
          <cell r="D374">
            <v>4863</v>
          </cell>
          <cell r="E374">
            <v>4863</v>
          </cell>
          <cell r="F374">
            <v>0</v>
          </cell>
          <cell r="G374">
            <v>0</v>
          </cell>
          <cell r="H374">
            <v>4863</v>
          </cell>
        </row>
        <row r="377">
          <cell r="C377" t="str">
            <v>2.6.2.2.2 - 2.COSTO DE CONSTRUCCION POR CONTRATA</v>
          </cell>
          <cell r="D377">
            <v>5660459</v>
          </cell>
          <cell r="E377">
            <v>5660459</v>
          </cell>
          <cell r="F377">
            <v>0</v>
          </cell>
          <cell r="G377">
            <v>1327663.78</v>
          </cell>
          <cell r="H377">
            <v>4332795.22</v>
          </cell>
        </row>
        <row r="378">
          <cell r="C378" t="str">
            <v>2.6.8.1.4 - 3.GASTO POR LA CONTRATACION DE SERVICIOS</v>
          </cell>
          <cell r="D378">
            <v>270568</v>
          </cell>
          <cell r="E378">
            <v>0</v>
          </cell>
          <cell r="F378">
            <v>270568</v>
          </cell>
          <cell r="G378">
            <v>0</v>
          </cell>
          <cell r="H378">
            <v>270568</v>
          </cell>
        </row>
        <row r="381">
          <cell r="C381" t="str">
            <v>2.6.2.2.2 - 2.COSTO DE CONSTRUCCION POR CONTRATA</v>
          </cell>
          <cell r="D381">
            <v>0</v>
          </cell>
          <cell r="E381">
            <v>0</v>
          </cell>
          <cell r="F381">
            <v>0</v>
          </cell>
          <cell r="G381">
            <v>0</v>
          </cell>
          <cell r="H381">
            <v>0</v>
          </cell>
        </row>
        <row r="382">
          <cell r="C382" t="str">
            <v>2.6.8.1.3 - 1.ELABORACION DE EXPEDIENTES TECNICOS</v>
          </cell>
          <cell r="D382">
            <v>178134</v>
          </cell>
          <cell r="E382">
            <v>129803.29</v>
          </cell>
          <cell r="F382">
            <v>48330.710000000006</v>
          </cell>
          <cell r="G382">
            <v>122423.54</v>
          </cell>
          <cell r="H382">
            <v>55710.460000000006</v>
          </cell>
        </row>
        <row r="385">
          <cell r="C385" t="str">
            <v>2.6.2.2.2 - 2.COSTO DE CONSTRUCCION POR CONTRATA</v>
          </cell>
          <cell r="D385">
            <v>0</v>
          </cell>
          <cell r="E385">
            <v>0</v>
          </cell>
          <cell r="F385">
            <v>0</v>
          </cell>
          <cell r="G385">
            <v>0</v>
          </cell>
          <cell r="H385">
            <v>0</v>
          </cell>
        </row>
        <row r="386">
          <cell r="C386" t="str">
            <v>2.6.8.1.3 - 1.ELABORACION DE EXPEDIENTES TECNICOS</v>
          </cell>
          <cell r="D386">
            <v>220481</v>
          </cell>
          <cell r="E386">
            <v>81593.5</v>
          </cell>
          <cell r="F386">
            <v>138887.5</v>
          </cell>
          <cell r="G386">
            <v>69050.51999999999</v>
          </cell>
          <cell r="H386">
            <v>151430.48000000001</v>
          </cell>
        </row>
        <row r="389">
          <cell r="C389" t="str">
            <v>2.6.2.2.2 - 2.COSTO DE CONSTRUCCION POR CONTRATA</v>
          </cell>
          <cell r="D389">
            <v>0</v>
          </cell>
          <cell r="E389">
            <v>0</v>
          </cell>
          <cell r="F389">
            <v>0</v>
          </cell>
          <cell r="G389">
            <v>0</v>
          </cell>
          <cell r="H389">
            <v>0</v>
          </cell>
        </row>
        <row r="393">
          <cell r="C393" t="str">
            <v>2.6.2.2.2 - 2.COSTO DE CONSTRUCCION POR CONTRATA</v>
          </cell>
          <cell r="D393">
            <v>0</v>
          </cell>
          <cell r="E393">
            <v>0</v>
          </cell>
          <cell r="F393">
            <v>0</v>
          </cell>
          <cell r="G393">
            <v>0</v>
          </cell>
          <cell r="H393">
            <v>0</v>
          </cell>
        </row>
        <row r="397">
          <cell r="C397" t="str">
            <v>2.6.2.2.2 - 2.COSTO DE CONSTRUCCION POR CONTRATA</v>
          </cell>
          <cell r="D397">
            <v>0</v>
          </cell>
          <cell r="E397">
            <v>0</v>
          </cell>
          <cell r="F397">
            <v>0</v>
          </cell>
          <cell r="G397">
            <v>0</v>
          </cell>
          <cell r="H397">
            <v>0</v>
          </cell>
        </row>
        <row r="398">
          <cell r="C398" t="str">
            <v>2.6.8.1.3 - 1.ELABORACION DE EXPEDIENTES TECNICOS</v>
          </cell>
          <cell r="D398">
            <v>29298</v>
          </cell>
          <cell r="E398">
            <v>29298</v>
          </cell>
          <cell r="F398">
            <v>0</v>
          </cell>
          <cell r="G398">
            <v>0</v>
          </cell>
          <cell r="H398">
            <v>29298</v>
          </cell>
        </row>
        <row r="401">
          <cell r="C401" t="str">
            <v>2.6.2.2.2 - 2.COSTO DE CONSTRUCCION POR CONTRATA</v>
          </cell>
          <cell r="D401">
            <v>24520</v>
          </cell>
          <cell r="E401">
            <v>0</v>
          </cell>
          <cell r="F401">
            <v>24520</v>
          </cell>
          <cell r="G401">
            <v>0</v>
          </cell>
          <cell r="H401">
            <v>24520</v>
          </cell>
        </row>
        <row r="402">
          <cell r="C402" t="str">
            <v>2.6.8.1.3 - 1.ELABORACION DE EXPEDIENTES TECNICOS</v>
          </cell>
          <cell r="D402">
            <v>55480</v>
          </cell>
          <cell r="E402">
            <v>55480</v>
          </cell>
          <cell r="F402">
            <v>0</v>
          </cell>
          <cell r="G402">
            <v>33156.76</v>
          </cell>
          <cell r="H402">
            <v>22323.239999999998</v>
          </cell>
        </row>
        <row r="405">
          <cell r="C405" t="str">
            <v>2.6.2.2.2 - 2.COSTO DE CONSTRUCCION POR CONTRATA</v>
          </cell>
          <cell r="D405">
            <v>0</v>
          </cell>
          <cell r="E405">
            <v>0</v>
          </cell>
          <cell r="F405">
            <v>0</v>
          </cell>
          <cell r="G405">
            <v>0</v>
          </cell>
          <cell r="H405">
            <v>0</v>
          </cell>
        </row>
        <row r="406">
          <cell r="C406" t="str">
            <v>2.6.8.1.3 - 1.ELABORACION DE EXPEDIENTES TECNICOS</v>
          </cell>
          <cell r="D406">
            <v>0</v>
          </cell>
          <cell r="E406">
            <v>0</v>
          </cell>
          <cell r="F406">
            <v>0</v>
          </cell>
          <cell r="G406">
            <v>0</v>
          </cell>
          <cell r="H406">
            <v>0</v>
          </cell>
        </row>
        <row r="409">
          <cell r="C409" t="str">
            <v>2.6.2.2.2 - 2.COSTO DE CONSTRUCCION POR CONTRATA</v>
          </cell>
          <cell r="D409">
            <v>0</v>
          </cell>
          <cell r="E409">
            <v>0</v>
          </cell>
          <cell r="F409">
            <v>0</v>
          </cell>
          <cell r="G409">
            <v>0</v>
          </cell>
          <cell r="H409">
            <v>0</v>
          </cell>
        </row>
        <row r="410">
          <cell r="C410" t="str">
            <v>2.6.8.1.3 - 1.ELABORACION DE EXPEDIENTES TECNICOS</v>
          </cell>
          <cell r="D410">
            <v>171495</v>
          </cell>
          <cell r="E410">
            <v>171495</v>
          </cell>
          <cell r="F410">
            <v>0</v>
          </cell>
          <cell r="G410">
            <v>98043.32</v>
          </cell>
          <cell r="H410">
            <v>73451.679999999993</v>
          </cell>
        </row>
        <row r="413">
          <cell r="C413" t="str">
            <v>2.6.2.2.2 - 2.COSTO DE CONSTRUCCION POR CONTRATA</v>
          </cell>
          <cell r="D413">
            <v>400000</v>
          </cell>
          <cell r="E413">
            <v>0</v>
          </cell>
          <cell r="F413">
            <v>400000</v>
          </cell>
          <cell r="G413">
            <v>0</v>
          </cell>
          <cell r="H413">
            <v>400000</v>
          </cell>
        </row>
        <row r="417">
          <cell r="C417" t="str">
            <v>2.6.2.2.2 - 2.COSTO DE CONSTRUCCION POR CONTRATA</v>
          </cell>
          <cell r="D417">
            <v>0</v>
          </cell>
          <cell r="E417">
            <v>0</v>
          </cell>
          <cell r="F417">
            <v>0</v>
          </cell>
          <cell r="G417">
            <v>0</v>
          </cell>
          <cell r="H417">
            <v>0</v>
          </cell>
        </row>
        <row r="418">
          <cell r="C418" t="str">
            <v>2.6.8.1.3 - 1.ELABORACION DE EXPEDIENTES TECNICOS</v>
          </cell>
          <cell r="D418">
            <v>151569</v>
          </cell>
          <cell r="E418">
            <v>148381</v>
          </cell>
          <cell r="F418">
            <v>3188</v>
          </cell>
          <cell r="G418">
            <v>136766.03</v>
          </cell>
          <cell r="H418">
            <v>14802.970000000001</v>
          </cell>
        </row>
        <row r="421">
          <cell r="C421" t="str">
            <v>2.6.2.2.2 - 2.COSTO DE CONSTRUCCION POR CONTRATA</v>
          </cell>
          <cell r="D421">
            <v>0</v>
          </cell>
          <cell r="E421">
            <v>0</v>
          </cell>
          <cell r="F421">
            <v>0</v>
          </cell>
          <cell r="G421">
            <v>0</v>
          </cell>
          <cell r="H421">
            <v>0</v>
          </cell>
        </row>
        <row r="425">
          <cell r="C425" t="str">
            <v>2.6.2.2.2 - 2.COSTO DE CONSTRUCCION POR CONTRATA</v>
          </cell>
          <cell r="D425">
            <v>0</v>
          </cell>
          <cell r="E425">
            <v>0</v>
          </cell>
          <cell r="F425">
            <v>0</v>
          </cell>
          <cell r="G425">
            <v>0</v>
          </cell>
          <cell r="H425">
            <v>0</v>
          </cell>
        </row>
        <row r="426">
          <cell r="C426" t="str">
            <v>2.6.8.1.3 - 1.ELABORACION DE EXPEDIENTES TECNICOS</v>
          </cell>
          <cell r="D426">
            <v>33556</v>
          </cell>
          <cell r="E426">
            <v>33489.5</v>
          </cell>
          <cell r="F426">
            <v>66.5</v>
          </cell>
          <cell r="G426">
            <v>28428.44</v>
          </cell>
          <cell r="H426">
            <v>5127.5600000000013</v>
          </cell>
        </row>
        <row r="429">
          <cell r="C429" t="str">
            <v>2.6.2.2.2 - 2.COSTO DE CONSTRUCCION POR CONTRATA</v>
          </cell>
          <cell r="D429">
            <v>0</v>
          </cell>
          <cell r="E429">
            <v>0</v>
          </cell>
          <cell r="F429">
            <v>0</v>
          </cell>
          <cell r="G429">
            <v>0</v>
          </cell>
          <cell r="H429">
            <v>0</v>
          </cell>
        </row>
        <row r="433">
          <cell r="C433" t="str">
            <v>2.6.2.2.2 - 2.COSTO DE CONSTRUCCION POR CONTRATA</v>
          </cell>
          <cell r="D433">
            <v>0</v>
          </cell>
          <cell r="E433">
            <v>0</v>
          </cell>
          <cell r="F433">
            <v>0</v>
          </cell>
          <cell r="G433">
            <v>0</v>
          </cell>
          <cell r="H433">
            <v>0</v>
          </cell>
        </row>
        <row r="437">
          <cell r="C437" t="str">
            <v>2.6.2.2.2 - 2.COSTO DE CONSTRUCCION POR CONTRATA</v>
          </cell>
          <cell r="D437">
            <v>0</v>
          </cell>
          <cell r="E437">
            <v>0</v>
          </cell>
          <cell r="F437">
            <v>0</v>
          </cell>
          <cell r="G437">
            <v>0</v>
          </cell>
          <cell r="H437">
            <v>0</v>
          </cell>
        </row>
        <row r="438">
          <cell r="C438" t="str">
            <v>2.6.8.1.3 - 1.ELABORACION DE EXPEDIENTES TECNICOS</v>
          </cell>
          <cell r="D438">
            <v>106670</v>
          </cell>
          <cell r="E438">
            <v>106670</v>
          </cell>
          <cell r="F438">
            <v>0</v>
          </cell>
          <cell r="G438">
            <v>96622.29</v>
          </cell>
          <cell r="H438">
            <v>10047.710000000006</v>
          </cell>
        </row>
        <row r="441">
          <cell r="C441" t="str">
            <v>2.6.2.2.2 - 2.COSTO DE CONSTRUCCION POR CONTRATA</v>
          </cell>
          <cell r="D441">
            <v>0</v>
          </cell>
          <cell r="E441">
            <v>0</v>
          </cell>
          <cell r="F441">
            <v>0</v>
          </cell>
          <cell r="G441">
            <v>0</v>
          </cell>
          <cell r="H441">
            <v>0</v>
          </cell>
        </row>
        <row r="442">
          <cell r="C442" t="str">
            <v>2.6.8.1.3 - 1.ELABORACION DE EXPEDIENTES TECNICOS</v>
          </cell>
          <cell r="D442">
            <v>306148</v>
          </cell>
          <cell r="E442">
            <v>306148</v>
          </cell>
          <cell r="F442">
            <v>0</v>
          </cell>
          <cell r="G442">
            <v>173568.25</v>
          </cell>
          <cell r="H442">
            <v>132579.75</v>
          </cell>
        </row>
        <row r="445">
          <cell r="C445" t="str">
            <v>2.6.2.2.2 - 2.COSTO DE CONSTRUCCION POR CONTRATA</v>
          </cell>
          <cell r="D445">
            <v>0</v>
          </cell>
          <cell r="E445">
            <v>0</v>
          </cell>
          <cell r="F445">
            <v>0</v>
          </cell>
          <cell r="G445">
            <v>0</v>
          </cell>
          <cell r="H445">
            <v>0</v>
          </cell>
        </row>
        <row r="446">
          <cell r="C446" t="str">
            <v>2.6.8.1.3 - 1.ELABORACION DE EXPEDIENTES TECNICOS</v>
          </cell>
          <cell r="D446">
            <v>159574</v>
          </cell>
          <cell r="E446">
            <v>125168.92</v>
          </cell>
          <cell r="F446">
            <v>34405.08</v>
          </cell>
          <cell r="G446">
            <v>80461.59</v>
          </cell>
          <cell r="H446">
            <v>79112.41</v>
          </cell>
        </row>
        <row r="449">
          <cell r="C449" t="str">
            <v>2.6.2.2.2 - 2.COSTO DE CONSTRUCCION POR CONTRATA</v>
          </cell>
          <cell r="D449">
            <v>0</v>
          </cell>
          <cell r="E449">
            <v>0</v>
          </cell>
          <cell r="F449">
            <v>0</v>
          </cell>
          <cell r="G449">
            <v>0</v>
          </cell>
          <cell r="H449">
            <v>0</v>
          </cell>
        </row>
        <row r="450">
          <cell r="C450" t="str">
            <v>2.6.8.1.3 - 1.ELABORACION DE EXPEDIENTES TECNICOS</v>
          </cell>
          <cell r="D450">
            <v>50467</v>
          </cell>
          <cell r="E450">
            <v>50466.81</v>
          </cell>
          <cell r="F450">
            <v>0.19000000000232831</v>
          </cell>
          <cell r="G450">
            <v>48902.8</v>
          </cell>
          <cell r="H450">
            <v>1564.1999999999971</v>
          </cell>
        </row>
        <row r="453">
          <cell r="C453" t="str">
            <v>2.6.2.2.1 - 2.COSTO DE CONSTRUCCION POR CONTRATA</v>
          </cell>
          <cell r="D453">
            <v>46429</v>
          </cell>
          <cell r="E453">
            <v>0</v>
          </cell>
          <cell r="F453">
            <v>46429</v>
          </cell>
          <cell r="G453">
            <v>0</v>
          </cell>
          <cell r="H453">
            <v>46429</v>
          </cell>
        </row>
        <row r="457">
          <cell r="C457" t="str">
            <v>2.6.2.2.3 - 2.COSTO DE CONSTRUCCION POR CONTRATA</v>
          </cell>
          <cell r="D457">
            <v>9804514</v>
          </cell>
          <cell r="E457">
            <v>9609876</v>
          </cell>
          <cell r="F457">
            <v>194638</v>
          </cell>
          <cell r="G457">
            <v>0</v>
          </cell>
          <cell r="H457">
            <v>9804514</v>
          </cell>
        </row>
        <row r="458">
          <cell r="C458" t="str">
            <v>2.6.8.1.4 - 3.GASTO POR LA CONTRATACION DE SERVICIOS</v>
          </cell>
          <cell r="D458">
            <v>594676</v>
          </cell>
          <cell r="E458">
            <v>0</v>
          </cell>
          <cell r="F458">
            <v>594676</v>
          </cell>
          <cell r="G458">
            <v>0</v>
          </cell>
          <cell r="H458">
            <v>594676</v>
          </cell>
        </row>
        <row r="461">
          <cell r="C461" t="str">
            <v>2.6.2.2.3 - 2.COSTO DE CONSTRUCCION POR CONTRATA</v>
          </cell>
          <cell r="D461">
            <v>133512</v>
          </cell>
          <cell r="E461">
            <v>0</v>
          </cell>
          <cell r="F461">
            <v>133512</v>
          </cell>
          <cell r="G461">
            <v>0</v>
          </cell>
          <cell r="H461">
            <v>133512</v>
          </cell>
        </row>
        <row r="465">
          <cell r="C465" t="str">
            <v>2.6.2.2.1 - 2.COSTO DE CONSTRUCCION POR CONTRATA</v>
          </cell>
          <cell r="D465">
            <v>0</v>
          </cell>
          <cell r="E465">
            <v>0</v>
          </cell>
          <cell r="F465">
            <v>0</v>
          </cell>
          <cell r="G465">
            <v>0</v>
          </cell>
          <cell r="H465">
            <v>0</v>
          </cell>
        </row>
        <row r="469">
          <cell r="C469" t="str">
            <v>2.6.2.2.1 - 2.COSTO DE CONSTRUCCION POR CONTRATA</v>
          </cell>
          <cell r="D469">
            <v>0</v>
          </cell>
          <cell r="E469">
            <v>0</v>
          </cell>
          <cell r="F469">
            <v>0</v>
          </cell>
          <cell r="G469">
            <v>0</v>
          </cell>
          <cell r="H469">
            <v>0</v>
          </cell>
        </row>
        <row r="473">
          <cell r="C473" t="str">
            <v>2.6.2.3.2 - 3.COSTO DE CONSTRUCCION POR CONTRATA</v>
          </cell>
          <cell r="D473">
            <v>0</v>
          </cell>
          <cell r="E473">
            <v>0</v>
          </cell>
          <cell r="F473">
            <v>0</v>
          </cell>
          <cell r="G473">
            <v>0</v>
          </cell>
          <cell r="H473">
            <v>0</v>
          </cell>
        </row>
        <row r="477">
          <cell r="C477" t="str">
            <v>2.6.2.2.3 - 2.COSTO DE CONSTRUCCION POR CONTRATA</v>
          </cell>
          <cell r="D477">
            <v>5033034</v>
          </cell>
          <cell r="E477">
            <v>5033034</v>
          </cell>
          <cell r="F477">
            <v>0</v>
          </cell>
          <cell r="G477">
            <v>0</v>
          </cell>
          <cell r="H477">
            <v>5033034</v>
          </cell>
        </row>
        <row r="481">
          <cell r="C481" t="str">
            <v>2.6.2.2.2 - 2.COSTO DE CONSTRUCCION POR CONTRATA</v>
          </cell>
          <cell r="D481">
            <v>0</v>
          </cell>
          <cell r="E481">
            <v>0</v>
          </cell>
          <cell r="F481">
            <v>0</v>
          </cell>
          <cell r="G481">
            <v>0</v>
          </cell>
          <cell r="H481">
            <v>0</v>
          </cell>
        </row>
        <row r="485">
          <cell r="C485" t="str">
            <v>2.6.2.2.3 - 2.COSTO DE CONSTRUCCION POR CONTRATA</v>
          </cell>
          <cell r="D485">
            <v>500</v>
          </cell>
          <cell r="E485">
            <v>0</v>
          </cell>
          <cell r="F485">
            <v>500</v>
          </cell>
          <cell r="G485">
            <v>0</v>
          </cell>
          <cell r="H485">
            <v>500</v>
          </cell>
        </row>
        <row r="486">
          <cell r="C486" t="str">
            <v>2.6.8.1.3 - 1.ELABORACION DE EXPEDIENTES TECNICOS</v>
          </cell>
          <cell r="D486">
            <v>199500</v>
          </cell>
          <cell r="E486">
            <v>50000</v>
          </cell>
          <cell r="F486">
            <v>149500</v>
          </cell>
          <cell r="G486">
            <v>0</v>
          </cell>
          <cell r="H486">
            <v>199500</v>
          </cell>
        </row>
        <row r="489">
          <cell r="C489" t="str">
            <v>2.6.2.3.2 - 3.COSTO DE CONSTRUCCION POR CONTRATA</v>
          </cell>
          <cell r="D489">
            <v>232593</v>
          </cell>
          <cell r="E489">
            <v>0</v>
          </cell>
          <cell r="F489">
            <v>232593</v>
          </cell>
          <cell r="G489">
            <v>0</v>
          </cell>
          <cell r="H489">
            <v>232593</v>
          </cell>
        </row>
        <row r="490">
          <cell r="C490" t="str">
            <v>2.6.8.1.3 - 1.ELABORACION DE EXPEDIENTES TECNICOS</v>
          </cell>
          <cell r="D490">
            <v>350000</v>
          </cell>
          <cell r="E490">
            <v>140000</v>
          </cell>
          <cell r="F490">
            <v>210000</v>
          </cell>
          <cell r="G490">
            <v>140000</v>
          </cell>
          <cell r="H490">
            <v>210000</v>
          </cell>
        </row>
        <row r="493">
          <cell r="C493" t="str">
            <v>2.6.2.2.3 - 2.COSTO DE CONSTRUCCION POR CONTRATA</v>
          </cell>
          <cell r="D493">
            <v>0</v>
          </cell>
          <cell r="E493">
            <v>0</v>
          </cell>
          <cell r="F493">
            <v>0</v>
          </cell>
          <cell r="G493">
            <v>0</v>
          </cell>
          <cell r="H493">
            <v>0</v>
          </cell>
        </row>
        <row r="494">
          <cell r="C494" t="str">
            <v>2.6.8.1.3 - 1.ELABORACION DE EXPEDIENTES TECNICOS</v>
          </cell>
          <cell r="D494">
            <v>654662</v>
          </cell>
          <cell r="E494">
            <v>654662</v>
          </cell>
          <cell r="F494">
            <v>0</v>
          </cell>
          <cell r="G494">
            <v>0</v>
          </cell>
          <cell r="H494">
            <v>654662</v>
          </cell>
        </row>
        <row r="497">
          <cell r="C497" t="str">
            <v>2.6.2.2.3 - 2.COSTO DE CONSTRUCCION POR CONTRATA</v>
          </cell>
          <cell r="D497">
            <v>0</v>
          </cell>
          <cell r="E497">
            <v>0</v>
          </cell>
          <cell r="F497">
            <v>0</v>
          </cell>
          <cell r="G497">
            <v>0</v>
          </cell>
          <cell r="H497">
            <v>0</v>
          </cell>
        </row>
        <row r="498">
          <cell r="C498" t="str">
            <v>2.6.8.1.3 - 1.ELABORACION DE EXPEDIENTES TECNICOS</v>
          </cell>
          <cell r="D498">
            <v>82568</v>
          </cell>
          <cell r="E498">
            <v>82568</v>
          </cell>
          <cell r="F498">
            <v>0</v>
          </cell>
          <cell r="G498">
            <v>57743.81</v>
          </cell>
          <cell r="H498">
            <v>24824.190000000002</v>
          </cell>
        </row>
        <row r="501">
          <cell r="C501" t="str">
            <v>2.6.2.3.2 - 3.COSTO DE CONSTRUCCION POR CONTRATA</v>
          </cell>
          <cell r="D501">
            <v>0</v>
          </cell>
          <cell r="E501">
            <v>0</v>
          </cell>
          <cell r="F501">
            <v>0</v>
          </cell>
          <cell r="G501">
            <v>0</v>
          </cell>
          <cell r="H501">
            <v>0</v>
          </cell>
        </row>
        <row r="502">
          <cell r="C502" t="str">
            <v>2.6.8.1.3 - 1.ELABORACION DE EXPEDIENTES TECNICOS</v>
          </cell>
          <cell r="D502">
            <v>100000</v>
          </cell>
          <cell r="E502">
            <v>100000</v>
          </cell>
          <cell r="F502">
            <v>0</v>
          </cell>
          <cell r="G502">
            <v>85262.53</v>
          </cell>
          <cell r="H502">
            <v>14737.470000000001</v>
          </cell>
        </row>
        <row r="503">
          <cell r="C503"/>
          <cell r="D503"/>
          <cell r="E503"/>
          <cell r="F503"/>
          <cell r="G503"/>
          <cell r="H503"/>
        </row>
        <row r="504">
          <cell r="C504"/>
          <cell r="D504"/>
          <cell r="E504"/>
          <cell r="F504"/>
          <cell r="G504"/>
          <cell r="H504"/>
        </row>
        <row r="505">
          <cell r="C505" t="str">
            <v>2.6.2.2.3 - 2.COSTO DE CONSTRUCCION POR CONTRATA</v>
          </cell>
          <cell r="D505">
            <v>0</v>
          </cell>
          <cell r="E505">
            <v>0</v>
          </cell>
          <cell r="F505">
            <v>0</v>
          </cell>
          <cell r="G505">
            <v>0</v>
          </cell>
          <cell r="H505">
            <v>0</v>
          </cell>
        </row>
        <row r="506">
          <cell r="C506" t="str">
            <v>2.6.8.1.3 - 1.ELABORACION DE EXPEDIENTES TECNICOS</v>
          </cell>
          <cell r="D506">
            <v>0</v>
          </cell>
          <cell r="E506">
            <v>0</v>
          </cell>
          <cell r="F506">
            <v>0</v>
          </cell>
          <cell r="G506">
            <v>0</v>
          </cell>
          <cell r="H506">
            <v>0</v>
          </cell>
        </row>
        <row r="507">
          <cell r="C507"/>
          <cell r="D507"/>
          <cell r="E507"/>
          <cell r="F507"/>
          <cell r="G507"/>
          <cell r="H507"/>
        </row>
        <row r="508">
          <cell r="C508"/>
          <cell r="D508"/>
          <cell r="E508"/>
          <cell r="F508"/>
          <cell r="G508"/>
          <cell r="H508"/>
        </row>
        <row r="509">
          <cell r="C509" t="str">
            <v>2.6.2.2.3 - 2.COSTO DE CONSTRUCCION POR CONTRATA</v>
          </cell>
          <cell r="D509">
            <v>0</v>
          </cell>
          <cell r="E509">
            <v>0</v>
          </cell>
          <cell r="F509">
            <v>0</v>
          </cell>
          <cell r="G509">
            <v>0</v>
          </cell>
          <cell r="H509">
            <v>0</v>
          </cell>
        </row>
        <row r="510">
          <cell r="C510" t="str">
            <v>2.6.8.1.3 - 1.ELABORACION DE EXPEDIENTES TECNICOS</v>
          </cell>
          <cell r="D510">
            <v>154665</v>
          </cell>
          <cell r="E510">
            <v>154665</v>
          </cell>
          <cell r="F510">
            <v>0</v>
          </cell>
          <cell r="G510">
            <v>154066.76999999999</v>
          </cell>
          <cell r="H510">
            <v>598.23000000001048</v>
          </cell>
        </row>
        <row r="511">
          <cell r="C511"/>
          <cell r="D511"/>
          <cell r="E511"/>
          <cell r="F511"/>
          <cell r="G511"/>
          <cell r="H511"/>
        </row>
        <row r="512">
          <cell r="C512"/>
          <cell r="D512"/>
          <cell r="E512"/>
          <cell r="F512"/>
          <cell r="G512"/>
          <cell r="H512"/>
        </row>
        <row r="513">
          <cell r="C513" t="str">
            <v>2.6.2.2.3 - 2.COSTO DE CONSTRUCCION POR CONTRATA</v>
          </cell>
          <cell r="D513">
            <v>1371247</v>
          </cell>
          <cell r="E513">
            <v>1371247</v>
          </cell>
          <cell r="F513">
            <v>0</v>
          </cell>
          <cell r="G513">
            <v>0</v>
          </cell>
          <cell r="H513">
            <v>1371247</v>
          </cell>
        </row>
        <row r="514">
          <cell r="C514" t="str">
            <v>2.6.8.1.4 - 3.GASTO POR LA CONTRATACION DE SERVICIOS</v>
          </cell>
          <cell r="D514">
            <v>379449</v>
          </cell>
          <cell r="E514">
            <v>379449</v>
          </cell>
          <cell r="F514">
            <v>0</v>
          </cell>
          <cell r="G514">
            <v>0</v>
          </cell>
          <cell r="H514">
            <v>379449</v>
          </cell>
        </row>
        <row r="515">
          <cell r="C515"/>
          <cell r="D515"/>
          <cell r="E515"/>
          <cell r="F515"/>
          <cell r="G515"/>
          <cell r="H515"/>
        </row>
        <row r="516">
          <cell r="C516"/>
          <cell r="D516"/>
          <cell r="E516"/>
          <cell r="F516"/>
          <cell r="G516"/>
          <cell r="H516"/>
        </row>
        <row r="517">
          <cell r="C517" t="str">
            <v>2.6.2.2.3 - 2.COSTO DE CONSTRUCCION POR CONTRATA</v>
          </cell>
          <cell r="D517">
            <v>0</v>
          </cell>
          <cell r="E517">
            <v>0</v>
          </cell>
          <cell r="F517">
            <v>0</v>
          </cell>
          <cell r="G517">
            <v>0</v>
          </cell>
          <cell r="H517">
            <v>0</v>
          </cell>
        </row>
        <row r="518">
          <cell r="C518" t="str">
            <v>2.6.8.1.3 - 1.ELABORACION DE EXPEDIENTES TECNICOS</v>
          </cell>
          <cell r="D518">
            <v>0</v>
          </cell>
          <cell r="E518">
            <v>0</v>
          </cell>
          <cell r="F518">
            <v>0</v>
          </cell>
          <cell r="G518">
            <v>0</v>
          </cell>
          <cell r="H518">
            <v>0</v>
          </cell>
        </row>
        <row r="519">
          <cell r="C519"/>
          <cell r="D519"/>
          <cell r="E519"/>
          <cell r="F519"/>
          <cell r="G519"/>
          <cell r="H519"/>
        </row>
        <row r="520">
          <cell r="C520"/>
          <cell r="D520"/>
          <cell r="E520"/>
          <cell r="F520"/>
          <cell r="G520"/>
          <cell r="H520"/>
        </row>
        <row r="521">
          <cell r="C521" t="str">
            <v>2.6.2.2.3 - 2.COSTO DE CONSTRUCCION POR CONTRATA</v>
          </cell>
          <cell r="D521">
            <v>0</v>
          </cell>
          <cell r="E521">
            <v>0</v>
          </cell>
          <cell r="F521">
            <v>0</v>
          </cell>
          <cell r="G521">
            <v>0</v>
          </cell>
          <cell r="H521">
            <v>0</v>
          </cell>
        </row>
        <row r="522">
          <cell r="C522" t="str">
            <v>2.6.8.1.3 - 1.ELABORACION DE EXPEDIENTES TECNICOS</v>
          </cell>
          <cell r="D522">
            <v>656461</v>
          </cell>
          <cell r="E522">
            <v>656461</v>
          </cell>
          <cell r="F522">
            <v>0</v>
          </cell>
          <cell r="G522">
            <v>0</v>
          </cell>
          <cell r="H522">
            <v>656461</v>
          </cell>
        </row>
        <row r="523">
          <cell r="C523"/>
          <cell r="D523"/>
          <cell r="E523"/>
          <cell r="F523"/>
          <cell r="G523"/>
          <cell r="H523"/>
        </row>
        <row r="524">
          <cell r="C524"/>
          <cell r="D524"/>
          <cell r="E524"/>
          <cell r="F524"/>
          <cell r="G524"/>
          <cell r="H524"/>
        </row>
        <row r="525">
          <cell r="C525" t="str">
            <v>2.6.2.2.3 - 2.COSTO DE CONSTRUCCION POR CONTRATA</v>
          </cell>
          <cell r="D525">
            <v>42177</v>
          </cell>
          <cell r="E525">
            <v>0</v>
          </cell>
          <cell r="F525">
            <v>42177</v>
          </cell>
          <cell r="G525">
            <v>0</v>
          </cell>
          <cell r="H525">
            <v>42177</v>
          </cell>
        </row>
        <row r="526">
          <cell r="C526" t="str">
            <v>2.6.8.1.3 - 1.ELABORACION DE EXPEDIENTES TECNICOS</v>
          </cell>
          <cell r="D526">
            <v>664284</v>
          </cell>
          <cell r="E526">
            <v>606460.53</v>
          </cell>
          <cell r="F526">
            <v>57823.469999999972</v>
          </cell>
          <cell r="G526">
            <v>0</v>
          </cell>
          <cell r="H526">
            <v>664284</v>
          </cell>
        </row>
        <row r="527">
          <cell r="C527"/>
          <cell r="D527"/>
          <cell r="E527"/>
          <cell r="F527"/>
          <cell r="G527"/>
          <cell r="H527"/>
        </row>
        <row r="528">
          <cell r="C528"/>
          <cell r="D528"/>
          <cell r="E528"/>
          <cell r="F528"/>
          <cell r="G528"/>
          <cell r="H528"/>
        </row>
        <row r="529">
          <cell r="C529" t="str">
            <v>2.6.2.2.3 - 2.COSTO DE CONSTRUCCION POR CONTRATA</v>
          </cell>
          <cell r="D529">
            <v>0</v>
          </cell>
          <cell r="E529">
            <v>0</v>
          </cell>
          <cell r="F529">
            <v>0</v>
          </cell>
          <cell r="G529">
            <v>0</v>
          </cell>
          <cell r="H529">
            <v>0</v>
          </cell>
        </row>
        <row r="530">
          <cell r="C530"/>
          <cell r="D530"/>
          <cell r="E530"/>
          <cell r="F530"/>
          <cell r="G530"/>
          <cell r="H530"/>
        </row>
        <row r="531">
          <cell r="C531"/>
          <cell r="D531"/>
          <cell r="E531"/>
          <cell r="F531"/>
          <cell r="G531"/>
          <cell r="H531"/>
        </row>
        <row r="532">
          <cell r="C532"/>
          <cell r="D532"/>
          <cell r="E532"/>
          <cell r="F532"/>
          <cell r="G532"/>
          <cell r="H532"/>
        </row>
        <row r="533">
          <cell r="C533" t="str">
            <v>2.6.2.3.9 - 2.COSTO DE CONSTRUCCION POR CONTRATA</v>
          </cell>
          <cell r="D533">
            <v>1349649</v>
          </cell>
          <cell r="E533">
            <v>0</v>
          </cell>
          <cell r="F533">
            <v>1349649</v>
          </cell>
          <cell r="G533">
            <v>0</v>
          </cell>
          <cell r="H533">
            <v>1349649</v>
          </cell>
        </row>
        <row r="534">
          <cell r="C534"/>
          <cell r="D534"/>
          <cell r="E534"/>
          <cell r="F534"/>
          <cell r="G534"/>
          <cell r="H534"/>
        </row>
        <row r="535">
          <cell r="C535"/>
          <cell r="D535"/>
          <cell r="E535"/>
          <cell r="F535"/>
          <cell r="G535"/>
          <cell r="H535"/>
        </row>
        <row r="536">
          <cell r="C536"/>
          <cell r="D536"/>
          <cell r="E536"/>
          <cell r="F536"/>
          <cell r="G536"/>
          <cell r="H536"/>
        </row>
        <row r="537">
          <cell r="C537" t="str">
            <v>2.6.2.2.3 - 2.COSTO DE CONSTRUCCION POR CONTRATA</v>
          </cell>
          <cell r="D537">
            <v>0</v>
          </cell>
          <cell r="E537">
            <v>0</v>
          </cell>
          <cell r="F537">
            <v>0</v>
          </cell>
          <cell r="G537">
            <v>0</v>
          </cell>
          <cell r="H537">
            <v>0</v>
          </cell>
        </row>
        <row r="538">
          <cell r="C538" t="str">
            <v>2.6.8.1.3 - 1.ELABORACION DE EXPEDIENTES TECNICOS</v>
          </cell>
          <cell r="D538">
            <v>50000</v>
          </cell>
          <cell r="E538">
            <v>50000</v>
          </cell>
          <cell r="F538">
            <v>0</v>
          </cell>
          <cell r="G538">
            <v>43796.88</v>
          </cell>
          <cell r="H538">
            <v>6203.1200000000026</v>
          </cell>
        </row>
        <row r="539">
          <cell r="C539"/>
          <cell r="D539"/>
          <cell r="E539"/>
          <cell r="F539"/>
          <cell r="G539"/>
          <cell r="H539"/>
        </row>
        <row r="540">
          <cell r="C540"/>
          <cell r="D540"/>
          <cell r="E540"/>
          <cell r="F540"/>
          <cell r="G540"/>
          <cell r="H540"/>
        </row>
        <row r="541">
          <cell r="C541" t="str">
            <v>2.6.2.2.3 - 2.COSTO DE CONSTRUCCION POR CONTRATA</v>
          </cell>
          <cell r="D541">
            <v>0</v>
          </cell>
          <cell r="E541">
            <v>0</v>
          </cell>
          <cell r="F541">
            <v>0</v>
          </cell>
          <cell r="G541">
            <v>0</v>
          </cell>
          <cell r="H541">
            <v>0</v>
          </cell>
        </row>
        <row r="542">
          <cell r="C542" t="str">
            <v>2.6.8.1.3 - 1.ELABORACION DE EXPEDIENTES TECNICOS</v>
          </cell>
          <cell r="D542">
            <v>0</v>
          </cell>
          <cell r="E542">
            <v>0</v>
          </cell>
          <cell r="F542">
            <v>0</v>
          </cell>
          <cell r="G542">
            <v>0</v>
          </cell>
          <cell r="H542">
            <v>0</v>
          </cell>
        </row>
        <row r="543">
          <cell r="C543"/>
          <cell r="D543"/>
          <cell r="E543"/>
          <cell r="F543"/>
          <cell r="G543"/>
          <cell r="H543"/>
        </row>
        <row r="544">
          <cell r="C544"/>
          <cell r="D544"/>
          <cell r="E544"/>
          <cell r="F544"/>
          <cell r="G544"/>
          <cell r="H544"/>
        </row>
        <row r="545">
          <cell r="C545" t="str">
            <v>2.6.2.2.3 - 2.COSTO DE CONSTRUCCION POR CONTRATA</v>
          </cell>
          <cell r="D545">
            <v>0</v>
          </cell>
          <cell r="E545">
            <v>0</v>
          </cell>
          <cell r="F545">
            <v>0</v>
          </cell>
          <cell r="G545">
            <v>0</v>
          </cell>
          <cell r="H545">
            <v>0</v>
          </cell>
        </row>
        <row r="546">
          <cell r="C546" t="str">
            <v>2.6.8.1.3 - 1.ELABORACION DE EXPEDIENTES TECNICOS</v>
          </cell>
          <cell r="D546">
            <v>82042</v>
          </cell>
          <cell r="E546">
            <v>73137.02</v>
          </cell>
          <cell r="F546">
            <v>8904.9799999999959</v>
          </cell>
          <cell r="G546">
            <v>48346.770000000004</v>
          </cell>
          <cell r="H546">
            <v>33695.229999999996</v>
          </cell>
        </row>
        <row r="547">
          <cell r="C547"/>
          <cell r="D547"/>
          <cell r="E547"/>
          <cell r="F547"/>
          <cell r="G547"/>
          <cell r="H547"/>
        </row>
        <row r="548">
          <cell r="C548"/>
          <cell r="D548"/>
          <cell r="E548"/>
          <cell r="F548"/>
          <cell r="G548"/>
          <cell r="H548"/>
        </row>
        <row r="549">
          <cell r="C549" t="str">
            <v>2.6.2.2.3 - 2.COSTO DE CONSTRUCCION POR CONTRATA</v>
          </cell>
          <cell r="D549">
            <v>0</v>
          </cell>
          <cell r="E549">
            <v>0</v>
          </cell>
          <cell r="F549">
            <v>0</v>
          </cell>
          <cell r="G549">
            <v>0</v>
          </cell>
          <cell r="H549">
            <v>0</v>
          </cell>
        </row>
        <row r="550">
          <cell r="C550" t="str">
            <v>2.6.8.1.3 - 1.ELABORACION DE EXPEDIENTES TECNICOS</v>
          </cell>
          <cell r="D550">
            <v>0</v>
          </cell>
          <cell r="E550">
            <v>0</v>
          </cell>
          <cell r="F550">
            <v>0</v>
          </cell>
          <cell r="G550">
            <v>0</v>
          </cell>
          <cell r="H550">
            <v>0</v>
          </cell>
        </row>
        <row r="551">
          <cell r="C551"/>
          <cell r="D551"/>
          <cell r="E551"/>
          <cell r="F551"/>
          <cell r="G551"/>
          <cell r="H551"/>
        </row>
        <row r="552">
          <cell r="C552"/>
          <cell r="D552"/>
          <cell r="E552"/>
          <cell r="F552"/>
          <cell r="G552"/>
          <cell r="H552"/>
        </row>
        <row r="553">
          <cell r="C553" t="str">
            <v>2.6.2.2.3 - 2.COSTO DE CONSTRUCCION POR CONTRATA</v>
          </cell>
          <cell r="D553">
            <v>0</v>
          </cell>
          <cell r="E553">
            <v>0</v>
          </cell>
          <cell r="F553">
            <v>0</v>
          </cell>
          <cell r="G553">
            <v>0</v>
          </cell>
          <cell r="H553">
            <v>0</v>
          </cell>
        </row>
        <row r="554">
          <cell r="C554" t="str">
            <v>2.6.8.1.3 - 1.ELABORACION DE EXPEDIENTES TECNICOS</v>
          </cell>
          <cell r="D554">
            <v>72190</v>
          </cell>
          <cell r="E554">
            <v>62384.34</v>
          </cell>
          <cell r="F554">
            <v>9805.6600000000035</v>
          </cell>
          <cell r="G554">
            <v>55271.61</v>
          </cell>
          <cell r="H554">
            <v>16918.39</v>
          </cell>
        </row>
        <row r="555">
          <cell r="C555"/>
          <cell r="D555"/>
          <cell r="E555"/>
          <cell r="F555"/>
          <cell r="G555"/>
          <cell r="H555"/>
        </row>
        <row r="556">
          <cell r="C556"/>
          <cell r="D556"/>
          <cell r="E556"/>
          <cell r="F556"/>
          <cell r="G556"/>
          <cell r="H556"/>
        </row>
        <row r="557">
          <cell r="C557" t="str">
            <v>2.6.2.2.3 - 2.COSTO DE CONSTRUCCION POR CONTRATA</v>
          </cell>
          <cell r="D557">
            <v>0</v>
          </cell>
          <cell r="E557">
            <v>0</v>
          </cell>
          <cell r="F557">
            <v>0</v>
          </cell>
          <cell r="G557">
            <v>0</v>
          </cell>
          <cell r="H557">
            <v>0</v>
          </cell>
        </row>
        <row r="558">
          <cell r="C558" t="str">
            <v>2.6.8.1.3 - 1.ELABORACION DE EXPEDIENTES TECNICOS</v>
          </cell>
          <cell r="D558">
            <v>69837</v>
          </cell>
          <cell r="E558">
            <v>30000</v>
          </cell>
          <cell r="F558">
            <v>39837</v>
          </cell>
          <cell r="G558">
            <v>24166.33</v>
          </cell>
          <cell r="H558">
            <v>45670.67</v>
          </cell>
        </row>
        <row r="559">
          <cell r="C559"/>
          <cell r="D559"/>
          <cell r="E559"/>
          <cell r="F559"/>
          <cell r="G559"/>
          <cell r="H559"/>
        </row>
        <row r="560">
          <cell r="C560"/>
          <cell r="D560"/>
          <cell r="E560"/>
          <cell r="F560"/>
          <cell r="G560"/>
          <cell r="H560"/>
        </row>
        <row r="561">
          <cell r="C561" t="str">
            <v>2.6.2.2.3 - 2.COSTO DE CONSTRUCCION POR CONTRATA</v>
          </cell>
          <cell r="D561">
            <v>0</v>
          </cell>
          <cell r="E561">
            <v>0</v>
          </cell>
          <cell r="F561">
            <v>0</v>
          </cell>
          <cell r="G561">
            <v>0</v>
          </cell>
          <cell r="H561">
            <v>0</v>
          </cell>
        </row>
        <row r="562">
          <cell r="C562" t="str">
            <v>2.6.8.1.3 - 1.ELABORACION DE EXPEDIENTES TECNICOS</v>
          </cell>
          <cell r="D562">
            <v>50000</v>
          </cell>
          <cell r="E562">
            <v>50000</v>
          </cell>
          <cell r="F562">
            <v>0</v>
          </cell>
          <cell r="G562">
            <v>48541.71</v>
          </cell>
          <cell r="H562">
            <v>1458.2900000000009</v>
          </cell>
        </row>
        <row r="563">
          <cell r="C563"/>
          <cell r="D563"/>
          <cell r="E563"/>
          <cell r="F563"/>
          <cell r="G563"/>
          <cell r="H563"/>
        </row>
        <row r="564">
          <cell r="C564"/>
          <cell r="D564"/>
          <cell r="E564"/>
          <cell r="F564"/>
          <cell r="G564"/>
          <cell r="H564"/>
        </row>
        <row r="565">
          <cell r="C565" t="str">
            <v>2.6.2.2.3 - 2.COSTO DE CONSTRUCCION POR CONTRATA</v>
          </cell>
          <cell r="D565">
            <v>0</v>
          </cell>
          <cell r="E565">
            <v>0</v>
          </cell>
          <cell r="F565">
            <v>0</v>
          </cell>
          <cell r="G565">
            <v>0</v>
          </cell>
          <cell r="H565">
            <v>0</v>
          </cell>
        </row>
        <row r="566">
          <cell r="C566" t="str">
            <v>2.6.8.1.3 - 1.ELABORACION DE EXPEDIENTES TECNICOS</v>
          </cell>
          <cell r="D566">
            <v>304060</v>
          </cell>
          <cell r="E566">
            <v>291997.5</v>
          </cell>
          <cell r="F566">
            <v>12062.5</v>
          </cell>
          <cell r="G566">
            <v>226901.79</v>
          </cell>
          <cell r="H566">
            <v>77158.209999999992</v>
          </cell>
        </row>
        <row r="567">
          <cell r="C567"/>
          <cell r="D567"/>
          <cell r="E567"/>
          <cell r="F567"/>
          <cell r="G567"/>
          <cell r="H567"/>
        </row>
        <row r="568">
          <cell r="C568"/>
          <cell r="D568"/>
          <cell r="E568"/>
          <cell r="F568"/>
          <cell r="G568"/>
          <cell r="H568"/>
        </row>
        <row r="569">
          <cell r="C569" t="str">
            <v>2.6.2.2.3 - 2.COSTO DE CONSTRUCCION POR CONTRATA</v>
          </cell>
          <cell r="D569">
            <v>0</v>
          </cell>
          <cell r="E569">
            <v>0</v>
          </cell>
          <cell r="F569">
            <v>0</v>
          </cell>
          <cell r="G569">
            <v>0</v>
          </cell>
          <cell r="H569">
            <v>0</v>
          </cell>
        </row>
        <row r="570">
          <cell r="C570" t="str">
            <v>2.6.8.1.3 - 1.ELABORACION DE EXPEDIENTES TECNICOS</v>
          </cell>
          <cell r="D570">
            <v>0</v>
          </cell>
          <cell r="E570">
            <v>0</v>
          </cell>
          <cell r="F570">
            <v>0</v>
          </cell>
          <cell r="G570">
            <v>0</v>
          </cell>
          <cell r="H570">
            <v>0</v>
          </cell>
        </row>
        <row r="571">
          <cell r="C571"/>
          <cell r="D571"/>
          <cell r="E571"/>
          <cell r="F571"/>
          <cell r="G571"/>
          <cell r="H571"/>
        </row>
        <row r="572">
          <cell r="C572"/>
          <cell r="D572"/>
          <cell r="E572"/>
          <cell r="F572"/>
          <cell r="G572"/>
          <cell r="H572"/>
        </row>
        <row r="573">
          <cell r="C573" t="str">
            <v>2.6.2.2.2 - 2.COSTO DE CONSTRUCCION POR CONTRATA</v>
          </cell>
          <cell r="D573">
            <v>0</v>
          </cell>
          <cell r="E573">
            <v>0</v>
          </cell>
          <cell r="F573">
            <v>0</v>
          </cell>
          <cell r="G573">
            <v>0</v>
          </cell>
          <cell r="H573">
            <v>0</v>
          </cell>
        </row>
        <row r="574">
          <cell r="C574"/>
          <cell r="D574"/>
          <cell r="E574"/>
          <cell r="F574"/>
          <cell r="G574"/>
          <cell r="H574"/>
        </row>
        <row r="575">
          <cell r="C575"/>
          <cell r="D575"/>
          <cell r="E575"/>
          <cell r="F575"/>
          <cell r="G575"/>
          <cell r="H575"/>
        </row>
        <row r="576">
          <cell r="C576"/>
          <cell r="D576"/>
          <cell r="E576"/>
          <cell r="F576"/>
          <cell r="G576"/>
          <cell r="H576"/>
        </row>
        <row r="577">
          <cell r="C577" t="str">
            <v>2.6.2.2.3 - 2.COSTO DE CONSTRUCCION POR CONTRATA</v>
          </cell>
          <cell r="D577">
            <v>0</v>
          </cell>
          <cell r="E577">
            <v>0</v>
          </cell>
          <cell r="F577">
            <v>0</v>
          </cell>
          <cell r="G577">
            <v>0</v>
          </cell>
          <cell r="H577">
            <v>0</v>
          </cell>
        </row>
        <row r="578">
          <cell r="C578" t="str">
            <v>2.6.8.1.3 - 1.ELABORACION DE EXPEDIENTES TECNICOS</v>
          </cell>
          <cell r="D578">
            <v>340317</v>
          </cell>
          <cell r="E578">
            <v>335271.5</v>
          </cell>
          <cell r="F578">
            <v>5045.5</v>
          </cell>
          <cell r="G578">
            <v>228699.2</v>
          </cell>
          <cell r="H578">
            <v>111617.79999999999</v>
          </cell>
        </row>
        <row r="579">
          <cell r="C579"/>
          <cell r="D579"/>
          <cell r="E579"/>
          <cell r="F579"/>
          <cell r="G579"/>
          <cell r="H579"/>
        </row>
        <row r="580">
          <cell r="C580"/>
          <cell r="D580"/>
          <cell r="E580"/>
          <cell r="F580"/>
          <cell r="G580"/>
          <cell r="H580"/>
        </row>
        <row r="581">
          <cell r="C581" t="str">
            <v>2.6.2.2.3 - 2.COSTO DE CONSTRUCCION POR CONTRATA</v>
          </cell>
          <cell r="D581">
            <v>0</v>
          </cell>
          <cell r="E581">
            <v>0</v>
          </cell>
          <cell r="F581">
            <v>0</v>
          </cell>
          <cell r="G581">
            <v>0</v>
          </cell>
          <cell r="H581">
            <v>0</v>
          </cell>
        </row>
        <row r="582">
          <cell r="C582" t="str">
            <v>2.6.8.1.3 - 1.ELABORACION DE EXPEDIENTES TECNICOS</v>
          </cell>
          <cell r="D582">
            <v>282553</v>
          </cell>
          <cell r="E582">
            <v>282553</v>
          </cell>
          <cell r="F582">
            <v>0</v>
          </cell>
          <cell r="G582">
            <v>0</v>
          </cell>
          <cell r="H582">
            <v>282553</v>
          </cell>
        </row>
        <row r="583">
          <cell r="C583"/>
          <cell r="D583"/>
          <cell r="E583"/>
          <cell r="F583"/>
          <cell r="G583"/>
          <cell r="H583"/>
        </row>
        <row r="584">
          <cell r="C584"/>
          <cell r="D584"/>
          <cell r="E584"/>
          <cell r="F584"/>
          <cell r="G584"/>
          <cell r="H584"/>
        </row>
        <row r="585">
          <cell r="C585" t="str">
            <v>2.6.8.1.3 - 1.ELABORACION DE EXPEDIENTES TECNICOS</v>
          </cell>
          <cell r="D585">
            <v>200000</v>
          </cell>
          <cell r="E585">
            <v>0</v>
          </cell>
          <cell r="F585">
            <v>200000</v>
          </cell>
          <cell r="G585">
            <v>0</v>
          </cell>
          <cell r="H585">
            <v>200000</v>
          </cell>
        </row>
        <row r="586">
          <cell r="C586"/>
          <cell r="D586"/>
          <cell r="E586"/>
          <cell r="F586"/>
          <cell r="G586"/>
          <cell r="H586"/>
        </row>
        <row r="587">
          <cell r="C587"/>
          <cell r="D587"/>
          <cell r="E587"/>
          <cell r="F587"/>
          <cell r="G587"/>
          <cell r="H587"/>
        </row>
        <row r="588">
          <cell r="C588"/>
          <cell r="D588"/>
          <cell r="E588"/>
          <cell r="F588"/>
          <cell r="G588"/>
          <cell r="H588"/>
        </row>
        <row r="589">
          <cell r="C589" t="str">
            <v>2.6.8.1.3 - 1.ELABORACION DE EXPEDIENTES TECNICOS</v>
          </cell>
          <cell r="D589">
            <v>199545</v>
          </cell>
          <cell r="E589">
            <v>199545</v>
          </cell>
          <cell r="F589">
            <v>0</v>
          </cell>
          <cell r="G589">
            <v>127534.07</v>
          </cell>
          <cell r="H589">
            <v>72010.929999999993</v>
          </cell>
        </row>
        <row r="590">
          <cell r="C590"/>
          <cell r="D590"/>
          <cell r="E590"/>
          <cell r="F590"/>
          <cell r="G590"/>
          <cell r="H590"/>
        </row>
        <row r="591">
          <cell r="C591"/>
          <cell r="D591"/>
          <cell r="E591"/>
          <cell r="F591"/>
          <cell r="G591"/>
          <cell r="H591"/>
        </row>
        <row r="592">
          <cell r="C592"/>
          <cell r="D592"/>
          <cell r="E592"/>
          <cell r="F592"/>
          <cell r="G592"/>
          <cell r="H592"/>
        </row>
        <row r="593">
          <cell r="C593" t="str">
            <v>2.6.8.1.3 - 1.ELABORACION DE EXPEDIENTES TECNICOS</v>
          </cell>
          <cell r="D593">
            <v>192812</v>
          </cell>
          <cell r="E593">
            <v>180485</v>
          </cell>
          <cell r="F593">
            <v>12327</v>
          </cell>
          <cell r="G593">
            <v>82982.33</v>
          </cell>
          <cell r="H593">
            <v>109829.67</v>
          </cell>
        </row>
        <row r="594">
          <cell r="C594"/>
          <cell r="D594"/>
          <cell r="E594"/>
          <cell r="F594"/>
          <cell r="G594"/>
          <cell r="H594"/>
        </row>
        <row r="595">
          <cell r="C595"/>
          <cell r="D595"/>
          <cell r="E595"/>
          <cell r="F595"/>
          <cell r="G595"/>
          <cell r="H595"/>
        </row>
        <row r="596">
          <cell r="C596"/>
          <cell r="D596"/>
          <cell r="E596"/>
          <cell r="F596"/>
          <cell r="G596"/>
          <cell r="H596"/>
        </row>
        <row r="597">
          <cell r="C597" t="str">
            <v>2.6.8.1.3 - 1.ELABORACION DE EXPEDIENTES TECNICOS</v>
          </cell>
          <cell r="D597">
            <v>287709</v>
          </cell>
          <cell r="E597">
            <v>60651.5</v>
          </cell>
          <cell r="F597">
            <v>227057.5</v>
          </cell>
          <cell r="G597">
            <v>0</v>
          </cell>
          <cell r="H597">
            <v>287709</v>
          </cell>
        </row>
        <row r="598">
          <cell r="C598"/>
          <cell r="D598"/>
          <cell r="E598"/>
          <cell r="F598"/>
          <cell r="G598"/>
          <cell r="H598"/>
        </row>
        <row r="599">
          <cell r="C599"/>
          <cell r="D599"/>
          <cell r="E599"/>
          <cell r="F599"/>
          <cell r="G599"/>
          <cell r="H599"/>
        </row>
        <row r="600">
          <cell r="C600"/>
          <cell r="D600"/>
          <cell r="E600"/>
          <cell r="F600"/>
          <cell r="G600"/>
          <cell r="H600"/>
        </row>
        <row r="601">
          <cell r="C601" t="str">
            <v>2.6.8.1.3 - 1.ELABORACION DE EXPEDIENTES TECNICOS</v>
          </cell>
          <cell r="D601">
            <v>140000</v>
          </cell>
          <cell r="E601">
            <v>140000</v>
          </cell>
          <cell r="F601">
            <v>0</v>
          </cell>
          <cell r="G601">
            <v>131428.18</v>
          </cell>
          <cell r="H601">
            <v>8571.820000000007</v>
          </cell>
        </row>
        <row r="602">
          <cell r="C602"/>
          <cell r="D602"/>
          <cell r="E602"/>
          <cell r="F602"/>
          <cell r="G602"/>
          <cell r="H602"/>
        </row>
        <row r="603">
          <cell r="C603"/>
          <cell r="D603"/>
          <cell r="E603"/>
          <cell r="F603"/>
          <cell r="G603"/>
          <cell r="H603"/>
        </row>
        <row r="604">
          <cell r="C604"/>
          <cell r="D604"/>
          <cell r="E604"/>
          <cell r="F604"/>
          <cell r="G604"/>
          <cell r="H604"/>
        </row>
        <row r="605">
          <cell r="C605" t="str">
            <v>2.6.8.1.3 - 1.ELABORACION DE EXPEDIENTES TECNICOS</v>
          </cell>
          <cell r="D605">
            <v>287709</v>
          </cell>
          <cell r="E605">
            <v>60651.5</v>
          </cell>
          <cell r="F605">
            <v>227057.5</v>
          </cell>
          <cell r="G605">
            <v>0</v>
          </cell>
          <cell r="H605">
            <v>287709</v>
          </cell>
        </row>
        <row r="606">
          <cell r="C606"/>
          <cell r="D606"/>
          <cell r="E606"/>
          <cell r="F606"/>
          <cell r="G606"/>
          <cell r="H606"/>
        </row>
        <row r="607">
          <cell r="C607"/>
          <cell r="D607"/>
          <cell r="E607"/>
          <cell r="F607"/>
          <cell r="G607"/>
          <cell r="H607"/>
        </row>
        <row r="608">
          <cell r="C608"/>
          <cell r="D608"/>
          <cell r="E608"/>
          <cell r="F608"/>
          <cell r="G608"/>
          <cell r="H608"/>
        </row>
        <row r="609">
          <cell r="C609" t="str">
            <v>2.6.8.1.3 - 1.ELABORACION DE EXPEDIENTES TECNICOS</v>
          </cell>
          <cell r="D609">
            <v>140000</v>
          </cell>
          <cell r="E609">
            <v>140000</v>
          </cell>
          <cell r="F609">
            <v>0</v>
          </cell>
          <cell r="G609">
            <v>131428.18</v>
          </cell>
          <cell r="H609">
            <v>8571.820000000007</v>
          </cell>
        </row>
        <row r="610">
          <cell r="C610"/>
          <cell r="D610"/>
          <cell r="E610"/>
          <cell r="F610"/>
          <cell r="G610"/>
          <cell r="H610"/>
        </row>
        <row r="611">
          <cell r="C611"/>
          <cell r="D611"/>
          <cell r="E611"/>
          <cell r="F611"/>
          <cell r="G611"/>
          <cell r="H611"/>
        </row>
        <row r="612">
          <cell r="C612"/>
          <cell r="D612"/>
          <cell r="E612"/>
          <cell r="F612"/>
          <cell r="G612"/>
          <cell r="H612"/>
        </row>
        <row r="613">
          <cell r="C613" t="str">
            <v>2.6.8.1.3 - 1.ELABORACION DE EXPEDIENTES TECNICOS</v>
          </cell>
          <cell r="D613">
            <v>87823</v>
          </cell>
          <cell r="E613">
            <v>0</v>
          </cell>
          <cell r="F613">
            <v>87823</v>
          </cell>
          <cell r="G613">
            <v>0</v>
          </cell>
          <cell r="H613">
            <v>87823</v>
          </cell>
        </row>
        <row r="614">
          <cell r="C614"/>
          <cell r="D614"/>
          <cell r="E614"/>
          <cell r="F614"/>
          <cell r="G614"/>
          <cell r="H614"/>
        </row>
        <row r="615">
          <cell r="C615"/>
          <cell r="D615"/>
          <cell r="E615"/>
          <cell r="F615"/>
          <cell r="G615"/>
          <cell r="H615"/>
        </row>
        <row r="616">
          <cell r="C616"/>
          <cell r="D616"/>
          <cell r="E616"/>
          <cell r="F616"/>
          <cell r="G616"/>
          <cell r="H616"/>
        </row>
        <row r="617">
          <cell r="C617" t="str">
            <v>2.6.2.2.2 - 2.COSTO DE CONSTRUCCION POR CONTRATA</v>
          </cell>
          <cell r="D617">
            <v>970838</v>
          </cell>
          <cell r="E617">
            <v>970838</v>
          </cell>
          <cell r="F617">
            <v>0</v>
          </cell>
          <cell r="G617">
            <v>0</v>
          </cell>
          <cell r="H617">
            <v>970838</v>
          </cell>
        </row>
        <row r="618">
          <cell r="C618" t="str">
            <v>2.6.8.1.4 - 3.GASTO POR LA CONTRATACION DE SERVICIOS</v>
          </cell>
          <cell r="D618">
            <v>67259</v>
          </cell>
          <cell r="E618">
            <v>67259</v>
          </cell>
          <cell r="F618">
            <v>0</v>
          </cell>
          <cell r="G618">
            <v>0</v>
          </cell>
          <cell r="H618">
            <v>67259</v>
          </cell>
        </row>
        <row r="619">
          <cell r="C619"/>
          <cell r="D619"/>
          <cell r="E619"/>
          <cell r="F619"/>
          <cell r="G619"/>
          <cell r="H619"/>
        </row>
        <row r="620">
          <cell r="C620"/>
          <cell r="D620"/>
          <cell r="E620"/>
          <cell r="F620"/>
          <cell r="G620"/>
          <cell r="H620"/>
        </row>
        <row r="621">
          <cell r="C621" t="str">
            <v>2.6.2.3.9 - 2.COSTO DE CONSTRUCCION POR CONTRATA</v>
          </cell>
          <cell r="D621">
            <v>2741138</v>
          </cell>
          <cell r="E621">
            <v>0</v>
          </cell>
          <cell r="F621">
            <v>2741138</v>
          </cell>
          <cell r="G621">
            <v>0</v>
          </cell>
          <cell r="H621">
            <v>2741138</v>
          </cell>
        </row>
        <row r="622">
          <cell r="C622"/>
          <cell r="D622"/>
          <cell r="E622"/>
          <cell r="F622"/>
          <cell r="G622"/>
          <cell r="H622"/>
        </row>
        <row r="623">
          <cell r="C623"/>
          <cell r="D623"/>
          <cell r="E623"/>
          <cell r="F623"/>
          <cell r="G623"/>
          <cell r="H623"/>
        </row>
        <row r="624">
          <cell r="C624"/>
          <cell r="D624"/>
          <cell r="E624"/>
          <cell r="F624"/>
          <cell r="G624"/>
          <cell r="H624"/>
        </row>
        <row r="625">
          <cell r="C625" t="str">
            <v>2.6.8.1.3 - 1.ELABORACION DE EXPEDIENTES TECNICOS</v>
          </cell>
          <cell r="D625">
            <v>94054</v>
          </cell>
          <cell r="E625">
            <v>94054</v>
          </cell>
          <cell r="F625">
            <v>0</v>
          </cell>
          <cell r="G625">
            <v>60075.86</v>
          </cell>
          <cell r="H625">
            <v>33978.14</v>
          </cell>
        </row>
        <row r="626">
          <cell r="C626"/>
          <cell r="D626"/>
          <cell r="E626"/>
          <cell r="F626"/>
          <cell r="G626"/>
          <cell r="H626"/>
        </row>
        <row r="627">
          <cell r="C627"/>
          <cell r="D627"/>
          <cell r="E627"/>
          <cell r="F627"/>
          <cell r="G627"/>
          <cell r="H627"/>
        </row>
        <row r="628">
          <cell r="C628"/>
          <cell r="D628"/>
          <cell r="E628"/>
          <cell r="F628"/>
          <cell r="G628"/>
          <cell r="H628"/>
        </row>
        <row r="629">
          <cell r="C629" t="str">
            <v>2.6.2.2.2 - 2.COSTO DE CONSTRUCCION POR CONTRATA</v>
          </cell>
          <cell r="D629">
            <v>814519</v>
          </cell>
          <cell r="E629">
            <v>0</v>
          </cell>
          <cell r="F629">
            <v>814519</v>
          </cell>
          <cell r="G629">
            <v>0</v>
          </cell>
          <cell r="H629">
            <v>814519</v>
          </cell>
        </row>
        <row r="630">
          <cell r="C630" t="str">
            <v>2.6.8.1.3 - 1.ELABORACION DE EXPEDIENTES TECNICOS</v>
          </cell>
          <cell r="D630">
            <v>41798</v>
          </cell>
          <cell r="E630">
            <v>0</v>
          </cell>
          <cell r="F630">
            <v>41798</v>
          </cell>
          <cell r="G630">
            <v>0</v>
          </cell>
          <cell r="H630">
            <v>41798</v>
          </cell>
        </row>
        <row r="631">
          <cell r="C631" t="str">
            <v>2.6.8.1.4 - 1.GASTO POR LA CONTRATACION DE PERSONAL</v>
          </cell>
          <cell r="D631">
            <v>0</v>
          </cell>
          <cell r="E631">
            <v>0</v>
          </cell>
          <cell r="F631">
            <v>0</v>
          </cell>
          <cell r="G631">
            <v>0</v>
          </cell>
          <cell r="H631">
            <v>0</v>
          </cell>
        </row>
        <row r="632">
          <cell r="C632" t="str">
            <v>2.6.8.1.4 - 2.GASTO POR LA COMPRA DE BIENES</v>
          </cell>
          <cell r="D632">
            <v>0</v>
          </cell>
          <cell r="E632">
            <v>0</v>
          </cell>
          <cell r="F632">
            <v>0</v>
          </cell>
          <cell r="G632">
            <v>0</v>
          </cell>
          <cell r="H632">
            <v>0</v>
          </cell>
        </row>
        <row r="633">
          <cell r="C633" t="str">
            <v>2.6.8.1.3 - 1.ELABORACION DE EXPEDIENTES TECNICOS</v>
          </cell>
          <cell r="D633">
            <v>200000</v>
          </cell>
          <cell r="E633">
            <v>0</v>
          </cell>
          <cell r="F633">
            <v>200000</v>
          </cell>
          <cell r="G633">
            <v>0</v>
          </cell>
          <cell r="H633">
            <v>200000</v>
          </cell>
        </row>
        <row r="634">
          <cell r="C634"/>
          <cell r="D634"/>
          <cell r="E634"/>
          <cell r="F634"/>
          <cell r="G634"/>
          <cell r="H634"/>
        </row>
        <row r="635">
          <cell r="C635"/>
          <cell r="D635"/>
          <cell r="E635"/>
          <cell r="F635"/>
          <cell r="G635"/>
          <cell r="H635"/>
        </row>
        <row r="636">
          <cell r="C636"/>
          <cell r="D636"/>
          <cell r="E636"/>
          <cell r="F636"/>
          <cell r="G636"/>
          <cell r="H636"/>
        </row>
        <row r="637">
          <cell r="C637" t="str">
            <v>2.6.8.1.3 - 1.ELABORACION DE EXPEDIENTES TECNICOS</v>
          </cell>
          <cell r="D637">
            <v>200000</v>
          </cell>
          <cell r="E637">
            <v>0</v>
          </cell>
          <cell r="F637">
            <v>200000</v>
          </cell>
          <cell r="G637">
            <v>0</v>
          </cell>
          <cell r="H637">
            <v>200000</v>
          </cell>
        </row>
        <row r="638">
          <cell r="C638"/>
          <cell r="D638"/>
          <cell r="E638"/>
          <cell r="F638"/>
          <cell r="G638"/>
          <cell r="H638"/>
        </row>
        <row r="639">
          <cell r="C639"/>
          <cell r="D639"/>
          <cell r="E639"/>
          <cell r="F639"/>
          <cell r="G639"/>
          <cell r="H639"/>
        </row>
        <row r="640">
          <cell r="C640"/>
          <cell r="D640"/>
          <cell r="E640"/>
          <cell r="F640"/>
          <cell r="G640"/>
          <cell r="H640"/>
        </row>
        <row r="641">
          <cell r="C641" t="str">
            <v>2.6.8.1.3 - 1.ELABORACION DE EXPEDIENTES TECNICOS</v>
          </cell>
          <cell r="D641">
            <v>171496</v>
          </cell>
          <cell r="E641">
            <v>0</v>
          </cell>
          <cell r="F641">
            <v>171496</v>
          </cell>
          <cell r="G641">
            <v>0</v>
          </cell>
          <cell r="H641">
            <v>171496</v>
          </cell>
        </row>
        <row r="642">
          <cell r="C642"/>
          <cell r="D642"/>
          <cell r="E642"/>
          <cell r="F642"/>
          <cell r="G642"/>
          <cell r="H642"/>
        </row>
        <row r="643">
          <cell r="C643"/>
          <cell r="D643"/>
          <cell r="E643"/>
          <cell r="F643"/>
          <cell r="G643"/>
          <cell r="H643"/>
        </row>
        <row r="644">
          <cell r="C644"/>
          <cell r="D644"/>
          <cell r="E644"/>
          <cell r="F644"/>
          <cell r="G644"/>
          <cell r="H644"/>
        </row>
        <row r="645">
          <cell r="C645" t="str">
            <v>2.6.8.1.3 - 1.ELABORACION DE EXPEDIENTES TECNICOS</v>
          </cell>
          <cell r="D645">
            <v>273457</v>
          </cell>
          <cell r="E645">
            <v>0</v>
          </cell>
          <cell r="F645">
            <v>273457</v>
          </cell>
          <cell r="G645">
            <v>0</v>
          </cell>
          <cell r="H645">
            <v>273457</v>
          </cell>
        </row>
        <row r="646">
          <cell r="C646"/>
          <cell r="D646"/>
          <cell r="E646"/>
          <cell r="F646"/>
          <cell r="G646"/>
          <cell r="H646"/>
        </row>
        <row r="647">
          <cell r="C647"/>
          <cell r="D647"/>
          <cell r="E647"/>
          <cell r="F647"/>
          <cell r="G647"/>
          <cell r="H647"/>
        </row>
        <row r="648">
          <cell r="C648"/>
          <cell r="D648"/>
          <cell r="E648"/>
          <cell r="F648"/>
          <cell r="G648"/>
          <cell r="H648"/>
        </row>
        <row r="649">
          <cell r="C649" t="str">
            <v>2.6.8.1.3 - 1.ELABORACION DE EXPEDIENTES TECNICOS</v>
          </cell>
          <cell r="D649">
            <v>81510</v>
          </cell>
          <cell r="E649">
            <v>0</v>
          </cell>
          <cell r="F649">
            <v>81510</v>
          </cell>
          <cell r="G649">
            <v>0</v>
          </cell>
          <cell r="H649">
            <v>81510</v>
          </cell>
        </row>
        <row r="650">
          <cell r="C650"/>
          <cell r="D650"/>
          <cell r="E650"/>
          <cell r="F650"/>
          <cell r="G650"/>
          <cell r="H650"/>
        </row>
        <row r="651">
          <cell r="C651"/>
          <cell r="D651"/>
          <cell r="E651"/>
          <cell r="F651"/>
          <cell r="G651"/>
          <cell r="H651"/>
        </row>
        <row r="652">
          <cell r="C652"/>
          <cell r="D652"/>
          <cell r="E652"/>
          <cell r="F652"/>
          <cell r="G652"/>
          <cell r="H652"/>
        </row>
        <row r="653">
          <cell r="C653" t="str">
            <v>2.6.8.1.3 - 1.ELABORACION DE EXPEDIENTES TECNICOS</v>
          </cell>
          <cell r="D653">
            <v>75291</v>
          </cell>
          <cell r="E653">
            <v>0</v>
          </cell>
          <cell r="F653">
            <v>75291</v>
          </cell>
          <cell r="G653">
            <v>0</v>
          </cell>
          <cell r="H653">
            <v>75291</v>
          </cell>
        </row>
        <row r="654">
          <cell r="C654"/>
          <cell r="D654"/>
          <cell r="E654"/>
          <cell r="F654"/>
          <cell r="G654"/>
          <cell r="H654"/>
        </row>
        <row r="655">
          <cell r="C655"/>
          <cell r="D655"/>
          <cell r="E655"/>
          <cell r="F655"/>
          <cell r="G655"/>
          <cell r="H655"/>
        </row>
        <row r="656">
          <cell r="C656"/>
          <cell r="D656"/>
          <cell r="E656"/>
          <cell r="F656"/>
          <cell r="G656"/>
          <cell r="H656"/>
        </row>
        <row r="657">
          <cell r="C657" t="str">
            <v>2.6.8.1.3 - 1.ELABORACION DE EXPEDIENTES TECNICOS</v>
          </cell>
          <cell r="D657">
            <v>149283</v>
          </cell>
          <cell r="E657">
            <v>0</v>
          </cell>
          <cell r="F657">
            <v>149283</v>
          </cell>
          <cell r="G657">
            <v>0</v>
          </cell>
          <cell r="H657">
            <v>149283</v>
          </cell>
        </row>
        <row r="658">
          <cell r="C658"/>
          <cell r="D658"/>
          <cell r="E658"/>
          <cell r="F658"/>
          <cell r="G658"/>
          <cell r="H658"/>
        </row>
        <row r="659">
          <cell r="C659"/>
          <cell r="D659"/>
          <cell r="E659"/>
          <cell r="F659"/>
          <cell r="G659"/>
          <cell r="H659"/>
        </row>
        <row r="660">
          <cell r="C660"/>
          <cell r="D660"/>
          <cell r="E660"/>
          <cell r="F660"/>
          <cell r="G660"/>
          <cell r="H660"/>
        </row>
        <row r="661">
          <cell r="C661" t="str">
            <v>2.6.2.2.2 - 2.COSTO DE CONSTRUCCION POR CONTRATA</v>
          </cell>
          <cell r="D661">
            <v>2394005</v>
          </cell>
          <cell r="E661">
            <v>0</v>
          </cell>
          <cell r="F661">
            <v>2394005</v>
          </cell>
          <cell r="G661">
            <v>0</v>
          </cell>
          <cell r="H661">
            <v>2394005</v>
          </cell>
        </row>
        <row r="662">
          <cell r="C662"/>
          <cell r="D662"/>
          <cell r="E662"/>
          <cell r="F662"/>
          <cell r="G662"/>
          <cell r="H662"/>
        </row>
        <row r="663">
          <cell r="C663"/>
          <cell r="D663"/>
          <cell r="E663"/>
          <cell r="F663"/>
          <cell r="G663"/>
          <cell r="H663"/>
        </row>
        <row r="664">
          <cell r="C664"/>
          <cell r="D664"/>
          <cell r="E664"/>
          <cell r="F664"/>
          <cell r="G664"/>
          <cell r="H664"/>
        </row>
        <row r="665">
          <cell r="C665" t="str">
            <v>2.6.8.1.3 - 1.ELABORACION DE EXPEDIENTES TECNICOS</v>
          </cell>
          <cell r="D665">
            <v>150000</v>
          </cell>
          <cell r="E665">
            <v>0</v>
          </cell>
          <cell r="F665">
            <v>150000</v>
          </cell>
          <cell r="G665">
            <v>0</v>
          </cell>
          <cell r="H665">
            <v>150000</v>
          </cell>
        </row>
        <row r="666">
          <cell r="C666"/>
          <cell r="D666"/>
          <cell r="E666"/>
          <cell r="F666"/>
          <cell r="G666"/>
          <cell r="H666"/>
        </row>
        <row r="667">
          <cell r="C667"/>
          <cell r="D667"/>
          <cell r="E667"/>
          <cell r="F667"/>
          <cell r="G667"/>
          <cell r="H667"/>
        </row>
        <row r="668">
          <cell r="C668"/>
          <cell r="D668"/>
          <cell r="E668"/>
          <cell r="F668"/>
          <cell r="G668"/>
          <cell r="H668"/>
        </row>
        <row r="669">
          <cell r="C669" t="str">
            <v>2.6.8.1.3 - 1.ELABORACION DE EXPEDIENTES TECNICOS</v>
          </cell>
          <cell r="D669">
            <v>100000</v>
          </cell>
          <cell r="E669">
            <v>0</v>
          </cell>
          <cell r="F669">
            <v>100000</v>
          </cell>
          <cell r="G669">
            <v>0</v>
          </cell>
          <cell r="H669">
            <v>100000</v>
          </cell>
        </row>
        <row r="670">
          <cell r="C670"/>
          <cell r="D670"/>
          <cell r="E670"/>
          <cell r="F670"/>
          <cell r="G670"/>
          <cell r="H670"/>
        </row>
        <row r="671">
          <cell r="C671"/>
          <cell r="D671"/>
          <cell r="E671"/>
          <cell r="F671"/>
          <cell r="G671"/>
          <cell r="H671"/>
        </row>
        <row r="672">
          <cell r="C672"/>
          <cell r="D672"/>
          <cell r="E672"/>
          <cell r="F672"/>
          <cell r="G672"/>
          <cell r="H672"/>
        </row>
        <row r="673">
          <cell r="C673"/>
          <cell r="D673"/>
          <cell r="E673"/>
          <cell r="F673"/>
          <cell r="G673"/>
          <cell r="H673"/>
        </row>
        <row r="674">
          <cell r="C674"/>
          <cell r="D674"/>
          <cell r="E674"/>
          <cell r="F674"/>
          <cell r="G674"/>
          <cell r="H674"/>
        </row>
        <row r="675">
          <cell r="C675"/>
          <cell r="D675"/>
          <cell r="E675"/>
          <cell r="F675"/>
          <cell r="G675"/>
          <cell r="H675"/>
        </row>
        <row r="676">
          <cell r="C676"/>
          <cell r="D676"/>
          <cell r="E676"/>
          <cell r="F676"/>
          <cell r="G676"/>
          <cell r="H676"/>
        </row>
        <row r="677">
          <cell r="C677"/>
          <cell r="D677"/>
          <cell r="E677"/>
          <cell r="F677"/>
          <cell r="G677"/>
          <cell r="H677"/>
        </row>
        <row r="678">
          <cell r="C678"/>
          <cell r="D678"/>
          <cell r="E678"/>
          <cell r="F678"/>
          <cell r="G678"/>
          <cell r="H678"/>
        </row>
        <row r="679">
          <cell r="C679"/>
          <cell r="D679"/>
          <cell r="E679"/>
          <cell r="F679"/>
          <cell r="G679"/>
          <cell r="H679"/>
        </row>
        <row r="680">
          <cell r="C680"/>
          <cell r="D680"/>
          <cell r="E680"/>
          <cell r="F680"/>
          <cell r="G680"/>
          <cell r="H680"/>
        </row>
        <row r="681">
          <cell r="C681"/>
          <cell r="D681"/>
          <cell r="E681"/>
          <cell r="F681"/>
          <cell r="G681"/>
          <cell r="H681"/>
        </row>
        <row r="682">
          <cell r="C682"/>
          <cell r="D682"/>
          <cell r="E682"/>
          <cell r="F682"/>
          <cell r="G682"/>
          <cell r="H682"/>
        </row>
        <row r="683">
          <cell r="C683"/>
          <cell r="D683"/>
          <cell r="E683"/>
          <cell r="F683"/>
          <cell r="G683"/>
          <cell r="H683"/>
        </row>
        <row r="684">
          <cell r="C684"/>
          <cell r="D684"/>
          <cell r="E684"/>
          <cell r="F684"/>
          <cell r="G684"/>
          <cell r="H684"/>
        </row>
        <row r="685">
          <cell r="C685"/>
          <cell r="D685"/>
          <cell r="E685"/>
          <cell r="F685"/>
          <cell r="G685"/>
          <cell r="H685"/>
        </row>
        <row r="686">
          <cell r="C686"/>
          <cell r="D686"/>
          <cell r="E686"/>
          <cell r="F686"/>
          <cell r="G686"/>
          <cell r="H686"/>
        </row>
        <row r="687">
          <cell r="C687"/>
          <cell r="D687"/>
          <cell r="E687"/>
          <cell r="F687"/>
          <cell r="G687"/>
          <cell r="H687"/>
        </row>
        <row r="688">
          <cell r="C688"/>
          <cell r="D688"/>
          <cell r="E688"/>
          <cell r="F688"/>
          <cell r="G688"/>
          <cell r="H688"/>
        </row>
        <row r="689">
          <cell r="C689"/>
          <cell r="D689"/>
          <cell r="E689"/>
          <cell r="F689"/>
          <cell r="G689"/>
          <cell r="H689"/>
        </row>
        <row r="690">
          <cell r="C690"/>
          <cell r="D690"/>
          <cell r="E690"/>
          <cell r="F690"/>
          <cell r="G690"/>
          <cell r="H690"/>
        </row>
        <row r="691">
          <cell r="C691"/>
          <cell r="D691"/>
          <cell r="E691"/>
          <cell r="F691"/>
          <cell r="G691"/>
          <cell r="H691"/>
        </row>
        <row r="692">
          <cell r="C692"/>
          <cell r="D692"/>
          <cell r="E692"/>
          <cell r="F692"/>
          <cell r="G692"/>
          <cell r="H692"/>
        </row>
        <row r="693">
          <cell r="C693"/>
          <cell r="D693"/>
          <cell r="E693"/>
          <cell r="F693"/>
          <cell r="G693"/>
          <cell r="H693"/>
        </row>
        <row r="694">
          <cell r="C694"/>
          <cell r="D694"/>
          <cell r="E694"/>
          <cell r="F694"/>
          <cell r="G694"/>
          <cell r="H694"/>
        </row>
        <row r="695">
          <cell r="C695"/>
          <cell r="D695"/>
          <cell r="E695"/>
          <cell r="F695"/>
          <cell r="G695"/>
          <cell r="H695"/>
        </row>
        <row r="696">
          <cell r="C696"/>
          <cell r="D696"/>
          <cell r="E696"/>
          <cell r="F696"/>
          <cell r="G696"/>
          <cell r="H696"/>
        </row>
        <row r="697">
          <cell r="C697"/>
          <cell r="D697"/>
          <cell r="E697"/>
          <cell r="F697"/>
          <cell r="G697"/>
          <cell r="H697"/>
        </row>
        <row r="698">
          <cell r="C698"/>
          <cell r="D698"/>
          <cell r="E698"/>
          <cell r="F698"/>
          <cell r="G698"/>
          <cell r="H698"/>
        </row>
        <row r="699">
          <cell r="C699"/>
          <cell r="D699"/>
          <cell r="E699"/>
          <cell r="F699"/>
          <cell r="G699"/>
          <cell r="H699"/>
        </row>
        <row r="700">
          <cell r="C700"/>
          <cell r="D700"/>
          <cell r="E700"/>
          <cell r="F700"/>
          <cell r="G700"/>
          <cell r="H700"/>
        </row>
      </sheetData>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Proyeccion 2.6"/>
    </sheetNames>
    <sheetDataSet>
      <sheetData sheetId="0"/>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6"/>
  <dimension ref="A1:AE2465"/>
  <sheetViews>
    <sheetView view="pageBreakPreview" topLeftCell="A2402" zoomScale="70" zoomScaleNormal="60" zoomScaleSheetLayoutView="70" workbookViewId="0">
      <selection activeCell="A2465" sqref="A2465"/>
    </sheetView>
  </sheetViews>
  <sheetFormatPr baseColWidth="10" defaultRowHeight="12.75" x14ac:dyDescent="0.2"/>
  <cols>
    <col min="1" max="1" width="13" style="56" bestFit="1" customWidth="1"/>
    <col min="4" max="4" width="13.7109375" customWidth="1"/>
    <col min="5" max="5" width="20.28515625" customWidth="1"/>
    <col min="6" max="6" width="31.7109375" customWidth="1"/>
    <col min="9" max="11" width="17.5703125" customWidth="1"/>
    <col min="17" max="17" width="15.28515625" customWidth="1"/>
    <col min="19" max="19" width="20.85546875" customWidth="1"/>
    <col min="20" max="20" width="13.7109375" customWidth="1"/>
    <col min="24" max="24" width="21.7109375" customWidth="1"/>
    <col min="28" max="28" width="17.28515625" customWidth="1"/>
    <col min="30" max="30" width="15.85546875" customWidth="1"/>
  </cols>
  <sheetData>
    <row r="1" spans="1:31" x14ac:dyDescent="0.2">
      <c r="A1" s="130" t="s">
        <v>1083</v>
      </c>
      <c r="B1" s="130" t="s">
        <v>1084</v>
      </c>
      <c r="C1" s="130" t="s">
        <v>1085</v>
      </c>
      <c r="D1" s="130" t="s">
        <v>1086</v>
      </c>
      <c r="E1" s="130" t="s">
        <v>1087</v>
      </c>
      <c r="F1" s="130" t="s">
        <v>1088</v>
      </c>
      <c r="G1" s="130" t="s">
        <v>1089</v>
      </c>
      <c r="H1" s="130" t="s">
        <v>1090</v>
      </c>
      <c r="I1" s="130" t="s">
        <v>1091</v>
      </c>
      <c r="J1" s="130" t="s">
        <v>1092</v>
      </c>
      <c r="K1" s="130" t="s">
        <v>1093</v>
      </c>
      <c r="L1" s="130" t="s">
        <v>1094</v>
      </c>
      <c r="M1" s="130" t="s">
        <v>1095</v>
      </c>
      <c r="N1" s="130" t="s">
        <v>1096</v>
      </c>
      <c r="O1" s="130" t="s">
        <v>1097</v>
      </c>
      <c r="P1" s="130" t="s">
        <v>1098</v>
      </c>
      <c r="Q1" s="130" t="s">
        <v>1099</v>
      </c>
      <c r="R1" s="130" t="s">
        <v>1100</v>
      </c>
      <c r="S1" s="130" t="s">
        <v>1101</v>
      </c>
      <c r="T1" s="130" t="s">
        <v>1102</v>
      </c>
      <c r="U1" s="130" t="s">
        <v>1103</v>
      </c>
      <c r="V1" s="131" t="s">
        <v>1104</v>
      </c>
      <c r="W1" s="131" t="s">
        <v>1105</v>
      </c>
      <c r="X1" s="131" t="s">
        <v>1106</v>
      </c>
      <c r="Y1" s="131" t="s">
        <v>1107</v>
      </c>
      <c r="Z1" s="131" t="s">
        <v>1108</v>
      </c>
      <c r="AA1" s="131" t="s">
        <v>1109</v>
      </c>
      <c r="AB1" s="131" t="s">
        <v>1110</v>
      </c>
      <c r="AC1" s="131" t="s">
        <v>1111</v>
      </c>
      <c r="AD1" s="131" t="s">
        <v>1112</v>
      </c>
      <c r="AE1" s="132" t="s">
        <v>1113</v>
      </c>
    </row>
    <row r="2" spans="1:31" x14ac:dyDescent="0.2">
      <c r="A2" s="130">
        <v>1</v>
      </c>
      <c r="B2" s="130" t="s">
        <v>153</v>
      </c>
      <c r="C2" s="130" t="s">
        <v>1114</v>
      </c>
      <c r="D2" s="130" t="s">
        <v>1115</v>
      </c>
      <c r="E2" s="130" t="s">
        <v>1116</v>
      </c>
      <c r="F2" s="130" t="s">
        <v>1117</v>
      </c>
      <c r="G2" s="130" t="s">
        <v>1118</v>
      </c>
      <c r="H2" s="130" t="s">
        <v>1119</v>
      </c>
      <c r="I2" s="130" t="s">
        <v>1120</v>
      </c>
      <c r="J2" s="130" t="s">
        <v>1121</v>
      </c>
      <c r="K2" s="130" t="s">
        <v>1122</v>
      </c>
      <c r="L2" s="130" t="s">
        <v>1123</v>
      </c>
      <c r="M2" s="130" t="s">
        <v>1124</v>
      </c>
      <c r="N2" s="130" t="s">
        <v>152</v>
      </c>
      <c r="O2" s="130" t="s">
        <v>1125</v>
      </c>
      <c r="P2" s="130" t="s">
        <v>1126</v>
      </c>
      <c r="Q2" s="130" t="s">
        <v>1127</v>
      </c>
      <c r="R2" s="130" t="s">
        <v>1128</v>
      </c>
      <c r="S2" s="130" t="s">
        <v>1129</v>
      </c>
      <c r="T2" s="130" t="s">
        <v>1130</v>
      </c>
      <c r="U2" s="130">
        <v>12460540</v>
      </c>
      <c r="V2" s="131">
        <v>-11880591</v>
      </c>
      <c r="W2" s="131">
        <v>579949</v>
      </c>
      <c r="X2" s="131">
        <v>0</v>
      </c>
      <c r="Y2" s="131">
        <v>579949</v>
      </c>
      <c r="Z2" s="131">
        <v>0</v>
      </c>
      <c r="AA2" s="131">
        <v>579949</v>
      </c>
      <c r="AB2" s="131">
        <v>0</v>
      </c>
      <c r="AC2" s="131">
        <v>579949</v>
      </c>
      <c r="AD2" s="131">
        <v>0</v>
      </c>
      <c r="AE2" s="132">
        <v>579949</v>
      </c>
    </row>
    <row r="3" spans="1:31" x14ac:dyDescent="0.2">
      <c r="A3" s="133">
        <v>1</v>
      </c>
      <c r="B3" s="133" t="s">
        <v>153</v>
      </c>
      <c r="C3" s="133" t="s">
        <v>1114</v>
      </c>
      <c r="D3" s="133" t="s">
        <v>1115</v>
      </c>
      <c r="E3" s="133" t="s">
        <v>1116</v>
      </c>
      <c r="F3" s="133" t="s">
        <v>1117</v>
      </c>
      <c r="G3" s="133" t="s">
        <v>1118</v>
      </c>
      <c r="H3" s="133" t="s">
        <v>1119</v>
      </c>
      <c r="I3" s="133" t="s">
        <v>1120</v>
      </c>
      <c r="J3" s="133" t="s">
        <v>1121</v>
      </c>
      <c r="K3" s="130" t="s">
        <v>1131</v>
      </c>
      <c r="L3" s="130" t="s">
        <v>1123</v>
      </c>
      <c r="M3" s="130" t="s">
        <v>1124</v>
      </c>
      <c r="N3" s="130" t="s">
        <v>152</v>
      </c>
      <c r="O3" s="130" t="s">
        <v>1125</v>
      </c>
      <c r="P3" s="130" t="s">
        <v>1126</v>
      </c>
      <c r="Q3" s="130" t="s">
        <v>1127</v>
      </c>
      <c r="R3" s="130" t="s">
        <v>1128</v>
      </c>
      <c r="S3" s="130" t="s">
        <v>1129</v>
      </c>
      <c r="T3" s="130" t="s">
        <v>1130</v>
      </c>
      <c r="U3" s="130">
        <v>0</v>
      </c>
      <c r="V3" s="131">
        <v>160000</v>
      </c>
      <c r="W3" s="131">
        <v>160000</v>
      </c>
      <c r="X3" s="131">
        <v>100000</v>
      </c>
      <c r="Y3" s="131">
        <v>60000</v>
      </c>
      <c r="Z3" s="131">
        <v>100000</v>
      </c>
      <c r="AA3" s="131">
        <v>60000</v>
      </c>
      <c r="AB3" s="131">
        <v>55428.039999999994</v>
      </c>
      <c r="AC3" s="131">
        <v>104571.96</v>
      </c>
      <c r="AD3" s="131">
        <v>55428.039999999994</v>
      </c>
      <c r="AE3" s="132">
        <v>104571.96</v>
      </c>
    </row>
    <row r="4" spans="1:31" x14ac:dyDescent="0.2">
      <c r="A4" s="133">
        <v>1</v>
      </c>
      <c r="B4" s="133" t="s">
        <v>153</v>
      </c>
      <c r="C4" s="133" t="s">
        <v>1114</v>
      </c>
      <c r="D4" s="133" t="s">
        <v>1115</v>
      </c>
      <c r="E4" s="133" t="s">
        <v>1116</v>
      </c>
      <c r="F4" s="133" t="s">
        <v>1117</v>
      </c>
      <c r="G4" s="133" t="s">
        <v>1118</v>
      </c>
      <c r="H4" s="133" t="s">
        <v>1119</v>
      </c>
      <c r="I4" s="133" t="s">
        <v>1120</v>
      </c>
      <c r="J4" s="133" t="s">
        <v>1121</v>
      </c>
      <c r="K4" s="130" t="s">
        <v>1132</v>
      </c>
      <c r="L4" s="130" t="s">
        <v>1123</v>
      </c>
      <c r="M4" s="130" t="s">
        <v>1124</v>
      </c>
      <c r="N4" s="130" t="s">
        <v>152</v>
      </c>
      <c r="O4" s="130" t="s">
        <v>1125</v>
      </c>
      <c r="P4" s="130" t="s">
        <v>1126</v>
      </c>
      <c r="Q4" s="130" t="s">
        <v>1127</v>
      </c>
      <c r="R4" s="130" t="s">
        <v>1128</v>
      </c>
      <c r="S4" s="130" t="s">
        <v>1129</v>
      </c>
      <c r="T4" s="130" t="s">
        <v>1130</v>
      </c>
      <c r="U4" s="130">
        <v>0</v>
      </c>
      <c r="V4" s="131">
        <v>15000</v>
      </c>
      <c r="W4" s="131">
        <v>15000</v>
      </c>
      <c r="X4" s="131">
        <v>9951.2999999999993</v>
      </c>
      <c r="Y4" s="131">
        <v>5048.7000000000007</v>
      </c>
      <c r="Z4" s="131">
        <v>9951.2999999999993</v>
      </c>
      <c r="AA4" s="131">
        <v>5048.7000000000007</v>
      </c>
      <c r="AB4" s="131">
        <v>9951.2999999999993</v>
      </c>
      <c r="AC4" s="131">
        <v>5048.7000000000007</v>
      </c>
      <c r="AD4" s="131">
        <v>9951.2999999999993</v>
      </c>
      <c r="AE4" s="132">
        <v>5048.7000000000007</v>
      </c>
    </row>
    <row r="5" spans="1:31" x14ac:dyDescent="0.2">
      <c r="A5" s="133">
        <v>1</v>
      </c>
      <c r="B5" s="133" t="s">
        <v>153</v>
      </c>
      <c r="C5" s="133" t="s">
        <v>1114</v>
      </c>
      <c r="D5" s="133" t="s">
        <v>1115</v>
      </c>
      <c r="E5" s="133" t="s">
        <v>1116</v>
      </c>
      <c r="F5" s="133" t="s">
        <v>1117</v>
      </c>
      <c r="G5" s="133" t="s">
        <v>1118</v>
      </c>
      <c r="H5" s="130" t="s">
        <v>1133</v>
      </c>
      <c r="I5" s="130" t="s">
        <v>1134</v>
      </c>
      <c r="J5" s="130" t="s">
        <v>1135</v>
      </c>
      <c r="K5" s="130" t="s">
        <v>1136</v>
      </c>
      <c r="L5" s="130" t="s">
        <v>1123</v>
      </c>
      <c r="M5" s="130" t="s">
        <v>1124</v>
      </c>
      <c r="N5" s="130" t="s">
        <v>152</v>
      </c>
      <c r="O5" s="130" t="s">
        <v>1125</v>
      </c>
      <c r="P5" s="130" t="s">
        <v>1126</v>
      </c>
      <c r="Q5" s="130" t="s">
        <v>1127</v>
      </c>
      <c r="R5" s="130" t="s">
        <v>1128</v>
      </c>
      <c r="S5" s="130" t="s">
        <v>1129</v>
      </c>
      <c r="T5" s="130" t="s">
        <v>1130</v>
      </c>
      <c r="U5" s="130">
        <v>0</v>
      </c>
      <c r="V5" s="131">
        <v>12354</v>
      </c>
      <c r="W5" s="131">
        <v>12354</v>
      </c>
      <c r="X5" s="131">
        <v>0</v>
      </c>
      <c r="Y5" s="131">
        <v>12354</v>
      </c>
      <c r="Z5" s="131">
        <v>0</v>
      </c>
      <c r="AA5" s="131">
        <v>12354</v>
      </c>
      <c r="AB5" s="131">
        <v>0</v>
      </c>
      <c r="AC5" s="131">
        <v>12354</v>
      </c>
      <c r="AD5" s="131">
        <v>0</v>
      </c>
      <c r="AE5" s="132">
        <v>12354</v>
      </c>
    </row>
    <row r="6" spans="1:31" x14ac:dyDescent="0.2">
      <c r="A6" s="130">
        <v>2</v>
      </c>
      <c r="B6" s="130" t="s">
        <v>1137</v>
      </c>
      <c r="C6" s="130" t="s">
        <v>1114</v>
      </c>
      <c r="D6" s="130" t="s">
        <v>1138</v>
      </c>
      <c r="E6" s="130" t="s">
        <v>1116</v>
      </c>
      <c r="F6" s="130" t="s">
        <v>1117</v>
      </c>
      <c r="G6" s="130" t="s">
        <v>1118</v>
      </c>
      <c r="H6" s="130" t="s">
        <v>1119</v>
      </c>
      <c r="I6" s="130" t="s">
        <v>1120</v>
      </c>
      <c r="J6" s="130" t="s">
        <v>1121</v>
      </c>
      <c r="K6" s="130" t="s">
        <v>1122</v>
      </c>
      <c r="L6" s="130" t="s">
        <v>1139</v>
      </c>
      <c r="M6" s="130" t="s">
        <v>1124</v>
      </c>
      <c r="N6" s="130" t="s">
        <v>152</v>
      </c>
      <c r="O6" s="130" t="s">
        <v>1125</v>
      </c>
      <c r="P6" s="130" t="s">
        <v>1126</v>
      </c>
      <c r="Q6" s="130" t="s">
        <v>1127</v>
      </c>
      <c r="R6" s="130" t="s">
        <v>1140</v>
      </c>
      <c r="S6" s="130" t="s">
        <v>1141</v>
      </c>
      <c r="T6" s="130" t="s">
        <v>1142</v>
      </c>
      <c r="U6" s="130">
        <v>100000</v>
      </c>
      <c r="V6" s="131">
        <v>-25106</v>
      </c>
      <c r="W6" s="131">
        <v>74894</v>
      </c>
      <c r="X6" s="131">
        <v>0</v>
      </c>
      <c r="Y6" s="131">
        <v>74894</v>
      </c>
      <c r="Z6" s="131">
        <v>0</v>
      </c>
      <c r="AA6" s="131">
        <v>74894</v>
      </c>
      <c r="AB6" s="131">
        <v>0</v>
      </c>
      <c r="AC6" s="131">
        <v>74894</v>
      </c>
      <c r="AD6" s="131">
        <v>0</v>
      </c>
      <c r="AE6" s="132">
        <v>74894</v>
      </c>
    </row>
    <row r="7" spans="1:31" x14ac:dyDescent="0.2">
      <c r="A7" s="133">
        <v>2</v>
      </c>
      <c r="B7" s="133" t="s">
        <v>1137</v>
      </c>
      <c r="C7" s="133" t="s">
        <v>1114</v>
      </c>
      <c r="D7" s="133" t="s">
        <v>1138</v>
      </c>
      <c r="E7" s="133" t="s">
        <v>1116</v>
      </c>
      <c r="F7" s="133" t="s">
        <v>1117</v>
      </c>
      <c r="G7" s="133" t="s">
        <v>1118</v>
      </c>
      <c r="H7" s="130" t="s">
        <v>1133</v>
      </c>
      <c r="I7" s="130" t="s">
        <v>1134</v>
      </c>
      <c r="J7" s="130" t="s">
        <v>1135</v>
      </c>
      <c r="K7" s="130" t="s">
        <v>1136</v>
      </c>
      <c r="L7" s="130" t="s">
        <v>1139</v>
      </c>
      <c r="M7" s="130" t="s">
        <v>1124</v>
      </c>
      <c r="N7" s="130" t="s">
        <v>152</v>
      </c>
      <c r="O7" s="130" t="s">
        <v>1125</v>
      </c>
      <c r="P7" s="130" t="s">
        <v>1126</v>
      </c>
      <c r="Q7" s="130" t="s">
        <v>1127</v>
      </c>
      <c r="R7" s="130" t="s">
        <v>1140</v>
      </c>
      <c r="S7" s="130" t="s">
        <v>1141</v>
      </c>
      <c r="T7" s="130" t="s">
        <v>1142</v>
      </c>
      <c r="U7" s="130">
        <v>0</v>
      </c>
      <c r="V7" s="131">
        <v>25106</v>
      </c>
      <c r="W7" s="131">
        <v>25106</v>
      </c>
      <c r="X7" s="131">
        <v>0</v>
      </c>
      <c r="Y7" s="131">
        <v>25106</v>
      </c>
      <c r="Z7" s="131">
        <v>0</v>
      </c>
      <c r="AA7" s="131">
        <v>25106</v>
      </c>
      <c r="AB7" s="131">
        <v>0</v>
      </c>
      <c r="AC7" s="131">
        <v>25106</v>
      </c>
      <c r="AD7" s="131">
        <v>0</v>
      </c>
      <c r="AE7" s="132">
        <v>25106</v>
      </c>
    </row>
    <row r="8" spans="1:31" x14ac:dyDescent="0.2">
      <c r="A8" s="133">
        <v>2</v>
      </c>
      <c r="B8" s="133" t="s">
        <v>1137</v>
      </c>
      <c r="C8" s="133" t="s">
        <v>1114</v>
      </c>
      <c r="D8" s="133" t="s">
        <v>1138</v>
      </c>
      <c r="E8" s="130" t="s">
        <v>1143</v>
      </c>
      <c r="F8" s="130" t="s">
        <v>1117</v>
      </c>
      <c r="G8" s="130" t="s">
        <v>1118</v>
      </c>
      <c r="H8" s="130" t="s">
        <v>1133</v>
      </c>
      <c r="I8" s="130" t="s">
        <v>1134</v>
      </c>
      <c r="J8" s="130" t="s">
        <v>1135</v>
      </c>
      <c r="K8" s="130" t="s">
        <v>1144</v>
      </c>
      <c r="L8" s="130" t="s">
        <v>1139</v>
      </c>
      <c r="M8" s="130" t="s">
        <v>1124</v>
      </c>
      <c r="N8" s="130" t="s">
        <v>152</v>
      </c>
      <c r="O8" s="130" t="s">
        <v>1125</v>
      </c>
      <c r="P8" s="130" t="s">
        <v>1126</v>
      </c>
      <c r="Q8" s="130" t="s">
        <v>1127</v>
      </c>
      <c r="R8" s="130" t="s">
        <v>1140</v>
      </c>
      <c r="S8" s="130" t="s">
        <v>1141</v>
      </c>
      <c r="T8" s="130" t="s">
        <v>1142</v>
      </c>
      <c r="U8" s="130">
        <v>0</v>
      </c>
      <c r="V8" s="131">
        <v>0</v>
      </c>
      <c r="W8" s="131">
        <v>0</v>
      </c>
      <c r="X8" s="131">
        <v>0</v>
      </c>
      <c r="Y8" s="131">
        <v>0</v>
      </c>
      <c r="Z8" s="131">
        <v>0</v>
      </c>
      <c r="AA8" s="131">
        <v>0</v>
      </c>
      <c r="AB8" s="131">
        <v>0</v>
      </c>
      <c r="AC8" s="131">
        <v>0</v>
      </c>
      <c r="AD8" s="131">
        <v>0</v>
      </c>
      <c r="AE8" s="132">
        <v>0</v>
      </c>
    </row>
    <row r="9" spans="1:31" x14ac:dyDescent="0.2">
      <c r="A9" s="133">
        <v>2</v>
      </c>
      <c r="B9" s="133" t="s">
        <v>1137</v>
      </c>
      <c r="C9" s="133" t="s">
        <v>1114</v>
      </c>
      <c r="D9" s="133" t="s">
        <v>1138</v>
      </c>
      <c r="E9" s="130" t="s">
        <v>1145</v>
      </c>
      <c r="F9" s="130" t="s">
        <v>1117</v>
      </c>
      <c r="G9" s="130" t="s">
        <v>1118</v>
      </c>
      <c r="H9" s="130" t="s">
        <v>1119</v>
      </c>
      <c r="I9" s="130" t="s">
        <v>1120</v>
      </c>
      <c r="J9" s="130" t="s">
        <v>1121</v>
      </c>
      <c r="K9" s="130" t="s">
        <v>1122</v>
      </c>
      <c r="L9" s="130" t="s">
        <v>1139</v>
      </c>
      <c r="M9" s="130" t="s">
        <v>1124</v>
      </c>
      <c r="N9" s="130" t="s">
        <v>152</v>
      </c>
      <c r="O9" s="130" t="s">
        <v>1125</v>
      </c>
      <c r="P9" s="130" t="s">
        <v>1126</v>
      </c>
      <c r="Q9" s="130" t="s">
        <v>1127</v>
      </c>
      <c r="R9" s="130" t="s">
        <v>1140</v>
      </c>
      <c r="S9" s="130" t="s">
        <v>1141</v>
      </c>
      <c r="T9" s="130" t="s">
        <v>1142</v>
      </c>
      <c r="U9" s="130">
        <v>0</v>
      </c>
      <c r="V9" s="131">
        <v>4043455</v>
      </c>
      <c r="W9" s="131">
        <v>4043455</v>
      </c>
      <c r="X9" s="131">
        <v>4043454.41</v>
      </c>
      <c r="Y9" s="131">
        <v>0.58999999985098839</v>
      </c>
      <c r="Z9" s="131">
        <v>4043454.41</v>
      </c>
      <c r="AA9" s="131">
        <v>0.58999999985098839</v>
      </c>
      <c r="AB9" s="131">
        <v>4043454.41</v>
      </c>
      <c r="AC9" s="131">
        <v>0.58999999985098839</v>
      </c>
      <c r="AD9" s="131">
        <v>4043454.41</v>
      </c>
      <c r="AE9" s="132">
        <v>0.58999999985098839</v>
      </c>
    </row>
    <row r="10" spans="1:31" x14ac:dyDescent="0.2">
      <c r="A10" s="130">
        <v>3</v>
      </c>
      <c r="B10" s="130" t="s">
        <v>1146</v>
      </c>
      <c r="C10" s="130" t="s">
        <v>1147</v>
      </c>
      <c r="D10" s="130" t="s">
        <v>1148</v>
      </c>
      <c r="E10" s="130" t="s">
        <v>1116</v>
      </c>
      <c r="F10" s="130" t="s">
        <v>1117</v>
      </c>
      <c r="G10" s="130" t="s">
        <v>1118</v>
      </c>
      <c r="H10" s="130" t="s">
        <v>1149</v>
      </c>
      <c r="I10" s="130" t="s">
        <v>1150</v>
      </c>
      <c r="J10" s="130" t="s">
        <v>1150</v>
      </c>
      <c r="K10" s="130" t="s">
        <v>1151</v>
      </c>
      <c r="L10" s="130" t="s">
        <v>1152</v>
      </c>
      <c r="M10" s="130" t="s">
        <v>1153</v>
      </c>
      <c r="N10" s="130" t="s">
        <v>1154</v>
      </c>
      <c r="O10" s="130" t="s">
        <v>1155</v>
      </c>
      <c r="P10" s="130" t="s">
        <v>1156</v>
      </c>
      <c r="Q10" s="130" t="s">
        <v>1127</v>
      </c>
      <c r="R10" s="130" t="s">
        <v>1128</v>
      </c>
      <c r="S10" s="130" t="s">
        <v>1157</v>
      </c>
      <c r="T10" s="130" t="s">
        <v>1158</v>
      </c>
      <c r="U10" s="130">
        <v>0</v>
      </c>
      <c r="V10" s="131">
        <v>2394000</v>
      </c>
      <c r="W10" s="131">
        <v>2394000</v>
      </c>
      <c r="X10" s="131">
        <v>2393000</v>
      </c>
      <c r="Y10" s="131">
        <v>1000</v>
      </c>
      <c r="Z10" s="131">
        <v>0</v>
      </c>
      <c r="AA10" s="131">
        <v>2394000</v>
      </c>
      <c r="AB10" s="131">
        <v>0</v>
      </c>
      <c r="AC10" s="131">
        <v>2394000</v>
      </c>
      <c r="AD10" s="131">
        <v>0</v>
      </c>
      <c r="AE10" s="132">
        <v>2394000</v>
      </c>
    </row>
    <row r="11" spans="1:31" x14ac:dyDescent="0.2">
      <c r="A11" s="133">
        <v>3</v>
      </c>
      <c r="B11" s="133" t="s">
        <v>1146</v>
      </c>
      <c r="C11" s="133" t="s">
        <v>1147</v>
      </c>
      <c r="D11" s="133" t="s">
        <v>1148</v>
      </c>
      <c r="E11" s="133" t="s">
        <v>1116</v>
      </c>
      <c r="F11" s="133" t="s">
        <v>1117</v>
      </c>
      <c r="G11" s="133" t="s">
        <v>1118</v>
      </c>
      <c r="H11" s="130" t="s">
        <v>1159</v>
      </c>
      <c r="I11" s="130" t="s">
        <v>1160</v>
      </c>
      <c r="J11" s="130" t="s">
        <v>1161</v>
      </c>
      <c r="K11" s="130" t="s">
        <v>1162</v>
      </c>
      <c r="L11" s="130" t="s">
        <v>1152</v>
      </c>
      <c r="M11" s="130" t="s">
        <v>1153</v>
      </c>
      <c r="N11" s="130" t="s">
        <v>1154</v>
      </c>
      <c r="O11" s="130" t="s">
        <v>1155</v>
      </c>
      <c r="P11" s="130" t="s">
        <v>1156</v>
      </c>
      <c r="Q11" s="130" t="s">
        <v>1127</v>
      </c>
      <c r="R11" s="130" t="s">
        <v>1128</v>
      </c>
      <c r="S11" s="130" t="s">
        <v>1157</v>
      </c>
      <c r="T11" s="130" t="s">
        <v>1158</v>
      </c>
      <c r="U11" s="130">
        <v>0</v>
      </c>
      <c r="V11" s="131">
        <v>52907</v>
      </c>
      <c r="W11" s="131">
        <v>52907</v>
      </c>
      <c r="X11" s="131">
        <v>13800</v>
      </c>
      <c r="Y11" s="131">
        <v>39107</v>
      </c>
      <c r="Z11" s="131">
        <v>13800</v>
      </c>
      <c r="AA11" s="131">
        <v>39107</v>
      </c>
      <c r="AB11" s="131">
        <v>13800</v>
      </c>
      <c r="AC11" s="131">
        <v>39107</v>
      </c>
      <c r="AD11" s="131">
        <v>0</v>
      </c>
      <c r="AE11" s="132">
        <v>52907</v>
      </c>
    </row>
    <row r="12" spans="1:31" x14ac:dyDescent="0.2">
      <c r="A12" s="133">
        <v>3</v>
      </c>
      <c r="B12" s="133" t="s">
        <v>1146</v>
      </c>
      <c r="C12" s="133" t="s">
        <v>1147</v>
      </c>
      <c r="D12" s="133" t="s">
        <v>1148</v>
      </c>
      <c r="E12" s="133" t="s">
        <v>1116</v>
      </c>
      <c r="F12" s="133" t="s">
        <v>1117</v>
      </c>
      <c r="G12" s="133" t="s">
        <v>1118</v>
      </c>
      <c r="H12" s="133" t="s">
        <v>1159</v>
      </c>
      <c r="I12" s="133" t="s">
        <v>1160</v>
      </c>
      <c r="J12" s="130" t="s">
        <v>1163</v>
      </c>
      <c r="K12" s="130" t="s">
        <v>1164</v>
      </c>
      <c r="L12" s="130" t="s">
        <v>1152</v>
      </c>
      <c r="M12" s="130" t="s">
        <v>1153</v>
      </c>
      <c r="N12" s="130" t="s">
        <v>1154</v>
      </c>
      <c r="O12" s="130" t="s">
        <v>1155</v>
      </c>
      <c r="P12" s="130" t="s">
        <v>1156</v>
      </c>
      <c r="Q12" s="130" t="s">
        <v>1127</v>
      </c>
      <c r="R12" s="130" t="s">
        <v>1128</v>
      </c>
      <c r="S12" s="130" t="s">
        <v>1157</v>
      </c>
      <c r="T12" s="130" t="s">
        <v>1158</v>
      </c>
      <c r="U12" s="130">
        <v>0</v>
      </c>
      <c r="V12" s="131">
        <v>104235</v>
      </c>
      <c r="W12" s="131">
        <v>104235</v>
      </c>
      <c r="X12" s="131">
        <v>104235</v>
      </c>
      <c r="Y12" s="131">
        <v>0</v>
      </c>
      <c r="Z12" s="131">
        <v>104235</v>
      </c>
      <c r="AA12" s="131">
        <v>0</v>
      </c>
      <c r="AB12" s="131">
        <v>82864.17</v>
      </c>
      <c r="AC12" s="131">
        <v>21370.83</v>
      </c>
      <c r="AD12" s="131">
        <v>82864.17</v>
      </c>
      <c r="AE12" s="132">
        <v>21370.83</v>
      </c>
    </row>
    <row r="13" spans="1:31" x14ac:dyDescent="0.2">
      <c r="A13" s="133">
        <v>3</v>
      </c>
      <c r="B13" s="133" t="s">
        <v>1146</v>
      </c>
      <c r="C13" s="133" t="s">
        <v>1147</v>
      </c>
      <c r="D13" s="133" t="s">
        <v>1148</v>
      </c>
      <c r="E13" s="133" t="s">
        <v>1116</v>
      </c>
      <c r="F13" s="133" t="s">
        <v>1117</v>
      </c>
      <c r="G13" s="133" t="s">
        <v>1118</v>
      </c>
      <c r="H13" s="133" t="s">
        <v>1159</v>
      </c>
      <c r="I13" s="133" t="s">
        <v>1160</v>
      </c>
      <c r="J13" s="133" t="s">
        <v>1163</v>
      </c>
      <c r="K13" s="130" t="s">
        <v>1165</v>
      </c>
      <c r="L13" s="130" t="s">
        <v>1152</v>
      </c>
      <c r="M13" s="130" t="s">
        <v>1153</v>
      </c>
      <c r="N13" s="130" t="s">
        <v>1154</v>
      </c>
      <c r="O13" s="130" t="s">
        <v>1155</v>
      </c>
      <c r="P13" s="130" t="s">
        <v>1156</v>
      </c>
      <c r="Q13" s="130" t="s">
        <v>1127</v>
      </c>
      <c r="R13" s="130" t="s">
        <v>1128</v>
      </c>
      <c r="S13" s="130" t="s">
        <v>1157</v>
      </c>
      <c r="T13" s="130" t="s">
        <v>1158</v>
      </c>
      <c r="U13" s="130">
        <v>0</v>
      </c>
      <c r="V13" s="131">
        <v>27595</v>
      </c>
      <c r="W13" s="131">
        <v>27595</v>
      </c>
      <c r="X13" s="131">
        <v>1030.9000000000001</v>
      </c>
      <c r="Y13" s="131">
        <v>26564.1</v>
      </c>
      <c r="Z13" s="131">
        <v>1030.9000000000001</v>
      </c>
      <c r="AA13" s="131">
        <v>26564.1</v>
      </c>
      <c r="AB13" s="131">
        <v>1030.9000000000001</v>
      </c>
      <c r="AC13" s="131">
        <v>26564.1</v>
      </c>
      <c r="AD13" s="131">
        <v>1030.9000000000001</v>
      </c>
      <c r="AE13" s="132">
        <v>26564.1</v>
      </c>
    </row>
    <row r="14" spans="1:31" x14ac:dyDescent="0.2">
      <c r="A14" s="133">
        <v>3</v>
      </c>
      <c r="B14" s="133" t="s">
        <v>1146</v>
      </c>
      <c r="C14" s="133" t="s">
        <v>1147</v>
      </c>
      <c r="D14" s="133" t="s">
        <v>1148</v>
      </c>
      <c r="E14" s="133" t="s">
        <v>1116</v>
      </c>
      <c r="F14" s="133" t="s">
        <v>1117</v>
      </c>
      <c r="G14" s="133" t="s">
        <v>1118</v>
      </c>
      <c r="H14" s="133" t="s">
        <v>1159</v>
      </c>
      <c r="I14" s="133" t="s">
        <v>1160</v>
      </c>
      <c r="J14" s="133" t="s">
        <v>1163</v>
      </c>
      <c r="K14" s="130" t="s">
        <v>1162</v>
      </c>
      <c r="L14" s="130" t="s">
        <v>1152</v>
      </c>
      <c r="M14" s="130" t="s">
        <v>1153</v>
      </c>
      <c r="N14" s="130" t="s">
        <v>1154</v>
      </c>
      <c r="O14" s="130" t="s">
        <v>1155</v>
      </c>
      <c r="P14" s="130" t="s">
        <v>1156</v>
      </c>
      <c r="Q14" s="130" t="s">
        <v>1127</v>
      </c>
      <c r="R14" s="130" t="s">
        <v>1128</v>
      </c>
      <c r="S14" s="130" t="s">
        <v>1157</v>
      </c>
      <c r="T14" s="130" t="s">
        <v>1158</v>
      </c>
      <c r="U14" s="130">
        <v>0</v>
      </c>
      <c r="V14" s="131">
        <v>15100</v>
      </c>
      <c r="W14" s="131">
        <v>15100</v>
      </c>
      <c r="X14" s="131">
        <v>1100</v>
      </c>
      <c r="Y14" s="131">
        <v>14000</v>
      </c>
      <c r="Z14" s="131">
        <v>1100</v>
      </c>
      <c r="AA14" s="131">
        <v>14000</v>
      </c>
      <c r="AB14" s="131">
        <v>1100</v>
      </c>
      <c r="AC14" s="131">
        <v>14000</v>
      </c>
      <c r="AD14" s="131">
        <v>0</v>
      </c>
      <c r="AE14" s="132">
        <v>15100</v>
      </c>
    </row>
    <row r="15" spans="1:31" x14ac:dyDescent="0.2">
      <c r="A15" s="133">
        <v>3</v>
      </c>
      <c r="B15" s="133" t="s">
        <v>1146</v>
      </c>
      <c r="C15" s="133" t="s">
        <v>1147</v>
      </c>
      <c r="D15" s="133" t="s">
        <v>1148</v>
      </c>
      <c r="E15" s="133" t="s">
        <v>1116</v>
      </c>
      <c r="F15" s="133" t="s">
        <v>1117</v>
      </c>
      <c r="G15" s="133" t="s">
        <v>1118</v>
      </c>
      <c r="H15" s="130" t="s">
        <v>1133</v>
      </c>
      <c r="I15" s="130" t="s">
        <v>1134</v>
      </c>
      <c r="J15" s="130" t="s">
        <v>1166</v>
      </c>
      <c r="K15" s="130" t="s">
        <v>1167</v>
      </c>
      <c r="L15" s="130" t="s">
        <v>1152</v>
      </c>
      <c r="M15" s="130" t="s">
        <v>1153</v>
      </c>
      <c r="N15" s="130" t="s">
        <v>1154</v>
      </c>
      <c r="O15" s="130" t="s">
        <v>1155</v>
      </c>
      <c r="P15" s="130" t="s">
        <v>1156</v>
      </c>
      <c r="Q15" s="130" t="s">
        <v>1127</v>
      </c>
      <c r="R15" s="130" t="s">
        <v>1128</v>
      </c>
      <c r="S15" s="130" t="s">
        <v>1157</v>
      </c>
      <c r="T15" s="130" t="s">
        <v>1158</v>
      </c>
      <c r="U15" s="130">
        <v>100000</v>
      </c>
      <c r="V15" s="131">
        <v>-100000</v>
      </c>
      <c r="W15" s="131">
        <v>0</v>
      </c>
      <c r="X15" s="131">
        <v>0</v>
      </c>
      <c r="Y15" s="131">
        <v>0</v>
      </c>
      <c r="Z15" s="131">
        <v>0</v>
      </c>
      <c r="AA15" s="131">
        <v>0</v>
      </c>
      <c r="AB15" s="131">
        <v>0</v>
      </c>
      <c r="AC15" s="131">
        <v>0</v>
      </c>
      <c r="AD15" s="131">
        <v>0</v>
      </c>
      <c r="AE15" s="132">
        <v>0</v>
      </c>
    </row>
    <row r="16" spans="1:31" x14ac:dyDescent="0.2">
      <c r="A16" s="133">
        <v>3</v>
      </c>
      <c r="B16" s="133" t="s">
        <v>1146</v>
      </c>
      <c r="C16" s="133" t="s">
        <v>1147</v>
      </c>
      <c r="D16" s="133" t="s">
        <v>1148</v>
      </c>
      <c r="E16" s="130" t="s">
        <v>1143</v>
      </c>
      <c r="F16" s="130" t="s">
        <v>1117</v>
      </c>
      <c r="G16" s="130" t="s">
        <v>1118</v>
      </c>
      <c r="H16" s="130" t="s">
        <v>1149</v>
      </c>
      <c r="I16" s="130" t="s">
        <v>1150</v>
      </c>
      <c r="J16" s="130" t="s">
        <v>1150</v>
      </c>
      <c r="K16" s="130" t="s">
        <v>1151</v>
      </c>
      <c r="L16" s="130" t="s">
        <v>1152</v>
      </c>
      <c r="M16" s="130" t="s">
        <v>1153</v>
      </c>
      <c r="N16" s="130" t="s">
        <v>1154</v>
      </c>
      <c r="O16" s="130" t="s">
        <v>1155</v>
      </c>
      <c r="P16" s="130" t="s">
        <v>1156</v>
      </c>
      <c r="Q16" s="130" t="s">
        <v>1127</v>
      </c>
      <c r="R16" s="130" t="s">
        <v>1128</v>
      </c>
      <c r="S16" s="130" t="s">
        <v>1157</v>
      </c>
      <c r="T16" s="130" t="s">
        <v>1158</v>
      </c>
      <c r="U16" s="130">
        <v>0</v>
      </c>
      <c r="V16" s="131">
        <v>4191800</v>
      </c>
      <c r="W16" s="131">
        <v>4191800</v>
      </c>
      <c r="X16" s="131">
        <v>4191800</v>
      </c>
      <c r="Y16" s="131">
        <v>0</v>
      </c>
      <c r="Z16" s="131">
        <v>0</v>
      </c>
      <c r="AA16" s="131">
        <v>4191800</v>
      </c>
      <c r="AB16" s="131">
        <v>0</v>
      </c>
      <c r="AC16" s="131">
        <v>4191800</v>
      </c>
      <c r="AD16" s="131">
        <v>0</v>
      </c>
      <c r="AE16" s="132">
        <v>4191800</v>
      </c>
    </row>
    <row r="17" spans="1:31" x14ac:dyDescent="0.2">
      <c r="A17" s="130">
        <v>4</v>
      </c>
      <c r="B17" s="130" t="s">
        <v>123</v>
      </c>
      <c r="C17" s="130" t="s">
        <v>1114</v>
      </c>
      <c r="D17" s="130" t="s">
        <v>1168</v>
      </c>
      <c r="E17" s="130" t="s">
        <v>1116</v>
      </c>
      <c r="F17" s="130" t="s">
        <v>1117</v>
      </c>
      <c r="G17" s="130" t="s">
        <v>1118</v>
      </c>
      <c r="H17" s="130" t="s">
        <v>1119</v>
      </c>
      <c r="I17" s="130" t="s">
        <v>1169</v>
      </c>
      <c r="J17" s="130" t="s">
        <v>1170</v>
      </c>
      <c r="K17" s="130" t="s">
        <v>1131</v>
      </c>
      <c r="L17" s="130" t="s">
        <v>1171</v>
      </c>
      <c r="M17" s="130" t="s">
        <v>1172</v>
      </c>
      <c r="N17" s="130" t="s">
        <v>1154</v>
      </c>
      <c r="O17" s="130" t="s">
        <v>1173</v>
      </c>
      <c r="P17" s="130" t="s">
        <v>1174</v>
      </c>
      <c r="Q17" s="130" t="s">
        <v>1127</v>
      </c>
      <c r="R17" s="130" t="s">
        <v>1175</v>
      </c>
      <c r="S17" s="130" t="s">
        <v>1157</v>
      </c>
      <c r="T17" s="130" t="s">
        <v>1176</v>
      </c>
      <c r="U17" s="130">
        <v>0</v>
      </c>
      <c r="V17" s="131">
        <v>400000</v>
      </c>
      <c r="W17" s="131">
        <v>400000</v>
      </c>
      <c r="X17" s="131">
        <v>400000</v>
      </c>
      <c r="Y17" s="131">
        <v>0</v>
      </c>
      <c r="Z17" s="131">
        <v>400000</v>
      </c>
      <c r="AA17" s="131">
        <v>0</v>
      </c>
      <c r="AB17" s="131">
        <v>240333.46</v>
      </c>
      <c r="AC17" s="131">
        <v>159666.54</v>
      </c>
      <c r="AD17" s="131">
        <v>240333.46</v>
      </c>
      <c r="AE17" s="132">
        <v>159666.54</v>
      </c>
    </row>
    <row r="18" spans="1:31" x14ac:dyDescent="0.2">
      <c r="A18" s="133">
        <v>4</v>
      </c>
      <c r="B18" s="133" t="s">
        <v>123</v>
      </c>
      <c r="C18" s="133" t="s">
        <v>1114</v>
      </c>
      <c r="D18" s="133" t="s">
        <v>1168</v>
      </c>
      <c r="E18" s="133" t="s">
        <v>1116</v>
      </c>
      <c r="F18" s="133" t="s">
        <v>1117</v>
      </c>
      <c r="G18" s="133" t="s">
        <v>1118</v>
      </c>
      <c r="H18" s="133" t="s">
        <v>1119</v>
      </c>
      <c r="I18" s="133" t="s">
        <v>1169</v>
      </c>
      <c r="J18" s="133" t="s">
        <v>1170</v>
      </c>
      <c r="K18" s="130" t="s">
        <v>1177</v>
      </c>
      <c r="L18" s="130" t="s">
        <v>1171</v>
      </c>
      <c r="M18" s="130" t="s">
        <v>1172</v>
      </c>
      <c r="N18" s="130" t="s">
        <v>1154</v>
      </c>
      <c r="O18" s="130" t="s">
        <v>1173</v>
      </c>
      <c r="P18" s="130" t="s">
        <v>1174</v>
      </c>
      <c r="Q18" s="130" t="s">
        <v>1127</v>
      </c>
      <c r="R18" s="130" t="s">
        <v>1175</v>
      </c>
      <c r="S18" s="130" t="s">
        <v>1157</v>
      </c>
      <c r="T18" s="130" t="s">
        <v>1176</v>
      </c>
      <c r="U18" s="130">
        <v>10517000</v>
      </c>
      <c r="V18" s="131">
        <v>-9504334</v>
      </c>
      <c r="W18" s="131">
        <v>1012666</v>
      </c>
      <c r="X18" s="131">
        <v>735235.17</v>
      </c>
      <c r="Y18" s="131">
        <v>277430.82999999996</v>
      </c>
      <c r="Z18" s="131">
        <v>360235.17</v>
      </c>
      <c r="AA18" s="131">
        <v>652430.83000000007</v>
      </c>
      <c r="AB18" s="131">
        <v>297050.17</v>
      </c>
      <c r="AC18" s="131">
        <v>715615.83000000007</v>
      </c>
      <c r="AD18" s="131">
        <v>290950.17</v>
      </c>
      <c r="AE18" s="132">
        <v>721715.83000000007</v>
      </c>
    </row>
    <row r="19" spans="1:31" x14ac:dyDescent="0.2">
      <c r="A19" s="133">
        <v>4</v>
      </c>
      <c r="B19" s="133" t="s">
        <v>123</v>
      </c>
      <c r="C19" s="133" t="s">
        <v>1114</v>
      </c>
      <c r="D19" s="133" t="s">
        <v>1168</v>
      </c>
      <c r="E19" s="133" t="s">
        <v>1116</v>
      </c>
      <c r="F19" s="133" t="s">
        <v>1117</v>
      </c>
      <c r="G19" s="133" t="s">
        <v>1118</v>
      </c>
      <c r="H19" s="133" t="s">
        <v>1119</v>
      </c>
      <c r="I19" s="133" t="s">
        <v>1169</v>
      </c>
      <c r="J19" s="133" t="s">
        <v>1170</v>
      </c>
      <c r="K19" s="130" t="s">
        <v>1132</v>
      </c>
      <c r="L19" s="130" t="s">
        <v>1171</v>
      </c>
      <c r="M19" s="130" t="s">
        <v>1172</v>
      </c>
      <c r="N19" s="130" t="s">
        <v>1154</v>
      </c>
      <c r="O19" s="130" t="s">
        <v>1173</v>
      </c>
      <c r="P19" s="130" t="s">
        <v>1174</v>
      </c>
      <c r="Q19" s="130" t="s">
        <v>1127</v>
      </c>
      <c r="R19" s="130" t="s">
        <v>1175</v>
      </c>
      <c r="S19" s="130" t="s">
        <v>1157</v>
      </c>
      <c r="T19" s="130" t="s">
        <v>1176</v>
      </c>
      <c r="U19" s="130">
        <v>0</v>
      </c>
      <c r="V19" s="131">
        <v>9391333</v>
      </c>
      <c r="W19" s="131">
        <v>9391333</v>
      </c>
      <c r="X19" s="131">
        <v>9063814.1600000001</v>
      </c>
      <c r="Y19" s="131">
        <v>327518.83999999985</v>
      </c>
      <c r="Z19" s="131">
        <v>1102514.1599999999</v>
      </c>
      <c r="AA19" s="131">
        <v>8288818.8399999999</v>
      </c>
      <c r="AB19" s="131">
        <v>1102514.1599999999</v>
      </c>
      <c r="AC19" s="131">
        <v>8288818.8399999999</v>
      </c>
      <c r="AD19" s="131">
        <v>933193.79</v>
      </c>
      <c r="AE19" s="132">
        <v>8458139.2100000009</v>
      </c>
    </row>
    <row r="20" spans="1:31" x14ac:dyDescent="0.2">
      <c r="A20" s="133">
        <v>4</v>
      </c>
      <c r="B20" s="133" t="s">
        <v>123</v>
      </c>
      <c r="C20" s="133" t="s">
        <v>1114</v>
      </c>
      <c r="D20" s="133" t="s">
        <v>1168</v>
      </c>
      <c r="E20" s="133" t="s">
        <v>1116</v>
      </c>
      <c r="F20" s="133" t="s">
        <v>1117</v>
      </c>
      <c r="G20" s="133" t="s">
        <v>1118</v>
      </c>
      <c r="H20" s="130" t="s">
        <v>1133</v>
      </c>
      <c r="I20" s="130" t="s">
        <v>1134</v>
      </c>
      <c r="J20" s="130" t="s">
        <v>1135</v>
      </c>
      <c r="K20" s="130" t="s">
        <v>1178</v>
      </c>
      <c r="L20" s="130" t="s">
        <v>1171</v>
      </c>
      <c r="M20" s="130" t="s">
        <v>1172</v>
      </c>
      <c r="N20" s="130" t="s">
        <v>1154</v>
      </c>
      <c r="O20" s="130" t="s">
        <v>1173</v>
      </c>
      <c r="P20" s="130" t="s">
        <v>1174</v>
      </c>
      <c r="Q20" s="130" t="s">
        <v>1127</v>
      </c>
      <c r="R20" s="130" t="s">
        <v>1175</v>
      </c>
      <c r="S20" s="130" t="s">
        <v>1157</v>
      </c>
      <c r="T20" s="130" t="s">
        <v>1176</v>
      </c>
      <c r="U20" s="130">
        <v>0</v>
      </c>
      <c r="V20" s="131">
        <v>40000</v>
      </c>
      <c r="W20" s="131">
        <v>40000</v>
      </c>
      <c r="X20" s="131">
        <v>40000</v>
      </c>
      <c r="Y20" s="131">
        <v>0</v>
      </c>
      <c r="Z20" s="131">
        <v>40000</v>
      </c>
      <c r="AA20" s="131">
        <v>0</v>
      </c>
      <c r="AB20" s="131">
        <v>21508.880000000001</v>
      </c>
      <c r="AC20" s="131">
        <v>18491.12</v>
      </c>
      <c r="AD20" s="131">
        <v>21508.880000000001</v>
      </c>
      <c r="AE20" s="132">
        <v>18491.12</v>
      </c>
    </row>
    <row r="21" spans="1:31" x14ac:dyDescent="0.2">
      <c r="A21" s="133">
        <v>4</v>
      </c>
      <c r="B21" s="133" t="s">
        <v>123</v>
      </c>
      <c r="C21" s="133" t="s">
        <v>1114</v>
      </c>
      <c r="D21" s="133" t="s">
        <v>1168</v>
      </c>
      <c r="E21" s="133" t="s">
        <v>1116</v>
      </c>
      <c r="F21" s="133" t="s">
        <v>1117</v>
      </c>
      <c r="G21" s="133" t="s">
        <v>1118</v>
      </c>
      <c r="H21" s="133" t="s">
        <v>1133</v>
      </c>
      <c r="I21" s="133" t="s">
        <v>1134</v>
      </c>
      <c r="J21" s="133" t="s">
        <v>1135</v>
      </c>
      <c r="K21" s="130" t="s">
        <v>1179</v>
      </c>
      <c r="L21" s="130" t="s">
        <v>1171</v>
      </c>
      <c r="M21" s="130" t="s">
        <v>1172</v>
      </c>
      <c r="N21" s="130" t="s">
        <v>1154</v>
      </c>
      <c r="O21" s="130" t="s">
        <v>1173</v>
      </c>
      <c r="P21" s="130" t="s">
        <v>1174</v>
      </c>
      <c r="Q21" s="130" t="s">
        <v>1127</v>
      </c>
      <c r="R21" s="130" t="s">
        <v>1175</v>
      </c>
      <c r="S21" s="130" t="s">
        <v>1157</v>
      </c>
      <c r="T21" s="130" t="s">
        <v>1176</v>
      </c>
      <c r="U21" s="130">
        <v>0</v>
      </c>
      <c r="V21" s="131">
        <v>35000</v>
      </c>
      <c r="W21" s="131">
        <v>35000</v>
      </c>
      <c r="X21" s="131">
        <v>0</v>
      </c>
      <c r="Y21" s="131">
        <v>35000</v>
      </c>
      <c r="Z21" s="131">
        <v>0</v>
      </c>
      <c r="AA21" s="131">
        <v>35000</v>
      </c>
      <c r="AB21" s="131">
        <v>0</v>
      </c>
      <c r="AC21" s="131">
        <v>35000</v>
      </c>
      <c r="AD21" s="131">
        <v>0</v>
      </c>
      <c r="AE21" s="132">
        <v>35000</v>
      </c>
    </row>
    <row r="22" spans="1:31" x14ac:dyDescent="0.2">
      <c r="A22" s="133">
        <v>4</v>
      </c>
      <c r="B22" s="133" t="s">
        <v>123</v>
      </c>
      <c r="C22" s="133" t="s">
        <v>1114</v>
      </c>
      <c r="D22" s="133" t="s">
        <v>1168</v>
      </c>
      <c r="E22" s="133" t="s">
        <v>1116</v>
      </c>
      <c r="F22" s="133" t="s">
        <v>1117</v>
      </c>
      <c r="G22" s="133" t="s">
        <v>1118</v>
      </c>
      <c r="H22" s="133" t="s">
        <v>1133</v>
      </c>
      <c r="I22" s="133" t="s">
        <v>1134</v>
      </c>
      <c r="J22" s="133" t="s">
        <v>1135</v>
      </c>
      <c r="K22" s="130" t="s">
        <v>1144</v>
      </c>
      <c r="L22" s="130" t="s">
        <v>1171</v>
      </c>
      <c r="M22" s="130" t="s">
        <v>1172</v>
      </c>
      <c r="N22" s="130" t="s">
        <v>1154</v>
      </c>
      <c r="O22" s="130" t="s">
        <v>1173</v>
      </c>
      <c r="P22" s="130" t="s">
        <v>1174</v>
      </c>
      <c r="Q22" s="130" t="s">
        <v>1127</v>
      </c>
      <c r="R22" s="130" t="s">
        <v>1175</v>
      </c>
      <c r="S22" s="130" t="s">
        <v>1157</v>
      </c>
      <c r="T22" s="130" t="s">
        <v>1176</v>
      </c>
      <c r="U22" s="130">
        <v>0</v>
      </c>
      <c r="V22" s="131">
        <v>40000</v>
      </c>
      <c r="W22" s="131">
        <v>40000</v>
      </c>
      <c r="X22" s="131">
        <v>5000</v>
      </c>
      <c r="Y22" s="131">
        <v>35000</v>
      </c>
      <c r="Z22" s="131">
        <v>4146.3</v>
      </c>
      <c r="AA22" s="131">
        <v>35853.699999999997</v>
      </c>
      <c r="AB22" s="131">
        <v>4146.3</v>
      </c>
      <c r="AC22" s="131">
        <v>35853.699999999997</v>
      </c>
      <c r="AD22" s="131">
        <v>4146.3</v>
      </c>
      <c r="AE22" s="132">
        <v>35853.699999999997</v>
      </c>
    </row>
    <row r="23" spans="1:31" x14ac:dyDescent="0.2">
      <c r="A23" s="130">
        <v>5</v>
      </c>
      <c r="B23" s="130" t="s">
        <v>1180</v>
      </c>
      <c r="C23" s="130" t="s">
        <v>1147</v>
      </c>
      <c r="D23" s="130" t="s">
        <v>1181</v>
      </c>
      <c r="E23" s="130" t="s">
        <v>1116</v>
      </c>
      <c r="F23" s="130" t="s">
        <v>1117</v>
      </c>
      <c r="G23" s="130" t="s">
        <v>1118</v>
      </c>
      <c r="H23" s="130" t="s">
        <v>1149</v>
      </c>
      <c r="I23" s="130" t="s">
        <v>1182</v>
      </c>
      <c r="J23" s="130" t="s">
        <v>1183</v>
      </c>
      <c r="K23" s="130" t="s">
        <v>1184</v>
      </c>
      <c r="L23" s="130" t="s">
        <v>1185</v>
      </c>
      <c r="M23" s="130" t="s">
        <v>1172</v>
      </c>
      <c r="N23" s="130" t="s">
        <v>127</v>
      </c>
      <c r="O23" s="130" t="s">
        <v>1173</v>
      </c>
      <c r="P23" s="130" t="s">
        <v>1186</v>
      </c>
      <c r="Q23" s="130" t="s">
        <v>1127</v>
      </c>
      <c r="R23" s="130" t="s">
        <v>1187</v>
      </c>
      <c r="S23" s="130" t="s">
        <v>1157</v>
      </c>
      <c r="T23" s="130" t="s">
        <v>1188</v>
      </c>
      <c r="U23" s="130">
        <v>300000</v>
      </c>
      <c r="V23" s="131">
        <v>-33918</v>
      </c>
      <c r="W23" s="131">
        <v>266082</v>
      </c>
      <c r="X23" s="131">
        <v>0</v>
      </c>
      <c r="Y23" s="131">
        <v>266082</v>
      </c>
      <c r="Z23" s="131">
        <v>0</v>
      </c>
      <c r="AA23" s="131">
        <v>266082</v>
      </c>
      <c r="AB23" s="131">
        <v>0</v>
      </c>
      <c r="AC23" s="131">
        <v>266082</v>
      </c>
      <c r="AD23" s="131">
        <v>0</v>
      </c>
      <c r="AE23" s="132">
        <v>266082</v>
      </c>
    </row>
    <row r="24" spans="1:31" x14ac:dyDescent="0.2">
      <c r="A24" s="133">
        <v>5</v>
      </c>
      <c r="B24" s="133" t="s">
        <v>1180</v>
      </c>
      <c r="C24" s="133" t="s">
        <v>1147</v>
      </c>
      <c r="D24" s="133" t="s">
        <v>1181</v>
      </c>
      <c r="E24" s="133" t="s">
        <v>1116</v>
      </c>
      <c r="F24" s="133" t="s">
        <v>1117</v>
      </c>
      <c r="G24" s="133" t="s">
        <v>1118</v>
      </c>
      <c r="H24" s="130" t="s">
        <v>1133</v>
      </c>
      <c r="I24" s="130" t="s">
        <v>1134</v>
      </c>
      <c r="J24" s="130" t="s">
        <v>1166</v>
      </c>
      <c r="K24" s="130" t="s">
        <v>1167</v>
      </c>
      <c r="L24" s="130" t="s">
        <v>1185</v>
      </c>
      <c r="M24" s="130" t="s">
        <v>1172</v>
      </c>
      <c r="N24" s="130" t="s">
        <v>127</v>
      </c>
      <c r="O24" s="130" t="s">
        <v>1173</v>
      </c>
      <c r="P24" s="130" t="s">
        <v>1186</v>
      </c>
      <c r="Q24" s="130" t="s">
        <v>1127</v>
      </c>
      <c r="R24" s="130" t="s">
        <v>1187</v>
      </c>
      <c r="S24" s="130" t="s">
        <v>1157</v>
      </c>
      <c r="T24" s="130" t="s">
        <v>1188</v>
      </c>
      <c r="U24" s="130">
        <v>0</v>
      </c>
      <c r="V24" s="131">
        <v>33918</v>
      </c>
      <c r="W24" s="131">
        <v>33918</v>
      </c>
      <c r="X24" s="131">
        <v>26893</v>
      </c>
      <c r="Y24" s="131">
        <v>7025</v>
      </c>
      <c r="Z24" s="131">
        <v>26893</v>
      </c>
      <c r="AA24" s="131">
        <v>7025</v>
      </c>
      <c r="AB24" s="131">
        <v>26892.69</v>
      </c>
      <c r="AC24" s="131">
        <v>7025.3100000000013</v>
      </c>
      <c r="AD24" s="131">
        <v>26892.69</v>
      </c>
      <c r="AE24" s="132">
        <v>7025.3100000000013</v>
      </c>
    </row>
    <row r="25" spans="1:31" x14ac:dyDescent="0.2">
      <c r="A25" s="130">
        <v>6</v>
      </c>
      <c r="B25" s="130" t="s">
        <v>1189</v>
      </c>
      <c r="C25" s="130" t="s">
        <v>1114</v>
      </c>
      <c r="D25" s="130" t="s">
        <v>1168</v>
      </c>
      <c r="E25" s="130" t="s">
        <v>1116</v>
      </c>
      <c r="F25" s="130" t="s">
        <v>1117</v>
      </c>
      <c r="G25" s="130" t="s">
        <v>1118</v>
      </c>
      <c r="H25" s="130" t="s">
        <v>1119</v>
      </c>
      <c r="I25" s="130" t="s">
        <v>1169</v>
      </c>
      <c r="J25" s="130" t="s">
        <v>1170</v>
      </c>
      <c r="K25" s="130" t="s">
        <v>1122</v>
      </c>
      <c r="L25" s="130" t="s">
        <v>1190</v>
      </c>
      <c r="M25" s="130" t="s">
        <v>1172</v>
      </c>
      <c r="N25" s="130" t="s">
        <v>1154</v>
      </c>
      <c r="O25" s="130" t="s">
        <v>1173</v>
      </c>
      <c r="P25" s="130" t="s">
        <v>1186</v>
      </c>
      <c r="Q25" s="130" t="s">
        <v>1127</v>
      </c>
      <c r="R25" s="130" t="s">
        <v>1191</v>
      </c>
      <c r="S25" s="130" t="s">
        <v>1192</v>
      </c>
      <c r="T25" s="130" t="s">
        <v>1176</v>
      </c>
      <c r="U25" s="130">
        <v>200000</v>
      </c>
      <c r="V25" s="131">
        <v>-144342</v>
      </c>
      <c r="W25" s="131">
        <v>55658</v>
      </c>
      <c r="X25" s="131">
        <v>0</v>
      </c>
      <c r="Y25" s="131">
        <v>55658</v>
      </c>
      <c r="Z25" s="131">
        <v>0</v>
      </c>
      <c r="AA25" s="131">
        <v>55658</v>
      </c>
      <c r="AB25" s="131">
        <v>0</v>
      </c>
      <c r="AC25" s="131">
        <v>55658</v>
      </c>
      <c r="AD25" s="131">
        <v>0</v>
      </c>
      <c r="AE25" s="132">
        <v>55658</v>
      </c>
    </row>
    <row r="26" spans="1:31" x14ac:dyDescent="0.2">
      <c r="A26" s="133">
        <v>6</v>
      </c>
      <c r="B26" s="133" t="s">
        <v>1189</v>
      </c>
      <c r="C26" s="133" t="s">
        <v>1114</v>
      </c>
      <c r="D26" s="133" t="s">
        <v>1168</v>
      </c>
      <c r="E26" s="133" t="s">
        <v>1116</v>
      </c>
      <c r="F26" s="133" t="s">
        <v>1117</v>
      </c>
      <c r="G26" s="133" t="s">
        <v>1118</v>
      </c>
      <c r="H26" s="130" t="s">
        <v>1133</v>
      </c>
      <c r="I26" s="130" t="s">
        <v>1134</v>
      </c>
      <c r="J26" s="130" t="s">
        <v>1166</v>
      </c>
      <c r="K26" s="130" t="s">
        <v>1167</v>
      </c>
      <c r="L26" s="130" t="s">
        <v>1190</v>
      </c>
      <c r="M26" s="130" t="s">
        <v>1172</v>
      </c>
      <c r="N26" s="130" t="s">
        <v>1154</v>
      </c>
      <c r="O26" s="130" t="s">
        <v>1173</v>
      </c>
      <c r="P26" s="130" t="s">
        <v>1186</v>
      </c>
      <c r="Q26" s="130" t="s">
        <v>1127</v>
      </c>
      <c r="R26" s="130" t="s">
        <v>1191</v>
      </c>
      <c r="S26" s="130" t="s">
        <v>1192</v>
      </c>
      <c r="T26" s="130" t="s">
        <v>1176</v>
      </c>
      <c r="U26" s="130">
        <v>0</v>
      </c>
      <c r="V26" s="131">
        <v>19658</v>
      </c>
      <c r="W26" s="131">
        <v>19658</v>
      </c>
      <c r="X26" s="131">
        <v>3612</v>
      </c>
      <c r="Y26" s="131">
        <v>16046</v>
      </c>
      <c r="Z26" s="131">
        <v>0</v>
      </c>
      <c r="AA26" s="131">
        <v>19658</v>
      </c>
      <c r="AB26" s="131">
        <v>0</v>
      </c>
      <c r="AC26" s="131">
        <v>19658</v>
      </c>
      <c r="AD26" s="131">
        <v>0</v>
      </c>
      <c r="AE26" s="132">
        <v>19658</v>
      </c>
    </row>
    <row r="27" spans="1:31" x14ac:dyDescent="0.2">
      <c r="A27" s="130">
        <v>7</v>
      </c>
      <c r="B27" s="130" t="s">
        <v>1193</v>
      </c>
      <c r="C27" s="130" t="s">
        <v>1114</v>
      </c>
      <c r="D27" s="130" t="s">
        <v>1194</v>
      </c>
      <c r="E27" s="130" t="s">
        <v>1116</v>
      </c>
      <c r="F27" s="130" t="s">
        <v>1117</v>
      </c>
      <c r="G27" s="130" t="s">
        <v>1118</v>
      </c>
      <c r="H27" s="130" t="s">
        <v>1119</v>
      </c>
      <c r="I27" s="130" t="s">
        <v>1169</v>
      </c>
      <c r="J27" s="130" t="s">
        <v>1195</v>
      </c>
      <c r="K27" s="130" t="s">
        <v>1196</v>
      </c>
      <c r="L27" s="130" t="s">
        <v>1197</v>
      </c>
      <c r="M27" s="130" t="s">
        <v>1172</v>
      </c>
      <c r="N27" s="130" t="s">
        <v>148</v>
      </c>
      <c r="O27" s="130" t="s">
        <v>1173</v>
      </c>
      <c r="P27" s="130" t="s">
        <v>1186</v>
      </c>
      <c r="Q27" s="130" t="s">
        <v>1127</v>
      </c>
      <c r="R27" s="130" t="s">
        <v>1191</v>
      </c>
      <c r="S27" s="130" t="s">
        <v>1157</v>
      </c>
      <c r="T27" s="130" t="s">
        <v>1176</v>
      </c>
      <c r="U27" s="130">
        <v>500000</v>
      </c>
      <c r="V27" s="131">
        <v>-67901</v>
      </c>
      <c r="W27" s="131">
        <v>432099</v>
      </c>
      <c r="X27" s="131">
        <v>0</v>
      </c>
      <c r="Y27" s="131">
        <v>432099</v>
      </c>
      <c r="Z27" s="131">
        <v>0</v>
      </c>
      <c r="AA27" s="131">
        <v>432099</v>
      </c>
      <c r="AB27" s="131">
        <v>0</v>
      </c>
      <c r="AC27" s="131">
        <v>432099</v>
      </c>
      <c r="AD27" s="131">
        <v>0</v>
      </c>
      <c r="AE27" s="132">
        <v>432099</v>
      </c>
    </row>
    <row r="28" spans="1:31" x14ac:dyDescent="0.2">
      <c r="A28" s="130">
        <v>8</v>
      </c>
      <c r="B28" s="130" t="s">
        <v>1198</v>
      </c>
      <c r="C28" s="130" t="s">
        <v>1199</v>
      </c>
      <c r="D28" s="130" t="s">
        <v>1200</v>
      </c>
      <c r="E28" s="130" t="s">
        <v>1201</v>
      </c>
      <c r="F28" s="130" t="s">
        <v>1117</v>
      </c>
      <c r="G28" s="130" t="s">
        <v>1202</v>
      </c>
      <c r="H28" s="130" t="s">
        <v>1203</v>
      </c>
      <c r="I28" s="130" t="s">
        <v>1204</v>
      </c>
      <c r="J28" s="130" t="s">
        <v>1205</v>
      </c>
      <c r="K28" s="130" t="s">
        <v>1206</v>
      </c>
      <c r="L28" s="130" t="s">
        <v>1207</v>
      </c>
      <c r="M28" s="130" t="s">
        <v>1172</v>
      </c>
      <c r="N28" s="130" t="s">
        <v>1154</v>
      </c>
      <c r="O28" s="130" t="s">
        <v>1173</v>
      </c>
      <c r="P28" s="130" t="s">
        <v>1186</v>
      </c>
      <c r="Q28" s="130" t="s">
        <v>1127</v>
      </c>
      <c r="R28" s="130" t="s">
        <v>1191</v>
      </c>
      <c r="S28" s="130" t="s">
        <v>1191</v>
      </c>
      <c r="T28" s="130" t="s">
        <v>1208</v>
      </c>
      <c r="U28" s="130">
        <v>1268</v>
      </c>
      <c r="V28" s="131">
        <v>0</v>
      </c>
      <c r="W28" s="131">
        <v>1268</v>
      </c>
      <c r="X28" s="131">
        <v>0</v>
      </c>
      <c r="Y28" s="131">
        <v>1268</v>
      </c>
      <c r="Z28" s="131">
        <v>0</v>
      </c>
      <c r="AA28" s="131">
        <v>1268</v>
      </c>
      <c r="AB28" s="131">
        <v>0</v>
      </c>
      <c r="AC28" s="131">
        <v>1268</v>
      </c>
      <c r="AD28" s="131">
        <v>0</v>
      </c>
      <c r="AE28" s="132">
        <v>1268</v>
      </c>
    </row>
    <row r="29" spans="1:31" x14ac:dyDescent="0.2">
      <c r="A29" s="133">
        <v>8</v>
      </c>
      <c r="B29" s="133" t="s">
        <v>1198</v>
      </c>
      <c r="C29" s="133" t="s">
        <v>1199</v>
      </c>
      <c r="D29" s="133" t="s">
        <v>1200</v>
      </c>
      <c r="E29" s="133" t="s">
        <v>1201</v>
      </c>
      <c r="F29" s="133" t="s">
        <v>1117</v>
      </c>
      <c r="G29" s="133" t="s">
        <v>1202</v>
      </c>
      <c r="H29" s="133" t="s">
        <v>1203</v>
      </c>
      <c r="I29" s="130" t="s">
        <v>1209</v>
      </c>
      <c r="J29" s="130" t="s">
        <v>1210</v>
      </c>
      <c r="K29" s="130" t="s">
        <v>1211</v>
      </c>
      <c r="L29" s="130" t="s">
        <v>1207</v>
      </c>
      <c r="M29" s="130" t="s">
        <v>1172</v>
      </c>
      <c r="N29" s="130" t="s">
        <v>1154</v>
      </c>
      <c r="O29" s="130" t="s">
        <v>1173</v>
      </c>
      <c r="P29" s="130" t="s">
        <v>1186</v>
      </c>
      <c r="Q29" s="130" t="s">
        <v>1127</v>
      </c>
      <c r="R29" s="130" t="s">
        <v>1191</v>
      </c>
      <c r="S29" s="130" t="s">
        <v>1191</v>
      </c>
      <c r="T29" s="130" t="s">
        <v>1208</v>
      </c>
      <c r="U29" s="130">
        <v>6144</v>
      </c>
      <c r="V29" s="131">
        <v>0</v>
      </c>
      <c r="W29" s="131">
        <v>6144</v>
      </c>
      <c r="X29" s="131">
        <v>6120</v>
      </c>
      <c r="Y29" s="131">
        <v>24</v>
      </c>
      <c r="Z29" s="131">
        <v>6120</v>
      </c>
      <c r="AA29" s="131">
        <v>24</v>
      </c>
      <c r="AB29" s="131">
        <v>6120</v>
      </c>
      <c r="AC29" s="131">
        <v>24</v>
      </c>
      <c r="AD29" s="131">
        <v>6120</v>
      </c>
      <c r="AE29" s="132">
        <v>24</v>
      </c>
    </row>
    <row r="30" spans="1:31" x14ac:dyDescent="0.2">
      <c r="A30" s="133">
        <v>8</v>
      </c>
      <c r="B30" s="133" t="s">
        <v>1198</v>
      </c>
      <c r="C30" s="133" t="s">
        <v>1199</v>
      </c>
      <c r="D30" s="133" t="s">
        <v>1200</v>
      </c>
      <c r="E30" s="133" t="s">
        <v>1201</v>
      </c>
      <c r="F30" s="133" t="s">
        <v>1117</v>
      </c>
      <c r="G30" s="133" t="s">
        <v>1202</v>
      </c>
      <c r="H30" s="133" t="s">
        <v>1203</v>
      </c>
      <c r="I30" s="133" t="s">
        <v>1209</v>
      </c>
      <c r="J30" s="130" t="s">
        <v>1212</v>
      </c>
      <c r="K30" s="130" t="s">
        <v>1213</v>
      </c>
      <c r="L30" s="130" t="s">
        <v>1207</v>
      </c>
      <c r="M30" s="130" t="s">
        <v>1172</v>
      </c>
      <c r="N30" s="130" t="s">
        <v>1154</v>
      </c>
      <c r="O30" s="130" t="s">
        <v>1173</v>
      </c>
      <c r="P30" s="130" t="s">
        <v>1186</v>
      </c>
      <c r="Q30" s="130" t="s">
        <v>1127</v>
      </c>
      <c r="R30" s="130" t="s">
        <v>1191</v>
      </c>
      <c r="S30" s="130" t="s">
        <v>1191</v>
      </c>
      <c r="T30" s="130" t="s">
        <v>1208</v>
      </c>
      <c r="U30" s="130">
        <v>5635</v>
      </c>
      <c r="V30" s="131">
        <v>0</v>
      </c>
      <c r="W30" s="131">
        <v>5635</v>
      </c>
      <c r="X30" s="131">
        <v>5635</v>
      </c>
      <c r="Y30" s="131">
        <v>0</v>
      </c>
      <c r="Z30" s="131">
        <v>5635</v>
      </c>
      <c r="AA30" s="131">
        <v>0</v>
      </c>
      <c r="AB30" s="131">
        <v>5635</v>
      </c>
      <c r="AC30" s="131">
        <v>0</v>
      </c>
      <c r="AD30" s="131">
        <v>5635</v>
      </c>
      <c r="AE30" s="132">
        <v>0</v>
      </c>
    </row>
    <row r="31" spans="1:31" x14ac:dyDescent="0.2">
      <c r="A31" s="130">
        <v>9</v>
      </c>
      <c r="B31" s="130" t="s">
        <v>1214</v>
      </c>
      <c r="C31" s="130" t="s">
        <v>1199</v>
      </c>
      <c r="D31" s="130" t="s">
        <v>1215</v>
      </c>
      <c r="E31" s="130" t="s">
        <v>1201</v>
      </c>
      <c r="F31" s="130" t="s">
        <v>1117</v>
      </c>
      <c r="G31" s="130" t="s">
        <v>1202</v>
      </c>
      <c r="H31" s="130" t="s">
        <v>1216</v>
      </c>
      <c r="I31" s="130" t="s">
        <v>1217</v>
      </c>
      <c r="J31" s="130" t="s">
        <v>1218</v>
      </c>
      <c r="K31" s="130" t="s">
        <v>1219</v>
      </c>
      <c r="L31" s="130" t="s">
        <v>1220</v>
      </c>
      <c r="M31" s="130" t="s">
        <v>1172</v>
      </c>
      <c r="N31" s="130" t="s">
        <v>1154</v>
      </c>
      <c r="O31" s="130" t="s">
        <v>1173</v>
      </c>
      <c r="P31" s="130" t="s">
        <v>1174</v>
      </c>
      <c r="Q31" s="130" t="s">
        <v>1127</v>
      </c>
      <c r="R31" s="130" t="s">
        <v>1191</v>
      </c>
      <c r="S31" s="130" t="s">
        <v>1191</v>
      </c>
      <c r="T31" s="130" t="s">
        <v>1221</v>
      </c>
      <c r="U31" s="130">
        <v>3072</v>
      </c>
      <c r="V31" s="131">
        <v>1428</v>
      </c>
      <c r="W31" s="131">
        <v>4500</v>
      </c>
      <c r="X31" s="131">
        <v>4500</v>
      </c>
      <c r="Y31" s="131">
        <v>0</v>
      </c>
      <c r="Z31" s="131">
        <v>4500</v>
      </c>
      <c r="AA31" s="131">
        <v>0</v>
      </c>
      <c r="AB31" s="131">
        <v>4500</v>
      </c>
      <c r="AC31" s="131">
        <v>0</v>
      </c>
      <c r="AD31" s="131">
        <v>0</v>
      </c>
      <c r="AE31" s="132">
        <v>4500</v>
      </c>
    </row>
    <row r="32" spans="1:31" x14ac:dyDescent="0.2">
      <c r="A32" s="133">
        <v>9</v>
      </c>
      <c r="B32" s="133" t="s">
        <v>1214</v>
      </c>
      <c r="C32" s="133" t="s">
        <v>1199</v>
      </c>
      <c r="D32" s="133" t="s">
        <v>1215</v>
      </c>
      <c r="E32" s="133" t="s">
        <v>1201</v>
      </c>
      <c r="F32" s="133" t="s">
        <v>1117</v>
      </c>
      <c r="G32" s="133" t="s">
        <v>1202</v>
      </c>
      <c r="H32" s="133" t="s">
        <v>1216</v>
      </c>
      <c r="I32" s="130" t="s">
        <v>1222</v>
      </c>
      <c r="J32" s="130" t="s">
        <v>1223</v>
      </c>
      <c r="K32" s="130" t="s">
        <v>1223</v>
      </c>
      <c r="L32" s="130" t="s">
        <v>1220</v>
      </c>
      <c r="M32" s="130" t="s">
        <v>1172</v>
      </c>
      <c r="N32" s="130" t="s">
        <v>1154</v>
      </c>
      <c r="O32" s="130" t="s">
        <v>1173</v>
      </c>
      <c r="P32" s="130" t="s">
        <v>1174</v>
      </c>
      <c r="Q32" s="130" t="s">
        <v>1127</v>
      </c>
      <c r="R32" s="130" t="s">
        <v>1191</v>
      </c>
      <c r="S32" s="130" t="s">
        <v>1191</v>
      </c>
      <c r="T32" s="130" t="s">
        <v>1221</v>
      </c>
      <c r="U32" s="130">
        <v>2048</v>
      </c>
      <c r="V32" s="131">
        <v>-1428</v>
      </c>
      <c r="W32" s="131">
        <v>620</v>
      </c>
      <c r="X32" s="131">
        <v>0</v>
      </c>
      <c r="Y32" s="131">
        <v>620</v>
      </c>
      <c r="Z32" s="131">
        <v>0</v>
      </c>
      <c r="AA32" s="131">
        <v>620</v>
      </c>
      <c r="AB32" s="131">
        <v>0</v>
      </c>
      <c r="AC32" s="131">
        <v>620</v>
      </c>
      <c r="AD32" s="131">
        <v>0</v>
      </c>
      <c r="AE32" s="132">
        <v>620</v>
      </c>
    </row>
    <row r="33" spans="1:31" x14ac:dyDescent="0.2">
      <c r="A33" s="133">
        <v>9</v>
      </c>
      <c r="B33" s="133" t="s">
        <v>1214</v>
      </c>
      <c r="C33" s="133" t="s">
        <v>1199</v>
      </c>
      <c r="D33" s="133" t="s">
        <v>1215</v>
      </c>
      <c r="E33" s="133" t="s">
        <v>1201</v>
      </c>
      <c r="F33" s="133" t="s">
        <v>1117</v>
      </c>
      <c r="G33" s="133" t="s">
        <v>1202</v>
      </c>
      <c r="H33" s="130" t="s">
        <v>1203</v>
      </c>
      <c r="I33" s="130" t="s">
        <v>1204</v>
      </c>
      <c r="J33" s="130" t="s">
        <v>1205</v>
      </c>
      <c r="K33" s="130" t="s">
        <v>1206</v>
      </c>
      <c r="L33" s="130" t="s">
        <v>1220</v>
      </c>
      <c r="M33" s="130" t="s">
        <v>1172</v>
      </c>
      <c r="N33" s="130" t="s">
        <v>1154</v>
      </c>
      <c r="O33" s="130" t="s">
        <v>1173</v>
      </c>
      <c r="P33" s="130" t="s">
        <v>1174</v>
      </c>
      <c r="Q33" s="130" t="s">
        <v>1127</v>
      </c>
      <c r="R33" s="130" t="s">
        <v>1191</v>
      </c>
      <c r="S33" s="130" t="s">
        <v>1191</v>
      </c>
      <c r="T33" s="130" t="s">
        <v>1221</v>
      </c>
      <c r="U33" s="130">
        <v>1024</v>
      </c>
      <c r="V33" s="131">
        <v>0</v>
      </c>
      <c r="W33" s="131">
        <v>1024</v>
      </c>
      <c r="X33" s="131">
        <v>0</v>
      </c>
      <c r="Y33" s="131">
        <v>1024</v>
      </c>
      <c r="Z33" s="131">
        <v>0</v>
      </c>
      <c r="AA33" s="131">
        <v>1024</v>
      </c>
      <c r="AB33" s="131">
        <v>0</v>
      </c>
      <c r="AC33" s="131">
        <v>1024</v>
      </c>
      <c r="AD33" s="131">
        <v>0</v>
      </c>
      <c r="AE33" s="132">
        <v>1024</v>
      </c>
    </row>
    <row r="34" spans="1:31" x14ac:dyDescent="0.2">
      <c r="A34" s="133">
        <v>9</v>
      </c>
      <c r="B34" s="133" t="s">
        <v>1214</v>
      </c>
      <c r="C34" s="133" t="s">
        <v>1199</v>
      </c>
      <c r="D34" s="133" t="s">
        <v>1215</v>
      </c>
      <c r="E34" s="133" t="s">
        <v>1201</v>
      </c>
      <c r="F34" s="133" t="s">
        <v>1117</v>
      </c>
      <c r="G34" s="133" t="s">
        <v>1202</v>
      </c>
      <c r="H34" s="133" t="s">
        <v>1203</v>
      </c>
      <c r="I34" s="130" t="s">
        <v>1224</v>
      </c>
      <c r="J34" s="130" t="s">
        <v>1225</v>
      </c>
      <c r="K34" s="130" t="s">
        <v>1226</v>
      </c>
      <c r="L34" s="130" t="s">
        <v>1220</v>
      </c>
      <c r="M34" s="130" t="s">
        <v>1172</v>
      </c>
      <c r="N34" s="130" t="s">
        <v>1154</v>
      </c>
      <c r="O34" s="130" t="s">
        <v>1173</v>
      </c>
      <c r="P34" s="130" t="s">
        <v>1174</v>
      </c>
      <c r="Q34" s="130" t="s">
        <v>1127</v>
      </c>
      <c r="R34" s="130" t="s">
        <v>1191</v>
      </c>
      <c r="S34" s="130" t="s">
        <v>1191</v>
      </c>
      <c r="T34" s="130" t="s">
        <v>1221</v>
      </c>
      <c r="U34" s="130">
        <v>8192</v>
      </c>
      <c r="V34" s="131">
        <v>0</v>
      </c>
      <c r="W34" s="131">
        <v>8192</v>
      </c>
      <c r="X34" s="131">
        <v>0</v>
      </c>
      <c r="Y34" s="131">
        <v>8192</v>
      </c>
      <c r="Z34" s="131">
        <v>0</v>
      </c>
      <c r="AA34" s="131">
        <v>8192</v>
      </c>
      <c r="AB34" s="131">
        <v>0</v>
      </c>
      <c r="AC34" s="131">
        <v>8192</v>
      </c>
      <c r="AD34" s="131">
        <v>0</v>
      </c>
      <c r="AE34" s="132">
        <v>8192</v>
      </c>
    </row>
    <row r="35" spans="1:31" x14ac:dyDescent="0.2">
      <c r="A35" s="133">
        <v>9</v>
      </c>
      <c r="B35" s="133" t="s">
        <v>1214</v>
      </c>
      <c r="C35" s="133" t="s">
        <v>1199</v>
      </c>
      <c r="D35" s="133" t="s">
        <v>1215</v>
      </c>
      <c r="E35" s="133" t="s">
        <v>1201</v>
      </c>
      <c r="F35" s="133" t="s">
        <v>1117</v>
      </c>
      <c r="G35" s="133" t="s">
        <v>1202</v>
      </c>
      <c r="H35" s="133" t="s">
        <v>1203</v>
      </c>
      <c r="I35" s="130" t="s">
        <v>1209</v>
      </c>
      <c r="J35" s="130" t="s">
        <v>1210</v>
      </c>
      <c r="K35" s="130" t="s">
        <v>1211</v>
      </c>
      <c r="L35" s="130" t="s">
        <v>1220</v>
      </c>
      <c r="M35" s="130" t="s">
        <v>1172</v>
      </c>
      <c r="N35" s="130" t="s">
        <v>1154</v>
      </c>
      <c r="O35" s="130" t="s">
        <v>1173</v>
      </c>
      <c r="P35" s="130" t="s">
        <v>1174</v>
      </c>
      <c r="Q35" s="130" t="s">
        <v>1127</v>
      </c>
      <c r="R35" s="130" t="s">
        <v>1191</v>
      </c>
      <c r="S35" s="130" t="s">
        <v>1191</v>
      </c>
      <c r="T35" s="130" t="s">
        <v>1221</v>
      </c>
      <c r="U35" s="130">
        <v>9216</v>
      </c>
      <c r="V35" s="131">
        <v>0</v>
      </c>
      <c r="W35" s="131">
        <v>9216</v>
      </c>
      <c r="X35" s="131">
        <v>3045</v>
      </c>
      <c r="Y35" s="131">
        <v>6171</v>
      </c>
      <c r="Z35" s="131">
        <v>3045</v>
      </c>
      <c r="AA35" s="131">
        <v>6171</v>
      </c>
      <c r="AB35" s="131">
        <v>3045</v>
      </c>
      <c r="AC35" s="131">
        <v>6171</v>
      </c>
      <c r="AD35" s="131">
        <v>0</v>
      </c>
      <c r="AE35" s="132">
        <v>9216</v>
      </c>
    </row>
    <row r="36" spans="1:31" x14ac:dyDescent="0.2">
      <c r="A36" s="133">
        <v>9</v>
      </c>
      <c r="B36" s="133" t="s">
        <v>1214</v>
      </c>
      <c r="C36" s="133" t="s">
        <v>1199</v>
      </c>
      <c r="D36" s="133" t="s">
        <v>1215</v>
      </c>
      <c r="E36" s="133" t="s">
        <v>1201</v>
      </c>
      <c r="F36" s="133" t="s">
        <v>1117</v>
      </c>
      <c r="G36" s="133" t="s">
        <v>1202</v>
      </c>
      <c r="H36" s="133" t="s">
        <v>1203</v>
      </c>
      <c r="I36" s="133" t="s">
        <v>1209</v>
      </c>
      <c r="J36" s="130" t="s">
        <v>1212</v>
      </c>
      <c r="K36" s="130" t="s">
        <v>1213</v>
      </c>
      <c r="L36" s="130" t="s">
        <v>1220</v>
      </c>
      <c r="M36" s="130" t="s">
        <v>1172</v>
      </c>
      <c r="N36" s="130" t="s">
        <v>1154</v>
      </c>
      <c r="O36" s="130" t="s">
        <v>1173</v>
      </c>
      <c r="P36" s="130" t="s">
        <v>1174</v>
      </c>
      <c r="Q36" s="130" t="s">
        <v>1127</v>
      </c>
      <c r="R36" s="130" t="s">
        <v>1191</v>
      </c>
      <c r="S36" s="130" t="s">
        <v>1191</v>
      </c>
      <c r="T36" s="130" t="s">
        <v>1221</v>
      </c>
      <c r="U36" s="130">
        <v>2048</v>
      </c>
      <c r="V36" s="131">
        <v>0</v>
      </c>
      <c r="W36" s="131">
        <v>2048</v>
      </c>
      <c r="X36" s="131">
        <v>2048</v>
      </c>
      <c r="Y36" s="131">
        <v>0</v>
      </c>
      <c r="Z36" s="131">
        <v>2048</v>
      </c>
      <c r="AA36" s="131">
        <v>0</v>
      </c>
      <c r="AB36" s="131">
        <v>2048</v>
      </c>
      <c r="AC36" s="131">
        <v>0</v>
      </c>
      <c r="AD36" s="131">
        <v>0</v>
      </c>
      <c r="AE36" s="132">
        <v>2048</v>
      </c>
    </row>
    <row r="37" spans="1:31" x14ac:dyDescent="0.2">
      <c r="A37" s="130">
        <v>10</v>
      </c>
      <c r="B37" s="130" t="s">
        <v>1214</v>
      </c>
      <c r="C37" s="130" t="s">
        <v>1199</v>
      </c>
      <c r="D37" s="130" t="s">
        <v>1227</v>
      </c>
      <c r="E37" s="130" t="s">
        <v>1201</v>
      </c>
      <c r="F37" s="130" t="s">
        <v>1117</v>
      </c>
      <c r="G37" s="130" t="s">
        <v>1202</v>
      </c>
      <c r="H37" s="130" t="s">
        <v>1216</v>
      </c>
      <c r="I37" s="130" t="s">
        <v>1217</v>
      </c>
      <c r="J37" s="130" t="s">
        <v>1218</v>
      </c>
      <c r="K37" s="130" t="s">
        <v>1219</v>
      </c>
      <c r="L37" s="130" t="s">
        <v>1228</v>
      </c>
      <c r="M37" s="130" t="s">
        <v>1172</v>
      </c>
      <c r="N37" s="130" t="s">
        <v>1154</v>
      </c>
      <c r="O37" s="130" t="s">
        <v>1173</v>
      </c>
      <c r="P37" s="130" t="s">
        <v>1174</v>
      </c>
      <c r="Q37" s="130" t="s">
        <v>1127</v>
      </c>
      <c r="R37" s="130" t="s">
        <v>1191</v>
      </c>
      <c r="S37" s="130" t="s">
        <v>1191</v>
      </c>
      <c r="T37" s="130" t="s">
        <v>1229</v>
      </c>
      <c r="U37" s="130">
        <v>8192</v>
      </c>
      <c r="V37" s="131">
        <v>748</v>
      </c>
      <c r="W37" s="131">
        <v>8940</v>
      </c>
      <c r="X37" s="131">
        <v>8940</v>
      </c>
      <c r="Y37" s="131">
        <v>0</v>
      </c>
      <c r="Z37" s="131">
        <v>8940</v>
      </c>
      <c r="AA37" s="131">
        <v>0</v>
      </c>
      <c r="AB37" s="131">
        <v>8940</v>
      </c>
      <c r="AC37" s="131">
        <v>0</v>
      </c>
      <c r="AD37" s="131">
        <v>8940</v>
      </c>
      <c r="AE37" s="132">
        <v>0</v>
      </c>
    </row>
    <row r="38" spans="1:31" x14ac:dyDescent="0.2">
      <c r="A38" s="133">
        <v>10</v>
      </c>
      <c r="B38" s="133" t="s">
        <v>1214</v>
      </c>
      <c r="C38" s="133" t="s">
        <v>1199</v>
      </c>
      <c r="D38" s="133" t="s">
        <v>1227</v>
      </c>
      <c r="E38" s="133" t="s">
        <v>1201</v>
      </c>
      <c r="F38" s="133" t="s">
        <v>1117</v>
      </c>
      <c r="G38" s="133" t="s">
        <v>1202</v>
      </c>
      <c r="H38" s="133" t="s">
        <v>1216</v>
      </c>
      <c r="I38" s="130" t="s">
        <v>1222</v>
      </c>
      <c r="J38" s="130" t="s">
        <v>1230</v>
      </c>
      <c r="K38" s="130" t="s">
        <v>1231</v>
      </c>
      <c r="L38" s="130" t="s">
        <v>1228</v>
      </c>
      <c r="M38" s="130" t="s">
        <v>1172</v>
      </c>
      <c r="N38" s="130" t="s">
        <v>1154</v>
      </c>
      <c r="O38" s="130" t="s">
        <v>1173</v>
      </c>
      <c r="P38" s="130" t="s">
        <v>1174</v>
      </c>
      <c r="Q38" s="130" t="s">
        <v>1127</v>
      </c>
      <c r="R38" s="130" t="s">
        <v>1191</v>
      </c>
      <c r="S38" s="130" t="s">
        <v>1191</v>
      </c>
      <c r="T38" s="130" t="s">
        <v>1229</v>
      </c>
      <c r="U38" s="130">
        <v>4096</v>
      </c>
      <c r="V38" s="131">
        <v>-748</v>
      </c>
      <c r="W38" s="131">
        <v>3348</v>
      </c>
      <c r="X38" s="131">
        <v>0</v>
      </c>
      <c r="Y38" s="131">
        <v>3348</v>
      </c>
      <c r="Z38" s="131">
        <v>0</v>
      </c>
      <c r="AA38" s="131">
        <v>3348</v>
      </c>
      <c r="AB38" s="131">
        <v>0</v>
      </c>
      <c r="AC38" s="131">
        <v>3348</v>
      </c>
      <c r="AD38" s="131">
        <v>0</v>
      </c>
      <c r="AE38" s="132">
        <v>3348</v>
      </c>
    </row>
    <row r="39" spans="1:31" x14ac:dyDescent="0.2">
      <c r="A39" s="133">
        <v>10</v>
      </c>
      <c r="B39" s="133" t="s">
        <v>1214</v>
      </c>
      <c r="C39" s="133" t="s">
        <v>1199</v>
      </c>
      <c r="D39" s="133" t="s">
        <v>1227</v>
      </c>
      <c r="E39" s="133" t="s">
        <v>1201</v>
      </c>
      <c r="F39" s="133" t="s">
        <v>1117</v>
      </c>
      <c r="G39" s="133" t="s">
        <v>1202</v>
      </c>
      <c r="H39" s="130" t="s">
        <v>1203</v>
      </c>
      <c r="I39" s="130" t="s">
        <v>1204</v>
      </c>
      <c r="J39" s="130" t="s">
        <v>1205</v>
      </c>
      <c r="K39" s="130" t="s">
        <v>1206</v>
      </c>
      <c r="L39" s="130" t="s">
        <v>1228</v>
      </c>
      <c r="M39" s="130" t="s">
        <v>1172</v>
      </c>
      <c r="N39" s="130" t="s">
        <v>1154</v>
      </c>
      <c r="O39" s="130" t="s">
        <v>1173</v>
      </c>
      <c r="P39" s="130" t="s">
        <v>1174</v>
      </c>
      <c r="Q39" s="130" t="s">
        <v>1127</v>
      </c>
      <c r="R39" s="130" t="s">
        <v>1191</v>
      </c>
      <c r="S39" s="130" t="s">
        <v>1191</v>
      </c>
      <c r="T39" s="130" t="s">
        <v>1229</v>
      </c>
      <c r="U39" s="130">
        <v>13312</v>
      </c>
      <c r="V39" s="131">
        <v>0</v>
      </c>
      <c r="W39" s="131">
        <v>13312</v>
      </c>
      <c r="X39" s="131">
        <v>0</v>
      </c>
      <c r="Y39" s="131">
        <v>13312</v>
      </c>
      <c r="Z39" s="131">
        <v>0</v>
      </c>
      <c r="AA39" s="131">
        <v>13312</v>
      </c>
      <c r="AB39" s="131">
        <v>0</v>
      </c>
      <c r="AC39" s="131">
        <v>13312</v>
      </c>
      <c r="AD39" s="131">
        <v>0</v>
      </c>
      <c r="AE39" s="132">
        <v>13312</v>
      </c>
    </row>
    <row r="40" spans="1:31" x14ac:dyDescent="0.2">
      <c r="A40" s="130">
        <v>11</v>
      </c>
      <c r="B40" s="130" t="s">
        <v>1214</v>
      </c>
      <c r="C40" s="130" t="s">
        <v>1199</v>
      </c>
      <c r="D40" s="130" t="s">
        <v>1232</v>
      </c>
      <c r="E40" s="130" t="s">
        <v>1201</v>
      </c>
      <c r="F40" s="130" t="s">
        <v>1117</v>
      </c>
      <c r="G40" s="130" t="s">
        <v>1233</v>
      </c>
      <c r="H40" s="130" t="s">
        <v>1234</v>
      </c>
      <c r="I40" s="130" t="s">
        <v>1235</v>
      </c>
      <c r="J40" s="130" t="s">
        <v>1236</v>
      </c>
      <c r="K40" s="130" t="s">
        <v>1236</v>
      </c>
      <c r="L40" s="130" t="s">
        <v>1237</v>
      </c>
      <c r="M40" s="130" t="s">
        <v>1172</v>
      </c>
      <c r="N40" s="130" t="s">
        <v>1154</v>
      </c>
      <c r="O40" s="130" t="s">
        <v>1173</v>
      </c>
      <c r="P40" s="130" t="s">
        <v>1174</v>
      </c>
      <c r="Q40" s="130" t="s">
        <v>1127</v>
      </c>
      <c r="R40" s="130" t="s">
        <v>1191</v>
      </c>
      <c r="S40" s="130" t="s">
        <v>1191</v>
      </c>
      <c r="T40" s="130" t="s">
        <v>1238</v>
      </c>
      <c r="U40" s="130">
        <v>1280154</v>
      </c>
      <c r="V40" s="131">
        <v>0</v>
      </c>
      <c r="W40" s="131">
        <v>1280154</v>
      </c>
      <c r="X40" s="131">
        <v>903072.92</v>
      </c>
      <c r="Y40" s="131">
        <v>377081.07999999996</v>
      </c>
      <c r="Z40" s="131">
        <v>248920.22</v>
      </c>
      <c r="AA40" s="131">
        <v>1031233.78</v>
      </c>
      <c r="AB40" s="131">
        <v>248920.22000000003</v>
      </c>
      <c r="AC40" s="131">
        <v>1031233.78</v>
      </c>
      <c r="AD40" s="131">
        <v>118850</v>
      </c>
      <c r="AE40" s="132">
        <v>1161304</v>
      </c>
    </row>
    <row r="41" spans="1:31" x14ac:dyDescent="0.2">
      <c r="A41" s="133">
        <v>11</v>
      </c>
      <c r="B41" s="133" t="s">
        <v>1214</v>
      </c>
      <c r="C41" s="133" t="s">
        <v>1199</v>
      </c>
      <c r="D41" s="133" t="s">
        <v>1232</v>
      </c>
      <c r="E41" s="133" t="s">
        <v>1201</v>
      </c>
      <c r="F41" s="133" t="s">
        <v>1117</v>
      </c>
      <c r="G41" s="130" t="s">
        <v>1202</v>
      </c>
      <c r="H41" s="130" t="s">
        <v>1216</v>
      </c>
      <c r="I41" s="130" t="s">
        <v>1239</v>
      </c>
      <c r="J41" s="130" t="s">
        <v>1240</v>
      </c>
      <c r="K41" s="130" t="s">
        <v>1241</v>
      </c>
      <c r="L41" s="130" t="s">
        <v>1237</v>
      </c>
      <c r="M41" s="130" t="s">
        <v>1172</v>
      </c>
      <c r="N41" s="130" t="s">
        <v>1154</v>
      </c>
      <c r="O41" s="130" t="s">
        <v>1173</v>
      </c>
      <c r="P41" s="130" t="s">
        <v>1174</v>
      </c>
      <c r="Q41" s="130" t="s">
        <v>1127</v>
      </c>
      <c r="R41" s="130" t="s">
        <v>1191</v>
      </c>
      <c r="S41" s="130" t="s">
        <v>1191</v>
      </c>
      <c r="T41" s="130" t="s">
        <v>1238</v>
      </c>
      <c r="U41" s="130">
        <v>2048</v>
      </c>
      <c r="V41" s="131">
        <v>0</v>
      </c>
      <c r="W41" s="131">
        <v>2048</v>
      </c>
      <c r="X41" s="131">
        <v>1685</v>
      </c>
      <c r="Y41" s="131">
        <v>363</v>
      </c>
      <c r="Z41" s="131">
        <v>1685</v>
      </c>
      <c r="AA41" s="131">
        <v>363</v>
      </c>
      <c r="AB41" s="131">
        <v>1685</v>
      </c>
      <c r="AC41" s="131">
        <v>363</v>
      </c>
      <c r="AD41" s="131">
        <v>1685</v>
      </c>
      <c r="AE41" s="132">
        <v>363</v>
      </c>
    </row>
    <row r="42" spans="1:31" x14ac:dyDescent="0.2">
      <c r="A42" s="133">
        <v>11</v>
      </c>
      <c r="B42" s="133" t="s">
        <v>1214</v>
      </c>
      <c r="C42" s="133" t="s">
        <v>1199</v>
      </c>
      <c r="D42" s="133" t="s">
        <v>1232</v>
      </c>
      <c r="E42" s="133" t="s">
        <v>1201</v>
      </c>
      <c r="F42" s="133" t="s">
        <v>1117</v>
      </c>
      <c r="G42" s="133" t="s">
        <v>1202</v>
      </c>
      <c r="H42" s="133" t="s">
        <v>1216</v>
      </c>
      <c r="I42" s="130" t="s">
        <v>1217</v>
      </c>
      <c r="J42" s="130" t="s">
        <v>1218</v>
      </c>
      <c r="K42" s="130" t="s">
        <v>1219</v>
      </c>
      <c r="L42" s="130" t="s">
        <v>1237</v>
      </c>
      <c r="M42" s="130" t="s">
        <v>1172</v>
      </c>
      <c r="N42" s="130" t="s">
        <v>1154</v>
      </c>
      <c r="O42" s="130" t="s">
        <v>1173</v>
      </c>
      <c r="P42" s="130" t="s">
        <v>1174</v>
      </c>
      <c r="Q42" s="130" t="s">
        <v>1127</v>
      </c>
      <c r="R42" s="130" t="s">
        <v>1191</v>
      </c>
      <c r="S42" s="130" t="s">
        <v>1191</v>
      </c>
      <c r="T42" s="130" t="s">
        <v>1238</v>
      </c>
      <c r="U42" s="130">
        <v>10240</v>
      </c>
      <c r="V42" s="131">
        <v>-45</v>
      </c>
      <c r="W42" s="131">
        <v>10195</v>
      </c>
      <c r="X42" s="131">
        <v>9900</v>
      </c>
      <c r="Y42" s="131">
        <v>295</v>
      </c>
      <c r="Z42" s="131">
        <v>9900</v>
      </c>
      <c r="AA42" s="131">
        <v>295</v>
      </c>
      <c r="AB42" s="131">
        <v>9900</v>
      </c>
      <c r="AC42" s="131">
        <v>295</v>
      </c>
      <c r="AD42" s="131">
        <v>0</v>
      </c>
      <c r="AE42" s="132">
        <v>10195</v>
      </c>
    </row>
    <row r="43" spans="1:31" x14ac:dyDescent="0.2">
      <c r="A43" s="133">
        <v>11</v>
      </c>
      <c r="B43" s="133" t="s">
        <v>1214</v>
      </c>
      <c r="C43" s="133" t="s">
        <v>1199</v>
      </c>
      <c r="D43" s="133" t="s">
        <v>1232</v>
      </c>
      <c r="E43" s="133" t="s">
        <v>1201</v>
      </c>
      <c r="F43" s="133" t="s">
        <v>1117</v>
      </c>
      <c r="G43" s="133" t="s">
        <v>1202</v>
      </c>
      <c r="H43" s="133" t="s">
        <v>1216</v>
      </c>
      <c r="I43" s="130" t="s">
        <v>1242</v>
      </c>
      <c r="J43" s="130" t="s">
        <v>1243</v>
      </c>
      <c r="K43" s="130" t="s">
        <v>1244</v>
      </c>
      <c r="L43" s="130" t="s">
        <v>1237</v>
      </c>
      <c r="M43" s="130" t="s">
        <v>1172</v>
      </c>
      <c r="N43" s="130" t="s">
        <v>1154</v>
      </c>
      <c r="O43" s="130" t="s">
        <v>1173</v>
      </c>
      <c r="P43" s="130" t="s">
        <v>1174</v>
      </c>
      <c r="Q43" s="130" t="s">
        <v>1127</v>
      </c>
      <c r="R43" s="130" t="s">
        <v>1191</v>
      </c>
      <c r="S43" s="130" t="s">
        <v>1191</v>
      </c>
      <c r="T43" s="130" t="s">
        <v>1238</v>
      </c>
      <c r="U43" s="130">
        <v>0</v>
      </c>
      <c r="V43" s="131">
        <v>45</v>
      </c>
      <c r="W43" s="131">
        <v>45</v>
      </c>
      <c r="X43" s="131">
        <v>45</v>
      </c>
      <c r="Y43" s="131">
        <v>0</v>
      </c>
      <c r="Z43" s="131">
        <v>45</v>
      </c>
      <c r="AA43" s="131">
        <v>0</v>
      </c>
      <c r="AB43" s="131">
        <v>45</v>
      </c>
      <c r="AC43" s="131">
        <v>0</v>
      </c>
      <c r="AD43" s="131">
        <v>45</v>
      </c>
      <c r="AE43" s="132">
        <v>0</v>
      </c>
    </row>
    <row r="44" spans="1:31" x14ac:dyDescent="0.2">
      <c r="A44" s="133">
        <v>11</v>
      </c>
      <c r="B44" s="133" t="s">
        <v>1214</v>
      </c>
      <c r="C44" s="133" t="s">
        <v>1199</v>
      </c>
      <c r="D44" s="133" t="s">
        <v>1232</v>
      </c>
      <c r="E44" s="133" t="s">
        <v>1201</v>
      </c>
      <c r="F44" s="133" t="s">
        <v>1117</v>
      </c>
      <c r="G44" s="133" t="s">
        <v>1202</v>
      </c>
      <c r="H44" s="133" t="s">
        <v>1216</v>
      </c>
      <c r="I44" s="130" t="s">
        <v>1222</v>
      </c>
      <c r="J44" s="130" t="s">
        <v>1245</v>
      </c>
      <c r="K44" s="130" t="s">
        <v>1246</v>
      </c>
      <c r="L44" s="130" t="s">
        <v>1237</v>
      </c>
      <c r="M44" s="130" t="s">
        <v>1172</v>
      </c>
      <c r="N44" s="130" t="s">
        <v>1154</v>
      </c>
      <c r="O44" s="130" t="s">
        <v>1173</v>
      </c>
      <c r="P44" s="130" t="s">
        <v>1174</v>
      </c>
      <c r="Q44" s="130" t="s">
        <v>1127</v>
      </c>
      <c r="R44" s="130" t="s">
        <v>1191</v>
      </c>
      <c r="S44" s="130" t="s">
        <v>1191</v>
      </c>
      <c r="T44" s="130" t="s">
        <v>1238</v>
      </c>
      <c r="U44" s="130">
        <v>1639</v>
      </c>
      <c r="V44" s="131">
        <v>-19</v>
      </c>
      <c r="W44" s="131">
        <v>1620</v>
      </c>
      <c r="X44" s="131">
        <v>125</v>
      </c>
      <c r="Y44" s="131">
        <v>1495</v>
      </c>
      <c r="Z44" s="131">
        <v>125</v>
      </c>
      <c r="AA44" s="131">
        <v>1495</v>
      </c>
      <c r="AB44" s="131">
        <v>125</v>
      </c>
      <c r="AC44" s="131">
        <v>1495</v>
      </c>
      <c r="AD44" s="131">
        <v>125</v>
      </c>
      <c r="AE44" s="132">
        <v>1495</v>
      </c>
    </row>
    <row r="45" spans="1:31" x14ac:dyDescent="0.2">
      <c r="A45" s="133">
        <v>11</v>
      </c>
      <c r="B45" s="133" t="s">
        <v>1214</v>
      </c>
      <c r="C45" s="133" t="s">
        <v>1199</v>
      </c>
      <c r="D45" s="133" t="s">
        <v>1232</v>
      </c>
      <c r="E45" s="133" t="s">
        <v>1201</v>
      </c>
      <c r="F45" s="133" t="s">
        <v>1117</v>
      </c>
      <c r="G45" s="133" t="s">
        <v>1202</v>
      </c>
      <c r="H45" s="133" t="s">
        <v>1216</v>
      </c>
      <c r="I45" s="130" t="s">
        <v>1247</v>
      </c>
      <c r="J45" s="130" t="s">
        <v>1248</v>
      </c>
      <c r="K45" s="130" t="s">
        <v>1249</v>
      </c>
      <c r="L45" s="130" t="s">
        <v>1237</v>
      </c>
      <c r="M45" s="130" t="s">
        <v>1172</v>
      </c>
      <c r="N45" s="130" t="s">
        <v>1154</v>
      </c>
      <c r="O45" s="130" t="s">
        <v>1173</v>
      </c>
      <c r="P45" s="130" t="s">
        <v>1174</v>
      </c>
      <c r="Q45" s="130" t="s">
        <v>1127</v>
      </c>
      <c r="R45" s="130" t="s">
        <v>1191</v>
      </c>
      <c r="S45" s="130" t="s">
        <v>1191</v>
      </c>
      <c r="T45" s="130" t="s">
        <v>1238</v>
      </c>
      <c r="U45" s="130">
        <v>13312</v>
      </c>
      <c r="V45" s="131">
        <v>0</v>
      </c>
      <c r="W45" s="131">
        <v>13312</v>
      </c>
      <c r="X45" s="131">
        <v>12314</v>
      </c>
      <c r="Y45" s="131">
        <v>998</v>
      </c>
      <c r="Z45" s="131">
        <v>12035.89</v>
      </c>
      <c r="AA45" s="131">
        <v>1276.1100000000006</v>
      </c>
      <c r="AB45" s="131">
        <v>12035.89</v>
      </c>
      <c r="AC45" s="131">
        <v>1276.1100000000006</v>
      </c>
      <c r="AD45" s="131">
        <v>4535.8899999999994</v>
      </c>
      <c r="AE45" s="132">
        <v>8776.11</v>
      </c>
    </row>
    <row r="46" spans="1:31" x14ac:dyDescent="0.2">
      <c r="A46" s="133">
        <v>11</v>
      </c>
      <c r="B46" s="133" t="s">
        <v>1214</v>
      </c>
      <c r="C46" s="133" t="s">
        <v>1199</v>
      </c>
      <c r="D46" s="133" t="s">
        <v>1232</v>
      </c>
      <c r="E46" s="133" t="s">
        <v>1201</v>
      </c>
      <c r="F46" s="133" t="s">
        <v>1117</v>
      </c>
      <c r="G46" s="133" t="s">
        <v>1202</v>
      </c>
      <c r="H46" s="133" t="s">
        <v>1216</v>
      </c>
      <c r="I46" s="133" t="s">
        <v>1247</v>
      </c>
      <c r="J46" s="133" t="s">
        <v>1248</v>
      </c>
      <c r="K46" s="130" t="s">
        <v>1250</v>
      </c>
      <c r="L46" s="130" t="s">
        <v>1237</v>
      </c>
      <c r="M46" s="130" t="s">
        <v>1172</v>
      </c>
      <c r="N46" s="130" t="s">
        <v>1154</v>
      </c>
      <c r="O46" s="130" t="s">
        <v>1173</v>
      </c>
      <c r="P46" s="130" t="s">
        <v>1174</v>
      </c>
      <c r="Q46" s="130" t="s">
        <v>1127</v>
      </c>
      <c r="R46" s="130" t="s">
        <v>1191</v>
      </c>
      <c r="S46" s="130" t="s">
        <v>1191</v>
      </c>
      <c r="T46" s="130" t="s">
        <v>1238</v>
      </c>
      <c r="U46" s="130">
        <v>3072</v>
      </c>
      <c r="V46" s="131">
        <v>0</v>
      </c>
      <c r="W46" s="131">
        <v>3072</v>
      </c>
      <c r="X46" s="131">
        <v>0</v>
      </c>
      <c r="Y46" s="131">
        <v>3072</v>
      </c>
      <c r="Z46" s="131">
        <v>0</v>
      </c>
      <c r="AA46" s="131">
        <v>3072</v>
      </c>
      <c r="AB46" s="131">
        <v>0</v>
      </c>
      <c r="AC46" s="131">
        <v>3072</v>
      </c>
      <c r="AD46" s="131">
        <v>0</v>
      </c>
      <c r="AE46" s="132">
        <v>3072</v>
      </c>
    </row>
    <row r="47" spans="1:31" x14ac:dyDescent="0.2">
      <c r="A47" s="133">
        <v>11</v>
      </c>
      <c r="B47" s="133" t="s">
        <v>1214</v>
      </c>
      <c r="C47" s="133" t="s">
        <v>1199</v>
      </c>
      <c r="D47" s="133" t="s">
        <v>1232</v>
      </c>
      <c r="E47" s="133" t="s">
        <v>1201</v>
      </c>
      <c r="F47" s="133" t="s">
        <v>1117</v>
      </c>
      <c r="G47" s="133" t="s">
        <v>1202</v>
      </c>
      <c r="H47" s="133" t="s">
        <v>1216</v>
      </c>
      <c r="I47" s="133" t="s">
        <v>1247</v>
      </c>
      <c r="J47" s="133" t="s">
        <v>1248</v>
      </c>
      <c r="K47" s="130" t="s">
        <v>1251</v>
      </c>
      <c r="L47" s="130" t="s">
        <v>1237</v>
      </c>
      <c r="M47" s="130" t="s">
        <v>1172</v>
      </c>
      <c r="N47" s="130" t="s">
        <v>1154</v>
      </c>
      <c r="O47" s="130" t="s">
        <v>1173</v>
      </c>
      <c r="P47" s="130" t="s">
        <v>1174</v>
      </c>
      <c r="Q47" s="130" t="s">
        <v>1127</v>
      </c>
      <c r="R47" s="130" t="s">
        <v>1191</v>
      </c>
      <c r="S47" s="130" t="s">
        <v>1191</v>
      </c>
      <c r="T47" s="130" t="s">
        <v>1238</v>
      </c>
      <c r="U47" s="130">
        <v>2048</v>
      </c>
      <c r="V47" s="131">
        <v>0</v>
      </c>
      <c r="W47" s="131">
        <v>2048</v>
      </c>
      <c r="X47" s="131">
        <v>0</v>
      </c>
      <c r="Y47" s="131">
        <v>2048</v>
      </c>
      <c r="Z47" s="131">
        <v>0</v>
      </c>
      <c r="AA47" s="131">
        <v>2048</v>
      </c>
      <c r="AB47" s="131">
        <v>0</v>
      </c>
      <c r="AC47" s="131">
        <v>2048</v>
      </c>
      <c r="AD47" s="131">
        <v>0</v>
      </c>
      <c r="AE47" s="132">
        <v>2048</v>
      </c>
    </row>
    <row r="48" spans="1:31" x14ac:dyDescent="0.2">
      <c r="A48" s="133">
        <v>11</v>
      </c>
      <c r="B48" s="133" t="s">
        <v>1214</v>
      </c>
      <c r="C48" s="133" t="s">
        <v>1199</v>
      </c>
      <c r="D48" s="133" t="s">
        <v>1232</v>
      </c>
      <c r="E48" s="133" t="s">
        <v>1201</v>
      </c>
      <c r="F48" s="133" t="s">
        <v>1117</v>
      </c>
      <c r="G48" s="133" t="s">
        <v>1202</v>
      </c>
      <c r="H48" s="133" t="s">
        <v>1216</v>
      </c>
      <c r="I48" s="130" t="s">
        <v>1252</v>
      </c>
      <c r="J48" s="130" t="s">
        <v>1253</v>
      </c>
      <c r="K48" s="130" t="s">
        <v>1254</v>
      </c>
      <c r="L48" s="130" t="s">
        <v>1237</v>
      </c>
      <c r="M48" s="130" t="s">
        <v>1172</v>
      </c>
      <c r="N48" s="130" t="s">
        <v>1154</v>
      </c>
      <c r="O48" s="130" t="s">
        <v>1173</v>
      </c>
      <c r="P48" s="130" t="s">
        <v>1174</v>
      </c>
      <c r="Q48" s="130" t="s">
        <v>1127</v>
      </c>
      <c r="R48" s="130" t="s">
        <v>1191</v>
      </c>
      <c r="S48" s="130" t="s">
        <v>1191</v>
      </c>
      <c r="T48" s="130" t="s">
        <v>1238</v>
      </c>
      <c r="U48" s="130">
        <v>0</v>
      </c>
      <c r="V48" s="131">
        <v>19</v>
      </c>
      <c r="W48" s="131">
        <v>19</v>
      </c>
      <c r="X48" s="131">
        <v>19</v>
      </c>
      <c r="Y48" s="131">
        <v>0</v>
      </c>
      <c r="Z48" s="131">
        <v>19</v>
      </c>
      <c r="AA48" s="131">
        <v>0</v>
      </c>
      <c r="AB48" s="131">
        <v>19</v>
      </c>
      <c r="AC48" s="131">
        <v>0</v>
      </c>
      <c r="AD48" s="131">
        <v>19</v>
      </c>
      <c r="AE48" s="132">
        <v>0</v>
      </c>
    </row>
    <row r="49" spans="1:31" x14ac:dyDescent="0.2">
      <c r="A49" s="133">
        <v>11</v>
      </c>
      <c r="B49" s="133" t="s">
        <v>1214</v>
      </c>
      <c r="C49" s="133" t="s">
        <v>1199</v>
      </c>
      <c r="D49" s="133" t="s">
        <v>1232</v>
      </c>
      <c r="E49" s="133" t="s">
        <v>1201</v>
      </c>
      <c r="F49" s="133" t="s">
        <v>1117</v>
      </c>
      <c r="G49" s="133" t="s">
        <v>1202</v>
      </c>
      <c r="H49" s="130" t="s">
        <v>1203</v>
      </c>
      <c r="I49" s="130" t="s">
        <v>1204</v>
      </c>
      <c r="J49" s="130" t="s">
        <v>1205</v>
      </c>
      <c r="K49" s="130" t="s">
        <v>1255</v>
      </c>
      <c r="L49" s="130" t="s">
        <v>1237</v>
      </c>
      <c r="M49" s="130" t="s">
        <v>1172</v>
      </c>
      <c r="N49" s="130" t="s">
        <v>1154</v>
      </c>
      <c r="O49" s="130" t="s">
        <v>1173</v>
      </c>
      <c r="P49" s="130" t="s">
        <v>1174</v>
      </c>
      <c r="Q49" s="130" t="s">
        <v>1127</v>
      </c>
      <c r="R49" s="130" t="s">
        <v>1191</v>
      </c>
      <c r="S49" s="130" t="s">
        <v>1191</v>
      </c>
      <c r="T49" s="130" t="s">
        <v>1238</v>
      </c>
      <c r="U49" s="130">
        <v>7168</v>
      </c>
      <c r="V49" s="131">
        <v>0</v>
      </c>
      <c r="W49" s="131">
        <v>7168</v>
      </c>
      <c r="X49" s="131">
        <v>4000</v>
      </c>
      <c r="Y49" s="131">
        <v>3168</v>
      </c>
      <c r="Z49" s="131">
        <v>2013.09</v>
      </c>
      <c r="AA49" s="131">
        <v>5154.91</v>
      </c>
      <c r="AB49" s="131">
        <v>2013.09</v>
      </c>
      <c r="AC49" s="131">
        <v>5154.91</v>
      </c>
      <c r="AD49" s="131">
        <v>2013.09</v>
      </c>
      <c r="AE49" s="132">
        <v>5154.91</v>
      </c>
    </row>
    <row r="50" spans="1:31" x14ac:dyDescent="0.2">
      <c r="A50" s="133">
        <v>11</v>
      </c>
      <c r="B50" s="133" t="s">
        <v>1214</v>
      </c>
      <c r="C50" s="133" t="s">
        <v>1199</v>
      </c>
      <c r="D50" s="133" t="s">
        <v>1232</v>
      </c>
      <c r="E50" s="133" t="s">
        <v>1201</v>
      </c>
      <c r="F50" s="133" t="s">
        <v>1117</v>
      </c>
      <c r="G50" s="133" t="s">
        <v>1202</v>
      </c>
      <c r="H50" s="133" t="s">
        <v>1203</v>
      </c>
      <c r="I50" s="133" t="s">
        <v>1204</v>
      </c>
      <c r="J50" s="133" t="s">
        <v>1205</v>
      </c>
      <c r="K50" s="130" t="s">
        <v>1256</v>
      </c>
      <c r="L50" s="130" t="s">
        <v>1237</v>
      </c>
      <c r="M50" s="130" t="s">
        <v>1172</v>
      </c>
      <c r="N50" s="130" t="s">
        <v>1154</v>
      </c>
      <c r="O50" s="130" t="s">
        <v>1173</v>
      </c>
      <c r="P50" s="130" t="s">
        <v>1174</v>
      </c>
      <c r="Q50" s="130" t="s">
        <v>1127</v>
      </c>
      <c r="R50" s="130" t="s">
        <v>1191</v>
      </c>
      <c r="S50" s="130" t="s">
        <v>1191</v>
      </c>
      <c r="T50" s="130" t="s">
        <v>1238</v>
      </c>
      <c r="U50" s="130">
        <v>21504</v>
      </c>
      <c r="V50" s="131">
        <v>0</v>
      </c>
      <c r="W50" s="131">
        <v>21504</v>
      </c>
      <c r="X50" s="131">
        <v>10000</v>
      </c>
      <c r="Y50" s="131">
        <v>11504</v>
      </c>
      <c r="Z50" s="131">
        <v>6014.2</v>
      </c>
      <c r="AA50" s="131">
        <v>15489.8</v>
      </c>
      <c r="AB50" s="131">
        <v>6014.2000000000007</v>
      </c>
      <c r="AC50" s="131">
        <v>15489.8</v>
      </c>
      <c r="AD50" s="131">
        <v>6014.2</v>
      </c>
      <c r="AE50" s="132">
        <v>15489.8</v>
      </c>
    </row>
    <row r="51" spans="1:31" x14ac:dyDescent="0.2">
      <c r="A51" s="133">
        <v>11</v>
      </c>
      <c r="B51" s="133" t="s">
        <v>1214</v>
      </c>
      <c r="C51" s="133" t="s">
        <v>1199</v>
      </c>
      <c r="D51" s="133" t="s">
        <v>1232</v>
      </c>
      <c r="E51" s="133" t="s">
        <v>1201</v>
      </c>
      <c r="F51" s="133" t="s">
        <v>1117</v>
      </c>
      <c r="G51" s="133" t="s">
        <v>1202</v>
      </c>
      <c r="H51" s="133" t="s">
        <v>1203</v>
      </c>
      <c r="I51" s="133" t="s">
        <v>1204</v>
      </c>
      <c r="J51" s="133" t="s">
        <v>1205</v>
      </c>
      <c r="K51" s="130" t="s">
        <v>1206</v>
      </c>
      <c r="L51" s="130" t="s">
        <v>1237</v>
      </c>
      <c r="M51" s="130" t="s">
        <v>1172</v>
      </c>
      <c r="N51" s="130" t="s">
        <v>1154</v>
      </c>
      <c r="O51" s="130" t="s">
        <v>1173</v>
      </c>
      <c r="P51" s="130" t="s">
        <v>1174</v>
      </c>
      <c r="Q51" s="130" t="s">
        <v>1127</v>
      </c>
      <c r="R51" s="130" t="s">
        <v>1191</v>
      </c>
      <c r="S51" s="130" t="s">
        <v>1191</v>
      </c>
      <c r="T51" s="130" t="s">
        <v>1238</v>
      </c>
      <c r="U51" s="130">
        <v>2253</v>
      </c>
      <c r="V51" s="131">
        <v>0</v>
      </c>
      <c r="W51" s="131">
        <v>2253</v>
      </c>
      <c r="X51" s="131">
        <v>137.1</v>
      </c>
      <c r="Y51" s="131">
        <v>2115.9</v>
      </c>
      <c r="Z51" s="131">
        <v>137.1</v>
      </c>
      <c r="AA51" s="131">
        <v>2115.9</v>
      </c>
      <c r="AB51" s="131">
        <v>137.1</v>
      </c>
      <c r="AC51" s="131">
        <v>2115.9</v>
      </c>
      <c r="AD51" s="131">
        <v>137.1</v>
      </c>
      <c r="AE51" s="132">
        <v>2115.9</v>
      </c>
    </row>
    <row r="52" spans="1:31" x14ac:dyDescent="0.2">
      <c r="A52" s="133">
        <v>11</v>
      </c>
      <c r="B52" s="133" t="s">
        <v>1214</v>
      </c>
      <c r="C52" s="133" t="s">
        <v>1199</v>
      </c>
      <c r="D52" s="133" t="s">
        <v>1232</v>
      </c>
      <c r="E52" s="133" t="s">
        <v>1201</v>
      </c>
      <c r="F52" s="133" t="s">
        <v>1117</v>
      </c>
      <c r="G52" s="133" t="s">
        <v>1202</v>
      </c>
      <c r="H52" s="133" t="s">
        <v>1203</v>
      </c>
      <c r="I52" s="130" t="s">
        <v>1224</v>
      </c>
      <c r="J52" s="130" t="s">
        <v>1257</v>
      </c>
      <c r="K52" s="130" t="s">
        <v>1258</v>
      </c>
      <c r="L52" s="130" t="s">
        <v>1237</v>
      </c>
      <c r="M52" s="130" t="s">
        <v>1172</v>
      </c>
      <c r="N52" s="130" t="s">
        <v>1154</v>
      </c>
      <c r="O52" s="130" t="s">
        <v>1173</v>
      </c>
      <c r="P52" s="130" t="s">
        <v>1174</v>
      </c>
      <c r="Q52" s="130" t="s">
        <v>1127</v>
      </c>
      <c r="R52" s="130" t="s">
        <v>1191</v>
      </c>
      <c r="S52" s="130" t="s">
        <v>1191</v>
      </c>
      <c r="T52" s="130" t="s">
        <v>1238</v>
      </c>
      <c r="U52" s="130">
        <v>0</v>
      </c>
      <c r="V52" s="131">
        <v>0</v>
      </c>
      <c r="W52" s="131">
        <v>0</v>
      </c>
      <c r="X52" s="131">
        <v>0</v>
      </c>
      <c r="Y52" s="131">
        <v>0</v>
      </c>
      <c r="Z52" s="131">
        <v>0</v>
      </c>
      <c r="AA52" s="131">
        <v>0</v>
      </c>
      <c r="AB52" s="131">
        <v>0</v>
      </c>
      <c r="AC52" s="131">
        <v>0</v>
      </c>
      <c r="AD52" s="131">
        <v>0</v>
      </c>
      <c r="AE52" s="132">
        <v>0</v>
      </c>
    </row>
    <row r="53" spans="1:31" x14ac:dyDescent="0.2">
      <c r="A53" s="133">
        <v>11</v>
      </c>
      <c r="B53" s="133" t="s">
        <v>1214</v>
      </c>
      <c r="C53" s="133" t="s">
        <v>1199</v>
      </c>
      <c r="D53" s="133" t="s">
        <v>1232</v>
      </c>
      <c r="E53" s="133" t="s">
        <v>1201</v>
      </c>
      <c r="F53" s="133" t="s">
        <v>1117</v>
      </c>
      <c r="G53" s="133" t="s">
        <v>1202</v>
      </c>
      <c r="H53" s="133" t="s">
        <v>1203</v>
      </c>
      <c r="I53" s="133" t="s">
        <v>1224</v>
      </c>
      <c r="J53" s="133" t="s">
        <v>1257</v>
      </c>
      <c r="K53" s="130" t="s">
        <v>1259</v>
      </c>
      <c r="L53" s="130" t="s">
        <v>1237</v>
      </c>
      <c r="M53" s="130" t="s">
        <v>1172</v>
      </c>
      <c r="N53" s="130" t="s">
        <v>1154</v>
      </c>
      <c r="O53" s="130" t="s">
        <v>1173</v>
      </c>
      <c r="P53" s="130" t="s">
        <v>1174</v>
      </c>
      <c r="Q53" s="130" t="s">
        <v>1127</v>
      </c>
      <c r="R53" s="130" t="s">
        <v>1191</v>
      </c>
      <c r="S53" s="130" t="s">
        <v>1191</v>
      </c>
      <c r="T53" s="130" t="s">
        <v>1238</v>
      </c>
      <c r="U53" s="130">
        <v>0</v>
      </c>
      <c r="V53" s="131">
        <v>3500</v>
      </c>
      <c r="W53" s="131">
        <v>3500</v>
      </c>
      <c r="X53" s="131">
        <v>3212.7</v>
      </c>
      <c r="Y53" s="131">
        <v>287.30000000000018</v>
      </c>
      <c r="Z53" s="131">
        <v>1166.32</v>
      </c>
      <c r="AA53" s="131">
        <v>2333.6800000000003</v>
      </c>
      <c r="AB53" s="131">
        <v>1166.3200000000002</v>
      </c>
      <c r="AC53" s="131">
        <v>2333.6799999999998</v>
      </c>
      <c r="AD53" s="131">
        <v>1166.3200000000002</v>
      </c>
      <c r="AE53" s="132">
        <v>2333.6799999999998</v>
      </c>
    </row>
    <row r="54" spans="1:31" x14ac:dyDescent="0.2">
      <c r="A54" s="133">
        <v>11</v>
      </c>
      <c r="B54" s="133" t="s">
        <v>1214</v>
      </c>
      <c r="C54" s="133" t="s">
        <v>1199</v>
      </c>
      <c r="D54" s="133" t="s">
        <v>1232</v>
      </c>
      <c r="E54" s="133" t="s">
        <v>1201</v>
      </c>
      <c r="F54" s="133" t="s">
        <v>1117</v>
      </c>
      <c r="G54" s="133" t="s">
        <v>1202</v>
      </c>
      <c r="H54" s="133" t="s">
        <v>1203</v>
      </c>
      <c r="I54" s="130" t="s">
        <v>1260</v>
      </c>
      <c r="J54" s="130" t="s">
        <v>1261</v>
      </c>
      <c r="K54" s="130" t="s">
        <v>1262</v>
      </c>
      <c r="L54" s="130" t="s">
        <v>1237</v>
      </c>
      <c r="M54" s="130" t="s">
        <v>1172</v>
      </c>
      <c r="N54" s="130" t="s">
        <v>1154</v>
      </c>
      <c r="O54" s="130" t="s">
        <v>1173</v>
      </c>
      <c r="P54" s="130" t="s">
        <v>1174</v>
      </c>
      <c r="Q54" s="130" t="s">
        <v>1127</v>
      </c>
      <c r="R54" s="130" t="s">
        <v>1191</v>
      </c>
      <c r="S54" s="130" t="s">
        <v>1191</v>
      </c>
      <c r="T54" s="130" t="s">
        <v>1238</v>
      </c>
      <c r="U54" s="130">
        <v>0</v>
      </c>
      <c r="V54" s="131">
        <v>2700</v>
      </c>
      <c r="W54" s="131">
        <v>2700</v>
      </c>
      <c r="X54" s="131">
        <v>2700</v>
      </c>
      <c r="Y54" s="131">
        <v>0</v>
      </c>
      <c r="Z54" s="131">
        <v>2700</v>
      </c>
      <c r="AA54" s="131">
        <v>0</v>
      </c>
      <c r="AB54" s="131">
        <v>2700</v>
      </c>
      <c r="AC54" s="131">
        <v>0</v>
      </c>
      <c r="AD54" s="131">
        <v>2700</v>
      </c>
      <c r="AE54" s="132">
        <v>0</v>
      </c>
    </row>
    <row r="55" spans="1:31" x14ac:dyDescent="0.2">
      <c r="A55" s="133">
        <v>11</v>
      </c>
      <c r="B55" s="133" t="s">
        <v>1214</v>
      </c>
      <c r="C55" s="133" t="s">
        <v>1199</v>
      </c>
      <c r="D55" s="133" t="s">
        <v>1232</v>
      </c>
      <c r="E55" s="133" t="s">
        <v>1201</v>
      </c>
      <c r="F55" s="133" t="s">
        <v>1117</v>
      </c>
      <c r="G55" s="133" t="s">
        <v>1202</v>
      </c>
      <c r="H55" s="133" t="s">
        <v>1203</v>
      </c>
      <c r="I55" s="133" t="s">
        <v>1260</v>
      </c>
      <c r="J55" s="133" t="s">
        <v>1261</v>
      </c>
      <c r="K55" s="130" t="s">
        <v>1263</v>
      </c>
      <c r="L55" s="130" t="s">
        <v>1237</v>
      </c>
      <c r="M55" s="130" t="s">
        <v>1172</v>
      </c>
      <c r="N55" s="130" t="s">
        <v>1154</v>
      </c>
      <c r="O55" s="130" t="s">
        <v>1173</v>
      </c>
      <c r="P55" s="130" t="s">
        <v>1174</v>
      </c>
      <c r="Q55" s="130" t="s">
        <v>1127</v>
      </c>
      <c r="R55" s="130" t="s">
        <v>1191</v>
      </c>
      <c r="S55" s="130" t="s">
        <v>1191</v>
      </c>
      <c r="T55" s="130" t="s">
        <v>1238</v>
      </c>
      <c r="U55" s="130">
        <v>32768</v>
      </c>
      <c r="V55" s="131">
        <v>7732</v>
      </c>
      <c r="W55" s="131">
        <v>40500</v>
      </c>
      <c r="X55" s="131">
        <v>40470</v>
      </c>
      <c r="Y55" s="131">
        <v>30</v>
      </c>
      <c r="Z55" s="131">
        <v>40450</v>
      </c>
      <c r="AA55" s="131">
        <v>50</v>
      </c>
      <c r="AB55" s="131">
        <v>40450</v>
      </c>
      <c r="AC55" s="131">
        <v>50</v>
      </c>
      <c r="AD55" s="131">
        <v>15000</v>
      </c>
      <c r="AE55" s="132">
        <v>25500</v>
      </c>
    </row>
    <row r="56" spans="1:31" x14ac:dyDescent="0.2">
      <c r="A56" s="133">
        <v>11</v>
      </c>
      <c r="B56" s="133" t="s">
        <v>1214</v>
      </c>
      <c r="C56" s="133" t="s">
        <v>1199</v>
      </c>
      <c r="D56" s="133" t="s">
        <v>1232</v>
      </c>
      <c r="E56" s="133" t="s">
        <v>1201</v>
      </c>
      <c r="F56" s="133" t="s">
        <v>1117</v>
      </c>
      <c r="G56" s="133" t="s">
        <v>1202</v>
      </c>
      <c r="H56" s="133" t="s">
        <v>1203</v>
      </c>
      <c r="I56" s="130" t="s">
        <v>1264</v>
      </c>
      <c r="J56" s="130" t="s">
        <v>1265</v>
      </c>
      <c r="K56" s="130" t="s">
        <v>1266</v>
      </c>
      <c r="L56" s="130" t="s">
        <v>1237</v>
      </c>
      <c r="M56" s="130" t="s">
        <v>1172</v>
      </c>
      <c r="N56" s="130" t="s">
        <v>1154</v>
      </c>
      <c r="O56" s="130" t="s">
        <v>1173</v>
      </c>
      <c r="P56" s="130" t="s">
        <v>1174</v>
      </c>
      <c r="Q56" s="130" t="s">
        <v>1127</v>
      </c>
      <c r="R56" s="130" t="s">
        <v>1191</v>
      </c>
      <c r="S56" s="130" t="s">
        <v>1191</v>
      </c>
      <c r="T56" s="130" t="s">
        <v>1238</v>
      </c>
      <c r="U56" s="130">
        <v>10752</v>
      </c>
      <c r="V56" s="131">
        <v>0</v>
      </c>
      <c r="W56" s="131">
        <v>10752</v>
      </c>
      <c r="X56" s="131">
        <v>0</v>
      </c>
      <c r="Y56" s="131">
        <v>10752</v>
      </c>
      <c r="Z56" s="131">
        <v>0</v>
      </c>
      <c r="AA56" s="131">
        <v>10752</v>
      </c>
      <c r="AB56" s="131">
        <v>0</v>
      </c>
      <c r="AC56" s="131">
        <v>10752</v>
      </c>
      <c r="AD56" s="131">
        <v>0</v>
      </c>
      <c r="AE56" s="132">
        <v>10752</v>
      </c>
    </row>
    <row r="57" spans="1:31" x14ac:dyDescent="0.2">
      <c r="A57" s="133">
        <v>11</v>
      </c>
      <c r="B57" s="133" t="s">
        <v>1214</v>
      </c>
      <c r="C57" s="133" t="s">
        <v>1199</v>
      </c>
      <c r="D57" s="133" t="s">
        <v>1232</v>
      </c>
      <c r="E57" s="133" t="s">
        <v>1201</v>
      </c>
      <c r="F57" s="133" t="s">
        <v>1117</v>
      </c>
      <c r="G57" s="133" t="s">
        <v>1202</v>
      </c>
      <c r="H57" s="133" t="s">
        <v>1203</v>
      </c>
      <c r="I57" s="133" t="s">
        <v>1264</v>
      </c>
      <c r="J57" s="130" t="s">
        <v>1267</v>
      </c>
      <c r="K57" s="130" t="s">
        <v>1268</v>
      </c>
      <c r="L57" s="130" t="s">
        <v>1237</v>
      </c>
      <c r="M57" s="130" t="s">
        <v>1172</v>
      </c>
      <c r="N57" s="130" t="s">
        <v>1154</v>
      </c>
      <c r="O57" s="130" t="s">
        <v>1173</v>
      </c>
      <c r="P57" s="130" t="s">
        <v>1174</v>
      </c>
      <c r="Q57" s="130" t="s">
        <v>1127</v>
      </c>
      <c r="R57" s="130" t="s">
        <v>1191</v>
      </c>
      <c r="S57" s="130" t="s">
        <v>1191</v>
      </c>
      <c r="T57" s="130" t="s">
        <v>1238</v>
      </c>
      <c r="U57" s="130">
        <v>5120</v>
      </c>
      <c r="V57" s="131">
        <v>0</v>
      </c>
      <c r="W57" s="131">
        <v>5120</v>
      </c>
      <c r="X57" s="131">
        <v>0</v>
      </c>
      <c r="Y57" s="131">
        <v>5120</v>
      </c>
      <c r="Z57" s="131">
        <v>0</v>
      </c>
      <c r="AA57" s="131">
        <v>5120</v>
      </c>
      <c r="AB57" s="131">
        <v>0</v>
      </c>
      <c r="AC57" s="131">
        <v>5120</v>
      </c>
      <c r="AD57" s="131">
        <v>0</v>
      </c>
      <c r="AE57" s="132">
        <v>5120</v>
      </c>
    </row>
    <row r="58" spans="1:31" x14ac:dyDescent="0.2">
      <c r="A58" s="133">
        <v>11</v>
      </c>
      <c r="B58" s="133" t="s">
        <v>1214</v>
      </c>
      <c r="C58" s="133" t="s">
        <v>1199</v>
      </c>
      <c r="D58" s="133" t="s">
        <v>1232</v>
      </c>
      <c r="E58" s="133" t="s">
        <v>1201</v>
      </c>
      <c r="F58" s="133" t="s">
        <v>1117</v>
      </c>
      <c r="G58" s="133" t="s">
        <v>1202</v>
      </c>
      <c r="H58" s="133" t="s">
        <v>1203</v>
      </c>
      <c r="I58" s="130" t="s">
        <v>1269</v>
      </c>
      <c r="J58" s="130" t="s">
        <v>1270</v>
      </c>
      <c r="K58" s="130" t="s">
        <v>1271</v>
      </c>
      <c r="L58" s="130" t="s">
        <v>1237</v>
      </c>
      <c r="M58" s="130" t="s">
        <v>1172</v>
      </c>
      <c r="N58" s="130" t="s">
        <v>1154</v>
      </c>
      <c r="O58" s="130" t="s">
        <v>1173</v>
      </c>
      <c r="P58" s="130" t="s">
        <v>1174</v>
      </c>
      <c r="Q58" s="130" t="s">
        <v>1127</v>
      </c>
      <c r="R58" s="130" t="s">
        <v>1191</v>
      </c>
      <c r="S58" s="130" t="s">
        <v>1191</v>
      </c>
      <c r="T58" s="130" t="s">
        <v>1238</v>
      </c>
      <c r="U58" s="130">
        <v>973</v>
      </c>
      <c r="V58" s="131">
        <v>-600</v>
      </c>
      <c r="W58" s="131">
        <v>373</v>
      </c>
      <c r="X58" s="131">
        <v>0</v>
      </c>
      <c r="Y58" s="131">
        <v>373</v>
      </c>
      <c r="Z58" s="131">
        <v>0</v>
      </c>
      <c r="AA58" s="131">
        <v>373</v>
      </c>
      <c r="AB58" s="131">
        <v>0</v>
      </c>
      <c r="AC58" s="131">
        <v>373</v>
      </c>
      <c r="AD58" s="131">
        <v>0</v>
      </c>
      <c r="AE58" s="132">
        <v>373</v>
      </c>
    </row>
    <row r="59" spans="1:31" x14ac:dyDescent="0.2">
      <c r="A59" s="133">
        <v>11</v>
      </c>
      <c r="B59" s="133" t="s">
        <v>1214</v>
      </c>
      <c r="C59" s="133" t="s">
        <v>1199</v>
      </c>
      <c r="D59" s="133" t="s">
        <v>1232</v>
      </c>
      <c r="E59" s="133" t="s">
        <v>1201</v>
      </c>
      <c r="F59" s="133" t="s">
        <v>1117</v>
      </c>
      <c r="G59" s="133" t="s">
        <v>1202</v>
      </c>
      <c r="H59" s="133" t="s">
        <v>1203</v>
      </c>
      <c r="I59" s="133" t="s">
        <v>1269</v>
      </c>
      <c r="J59" s="133" t="s">
        <v>1270</v>
      </c>
      <c r="K59" s="130" t="s">
        <v>1272</v>
      </c>
      <c r="L59" s="130" t="s">
        <v>1237</v>
      </c>
      <c r="M59" s="130" t="s">
        <v>1172</v>
      </c>
      <c r="N59" s="130" t="s">
        <v>1154</v>
      </c>
      <c r="O59" s="130" t="s">
        <v>1173</v>
      </c>
      <c r="P59" s="130" t="s">
        <v>1174</v>
      </c>
      <c r="Q59" s="130" t="s">
        <v>1127</v>
      </c>
      <c r="R59" s="130" t="s">
        <v>1191</v>
      </c>
      <c r="S59" s="130" t="s">
        <v>1191</v>
      </c>
      <c r="T59" s="130" t="s">
        <v>1238</v>
      </c>
      <c r="U59" s="130">
        <v>0</v>
      </c>
      <c r="V59" s="131">
        <v>600</v>
      </c>
      <c r="W59" s="131">
        <v>600</v>
      </c>
      <c r="X59" s="131">
        <v>308</v>
      </c>
      <c r="Y59" s="131">
        <v>292</v>
      </c>
      <c r="Z59" s="131">
        <v>308</v>
      </c>
      <c r="AA59" s="131">
        <v>292</v>
      </c>
      <c r="AB59" s="131">
        <v>308</v>
      </c>
      <c r="AC59" s="131">
        <v>292</v>
      </c>
      <c r="AD59" s="131">
        <v>308</v>
      </c>
      <c r="AE59" s="132">
        <v>292</v>
      </c>
    </row>
    <row r="60" spans="1:31" x14ac:dyDescent="0.2">
      <c r="A60" s="133">
        <v>11</v>
      </c>
      <c r="B60" s="133" t="s">
        <v>1214</v>
      </c>
      <c r="C60" s="133" t="s">
        <v>1199</v>
      </c>
      <c r="D60" s="133" t="s">
        <v>1232</v>
      </c>
      <c r="E60" s="133" t="s">
        <v>1201</v>
      </c>
      <c r="F60" s="133" t="s">
        <v>1117</v>
      </c>
      <c r="G60" s="133" t="s">
        <v>1202</v>
      </c>
      <c r="H60" s="133" t="s">
        <v>1203</v>
      </c>
      <c r="I60" s="130" t="s">
        <v>1209</v>
      </c>
      <c r="J60" s="130" t="s">
        <v>1210</v>
      </c>
      <c r="K60" s="130" t="s">
        <v>1273</v>
      </c>
      <c r="L60" s="130" t="s">
        <v>1237</v>
      </c>
      <c r="M60" s="130" t="s">
        <v>1172</v>
      </c>
      <c r="N60" s="130" t="s">
        <v>1154</v>
      </c>
      <c r="O60" s="130" t="s">
        <v>1173</v>
      </c>
      <c r="P60" s="130" t="s">
        <v>1174</v>
      </c>
      <c r="Q60" s="130" t="s">
        <v>1127</v>
      </c>
      <c r="R60" s="130" t="s">
        <v>1191</v>
      </c>
      <c r="S60" s="130" t="s">
        <v>1191</v>
      </c>
      <c r="T60" s="130" t="s">
        <v>1238</v>
      </c>
      <c r="U60" s="130">
        <v>15360</v>
      </c>
      <c r="V60" s="131">
        <v>-13932</v>
      </c>
      <c r="W60" s="131">
        <v>1428</v>
      </c>
      <c r="X60" s="131">
        <v>0</v>
      </c>
      <c r="Y60" s="131">
        <v>1428</v>
      </c>
      <c r="Z60" s="131">
        <v>0</v>
      </c>
      <c r="AA60" s="131">
        <v>1428</v>
      </c>
      <c r="AB60" s="131">
        <v>0</v>
      </c>
      <c r="AC60" s="131">
        <v>1428</v>
      </c>
      <c r="AD60" s="131">
        <v>0</v>
      </c>
      <c r="AE60" s="132">
        <v>1428</v>
      </c>
    </row>
    <row r="61" spans="1:31" x14ac:dyDescent="0.2">
      <c r="A61" s="133">
        <v>11</v>
      </c>
      <c r="B61" s="133" t="s">
        <v>1214</v>
      </c>
      <c r="C61" s="133" t="s">
        <v>1199</v>
      </c>
      <c r="D61" s="133" t="s">
        <v>1232</v>
      </c>
      <c r="E61" s="133" t="s">
        <v>1201</v>
      </c>
      <c r="F61" s="133" t="s">
        <v>1117</v>
      </c>
      <c r="G61" s="133" t="s">
        <v>1202</v>
      </c>
      <c r="H61" s="133" t="s">
        <v>1203</v>
      </c>
      <c r="I61" s="133" t="s">
        <v>1209</v>
      </c>
      <c r="J61" s="133" t="s">
        <v>1210</v>
      </c>
      <c r="K61" s="130" t="s">
        <v>1274</v>
      </c>
      <c r="L61" s="130" t="s">
        <v>1237</v>
      </c>
      <c r="M61" s="130" t="s">
        <v>1172</v>
      </c>
      <c r="N61" s="130" t="s">
        <v>1154</v>
      </c>
      <c r="O61" s="130" t="s">
        <v>1173</v>
      </c>
      <c r="P61" s="130" t="s">
        <v>1174</v>
      </c>
      <c r="Q61" s="130" t="s">
        <v>1127</v>
      </c>
      <c r="R61" s="130" t="s">
        <v>1191</v>
      </c>
      <c r="S61" s="130" t="s">
        <v>1191</v>
      </c>
      <c r="T61" s="130" t="s">
        <v>1238</v>
      </c>
      <c r="U61" s="130">
        <v>16537</v>
      </c>
      <c r="V61" s="131">
        <v>-129</v>
      </c>
      <c r="W61" s="131">
        <v>16408</v>
      </c>
      <c r="X61" s="131">
        <v>16212</v>
      </c>
      <c r="Y61" s="131">
        <v>196</v>
      </c>
      <c r="Z61" s="131">
        <v>16212</v>
      </c>
      <c r="AA61" s="131">
        <v>196</v>
      </c>
      <c r="AB61" s="131">
        <v>16212</v>
      </c>
      <c r="AC61" s="131">
        <v>196</v>
      </c>
      <c r="AD61" s="131">
        <v>9312</v>
      </c>
      <c r="AE61" s="132">
        <v>7096</v>
      </c>
    </row>
    <row r="62" spans="1:31" x14ac:dyDescent="0.2">
      <c r="A62" s="130">
        <v>12</v>
      </c>
      <c r="B62" s="130" t="s">
        <v>1214</v>
      </c>
      <c r="C62" s="130" t="s">
        <v>1199</v>
      </c>
      <c r="D62" s="130" t="s">
        <v>1275</v>
      </c>
      <c r="E62" s="130" t="s">
        <v>1201</v>
      </c>
      <c r="F62" s="130" t="s">
        <v>1117</v>
      </c>
      <c r="G62" s="130" t="s">
        <v>1276</v>
      </c>
      <c r="H62" s="130" t="s">
        <v>1277</v>
      </c>
      <c r="I62" s="130" t="s">
        <v>1278</v>
      </c>
      <c r="J62" s="130" t="s">
        <v>1278</v>
      </c>
      <c r="K62" s="130" t="s">
        <v>1279</v>
      </c>
      <c r="L62" s="130" t="s">
        <v>1280</v>
      </c>
      <c r="M62" s="130" t="s">
        <v>1172</v>
      </c>
      <c r="N62" s="130" t="s">
        <v>1154</v>
      </c>
      <c r="O62" s="130" t="s">
        <v>1173</v>
      </c>
      <c r="P62" s="130" t="s">
        <v>1174</v>
      </c>
      <c r="Q62" s="130" t="s">
        <v>1127</v>
      </c>
      <c r="R62" s="130" t="s">
        <v>1191</v>
      </c>
      <c r="S62" s="130" t="s">
        <v>1191</v>
      </c>
      <c r="T62" s="130" t="s">
        <v>1221</v>
      </c>
      <c r="U62" s="130">
        <v>54268</v>
      </c>
      <c r="V62" s="131">
        <v>0</v>
      </c>
      <c r="W62" s="131">
        <v>54268</v>
      </c>
      <c r="X62" s="131">
        <v>54268</v>
      </c>
      <c r="Y62" s="131">
        <v>0</v>
      </c>
      <c r="Z62" s="131">
        <v>54268</v>
      </c>
      <c r="AA62" s="131">
        <v>0</v>
      </c>
      <c r="AB62" s="131">
        <v>17189.25</v>
      </c>
      <c r="AC62" s="131">
        <v>37078.75</v>
      </c>
      <c r="AD62" s="131">
        <v>17189.25</v>
      </c>
      <c r="AE62" s="132">
        <v>37078.75</v>
      </c>
    </row>
    <row r="63" spans="1:31" x14ac:dyDescent="0.2">
      <c r="A63" s="133">
        <v>12</v>
      </c>
      <c r="B63" s="133" t="s">
        <v>1214</v>
      </c>
      <c r="C63" s="133" t="s">
        <v>1199</v>
      </c>
      <c r="D63" s="133" t="s">
        <v>1275</v>
      </c>
      <c r="E63" s="133" t="s">
        <v>1201</v>
      </c>
      <c r="F63" s="133" t="s">
        <v>1117</v>
      </c>
      <c r="G63" s="133" t="s">
        <v>1276</v>
      </c>
      <c r="H63" s="133" t="s">
        <v>1277</v>
      </c>
      <c r="I63" s="133" t="s">
        <v>1278</v>
      </c>
      <c r="J63" s="133" t="s">
        <v>1278</v>
      </c>
      <c r="K63" s="130" t="s">
        <v>1281</v>
      </c>
      <c r="L63" s="130" t="s">
        <v>1280</v>
      </c>
      <c r="M63" s="130" t="s">
        <v>1172</v>
      </c>
      <c r="N63" s="130" t="s">
        <v>1154</v>
      </c>
      <c r="O63" s="130" t="s">
        <v>1173</v>
      </c>
      <c r="P63" s="130" t="s">
        <v>1174</v>
      </c>
      <c r="Q63" s="130" t="s">
        <v>1127</v>
      </c>
      <c r="R63" s="130" t="s">
        <v>1191</v>
      </c>
      <c r="S63" s="130" t="s">
        <v>1191</v>
      </c>
      <c r="T63" s="130" t="s">
        <v>1221</v>
      </c>
      <c r="U63" s="130">
        <v>12325</v>
      </c>
      <c r="V63" s="131">
        <v>11400</v>
      </c>
      <c r="W63" s="131">
        <v>23725</v>
      </c>
      <c r="X63" s="131">
        <v>23725</v>
      </c>
      <c r="Y63" s="131">
        <v>0</v>
      </c>
      <c r="Z63" s="131">
        <v>23725</v>
      </c>
      <c r="AA63" s="131">
        <v>0</v>
      </c>
      <c r="AB63" s="131">
        <v>23326.079999999998</v>
      </c>
      <c r="AC63" s="131">
        <v>398.92000000000189</v>
      </c>
      <c r="AD63" s="131">
        <v>23326.079999999998</v>
      </c>
      <c r="AE63" s="132">
        <v>398.92000000000189</v>
      </c>
    </row>
    <row r="64" spans="1:31" x14ac:dyDescent="0.2">
      <c r="A64" s="133">
        <v>12</v>
      </c>
      <c r="B64" s="133" t="s">
        <v>1214</v>
      </c>
      <c r="C64" s="133" t="s">
        <v>1199</v>
      </c>
      <c r="D64" s="133" t="s">
        <v>1275</v>
      </c>
      <c r="E64" s="133" t="s">
        <v>1201</v>
      </c>
      <c r="F64" s="133" t="s">
        <v>1117</v>
      </c>
      <c r="G64" s="133" t="s">
        <v>1276</v>
      </c>
      <c r="H64" s="133" t="s">
        <v>1277</v>
      </c>
      <c r="I64" s="133" t="s">
        <v>1278</v>
      </c>
      <c r="J64" s="133" t="s">
        <v>1278</v>
      </c>
      <c r="K64" s="130" t="s">
        <v>1282</v>
      </c>
      <c r="L64" s="130" t="s">
        <v>1280</v>
      </c>
      <c r="M64" s="130" t="s">
        <v>1172</v>
      </c>
      <c r="N64" s="130" t="s">
        <v>1154</v>
      </c>
      <c r="O64" s="130" t="s">
        <v>1173</v>
      </c>
      <c r="P64" s="130" t="s">
        <v>1174</v>
      </c>
      <c r="Q64" s="130" t="s">
        <v>1127</v>
      </c>
      <c r="R64" s="130" t="s">
        <v>1191</v>
      </c>
      <c r="S64" s="130" t="s">
        <v>1191</v>
      </c>
      <c r="T64" s="130" t="s">
        <v>1221</v>
      </c>
      <c r="U64" s="130">
        <v>3000</v>
      </c>
      <c r="V64" s="131">
        <v>0</v>
      </c>
      <c r="W64" s="131">
        <v>3000</v>
      </c>
      <c r="X64" s="131">
        <v>0</v>
      </c>
      <c r="Y64" s="131">
        <v>3000</v>
      </c>
      <c r="Z64" s="131">
        <v>0</v>
      </c>
      <c r="AA64" s="131">
        <v>3000</v>
      </c>
      <c r="AB64" s="131">
        <v>0</v>
      </c>
      <c r="AC64" s="131">
        <v>3000</v>
      </c>
      <c r="AD64" s="131">
        <v>0</v>
      </c>
      <c r="AE64" s="132">
        <v>3000</v>
      </c>
    </row>
    <row r="65" spans="1:31" x14ac:dyDescent="0.2">
      <c r="A65" s="133">
        <v>12</v>
      </c>
      <c r="B65" s="133" t="s">
        <v>1214</v>
      </c>
      <c r="C65" s="133" t="s">
        <v>1199</v>
      </c>
      <c r="D65" s="133" t="s">
        <v>1275</v>
      </c>
      <c r="E65" s="133" t="s">
        <v>1201</v>
      </c>
      <c r="F65" s="133" t="s">
        <v>1117</v>
      </c>
      <c r="G65" s="133" t="s">
        <v>1276</v>
      </c>
      <c r="H65" s="133" t="s">
        <v>1277</v>
      </c>
      <c r="I65" s="133" t="s">
        <v>1278</v>
      </c>
      <c r="J65" s="130" t="s">
        <v>1283</v>
      </c>
      <c r="K65" s="130" t="s">
        <v>1284</v>
      </c>
      <c r="L65" s="130" t="s">
        <v>1280</v>
      </c>
      <c r="M65" s="130" t="s">
        <v>1172</v>
      </c>
      <c r="N65" s="130" t="s">
        <v>1154</v>
      </c>
      <c r="O65" s="130" t="s">
        <v>1173</v>
      </c>
      <c r="P65" s="130" t="s">
        <v>1174</v>
      </c>
      <c r="Q65" s="130" t="s">
        <v>1127</v>
      </c>
      <c r="R65" s="130" t="s">
        <v>1191</v>
      </c>
      <c r="S65" s="130" t="s">
        <v>1191</v>
      </c>
      <c r="T65" s="130" t="s">
        <v>1221</v>
      </c>
      <c r="U65" s="130">
        <v>115318</v>
      </c>
      <c r="V65" s="131">
        <v>0</v>
      </c>
      <c r="W65" s="131">
        <v>115318</v>
      </c>
      <c r="X65" s="131">
        <v>115318</v>
      </c>
      <c r="Y65" s="131">
        <v>0</v>
      </c>
      <c r="Z65" s="131">
        <v>115318</v>
      </c>
      <c r="AA65" s="131">
        <v>0</v>
      </c>
      <c r="AB65" s="131">
        <v>56317.700000000004</v>
      </c>
      <c r="AC65" s="131">
        <v>59000.299999999996</v>
      </c>
      <c r="AD65" s="131">
        <v>56317.700000000004</v>
      </c>
      <c r="AE65" s="132">
        <v>59000.299999999996</v>
      </c>
    </row>
    <row r="66" spans="1:31" x14ac:dyDescent="0.2">
      <c r="A66" s="133">
        <v>12</v>
      </c>
      <c r="B66" s="133" t="s">
        <v>1214</v>
      </c>
      <c r="C66" s="133" t="s">
        <v>1199</v>
      </c>
      <c r="D66" s="133" t="s">
        <v>1275</v>
      </c>
      <c r="E66" s="133" t="s">
        <v>1201</v>
      </c>
      <c r="F66" s="133" t="s">
        <v>1117</v>
      </c>
      <c r="G66" s="133" t="s">
        <v>1276</v>
      </c>
      <c r="H66" s="133" t="s">
        <v>1277</v>
      </c>
      <c r="I66" s="130" t="s">
        <v>1285</v>
      </c>
      <c r="J66" s="130" t="s">
        <v>1286</v>
      </c>
      <c r="K66" s="130" t="s">
        <v>1287</v>
      </c>
      <c r="L66" s="130" t="s">
        <v>1280</v>
      </c>
      <c r="M66" s="130" t="s">
        <v>1172</v>
      </c>
      <c r="N66" s="130" t="s">
        <v>1154</v>
      </c>
      <c r="O66" s="130" t="s">
        <v>1173</v>
      </c>
      <c r="P66" s="130" t="s">
        <v>1174</v>
      </c>
      <c r="Q66" s="130" t="s">
        <v>1127</v>
      </c>
      <c r="R66" s="130" t="s">
        <v>1191</v>
      </c>
      <c r="S66" s="130" t="s">
        <v>1191</v>
      </c>
      <c r="T66" s="130" t="s">
        <v>1221</v>
      </c>
      <c r="U66" s="130">
        <v>130751</v>
      </c>
      <c r="V66" s="131">
        <v>15000</v>
      </c>
      <c r="W66" s="131">
        <v>145751</v>
      </c>
      <c r="X66" s="131">
        <v>145751</v>
      </c>
      <c r="Y66" s="131">
        <v>0</v>
      </c>
      <c r="Z66" s="131">
        <v>145751</v>
      </c>
      <c r="AA66" s="131">
        <v>0</v>
      </c>
      <c r="AB66" s="131">
        <v>44787.860000000008</v>
      </c>
      <c r="AC66" s="131">
        <v>100963.13999999998</v>
      </c>
      <c r="AD66" s="131">
        <v>44787.860000000008</v>
      </c>
      <c r="AE66" s="132">
        <v>100963.13999999998</v>
      </c>
    </row>
    <row r="67" spans="1:31" x14ac:dyDescent="0.2">
      <c r="A67" s="133">
        <v>12</v>
      </c>
      <c r="B67" s="133" t="s">
        <v>1214</v>
      </c>
      <c r="C67" s="133" t="s">
        <v>1199</v>
      </c>
      <c r="D67" s="133" t="s">
        <v>1275</v>
      </c>
      <c r="E67" s="133" t="s">
        <v>1201</v>
      </c>
      <c r="F67" s="133" t="s">
        <v>1117</v>
      </c>
      <c r="G67" s="133" t="s">
        <v>1276</v>
      </c>
      <c r="H67" s="133" t="s">
        <v>1277</v>
      </c>
      <c r="I67" s="130" t="s">
        <v>1288</v>
      </c>
      <c r="J67" s="130" t="s">
        <v>1289</v>
      </c>
      <c r="K67" s="130" t="s">
        <v>1290</v>
      </c>
      <c r="L67" s="130" t="s">
        <v>1280</v>
      </c>
      <c r="M67" s="130" t="s">
        <v>1172</v>
      </c>
      <c r="N67" s="130" t="s">
        <v>1154</v>
      </c>
      <c r="O67" s="130" t="s">
        <v>1173</v>
      </c>
      <c r="P67" s="130" t="s">
        <v>1174</v>
      </c>
      <c r="Q67" s="130" t="s">
        <v>1127</v>
      </c>
      <c r="R67" s="130" t="s">
        <v>1191</v>
      </c>
      <c r="S67" s="130" t="s">
        <v>1191</v>
      </c>
      <c r="T67" s="130" t="s">
        <v>1221</v>
      </c>
      <c r="U67" s="130">
        <v>3000</v>
      </c>
      <c r="V67" s="131">
        <v>0</v>
      </c>
      <c r="W67" s="131">
        <v>3000</v>
      </c>
      <c r="X67" s="131">
        <v>3000</v>
      </c>
      <c r="Y67" s="131">
        <v>0</v>
      </c>
      <c r="Z67" s="131">
        <v>3000</v>
      </c>
      <c r="AA67" s="131">
        <v>0</v>
      </c>
      <c r="AB67" s="131">
        <v>0</v>
      </c>
      <c r="AC67" s="131">
        <v>3000</v>
      </c>
      <c r="AD67" s="131">
        <v>0</v>
      </c>
      <c r="AE67" s="132">
        <v>3000</v>
      </c>
    </row>
    <row r="68" spans="1:31" x14ac:dyDescent="0.2">
      <c r="A68" s="133">
        <v>12</v>
      </c>
      <c r="B68" s="133" t="s">
        <v>1214</v>
      </c>
      <c r="C68" s="133" t="s">
        <v>1199</v>
      </c>
      <c r="D68" s="133" t="s">
        <v>1275</v>
      </c>
      <c r="E68" s="133" t="s">
        <v>1201</v>
      </c>
      <c r="F68" s="133" t="s">
        <v>1117</v>
      </c>
      <c r="G68" s="133" t="s">
        <v>1276</v>
      </c>
      <c r="H68" s="133" t="s">
        <v>1277</v>
      </c>
      <c r="I68" s="133" t="s">
        <v>1288</v>
      </c>
      <c r="J68" s="133" t="s">
        <v>1289</v>
      </c>
      <c r="K68" s="130" t="s">
        <v>1291</v>
      </c>
      <c r="L68" s="130" t="s">
        <v>1280</v>
      </c>
      <c r="M68" s="130" t="s">
        <v>1172</v>
      </c>
      <c r="N68" s="130" t="s">
        <v>1154</v>
      </c>
      <c r="O68" s="130" t="s">
        <v>1173</v>
      </c>
      <c r="P68" s="130" t="s">
        <v>1174</v>
      </c>
      <c r="Q68" s="130" t="s">
        <v>1127</v>
      </c>
      <c r="R68" s="130" t="s">
        <v>1191</v>
      </c>
      <c r="S68" s="130" t="s">
        <v>1191</v>
      </c>
      <c r="T68" s="130" t="s">
        <v>1221</v>
      </c>
      <c r="U68" s="130">
        <v>2000</v>
      </c>
      <c r="V68" s="131">
        <v>0</v>
      </c>
      <c r="W68" s="131">
        <v>2000</v>
      </c>
      <c r="X68" s="131">
        <v>2000</v>
      </c>
      <c r="Y68" s="131">
        <v>0</v>
      </c>
      <c r="Z68" s="131">
        <v>2000</v>
      </c>
      <c r="AA68" s="131">
        <v>0</v>
      </c>
      <c r="AB68" s="131">
        <v>1991.11</v>
      </c>
      <c r="AC68" s="131">
        <v>8.8900000000001</v>
      </c>
      <c r="AD68" s="131">
        <v>1991.11</v>
      </c>
      <c r="AE68" s="132">
        <v>8.8900000000001</v>
      </c>
    </row>
    <row r="69" spans="1:31" x14ac:dyDescent="0.2">
      <c r="A69" s="133">
        <v>12</v>
      </c>
      <c r="B69" s="133" t="s">
        <v>1214</v>
      </c>
      <c r="C69" s="133" t="s">
        <v>1199</v>
      </c>
      <c r="D69" s="133" t="s">
        <v>1275</v>
      </c>
      <c r="E69" s="133" t="s">
        <v>1201</v>
      </c>
      <c r="F69" s="133" t="s">
        <v>1117</v>
      </c>
      <c r="G69" s="133" t="s">
        <v>1276</v>
      </c>
      <c r="H69" s="133" t="s">
        <v>1277</v>
      </c>
      <c r="I69" s="133" t="s">
        <v>1288</v>
      </c>
      <c r="J69" s="133" t="s">
        <v>1289</v>
      </c>
      <c r="K69" s="130" t="s">
        <v>1292</v>
      </c>
      <c r="L69" s="130" t="s">
        <v>1280</v>
      </c>
      <c r="M69" s="130" t="s">
        <v>1172</v>
      </c>
      <c r="N69" s="130" t="s">
        <v>1154</v>
      </c>
      <c r="O69" s="130" t="s">
        <v>1173</v>
      </c>
      <c r="P69" s="130" t="s">
        <v>1174</v>
      </c>
      <c r="Q69" s="130" t="s">
        <v>1127</v>
      </c>
      <c r="R69" s="130" t="s">
        <v>1191</v>
      </c>
      <c r="S69" s="130" t="s">
        <v>1191</v>
      </c>
      <c r="T69" s="130" t="s">
        <v>1221</v>
      </c>
      <c r="U69" s="130">
        <v>3000</v>
      </c>
      <c r="V69" s="131">
        <v>0</v>
      </c>
      <c r="W69" s="131">
        <v>3000</v>
      </c>
      <c r="X69" s="131">
        <v>3000</v>
      </c>
      <c r="Y69" s="131">
        <v>0</v>
      </c>
      <c r="Z69" s="131">
        <v>3000</v>
      </c>
      <c r="AA69" s="131">
        <v>0</v>
      </c>
      <c r="AB69" s="131">
        <v>0</v>
      </c>
      <c r="AC69" s="131">
        <v>3000</v>
      </c>
      <c r="AD69" s="131">
        <v>0</v>
      </c>
      <c r="AE69" s="132">
        <v>3000</v>
      </c>
    </row>
    <row r="70" spans="1:31" x14ac:dyDescent="0.2">
      <c r="A70" s="133">
        <v>12</v>
      </c>
      <c r="B70" s="133" t="s">
        <v>1214</v>
      </c>
      <c r="C70" s="133" t="s">
        <v>1199</v>
      </c>
      <c r="D70" s="133" t="s">
        <v>1275</v>
      </c>
      <c r="E70" s="133" t="s">
        <v>1201</v>
      </c>
      <c r="F70" s="133" t="s">
        <v>1117</v>
      </c>
      <c r="G70" s="133" t="s">
        <v>1276</v>
      </c>
      <c r="H70" s="130" t="s">
        <v>1293</v>
      </c>
      <c r="I70" s="130" t="s">
        <v>1294</v>
      </c>
      <c r="J70" s="130" t="s">
        <v>1295</v>
      </c>
      <c r="K70" s="130" t="s">
        <v>1296</v>
      </c>
      <c r="L70" s="130" t="s">
        <v>1280</v>
      </c>
      <c r="M70" s="130" t="s">
        <v>1172</v>
      </c>
      <c r="N70" s="130" t="s">
        <v>1154</v>
      </c>
      <c r="O70" s="130" t="s">
        <v>1173</v>
      </c>
      <c r="P70" s="130" t="s">
        <v>1174</v>
      </c>
      <c r="Q70" s="130" t="s">
        <v>1127</v>
      </c>
      <c r="R70" s="130" t="s">
        <v>1191</v>
      </c>
      <c r="S70" s="130" t="s">
        <v>1191</v>
      </c>
      <c r="T70" s="130" t="s">
        <v>1221</v>
      </c>
      <c r="U70" s="130">
        <v>5280</v>
      </c>
      <c r="V70" s="131">
        <v>0</v>
      </c>
      <c r="W70" s="131">
        <v>5280</v>
      </c>
      <c r="X70" s="131">
        <v>0</v>
      </c>
      <c r="Y70" s="131">
        <v>5280</v>
      </c>
      <c r="Z70" s="131">
        <v>0</v>
      </c>
      <c r="AA70" s="131">
        <v>5280</v>
      </c>
      <c r="AB70" s="131">
        <v>0</v>
      </c>
      <c r="AC70" s="131">
        <v>5280</v>
      </c>
      <c r="AD70" s="131">
        <v>0</v>
      </c>
      <c r="AE70" s="132">
        <v>5280</v>
      </c>
    </row>
    <row r="71" spans="1:31" x14ac:dyDescent="0.2">
      <c r="A71" s="133">
        <v>12</v>
      </c>
      <c r="B71" s="133" t="s">
        <v>1214</v>
      </c>
      <c r="C71" s="133" t="s">
        <v>1199</v>
      </c>
      <c r="D71" s="133" t="s">
        <v>1275</v>
      </c>
      <c r="E71" s="133" t="s">
        <v>1201</v>
      </c>
      <c r="F71" s="133" t="s">
        <v>1117</v>
      </c>
      <c r="G71" s="133" t="s">
        <v>1276</v>
      </c>
      <c r="H71" s="130" t="s">
        <v>1297</v>
      </c>
      <c r="I71" s="130" t="s">
        <v>1298</v>
      </c>
      <c r="J71" s="130" t="s">
        <v>1298</v>
      </c>
      <c r="K71" s="130" t="s">
        <v>1299</v>
      </c>
      <c r="L71" s="130" t="s">
        <v>1280</v>
      </c>
      <c r="M71" s="130" t="s">
        <v>1172</v>
      </c>
      <c r="N71" s="130" t="s">
        <v>1154</v>
      </c>
      <c r="O71" s="130" t="s">
        <v>1173</v>
      </c>
      <c r="P71" s="130" t="s">
        <v>1174</v>
      </c>
      <c r="Q71" s="130" t="s">
        <v>1127</v>
      </c>
      <c r="R71" s="130" t="s">
        <v>1191</v>
      </c>
      <c r="S71" s="130" t="s">
        <v>1191</v>
      </c>
      <c r="T71" s="130" t="s">
        <v>1221</v>
      </c>
      <c r="U71" s="130">
        <v>5022</v>
      </c>
      <c r="V71" s="131">
        <v>0</v>
      </c>
      <c r="W71" s="131">
        <v>5022</v>
      </c>
      <c r="X71" s="131">
        <v>5022</v>
      </c>
      <c r="Y71" s="131">
        <v>0</v>
      </c>
      <c r="Z71" s="131">
        <v>5022</v>
      </c>
      <c r="AA71" s="131">
        <v>0</v>
      </c>
      <c r="AB71" s="131">
        <v>3386.16</v>
      </c>
      <c r="AC71" s="131">
        <v>1635.8400000000001</v>
      </c>
      <c r="AD71" s="131">
        <v>3386.16</v>
      </c>
      <c r="AE71" s="132">
        <v>1635.8400000000001</v>
      </c>
    </row>
    <row r="72" spans="1:31" x14ac:dyDescent="0.2">
      <c r="A72" s="133">
        <v>12</v>
      </c>
      <c r="B72" s="133" t="s">
        <v>1214</v>
      </c>
      <c r="C72" s="133" t="s">
        <v>1199</v>
      </c>
      <c r="D72" s="133" t="s">
        <v>1275</v>
      </c>
      <c r="E72" s="133" t="s">
        <v>1201</v>
      </c>
      <c r="F72" s="133" t="s">
        <v>1117</v>
      </c>
      <c r="G72" s="133" t="s">
        <v>1276</v>
      </c>
      <c r="H72" s="133" t="s">
        <v>1297</v>
      </c>
      <c r="I72" s="133" t="s">
        <v>1298</v>
      </c>
      <c r="J72" s="133" t="s">
        <v>1298</v>
      </c>
      <c r="K72" s="130" t="s">
        <v>1300</v>
      </c>
      <c r="L72" s="130" t="s">
        <v>1280</v>
      </c>
      <c r="M72" s="130" t="s">
        <v>1172</v>
      </c>
      <c r="N72" s="130" t="s">
        <v>1154</v>
      </c>
      <c r="O72" s="130" t="s">
        <v>1173</v>
      </c>
      <c r="P72" s="130" t="s">
        <v>1174</v>
      </c>
      <c r="Q72" s="130" t="s">
        <v>1127</v>
      </c>
      <c r="R72" s="130" t="s">
        <v>1191</v>
      </c>
      <c r="S72" s="130" t="s">
        <v>1191</v>
      </c>
      <c r="T72" s="130" t="s">
        <v>1221</v>
      </c>
      <c r="U72" s="130">
        <v>10371</v>
      </c>
      <c r="V72" s="131">
        <v>1150</v>
      </c>
      <c r="W72" s="131">
        <v>11521</v>
      </c>
      <c r="X72" s="131">
        <v>11521</v>
      </c>
      <c r="Y72" s="131">
        <v>0</v>
      </c>
      <c r="Z72" s="131">
        <v>11521</v>
      </c>
      <c r="AA72" s="131">
        <v>0</v>
      </c>
      <c r="AB72" s="131">
        <v>3714.6700000000005</v>
      </c>
      <c r="AC72" s="131">
        <v>7806.33</v>
      </c>
      <c r="AD72" s="131">
        <v>3714.6700000000005</v>
      </c>
      <c r="AE72" s="132">
        <v>7806.33</v>
      </c>
    </row>
    <row r="73" spans="1:31" x14ac:dyDescent="0.2">
      <c r="A73" s="133">
        <v>12</v>
      </c>
      <c r="B73" s="133" t="s">
        <v>1214</v>
      </c>
      <c r="C73" s="133" t="s">
        <v>1199</v>
      </c>
      <c r="D73" s="133" t="s">
        <v>1275</v>
      </c>
      <c r="E73" s="133" t="s">
        <v>1201</v>
      </c>
      <c r="F73" s="133" t="s">
        <v>1117</v>
      </c>
      <c r="G73" s="130" t="s">
        <v>1202</v>
      </c>
      <c r="H73" s="130" t="s">
        <v>1216</v>
      </c>
      <c r="I73" s="130" t="s">
        <v>1301</v>
      </c>
      <c r="J73" s="130" t="s">
        <v>1301</v>
      </c>
      <c r="K73" s="130" t="s">
        <v>1302</v>
      </c>
      <c r="L73" s="130" t="s">
        <v>1280</v>
      </c>
      <c r="M73" s="130" t="s">
        <v>1172</v>
      </c>
      <c r="N73" s="130" t="s">
        <v>1154</v>
      </c>
      <c r="O73" s="130" t="s">
        <v>1173</v>
      </c>
      <c r="P73" s="130" t="s">
        <v>1174</v>
      </c>
      <c r="Q73" s="130" t="s">
        <v>1127</v>
      </c>
      <c r="R73" s="130" t="s">
        <v>1191</v>
      </c>
      <c r="S73" s="130" t="s">
        <v>1191</v>
      </c>
      <c r="T73" s="130" t="s">
        <v>1221</v>
      </c>
      <c r="U73" s="130">
        <v>26339</v>
      </c>
      <c r="V73" s="131">
        <v>-1455</v>
      </c>
      <c r="W73" s="131">
        <v>24884</v>
      </c>
      <c r="X73" s="131">
        <v>18465.3</v>
      </c>
      <c r="Y73" s="131">
        <v>6418.7000000000007</v>
      </c>
      <c r="Z73" s="131">
        <v>18465.3</v>
      </c>
      <c r="AA73" s="131">
        <v>6418.7000000000007</v>
      </c>
      <c r="AB73" s="131">
        <v>18465.3</v>
      </c>
      <c r="AC73" s="131">
        <v>6418.7000000000007</v>
      </c>
      <c r="AD73" s="131">
        <v>18465.3</v>
      </c>
      <c r="AE73" s="132">
        <v>6418.7000000000007</v>
      </c>
    </row>
    <row r="74" spans="1:31" x14ac:dyDescent="0.2">
      <c r="A74" s="133">
        <v>12</v>
      </c>
      <c r="B74" s="133" t="s">
        <v>1214</v>
      </c>
      <c r="C74" s="133" t="s">
        <v>1199</v>
      </c>
      <c r="D74" s="133" t="s">
        <v>1275</v>
      </c>
      <c r="E74" s="133" t="s">
        <v>1201</v>
      </c>
      <c r="F74" s="133" t="s">
        <v>1117</v>
      </c>
      <c r="G74" s="133" t="s">
        <v>1202</v>
      </c>
      <c r="H74" s="133" t="s">
        <v>1216</v>
      </c>
      <c r="I74" s="130" t="s">
        <v>1217</v>
      </c>
      <c r="J74" s="130" t="s">
        <v>1218</v>
      </c>
      <c r="K74" s="130" t="s">
        <v>1219</v>
      </c>
      <c r="L74" s="130" t="s">
        <v>1280</v>
      </c>
      <c r="M74" s="130" t="s">
        <v>1172</v>
      </c>
      <c r="N74" s="130" t="s">
        <v>1154</v>
      </c>
      <c r="O74" s="130" t="s">
        <v>1173</v>
      </c>
      <c r="P74" s="130" t="s">
        <v>1174</v>
      </c>
      <c r="Q74" s="130" t="s">
        <v>1127</v>
      </c>
      <c r="R74" s="130" t="s">
        <v>1191</v>
      </c>
      <c r="S74" s="130" t="s">
        <v>1191</v>
      </c>
      <c r="T74" s="130" t="s">
        <v>1221</v>
      </c>
      <c r="U74" s="130">
        <v>13517</v>
      </c>
      <c r="V74" s="131">
        <v>0</v>
      </c>
      <c r="W74" s="131">
        <v>13517</v>
      </c>
      <c r="X74" s="131">
        <v>6600</v>
      </c>
      <c r="Y74" s="131">
        <v>6917</v>
      </c>
      <c r="Z74" s="131">
        <v>6600</v>
      </c>
      <c r="AA74" s="131">
        <v>6917</v>
      </c>
      <c r="AB74" s="131">
        <v>6600</v>
      </c>
      <c r="AC74" s="131">
        <v>6917</v>
      </c>
      <c r="AD74" s="131">
        <v>6600</v>
      </c>
      <c r="AE74" s="132">
        <v>6917</v>
      </c>
    </row>
    <row r="75" spans="1:31" x14ac:dyDescent="0.2">
      <c r="A75" s="133">
        <v>12</v>
      </c>
      <c r="B75" s="133" t="s">
        <v>1214</v>
      </c>
      <c r="C75" s="133" t="s">
        <v>1199</v>
      </c>
      <c r="D75" s="133" t="s">
        <v>1275</v>
      </c>
      <c r="E75" s="133" t="s">
        <v>1201</v>
      </c>
      <c r="F75" s="133" t="s">
        <v>1117</v>
      </c>
      <c r="G75" s="133" t="s">
        <v>1202</v>
      </c>
      <c r="H75" s="133" t="s">
        <v>1216</v>
      </c>
      <c r="I75" s="130" t="s">
        <v>1242</v>
      </c>
      <c r="J75" s="130" t="s">
        <v>1243</v>
      </c>
      <c r="K75" s="130" t="s">
        <v>1303</v>
      </c>
      <c r="L75" s="130" t="s">
        <v>1280</v>
      </c>
      <c r="M75" s="130" t="s">
        <v>1172</v>
      </c>
      <c r="N75" s="130" t="s">
        <v>1154</v>
      </c>
      <c r="O75" s="130" t="s">
        <v>1173</v>
      </c>
      <c r="P75" s="130" t="s">
        <v>1174</v>
      </c>
      <c r="Q75" s="130" t="s">
        <v>1127</v>
      </c>
      <c r="R75" s="130" t="s">
        <v>1191</v>
      </c>
      <c r="S75" s="130" t="s">
        <v>1191</v>
      </c>
      <c r="T75" s="130" t="s">
        <v>1221</v>
      </c>
      <c r="U75" s="130">
        <v>30720</v>
      </c>
      <c r="V75" s="131">
        <v>1455</v>
      </c>
      <c r="W75" s="131">
        <v>32175</v>
      </c>
      <c r="X75" s="131">
        <v>32175</v>
      </c>
      <c r="Y75" s="131">
        <v>0</v>
      </c>
      <c r="Z75" s="131">
        <v>32175</v>
      </c>
      <c r="AA75" s="131">
        <v>0</v>
      </c>
      <c r="AB75" s="131">
        <v>32175</v>
      </c>
      <c r="AC75" s="131">
        <v>0</v>
      </c>
      <c r="AD75" s="131">
        <v>6542.1</v>
      </c>
      <c r="AE75" s="132">
        <v>25632.9</v>
      </c>
    </row>
    <row r="76" spans="1:31" x14ac:dyDescent="0.2">
      <c r="A76" s="133">
        <v>12</v>
      </c>
      <c r="B76" s="133" t="s">
        <v>1214</v>
      </c>
      <c r="C76" s="133" t="s">
        <v>1199</v>
      </c>
      <c r="D76" s="133" t="s">
        <v>1275</v>
      </c>
      <c r="E76" s="133" t="s">
        <v>1201</v>
      </c>
      <c r="F76" s="133" t="s">
        <v>1117</v>
      </c>
      <c r="G76" s="133" t="s">
        <v>1202</v>
      </c>
      <c r="H76" s="133" t="s">
        <v>1216</v>
      </c>
      <c r="I76" s="133" t="s">
        <v>1242</v>
      </c>
      <c r="J76" s="133" t="s">
        <v>1243</v>
      </c>
      <c r="K76" s="130" t="s">
        <v>1244</v>
      </c>
      <c r="L76" s="130" t="s">
        <v>1280</v>
      </c>
      <c r="M76" s="130" t="s">
        <v>1172</v>
      </c>
      <c r="N76" s="130" t="s">
        <v>1154</v>
      </c>
      <c r="O76" s="130" t="s">
        <v>1173</v>
      </c>
      <c r="P76" s="130" t="s">
        <v>1174</v>
      </c>
      <c r="Q76" s="130" t="s">
        <v>1127</v>
      </c>
      <c r="R76" s="130" t="s">
        <v>1191</v>
      </c>
      <c r="S76" s="130" t="s">
        <v>1191</v>
      </c>
      <c r="T76" s="130" t="s">
        <v>1221</v>
      </c>
      <c r="U76" s="130">
        <v>2048</v>
      </c>
      <c r="V76" s="131">
        <v>0</v>
      </c>
      <c r="W76" s="131">
        <v>2048</v>
      </c>
      <c r="X76" s="131">
        <v>500</v>
      </c>
      <c r="Y76" s="131">
        <v>1548</v>
      </c>
      <c r="Z76" s="131">
        <v>500</v>
      </c>
      <c r="AA76" s="131">
        <v>1548</v>
      </c>
      <c r="AB76" s="131">
        <v>500</v>
      </c>
      <c r="AC76" s="131">
        <v>1548</v>
      </c>
      <c r="AD76" s="131">
        <v>500</v>
      </c>
      <c r="AE76" s="132">
        <v>1548</v>
      </c>
    </row>
    <row r="77" spans="1:31" x14ac:dyDescent="0.2">
      <c r="A77" s="133">
        <v>12</v>
      </c>
      <c r="B77" s="133" t="s">
        <v>1214</v>
      </c>
      <c r="C77" s="133" t="s">
        <v>1199</v>
      </c>
      <c r="D77" s="133" t="s">
        <v>1275</v>
      </c>
      <c r="E77" s="133" t="s">
        <v>1201</v>
      </c>
      <c r="F77" s="133" t="s">
        <v>1117</v>
      </c>
      <c r="G77" s="133" t="s">
        <v>1202</v>
      </c>
      <c r="H77" s="133" t="s">
        <v>1216</v>
      </c>
      <c r="I77" s="130" t="s">
        <v>1222</v>
      </c>
      <c r="J77" s="130" t="s">
        <v>1304</v>
      </c>
      <c r="K77" s="130" t="s">
        <v>1248</v>
      </c>
      <c r="L77" s="130" t="s">
        <v>1280</v>
      </c>
      <c r="M77" s="130" t="s">
        <v>1172</v>
      </c>
      <c r="N77" s="130" t="s">
        <v>1154</v>
      </c>
      <c r="O77" s="130" t="s">
        <v>1173</v>
      </c>
      <c r="P77" s="130" t="s">
        <v>1174</v>
      </c>
      <c r="Q77" s="130" t="s">
        <v>1127</v>
      </c>
      <c r="R77" s="130" t="s">
        <v>1191</v>
      </c>
      <c r="S77" s="130" t="s">
        <v>1191</v>
      </c>
      <c r="T77" s="130" t="s">
        <v>1221</v>
      </c>
      <c r="U77" s="130">
        <v>7168</v>
      </c>
      <c r="V77" s="131">
        <v>-5000</v>
      </c>
      <c r="W77" s="131">
        <v>2168</v>
      </c>
      <c r="X77" s="131">
        <v>400</v>
      </c>
      <c r="Y77" s="131">
        <v>1768</v>
      </c>
      <c r="Z77" s="131">
        <v>400</v>
      </c>
      <c r="AA77" s="131">
        <v>1768</v>
      </c>
      <c r="AB77" s="131">
        <v>400</v>
      </c>
      <c r="AC77" s="131">
        <v>1768</v>
      </c>
      <c r="AD77" s="131">
        <v>400</v>
      </c>
      <c r="AE77" s="132">
        <v>1768</v>
      </c>
    </row>
    <row r="78" spans="1:31" x14ac:dyDescent="0.2">
      <c r="A78" s="133">
        <v>12</v>
      </c>
      <c r="B78" s="133" t="s">
        <v>1214</v>
      </c>
      <c r="C78" s="133" t="s">
        <v>1199</v>
      </c>
      <c r="D78" s="133" t="s">
        <v>1275</v>
      </c>
      <c r="E78" s="133" t="s">
        <v>1201</v>
      </c>
      <c r="F78" s="133" t="s">
        <v>1117</v>
      </c>
      <c r="G78" s="133" t="s">
        <v>1202</v>
      </c>
      <c r="H78" s="133" t="s">
        <v>1216</v>
      </c>
      <c r="I78" s="133" t="s">
        <v>1222</v>
      </c>
      <c r="J78" s="133" t="s">
        <v>1304</v>
      </c>
      <c r="K78" s="130" t="s">
        <v>1305</v>
      </c>
      <c r="L78" s="130" t="s">
        <v>1280</v>
      </c>
      <c r="M78" s="130" t="s">
        <v>1172</v>
      </c>
      <c r="N78" s="130" t="s">
        <v>1154</v>
      </c>
      <c r="O78" s="130" t="s">
        <v>1173</v>
      </c>
      <c r="P78" s="130" t="s">
        <v>1174</v>
      </c>
      <c r="Q78" s="130" t="s">
        <v>1127</v>
      </c>
      <c r="R78" s="130" t="s">
        <v>1191</v>
      </c>
      <c r="S78" s="130" t="s">
        <v>1191</v>
      </c>
      <c r="T78" s="130" t="s">
        <v>1221</v>
      </c>
      <c r="U78" s="130">
        <v>12144</v>
      </c>
      <c r="V78" s="131">
        <v>5000</v>
      </c>
      <c r="W78" s="131">
        <v>17144</v>
      </c>
      <c r="X78" s="131">
        <v>15117.59</v>
      </c>
      <c r="Y78" s="131">
        <v>2026.4099999999999</v>
      </c>
      <c r="Z78" s="131">
        <v>15117.59</v>
      </c>
      <c r="AA78" s="131">
        <v>2026.4099999999999</v>
      </c>
      <c r="AB78" s="131">
        <v>15117.59</v>
      </c>
      <c r="AC78" s="131">
        <v>2026.4099999999999</v>
      </c>
      <c r="AD78" s="131">
        <v>15117.59</v>
      </c>
      <c r="AE78" s="132">
        <v>2026.4099999999999</v>
      </c>
    </row>
    <row r="79" spans="1:31" x14ac:dyDescent="0.2">
      <c r="A79" s="133">
        <v>12</v>
      </c>
      <c r="B79" s="133" t="s">
        <v>1214</v>
      </c>
      <c r="C79" s="133" t="s">
        <v>1199</v>
      </c>
      <c r="D79" s="133" t="s">
        <v>1275</v>
      </c>
      <c r="E79" s="133" t="s">
        <v>1201</v>
      </c>
      <c r="F79" s="133" t="s">
        <v>1117</v>
      </c>
      <c r="G79" s="133" t="s">
        <v>1202</v>
      </c>
      <c r="H79" s="133" t="s">
        <v>1216</v>
      </c>
      <c r="I79" s="133" t="s">
        <v>1222</v>
      </c>
      <c r="J79" s="130" t="s">
        <v>1230</v>
      </c>
      <c r="K79" s="130" t="s">
        <v>1231</v>
      </c>
      <c r="L79" s="130" t="s">
        <v>1280</v>
      </c>
      <c r="M79" s="130" t="s">
        <v>1172</v>
      </c>
      <c r="N79" s="130" t="s">
        <v>1154</v>
      </c>
      <c r="O79" s="130" t="s">
        <v>1173</v>
      </c>
      <c r="P79" s="130" t="s">
        <v>1174</v>
      </c>
      <c r="Q79" s="130" t="s">
        <v>1127</v>
      </c>
      <c r="R79" s="130" t="s">
        <v>1191</v>
      </c>
      <c r="S79" s="130" t="s">
        <v>1191</v>
      </c>
      <c r="T79" s="130" t="s">
        <v>1221</v>
      </c>
      <c r="U79" s="130">
        <v>2048</v>
      </c>
      <c r="V79" s="131">
        <v>0</v>
      </c>
      <c r="W79" s="131">
        <v>2048</v>
      </c>
      <c r="X79" s="131">
        <v>1200</v>
      </c>
      <c r="Y79" s="131">
        <v>848</v>
      </c>
      <c r="Z79" s="131">
        <v>1200</v>
      </c>
      <c r="AA79" s="131">
        <v>848</v>
      </c>
      <c r="AB79" s="131">
        <v>1200</v>
      </c>
      <c r="AC79" s="131">
        <v>848</v>
      </c>
      <c r="AD79" s="131">
        <v>1200</v>
      </c>
      <c r="AE79" s="132">
        <v>848</v>
      </c>
    </row>
    <row r="80" spans="1:31" x14ac:dyDescent="0.2">
      <c r="A80" s="133">
        <v>12</v>
      </c>
      <c r="B80" s="133" t="s">
        <v>1214</v>
      </c>
      <c r="C80" s="133" t="s">
        <v>1199</v>
      </c>
      <c r="D80" s="133" t="s">
        <v>1275</v>
      </c>
      <c r="E80" s="133" t="s">
        <v>1201</v>
      </c>
      <c r="F80" s="133" t="s">
        <v>1117</v>
      </c>
      <c r="G80" s="133" t="s">
        <v>1202</v>
      </c>
      <c r="H80" s="133" t="s">
        <v>1216</v>
      </c>
      <c r="I80" s="130" t="s">
        <v>1247</v>
      </c>
      <c r="J80" s="130" t="s">
        <v>1248</v>
      </c>
      <c r="K80" s="130" t="s">
        <v>1251</v>
      </c>
      <c r="L80" s="130" t="s">
        <v>1280</v>
      </c>
      <c r="M80" s="130" t="s">
        <v>1172</v>
      </c>
      <c r="N80" s="130" t="s">
        <v>1154</v>
      </c>
      <c r="O80" s="130" t="s">
        <v>1173</v>
      </c>
      <c r="P80" s="130" t="s">
        <v>1174</v>
      </c>
      <c r="Q80" s="130" t="s">
        <v>1127</v>
      </c>
      <c r="R80" s="130" t="s">
        <v>1191</v>
      </c>
      <c r="S80" s="130" t="s">
        <v>1191</v>
      </c>
      <c r="T80" s="130" t="s">
        <v>1221</v>
      </c>
      <c r="U80" s="130">
        <v>10240</v>
      </c>
      <c r="V80" s="131">
        <v>0</v>
      </c>
      <c r="W80" s="131">
        <v>10240</v>
      </c>
      <c r="X80" s="131">
        <v>8960</v>
      </c>
      <c r="Y80" s="131">
        <v>1280</v>
      </c>
      <c r="Z80" s="131">
        <v>8960</v>
      </c>
      <c r="AA80" s="131">
        <v>1280</v>
      </c>
      <c r="AB80" s="131">
        <v>8960</v>
      </c>
      <c r="AC80" s="131">
        <v>1280</v>
      </c>
      <c r="AD80" s="131">
        <v>0</v>
      </c>
      <c r="AE80" s="132">
        <v>10240</v>
      </c>
    </row>
    <row r="81" spans="1:31" x14ac:dyDescent="0.2">
      <c r="A81" s="133">
        <v>12</v>
      </c>
      <c r="B81" s="133" t="s">
        <v>1214</v>
      </c>
      <c r="C81" s="133" t="s">
        <v>1199</v>
      </c>
      <c r="D81" s="133" t="s">
        <v>1275</v>
      </c>
      <c r="E81" s="133" t="s">
        <v>1201</v>
      </c>
      <c r="F81" s="133" t="s">
        <v>1117</v>
      </c>
      <c r="G81" s="133" t="s">
        <v>1202</v>
      </c>
      <c r="H81" s="133" t="s">
        <v>1216</v>
      </c>
      <c r="I81" s="130" t="s">
        <v>1252</v>
      </c>
      <c r="J81" s="130" t="s">
        <v>1253</v>
      </c>
      <c r="K81" s="130" t="s">
        <v>1254</v>
      </c>
      <c r="L81" s="130" t="s">
        <v>1280</v>
      </c>
      <c r="M81" s="130" t="s">
        <v>1172</v>
      </c>
      <c r="N81" s="130" t="s">
        <v>1154</v>
      </c>
      <c r="O81" s="130" t="s">
        <v>1173</v>
      </c>
      <c r="P81" s="130" t="s">
        <v>1174</v>
      </c>
      <c r="Q81" s="130" t="s">
        <v>1127</v>
      </c>
      <c r="R81" s="130" t="s">
        <v>1191</v>
      </c>
      <c r="S81" s="130" t="s">
        <v>1191</v>
      </c>
      <c r="T81" s="130" t="s">
        <v>1221</v>
      </c>
      <c r="U81" s="130">
        <v>1024</v>
      </c>
      <c r="V81" s="131">
        <v>0</v>
      </c>
      <c r="W81" s="131">
        <v>1024</v>
      </c>
      <c r="X81" s="131">
        <v>644</v>
      </c>
      <c r="Y81" s="131">
        <v>380</v>
      </c>
      <c r="Z81" s="131">
        <v>644</v>
      </c>
      <c r="AA81" s="131">
        <v>380</v>
      </c>
      <c r="AB81" s="131">
        <v>644</v>
      </c>
      <c r="AC81" s="131">
        <v>380</v>
      </c>
      <c r="AD81" s="131">
        <v>644</v>
      </c>
      <c r="AE81" s="132">
        <v>380</v>
      </c>
    </row>
    <row r="82" spans="1:31" x14ac:dyDescent="0.2">
      <c r="A82" s="133">
        <v>12</v>
      </c>
      <c r="B82" s="133" t="s">
        <v>1214</v>
      </c>
      <c r="C82" s="133" t="s">
        <v>1199</v>
      </c>
      <c r="D82" s="133" t="s">
        <v>1275</v>
      </c>
      <c r="E82" s="133" t="s">
        <v>1201</v>
      </c>
      <c r="F82" s="133" t="s">
        <v>1117</v>
      </c>
      <c r="G82" s="133" t="s">
        <v>1202</v>
      </c>
      <c r="H82" s="130" t="s">
        <v>1203</v>
      </c>
      <c r="I82" s="130" t="s">
        <v>1224</v>
      </c>
      <c r="J82" s="130" t="s">
        <v>1257</v>
      </c>
      <c r="K82" s="130" t="s">
        <v>1258</v>
      </c>
      <c r="L82" s="130" t="s">
        <v>1280</v>
      </c>
      <c r="M82" s="130" t="s">
        <v>1172</v>
      </c>
      <c r="N82" s="130" t="s">
        <v>1154</v>
      </c>
      <c r="O82" s="130" t="s">
        <v>1173</v>
      </c>
      <c r="P82" s="130" t="s">
        <v>1174</v>
      </c>
      <c r="Q82" s="130" t="s">
        <v>1127</v>
      </c>
      <c r="R82" s="130" t="s">
        <v>1191</v>
      </c>
      <c r="S82" s="130" t="s">
        <v>1191</v>
      </c>
      <c r="T82" s="130" t="s">
        <v>1221</v>
      </c>
      <c r="U82" s="130">
        <v>25000</v>
      </c>
      <c r="V82" s="131">
        <v>0</v>
      </c>
      <c r="W82" s="131">
        <v>25000</v>
      </c>
      <c r="X82" s="131">
        <v>22000</v>
      </c>
      <c r="Y82" s="131">
        <v>3000</v>
      </c>
      <c r="Z82" s="131">
        <v>8454.4</v>
      </c>
      <c r="AA82" s="131">
        <v>16545.599999999999</v>
      </c>
      <c r="AB82" s="131">
        <v>8454.4</v>
      </c>
      <c r="AC82" s="131">
        <v>16545.599999999999</v>
      </c>
      <c r="AD82" s="131">
        <v>8454.4</v>
      </c>
      <c r="AE82" s="132">
        <v>16545.599999999999</v>
      </c>
    </row>
    <row r="83" spans="1:31" x14ac:dyDescent="0.2">
      <c r="A83" s="133">
        <v>12</v>
      </c>
      <c r="B83" s="133" t="s">
        <v>1214</v>
      </c>
      <c r="C83" s="133" t="s">
        <v>1199</v>
      </c>
      <c r="D83" s="133" t="s">
        <v>1275</v>
      </c>
      <c r="E83" s="133" t="s">
        <v>1201</v>
      </c>
      <c r="F83" s="133" t="s">
        <v>1117</v>
      </c>
      <c r="G83" s="133" t="s">
        <v>1202</v>
      </c>
      <c r="H83" s="133" t="s">
        <v>1203</v>
      </c>
      <c r="I83" s="133" t="s">
        <v>1224</v>
      </c>
      <c r="J83" s="130" t="s">
        <v>1306</v>
      </c>
      <c r="K83" s="130" t="s">
        <v>1307</v>
      </c>
      <c r="L83" s="130" t="s">
        <v>1280</v>
      </c>
      <c r="M83" s="130" t="s">
        <v>1172</v>
      </c>
      <c r="N83" s="130" t="s">
        <v>1154</v>
      </c>
      <c r="O83" s="130" t="s">
        <v>1173</v>
      </c>
      <c r="P83" s="130" t="s">
        <v>1174</v>
      </c>
      <c r="Q83" s="130" t="s">
        <v>1127</v>
      </c>
      <c r="R83" s="130" t="s">
        <v>1191</v>
      </c>
      <c r="S83" s="130" t="s">
        <v>1191</v>
      </c>
      <c r="T83" s="130" t="s">
        <v>1221</v>
      </c>
      <c r="U83" s="130">
        <v>1024</v>
      </c>
      <c r="V83" s="131">
        <v>0</v>
      </c>
      <c r="W83" s="131">
        <v>1024</v>
      </c>
      <c r="X83" s="131">
        <v>0</v>
      </c>
      <c r="Y83" s="131">
        <v>1024</v>
      </c>
      <c r="Z83" s="131">
        <v>0</v>
      </c>
      <c r="AA83" s="131">
        <v>1024</v>
      </c>
      <c r="AB83" s="131">
        <v>0</v>
      </c>
      <c r="AC83" s="131">
        <v>1024</v>
      </c>
      <c r="AD83" s="131">
        <v>0</v>
      </c>
      <c r="AE83" s="132">
        <v>1024</v>
      </c>
    </row>
    <row r="84" spans="1:31" x14ac:dyDescent="0.2">
      <c r="A84" s="133">
        <v>12</v>
      </c>
      <c r="B84" s="133" t="s">
        <v>1214</v>
      </c>
      <c r="C84" s="133" t="s">
        <v>1199</v>
      </c>
      <c r="D84" s="133" t="s">
        <v>1275</v>
      </c>
      <c r="E84" s="133" t="s">
        <v>1201</v>
      </c>
      <c r="F84" s="133" t="s">
        <v>1117</v>
      </c>
      <c r="G84" s="133" t="s">
        <v>1202</v>
      </c>
      <c r="H84" s="133" t="s">
        <v>1203</v>
      </c>
      <c r="I84" s="133" t="s">
        <v>1224</v>
      </c>
      <c r="J84" s="133" t="s">
        <v>1306</v>
      </c>
      <c r="K84" s="130" t="s">
        <v>1308</v>
      </c>
      <c r="L84" s="130" t="s">
        <v>1280</v>
      </c>
      <c r="M84" s="130" t="s">
        <v>1172</v>
      </c>
      <c r="N84" s="130" t="s">
        <v>1154</v>
      </c>
      <c r="O84" s="130" t="s">
        <v>1173</v>
      </c>
      <c r="P84" s="130" t="s">
        <v>1174</v>
      </c>
      <c r="Q84" s="130" t="s">
        <v>1127</v>
      </c>
      <c r="R84" s="130" t="s">
        <v>1191</v>
      </c>
      <c r="S84" s="130" t="s">
        <v>1191</v>
      </c>
      <c r="T84" s="130" t="s">
        <v>1221</v>
      </c>
      <c r="U84" s="130">
        <v>4608</v>
      </c>
      <c r="V84" s="131">
        <v>0</v>
      </c>
      <c r="W84" s="131">
        <v>4608</v>
      </c>
      <c r="X84" s="131">
        <v>0</v>
      </c>
      <c r="Y84" s="131">
        <v>4608</v>
      </c>
      <c r="Z84" s="131">
        <v>0</v>
      </c>
      <c r="AA84" s="131">
        <v>4608</v>
      </c>
      <c r="AB84" s="131">
        <v>0</v>
      </c>
      <c r="AC84" s="131">
        <v>4608</v>
      </c>
      <c r="AD84" s="131">
        <v>0</v>
      </c>
      <c r="AE84" s="132">
        <v>4608</v>
      </c>
    </row>
    <row r="85" spans="1:31" x14ac:dyDescent="0.2">
      <c r="A85" s="133">
        <v>12</v>
      </c>
      <c r="B85" s="133" t="s">
        <v>1214</v>
      </c>
      <c r="C85" s="133" t="s">
        <v>1199</v>
      </c>
      <c r="D85" s="133" t="s">
        <v>1275</v>
      </c>
      <c r="E85" s="133" t="s">
        <v>1201</v>
      </c>
      <c r="F85" s="133" t="s">
        <v>1117</v>
      </c>
      <c r="G85" s="133" t="s">
        <v>1202</v>
      </c>
      <c r="H85" s="133" t="s">
        <v>1203</v>
      </c>
      <c r="I85" s="133" t="s">
        <v>1224</v>
      </c>
      <c r="J85" s="130" t="s">
        <v>1225</v>
      </c>
      <c r="K85" s="130" t="s">
        <v>1226</v>
      </c>
      <c r="L85" s="130" t="s">
        <v>1280</v>
      </c>
      <c r="M85" s="130" t="s">
        <v>1172</v>
      </c>
      <c r="N85" s="130" t="s">
        <v>1154</v>
      </c>
      <c r="O85" s="130" t="s">
        <v>1173</v>
      </c>
      <c r="P85" s="130" t="s">
        <v>1174</v>
      </c>
      <c r="Q85" s="130" t="s">
        <v>1127</v>
      </c>
      <c r="R85" s="130" t="s">
        <v>1191</v>
      </c>
      <c r="S85" s="130" t="s">
        <v>1191</v>
      </c>
      <c r="T85" s="130" t="s">
        <v>1221</v>
      </c>
      <c r="U85" s="130">
        <v>1024</v>
      </c>
      <c r="V85" s="131">
        <v>0</v>
      </c>
      <c r="W85" s="131">
        <v>1024</v>
      </c>
      <c r="X85" s="131">
        <v>0</v>
      </c>
      <c r="Y85" s="131">
        <v>1024</v>
      </c>
      <c r="Z85" s="131">
        <v>0</v>
      </c>
      <c r="AA85" s="131">
        <v>1024</v>
      </c>
      <c r="AB85" s="131">
        <v>0</v>
      </c>
      <c r="AC85" s="131">
        <v>1024</v>
      </c>
      <c r="AD85" s="131">
        <v>0</v>
      </c>
      <c r="AE85" s="132">
        <v>1024</v>
      </c>
    </row>
    <row r="86" spans="1:31" x14ac:dyDescent="0.2">
      <c r="A86" s="133">
        <v>12</v>
      </c>
      <c r="B86" s="133" t="s">
        <v>1214</v>
      </c>
      <c r="C86" s="133" t="s">
        <v>1199</v>
      </c>
      <c r="D86" s="133" t="s">
        <v>1275</v>
      </c>
      <c r="E86" s="133" t="s">
        <v>1201</v>
      </c>
      <c r="F86" s="133" t="s">
        <v>1117</v>
      </c>
      <c r="G86" s="133" t="s">
        <v>1202</v>
      </c>
      <c r="H86" s="133" t="s">
        <v>1203</v>
      </c>
      <c r="I86" s="130" t="s">
        <v>1260</v>
      </c>
      <c r="J86" s="130" t="s">
        <v>1261</v>
      </c>
      <c r="K86" s="130" t="s">
        <v>1263</v>
      </c>
      <c r="L86" s="130" t="s">
        <v>1280</v>
      </c>
      <c r="M86" s="130" t="s">
        <v>1172</v>
      </c>
      <c r="N86" s="130" t="s">
        <v>1154</v>
      </c>
      <c r="O86" s="130" t="s">
        <v>1173</v>
      </c>
      <c r="P86" s="130" t="s">
        <v>1174</v>
      </c>
      <c r="Q86" s="130" t="s">
        <v>1127</v>
      </c>
      <c r="R86" s="130" t="s">
        <v>1191</v>
      </c>
      <c r="S86" s="130" t="s">
        <v>1191</v>
      </c>
      <c r="T86" s="130" t="s">
        <v>1221</v>
      </c>
      <c r="U86" s="130">
        <v>128000</v>
      </c>
      <c r="V86" s="131">
        <v>0</v>
      </c>
      <c r="W86" s="131">
        <v>128000</v>
      </c>
      <c r="X86" s="131">
        <v>0</v>
      </c>
      <c r="Y86" s="131">
        <v>128000</v>
      </c>
      <c r="Z86" s="131">
        <v>0</v>
      </c>
      <c r="AA86" s="131">
        <v>128000</v>
      </c>
      <c r="AB86" s="131">
        <v>0</v>
      </c>
      <c r="AC86" s="131">
        <v>128000</v>
      </c>
      <c r="AD86" s="131">
        <v>0</v>
      </c>
      <c r="AE86" s="132">
        <v>128000</v>
      </c>
    </row>
    <row r="87" spans="1:31" x14ac:dyDescent="0.2">
      <c r="A87" s="133">
        <v>12</v>
      </c>
      <c r="B87" s="133" t="s">
        <v>1214</v>
      </c>
      <c r="C87" s="133" t="s">
        <v>1199</v>
      </c>
      <c r="D87" s="133" t="s">
        <v>1275</v>
      </c>
      <c r="E87" s="133" t="s">
        <v>1201</v>
      </c>
      <c r="F87" s="133" t="s">
        <v>1117</v>
      </c>
      <c r="G87" s="133" t="s">
        <v>1202</v>
      </c>
      <c r="H87" s="133" t="s">
        <v>1203</v>
      </c>
      <c r="I87" s="130" t="s">
        <v>1269</v>
      </c>
      <c r="J87" s="130" t="s">
        <v>1270</v>
      </c>
      <c r="K87" s="130" t="s">
        <v>1272</v>
      </c>
      <c r="L87" s="130" t="s">
        <v>1280</v>
      </c>
      <c r="M87" s="130" t="s">
        <v>1172</v>
      </c>
      <c r="N87" s="130" t="s">
        <v>1154</v>
      </c>
      <c r="O87" s="130" t="s">
        <v>1173</v>
      </c>
      <c r="P87" s="130" t="s">
        <v>1174</v>
      </c>
      <c r="Q87" s="130" t="s">
        <v>1127</v>
      </c>
      <c r="R87" s="130" t="s">
        <v>1191</v>
      </c>
      <c r="S87" s="130" t="s">
        <v>1191</v>
      </c>
      <c r="T87" s="130" t="s">
        <v>1221</v>
      </c>
      <c r="U87" s="130">
        <v>0</v>
      </c>
      <c r="V87" s="131">
        <v>0</v>
      </c>
      <c r="W87" s="131">
        <v>0</v>
      </c>
      <c r="X87" s="131">
        <v>0</v>
      </c>
      <c r="Y87" s="131">
        <v>0</v>
      </c>
      <c r="Z87" s="131">
        <v>0</v>
      </c>
      <c r="AA87" s="131">
        <v>0</v>
      </c>
      <c r="AB87" s="131">
        <v>0</v>
      </c>
      <c r="AC87" s="131">
        <v>0</v>
      </c>
      <c r="AD87" s="131">
        <v>0</v>
      </c>
      <c r="AE87" s="132">
        <v>0</v>
      </c>
    </row>
    <row r="88" spans="1:31" x14ac:dyDescent="0.2">
      <c r="A88" s="133">
        <v>12</v>
      </c>
      <c r="B88" s="133" t="s">
        <v>1214</v>
      </c>
      <c r="C88" s="133" t="s">
        <v>1199</v>
      </c>
      <c r="D88" s="133" t="s">
        <v>1275</v>
      </c>
      <c r="E88" s="133" t="s">
        <v>1201</v>
      </c>
      <c r="F88" s="133" t="s">
        <v>1117</v>
      </c>
      <c r="G88" s="133" t="s">
        <v>1202</v>
      </c>
      <c r="H88" s="133" t="s">
        <v>1203</v>
      </c>
      <c r="I88" s="130" t="s">
        <v>1209</v>
      </c>
      <c r="J88" s="130" t="s">
        <v>1210</v>
      </c>
      <c r="K88" s="130" t="s">
        <v>1211</v>
      </c>
      <c r="L88" s="130" t="s">
        <v>1280</v>
      </c>
      <c r="M88" s="130" t="s">
        <v>1172</v>
      </c>
      <c r="N88" s="130" t="s">
        <v>1154</v>
      </c>
      <c r="O88" s="130" t="s">
        <v>1173</v>
      </c>
      <c r="P88" s="130" t="s">
        <v>1174</v>
      </c>
      <c r="Q88" s="130" t="s">
        <v>1127</v>
      </c>
      <c r="R88" s="130" t="s">
        <v>1191</v>
      </c>
      <c r="S88" s="130" t="s">
        <v>1191</v>
      </c>
      <c r="T88" s="130" t="s">
        <v>1221</v>
      </c>
      <c r="U88" s="130">
        <v>14336</v>
      </c>
      <c r="V88" s="131">
        <v>0</v>
      </c>
      <c r="W88" s="131">
        <v>14336</v>
      </c>
      <c r="X88" s="131">
        <v>11000</v>
      </c>
      <c r="Y88" s="131">
        <v>3336</v>
      </c>
      <c r="Z88" s="131">
        <v>11000</v>
      </c>
      <c r="AA88" s="131">
        <v>3336</v>
      </c>
      <c r="AB88" s="131">
        <v>11000</v>
      </c>
      <c r="AC88" s="131">
        <v>3336</v>
      </c>
      <c r="AD88" s="131">
        <v>11000</v>
      </c>
      <c r="AE88" s="132">
        <v>3336</v>
      </c>
    </row>
    <row r="89" spans="1:31" x14ac:dyDescent="0.2">
      <c r="A89" s="133">
        <v>12</v>
      </c>
      <c r="B89" s="133" t="s">
        <v>1214</v>
      </c>
      <c r="C89" s="133" t="s">
        <v>1199</v>
      </c>
      <c r="D89" s="133" t="s">
        <v>1275</v>
      </c>
      <c r="E89" s="133" t="s">
        <v>1201</v>
      </c>
      <c r="F89" s="133" t="s">
        <v>1117</v>
      </c>
      <c r="G89" s="133" t="s">
        <v>1202</v>
      </c>
      <c r="H89" s="133" t="s">
        <v>1203</v>
      </c>
      <c r="I89" s="133" t="s">
        <v>1209</v>
      </c>
      <c r="J89" s="133" t="s">
        <v>1210</v>
      </c>
      <c r="K89" s="130" t="s">
        <v>1274</v>
      </c>
      <c r="L89" s="130" t="s">
        <v>1280</v>
      </c>
      <c r="M89" s="130" t="s">
        <v>1172</v>
      </c>
      <c r="N89" s="130" t="s">
        <v>1154</v>
      </c>
      <c r="O89" s="130" t="s">
        <v>1173</v>
      </c>
      <c r="P89" s="130" t="s">
        <v>1174</v>
      </c>
      <c r="Q89" s="130" t="s">
        <v>1127</v>
      </c>
      <c r="R89" s="130" t="s">
        <v>1191</v>
      </c>
      <c r="S89" s="130" t="s">
        <v>1191</v>
      </c>
      <c r="T89" s="130" t="s">
        <v>1221</v>
      </c>
      <c r="U89" s="130">
        <v>81920</v>
      </c>
      <c r="V89" s="131">
        <v>129</v>
      </c>
      <c r="W89" s="131">
        <v>82049</v>
      </c>
      <c r="X89" s="131">
        <v>82048.2</v>
      </c>
      <c r="Y89" s="131">
        <v>0.80000000000291038</v>
      </c>
      <c r="Z89" s="131">
        <v>82048.2</v>
      </c>
      <c r="AA89" s="131">
        <v>0.80000000000291038</v>
      </c>
      <c r="AB89" s="131">
        <v>82048.2</v>
      </c>
      <c r="AC89" s="131">
        <v>0.80000000000291038</v>
      </c>
      <c r="AD89" s="131">
        <v>44249.2</v>
      </c>
      <c r="AE89" s="132">
        <v>37799.800000000003</v>
      </c>
    </row>
    <row r="90" spans="1:31" x14ac:dyDescent="0.2">
      <c r="A90" s="133">
        <v>12</v>
      </c>
      <c r="B90" s="133" t="s">
        <v>1214</v>
      </c>
      <c r="C90" s="133" t="s">
        <v>1199</v>
      </c>
      <c r="D90" s="133" t="s">
        <v>1275</v>
      </c>
      <c r="E90" s="133" t="s">
        <v>1201</v>
      </c>
      <c r="F90" s="133" t="s">
        <v>1117</v>
      </c>
      <c r="G90" s="133" t="s">
        <v>1202</v>
      </c>
      <c r="H90" s="133" t="s">
        <v>1203</v>
      </c>
      <c r="I90" s="133" t="s">
        <v>1209</v>
      </c>
      <c r="J90" s="130" t="s">
        <v>1212</v>
      </c>
      <c r="K90" s="130" t="s">
        <v>1213</v>
      </c>
      <c r="L90" s="130" t="s">
        <v>1280</v>
      </c>
      <c r="M90" s="130" t="s">
        <v>1172</v>
      </c>
      <c r="N90" s="130" t="s">
        <v>1154</v>
      </c>
      <c r="O90" s="130" t="s">
        <v>1173</v>
      </c>
      <c r="P90" s="130" t="s">
        <v>1174</v>
      </c>
      <c r="Q90" s="130" t="s">
        <v>1127</v>
      </c>
      <c r="R90" s="130" t="s">
        <v>1191</v>
      </c>
      <c r="S90" s="130" t="s">
        <v>1191</v>
      </c>
      <c r="T90" s="130" t="s">
        <v>1221</v>
      </c>
      <c r="U90" s="130">
        <v>15360</v>
      </c>
      <c r="V90" s="131">
        <v>0</v>
      </c>
      <c r="W90" s="131">
        <v>15360</v>
      </c>
      <c r="X90" s="131">
        <v>13800</v>
      </c>
      <c r="Y90" s="131">
        <v>1560</v>
      </c>
      <c r="Z90" s="131">
        <v>13800</v>
      </c>
      <c r="AA90" s="131">
        <v>1560</v>
      </c>
      <c r="AB90" s="131">
        <v>13800</v>
      </c>
      <c r="AC90" s="131">
        <v>1560</v>
      </c>
      <c r="AD90" s="131">
        <v>9200</v>
      </c>
      <c r="AE90" s="132">
        <v>6160</v>
      </c>
    </row>
    <row r="91" spans="1:31" x14ac:dyDescent="0.2">
      <c r="A91" s="133">
        <v>12</v>
      </c>
      <c r="B91" s="133" t="s">
        <v>1214</v>
      </c>
      <c r="C91" s="133" t="s">
        <v>1199</v>
      </c>
      <c r="D91" s="133" t="s">
        <v>1275</v>
      </c>
      <c r="E91" s="133" t="s">
        <v>1201</v>
      </c>
      <c r="F91" s="133" t="s">
        <v>1117</v>
      </c>
      <c r="G91" s="133" t="s">
        <v>1202</v>
      </c>
      <c r="H91" s="133" t="s">
        <v>1203</v>
      </c>
      <c r="I91" s="130" t="s">
        <v>1309</v>
      </c>
      <c r="J91" s="130" t="s">
        <v>1310</v>
      </c>
      <c r="K91" s="130" t="s">
        <v>1310</v>
      </c>
      <c r="L91" s="130" t="s">
        <v>1280</v>
      </c>
      <c r="M91" s="130" t="s">
        <v>1172</v>
      </c>
      <c r="N91" s="130" t="s">
        <v>1154</v>
      </c>
      <c r="O91" s="130" t="s">
        <v>1173</v>
      </c>
      <c r="P91" s="130" t="s">
        <v>1174</v>
      </c>
      <c r="Q91" s="130" t="s">
        <v>1127</v>
      </c>
      <c r="R91" s="130" t="s">
        <v>1191</v>
      </c>
      <c r="S91" s="130" t="s">
        <v>1191</v>
      </c>
      <c r="T91" s="130" t="s">
        <v>1221</v>
      </c>
      <c r="U91" s="130">
        <v>118737</v>
      </c>
      <c r="V91" s="131">
        <v>0</v>
      </c>
      <c r="W91" s="131">
        <v>118737</v>
      </c>
      <c r="X91" s="131">
        <v>80200</v>
      </c>
      <c r="Y91" s="131">
        <v>38537</v>
      </c>
      <c r="Z91" s="131">
        <v>80200</v>
      </c>
      <c r="AA91" s="131">
        <v>38537</v>
      </c>
      <c r="AB91" s="131">
        <v>80200</v>
      </c>
      <c r="AC91" s="131">
        <v>38537</v>
      </c>
      <c r="AD91" s="131">
        <v>54300</v>
      </c>
      <c r="AE91" s="132">
        <v>64437</v>
      </c>
    </row>
    <row r="92" spans="1:31" x14ac:dyDescent="0.2">
      <c r="A92" s="130">
        <v>13</v>
      </c>
      <c r="B92" s="130" t="s">
        <v>1311</v>
      </c>
      <c r="C92" s="130" t="s">
        <v>1199</v>
      </c>
      <c r="D92" s="130" t="s">
        <v>1312</v>
      </c>
      <c r="E92" s="130" t="s">
        <v>1201</v>
      </c>
      <c r="F92" s="130" t="s">
        <v>1117</v>
      </c>
      <c r="G92" s="130" t="s">
        <v>1202</v>
      </c>
      <c r="H92" s="130" t="s">
        <v>1216</v>
      </c>
      <c r="I92" s="130" t="s">
        <v>1242</v>
      </c>
      <c r="J92" s="130" t="s">
        <v>1243</v>
      </c>
      <c r="K92" s="130" t="s">
        <v>1303</v>
      </c>
      <c r="L92" s="130" t="s">
        <v>1313</v>
      </c>
      <c r="M92" s="130" t="s">
        <v>1172</v>
      </c>
      <c r="N92" s="130" t="s">
        <v>127</v>
      </c>
      <c r="O92" s="130" t="s">
        <v>1173</v>
      </c>
      <c r="P92" s="130" t="s">
        <v>1186</v>
      </c>
      <c r="Q92" s="130" t="s">
        <v>1127</v>
      </c>
      <c r="R92" s="130" t="s">
        <v>1191</v>
      </c>
      <c r="S92" s="130" t="s">
        <v>1191</v>
      </c>
      <c r="T92" s="130" t="s">
        <v>1314</v>
      </c>
      <c r="U92" s="130">
        <v>0</v>
      </c>
      <c r="V92" s="131">
        <v>280000</v>
      </c>
      <c r="W92" s="131">
        <v>280000</v>
      </c>
      <c r="X92" s="131">
        <v>279995</v>
      </c>
      <c r="Y92" s="131">
        <v>5</v>
      </c>
      <c r="Z92" s="131">
        <v>0</v>
      </c>
      <c r="AA92" s="131">
        <v>280000</v>
      </c>
      <c r="AB92" s="131">
        <v>0</v>
      </c>
      <c r="AC92" s="131">
        <v>280000</v>
      </c>
      <c r="AD92" s="131">
        <v>0</v>
      </c>
      <c r="AE92" s="132">
        <v>280000</v>
      </c>
    </row>
    <row r="93" spans="1:31" x14ac:dyDescent="0.2">
      <c r="A93" s="133">
        <v>13</v>
      </c>
      <c r="B93" s="133" t="s">
        <v>1311</v>
      </c>
      <c r="C93" s="133" t="s">
        <v>1199</v>
      </c>
      <c r="D93" s="133" t="s">
        <v>1312</v>
      </c>
      <c r="E93" s="133" t="s">
        <v>1201</v>
      </c>
      <c r="F93" s="133" t="s">
        <v>1117</v>
      </c>
      <c r="G93" s="133" t="s">
        <v>1202</v>
      </c>
      <c r="H93" s="133" t="s">
        <v>1216</v>
      </c>
      <c r="I93" s="133" t="s">
        <v>1242</v>
      </c>
      <c r="J93" s="133" t="s">
        <v>1243</v>
      </c>
      <c r="K93" s="130" t="s">
        <v>1244</v>
      </c>
      <c r="L93" s="130" t="s">
        <v>1313</v>
      </c>
      <c r="M93" s="130" t="s">
        <v>1172</v>
      </c>
      <c r="N93" s="130" t="s">
        <v>127</v>
      </c>
      <c r="O93" s="130" t="s">
        <v>1173</v>
      </c>
      <c r="P93" s="130" t="s">
        <v>1186</v>
      </c>
      <c r="Q93" s="130" t="s">
        <v>1127</v>
      </c>
      <c r="R93" s="130" t="s">
        <v>1191</v>
      </c>
      <c r="S93" s="130" t="s">
        <v>1191</v>
      </c>
      <c r="T93" s="130" t="s">
        <v>1314</v>
      </c>
      <c r="U93" s="130">
        <v>26718</v>
      </c>
      <c r="V93" s="131">
        <v>0</v>
      </c>
      <c r="W93" s="131">
        <v>26718</v>
      </c>
      <c r="X93" s="131">
        <v>0</v>
      </c>
      <c r="Y93" s="131">
        <v>26718</v>
      </c>
      <c r="Z93" s="131">
        <v>0</v>
      </c>
      <c r="AA93" s="131">
        <v>26718</v>
      </c>
      <c r="AB93" s="131">
        <v>0</v>
      </c>
      <c r="AC93" s="131">
        <v>26718</v>
      </c>
      <c r="AD93" s="131">
        <v>0</v>
      </c>
      <c r="AE93" s="132">
        <v>26718</v>
      </c>
    </row>
    <row r="94" spans="1:31" x14ac:dyDescent="0.2">
      <c r="A94" s="133">
        <v>13</v>
      </c>
      <c r="B94" s="133" t="s">
        <v>1311</v>
      </c>
      <c r="C94" s="133" t="s">
        <v>1199</v>
      </c>
      <c r="D94" s="133" t="s">
        <v>1312</v>
      </c>
      <c r="E94" s="133" t="s">
        <v>1201</v>
      </c>
      <c r="F94" s="133" t="s">
        <v>1117</v>
      </c>
      <c r="G94" s="133" t="s">
        <v>1202</v>
      </c>
      <c r="H94" s="133" t="s">
        <v>1216</v>
      </c>
      <c r="I94" s="130" t="s">
        <v>1222</v>
      </c>
      <c r="J94" s="130" t="s">
        <v>1223</v>
      </c>
      <c r="K94" s="130" t="s">
        <v>1223</v>
      </c>
      <c r="L94" s="130" t="s">
        <v>1313</v>
      </c>
      <c r="M94" s="130" t="s">
        <v>1172</v>
      </c>
      <c r="N94" s="130" t="s">
        <v>127</v>
      </c>
      <c r="O94" s="130" t="s">
        <v>1173</v>
      </c>
      <c r="P94" s="130" t="s">
        <v>1186</v>
      </c>
      <c r="Q94" s="130" t="s">
        <v>1127</v>
      </c>
      <c r="R94" s="130" t="s">
        <v>1191</v>
      </c>
      <c r="S94" s="130" t="s">
        <v>1191</v>
      </c>
      <c r="T94" s="130" t="s">
        <v>1314</v>
      </c>
      <c r="U94" s="130">
        <v>100000</v>
      </c>
      <c r="V94" s="131">
        <v>-80000</v>
      </c>
      <c r="W94" s="131">
        <v>20000</v>
      </c>
      <c r="X94" s="131">
        <v>0</v>
      </c>
      <c r="Y94" s="131">
        <v>20000</v>
      </c>
      <c r="Z94" s="131">
        <v>0</v>
      </c>
      <c r="AA94" s="131">
        <v>20000</v>
      </c>
      <c r="AB94" s="131">
        <v>0</v>
      </c>
      <c r="AC94" s="131">
        <v>20000</v>
      </c>
      <c r="AD94" s="131">
        <v>0</v>
      </c>
      <c r="AE94" s="132">
        <v>20000</v>
      </c>
    </row>
    <row r="95" spans="1:31" x14ac:dyDescent="0.2">
      <c r="A95" s="133">
        <v>13</v>
      </c>
      <c r="B95" s="133" t="s">
        <v>1311</v>
      </c>
      <c r="C95" s="133" t="s">
        <v>1199</v>
      </c>
      <c r="D95" s="133" t="s">
        <v>1312</v>
      </c>
      <c r="E95" s="133" t="s">
        <v>1201</v>
      </c>
      <c r="F95" s="133" t="s">
        <v>1117</v>
      </c>
      <c r="G95" s="133" t="s">
        <v>1202</v>
      </c>
      <c r="H95" s="133" t="s">
        <v>1216</v>
      </c>
      <c r="I95" s="130" t="s">
        <v>1252</v>
      </c>
      <c r="J95" s="130" t="s">
        <v>1253</v>
      </c>
      <c r="K95" s="130" t="s">
        <v>1254</v>
      </c>
      <c r="L95" s="130" t="s">
        <v>1313</v>
      </c>
      <c r="M95" s="130" t="s">
        <v>1172</v>
      </c>
      <c r="N95" s="130" t="s">
        <v>127</v>
      </c>
      <c r="O95" s="130" t="s">
        <v>1173</v>
      </c>
      <c r="P95" s="130" t="s">
        <v>1186</v>
      </c>
      <c r="Q95" s="130" t="s">
        <v>1127</v>
      </c>
      <c r="R95" s="130" t="s">
        <v>1191</v>
      </c>
      <c r="S95" s="130" t="s">
        <v>1191</v>
      </c>
      <c r="T95" s="130" t="s">
        <v>1314</v>
      </c>
      <c r="U95" s="130">
        <v>0</v>
      </c>
      <c r="V95" s="131">
        <v>66325</v>
      </c>
      <c r="W95" s="131">
        <v>66325</v>
      </c>
      <c r="X95" s="131">
        <v>23700</v>
      </c>
      <c r="Y95" s="131">
        <v>42625</v>
      </c>
      <c r="Z95" s="131">
        <v>23700</v>
      </c>
      <c r="AA95" s="131">
        <v>42625</v>
      </c>
      <c r="AB95" s="131">
        <v>23700</v>
      </c>
      <c r="AC95" s="131">
        <v>42625</v>
      </c>
      <c r="AD95" s="131">
        <v>23700</v>
      </c>
      <c r="AE95" s="132">
        <v>42625</v>
      </c>
    </row>
    <row r="96" spans="1:31" x14ac:dyDescent="0.2">
      <c r="A96" s="133">
        <v>13</v>
      </c>
      <c r="B96" s="133" t="s">
        <v>1311</v>
      </c>
      <c r="C96" s="133" t="s">
        <v>1199</v>
      </c>
      <c r="D96" s="133" t="s">
        <v>1312</v>
      </c>
      <c r="E96" s="133" t="s">
        <v>1201</v>
      </c>
      <c r="F96" s="133" t="s">
        <v>1117</v>
      </c>
      <c r="G96" s="133" t="s">
        <v>1202</v>
      </c>
      <c r="H96" s="130" t="s">
        <v>1203</v>
      </c>
      <c r="I96" s="130" t="s">
        <v>1315</v>
      </c>
      <c r="J96" s="130" t="s">
        <v>1316</v>
      </c>
      <c r="K96" s="130" t="s">
        <v>1317</v>
      </c>
      <c r="L96" s="130" t="s">
        <v>1313</v>
      </c>
      <c r="M96" s="130" t="s">
        <v>1172</v>
      </c>
      <c r="N96" s="130" t="s">
        <v>127</v>
      </c>
      <c r="O96" s="130" t="s">
        <v>1173</v>
      </c>
      <c r="P96" s="130" t="s">
        <v>1186</v>
      </c>
      <c r="Q96" s="130" t="s">
        <v>1127</v>
      </c>
      <c r="R96" s="130" t="s">
        <v>1191</v>
      </c>
      <c r="S96" s="130" t="s">
        <v>1191</v>
      </c>
      <c r="T96" s="130" t="s">
        <v>1314</v>
      </c>
      <c r="U96" s="130">
        <v>300000</v>
      </c>
      <c r="V96" s="131">
        <v>-200000</v>
      </c>
      <c r="W96" s="131">
        <v>100000</v>
      </c>
      <c r="X96" s="131">
        <v>0</v>
      </c>
      <c r="Y96" s="131">
        <v>100000</v>
      </c>
      <c r="Z96" s="131">
        <v>0</v>
      </c>
      <c r="AA96" s="131">
        <v>100000</v>
      </c>
      <c r="AB96" s="131">
        <v>0</v>
      </c>
      <c r="AC96" s="131">
        <v>100000</v>
      </c>
      <c r="AD96" s="131">
        <v>0</v>
      </c>
      <c r="AE96" s="132">
        <v>100000</v>
      </c>
    </row>
    <row r="97" spans="1:31" x14ac:dyDescent="0.2">
      <c r="A97" s="130">
        <v>14</v>
      </c>
      <c r="B97" s="130" t="s">
        <v>1318</v>
      </c>
      <c r="C97" s="130" t="s">
        <v>1199</v>
      </c>
      <c r="D97" s="130" t="s">
        <v>1319</v>
      </c>
      <c r="E97" s="130" t="s">
        <v>1201</v>
      </c>
      <c r="F97" s="130" t="s">
        <v>1117</v>
      </c>
      <c r="G97" s="130" t="s">
        <v>1202</v>
      </c>
      <c r="H97" s="130" t="s">
        <v>1203</v>
      </c>
      <c r="I97" s="130" t="s">
        <v>1209</v>
      </c>
      <c r="J97" s="130" t="s">
        <v>1212</v>
      </c>
      <c r="K97" s="130" t="s">
        <v>1213</v>
      </c>
      <c r="L97" s="130" t="s">
        <v>1320</v>
      </c>
      <c r="M97" s="130" t="s">
        <v>1172</v>
      </c>
      <c r="N97" s="130" t="s">
        <v>1154</v>
      </c>
      <c r="O97" s="130" t="s">
        <v>1173</v>
      </c>
      <c r="P97" s="130" t="s">
        <v>1186</v>
      </c>
      <c r="Q97" s="130" t="s">
        <v>1127</v>
      </c>
      <c r="R97" s="130" t="s">
        <v>1191</v>
      </c>
      <c r="S97" s="130" t="s">
        <v>1191</v>
      </c>
      <c r="T97" s="130" t="s">
        <v>1321</v>
      </c>
      <c r="U97" s="130">
        <v>6861</v>
      </c>
      <c r="V97" s="131">
        <v>0</v>
      </c>
      <c r="W97" s="131">
        <v>6861</v>
      </c>
      <c r="X97" s="131">
        <v>6861</v>
      </c>
      <c r="Y97" s="131">
        <v>0</v>
      </c>
      <c r="Z97" s="131">
        <v>6861</v>
      </c>
      <c r="AA97" s="131">
        <v>0</v>
      </c>
      <c r="AB97" s="131">
        <v>6861</v>
      </c>
      <c r="AC97" s="131">
        <v>0</v>
      </c>
      <c r="AD97" s="131">
        <v>6861</v>
      </c>
      <c r="AE97" s="132">
        <v>0</v>
      </c>
    </row>
    <row r="98" spans="1:31" x14ac:dyDescent="0.2">
      <c r="A98" s="130">
        <v>15</v>
      </c>
      <c r="B98" s="130" t="s">
        <v>1318</v>
      </c>
      <c r="C98" s="130" t="s">
        <v>1199</v>
      </c>
      <c r="D98" s="130" t="s">
        <v>1322</v>
      </c>
      <c r="E98" s="130" t="s">
        <v>1201</v>
      </c>
      <c r="F98" s="130" t="s">
        <v>1117</v>
      </c>
      <c r="G98" s="130" t="s">
        <v>1202</v>
      </c>
      <c r="H98" s="130" t="s">
        <v>1216</v>
      </c>
      <c r="I98" s="130" t="s">
        <v>1222</v>
      </c>
      <c r="J98" s="130" t="s">
        <v>1304</v>
      </c>
      <c r="K98" s="130" t="s">
        <v>1305</v>
      </c>
      <c r="L98" s="130" t="s">
        <v>1323</v>
      </c>
      <c r="M98" s="130" t="s">
        <v>1172</v>
      </c>
      <c r="N98" s="130" t="s">
        <v>1154</v>
      </c>
      <c r="O98" s="130" t="s">
        <v>1173</v>
      </c>
      <c r="P98" s="130" t="s">
        <v>1186</v>
      </c>
      <c r="Q98" s="130" t="s">
        <v>1127</v>
      </c>
      <c r="R98" s="130" t="s">
        <v>1191</v>
      </c>
      <c r="S98" s="130" t="s">
        <v>1191</v>
      </c>
      <c r="T98" s="130" t="s">
        <v>1321</v>
      </c>
      <c r="U98" s="130">
        <v>3072</v>
      </c>
      <c r="V98" s="131">
        <v>0</v>
      </c>
      <c r="W98" s="131">
        <v>3072</v>
      </c>
      <c r="X98" s="131">
        <v>0</v>
      </c>
      <c r="Y98" s="131">
        <v>3072</v>
      </c>
      <c r="Z98" s="131">
        <v>0</v>
      </c>
      <c r="AA98" s="131">
        <v>3072</v>
      </c>
      <c r="AB98" s="131">
        <v>0</v>
      </c>
      <c r="AC98" s="131">
        <v>3072</v>
      </c>
      <c r="AD98" s="131">
        <v>0</v>
      </c>
      <c r="AE98" s="132">
        <v>3072</v>
      </c>
    </row>
    <row r="99" spans="1:31" x14ac:dyDescent="0.2">
      <c r="A99" s="133">
        <v>15</v>
      </c>
      <c r="B99" s="133" t="s">
        <v>1318</v>
      </c>
      <c r="C99" s="133" t="s">
        <v>1199</v>
      </c>
      <c r="D99" s="133" t="s">
        <v>1322</v>
      </c>
      <c r="E99" s="133" t="s">
        <v>1201</v>
      </c>
      <c r="F99" s="133" t="s">
        <v>1117</v>
      </c>
      <c r="G99" s="133" t="s">
        <v>1202</v>
      </c>
      <c r="H99" s="130" t="s">
        <v>1203</v>
      </c>
      <c r="I99" s="130" t="s">
        <v>1204</v>
      </c>
      <c r="J99" s="130" t="s">
        <v>1205</v>
      </c>
      <c r="K99" s="130" t="s">
        <v>1206</v>
      </c>
      <c r="L99" s="130" t="s">
        <v>1323</v>
      </c>
      <c r="M99" s="130" t="s">
        <v>1172</v>
      </c>
      <c r="N99" s="130" t="s">
        <v>1154</v>
      </c>
      <c r="O99" s="130" t="s">
        <v>1173</v>
      </c>
      <c r="P99" s="130" t="s">
        <v>1186</v>
      </c>
      <c r="Q99" s="130" t="s">
        <v>1127</v>
      </c>
      <c r="R99" s="130" t="s">
        <v>1191</v>
      </c>
      <c r="S99" s="130" t="s">
        <v>1191</v>
      </c>
      <c r="T99" s="130" t="s">
        <v>1321</v>
      </c>
      <c r="U99" s="130">
        <v>1024</v>
      </c>
      <c r="V99" s="131">
        <v>0</v>
      </c>
      <c r="W99" s="131">
        <v>1024</v>
      </c>
      <c r="X99" s="131">
        <v>0</v>
      </c>
      <c r="Y99" s="131">
        <v>1024</v>
      </c>
      <c r="Z99" s="131">
        <v>0</v>
      </c>
      <c r="AA99" s="131">
        <v>1024</v>
      </c>
      <c r="AB99" s="131">
        <v>0</v>
      </c>
      <c r="AC99" s="131">
        <v>1024</v>
      </c>
      <c r="AD99" s="131">
        <v>0</v>
      </c>
      <c r="AE99" s="132">
        <v>1024</v>
      </c>
    </row>
    <row r="100" spans="1:31" x14ac:dyDescent="0.2">
      <c r="A100" s="133">
        <v>15</v>
      </c>
      <c r="B100" s="133" t="s">
        <v>1318</v>
      </c>
      <c r="C100" s="133" t="s">
        <v>1199</v>
      </c>
      <c r="D100" s="133" t="s">
        <v>1322</v>
      </c>
      <c r="E100" s="133" t="s">
        <v>1201</v>
      </c>
      <c r="F100" s="133" t="s">
        <v>1117</v>
      </c>
      <c r="G100" s="133" t="s">
        <v>1202</v>
      </c>
      <c r="H100" s="133" t="s">
        <v>1203</v>
      </c>
      <c r="I100" s="130" t="s">
        <v>1209</v>
      </c>
      <c r="J100" s="130" t="s">
        <v>1210</v>
      </c>
      <c r="K100" s="130" t="s">
        <v>1211</v>
      </c>
      <c r="L100" s="130" t="s">
        <v>1323</v>
      </c>
      <c r="M100" s="130" t="s">
        <v>1172</v>
      </c>
      <c r="N100" s="130" t="s">
        <v>1154</v>
      </c>
      <c r="O100" s="130" t="s">
        <v>1173</v>
      </c>
      <c r="P100" s="130" t="s">
        <v>1186</v>
      </c>
      <c r="Q100" s="130" t="s">
        <v>1127</v>
      </c>
      <c r="R100" s="130" t="s">
        <v>1191</v>
      </c>
      <c r="S100" s="130" t="s">
        <v>1191</v>
      </c>
      <c r="T100" s="130" t="s">
        <v>1321</v>
      </c>
      <c r="U100" s="130">
        <v>7680</v>
      </c>
      <c r="V100" s="131">
        <v>0</v>
      </c>
      <c r="W100" s="131">
        <v>7680</v>
      </c>
      <c r="X100" s="131">
        <v>0</v>
      </c>
      <c r="Y100" s="131">
        <v>7680</v>
      </c>
      <c r="Z100" s="131">
        <v>0</v>
      </c>
      <c r="AA100" s="131">
        <v>7680</v>
      </c>
      <c r="AB100" s="131">
        <v>0</v>
      </c>
      <c r="AC100" s="131">
        <v>7680</v>
      </c>
      <c r="AD100" s="131">
        <v>0</v>
      </c>
      <c r="AE100" s="132">
        <v>7680</v>
      </c>
    </row>
    <row r="101" spans="1:31" x14ac:dyDescent="0.2">
      <c r="A101" s="133">
        <v>15</v>
      </c>
      <c r="B101" s="133" t="s">
        <v>1318</v>
      </c>
      <c r="C101" s="133" t="s">
        <v>1199</v>
      </c>
      <c r="D101" s="133" t="s">
        <v>1322</v>
      </c>
      <c r="E101" s="133" t="s">
        <v>1201</v>
      </c>
      <c r="F101" s="133" t="s">
        <v>1117</v>
      </c>
      <c r="G101" s="133" t="s">
        <v>1202</v>
      </c>
      <c r="H101" s="133" t="s">
        <v>1203</v>
      </c>
      <c r="I101" s="133" t="s">
        <v>1209</v>
      </c>
      <c r="J101" s="133" t="s">
        <v>1210</v>
      </c>
      <c r="K101" s="130" t="s">
        <v>1274</v>
      </c>
      <c r="L101" s="130" t="s">
        <v>1323</v>
      </c>
      <c r="M101" s="130" t="s">
        <v>1172</v>
      </c>
      <c r="N101" s="130" t="s">
        <v>1154</v>
      </c>
      <c r="O101" s="130" t="s">
        <v>1173</v>
      </c>
      <c r="P101" s="130" t="s">
        <v>1186</v>
      </c>
      <c r="Q101" s="130" t="s">
        <v>1127</v>
      </c>
      <c r="R101" s="130" t="s">
        <v>1191</v>
      </c>
      <c r="S101" s="130" t="s">
        <v>1191</v>
      </c>
      <c r="T101" s="130" t="s">
        <v>1321</v>
      </c>
      <c r="U101" s="130">
        <v>5120</v>
      </c>
      <c r="V101" s="131">
        <v>0</v>
      </c>
      <c r="W101" s="131">
        <v>5120</v>
      </c>
      <c r="X101" s="131">
        <v>5120</v>
      </c>
      <c r="Y101" s="131">
        <v>0</v>
      </c>
      <c r="Z101" s="131">
        <v>5120</v>
      </c>
      <c r="AA101" s="131">
        <v>0</v>
      </c>
      <c r="AB101" s="131">
        <v>5120</v>
      </c>
      <c r="AC101" s="131">
        <v>0</v>
      </c>
      <c r="AD101" s="131">
        <v>2560</v>
      </c>
      <c r="AE101" s="132">
        <v>2560</v>
      </c>
    </row>
    <row r="102" spans="1:31" x14ac:dyDescent="0.2">
      <c r="A102" s="133">
        <v>15</v>
      </c>
      <c r="B102" s="133" t="s">
        <v>1318</v>
      </c>
      <c r="C102" s="133" t="s">
        <v>1199</v>
      </c>
      <c r="D102" s="133" t="s">
        <v>1322</v>
      </c>
      <c r="E102" s="133" t="s">
        <v>1201</v>
      </c>
      <c r="F102" s="133" t="s">
        <v>1117</v>
      </c>
      <c r="G102" s="133" t="s">
        <v>1202</v>
      </c>
      <c r="H102" s="133" t="s">
        <v>1203</v>
      </c>
      <c r="I102" s="133" t="s">
        <v>1209</v>
      </c>
      <c r="J102" s="130" t="s">
        <v>1324</v>
      </c>
      <c r="K102" s="130" t="s">
        <v>1325</v>
      </c>
      <c r="L102" s="130" t="s">
        <v>1323</v>
      </c>
      <c r="M102" s="130" t="s">
        <v>1172</v>
      </c>
      <c r="N102" s="130" t="s">
        <v>1154</v>
      </c>
      <c r="O102" s="130" t="s">
        <v>1173</v>
      </c>
      <c r="P102" s="130" t="s">
        <v>1186</v>
      </c>
      <c r="Q102" s="130" t="s">
        <v>1127</v>
      </c>
      <c r="R102" s="130" t="s">
        <v>1191</v>
      </c>
      <c r="S102" s="130" t="s">
        <v>1191</v>
      </c>
      <c r="T102" s="130" t="s">
        <v>1321</v>
      </c>
      <c r="U102" s="130">
        <v>0</v>
      </c>
      <c r="V102" s="131">
        <v>350000</v>
      </c>
      <c r="W102" s="131">
        <v>350000</v>
      </c>
      <c r="X102" s="131">
        <v>87495</v>
      </c>
      <c r="Y102" s="131">
        <v>262505</v>
      </c>
      <c r="Z102" s="131">
        <v>87495</v>
      </c>
      <c r="AA102" s="131">
        <v>262505</v>
      </c>
      <c r="AB102" s="131">
        <v>87495</v>
      </c>
      <c r="AC102" s="131">
        <v>262505</v>
      </c>
      <c r="AD102" s="131">
        <v>16665</v>
      </c>
      <c r="AE102" s="132">
        <v>333335</v>
      </c>
    </row>
    <row r="103" spans="1:31" x14ac:dyDescent="0.2">
      <c r="A103" s="133">
        <v>15</v>
      </c>
      <c r="B103" s="133" t="s">
        <v>1318</v>
      </c>
      <c r="C103" s="133" t="s">
        <v>1199</v>
      </c>
      <c r="D103" s="133" t="s">
        <v>1322</v>
      </c>
      <c r="E103" s="133" t="s">
        <v>1201</v>
      </c>
      <c r="F103" s="133" t="s">
        <v>1117</v>
      </c>
      <c r="G103" s="133" t="s">
        <v>1202</v>
      </c>
      <c r="H103" s="133" t="s">
        <v>1203</v>
      </c>
      <c r="I103" s="133" t="s">
        <v>1209</v>
      </c>
      <c r="J103" s="130" t="s">
        <v>1212</v>
      </c>
      <c r="K103" s="130" t="s">
        <v>1213</v>
      </c>
      <c r="L103" s="130" t="s">
        <v>1323</v>
      </c>
      <c r="M103" s="130" t="s">
        <v>1172</v>
      </c>
      <c r="N103" s="130" t="s">
        <v>1154</v>
      </c>
      <c r="O103" s="130" t="s">
        <v>1173</v>
      </c>
      <c r="P103" s="130" t="s">
        <v>1186</v>
      </c>
      <c r="Q103" s="130" t="s">
        <v>1127</v>
      </c>
      <c r="R103" s="130" t="s">
        <v>1191</v>
      </c>
      <c r="S103" s="130" t="s">
        <v>1191</v>
      </c>
      <c r="T103" s="130" t="s">
        <v>1321</v>
      </c>
      <c r="U103" s="130">
        <v>6144</v>
      </c>
      <c r="V103" s="131">
        <v>0</v>
      </c>
      <c r="W103" s="131">
        <v>6144</v>
      </c>
      <c r="X103" s="131">
        <v>6144</v>
      </c>
      <c r="Y103" s="131">
        <v>0</v>
      </c>
      <c r="Z103" s="131">
        <v>6144</v>
      </c>
      <c r="AA103" s="131">
        <v>0</v>
      </c>
      <c r="AB103" s="131">
        <v>6144</v>
      </c>
      <c r="AC103" s="131">
        <v>0</v>
      </c>
      <c r="AD103" s="131">
        <v>3072</v>
      </c>
      <c r="AE103" s="132">
        <v>3072</v>
      </c>
    </row>
    <row r="104" spans="1:31" x14ac:dyDescent="0.2">
      <c r="A104" s="130">
        <v>16</v>
      </c>
      <c r="B104" s="130" t="s">
        <v>1326</v>
      </c>
      <c r="C104" s="130" t="s">
        <v>1199</v>
      </c>
      <c r="D104" s="130" t="s">
        <v>1327</v>
      </c>
      <c r="E104" s="130" t="s">
        <v>1201</v>
      </c>
      <c r="F104" s="130" t="s">
        <v>1117</v>
      </c>
      <c r="G104" s="130" t="s">
        <v>1202</v>
      </c>
      <c r="H104" s="130" t="s">
        <v>1203</v>
      </c>
      <c r="I104" s="130" t="s">
        <v>1209</v>
      </c>
      <c r="J104" s="130" t="s">
        <v>1210</v>
      </c>
      <c r="K104" s="130" t="s">
        <v>1211</v>
      </c>
      <c r="L104" s="130" t="s">
        <v>1328</v>
      </c>
      <c r="M104" s="130" t="s">
        <v>1172</v>
      </c>
      <c r="N104" s="130" t="s">
        <v>1154</v>
      </c>
      <c r="O104" s="130" t="s">
        <v>1173</v>
      </c>
      <c r="P104" s="130" t="s">
        <v>1174</v>
      </c>
      <c r="Q104" s="130" t="s">
        <v>1127</v>
      </c>
      <c r="R104" s="130" t="s">
        <v>1191</v>
      </c>
      <c r="S104" s="130" t="s">
        <v>1191</v>
      </c>
      <c r="T104" s="130" t="s">
        <v>1329</v>
      </c>
      <c r="U104" s="130">
        <v>22528</v>
      </c>
      <c r="V104" s="131">
        <v>0</v>
      </c>
      <c r="W104" s="131">
        <v>22528</v>
      </c>
      <c r="X104" s="131">
        <v>20570</v>
      </c>
      <c r="Y104" s="131">
        <v>1958</v>
      </c>
      <c r="Z104" s="131">
        <v>20570</v>
      </c>
      <c r="AA104" s="131">
        <v>1958</v>
      </c>
      <c r="AB104" s="131">
        <v>20570</v>
      </c>
      <c r="AC104" s="131">
        <v>1958</v>
      </c>
      <c r="AD104" s="131">
        <v>20570</v>
      </c>
      <c r="AE104" s="132">
        <v>1958</v>
      </c>
    </row>
    <row r="105" spans="1:31" x14ac:dyDescent="0.2">
      <c r="A105" s="130">
        <v>17</v>
      </c>
      <c r="B105" s="130" t="s">
        <v>1330</v>
      </c>
      <c r="C105" s="130" t="s">
        <v>1199</v>
      </c>
      <c r="D105" s="130" t="s">
        <v>1331</v>
      </c>
      <c r="E105" s="130" t="s">
        <v>1201</v>
      </c>
      <c r="F105" s="130" t="s">
        <v>1117</v>
      </c>
      <c r="G105" s="130" t="s">
        <v>1202</v>
      </c>
      <c r="H105" s="130" t="s">
        <v>1203</v>
      </c>
      <c r="I105" s="130" t="s">
        <v>1209</v>
      </c>
      <c r="J105" s="130" t="s">
        <v>1332</v>
      </c>
      <c r="K105" s="130" t="s">
        <v>1333</v>
      </c>
      <c r="L105" s="130" t="s">
        <v>1334</v>
      </c>
      <c r="M105" s="130" t="s">
        <v>1335</v>
      </c>
      <c r="N105" s="130" t="s">
        <v>365</v>
      </c>
      <c r="O105" s="130" t="s">
        <v>1336</v>
      </c>
      <c r="P105" s="130" t="s">
        <v>1337</v>
      </c>
      <c r="Q105" s="130" t="s">
        <v>1127</v>
      </c>
      <c r="R105" s="130" t="s">
        <v>1191</v>
      </c>
      <c r="S105" s="130" t="s">
        <v>1157</v>
      </c>
      <c r="T105" s="130" t="s">
        <v>1338</v>
      </c>
      <c r="U105" s="130">
        <v>84993</v>
      </c>
      <c r="V105" s="131">
        <v>0</v>
      </c>
      <c r="W105" s="131">
        <v>84993</v>
      </c>
      <c r="X105" s="131">
        <v>0</v>
      </c>
      <c r="Y105" s="131">
        <v>84993</v>
      </c>
      <c r="Z105" s="131">
        <v>0</v>
      </c>
      <c r="AA105" s="131">
        <v>84993</v>
      </c>
      <c r="AB105" s="131">
        <v>0</v>
      </c>
      <c r="AC105" s="131">
        <v>84993</v>
      </c>
      <c r="AD105" s="131">
        <v>0</v>
      </c>
      <c r="AE105" s="132">
        <v>84993</v>
      </c>
    </row>
    <row r="106" spans="1:31" x14ac:dyDescent="0.2">
      <c r="A106" s="133">
        <v>17</v>
      </c>
      <c r="B106" s="133" t="s">
        <v>1330</v>
      </c>
      <c r="C106" s="133" t="s">
        <v>1199</v>
      </c>
      <c r="D106" s="133" t="s">
        <v>1331</v>
      </c>
      <c r="E106" s="133" t="s">
        <v>1201</v>
      </c>
      <c r="F106" s="133" t="s">
        <v>1117</v>
      </c>
      <c r="G106" s="130" t="s">
        <v>1118</v>
      </c>
      <c r="H106" s="130" t="s">
        <v>1149</v>
      </c>
      <c r="I106" s="130" t="s">
        <v>1182</v>
      </c>
      <c r="J106" s="130" t="s">
        <v>1183</v>
      </c>
      <c r="K106" s="130" t="s">
        <v>1184</v>
      </c>
      <c r="L106" s="130" t="s">
        <v>1334</v>
      </c>
      <c r="M106" s="130" t="s">
        <v>1335</v>
      </c>
      <c r="N106" s="130" t="s">
        <v>365</v>
      </c>
      <c r="O106" s="130" t="s">
        <v>1336</v>
      </c>
      <c r="P106" s="130" t="s">
        <v>1337</v>
      </c>
      <c r="Q106" s="130" t="s">
        <v>1127</v>
      </c>
      <c r="R106" s="130" t="s">
        <v>1191</v>
      </c>
      <c r="S106" s="130" t="s">
        <v>1157</v>
      </c>
      <c r="T106" s="130" t="s">
        <v>1338</v>
      </c>
      <c r="U106" s="130">
        <v>480872</v>
      </c>
      <c r="V106" s="131">
        <v>0</v>
      </c>
      <c r="W106" s="131">
        <v>480872</v>
      </c>
      <c r="X106" s="131">
        <v>0</v>
      </c>
      <c r="Y106" s="131">
        <v>480872</v>
      </c>
      <c r="Z106" s="131">
        <v>0</v>
      </c>
      <c r="AA106" s="131">
        <v>480872</v>
      </c>
      <c r="AB106" s="131">
        <v>0</v>
      </c>
      <c r="AC106" s="131">
        <v>480872</v>
      </c>
      <c r="AD106" s="131">
        <v>0</v>
      </c>
      <c r="AE106" s="132">
        <v>480872</v>
      </c>
    </row>
    <row r="107" spans="1:31" x14ac:dyDescent="0.2">
      <c r="A107" s="133">
        <v>17</v>
      </c>
      <c r="B107" s="133" t="s">
        <v>1330</v>
      </c>
      <c r="C107" s="133" t="s">
        <v>1199</v>
      </c>
      <c r="D107" s="133" t="s">
        <v>1331</v>
      </c>
      <c r="E107" s="130" t="s">
        <v>1143</v>
      </c>
      <c r="F107" s="130" t="s">
        <v>1117</v>
      </c>
      <c r="G107" s="130" t="s">
        <v>1202</v>
      </c>
      <c r="H107" s="130" t="s">
        <v>1216</v>
      </c>
      <c r="I107" s="130" t="s">
        <v>1242</v>
      </c>
      <c r="J107" s="130" t="s">
        <v>1243</v>
      </c>
      <c r="K107" s="130" t="s">
        <v>1303</v>
      </c>
      <c r="L107" s="130" t="s">
        <v>1334</v>
      </c>
      <c r="M107" s="130" t="s">
        <v>1335</v>
      </c>
      <c r="N107" s="130" t="s">
        <v>365</v>
      </c>
      <c r="O107" s="130" t="s">
        <v>1336</v>
      </c>
      <c r="P107" s="130" t="s">
        <v>1337</v>
      </c>
      <c r="Q107" s="130" t="s">
        <v>1127</v>
      </c>
      <c r="R107" s="130" t="s">
        <v>1191</v>
      </c>
      <c r="S107" s="130" t="s">
        <v>1157</v>
      </c>
      <c r="T107" s="130" t="s">
        <v>1338</v>
      </c>
      <c r="U107" s="130">
        <v>0</v>
      </c>
      <c r="V107" s="131">
        <v>0</v>
      </c>
      <c r="W107" s="131">
        <v>0</v>
      </c>
      <c r="X107" s="131">
        <v>0</v>
      </c>
      <c r="Y107" s="131">
        <v>0</v>
      </c>
      <c r="Z107" s="131">
        <v>0</v>
      </c>
      <c r="AA107" s="131">
        <v>0</v>
      </c>
      <c r="AB107" s="131">
        <v>0</v>
      </c>
      <c r="AC107" s="131">
        <v>0</v>
      </c>
      <c r="AD107" s="131">
        <v>0</v>
      </c>
      <c r="AE107" s="132">
        <v>0</v>
      </c>
    </row>
    <row r="108" spans="1:31" x14ac:dyDescent="0.2">
      <c r="A108" s="133">
        <v>17</v>
      </c>
      <c r="B108" s="133" t="s">
        <v>1330</v>
      </c>
      <c r="C108" s="133" t="s">
        <v>1199</v>
      </c>
      <c r="D108" s="133" t="s">
        <v>1331</v>
      </c>
      <c r="E108" s="133" t="s">
        <v>1143</v>
      </c>
      <c r="F108" s="133" t="s">
        <v>1117</v>
      </c>
      <c r="G108" s="133" t="s">
        <v>1202</v>
      </c>
      <c r="H108" s="133" t="s">
        <v>1216</v>
      </c>
      <c r="I108" s="130" t="s">
        <v>1222</v>
      </c>
      <c r="J108" s="130" t="s">
        <v>1304</v>
      </c>
      <c r="K108" s="130" t="s">
        <v>1305</v>
      </c>
      <c r="L108" s="130" t="s">
        <v>1334</v>
      </c>
      <c r="M108" s="130" t="s">
        <v>1335</v>
      </c>
      <c r="N108" s="130" t="s">
        <v>365</v>
      </c>
      <c r="O108" s="130" t="s">
        <v>1336</v>
      </c>
      <c r="P108" s="130" t="s">
        <v>1337</v>
      </c>
      <c r="Q108" s="130" t="s">
        <v>1127</v>
      </c>
      <c r="R108" s="130" t="s">
        <v>1191</v>
      </c>
      <c r="S108" s="130" t="s">
        <v>1157</v>
      </c>
      <c r="T108" s="130" t="s">
        <v>1338</v>
      </c>
      <c r="U108" s="130">
        <v>0</v>
      </c>
      <c r="V108" s="131">
        <v>1758</v>
      </c>
      <c r="W108" s="131">
        <v>1758</v>
      </c>
      <c r="X108" s="131">
        <v>1600</v>
      </c>
      <c r="Y108" s="131">
        <v>158</v>
      </c>
      <c r="Z108" s="131">
        <v>1600</v>
      </c>
      <c r="AA108" s="131">
        <v>158</v>
      </c>
      <c r="AB108" s="131">
        <v>1600</v>
      </c>
      <c r="AC108" s="131">
        <v>158</v>
      </c>
      <c r="AD108" s="131">
        <v>1600</v>
      </c>
      <c r="AE108" s="132">
        <v>158</v>
      </c>
    </row>
    <row r="109" spans="1:31" x14ac:dyDescent="0.2">
      <c r="A109" s="133">
        <v>17</v>
      </c>
      <c r="B109" s="133" t="s">
        <v>1330</v>
      </c>
      <c r="C109" s="133" t="s">
        <v>1199</v>
      </c>
      <c r="D109" s="133" t="s">
        <v>1331</v>
      </c>
      <c r="E109" s="133" t="s">
        <v>1143</v>
      </c>
      <c r="F109" s="133" t="s">
        <v>1117</v>
      </c>
      <c r="G109" s="133" t="s">
        <v>1202</v>
      </c>
      <c r="H109" s="130" t="s">
        <v>1203</v>
      </c>
      <c r="I109" s="130" t="s">
        <v>1315</v>
      </c>
      <c r="J109" s="130" t="s">
        <v>1316</v>
      </c>
      <c r="K109" s="130" t="s">
        <v>1582</v>
      </c>
      <c r="L109" s="130" t="s">
        <v>1334</v>
      </c>
      <c r="M109" s="130" t="s">
        <v>1335</v>
      </c>
      <c r="N109" s="130" t="s">
        <v>365</v>
      </c>
      <c r="O109" s="130" t="s">
        <v>1336</v>
      </c>
      <c r="P109" s="130" t="s">
        <v>1337</v>
      </c>
      <c r="Q109" s="130" t="s">
        <v>1127</v>
      </c>
      <c r="R109" s="130" t="s">
        <v>1191</v>
      </c>
      <c r="S109" s="130" t="s">
        <v>1157</v>
      </c>
      <c r="T109" s="130" t="s">
        <v>1338</v>
      </c>
      <c r="U109" s="130">
        <v>0</v>
      </c>
      <c r="V109" s="131">
        <v>4500</v>
      </c>
      <c r="W109" s="131">
        <v>4500</v>
      </c>
      <c r="X109" s="131">
        <v>0</v>
      </c>
      <c r="Y109" s="131">
        <v>4500</v>
      </c>
      <c r="Z109" s="131">
        <v>0</v>
      </c>
      <c r="AA109" s="131">
        <v>4500</v>
      </c>
      <c r="AB109" s="131">
        <v>0</v>
      </c>
      <c r="AC109" s="131">
        <v>4500</v>
      </c>
      <c r="AD109" s="131">
        <v>0</v>
      </c>
      <c r="AE109" s="132">
        <v>4500</v>
      </c>
    </row>
    <row r="110" spans="1:31" x14ac:dyDescent="0.2">
      <c r="A110" s="133">
        <v>17</v>
      </c>
      <c r="B110" s="133" t="s">
        <v>1330</v>
      </c>
      <c r="C110" s="133" t="s">
        <v>1199</v>
      </c>
      <c r="D110" s="133" t="s">
        <v>1331</v>
      </c>
      <c r="E110" s="133" t="s">
        <v>1143</v>
      </c>
      <c r="F110" s="133" t="s">
        <v>1117</v>
      </c>
      <c r="G110" s="133" t="s">
        <v>1202</v>
      </c>
      <c r="H110" s="133" t="s">
        <v>1203</v>
      </c>
      <c r="I110" s="130" t="s">
        <v>1309</v>
      </c>
      <c r="J110" s="130" t="s">
        <v>1310</v>
      </c>
      <c r="K110" s="130" t="s">
        <v>1310</v>
      </c>
      <c r="L110" s="130" t="s">
        <v>1334</v>
      </c>
      <c r="M110" s="130" t="s">
        <v>1335</v>
      </c>
      <c r="N110" s="130" t="s">
        <v>365</v>
      </c>
      <c r="O110" s="130" t="s">
        <v>1336</v>
      </c>
      <c r="P110" s="130" t="s">
        <v>1337</v>
      </c>
      <c r="Q110" s="130" t="s">
        <v>1127</v>
      </c>
      <c r="R110" s="130" t="s">
        <v>1191</v>
      </c>
      <c r="S110" s="130" t="s">
        <v>1157</v>
      </c>
      <c r="T110" s="130" t="s">
        <v>1338</v>
      </c>
      <c r="U110" s="130">
        <v>0</v>
      </c>
      <c r="V110" s="131">
        <v>113250</v>
      </c>
      <c r="W110" s="131">
        <v>113250</v>
      </c>
      <c r="X110" s="131">
        <v>113250</v>
      </c>
      <c r="Y110" s="131">
        <v>0</v>
      </c>
      <c r="Z110" s="131">
        <v>113250</v>
      </c>
      <c r="AA110" s="131">
        <v>0</v>
      </c>
      <c r="AB110" s="131">
        <v>113250</v>
      </c>
      <c r="AC110" s="131">
        <v>0</v>
      </c>
      <c r="AD110" s="131">
        <v>40000</v>
      </c>
      <c r="AE110" s="132">
        <v>73250</v>
      </c>
    </row>
    <row r="111" spans="1:31" x14ac:dyDescent="0.2">
      <c r="A111" s="130">
        <v>18</v>
      </c>
      <c r="B111" s="130" t="s">
        <v>1330</v>
      </c>
      <c r="C111" s="130" t="s">
        <v>1199</v>
      </c>
      <c r="D111" s="130" t="s">
        <v>1339</v>
      </c>
      <c r="E111" s="130" t="s">
        <v>1201</v>
      </c>
      <c r="F111" s="130" t="s">
        <v>1117</v>
      </c>
      <c r="G111" s="130" t="s">
        <v>1202</v>
      </c>
      <c r="H111" s="130" t="s">
        <v>1203</v>
      </c>
      <c r="I111" s="130" t="s">
        <v>1209</v>
      </c>
      <c r="J111" s="130" t="s">
        <v>1340</v>
      </c>
      <c r="K111" s="130" t="s">
        <v>1341</v>
      </c>
      <c r="L111" s="130" t="s">
        <v>1342</v>
      </c>
      <c r="M111" s="130" t="s">
        <v>1335</v>
      </c>
      <c r="N111" s="130" t="s">
        <v>365</v>
      </c>
      <c r="O111" s="130" t="s">
        <v>1336</v>
      </c>
      <c r="P111" s="130" t="s">
        <v>1337</v>
      </c>
      <c r="Q111" s="130" t="s">
        <v>1127</v>
      </c>
      <c r="R111" s="130" t="s">
        <v>1191</v>
      </c>
      <c r="S111" s="130" t="s">
        <v>1157</v>
      </c>
      <c r="T111" s="130" t="s">
        <v>1343</v>
      </c>
      <c r="U111" s="130">
        <v>483570</v>
      </c>
      <c r="V111" s="131">
        <v>0</v>
      </c>
      <c r="W111" s="131">
        <v>483570</v>
      </c>
      <c r="X111" s="131">
        <v>0</v>
      </c>
      <c r="Y111" s="131">
        <v>483570</v>
      </c>
      <c r="Z111" s="131">
        <v>0</v>
      </c>
      <c r="AA111" s="131">
        <v>483570</v>
      </c>
      <c r="AB111" s="131">
        <v>0</v>
      </c>
      <c r="AC111" s="131">
        <v>483570</v>
      </c>
      <c r="AD111" s="131">
        <v>0</v>
      </c>
      <c r="AE111" s="132">
        <v>483570</v>
      </c>
    </row>
    <row r="112" spans="1:31" x14ac:dyDescent="0.2">
      <c r="A112" s="130">
        <v>19</v>
      </c>
      <c r="B112" s="130" t="s">
        <v>1330</v>
      </c>
      <c r="C112" s="130" t="s">
        <v>1199</v>
      </c>
      <c r="D112" s="130" t="s">
        <v>1339</v>
      </c>
      <c r="E112" s="130" t="s">
        <v>1201</v>
      </c>
      <c r="F112" s="130" t="s">
        <v>1117</v>
      </c>
      <c r="G112" s="130" t="s">
        <v>1202</v>
      </c>
      <c r="H112" s="130" t="s">
        <v>1203</v>
      </c>
      <c r="I112" s="130" t="s">
        <v>1209</v>
      </c>
      <c r="J112" s="130" t="s">
        <v>1340</v>
      </c>
      <c r="K112" s="130" t="s">
        <v>1341</v>
      </c>
      <c r="L112" s="130" t="s">
        <v>1344</v>
      </c>
      <c r="M112" s="130" t="s">
        <v>1335</v>
      </c>
      <c r="N112" s="130" t="s">
        <v>365</v>
      </c>
      <c r="O112" s="130" t="s">
        <v>1336</v>
      </c>
      <c r="P112" s="130" t="s">
        <v>1337</v>
      </c>
      <c r="Q112" s="130" t="s">
        <v>1127</v>
      </c>
      <c r="R112" s="130" t="s">
        <v>1191</v>
      </c>
      <c r="S112" s="130" t="s">
        <v>1191</v>
      </c>
      <c r="T112" s="130" t="s">
        <v>1343</v>
      </c>
      <c r="U112" s="130">
        <v>148590</v>
      </c>
      <c r="V112" s="131">
        <v>0</v>
      </c>
      <c r="W112" s="131">
        <v>148590</v>
      </c>
      <c r="X112" s="131">
        <v>0</v>
      </c>
      <c r="Y112" s="131">
        <v>148590</v>
      </c>
      <c r="Z112" s="131">
        <v>0</v>
      </c>
      <c r="AA112" s="131">
        <v>148590</v>
      </c>
      <c r="AB112" s="131">
        <v>0</v>
      </c>
      <c r="AC112" s="131">
        <v>148590</v>
      </c>
      <c r="AD112" s="131">
        <v>0</v>
      </c>
      <c r="AE112" s="132">
        <v>148590</v>
      </c>
    </row>
    <row r="113" spans="1:31" x14ac:dyDescent="0.2">
      <c r="A113" s="130">
        <v>20</v>
      </c>
      <c r="B113" s="130" t="s">
        <v>1345</v>
      </c>
      <c r="C113" s="130" t="s">
        <v>1147</v>
      </c>
      <c r="D113" s="130" t="s">
        <v>1346</v>
      </c>
      <c r="E113" s="130" t="s">
        <v>1116</v>
      </c>
      <c r="F113" s="130" t="s">
        <v>1117</v>
      </c>
      <c r="G113" s="130" t="s">
        <v>1118</v>
      </c>
      <c r="H113" s="130" t="s">
        <v>1149</v>
      </c>
      <c r="I113" s="130" t="s">
        <v>1182</v>
      </c>
      <c r="J113" s="130" t="s">
        <v>1347</v>
      </c>
      <c r="K113" s="130" t="s">
        <v>1348</v>
      </c>
      <c r="L113" s="130" t="s">
        <v>1349</v>
      </c>
      <c r="M113" s="130" t="s">
        <v>1350</v>
      </c>
      <c r="N113" s="130" t="s">
        <v>1351</v>
      </c>
      <c r="O113" s="130" t="s">
        <v>1352</v>
      </c>
      <c r="P113" s="130" t="s">
        <v>1353</v>
      </c>
      <c r="Q113" s="130" t="s">
        <v>1127</v>
      </c>
      <c r="R113" s="130" t="s">
        <v>1128</v>
      </c>
      <c r="S113" s="130" t="s">
        <v>1157</v>
      </c>
      <c r="T113" s="130" t="s">
        <v>1354</v>
      </c>
      <c r="U113" s="130">
        <v>0</v>
      </c>
      <c r="V113" s="131">
        <v>61022</v>
      </c>
      <c r="W113" s="131">
        <v>61022</v>
      </c>
      <c r="X113" s="131">
        <v>0</v>
      </c>
      <c r="Y113" s="131">
        <v>61022</v>
      </c>
      <c r="Z113" s="131">
        <v>0</v>
      </c>
      <c r="AA113" s="131">
        <v>61022</v>
      </c>
      <c r="AB113" s="131">
        <v>0</v>
      </c>
      <c r="AC113" s="131">
        <v>61022</v>
      </c>
      <c r="AD113" s="131">
        <v>0</v>
      </c>
      <c r="AE113" s="132">
        <v>61022</v>
      </c>
    </row>
    <row r="114" spans="1:31" x14ac:dyDescent="0.2">
      <c r="A114" s="133">
        <v>20</v>
      </c>
      <c r="B114" s="133" t="s">
        <v>1345</v>
      </c>
      <c r="C114" s="133" t="s">
        <v>1147</v>
      </c>
      <c r="D114" s="133" t="s">
        <v>1346</v>
      </c>
      <c r="E114" s="133" t="s">
        <v>1116</v>
      </c>
      <c r="F114" s="133" t="s">
        <v>1117</v>
      </c>
      <c r="G114" s="133" t="s">
        <v>1118</v>
      </c>
      <c r="H114" s="133" t="s">
        <v>1149</v>
      </c>
      <c r="I114" s="133" t="s">
        <v>1182</v>
      </c>
      <c r="J114" s="133" t="s">
        <v>1347</v>
      </c>
      <c r="K114" s="130" t="s">
        <v>1355</v>
      </c>
      <c r="L114" s="130" t="s">
        <v>1349</v>
      </c>
      <c r="M114" s="130" t="s">
        <v>1350</v>
      </c>
      <c r="N114" s="130" t="s">
        <v>1351</v>
      </c>
      <c r="O114" s="130" t="s">
        <v>1352</v>
      </c>
      <c r="P114" s="130" t="s">
        <v>1353</v>
      </c>
      <c r="Q114" s="130" t="s">
        <v>1127</v>
      </c>
      <c r="R114" s="130" t="s">
        <v>1128</v>
      </c>
      <c r="S114" s="130" t="s">
        <v>1157</v>
      </c>
      <c r="T114" s="130" t="s">
        <v>1354</v>
      </c>
      <c r="U114" s="130">
        <v>0</v>
      </c>
      <c r="V114" s="131">
        <v>20300</v>
      </c>
      <c r="W114" s="131">
        <v>20300</v>
      </c>
      <c r="X114" s="131">
        <v>0</v>
      </c>
      <c r="Y114" s="131">
        <v>20300</v>
      </c>
      <c r="Z114" s="131">
        <v>0</v>
      </c>
      <c r="AA114" s="131">
        <v>20300</v>
      </c>
      <c r="AB114" s="131">
        <v>0</v>
      </c>
      <c r="AC114" s="131">
        <v>20300</v>
      </c>
      <c r="AD114" s="131">
        <v>0</v>
      </c>
      <c r="AE114" s="132">
        <v>20300</v>
      </c>
    </row>
    <row r="115" spans="1:31" x14ac:dyDescent="0.2">
      <c r="A115" s="133">
        <v>20</v>
      </c>
      <c r="B115" s="133" t="s">
        <v>1345</v>
      </c>
      <c r="C115" s="133" t="s">
        <v>1147</v>
      </c>
      <c r="D115" s="133" t="s">
        <v>1346</v>
      </c>
      <c r="E115" s="133" t="s">
        <v>1116</v>
      </c>
      <c r="F115" s="133" t="s">
        <v>1117</v>
      </c>
      <c r="G115" s="133" t="s">
        <v>1118</v>
      </c>
      <c r="H115" s="133" t="s">
        <v>1149</v>
      </c>
      <c r="I115" s="133" t="s">
        <v>1182</v>
      </c>
      <c r="J115" s="130" t="s">
        <v>1183</v>
      </c>
      <c r="K115" s="130" t="s">
        <v>1184</v>
      </c>
      <c r="L115" s="130" t="s">
        <v>1349</v>
      </c>
      <c r="M115" s="130" t="s">
        <v>1350</v>
      </c>
      <c r="N115" s="130" t="s">
        <v>1351</v>
      </c>
      <c r="O115" s="130" t="s">
        <v>1352</v>
      </c>
      <c r="P115" s="130" t="s">
        <v>1353</v>
      </c>
      <c r="Q115" s="130" t="s">
        <v>1127</v>
      </c>
      <c r="R115" s="130" t="s">
        <v>1128</v>
      </c>
      <c r="S115" s="130" t="s">
        <v>1157</v>
      </c>
      <c r="T115" s="130" t="s">
        <v>1354</v>
      </c>
      <c r="U115" s="130">
        <v>0</v>
      </c>
      <c r="V115" s="131">
        <v>8631</v>
      </c>
      <c r="W115" s="131">
        <v>8631</v>
      </c>
      <c r="X115" s="131">
        <v>0</v>
      </c>
      <c r="Y115" s="131">
        <v>8631</v>
      </c>
      <c r="Z115" s="131">
        <v>0</v>
      </c>
      <c r="AA115" s="131">
        <v>8631</v>
      </c>
      <c r="AB115" s="131">
        <v>0</v>
      </c>
      <c r="AC115" s="131">
        <v>8631</v>
      </c>
      <c r="AD115" s="131">
        <v>0</v>
      </c>
      <c r="AE115" s="132">
        <v>8631</v>
      </c>
    </row>
    <row r="116" spans="1:31" x14ac:dyDescent="0.2">
      <c r="A116" s="133">
        <v>20</v>
      </c>
      <c r="B116" s="133" t="s">
        <v>1345</v>
      </c>
      <c r="C116" s="133" t="s">
        <v>1147</v>
      </c>
      <c r="D116" s="133" t="s">
        <v>1346</v>
      </c>
      <c r="E116" s="133" t="s">
        <v>1116</v>
      </c>
      <c r="F116" s="133" t="s">
        <v>1117</v>
      </c>
      <c r="G116" s="133" t="s">
        <v>1118</v>
      </c>
      <c r="H116" s="130" t="s">
        <v>1159</v>
      </c>
      <c r="I116" s="130" t="s">
        <v>1160</v>
      </c>
      <c r="J116" s="130" t="s">
        <v>1163</v>
      </c>
      <c r="K116" s="130" t="s">
        <v>1164</v>
      </c>
      <c r="L116" s="130" t="s">
        <v>1349</v>
      </c>
      <c r="M116" s="130" t="s">
        <v>1350</v>
      </c>
      <c r="N116" s="130" t="s">
        <v>1351</v>
      </c>
      <c r="O116" s="130" t="s">
        <v>1352</v>
      </c>
      <c r="P116" s="130" t="s">
        <v>1353</v>
      </c>
      <c r="Q116" s="130" t="s">
        <v>1127</v>
      </c>
      <c r="R116" s="130" t="s">
        <v>1128</v>
      </c>
      <c r="S116" s="130" t="s">
        <v>1157</v>
      </c>
      <c r="T116" s="130" t="s">
        <v>1354</v>
      </c>
      <c r="U116" s="130">
        <v>0</v>
      </c>
      <c r="V116" s="131">
        <v>369320</v>
      </c>
      <c r="W116" s="131">
        <v>369320</v>
      </c>
      <c r="X116" s="131">
        <v>369320</v>
      </c>
      <c r="Y116" s="131">
        <v>0</v>
      </c>
      <c r="Z116" s="131">
        <v>369320</v>
      </c>
      <c r="AA116" s="131">
        <v>0</v>
      </c>
      <c r="AB116" s="131">
        <v>267349.51</v>
      </c>
      <c r="AC116" s="131">
        <v>101970.48999999999</v>
      </c>
      <c r="AD116" s="131">
        <v>267349.51</v>
      </c>
      <c r="AE116" s="132">
        <v>101970.48999999999</v>
      </c>
    </row>
    <row r="117" spans="1:31" x14ac:dyDescent="0.2">
      <c r="A117" s="133">
        <v>20</v>
      </c>
      <c r="B117" s="133" t="s">
        <v>1345</v>
      </c>
      <c r="C117" s="133" t="s">
        <v>1147</v>
      </c>
      <c r="D117" s="133" t="s">
        <v>1346</v>
      </c>
      <c r="E117" s="133" t="s">
        <v>1116</v>
      </c>
      <c r="F117" s="133" t="s">
        <v>1117</v>
      </c>
      <c r="G117" s="133" t="s">
        <v>1118</v>
      </c>
      <c r="H117" s="133" t="s">
        <v>1159</v>
      </c>
      <c r="I117" s="133" t="s">
        <v>1160</v>
      </c>
      <c r="J117" s="133" t="s">
        <v>1163</v>
      </c>
      <c r="K117" s="130" t="s">
        <v>1165</v>
      </c>
      <c r="L117" s="130" t="s">
        <v>1349</v>
      </c>
      <c r="M117" s="130" t="s">
        <v>1350</v>
      </c>
      <c r="N117" s="130" t="s">
        <v>1351</v>
      </c>
      <c r="O117" s="130" t="s">
        <v>1352</v>
      </c>
      <c r="P117" s="130" t="s">
        <v>1353</v>
      </c>
      <c r="Q117" s="130" t="s">
        <v>1127</v>
      </c>
      <c r="R117" s="130" t="s">
        <v>1128</v>
      </c>
      <c r="S117" s="130" t="s">
        <v>1157</v>
      </c>
      <c r="T117" s="130" t="s">
        <v>1354</v>
      </c>
      <c r="U117" s="130">
        <v>3659376</v>
      </c>
      <c r="V117" s="131">
        <v>-3275028</v>
      </c>
      <c r="W117" s="131">
        <v>384348</v>
      </c>
      <c r="X117" s="131">
        <v>103118.87</v>
      </c>
      <c r="Y117" s="131">
        <v>281229.13</v>
      </c>
      <c r="Z117" s="131">
        <v>40888.870000000003</v>
      </c>
      <c r="AA117" s="131">
        <v>343459.13</v>
      </c>
      <c r="AB117" s="131">
        <v>20695</v>
      </c>
      <c r="AC117" s="131">
        <v>363653</v>
      </c>
      <c r="AD117" s="131">
        <v>8000</v>
      </c>
      <c r="AE117" s="132">
        <v>376348</v>
      </c>
    </row>
    <row r="118" spans="1:31" x14ac:dyDescent="0.2">
      <c r="A118" s="133">
        <v>20</v>
      </c>
      <c r="B118" s="133" t="s">
        <v>1345</v>
      </c>
      <c r="C118" s="133" t="s">
        <v>1147</v>
      </c>
      <c r="D118" s="133" t="s">
        <v>1346</v>
      </c>
      <c r="E118" s="133" t="s">
        <v>1116</v>
      </c>
      <c r="F118" s="133" t="s">
        <v>1117</v>
      </c>
      <c r="G118" s="133" t="s">
        <v>1118</v>
      </c>
      <c r="H118" s="133" t="s">
        <v>1159</v>
      </c>
      <c r="I118" s="133" t="s">
        <v>1160</v>
      </c>
      <c r="J118" s="133" t="s">
        <v>1163</v>
      </c>
      <c r="K118" s="130" t="s">
        <v>1162</v>
      </c>
      <c r="L118" s="130" t="s">
        <v>1349</v>
      </c>
      <c r="M118" s="130" t="s">
        <v>1350</v>
      </c>
      <c r="N118" s="130" t="s">
        <v>1351</v>
      </c>
      <c r="O118" s="130" t="s">
        <v>1352</v>
      </c>
      <c r="P118" s="130" t="s">
        <v>1353</v>
      </c>
      <c r="Q118" s="130" t="s">
        <v>1127</v>
      </c>
      <c r="R118" s="130" t="s">
        <v>1128</v>
      </c>
      <c r="S118" s="130" t="s">
        <v>1157</v>
      </c>
      <c r="T118" s="130" t="s">
        <v>1354</v>
      </c>
      <c r="U118" s="130">
        <v>0</v>
      </c>
      <c r="V118" s="131">
        <v>2597819</v>
      </c>
      <c r="W118" s="131">
        <v>2597819</v>
      </c>
      <c r="X118" s="131">
        <v>672800</v>
      </c>
      <c r="Y118" s="131">
        <v>1925019</v>
      </c>
      <c r="Z118" s="131">
        <v>667800</v>
      </c>
      <c r="AA118" s="131">
        <v>1930019</v>
      </c>
      <c r="AB118" s="131">
        <v>593200</v>
      </c>
      <c r="AC118" s="131">
        <v>2004619</v>
      </c>
      <c r="AD118" s="131">
        <v>452900</v>
      </c>
      <c r="AE118" s="132">
        <v>2144919</v>
      </c>
    </row>
    <row r="119" spans="1:31" x14ac:dyDescent="0.2">
      <c r="A119" s="133">
        <v>20</v>
      </c>
      <c r="B119" s="133" t="s">
        <v>1345</v>
      </c>
      <c r="C119" s="133" t="s">
        <v>1147</v>
      </c>
      <c r="D119" s="133" t="s">
        <v>1346</v>
      </c>
      <c r="E119" s="133" t="s">
        <v>1116</v>
      </c>
      <c r="F119" s="133" t="s">
        <v>1117</v>
      </c>
      <c r="G119" s="133" t="s">
        <v>1118</v>
      </c>
      <c r="H119" s="130" t="s">
        <v>1133</v>
      </c>
      <c r="I119" s="130" t="s">
        <v>1134</v>
      </c>
      <c r="J119" s="130" t="s">
        <v>1135</v>
      </c>
      <c r="K119" s="130" t="s">
        <v>1178</v>
      </c>
      <c r="L119" s="130" t="s">
        <v>1349</v>
      </c>
      <c r="M119" s="130" t="s">
        <v>1350</v>
      </c>
      <c r="N119" s="130" t="s">
        <v>1351</v>
      </c>
      <c r="O119" s="130" t="s">
        <v>1352</v>
      </c>
      <c r="P119" s="130" t="s">
        <v>1353</v>
      </c>
      <c r="Q119" s="130" t="s">
        <v>1127</v>
      </c>
      <c r="R119" s="130" t="s">
        <v>1128</v>
      </c>
      <c r="S119" s="130" t="s">
        <v>1157</v>
      </c>
      <c r="T119" s="130" t="s">
        <v>1354</v>
      </c>
      <c r="U119" s="130">
        <v>0</v>
      </c>
      <c r="V119" s="131">
        <v>137400</v>
      </c>
      <c r="W119" s="131">
        <v>137400</v>
      </c>
      <c r="X119" s="131">
        <v>137400</v>
      </c>
      <c r="Y119" s="131">
        <v>0</v>
      </c>
      <c r="Z119" s="131">
        <v>137400</v>
      </c>
      <c r="AA119" s="131">
        <v>0</v>
      </c>
      <c r="AB119" s="131">
        <v>44479.22</v>
      </c>
      <c r="AC119" s="131">
        <v>92920.78</v>
      </c>
      <c r="AD119" s="131">
        <v>44479.22</v>
      </c>
      <c r="AE119" s="132">
        <v>92920.78</v>
      </c>
    </row>
    <row r="120" spans="1:31" x14ac:dyDescent="0.2">
      <c r="A120" s="133">
        <v>20</v>
      </c>
      <c r="B120" s="133" t="s">
        <v>1345</v>
      </c>
      <c r="C120" s="133" t="s">
        <v>1147</v>
      </c>
      <c r="D120" s="133" t="s">
        <v>1346</v>
      </c>
      <c r="E120" s="133" t="s">
        <v>1116</v>
      </c>
      <c r="F120" s="133" t="s">
        <v>1117</v>
      </c>
      <c r="G120" s="133" t="s">
        <v>1118</v>
      </c>
      <c r="H120" s="133" t="s">
        <v>1133</v>
      </c>
      <c r="I120" s="133" t="s">
        <v>1134</v>
      </c>
      <c r="J120" s="133" t="s">
        <v>1135</v>
      </c>
      <c r="K120" s="130" t="s">
        <v>1179</v>
      </c>
      <c r="L120" s="130" t="s">
        <v>1349</v>
      </c>
      <c r="M120" s="130" t="s">
        <v>1350</v>
      </c>
      <c r="N120" s="130" t="s">
        <v>1351</v>
      </c>
      <c r="O120" s="130" t="s">
        <v>1352</v>
      </c>
      <c r="P120" s="130" t="s">
        <v>1353</v>
      </c>
      <c r="Q120" s="130" t="s">
        <v>1127</v>
      </c>
      <c r="R120" s="130" t="s">
        <v>1128</v>
      </c>
      <c r="S120" s="130" t="s">
        <v>1157</v>
      </c>
      <c r="T120" s="130" t="s">
        <v>1354</v>
      </c>
      <c r="U120" s="130">
        <v>0</v>
      </c>
      <c r="V120" s="131">
        <v>29981</v>
      </c>
      <c r="W120" s="131">
        <v>29981</v>
      </c>
      <c r="X120" s="131">
        <v>29892</v>
      </c>
      <c r="Y120" s="131">
        <v>89</v>
      </c>
      <c r="Z120" s="131">
        <v>29892</v>
      </c>
      <c r="AA120" s="131">
        <v>89</v>
      </c>
      <c r="AB120" s="131">
        <v>29892</v>
      </c>
      <c r="AC120" s="131">
        <v>89</v>
      </c>
      <c r="AD120" s="131">
        <v>2215</v>
      </c>
      <c r="AE120" s="132">
        <v>27766</v>
      </c>
    </row>
    <row r="121" spans="1:31" x14ac:dyDescent="0.2">
      <c r="A121" s="133">
        <v>20</v>
      </c>
      <c r="B121" s="133" t="s">
        <v>1345</v>
      </c>
      <c r="C121" s="133" t="s">
        <v>1147</v>
      </c>
      <c r="D121" s="133" t="s">
        <v>1346</v>
      </c>
      <c r="E121" s="133" t="s">
        <v>1116</v>
      </c>
      <c r="F121" s="133" t="s">
        <v>1117</v>
      </c>
      <c r="G121" s="133" t="s">
        <v>1118</v>
      </c>
      <c r="H121" s="133" t="s">
        <v>1133</v>
      </c>
      <c r="I121" s="133" t="s">
        <v>1134</v>
      </c>
      <c r="J121" s="133" t="s">
        <v>1135</v>
      </c>
      <c r="K121" s="130" t="s">
        <v>1144</v>
      </c>
      <c r="L121" s="130" t="s">
        <v>1349</v>
      </c>
      <c r="M121" s="130" t="s">
        <v>1350</v>
      </c>
      <c r="N121" s="130" t="s">
        <v>1351</v>
      </c>
      <c r="O121" s="130" t="s">
        <v>1352</v>
      </c>
      <c r="P121" s="130" t="s">
        <v>1353</v>
      </c>
      <c r="Q121" s="130" t="s">
        <v>1127</v>
      </c>
      <c r="R121" s="130" t="s">
        <v>1128</v>
      </c>
      <c r="S121" s="130" t="s">
        <v>1157</v>
      </c>
      <c r="T121" s="130" t="s">
        <v>1354</v>
      </c>
      <c r="U121" s="130">
        <v>0</v>
      </c>
      <c r="V121" s="131">
        <v>50555</v>
      </c>
      <c r="W121" s="131">
        <v>50555</v>
      </c>
      <c r="X121" s="131">
        <v>21330</v>
      </c>
      <c r="Y121" s="131">
        <v>29225</v>
      </c>
      <c r="Z121" s="131">
        <v>21330</v>
      </c>
      <c r="AA121" s="131">
        <v>29225</v>
      </c>
      <c r="AB121" s="131">
        <v>21330</v>
      </c>
      <c r="AC121" s="131">
        <v>29225</v>
      </c>
      <c r="AD121" s="131">
        <v>2970</v>
      </c>
      <c r="AE121" s="132">
        <v>47585</v>
      </c>
    </row>
    <row r="122" spans="1:31" x14ac:dyDescent="0.2">
      <c r="A122" s="130">
        <v>21</v>
      </c>
      <c r="B122" s="130" t="s">
        <v>1356</v>
      </c>
      <c r="C122" s="130" t="s">
        <v>1114</v>
      </c>
      <c r="D122" s="130" t="s">
        <v>1357</v>
      </c>
      <c r="E122" s="130" t="s">
        <v>1116</v>
      </c>
      <c r="F122" s="130" t="s">
        <v>1117</v>
      </c>
      <c r="G122" s="130" t="s">
        <v>1118</v>
      </c>
      <c r="H122" s="130" t="s">
        <v>1119</v>
      </c>
      <c r="I122" s="130" t="s">
        <v>1120</v>
      </c>
      <c r="J122" s="130" t="s">
        <v>1358</v>
      </c>
      <c r="K122" s="130" t="s">
        <v>1122</v>
      </c>
      <c r="L122" s="130" t="s">
        <v>1359</v>
      </c>
      <c r="M122" s="130" t="s">
        <v>1360</v>
      </c>
      <c r="N122" s="130" t="s">
        <v>168</v>
      </c>
      <c r="O122" s="130" t="s">
        <v>1361</v>
      </c>
      <c r="P122" s="130" t="s">
        <v>1362</v>
      </c>
      <c r="Q122" s="130" t="s">
        <v>1127</v>
      </c>
      <c r="R122" s="130" t="s">
        <v>1128</v>
      </c>
      <c r="S122" s="130" t="s">
        <v>1129</v>
      </c>
      <c r="T122" s="130" t="s">
        <v>1130</v>
      </c>
      <c r="U122" s="130">
        <v>1792000</v>
      </c>
      <c r="V122" s="131">
        <v>-1792000</v>
      </c>
      <c r="W122" s="131">
        <v>0</v>
      </c>
      <c r="X122" s="131">
        <v>0</v>
      </c>
      <c r="Y122" s="131">
        <v>0</v>
      </c>
      <c r="Z122" s="131">
        <v>0</v>
      </c>
      <c r="AA122" s="131">
        <v>0</v>
      </c>
      <c r="AB122" s="131">
        <v>0</v>
      </c>
      <c r="AC122" s="131">
        <v>0</v>
      </c>
      <c r="AD122" s="131">
        <v>0</v>
      </c>
      <c r="AE122" s="132">
        <v>0</v>
      </c>
    </row>
    <row r="123" spans="1:31" x14ac:dyDescent="0.2">
      <c r="A123" s="130">
        <v>22</v>
      </c>
      <c r="B123" s="130" t="s">
        <v>1363</v>
      </c>
      <c r="C123" s="130" t="s">
        <v>1114</v>
      </c>
      <c r="D123" s="130" t="s">
        <v>1364</v>
      </c>
      <c r="E123" s="130" t="s">
        <v>1116</v>
      </c>
      <c r="F123" s="130" t="s">
        <v>1117</v>
      </c>
      <c r="G123" s="130" t="s">
        <v>1118</v>
      </c>
      <c r="H123" s="130" t="s">
        <v>1119</v>
      </c>
      <c r="I123" s="130" t="s">
        <v>1120</v>
      </c>
      <c r="J123" s="130" t="s">
        <v>1358</v>
      </c>
      <c r="K123" s="130" t="s">
        <v>1177</v>
      </c>
      <c r="L123" s="130" t="s">
        <v>1365</v>
      </c>
      <c r="M123" s="130" t="s">
        <v>1360</v>
      </c>
      <c r="N123" s="130" t="s">
        <v>168</v>
      </c>
      <c r="O123" s="130" t="s">
        <v>1361</v>
      </c>
      <c r="P123" s="130" t="s">
        <v>1366</v>
      </c>
      <c r="Q123" s="130" t="s">
        <v>1127</v>
      </c>
      <c r="R123" s="130" t="s">
        <v>1128</v>
      </c>
      <c r="S123" s="130" t="s">
        <v>1129</v>
      </c>
      <c r="T123" s="130" t="s">
        <v>1130</v>
      </c>
      <c r="U123" s="130">
        <v>357505</v>
      </c>
      <c r="V123" s="131">
        <v>-77590</v>
      </c>
      <c r="W123" s="131">
        <v>279915</v>
      </c>
      <c r="X123" s="131">
        <v>0</v>
      </c>
      <c r="Y123" s="131">
        <v>279915</v>
      </c>
      <c r="Z123" s="131">
        <v>0</v>
      </c>
      <c r="AA123" s="131">
        <v>279915</v>
      </c>
      <c r="AB123" s="131">
        <v>0</v>
      </c>
      <c r="AC123" s="131">
        <v>279915</v>
      </c>
      <c r="AD123" s="131">
        <v>0</v>
      </c>
      <c r="AE123" s="132">
        <v>279915</v>
      </c>
    </row>
    <row r="124" spans="1:31" x14ac:dyDescent="0.2">
      <c r="A124" s="133">
        <v>22</v>
      </c>
      <c r="B124" s="133" t="s">
        <v>1363</v>
      </c>
      <c r="C124" s="133" t="s">
        <v>1114</v>
      </c>
      <c r="D124" s="133" t="s">
        <v>1364</v>
      </c>
      <c r="E124" s="133" t="s">
        <v>1116</v>
      </c>
      <c r="F124" s="133" t="s">
        <v>1117</v>
      </c>
      <c r="G124" s="133" t="s">
        <v>1118</v>
      </c>
      <c r="H124" s="130" t="s">
        <v>1133</v>
      </c>
      <c r="I124" s="130" t="s">
        <v>1134</v>
      </c>
      <c r="J124" s="130" t="s">
        <v>1135</v>
      </c>
      <c r="K124" s="130" t="s">
        <v>1178</v>
      </c>
      <c r="L124" s="130" t="s">
        <v>1365</v>
      </c>
      <c r="M124" s="130" t="s">
        <v>1360</v>
      </c>
      <c r="N124" s="130" t="s">
        <v>168</v>
      </c>
      <c r="O124" s="130" t="s">
        <v>1361</v>
      </c>
      <c r="P124" s="130" t="s">
        <v>1366</v>
      </c>
      <c r="Q124" s="130" t="s">
        <v>1127</v>
      </c>
      <c r="R124" s="130" t="s">
        <v>1128</v>
      </c>
      <c r="S124" s="130" t="s">
        <v>1129</v>
      </c>
      <c r="T124" s="130" t="s">
        <v>1130</v>
      </c>
      <c r="U124" s="130">
        <v>0</v>
      </c>
      <c r="V124" s="131">
        <v>58590</v>
      </c>
      <c r="W124" s="131">
        <v>58590</v>
      </c>
      <c r="X124" s="131">
        <v>58590</v>
      </c>
      <c r="Y124" s="131">
        <v>0</v>
      </c>
      <c r="Z124" s="131">
        <v>58590</v>
      </c>
      <c r="AA124" s="131">
        <v>0</v>
      </c>
      <c r="AB124" s="131">
        <v>57407.270000000004</v>
      </c>
      <c r="AC124" s="131">
        <v>1182.7299999999959</v>
      </c>
      <c r="AD124" s="131">
        <v>57407.270000000004</v>
      </c>
      <c r="AE124" s="132">
        <v>1182.7299999999959</v>
      </c>
    </row>
    <row r="125" spans="1:31" x14ac:dyDescent="0.2">
      <c r="A125" s="133">
        <v>22</v>
      </c>
      <c r="B125" s="133" t="s">
        <v>1363</v>
      </c>
      <c r="C125" s="133" t="s">
        <v>1114</v>
      </c>
      <c r="D125" s="133" t="s">
        <v>1364</v>
      </c>
      <c r="E125" s="133" t="s">
        <v>1116</v>
      </c>
      <c r="F125" s="133" t="s">
        <v>1117</v>
      </c>
      <c r="G125" s="133" t="s">
        <v>1118</v>
      </c>
      <c r="H125" s="133" t="s">
        <v>1133</v>
      </c>
      <c r="I125" s="133" t="s">
        <v>1134</v>
      </c>
      <c r="J125" s="133" t="s">
        <v>1135</v>
      </c>
      <c r="K125" s="130" t="s">
        <v>1179</v>
      </c>
      <c r="L125" s="130" t="s">
        <v>1365</v>
      </c>
      <c r="M125" s="130" t="s">
        <v>1360</v>
      </c>
      <c r="N125" s="130" t="s">
        <v>168</v>
      </c>
      <c r="O125" s="130" t="s">
        <v>1361</v>
      </c>
      <c r="P125" s="130" t="s">
        <v>1366</v>
      </c>
      <c r="Q125" s="130" t="s">
        <v>1127</v>
      </c>
      <c r="R125" s="130" t="s">
        <v>1128</v>
      </c>
      <c r="S125" s="130" t="s">
        <v>1129</v>
      </c>
      <c r="T125" s="130" t="s">
        <v>1130</v>
      </c>
      <c r="U125" s="130">
        <v>0</v>
      </c>
      <c r="V125" s="131">
        <v>4000</v>
      </c>
      <c r="W125" s="131">
        <v>4000</v>
      </c>
      <c r="X125" s="131">
        <v>3837</v>
      </c>
      <c r="Y125" s="131">
        <v>163</v>
      </c>
      <c r="Z125" s="131">
        <v>3751.91</v>
      </c>
      <c r="AA125" s="131">
        <v>248.09000000000015</v>
      </c>
      <c r="AB125" s="131">
        <v>3751.91</v>
      </c>
      <c r="AC125" s="131">
        <v>248.09000000000015</v>
      </c>
      <c r="AD125" s="131">
        <v>3487</v>
      </c>
      <c r="AE125" s="132">
        <v>513</v>
      </c>
    </row>
    <row r="126" spans="1:31" x14ac:dyDescent="0.2">
      <c r="A126" s="133">
        <v>22</v>
      </c>
      <c r="B126" s="133" t="s">
        <v>1363</v>
      </c>
      <c r="C126" s="133" t="s">
        <v>1114</v>
      </c>
      <c r="D126" s="133" t="s">
        <v>1364</v>
      </c>
      <c r="E126" s="133" t="s">
        <v>1116</v>
      </c>
      <c r="F126" s="133" t="s">
        <v>1117</v>
      </c>
      <c r="G126" s="133" t="s">
        <v>1118</v>
      </c>
      <c r="H126" s="133" t="s">
        <v>1133</v>
      </c>
      <c r="I126" s="133" t="s">
        <v>1134</v>
      </c>
      <c r="J126" s="133" t="s">
        <v>1135</v>
      </c>
      <c r="K126" s="130" t="s">
        <v>1144</v>
      </c>
      <c r="L126" s="130" t="s">
        <v>1365</v>
      </c>
      <c r="M126" s="130" t="s">
        <v>1360</v>
      </c>
      <c r="N126" s="130" t="s">
        <v>168</v>
      </c>
      <c r="O126" s="130" t="s">
        <v>1361</v>
      </c>
      <c r="P126" s="130" t="s">
        <v>1366</v>
      </c>
      <c r="Q126" s="130" t="s">
        <v>1127</v>
      </c>
      <c r="R126" s="130" t="s">
        <v>1128</v>
      </c>
      <c r="S126" s="130" t="s">
        <v>1129</v>
      </c>
      <c r="T126" s="130" t="s">
        <v>1130</v>
      </c>
      <c r="U126" s="130">
        <v>0</v>
      </c>
      <c r="V126" s="131">
        <v>15000</v>
      </c>
      <c r="W126" s="131">
        <v>15000</v>
      </c>
      <c r="X126" s="131">
        <v>15000</v>
      </c>
      <c r="Y126" s="131">
        <v>0</v>
      </c>
      <c r="Z126" s="131">
        <v>15000</v>
      </c>
      <c r="AA126" s="131">
        <v>0</v>
      </c>
      <c r="AB126" s="131">
        <v>15000</v>
      </c>
      <c r="AC126" s="131">
        <v>0</v>
      </c>
      <c r="AD126" s="131">
        <v>15000</v>
      </c>
      <c r="AE126" s="132">
        <v>0</v>
      </c>
    </row>
    <row r="127" spans="1:31" x14ac:dyDescent="0.2">
      <c r="A127" s="130">
        <v>23</v>
      </c>
      <c r="B127" s="130" t="s">
        <v>169</v>
      </c>
      <c r="C127" s="130" t="s">
        <v>1114</v>
      </c>
      <c r="D127" s="130" t="s">
        <v>1367</v>
      </c>
      <c r="E127" s="130" t="s">
        <v>1201</v>
      </c>
      <c r="F127" s="130" t="s">
        <v>1117</v>
      </c>
      <c r="G127" s="130" t="s">
        <v>1118</v>
      </c>
      <c r="H127" s="130" t="s">
        <v>1133</v>
      </c>
      <c r="I127" s="130" t="s">
        <v>1134</v>
      </c>
      <c r="J127" s="130" t="s">
        <v>1135</v>
      </c>
      <c r="K127" s="130" t="s">
        <v>1179</v>
      </c>
      <c r="L127" s="130" t="s">
        <v>1368</v>
      </c>
      <c r="M127" s="130" t="s">
        <v>1360</v>
      </c>
      <c r="N127" s="130" t="s">
        <v>168</v>
      </c>
      <c r="O127" s="130" t="s">
        <v>1361</v>
      </c>
      <c r="P127" s="130" t="s">
        <v>1366</v>
      </c>
      <c r="Q127" s="130" t="s">
        <v>1127</v>
      </c>
      <c r="R127" s="130" t="s">
        <v>1128</v>
      </c>
      <c r="S127" s="130" t="s">
        <v>1129</v>
      </c>
      <c r="T127" s="130" t="s">
        <v>1369</v>
      </c>
      <c r="U127" s="130">
        <v>144908</v>
      </c>
      <c r="V127" s="131">
        <v>0</v>
      </c>
      <c r="W127" s="131">
        <v>144908</v>
      </c>
      <c r="X127" s="131">
        <v>0</v>
      </c>
      <c r="Y127" s="131">
        <v>144908</v>
      </c>
      <c r="Z127" s="131">
        <v>0</v>
      </c>
      <c r="AA127" s="131">
        <v>144908</v>
      </c>
      <c r="AB127" s="131">
        <v>0</v>
      </c>
      <c r="AC127" s="131">
        <v>144908</v>
      </c>
      <c r="AD127" s="131">
        <v>0</v>
      </c>
      <c r="AE127" s="132">
        <v>144908</v>
      </c>
    </row>
    <row r="128" spans="1:31" x14ac:dyDescent="0.2">
      <c r="A128" s="130">
        <v>24</v>
      </c>
      <c r="B128" s="130" t="s">
        <v>1370</v>
      </c>
      <c r="C128" s="130" t="s">
        <v>1114</v>
      </c>
      <c r="D128" s="130" t="s">
        <v>1367</v>
      </c>
      <c r="E128" s="130" t="s">
        <v>1201</v>
      </c>
      <c r="F128" s="130" t="s">
        <v>1117</v>
      </c>
      <c r="G128" s="130" t="s">
        <v>1118</v>
      </c>
      <c r="H128" s="130" t="s">
        <v>1119</v>
      </c>
      <c r="I128" s="130" t="s">
        <v>1120</v>
      </c>
      <c r="J128" s="130" t="s">
        <v>1358</v>
      </c>
      <c r="K128" s="130" t="s">
        <v>1122</v>
      </c>
      <c r="L128" s="130" t="s">
        <v>1371</v>
      </c>
      <c r="M128" s="130" t="s">
        <v>1360</v>
      </c>
      <c r="N128" s="130" t="s">
        <v>168</v>
      </c>
      <c r="O128" s="130" t="s">
        <v>1361</v>
      </c>
      <c r="P128" s="130" t="s">
        <v>1366</v>
      </c>
      <c r="Q128" s="130" t="s">
        <v>1127</v>
      </c>
      <c r="R128" s="130" t="s">
        <v>1128</v>
      </c>
      <c r="S128" s="130" t="s">
        <v>1129</v>
      </c>
      <c r="T128" s="130" t="s">
        <v>1130</v>
      </c>
      <c r="U128" s="130">
        <v>17477</v>
      </c>
      <c r="V128" s="131">
        <v>0</v>
      </c>
      <c r="W128" s="131">
        <v>17477</v>
      </c>
      <c r="X128" s="131">
        <v>0</v>
      </c>
      <c r="Y128" s="131">
        <v>17477</v>
      </c>
      <c r="Z128" s="131">
        <v>0</v>
      </c>
      <c r="AA128" s="131">
        <v>17477</v>
      </c>
      <c r="AB128" s="131">
        <v>0</v>
      </c>
      <c r="AC128" s="131">
        <v>17477</v>
      </c>
      <c r="AD128" s="131">
        <v>0</v>
      </c>
      <c r="AE128" s="132">
        <v>17477</v>
      </c>
    </row>
    <row r="129" spans="1:31" x14ac:dyDescent="0.2">
      <c r="A129" s="130">
        <v>25</v>
      </c>
      <c r="B129" s="130" t="s">
        <v>1372</v>
      </c>
      <c r="C129" s="130" t="s">
        <v>1114</v>
      </c>
      <c r="D129" s="130" t="s">
        <v>1367</v>
      </c>
      <c r="E129" s="130" t="s">
        <v>1116</v>
      </c>
      <c r="F129" s="130" t="s">
        <v>1117</v>
      </c>
      <c r="G129" s="130" t="s">
        <v>1118</v>
      </c>
      <c r="H129" s="130" t="s">
        <v>1119</v>
      </c>
      <c r="I129" s="130" t="s">
        <v>1120</v>
      </c>
      <c r="J129" s="130" t="s">
        <v>1358</v>
      </c>
      <c r="K129" s="130" t="s">
        <v>1122</v>
      </c>
      <c r="L129" s="130" t="s">
        <v>1373</v>
      </c>
      <c r="M129" s="130" t="s">
        <v>1360</v>
      </c>
      <c r="N129" s="130" t="s">
        <v>168</v>
      </c>
      <c r="O129" s="130" t="s">
        <v>1361</v>
      </c>
      <c r="P129" s="130" t="s">
        <v>1366</v>
      </c>
      <c r="Q129" s="130" t="s">
        <v>1127</v>
      </c>
      <c r="R129" s="130" t="s">
        <v>1128</v>
      </c>
      <c r="S129" s="130" t="s">
        <v>1129</v>
      </c>
      <c r="T129" s="130" t="s">
        <v>1130</v>
      </c>
      <c r="U129" s="130">
        <v>15800000</v>
      </c>
      <c r="V129" s="131">
        <v>-15800000</v>
      </c>
      <c r="W129" s="131">
        <v>0</v>
      </c>
      <c r="X129" s="131">
        <v>0</v>
      </c>
      <c r="Y129" s="131">
        <v>0</v>
      </c>
      <c r="Z129" s="131">
        <v>0</v>
      </c>
      <c r="AA129" s="131">
        <v>0</v>
      </c>
      <c r="AB129" s="131">
        <v>0</v>
      </c>
      <c r="AC129" s="131">
        <v>0</v>
      </c>
      <c r="AD129" s="131">
        <v>0</v>
      </c>
      <c r="AE129" s="132">
        <v>0</v>
      </c>
    </row>
    <row r="130" spans="1:31" x14ac:dyDescent="0.2">
      <c r="A130" s="133">
        <v>25</v>
      </c>
      <c r="B130" s="133" t="s">
        <v>1372</v>
      </c>
      <c r="C130" s="133" t="s">
        <v>1114</v>
      </c>
      <c r="D130" s="133" t="s">
        <v>1367</v>
      </c>
      <c r="E130" s="133" t="s">
        <v>1116</v>
      </c>
      <c r="F130" s="133" t="s">
        <v>1117</v>
      </c>
      <c r="G130" s="133" t="s">
        <v>1118</v>
      </c>
      <c r="H130" s="133" t="s">
        <v>1119</v>
      </c>
      <c r="I130" s="133" t="s">
        <v>1120</v>
      </c>
      <c r="J130" s="133" t="s">
        <v>1358</v>
      </c>
      <c r="K130" s="130" t="s">
        <v>1131</v>
      </c>
      <c r="L130" s="130" t="s">
        <v>1373</v>
      </c>
      <c r="M130" s="130" t="s">
        <v>1360</v>
      </c>
      <c r="N130" s="130" t="s">
        <v>168</v>
      </c>
      <c r="O130" s="130" t="s">
        <v>1361</v>
      </c>
      <c r="P130" s="130" t="s">
        <v>1366</v>
      </c>
      <c r="Q130" s="130" t="s">
        <v>1127</v>
      </c>
      <c r="R130" s="130" t="s">
        <v>1128</v>
      </c>
      <c r="S130" s="130" t="s">
        <v>1129</v>
      </c>
      <c r="T130" s="130" t="s">
        <v>1130</v>
      </c>
      <c r="U130" s="130">
        <v>0</v>
      </c>
      <c r="V130" s="131">
        <v>2650000</v>
      </c>
      <c r="W130" s="131">
        <v>2650000</v>
      </c>
      <c r="X130" s="131">
        <v>2650000</v>
      </c>
      <c r="Y130" s="131">
        <v>0</v>
      </c>
      <c r="Z130" s="131">
        <v>2650000</v>
      </c>
      <c r="AA130" s="131">
        <v>0</v>
      </c>
      <c r="AB130" s="131">
        <v>2362930.35</v>
      </c>
      <c r="AC130" s="131">
        <v>287069.64999999991</v>
      </c>
      <c r="AD130" s="131">
        <v>2360671.23</v>
      </c>
      <c r="AE130" s="132">
        <v>289328.77</v>
      </c>
    </row>
    <row r="131" spans="1:31" x14ac:dyDescent="0.2">
      <c r="A131" s="133">
        <v>25</v>
      </c>
      <c r="B131" s="133" t="s">
        <v>1372</v>
      </c>
      <c r="C131" s="133" t="s">
        <v>1114</v>
      </c>
      <c r="D131" s="133" t="s">
        <v>1367</v>
      </c>
      <c r="E131" s="133" t="s">
        <v>1116</v>
      </c>
      <c r="F131" s="133" t="s">
        <v>1117</v>
      </c>
      <c r="G131" s="133" t="s">
        <v>1118</v>
      </c>
      <c r="H131" s="133" t="s">
        <v>1119</v>
      </c>
      <c r="I131" s="133" t="s">
        <v>1120</v>
      </c>
      <c r="J131" s="133" t="s">
        <v>1358</v>
      </c>
      <c r="K131" s="130" t="s">
        <v>1177</v>
      </c>
      <c r="L131" s="130" t="s">
        <v>1373</v>
      </c>
      <c r="M131" s="130" t="s">
        <v>1360</v>
      </c>
      <c r="N131" s="130" t="s">
        <v>168</v>
      </c>
      <c r="O131" s="130" t="s">
        <v>1361</v>
      </c>
      <c r="P131" s="130" t="s">
        <v>1366</v>
      </c>
      <c r="Q131" s="130" t="s">
        <v>1127</v>
      </c>
      <c r="R131" s="130" t="s">
        <v>1128</v>
      </c>
      <c r="S131" s="130" t="s">
        <v>1129</v>
      </c>
      <c r="T131" s="130" t="s">
        <v>1130</v>
      </c>
      <c r="U131" s="130">
        <v>0</v>
      </c>
      <c r="V131" s="131">
        <v>11448500</v>
      </c>
      <c r="W131" s="131">
        <v>11448500</v>
      </c>
      <c r="X131" s="131">
        <v>11348389</v>
      </c>
      <c r="Y131" s="131">
        <v>100111</v>
      </c>
      <c r="Z131" s="131">
        <v>10103476.92</v>
      </c>
      <c r="AA131" s="131">
        <v>1345023.08</v>
      </c>
      <c r="AB131" s="131">
        <v>8749199.620000001</v>
      </c>
      <c r="AC131" s="131">
        <v>2699300.379999999</v>
      </c>
      <c r="AD131" s="131">
        <v>4552855.62</v>
      </c>
      <c r="AE131" s="132">
        <v>6895644.3799999999</v>
      </c>
    </row>
    <row r="132" spans="1:31" x14ac:dyDescent="0.2">
      <c r="A132" s="133">
        <v>25</v>
      </c>
      <c r="B132" s="133" t="s">
        <v>1372</v>
      </c>
      <c r="C132" s="133" t="s">
        <v>1114</v>
      </c>
      <c r="D132" s="133" t="s">
        <v>1367</v>
      </c>
      <c r="E132" s="133" t="s">
        <v>1116</v>
      </c>
      <c r="F132" s="133" t="s">
        <v>1117</v>
      </c>
      <c r="G132" s="133" t="s">
        <v>1118</v>
      </c>
      <c r="H132" s="133" t="s">
        <v>1119</v>
      </c>
      <c r="I132" s="133" t="s">
        <v>1120</v>
      </c>
      <c r="J132" s="133" t="s">
        <v>1358</v>
      </c>
      <c r="K132" s="130" t="s">
        <v>1132</v>
      </c>
      <c r="L132" s="130" t="s">
        <v>1373</v>
      </c>
      <c r="M132" s="130" t="s">
        <v>1360</v>
      </c>
      <c r="N132" s="130" t="s">
        <v>168</v>
      </c>
      <c r="O132" s="130" t="s">
        <v>1361</v>
      </c>
      <c r="P132" s="130" t="s">
        <v>1366</v>
      </c>
      <c r="Q132" s="130" t="s">
        <v>1127</v>
      </c>
      <c r="R132" s="130" t="s">
        <v>1128</v>
      </c>
      <c r="S132" s="130" t="s">
        <v>1129</v>
      </c>
      <c r="T132" s="130" t="s">
        <v>1130</v>
      </c>
      <c r="U132" s="130">
        <v>0</v>
      </c>
      <c r="V132" s="131">
        <v>392352</v>
      </c>
      <c r="W132" s="131">
        <v>392352</v>
      </c>
      <c r="X132" s="131">
        <v>374280.03</v>
      </c>
      <c r="Y132" s="131">
        <v>18071.969999999972</v>
      </c>
      <c r="Z132" s="131">
        <v>374280.03</v>
      </c>
      <c r="AA132" s="131">
        <v>18071.969999999972</v>
      </c>
      <c r="AB132" s="131">
        <v>369768.02999999997</v>
      </c>
      <c r="AC132" s="131">
        <v>22583.97000000003</v>
      </c>
      <c r="AD132" s="131">
        <v>144388.03</v>
      </c>
      <c r="AE132" s="132">
        <v>247963.97</v>
      </c>
    </row>
    <row r="133" spans="1:31" x14ac:dyDescent="0.2">
      <c r="A133" s="133">
        <v>25</v>
      </c>
      <c r="B133" s="133" t="s">
        <v>1372</v>
      </c>
      <c r="C133" s="133" t="s">
        <v>1114</v>
      </c>
      <c r="D133" s="133" t="s">
        <v>1367</v>
      </c>
      <c r="E133" s="133" t="s">
        <v>1116</v>
      </c>
      <c r="F133" s="133" t="s">
        <v>1117</v>
      </c>
      <c r="G133" s="133" t="s">
        <v>1118</v>
      </c>
      <c r="H133" s="130" t="s">
        <v>1149</v>
      </c>
      <c r="I133" s="130" t="s">
        <v>1182</v>
      </c>
      <c r="J133" s="130" t="s">
        <v>1347</v>
      </c>
      <c r="K133" s="130" t="s">
        <v>1348</v>
      </c>
      <c r="L133" s="130" t="s">
        <v>1373</v>
      </c>
      <c r="M133" s="130" t="s">
        <v>1360</v>
      </c>
      <c r="N133" s="130" t="s">
        <v>168</v>
      </c>
      <c r="O133" s="130" t="s">
        <v>1361</v>
      </c>
      <c r="P133" s="130" t="s">
        <v>1366</v>
      </c>
      <c r="Q133" s="130" t="s">
        <v>1127</v>
      </c>
      <c r="R133" s="130" t="s">
        <v>1128</v>
      </c>
      <c r="S133" s="130" t="s">
        <v>1129</v>
      </c>
      <c r="T133" s="130" t="s">
        <v>1130</v>
      </c>
      <c r="U133" s="130">
        <v>0</v>
      </c>
      <c r="V133" s="131">
        <v>34380</v>
      </c>
      <c r="W133" s="131">
        <v>34380</v>
      </c>
      <c r="X133" s="131">
        <v>20165</v>
      </c>
      <c r="Y133" s="131">
        <v>14215</v>
      </c>
      <c r="Z133" s="131">
        <v>10118.09</v>
      </c>
      <c r="AA133" s="131">
        <v>24261.91</v>
      </c>
      <c r="AB133" s="131">
        <v>10118.09</v>
      </c>
      <c r="AC133" s="131">
        <v>24261.91</v>
      </c>
      <c r="AD133" s="131">
        <v>10118.09</v>
      </c>
      <c r="AE133" s="132">
        <v>24261.91</v>
      </c>
    </row>
    <row r="134" spans="1:31" x14ac:dyDescent="0.2">
      <c r="A134" s="133">
        <v>25</v>
      </c>
      <c r="B134" s="133" t="s">
        <v>1372</v>
      </c>
      <c r="C134" s="133" t="s">
        <v>1114</v>
      </c>
      <c r="D134" s="133" t="s">
        <v>1367</v>
      </c>
      <c r="E134" s="133" t="s">
        <v>1116</v>
      </c>
      <c r="F134" s="133" t="s">
        <v>1117</v>
      </c>
      <c r="G134" s="133" t="s">
        <v>1118</v>
      </c>
      <c r="H134" s="130" t="s">
        <v>1133</v>
      </c>
      <c r="I134" s="130" t="s">
        <v>1134</v>
      </c>
      <c r="J134" s="130" t="s">
        <v>1135</v>
      </c>
      <c r="K134" s="130" t="s">
        <v>1178</v>
      </c>
      <c r="L134" s="130" t="s">
        <v>1373</v>
      </c>
      <c r="M134" s="130" t="s">
        <v>1360</v>
      </c>
      <c r="N134" s="130" t="s">
        <v>168</v>
      </c>
      <c r="O134" s="130" t="s">
        <v>1361</v>
      </c>
      <c r="P134" s="130" t="s">
        <v>1366</v>
      </c>
      <c r="Q134" s="130" t="s">
        <v>1127</v>
      </c>
      <c r="R134" s="130" t="s">
        <v>1128</v>
      </c>
      <c r="S134" s="130" t="s">
        <v>1129</v>
      </c>
      <c r="T134" s="130" t="s">
        <v>1130</v>
      </c>
      <c r="U134" s="130">
        <v>0</v>
      </c>
      <c r="V134" s="131">
        <v>614000</v>
      </c>
      <c r="W134" s="131">
        <v>614000</v>
      </c>
      <c r="X134" s="131">
        <v>614000</v>
      </c>
      <c r="Y134" s="131">
        <v>0</v>
      </c>
      <c r="Z134" s="131">
        <v>504000</v>
      </c>
      <c r="AA134" s="131">
        <v>110000</v>
      </c>
      <c r="AB134" s="131">
        <v>359933.05</v>
      </c>
      <c r="AC134" s="131">
        <v>254066.95</v>
      </c>
      <c r="AD134" s="131">
        <v>345680.83</v>
      </c>
      <c r="AE134" s="132">
        <v>268319.17</v>
      </c>
    </row>
    <row r="135" spans="1:31" x14ac:dyDescent="0.2">
      <c r="A135" s="133">
        <v>25</v>
      </c>
      <c r="B135" s="133" t="s">
        <v>1372</v>
      </c>
      <c r="C135" s="133" t="s">
        <v>1114</v>
      </c>
      <c r="D135" s="133" t="s">
        <v>1367</v>
      </c>
      <c r="E135" s="133" t="s">
        <v>1116</v>
      </c>
      <c r="F135" s="133" t="s">
        <v>1117</v>
      </c>
      <c r="G135" s="133" t="s">
        <v>1118</v>
      </c>
      <c r="H135" s="133" t="s">
        <v>1133</v>
      </c>
      <c r="I135" s="133" t="s">
        <v>1134</v>
      </c>
      <c r="J135" s="133" t="s">
        <v>1135</v>
      </c>
      <c r="K135" s="130" t="s">
        <v>1179</v>
      </c>
      <c r="L135" s="130" t="s">
        <v>1373</v>
      </c>
      <c r="M135" s="130" t="s">
        <v>1360</v>
      </c>
      <c r="N135" s="130" t="s">
        <v>168</v>
      </c>
      <c r="O135" s="130" t="s">
        <v>1361</v>
      </c>
      <c r="P135" s="130" t="s">
        <v>1366</v>
      </c>
      <c r="Q135" s="130" t="s">
        <v>1127</v>
      </c>
      <c r="R135" s="130" t="s">
        <v>1128</v>
      </c>
      <c r="S135" s="130" t="s">
        <v>1129</v>
      </c>
      <c r="T135" s="130" t="s">
        <v>1130</v>
      </c>
      <c r="U135" s="130">
        <v>0</v>
      </c>
      <c r="V135" s="131">
        <v>25000</v>
      </c>
      <c r="W135" s="131">
        <v>25000</v>
      </c>
      <c r="X135" s="131">
        <v>14601.9</v>
      </c>
      <c r="Y135" s="131">
        <v>10398.1</v>
      </c>
      <c r="Z135" s="131">
        <v>14601.9</v>
      </c>
      <c r="AA135" s="131">
        <v>10398.1</v>
      </c>
      <c r="AB135" s="131">
        <v>14601.900000000001</v>
      </c>
      <c r="AC135" s="131">
        <v>10398.099999999999</v>
      </c>
      <c r="AD135" s="131">
        <v>3294.3</v>
      </c>
      <c r="AE135" s="132">
        <v>21705.7</v>
      </c>
    </row>
    <row r="136" spans="1:31" x14ac:dyDescent="0.2">
      <c r="A136" s="133">
        <v>25</v>
      </c>
      <c r="B136" s="133" t="s">
        <v>1372</v>
      </c>
      <c r="C136" s="133" t="s">
        <v>1114</v>
      </c>
      <c r="D136" s="133" t="s">
        <v>1367</v>
      </c>
      <c r="E136" s="133" t="s">
        <v>1116</v>
      </c>
      <c r="F136" s="133" t="s">
        <v>1117</v>
      </c>
      <c r="G136" s="133" t="s">
        <v>1118</v>
      </c>
      <c r="H136" s="133" t="s">
        <v>1133</v>
      </c>
      <c r="I136" s="133" t="s">
        <v>1134</v>
      </c>
      <c r="J136" s="133" t="s">
        <v>1135</v>
      </c>
      <c r="K136" s="130" t="s">
        <v>1144</v>
      </c>
      <c r="L136" s="130" t="s">
        <v>1373</v>
      </c>
      <c r="M136" s="130" t="s">
        <v>1360</v>
      </c>
      <c r="N136" s="130" t="s">
        <v>168</v>
      </c>
      <c r="O136" s="130" t="s">
        <v>1361</v>
      </c>
      <c r="P136" s="130" t="s">
        <v>1366</v>
      </c>
      <c r="Q136" s="130" t="s">
        <v>1127</v>
      </c>
      <c r="R136" s="130" t="s">
        <v>1128</v>
      </c>
      <c r="S136" s="130" t="s">
        <v>1129</v>
      </c>
      <c r="T136" s="130" t="s">
        <v>1130</v>
      </c>
      <c r="U136" s="130">
        <v>0</v>
      </c>
      <c r="V136" s="131">
        <v>45000</v>
      </c>
      <c r="W136" s="131">
        <v>45000</v>
      </c>
      <c r="X136" s="131">
        <v>32400</v>
      </c>
      <c r="Y136" s="131">
        <v>12600</v>
      </c>
      <c r="Z136" s="131">
        <v>32400</v>
      </c>
      <c r="AA136" s="131">
        <v>12600</v>
      </c>
      <c r="AB136" s="131">
        <v>32400</v>
      </c>
      <c r="AC136" s="131">
        <v>12600</v>
      </c>
      <c r="AD136" s="131">
        <v>5580</v>
      </c>
      <c r="AE136" s="132">
        <v>39420</v>
      </c>
    </row>
    <row r="137" spans="1:31" x14ac:dyDescent="0.2">
      <c r="A137" s="130">
        <v>26</v>
      </c>
      <c r="B137" s="130" t="s">
        <v>1374</v>
      </c>
      <c r="C137" s="130" t="s">
        <v>1114</v>
      </c>
      <c r="D137" s="130" t="s">
        <v>1367</v>
      </c>
      <c r="E137" s="130" t="s">
        <v>1116</v>
      </c>
      <c r="F137" s="130" t="s">
        <v>1117</v>
      </c>
      <c r="G137" s="130" t="s">
        <v>1118</v>
      </c>
      <c r="H137" s="130" t="s">
        <v>1119</v>
      </c>
      <c r="I137" s="130" t="s">
        <v>1120</v>
      </c>
      <c r="J137" s="130" t="s">
        <v>1358</v>
      </c>
      <c r="K137" s="130" t="s">
        <v>1122</v>
      </c>
      <c r="L137" s="130" t="s">
        <v>1375</v>
      </c>
      <c r="M137" s="130" t="s">
        <v>1360</v>
      </c>
      <c r="N137" s="130" t="s">
        <v>168</v>
      </c>
      <c r="O137" s="130" t="s">
        <v>1361</v>
      </c>
      <c r="P137" s="130" t="s">
        <v>1366</v>
      </c>
      <c r="Q137" s="130" t="s">
        <v>1127</v>
      </c>
      <c r="R137" s="130" t="s">
        <v>1128</v>
      </c>
      <c r="S137" s="130" t="s">
        <v>1376</v>
      </c>
      <c r="T137" s="130" t="s">
        <v>1130</v>
      </c>
      <c r="U137" s="130">
        <v>993581</v>
      </c>
      <c r="V137" s="131">
        <v>-993581</v>
      </c>
      <c r="W137" s="131">
        <v>0</v>
      </c>
      <c r="X137" s="131">
        <v>0</v>
      </c>
      <c r="Y137" s="131">
        <v>0</v>
      </c>
      <c r="Z137" s="131">
        <v>0</v>
      </c>
      <c r="AA137" s="131">
        <v>0</v>
      </c>
      <c r="AB137" s="131">
        <v>0</v>
      </c>
      <c r="AC137" s="131">
        <v>0</v>
      </c>
      <c r="AD137" s="131">
        <v>0</v>
      </c>
      <c r="AE137" s="132">
        <v>0</v>
      </c>
    </row>
    <row r="138" spans="1:31" x14ac:dyDescent="0.2">
      <c r="A138" s="133">
        <v>26</v>
      </c>
      <c r="B138" s="133" t="s">
        <v>1374</v>
      </c>
      <c r="C138" s="133" t="s">
        <v>1114</v>
      </c>
      <c r="D138" s="133" t="s">
        <v>1367</v>
      </c>
      <c r="E138" s="133" t="s">
        <v>1116</v>
      </c>
      <c r="F138" s="133" t="s">
        <v>1117</v>
      </c>
      <c r="G138" s="133" t="s">
        <v>1118</v>
      </c>
      <c r="H138" s="133" t="s">
        <v>1119</v>
      </c>
      <c r="I138" s="133" t="s">
        <v>1120</v>
      </c>
      <c r="J138" s="133" t="s">
        <v>1358</v>
      </c>
      <c r="K138" s="130" t="s">
        <v>1131</v>
      </c>
      <c r="L138" s="130" t="s">
        <v>1375</v>
      </c>
      <c r="M138" s="130" t="s">
        <v>1360</v>
      </c>
      <c r="N138" s="130" t="s">
        <v>168</v>
      </c>
      <c r="O138" s="130" t="s">
        <v>1361</v>
      </c>
      <c r="P138" s="130" t="s">
        <v>1366</v>
      </c>
      <c r="Q138" s="130" t="s">
        <v>1127</v>
      </c>
      <c r="R138" s="130" t="s">
        <v>1128</v>
      </c>
      <c r="S138" s="130" t="s">
        <v>1376</v>
      </c>
      <c r="T138" s="130" t="s">
        <v>1130</v>
      </c>
      <c r="U138" s="130">
        <v>0</v>
      </c>
      <c r="V138" s="131">
        <v>1549977</v>
      </c>
      <c r="W138" s="131">
        <v>1549977</v>
      </c>
      <c r="X138" s="131">
        <v>1549977</v>
      </c>
      <c r="Y138" s="131">
        <v>0</v>
      </c>
      <c r="Z138" s="131">
        <v>1549977</v>
      </c>
      <c r="AA138" s="131">
        <v>0</v>
      </c>
      <c r="AB138" s="131">
        <v>1515642.89</v>
      </c>
      <c r="AC138" s="131">
        <v>34334.110000000102</v>
      </c>
      <c r="AD138" s="131">
        <v>1515642.89</v>
      </c>
      <c r="AE138" s="132">
        <v>34334.110000000102</v>
      </c>
    </row>
    <row r="139" spans="1:31" x14ac:dyDescent="0.2">
      <c r="A139" s="133">
        <v>26</v>
      </c>
      <c r="B139" s="133" t="s">
        <v>1374</v>
      </c>
      <c r="C139" s="133" t="s">
        <v>1114</v>
      </c>
      <c r="D139" s="133" t="s">
        <v>1367</v>
      </c>
      <c r="E139" s="133" t="s">
        <v>1116</v>
      </c>
      <c r="F139" s="133" t="s">
        <v>1117</v>
      </c>
      <c r="G139" s="133" t="s">
        <v>1118</v>
      </c>
      <c r="H139" s="133" t="s">
        <v>1119</v>
      </c>
      <c r="I139" s="133" t="s">
        <v>1120</v>
      </c>
      <c r="J139" s="133" t="s">
        <v>1358</v>
      </c>
      <c r="K139" s="130" t="s">
        <v>1177</v>
      </c>
      <c r="L139" s="130" t="s">
        <v>1375</v>
      </c>
      <c r="M139" s="130" t="s">
        <v>1360</v>
      </c>
      <c r="N139" s="130" t="s">
        <v>168</v>
      </c>
      <c r="O139" s="130" t="s">
        <v>1361</v>
      </c>
      <c r="P139" s="130" t="s">
        <v>1366</v>
      </c>
      <c r="Q139" s="130" t="s">
        <v>1127</v>
      </c>
      <c r="R139" s="130" t="s">
        <v>1128</v>
      </c>
      <c r="S139" s="130" t="s">
        <v>1376</v>
      </c>
      <c r="T139" s="130" t="s">
        <v>1130</v>
      </c>
      <c r="U139" s="130">
        <v>0</v>
      </c>
      <c r="V139" s="131">
        <v>2419461</v>
      </c>
      <c r="W139" s="131">
        <v>2419461</v>
      </c>
      <c r="X139" s="131">
        <v>2418849.6800000002</v>
      </c>
      <c r="Y139" s="131">
        <v>611.31999999983236</v>
      </c>
      <c r="Z139" s="131">
        <v>1718512.6</v>
      </c>
      <c r="AA139" s="131">
        <v>700948.39999999991</v>
      </c>
      <c r="AB139" s="131">
        <v>1714082.6</v>
      </c>
      <c r="AC139" s="131">
        <v>705378.39999999991</v>
      </c>
      <c r="AD139" s="131">
        <v>1413371.57</v>
      </c>
      <c r="AE139" s="132">
        <v>1006089.4299999999</v>
      </c>
    </row>
    <row r="140" spans="1:31" x14ac:dyDescent="0.2">
      <c r="A140" s="133">
        <v>26</v>
      </c>
      <c r="B140" s="133" t="s">
        <v>1374</v>
      </c>
      <c r="C140" s="133" t="s">
        <v>1114</v>
      </c>
      <c r="D140" s="133" t="s">
        <v>1367</v>
      </c>
      <c r="E140" s="133" t="s">
        <v>1116</v>
      </c>
      <c r="F140" s="133" t="s">
        <v>1117</v>
      </c>
      <c r="G140" s="133" t="s">
        <v>1118</v>
      </c>
      <c r="H140" s="133" t="s">
        <v>1119</v>
      </c>
      <c r="I140" s="133" t="s">
        <v>1120</v>
      </c>
      <c r="J140" s="133" t="s">
        <v>1358</v>
      </c>
      <c r="K140" s="130" t="s">
        <v>1132</v>
      </c>
      <c r="L140" s="130" t="s">
        <v>1375</v>
      </c>
      <c r="M140" s="130" t="s">
        <v>1360</v>
      </c>
      <c r="N140" s="130" t="s">
        <v>168</v>
      </c>
      <c r="O140" s="130" t="s">
        <v>1361</v>
      </c>
      <c r="P140" s="130" t="s">
        <v>1366</v>
      </c>
      <c r="Q140" s="130" t="s">
        <v>1127</v>
      </c>
      <c r="R140" s="130" t="s">
        <v>1128</v>
      </c>
      <c r="S140" s="130" t="s">
        <v>1376</v>
      </c>
      <c r="T140" s="130" t="s">
        <v>1130</v>
      </c>
      <c r="U140" s="130">
        <v>0</v>
      </c>
      <c r="V140" s="131">
        <v>183720</v>
      </c>
      <c r="W140" s="131">
        <v>183720</v>
      </c>
      <c r="X140" s="131">
        <v>157181.25</v>
      </c>
      <c r="Y140" s="131">
        <v>26538.75</v>
      </c>
      <c r="Z140" s="131">
        <v>157181.25</v>
      </c>
      <c r="AA140" s="131">
        <v>26538.75</v>
      </c>
      <c r="AB140" s="131">
        <v>155487.5</v>
      </c>
      <c r="AC140" s="131">
        <v>28232.5</v>
      </c>
      <c r="AD140" s="131">
        <v>87392.5</v>
      </c>
      <c r="AE140" s="132">
        <v>96327.5</v>
      </c>
    </row>
    <row r="141" spans="1:31" x14ac:dyDescent="0.2">
      <c r="A141" s="133">
        <v>26</v>
      </c>
      <c r="B141" s="133" t="s">
        <v>1374</v>
      </c>
      <c r="C141" s="133" t="s">
        <v>1114</v>
      </c>
      <c r="D141" s="133" t="s">
        <v>1367</v>
      </c>
      <c r="E141" s="133" t="s">
        <v>1116</v>
      </c>
      <c r="F141" s="133" t="s">
        <v>1117</v>
      </c>
      <c r="G141" s="133" t="s">
        <v>1118</v>
      </c>
      <c r="H141" s="130" t="s">
        <v>1149</v>
      </c>
      <c r="I141" s="130" t="s">
        <v>1182</v>
      </c>
      <c r="J141" s="130" t="s">
        <v>1377</v>
      </c>
      <c r="K141" s="130" t="s">
        <v>1378</v>
      </c>
      <c r="L141" s="130" t="s">
        <v>1375</v>
      </c>
      <c r="M141" s="130" t="s">
        <v>1360</v>
      </c>
      <c r="N141" s="130" t="s">
        <v>168</v>
      </c>
      <c r="O141" s="130" t="s">
        <v>1361</v>
      </c>
      <c r="P141" s="130" t="s">
        <v>1366</v>
      </c>
      <c r="Q141" s="130" t="s">
        <v>1127</v>
      </c>
      <c r="R141" s="130" t="s">
        <v>1128</v>
      </c>
      <c r="S141" s="130" t="s">
        <v>1376</v>
      </c>
      <c r="T141" s="130" t="s">
        <v>1130</v>
      </c>
      <c r="U141" s="130">
        <v>0</v>
      </c>
      <c r="V141" s="131">
        <v>5140</v>
      </c>
      <c r="W141" s="131">
        <v>5140</v>
      </c>
      <c r="X141" s="131">
        <v>0</v>
      </c>
      <c r="Y141" s="131">
        <v>5140</v>
      </c>
      <c r="Z141" s="131">
        <v>0</v>
      </c>
      <c r="AA141" s="131">
        <v>5140</v>
      </c>
      <c r="AB141" s="131">
        <v>0</v>
      </c>
      <c r="AC141" s="131">
        <v>5140</v>
      </c>
      <c r="AD141" s="131">
        <v>0</v>
      </c>
      <c r="AE141" s="132">
        <v>5140</v>
      </c>
    </row>
    <row r="142" spans="1:31" x14ac:dyDescent="0.2">
      <c r="A142" s="133">
        <v>26</v>
      </c>
      <c r="B142" s="133" t="s">
        <v>1374</v>
      </c>
      <c r="C142" s="133" t="s">
        <v>1114</v>
      </c>
      <c r="D142" s="133" t="s">
        <v>1367</v>
      </c>
      <c r="E142" s="133" t="s">
        <v>1116</v>
      </c>
      <c r="F142" s="133" t="s">
        <v>1117</v>
      </c>
      <c r="G142" s="133" t="s">
        <v>1118</v>
      </c>
      <c r="H142" s="133" t="s">
        <v>1149</v>
      </c>
      <c r="I142" s="133" t="s">
        <v>1182</v>
      </c>
      <c r="J142" s="130" t="s">
        <v>1347</v>
      </c>
      <c r="K142" s="130" t="s">
        <v>1348</v>
      </c>
      <c r="L142" s="130" t="s">
        <v>1375</v>
      </c>
      <c r="M142" s="130" t="s">
        <v>1360</v>
      </c>
      <c r="N142" s="130" t="s">
        <v>168</v>
      </c>
      <c r="O142" s="130" t="s">
        <v>1361</v>
      </c>
      <c r="P142" s="130" t="s">
        <v>1366</v>
      </c>
      <c r="Q142" s="130" t="s">
        <v>1127</v>
      </c>
      <c r="R142" s="130" t="s">
        <v>1128</v>
      </c>
      <c r="S142" s="130" t="s">
        <v>1376</v>
      </c>
      <c r="T142" s="130" t="s">
        <v>1130</v>
      </c>
      <c r="U142" s="130">
        <v>0</v>
      </c>
      <c r="V142" s="131">
        <v>1040</v>
      </c>
      <c r="W142" s="131">
        <v>1040</v>
      </c>
      <c r="X142" s="131">
        <v>0</v>
      </c>
      <c r="Y142" s="131">
        <v>1040</v>
      </c>
      <c r="Z142" s="131">
        <v>0</v>
      </c>
      <c r="AA142" s="131">
        <v>1040</v>
      </c>
      <c r="AB142" s="131">
        <v>0</v>
      </c>
      <c r="AC142" s="131">
        <v>1040</v>
      </c>
      <c r="AD142" s="131">
        <v>0</v>
      </c>
      <c r="AE142" s="132">
        <v>1040</v>
      </c>
    </row>
    <row r="143" spans="1:31" x14ac:dyDescent="0.2">
      <c r="A143" s="133">
        <v>26</v>
      </c>
      <c r="B143" s="133" t="s">
        <v>1374</v>
      </c>
      <c r="C143" s="133" t="s">
        <v>1114</v>
      </c>
      <c r="D143" s="133" t="s">
        <v>1367</v>
      </c>
      <c r="E143" s="133" t="s">
        <v>1116</v>
      </c>
      <c r="F143" s="133" t="s">
        <v>1117</v>
      </c>
      <c r="G143" s="133" t="s">
        <v>1118</v>
      </c>
      <c r="H143" s="130" t="s">
        <v>1133</v>
      </c>
      <c r="I143" s="130" t="s">
        <v>1134</v>
      </c>
      <c r="J143" s="130" t="s">
        <v>1135</v>
      </c>
      <c r="K143" s="130" t="s">
        <v>1178</v>
      </c>
      <c r="L143" s="130" t="s">
        <v>1375</v>
      </c>
      <c r="M143" s="130" t="s">
        <v>1360</v>
      </c>
      <c r="N143" s="130" t="s">
        <v>168</v>
      </c>
      <c r="O143" s="130" t="s">
        <v>1361</v>
      </c>
      <c r="P143" s="130" t="s">
        <v>1366</v>
      </c>
      <c r="Q143" s="130" t="s">
        <v>1127</v>
      </c>
      <c r="R143" s="130" t="s">
        <v>1128</v>
      </c>
      <c r="S143" s="130" t="s">
        <v>1376</v>
      </c>
      <c r="T143" s="130" t="s">
        <v>1130</v>
      </c>
      <c r="U143" s="130">
        <v>0</v>
      </c>
      <c r="V143" s="131">
        <v>113021</v>
      </c>
      <c r="W143" s="131">
        <v>113021</v>
      </c>
      <c r="X143" s="131">
        <v>80800</v>
      </c>
      <c r="Y143" s="131">
        <v>32221</v>
      </c>
      <c r="Z143" s="131">
        <v>80800</v>
      </c>
      <c r="AA143" s="131">
        <v>32221</v>
      </c>
      <c r="AB143" s="131">
        <v>72564.25</v>
      </c>
      <c r="AC143" s="131">
        <v>40456.75</v>
      </c>
      <c r="AD143" s="131">
        <v>72564.25</v>
      </c>
      <c r="AE143" s="132">
        <v>40456.75</v>
      </c>
    </row>
    <row r="144" spans="1:31" x14ac:dyDescent="0.2">
      <c r="A144" s="133">
        <v>26</v>
      </c>
      <c r="B144" s="133" t="s">
        <v>1374</v>
      </c>
      <c r="C144" s="133" t="s">
        <v>1114</v>
      </c>
      <c r="D144" s="133" t="s">
        <v>1367</v>
      </c>
      <c r="E144" s="133" t="s">
        <v>1116</v>
      </c>
      <c r="F144" s="133" t="s">
        <v>1117</v>
      </c>
      <c r="G144" s="133" t="s">
        <v>1118</v>
      </c>
      <c r="H144" s="133" t="s">
        <v>1133</v>
      </c>
      <c r="I144" s="133" t="s">
        <v>1134</v>
      </c>
      <c r="J144" s="133" t="s">
        <v>1135</v>
      </c>
      <c r="K144" s="130" t="s">
        <v>1179</v>
      </c>
      <c r="L144" s="130" t="s">
        <v>1375</v>
      </c>
      <c r="M144" s="130" t="s">
        <v>1360</v>
      </c>
      <c r="N144" s="130" t="s">
        <v>168</v>
      </c>
      <c r="O144" s="130" t="s">
        <v>1361</v>
      </c>
      <c r="P144" s="130" t="s">
        <v>1366</v>
      </c>
      <c r="Q144" s="130" t="s">
        <v>1127</v>
      </c>
      <c r="R144" s="130" t="s">
        <v>1128</v>
      </c>
      <c r="S144" s="130" t="s">
        <v>1376</v>
      </c>
      <c r="T144" s="130" t="s">
        <v>1130</v>
      </c>
      <c r="U144" s="130">
        <v>0</v>
      </c>
      <c r="V144" s="131">
        <v>3418</v>
      </c>
      <c r="W144" s="131">
        <v>3418</v>
      </c>
      <c r="X144" s="131">
        <v>3268</v>
      </c>
      <c r="Y144" s="131">
        <v>150</v>
      </c>
      <c r="Z144" s="131">
        <v>3268</v>
      </c>
      <c r="AA144" s="131">
        <v>150</v>
      </c>
      <c r="AB144" s="131">
        <v>3268</v>
      </c>
      <c r="AC144" s="131">
        <v>150</v>
      </c>
      <c r="AD144" s="131">
        <v>3268</v>
      </c>
      <c r="AE144" s="132">
        <v>150</v>
      </c>
    </row>
    <row r="145" spans="1:31" x14ac:dyDescent="0.2">
      <c r="A145" s="133">
        <v>26</v>
      </c>
      <c r="B145" s="133" t="s">
        <v>1374</v>
      </c>
      <c r="C145" s="133" t="s">
        <v>1114</v>
      </c>
      <c r="D145" s="133" t="s">
        <v>1367</v>
      </c>
      <c r="E145" s="133" t="s">
        <v>1116</v>
      </c>
      <c r="F145" s="133" t="s">
        <v>1117</v>
      </c>
      <c r="G145" s="133" t="s">
        <v>1118</v>
      </c>
      <c r="H145" s="133" t="s">
        <v>1133</v>
      </c>
      <c r="I145" s="133" t="s">
        <v>1134</v>
      </c>
      <c r="J145" s="133" t="s">
        <v>1135</v>
      </c>
      <c r="K145" s="130" t="s">
        <v>1144</v>
      </c>
      <c r="L145" s="130" t="s">
        <v>1375</v>
      </c>
      <c r="M145" s="130" t="s">
        <v>1360</v>
      </c>
      <c r="N145" s="130" t="s">
        <v>168</v>
      </c>
      <c r="O145" s="130" t="s">
        <v>1361</v>
      </c>
      <c r="P145" s="130" t="s">
        <v>1366</v>
      </c>
      <c r="Q145" s="130" t="s">
        <v>1127</v>
      </c>
      <c r="R145" s="130" t="s">
        <v>1128</v>
      </c>
      <c r="S145" s="130" t="s">
        <v>1376</v>
      </c>
      <c r="T145" s="130" t="s">
        <v>1130</v>
      </c>
      <c r="U145" s="130">
        <v>0</v>
      </c>
      <c r="V145" s="131">
        <v>15550</v>
      </c>
      <c r="W145" s="131">
        <v>15550</v>
      </c>
      <c r="X145" s="131">
        <v>15550</v>
      </c>
      <c r="Y145" s="131">
        <v>0</v>
      </c>
      <c r="Z145" s="131">
        <v>14808.62</v>
      </c>
      <c r="AA145" s="131">
        <v>741.3799999999992</v>
      </c>
      <c r="AB145" s="131">
        <v>14808.619999999999</v>
      </c>
      <c r="AC145" s="131">
        <v>741.38000000000102</v>
      </c>
      <c r="AD145" s="131">
        <v>10058.619999999999</v>
      </c>
      <c r="AE145" s="132">
        <v>5491.380000000001</v>
      </c>
    </row>
    <row r="146" spans="1:31" x14ac:dyDescent="0.2">
      <c r="A146" s="130">
        <v>27</v>
      </c>
      <c r="B146" s="130" t="s">
        <v>175</v>
      </c>
      <c r="C146" s="130" t="s">
        <v>1114</v>
      </c>
      <c r="D146" s="130" t="s">
        <v>1357</v>
      </c>
      <c r="E146" s="130" t="s">
        <v>1116</v>
      </c>
      <c r="F146" s="130" t="s">
        <v>1117</v>
      </c>
      <c r="G146" s="130" t="s">
        <v>1118</v>
      </c>
      <c r="H146" s="130" t="s">
        <v>1119</v>
      </c>
      <c r="I146" s="130" t="s">
        <v>1120</v>
      </c>
      <c r="J146" s="130" t="s">
        <v>1358</v>
      </c>
      <c r="K146" s="130" t="s">
        <v>1131</v>
      </c>
      <c r="L146" s="130" t="s">
        <v>1379</v>
      </c>
      <c r="M146" s="130" t="s">
        <v>1360</v>
      </c>
      <c r="N146" s="130" t="s">
        <v>168</v>
      </c>
      <c r="O146" s="130" t="s">
        <v>1361</v>
      </c>
      <c r="P146" s="130" t="s">
        <v>1362</v>
      </c>
      <c r="Q146" s="130" t="s">
        <v>1127</v>
      </c>
      <c r="R146" s="130" t="s">
        <v>1380</v>
      </c>
      <c r="S146" s="130" t="s">
        <v>1381</v>
      </c>
      <c r="T146" s="130" t="s">
        <v>1130</v>
      </c>
      <c r="U146" s="130">
        <v>0</v>
      </c>
      <c r="V146" s="131">
        <v>41941</v>
      </c>
      <c r="W146" s="131">
        <v>41941</v>
      </c>
      <c r="X146" s="131">
        <v>41941</v>
      </c>
      <c r="Y146" s="131">
        <v>0</v>
      </c>
      <c r="Z146" s="131">
        <v>41941</v>
      </c>
      <c r="AA146" s="131">
        <v>0</v>
      </c>
      <c r="AB146" s="131">
        <v>38148.770000000004</v>
      </c>
      <c r="AC146" s="131">
        <v>3792.2299999999959</v>
      </c>
      <c r="AD146" s="131">
        <v>38148.770000000004</v>
      </c>
      <c r="AE146" s="132">
        <v>3792.2299999999959</v>
      </c>
    </row>
    <row r="147" spans="1:31" x14ac:dyDescent="0.2">
      <c r="A147" s="133">
        <v>27</v>
      </c>
      <c r="B147" s="133" t="s">
        <v>175</v>
      </c>
      <c r="C147" s="133" t="s">
        <v>1114</v>
      </c>
      <c r="D147" s="133" t="s">
        <v>1357</v>
      </c>
      <c r="E147" s="133" t="s">
        <v>1116</v>
      </c>
      <c r="F147" s="133" t="s">
        <v>1117</v>
      </c>
      <c r="G147" s="133" t="s">
        <v>1118</v>
      </c>
      <c r="H147" s="133" t="s">
        <v>1119</v>
      </c>
      <c r="I147" s="133" t="s">
        <v>1120</v>
      </c>
      <c r="J147" s="133" t="s">
        <v>1358</v>
      </c>
      <c r="K147" s="130" t="s">
        <v>1177</v>
      </c>
      <c r="L147" s="130" t="s">
        <v>1379</v>
      </c>
      <c r="M147" s="130" t="s">
        <v>1360</v>
      </c>
      <c r="N147" s="130" t="s">
        <v>168</v>
      </c>
      <c r="O147" s="130" t="s">
        <v>1361</v>
      </c>
      <c r="P147" s="130" t="s">
        <v>1362</v>
      </c>
      <c r="Q147" s="130" t="s">
        <v>1127</v>
      </c>
      <c r="R147" s="130" t="s">
        <v>1380</v>
      </c>
      <c r="S147" s="130" t="s">
        <v>1381</v>
      </c>
      <c r="T147" s="130" t="s">
        <v>1130</v>
      </c>
      <c r="U147" s="130">
        <v>539829</v>
      </c>
      <c r="V147" s="131">
        <v>-458363</v>
      </c>
      <c r="W147" s="131">
        <v>81466</v>
      </c>
      <c r="X147" s="131">
        <v>57583.3</v>
      </c>
      <c r="Y147" s="131">
        <v>23882.699999999997</v>
      </c>
      <c r="Z147" s="131">
        <v>55583.3</v>
      </c>
      <c r="AA147" s="131">
        <v>25882.699999999997</v>
      </c>
      <c r="AB147" s="131">
        <v>55583.3</v>
      </c>
      <c r="AC147" s="131">
        <v>25882.699999999997</v>
      </c>
      <c r="AD147" s="131">
        <v>48133.8</v>
      </c>
      <c r="AE147" s="132">
        <v>33332.199999999997</v>
      </c>
    </row>
    <row r="148" spans="1:31" x14ac:dyDescent="0.2">
      <c r="A148" s="133">
        <v>27</v>
      </c>
      <c r="B148" s="133" t="s">
        <v>175</v>
      </c>
      <c r="C148" s="133" t="s">
        <v>1114</v>
      </c>
      <c r="D148" s="133" t="s">
        <v>1357</v>
      </c>
      <c r="E148" s="133" t="s">
        <v>1116</v>
      </c>
      <c r="F148" s="133" t="s">
        <v>1117</v>
      </c>
      <c r="G148" s="133" t="s">
        <v>1118</v>
      </c>
      <c r="H148" s="133" t="s">
        <v>1119</v>
      </c>
      <c r="I148" s="133" t="s">
        <v>1120</v>
      </c>
      <c r="J148" s="133" t="s">
        <v>1358</v>
      </c>
      <c r="K148" s="130" t="s">
        <v>1132</v>
      </c>
      <c r="L148" s="130" t="s">
        <v>1379</v>
      </c>
      <c r="M148" s="130" t="s">
        <v>1360</v>
      </c>
      <c r="N148" s="130" t="s">
        <v>168</v>
      </c>
      <c r="O148" s="130" t="s">
        <v>1361</v>
      </c>
      <c r="P148" s="130" t="s">
        <v>1362</v>
      </c>
      <c r="Q148" s="130" t="s">
        <v>1127</v>
      </c>
      <c r="R148" s="130" t="s">
        <v>1380</v>
      </c>
      <c r="S148" s="130" t="s">
        <v>1381</v>
      </c>
      <c r="T148" s="130" t="s">
        <v>1130</v>
      </c>
      <c r="U148" s="130">
        <v>0</v>
      </c>
      <c r="V148" s="131">
        <v>610436</v>
      </c>
      <c r="W148" s="131">
        <v>610436</v>
      </c>
      <c r="X148" s="131">
        <v>586680.37</v>
      </c>
      <c r="Y148" s="131">
        <v>23755.630000000005</v>
      </c>
      <c r="Z148" s="131">
        <v>568013.69999999995</v>
      </c>
      <c r="AA148" s="131">
        <v>42422.300000000047</v>
      </c>
      <c r="AB148" s="131">
        <v>568013.69999999995</v>
      </c>
      <c r="AC148" s="131">
        <v>42422.300000000047</v>
      </c>
      <c r="AD148" s="131">
        <v>551389.69999999995</v>
      </c>
      <c r="AE148" s="132">
        <v>59046.300000000047</v>
      </c>
    </row>
    <row r="149" spans="1:31" x14ac:dyDescent="0.2">
      <c r="A149" s="133">
        <v>27</v>
      </c>
      <c r="B149" s="133" t="s">
        <v>175</v>
      </c>
      <c r="C149" s="133" t="s">
        <v>1114</v>
      </c>
      <c r="D149" s="133" t="s">
        <v>1357</v>
      </c>
      <c r="E149" s="133" t="s">
        <v>1116</v>
      </c>
      <c r="F149" s="133" t="s">
        <v>1117</v>
      </c>
      <c r="G149" s="133" t="s">
        <v>1118</v>
      </c>
      <c r="H149" s="130" t="s">
        <v>1149</v>
      </c>
      <c r="I149" s="130" t="s">
        <v>1182</v>
      </c>
      <c r="J149" s="130" t="s">
        <v>1377</v>
      </c>
      <c r="K149" s="130" t="s">
        <v>1378</v>
      </c>
      <c r="L149" s="130" t="s">
        <v>1379</v>
      </c>
      <c r="M149" s="130" t="s">
        <v>1360</v>
      </c>
      <c r="N149" s="130" t="s">
        <v>168</v>
      </c>
      <c r="O149" s="130" t="s">
        <v>1361</v>
      </c>
      <c r="P149" s="130" t="s">
        <v>1362</v>
      </c>
      <c r="Q149" s="130" t="s">
        <v>1127</v>
      </c>
      <c r="R149" s="130" t="s">
        <v>1380</v>
      </c>
      <c r="S149" s="130" t="s">
        <v>1381</v>
      </c>
      <c r="T149" s="130" t="s">
        <v>1130</v>
      </c>
      <c r="U149" s="130">
        <v>0</v>
      </c>
      <c r="V149" s="131">
        <v>3120</v>
      </c>
      <c r="W149" s="131">
        <v>3120</v>
      </c>
      <c r="X149" s="131">
        <v>0</v>
      </c>
      <c r="Y149" s="131">
        <v>3120</v>
      </c>
      <c r="Z149" s="131">
        <v>0</v>
      </c>
      <c r="AA149" s="131">
        <v>3120</v>
      </c>
      <c r="AB149" s="131">
        <v>0</v>
      </c>
      <c r="AC149" s="131">
        <v>3120</v>
      </c>
      <c r="AD149" s="131">
        <v>0</v>
      </c>
      <c r="AE149" s="132">
        <v>3120</v>
      </c>
    </row>
    <row r="150" spans="1:31" x14ac:dyDescent="0.2">
      <c r="A150" s="133">
        <v>27</v>
      </c>
      <c r="B150" s="133" t="s">
        <v>175</v>
      </c>
      <c r="C150" s="133" t="s">
        <v>1114</v>
      </c>
      <c r="D150" s="133" t="s">
        <v>1357</v>
      </c>
      <c r="E150" s="133" t="s">
        <v>1116</v>
      </c>
      <c r="F150" s="133" t="s">
        <v>1117</v>
      </c>
      <c r="G150" s="133" t="s">
        <v>1118</v>
      </c>
      <c r="H150" s="133" t="s">
        <v>1149</v>
      </c>
      <c r="I150" s="133" t="s">
        <v>1182</v>
      </c>
      <c r="J150" s="130" t="s">
        <v>1382</v>
      </c>
      <c r="K150" s="130" t="s">
        <v>1383</v>
      </c>
      <c r="L150" s="130" t="s">
        <v>1379</v>
      </c>
      <c r="M150" s="130" t="s">
        <v>1360</v>
      </c>
      <c r="N150" s="130" t="s">
        <v>168</v>
      </c>
      <c r="O150" s="130" t="s">
        <v>1361</v>
      </c>
      <c r="P150" s="130" t="s">
        <v>1362</v>
      </c>
      <c r="Q150" s="130" t="s">
        <v>1127</v>
      </c>
      <c r="R150" s="130" t="s">
        <v>1380</v>
      </c>
      <c r="S150" s="130" t="s">
        <v>1381</v>
      </c>
      <c r="T150" s="130" t="s">
        <v>1130</v>
      </c>
      <c r="U150" s="130">
        <v>0</v>
      </c>
      <c r="V150" s="131">
        <v>8984</v>
      </c>
      <c r="W150" s="131">
        <v>8984</v>
      </c>
      <c r="X150" s="131">
        <v>5512</v>
      </c>
      <c r="Y150" s="131">
        <v>3472</v>
      </c>
      <c r="Z150" s="131">
        <v>5512</v>
      </c>
      <c r="AA150" s="131">
        <v>3472</v>
      </c>
      <c r="AB150" s="131">
        <v>5512</v>
      </c>
      <c r="AC150" s="131">
        <v>3472</v>
      </c>
      <c r="AD150" s="131">
        <v>5512</v>
      </c>
      <c r="AE150" s="132">
        <v>3472</v>
      </c>
    </row>
    <row r="151" spans="1:31" x14ac:dyDescent="0.2">
      <c r="A151" s="133">
        <v>27</v>
      </c>
      <c r="B151" s="133" t="s">
        <v>175</v>
      </c>
      <c r="C151" s="133" t="s">
        <v>1114</v>
      </c>
      <c r="D151" s="133" t="s">
        <v>1357</v>
      </c>
      <c r="E151" s="133" t="s">
        <v>1116</v>
      </c>
      <c r="F151" s="133" t="s">
        <v>1117</v>
      </c>
      <c r="G151" s="133" t="s">
        <v>1118</v>
      </c>
      <c r="H151" s="133" t="s">
        <v>1149</v>
      </c>
      <c r="I151" s="133" t="s">
        <v>1182</v>
      </c>
      <c r="J151" s="133" t="s">
        <v>1382</v>
      </c>
      <c r="K151" s="130" t="s">
        <v>1378</v>
      </c>
      <c r="L151" s="130" t="s">
        <v>1379</v>
      </c>
      <c r="M151" s="130" t="s">
        <v>1360</v>
      </c>
      <c r="N151" s="130" t="s">
        <v>168</v>
      </c>
      <c r="O151" s="130" t="s">
        <v>1361</v>
      </c>
      <c r="P151" s="130" t="s">
        <v>1362</v>
      </c>
      <c r="Q151" s="130" t="s">
        <v>1127</v>
      </c>
      <c r="R151" s="130" t="s">
        <v>1380</v>
      </c>
      <c r="S151" s="130" t="s">
        <v>1381</v>
      </c>
      <c r="T151" s="130" t="s">
        <v>1130</v>
      </c>
      <c r="U151" s="130">
        <v>0</v>
      </c>
      <c r="V151" s="131">
        <v>4574</v>
      </c>
      <c r="W151" s="131">
        <v>4574</v>
      </c>
      <c r="X151" s="131">
        <v>4251</v>
      </c>
      <c r="Y151" s="131">
        <v>323</v>
      </c>
      <c r="Z151" s="131">
        <v>4251</v>
      </c>
      <c r="AA151" s="131">
        <v>323</v>
      </c>
      <c r="AB151" s="131">
        <v>4251</v>
      </c>
      <c r="AC151" s="131">
        <v>323</v>
      </c>
      <c r="AD151" s="131">
        <v>4251</v>
      </c>
      <c r="AE151" s="132">
        <v>323</v>
      </c>
    </row>
    <row r="152" spans="1:31" x14ac:dyDescent="0.2">
      <c r="A152" s="133">
        <v>27</v>
      </c>
      <c r="B152" s="133" t="s">
        <v>175</v>
      </c>
      <c r="C152" s="133" t="s">
        <v>1114</v>
      </c>
      <c r="D152" s="133" t="s">
        <v>1357</v>
      </c>
      <c r="E152" s="133" t="s">
        <v>1116</v>
      </c>
      <c r="F152" s="133" t="s">
        <v>1117</v>
      </c>
      <c r="G152" s="133" t="s">
        <v>1118</v>
      </c>
      <c r="H152" s="133" t="s">
        <v>1149</v>
      </c>
      <c r="I152" s="133" t="s">
        <v>1182</v>
      </c>
      <c r="J152" s="130" t="s">
        <v>1347</v>
      </c>
      <c r="K152" s="130" t="s">
        <v>1348</v>
      </c>
      <c r="L152" s="130" t="s">
        <v>1379</v>
      </c>
      <c r="M152" s="130" t="s">
        <v>1360</v>
      </c>
      <c r="N152" s="130" t="s">
        <v>168</v>
      </c>
      <c r="O152" s="130" t="s">
        <v>1361</v>
      </c>
      <c r="P152" s="130" t="s">
        <v>1362</v>
      </c>
      <c r="Q152" s="130" t="s">
        <v>1127</v>
      </c>
      <c r="R152" s="130" t="s">
        <v>1380</v>
      </c>
      <c r="S152" s="130" t="s">
        <v>1381</v>
      </c>
      <c r="T152" s="130" t="s">
        <v>1130</v>
      </c>
      <c r="U152" s="130">
        <v>0</v>
      </c>
      <c r="V152" s="131">
        <v>8457</v>
      </c>
      <c r="W152" s="131">
        <v>8457</v>
      </c>
      <c r="X152" s="131">
        <v>8457</v>
      </c>
      <c r="Y152" s="131">
        <v>0</v>
      </c>
      <c r="Z152" s="131">
        <v>7900</v>
      </c>
      <c r="AA152" s="131">
        <v>557</v>
      </c>
      <c r="AB152" s="131">
        <v>7900</v>
      </c>
      <c r="AC152" s="131">
        <v>557</v>
      </c>
      <c r="AD152" s="131">
        <v>7900</v>
      </c>
      <c r="AE152" s="132">
        <v>557</v>
      </c>
    </row>
    <row r="153" spans="1:31" x14ac:dyDescent="0.2">
      <c r="A153" s="133">
        <v>27</v>
      </c>
      <c r="B153" s="133" t="s">
        <v>175</v>
      </c>
      <c r="C153" s="133" t="s">
        <v>1114</v>
      </c>
      <c r="D153" s="133" t="s">
        <v>1357</v>
      </c>
      <c r="E153" s="133" t="s">
        <v>1116</v>
      </c>
      <c r="F153" s="133" t="s">
        <v>1117</v>
      </c>
      <c r="G153" s="133" t="s">
        <v>1118</v>
      </c>
      <c r="H153" s="130" t="s">
        <v>1133</v>
      </c>
      <c r="I153" s="130" t="s">
        <v>1134</v>
      </c>
      <c r="J153" s="130" t="s">
        <v>1166</v>
      </c>
      <c r="K153" s="130" t="s">
        <v>1167</v>
      </c>
      <c r="L153" s="130" t="s">
        <v>1379</v>
      </c>
      <c r="M153" s="130" t="s">
        <v>1360</v>
      </c>
      <c r="N153" s="130" t="s">
        <v>168</v>
      </c>
      <c r="O153" s="130" t="s">
        <v>1361</v>
      </c>
      <c r="P153" s="130" t="s">
        <v>1362</v>
      </c>
      <c r="Q153" s="130" t="s">
        <v>1127</v>
      </c>
      <c r="R153" s="130" t="s">
        <v>1380</v>
      </c>
      <c r="S153" s="130" t="s">
        <v>1381</v>
      </c>
      <c r="T153" s="130" t="s">
        <v>1130</v>
      </c>
      <c r="U153" s="130">
        <v>0</v>
      </c>
      <c r="V153" s="131">
        <v>30000</v>
      </c>
      <c r="W153" s="131">
        <v>30000</v>
      </c>
      <c r="X153" s="131">
        <v>0</v>
      </c>
      <c r="Y153" s="131">
        <v>30000</v>
      </c>
      <c r="Z153" s="131">
        <v>0</v>
      </c>
      <c r="AA153" s="131">
        <v>30000</v>
      </c>
      <c r="AB153" s="131">
        <v>0</v>
      </c>
      <c r="AC153" s="131">
        <v>30000</v>
      </c>
      <c r="AD153" s="131">
        <v>0</v>
      </c>
      <c r="AE153" s="132">
        <v>30000</v>
      </c>
    </row>
    <row r="154" spans="1:31" x14ac:dyDescent="0.2">
      <c r="A154" s="133">
        <v>27</v>
      </c>
      <c r="B154" s="133" t="s">
        <v>175</v>
      </c>
      <c r="C154" s="133" t="s">
        <v>1114</v>
      </c>
      <c r="D154" s="133" t="s">
        <v>1357</v>
      </c>
      <c r="E154" s="133" t="s">
        <v>1116</v>
      </c>
      <c r="F154" s="133" t="s">
        <v>1117</v>
      </c>
      <c r="G154" s="133" t="s">
        <v>1118</v>
      </c>
      <c r="H154" s="133" t="s">
        <v>1133</v>
      </c>
      <c r="I154" s="133" t="s">
        <v>1134</v>
      </c>
      <c r="J154" s="130" t="s">
        <v>1135</v>
      </c>
      <c r="K154" s="130" t="s">
        <v>1178</v>
      </c>
      <c r="L154" s="130" t="s">
        <v>1379</v>
      </c>
      <c r="M154" s="130" t="s">
        <v>1360</v>
      </c>
      <c r="N154" s="130" t="s">
        <v>168</v>
      </c>
      <c r="O154" s="130" t="s">
        <v>1361</v>
      </c>
      <c r="P154" s="130" t="s">
        <v>1362</v>
      </c>
      <c r="Q154" s="130" t="s">
        <v>1127</v>
      </c>
      <c r="R154" s="130" t="s">
        <v>1380</v>
      </c>
      <c r="S154" s="130" t="s">
        <v>1381</v>
      </c>
      <c r="T154" s="130" t="s">
        <v>1130</v>
      </c>
      <c r="U154" s="130">
        <v>0</v>
      </c>
      <c r="V154" s="131">
        <v>102046</v>
      </c>
      <c r="W154" s="131">
        <v>102046</v>
      </c>
      <c r="X154" s="131">
        <v>28213.5</v>
      </c>
      <c r="Y154" s="131">
        <v>73832.5</v>
      </c>
      <c r="Z154" s="131">
        <v>28213.5</v>
      </c>
      <c r="AA154" s="131">
        <v>73832.5</v>
      </c>
      <c r="AB154" s="131">
        <v>21580.339999999997</v>
      </c>
      <c r="AC154" s="131">
        <v>80465.66</v>
      </c>
      <c r="AD154" s="131">
        <v>21580.339999999997</v>
      </c>
      <c r="AE154" s="132">
        <v>80465.66</v>
      </c>
    </row>
    <row r="155" spans="1:31" x14ac:dyDescent="0.2">
      <c r="A155" s="133">
        <v>27</v>
      </c>
      <c r="B155" s="133" t="s">
        <v>175</v>
      </c>
      <c r="C155" s="133" t="s">
        <v>1114</v>
      </c>
      <c r="D155" s="133" t="s">
        <v>1357</v>
      </c>
      <c r="E155" s="133" t="s">
        <v>1116</v>
      </c>
      <c r="F155" s="133" t="s">
        <v>1117</v>
      </c>
      <c r="G155" s="133" t="s">
        <v>1118</v>
      </c>
      <c r="H155" s="133" t="s">
        <v>1133</v>
      </c>
      <c r="I155" s="133" t="s">
        <v>1134</v>
      </c>
      <c r="J155" s="133" t="s">
        <v>1135</v>
      </c>
      <c r="K155" s="130" t="s">
        <v>1179</v>
      </c>
      <c r="L155" s="130" t="s">
        <v>1379</v>
      </c>
      <c r="M155" s="130" t="s">
        <v>1360</v>
      </c>
      <c r="N155" s="130" t="s">
        <v>168</v>
      </c>
      <c r="O155" s="130" t="s">
        <v>1361</v>
      </c>
      <c r="P155" s="130" t="s">
        <v>1362</v>
      </c>
      <c r="Q155" s="130" t="s">
        <v>1127</v>
      </c>
      <c r="R155" s="130" t="s">
        <v>1380</v>
      </c>
      <c r="S155" s="130" t="s">
        <v>1381</v>
      </c>
      <c r="T155" s="130" t="s">
        <v>1130</v>
      </c>
      <c r="U155" s="130">
        <v>0</v>
      </c>
      <c r="V155" s="131">
        <v>6582</v>
      </c>
      <c r="W155" s="131">
        <v>6582</v>
      </c>
      <c r="X155" s="131">
        <v>0</v>
      </c>
      <c r="Y155" s="131">
        <v>6582</v>
      </c>
      <c r="Z155" s="131">
        <v>0</v>
      </c>
      <c r="AA155" s="131">
        <v>6582</v>
      </c>
      <c r="AB155" s="131">
        <v>0</v>
      </c>
      <c r="AC155" s="131">
        <v>6582</v>
      </c>
      <c r="AD155" s="131">
        <v>0</v>
      </c>
      <c r="AE155" s="132">
        <v>6582</v>
      </c>
    </row>
    <row r="156" spans="1:31" x14ac:dyDescent="0.2">
      <c r="A156" s="133">
        <v>27</v>
      </c>
      <c r="B156" s="133" t="s">
        <v>175</v>
      </c>
      <c r="C156" s="133" t="s">
        <v>1114</v>
      </c>
      <c r="D156" s="133" t="s">
        <v>1357</v>
      </c>
      <c r="E156" s="133" t="s">
        <v>1116</v>
      </c>
      <c r="F156" s="133" t="s">
        <v>1117</v>
      </c>
      <c r="G156" s="133" t="s">
        <v>1118</v>
      </c>
      <c r="H156" s="133" t="s">
        <v>1133</v>
      </c>
      <c r="I156" s="133" t="s">
        <v>1134</v>
      </c>
      <c r="J156" s="133" t="s">
        <v>1135</v>
      </c>
      <c r="K156" s="130" t="s">
        <v>1144</v>
      </c>
      <c r="L156" s="130" t="s">
        <v>1379</v>
      </c>
      <c r="M156" s="130" t="s">
        <v>1360</v>
      </c>
      <c r="N156" s="130" t="s">
        <v>168</v>
      </c>
      <c r="O156" s="130" t="s">
        <v>1361</v>
      </c>
      <c r="P156" s="130" t="s">
        <v>1362</v>
      </c>
      <c r="Q156" s="130" t="s">
        <v>1127</v>
      </c>
      <c r="R156" s="130" t="s">
        <v>1380</v>
      </c>
      <c r="S156" s="130" t="s">
        <v>1381</v>
      </c>
      <c r="T156" s="130" t="s">
        <v>1130</v>
      </c>
      <c r="U156" s="130">
        <v>0</v>
      </c>
      <c r="V156" s="131">
        <v>11598</v>
      </c>
      <c r="W156" s="131">
        <v>11598</v>
      </c>
      <c r="X156" s="131">
        <v>0</v>
      </c>
      <c r="Y156" s="131">
        <v>11598</v>
      </c>
      <c r="Z156" s="131">
        <v>0</v>
      </c>
      <c r="AA156" s="131">
        <v>11598</v>
      </c>
      <c r="AB156" s="131">
        <v>0</v>
      </c>
      <c r="AC156" s="131">
        <v>11598</v>
      </c>
      <c r="AD156" s="131">
        <v>0</v>
      </c>
      <c r="AE156" s="132">
        <v>11598</v>
      </c>
    </row>
    <row r="157" spans="1:31" x14ac:dyDescent="0.2">
      <c r="A157" s="130">
        <v>28</v>
      </c>
      <c r="B157" s="130" t="s">
        <v>1384</v>
      </c>
      <c r="C157" s="130" t="s">
        <v>1114</v>
      </c>
      <c r="D157" s="130" t="s">
        <v>1367</v>
      </c>
      <c r="E157" s="130" t="s">
        <v>1116</v>
      </c>
      <c r="F157" s="130" t="s">
        <v>1117</v>
      </c>
      <c r="G157" s="130" t="s">
        <v>1118</v>
      </c>
      <c r="H157" s="130" t="s">
        <v>1119</v>
      </c>
      <c r="I157" s="130" t="s">
        <v>1120</v>
      </c>
      <c r="J157" s="130" t="s">
        <v>1358</v>
      </c>
      <c r="K157" s="130" t="s">
        <v>1122</v>
      </c>
      <c r="L157" s="130" t="s">
        <v>1385</v>
      </c>
      <c r="M157" s="130" t="s">
        <v>1360</v>
      </c>
      <c r="N157" s="130" t="s">
        <v>168</v>
      </c>
      <c r="O157" s="130" t="s">
        <v>1361</v>
      </c>
      <c r="P157" s="130" t="s">
        <v>1366</v>
      </c>
      <c r="Q157" s="130" t="s">
        <v>1127</v>
      </c>
      <c r="R157" s="130" t="s">
        <v>1140</v>
      </c>
      <c r="S157" s="130" t="s">
        <v>1386</v>
      </c>
      <c r="T157" s="130" t="s">
        <v>1130</v>
      </c>
      <c r="U157" s="130">
        <v>2120577</v>
      </c>
      <c r="V157" s="131">
        <v>-109611</v>
      </c>
      <c r="W157" s="131">
        <v>2010966</v>
      </c>
      <c r="X157" s="131">
        <v>2010966</v>
      </c>
      <c r="Y157" s="131">
        <v>0</v>
      </c>
      <c r="Z157" s="131">
        <v>0</v>
      </c>
      <c r="AA157" s="131">
        <v>2010966</v>
      </c>
      <c r="AB157" s="131">
        <v>0</v>
      </c>
      <c r="AC157" s="131">
        <v>2010966</v>
      </c>
      <c r="AD157" s="131">
        <v>0</v>
      </c>
      <c r="AE157" s="132">
        <v>2010966</v>
      </c>
    </row>
    <row r="158" spans="1:31" x14ac:dyDescent="0.2">
      <c r="A158" s="133">
        <v>28</v>
      </c>
      <c r="B158" s="133" t="s">
        <v>1384</v>
      </c>
      <c r="C158" s="133" t="s">
        <v>1114</v>
      </c>
      <c r="D158" s="133" t="s">
        <v>1367</v>
      </c>
      <c r="E158" s="133" t="s">
        <v>1116</v>
      </c>
      <c r="F158" s="133" t="s">
        <v>1117</v>
      </c>
      <c r="G158" s="133" t="s">
        <v>1118</v>
      </c>
      <c r="H158" s="130" t="s">
        <v>1133</v>
      </c>
      <c r="I158" s="130" t="s">
        <v>1134</v>
      </c>
      <c r="J158" s="130" t="s">
        <v>1135</v>
      </c>
      <c r="K158" s="130" t="s">
        <v>1144</v>
      </c>
      <c r="L158" s="130" t="s">
        <v>1385</v>
      </c>
      <c r="M158" s="130" t="s">
        <v>1360</v>
      </c>
      <c r="N158" s="130" t="s">
        <v>168</v>
      </c>
      <c r="O158" s="130" t="s">
        <v>1361</v>
      </c>
      <c r="P158" s="130" t="s">
        <v>1366</v>
      </c>
      <c r="Q158" s="130" t="s">
        <v>1127</v>
      </c>
      <c r="R158" s="130" t="s">
        <v>1140</v>
      </c>
      <c r="S158" s="130" t="s">
        <v>1386</v>
      </c>
      <c r="T158" s="130" t="s">
        <v>1130</v>
      </c>
      <c r="U158" s="130">
        <v>0</v>
      </c>
      <c r="V158" s="131">
        <v>109611</v>
      </c>
      <c r="W158" s="131">
        <v>109611</v>
      </c>
      <c r="X158" s="131">
        <v>109611</v>
      </c>
      <c r="Y158" s="131">
        <v>0</v>
      </c>
      <c r="Z158" s="131">
        <v>0</v>
      </c>
      <c r="AA158" s="131">
        <v>109611</v>
      </c>
      <c r="AB158" s="131">
        <v>0</v>
      </c>
      <c r="AC158" s="131">
        <v>109611</v>
      </c>
      <c r="AD158" s="131">
        <v>0</v>
      </c>
      <c r="AE158" s="132">
        <v>109611</v>
      </c>
    </row>
    <row r="159" spans="1:31" x14ac:dyDescent="0.2">
      <c r="A159" s="130">
        <v>29</v>
      </c>
      <c r="B159" s="130" t="s">
        <v>1387</v>
      </c>
      <c r="C159" s="130" t="s">
        <v>1114</v>
      </c>
      <c r="D159" s="130" t="s">
        <v>1367</v>
      </c>
      <c r="E159" s="130" t="s">
        <v>1116</v>
      </c>
      <c r="F159" s="130" t="s">
        <v>1117</v>
      </c>
      <c r="G159" s="130" t="s">
        <v>1118</v>
      </c>
      <c r="H159" s="130" t="s">
        <v>1119</v>
      </c>
      <c r="I159" s="130" t="s">
        <v>1120</v>
      </c>
      <c r="J159" s="130" t="s">
        <v>1358</v>
      </c>
      <c r="K159" s="130" t="s">
        <v>1131</v>
      </c>
      <c r="L159" s="130" t="s">
        <v>1388</v>
      </c>
      <c r="M159" s="130" t="s">
        <v>1360</v>
      </c>
      <c r="N159" s="130" t="s">
        <v>168</v>
      </c>
      <c r="O159" s="130" t="s">
        <v>1361</v>
      </c>
      <c r="P159" s="130" t="s">
        <v>1366</v>
      </c>
      <c r="Q159" s="130" t="s">
        <v>1127</v>
      </c>
      <c r="R159" s="130" t="s">
        <v>1187</v>
      </c>
      <c r="S159" s="130" t="s">
        <v>1389</v>
      </c>
      <c r="T159" s="130" t="s">
        <v>1369</v>
      </c>
      <c r="U159" s="130">
        <v>0</v>
      </c>
      <c r="V159" s="131">
        <v>469076</v>
      </c>
      <c r="W159" s="131">
        <v>469076</v>
      </c>
      <c r="X159" s="131">
        <v>469076</v>
      </c>
      <c r="Y159" s="131">
        <v>0</v>
      </c>
      <c r="Z159" s="131">
        <v>469076</v>
      </c>
      <c r="AA159" s="131">
        <v>0</v>
      </c>
      <c r="AB159" s="131">
        <v>452365.74</v>
      </c>
      <c r="AC159" s="131">
        <v>16710.260000000009</v>
      </c>
      <c r="AD159" s="131">
        <v>452365.74</v>
      </c>
      <c r="AE159" s="132">
        <v>16710.260000000009</v>
      </c>
    </row>
    <row r="160" spans="1:31" x14ac:dyDescent="0.2">
      <c r="A160" s="133">
        <v>29</v>
      </c>
      <c r="B160" s="133" t="s">
        <v>1387</v>
      </c>
      <c r="C160" s="133" t="s">
        <v>1114</v>
      </c>
      <c r="D160" s="133" t="s">
        <v>1367</v>
      </c>
      <c r="E160" s="133" t="s">
        <v>1116</v>
      </c>
      <c r="F160" s="133" t="s">
        <v>1117</v>
      </c>
      <c r="G160" s="133" t="s">
        <v>1118</v>
      </c>
      <c r="H160" s="133" t="s">
        <v>1119</v>
      </c>
      <c r="I160" s="133" t="s">
        <v>1120</v>
      </c>
      <c r="J160" s="133" t="s">
        <v>1358</v>
      </c>
      <c r="K160" s="130" t="s">
        <v>1177</v>
      </c>
      <c r="L160" s="130" t="s">
        <v>1388</v>
      </c>
      <c r="M160" s="130" t="s">
        <v>1360</v>
      </c>
      <c r="N160" s="130" t="s">
        <v>168</v>
      </c>
      <c r="O160" s="130" t="s">
        <v>1361</v>
      </c>
      <c r="P160" s="130" t="s">
        <v>1366</v>
      </c>
      <c r="Q160" s="130" t="s">
        <v>1127</v>
      </c>
      <c r="R160" s="130" t="s">
        <v>1187</v>
      </c>
      <c r="S160" s="130" t="s">
        <v>1389</v>
      </c>
      <c r="T160" s="130" t="s">
        <v>1369</v>
      </c>
      <c r="U160" s="130">
        <v>298669</v>
      </c>
      <c r="V160" s="131">
        <v>930242</v>
      </c>
      <c r="W160" s="131">
        <v>1228911</v>
      </c>
      <c r="X160" s="131">
        <v>1111693.25</v>
      </c>
      <c r="Y160" s="131">
        <v>117217.75</v>
      </c>
      <c r="Z160" s="131">
        <v>1075737.9099999999</v>
      </c>
      <c r="AA160" s="131">
        <v>153173.09000000008</v>
      </c>
      <c r="AB160" s="131">
        <v>1075737.9100000001</v>
      </c>
      <c r="AC160" s="131">
        <v>153173.08999999985</v>
      </c>
      <c r="AD160" s="131">
        <v>1031608.45</v>
      </c>
      <c r="AE160" s="132">
        <v>197302.55000000005</v>
      </c>
    </row>
    <row r="161" spans="1:31" x14ac:dyDescent="0.2">
      <c r="A161" s="133">
        <v>29</v>
      </c>
      <c r="B161" s="133" t="s">
        <v>1387</v>
      </c>
      <c r="C161" s="133" t="s">
        <v>1114</v>
      </c>
      <c r="D161" s="133" t="s">
        <v>1367</v>
      </c>
      <c r="E161" s="133" t="s">
        <v>1116</v>
      </c>
      <c r="F161" s="133" t="s">
        <v>1117</v>
      </c>
      <c r="G161" s="133" t="s">
        <v>1118</v>
      </c>
      <c r="H161" s="133" t="s">
        <v>1119</v>
      </c>
      <c r="I161" s="133" t="s">
        <v>1120</v>
      </c>
      <c r="J161" s="133" t="s">
        <v>1358</v>
      </c>
      <c r="K161" s="130" t="s">
        <v>1132</v>
      </c>
      <c r="L161" s="130" t="s">
        <v>1388</v>
      </c>
      <c r="M161" s="130" t="s">
        <v>1360</v>
      </c>
      <c r="N161" s="130" t="s">
        <v>168</v>
      </c>
      <c r="O161" s="130" t="s">
        <v>1361</v>
      </c>
      <c r="P161" s="130" t="s">
        <v>1366</v>
      </c>
      <c r="Q161" s="130" t="s">
        <v>1127</v>
      </c>
      <c r="R161" s="130" t="s">
        <v>1187</v>
      </c>
      <c r="S161" s="130" t="s">
        <v>1389</v>
      </c>
      <c r="T161" s="130" t="s">
        <v>1369</v>
      </c>
      <c r="U161" s="130">
        <v>0</v>
      </c>
      <c r="V161" s="131">
        <v>200641</v>
      </c>
      <c r="W161" s="131">
        <v>200641</v>
      </c>
      <c r="X161" s="131">
        <v>103435.45</v>
      </c>
      <c r="Y161" s="131">
        <v>97205.55</v>
      </c>
      <c r="Z161" s="131">
        <v>103435.45</v>
      </c>
      <c r="AA161" s="131">
        <v>97205.55</v>
      </c>
      <c r="AB161" s="131">
        <v>103435.45</v>
      </c>
      <c r="AC161" s="131">
        <v>97205.55</v>
      </c>
      <c r="AD161" s="131">
        <v>51413.45</v>
      </c>
      <c r="AE161" s="132">
        <v>149227.54999999999</v>
      </c>
    </row>
    <row r="162" spans="1:31" x14ac:dyDescent="0.2">
      <c r="A162" s="133">
        <v>29</v>
      </c>
      <c r="B162" s="133" t="s">
        <v>1387</v>
      </c>
      <c r="C162" s="133" t="s">
        <v>1114</v>
      </c>
      <c r="D162" s="133" t="s">
        <v>1367</v>
      </c>
      <c r="E162" s="133" t="s">
        <v>1116</v>
      </c>
      <c r="F162" s="133" t="s">
        <v>1117</v>
      </c>
      <c r="G162" s="133" t="s">
        <v>1118</v>
      </c>
      <c r="H162" s="130" t="s">
        <v>1149</v>
      </c>
      <c r="I162" s="130" t="s">
        <v>1182</v>
      </c>
      <c r="J162" s="130" t="s">
        <v>1382</v>
      </c>
      <c r="K162" s="130" t="s">
        <v>1383</v>
      </c>
      <c r="L162" s="130" t="s">
        <v>1388</v>
      </c>
      <c r="M162" s="130" t="s">
        <v>1360</v>
      </c>
      <c r="N162" s="130" t="s">
        <v>168</v>
      </c>
      <c r="O162" s="130" t="s">
        <v>1361</v>
      </c>
      <c r="P162" s="130" t="s">
        <v>1366</v>
      </c>
      <c r="Q162" s="130" t="s">
        <v>1127</v>
      </c>
      <c r="R162" s="130" t="s">
        <v>1187</v>
      </c>
      <c r="S162" s="130" t="s">
        <v>1389</v>
      </c>
      <c r="T162" s="130" t="s">
        <v>1369</v>
      </c>
      <c r="U162" s="130">
        <v>0</v>
      </c>
      <c r="V162" s="131">
        <v>113198</v>
      </c>
      <c r="W162" s="131">
        <v>113198</v>
      </c>
      <c r="X162" s="131">
        <v>80338</v>
      </c>
      <c r="Y162" s="131">
        <v>32860</v>
      </c>
      <c r="Z162" s="131">
        <v>80338</v>
      </c>
      <c r="AA162" s="131">
        <v>32860</v>
      </c>
      <c r="AB162" s="131">
        <v>80338</v>
      </c>
      <c r="AC162" s="131">
        <v>32860</v>
      </c>
      <c r="AD162" s="131">
        <v>80338</v>
      </c>
      <c r="AE162" s="132">
        <v>32860</v>
      </c>
    </row>
    <row r="163" spans="1:31" x14ac:dyDescent="0.2">
      <c r="A163" s="133">
        <v>29</v>
      </c>
      <c r="B163" s="133" t="s">
        <v>1387</v>
      </c>
      <c r="C163" s="133" t="s">
        <v>1114</v>
      </c>
      <c r="D163" s="133" t="s">
        <v>1367</v>
      </c>
      <c r="E163" s="133" t="s">
        <v>1116</v>
      </c>
      <c r="F163" s="133" t="s">
        <v>1117</v>
      </c>
      <c r="G163" s="133" t="s">
        <v>1118</v>
      </c>
      <c r="H163" s="133" t="s">
        <v>1149</v>
      </c>
      <c r="I163" s="133" t="s">
        <v>1182</v>
      </c>
      <c r="J163" s="133" t="s">
        <v>1382</v>
      </c>
      <c r="K163" s="130" t="s">
        <v>1378</v>
      </c>
      <c r="L163" s="130" t="s">
        <v>1388</v>
      </c>
      <c r="M163" s="130" t="s">
        <v>1360</v>
      </c>
      <c r="N163" s="130" t="s">
        <v>168</v>
      </c>
      <c r="O163" s="130" t="s">
        <v>1361</v>
      </c>
      <c r="P163" s="130" t="s">
        <v>1366</v>
      </c>
      <c r="Q163" s="130" t="s">
        <v>1127</v>
      </c>
      <c r="R163" s="130" t="s">
        <v>1187</v>
      </c>
      <c r="S163" s="130" t="s">
        <v>1389</v>
      </c>
      <c r="T163" s="130" t="s">
        <v>1369</v>
      </c>
      <c r="U163" s="130">
        <v>0</v>
      </c>
      <c r="V163" s="131">
        <v>183725</v>
      </c>
      <c r="W163" s="131">
        <v>183725</v>
      </c>
      <c r="X163" s="131">
        <v>168765.33</v>
      </c>
      <c r="Y163" s="131">
        <v>14959.670000000013</v>
      </c>
      <c r="Z163" s="131">
        <v>168765.33</v>
      </c>
      <c r="AA163" s="131">
        <v>14959.670000000013</v>
      </c>
      <c r="AB163" s="131">
        <v>168765.33000000002</v>
      </c>
      <c r="AC163" s="131">
        <v>14959.669999999984</v>
      </c>
      <c r="AD163" s="131">
        <v>168765.33000000002</v>
      </c>
      <c r="AE163" s="132">
        <v>14959.669999999984</v>
      </c>
    </row>
    <row r="164" spans="1:31" x14ac:dyDescent="0.2">
      <c r="A164" s="133">
        <v>29</v>
      </c>
      <c r="B164" s="133" t="s">
        <v>1387</v>
      </c>
      <c r="C164" s="133" t="s">
        <v>1114</v>
      </c>
      <c r="D164" s="133" t="s">
        <v>1367</v>
      </c>
      <c r="E164" s="133" t="s">
        <v>1116</v>
      </c>
      <c r="F164" s="133" t="s">
        <v>1117</v>
      </c>
      <c r="G164" s="133" t="s">
        <v>1118</v>
      </c>
      <c r="H164" s="133" t="s">
        <v>1149</v>
      </c>
      <c r="I164" s="133" t="s">
        <v>1182</v>
      </c>
      <c r="J164" s="130" t="s">
        <v>1347</v>
      </c>
      <c r="K164" s="130" t="s">
        <v>1348</v>
      </c>
      <c r="L164" s="130" t="s">
        <v>1388</v>
      </c>
      <c r="M164" s="130" t="s">
        <v>1360</v>
      </c>
      <c r="N164" s="130" t="s">
        <v>168</v>
      </c>
      <c r="O164" s="130" t="s">
        <v>1361</v>
      </c>
      <c r="P164" s="130" t="s">
        <v>1366</v>
      </c>
      <c r="Q164" s="130" t="s">
        <v>1127</v>
      </c>
      <c r="R164" s="130" t="s">
        <v>1187</v>
      </c>
      <c r="S164" s="130" t="s">
        <v>1389</v>
      </c>
      <c r="T164" s="130" t="s">
        <v>1369</v>
      </c>
      <c r="U164" s="130">
        <v>0</v>
      </c>
      <c r="V164" s="131">
        <v>28663</v>
      </c>
      <c r="W164" s="131">
        <v>28663</v>
      </c>
      <c r="X164" s="131">
        <v>26788</v>
      </c>
      <c r="Y164" s="131">
        <v>1875</v>
      </c>
      <c r="Z164" s="131">
        <v>14628.33</v>
      </c>
      <c r="AA164" s="131">
        <v>14034.67</v>
      </c>
      <c r="AB164" s="131">
        <v>14628.33</v>
      </c>
      <c r="AC164" s="131">
        <v>14034.67</v>
      </c>
      <c r="AD164" s="131">
        <v>14628.33</v>
      </c>
      <c r="AE164" s="132">
        <v>14034.67</v>
      </c>
    </row>
    <row r="165" spans="1:31" x14ac:dyDescent="0.2">
      <c r="A165" s="133">
        <v>29</v>
      </c>
      <c r="B165" s="133" t="s">
        <v>1387</v>
      </c>
      <c r="C165" s="133" t="s">
        <v>1114</v>
      </c>
      <c r="D165" s="133" t="s">
        <v>1367</v>
      </c>
      <c r="E165" s="133" t="s">
        <v>1116</v>
      </c>
      <c r="F165" s="133" t="s">
        <v>1117</v>
      </c>
      <c r="G165" s="133" t="s">
        <v>1118</v>
      </c>
      <c r="H165" s="133" t="s">
        <v>1149</v>
      </c>
      <c r="I165" s="133" t="s">
        <v>1182</v>
      </c>
      <c r="J165" s="133" t="s">
        <v>1347</v>
      </c>
      <c r="K165" s="130" t="s">
        <v>1355</v>
      </c>
      <c r="L165" s="130" t="s">
        <v>1388</v>
      </c>
      <c r="M165" s="130" t="s">
        <v>1360</v>
      </c>
      <c r="N165" s="130" t="s">
        <v>168</v>
      </c>
      <c r="O165" s="130" t="s">
        <v>1361</v>
      </c>
      <c r="P165" s="130" t="s">
        <v>1366</v>
      </c>
      <c r="Q165" s="130" t="s">
        <v>1127</v>
      </c>
      <c r="R165" s="130" t="s">
        <v>1187</v>
      </c>
      <c r="S165" s="130" t="s">
        <v>1389</v>
      </c>
      <c r="T165" s="130" t="s">
        <v>1369</v>
      </c>
      <c r="U165" s="130">
        <v>0</v>
      </c>
      <c r="V165" s="131">
        <v>0</v>
      </c>
      <c r="W165" s="131">
        <v>0</v>
      </c>
      <c r="X165" s="131">
        <v>0</v>
      </c>
      <c r="Y165" s="131">
        <v>0</v>
      </c>
      <c r="Z165" s="131">
        <v>0</v>
      </c>
      <c r="AA165" s="131">
        <v>0</v>
      </c>
      <c r="AB165" s="131">
        <v>0</v>
      </c>
      <c r="AC165" s="131">
        <v>0</v>
      </c>
      <c r="AD165" s="131">
        <v>0</v>
      </c>
      <c r="AE165" s="132">
        <v>0</v>
      </c>
    </row>
    <row r="166" spans="1:31" x14ac:dyDescent="0.2">
      <c r="A166" s="133">
        <v>29</v>
      </c>
      <c r="B166" s="133" t="s">
        <v>1387</v>
      </c>
      <c r="C166" s="133" t="s">
        <v>1114</v>
      </c>
      <c r="D166" s="133" t="s">
        <v>1367</v>
      </c>
      <c r="E166" s="133" t="s">
        <v>1116</v>
      </c>
      <c r="F166" s="133" t="s">
        <v>1117</v>
      </c>
      <c r="G166" s="133" t="s">
        <v>1118</v>
      </c>
      <c r="H166" s="133" t="s">
        <v>1149</v>
      </c>
      <c r="I166" s="133" t="s">
        <v>1182</v>
      </c>
      <c r="J166" s="130" t="s">
        <v>1183</v>
      </c>
      <c r="K166" s="130" t="s">
        <v>1390</v>
      </c>
      <c r="L166" s="130" t="s">
        <v>1388</v>
      </c>
      <c r="M166" s="130" t="s">
        <v>1360</v>
      </c>
      <c r="N166" s="130" t="s">
        <v>168</v>
      </c>
      <c r="O166" s="130" t="s">
        <v>1361</v>
      </c>
      <c r="P166" s="130" t="s">
        <v>1366</v>
      </c>
      <c r="Q166" s="130" t="s">
        <v>1127</v>
      </c>
      <c r="R166" s="130" t="s">
        <v>1187</v>
      </c>
      <c r="S166" s="130" t="s">
        <v>1389</v>
      </c>
      <c r="T166" s="130" t="s">
        <v>1369</v>
      </c>
      <c r="U166" s="130">
        <v>0</v>
      </c>
      <c r="V166" s="131">
        <v>0</v>
      </c>
      <c r="W166" s="131">
        <v>0</v>
      </c>
      <c r="X166" s="131">
        <v>0</v>
      </c>
      <c r="Y166" s="131">
        <v>0</v>
      </c>
      <c r="Z166" s="131">
        <v>0</v>
      </c>
      <c r="AA166" s="131">
        <v>0</v>
      </c>
      <c r="AB166" s="131">
        <v>0</v>
      </c>
      <c r="AC166" s="131">
        <v>0</v>
      </c>
      <c r="AD166" s="131">
        <v>0</v>
      </c>
      <c r="AE166" s="132">
        <v>0</v>
      </c>
    </row>
    <row r="167" spans="1:31" x14ac:dyDescent="0.2">
      <c r="A167" s="133">
        <v>29</v>
      </c>
      <c r="B167" s="133" t="s">
        <v>1387</v>
      </c>
      <c r="C167" s="133" t="s">
        <v>1114</v>
      </c>
      <c r="D167" s="133" t="s">
        <v>1367</v>
      </c>
      <c r="E167" s="133" t="s">
        <v>1116</v>
      </c>
      <c r="F167" s="133" t="s">
        <v>1117</v>
      </c>
      <c r="G167" s="133" t="s">
        <v>1118</v>
      </c>
      <c r="H167" s="130" t="s">
        <v>1133</v>
      </c>
      <c r="I167" s="130" t="s">
        <v>1134</v>
      </c>
      <c r="J167" s="130" t="s">
        <v>1135</v>
      </c>
      <c r="K167" s="130" t="s">
        <v>1178</v>
      </c>
      <c r="L167" s="130" t="s">
        <v>1388</v>
      </c>
      <c r="M167" s="130" t="s">
        <v>1360</v>
      </c>
      <c r="N167" s="130" t="s">
        <v>168</v>
      </c>
      <c r="O167" s="130" t="s">
        <v>1361</v>
      </c>
      <c r="P167" s="130" t="s">
        <v>1366</v>
      </c>
      <c r="Q167" s="130" t="s">
        <v>1127</v>
      </c>
      <c r="R167" s="130" t="s">
        <v>1187</v>
      </c>
      <c r="S167" s="130" t="s">
        <v>1389</v>
      </c>
      <c r="T167" s="130" t="s">
        <v>1369</v>
      </c>
      <c r="U167" s="130">
        <v>0</v>
      </c>
      <c r="V167" s="131">
        <v>107383</v>
      </c>
      <c r="W167" s="131">
        <v>107383</v>
      </c>
      <c r="X167" s="131">
        <v>40000</v>
      </c>
      <c r="Y167" s="131">
        <v>67383</v>
      </c>
      <c r="Z167" s="131">
        <v>40000</v>
      </c>
      <c r="AA167" s="131">
        <v>67383</v>
      </c>
      <c r="AB167" s="131">
        <v>32757.7</v>
      </c>
      <c r="AC167" s="131">
        <v>74625.3</v>
      </c>
      <c r="AD167" s="131">
        <v>32757.7</v>
      </c>
      <c r="AE167" s="132">
        <v>74625.3</v>
      </c>
    </row>
    <row r="168" spans="1:31" x14ac:dyDescent="0.2">
      <c r="A168" s="133">
        <v>29</v>
      </c>
      <c r="B168" s="133" t="s">
        <v>1387</v>
      </c>
      <c r="C168" s="133" t="s">
        <v>1114</v>
      </c>
      <c r="D168" s="133" t="s">
        <v>1367</v>
      </c>
      <c r="E168" s="133" t="s">
        <v>1116</v>
      </c>
      <c r="F168" s="133" t="s">
        <v>1117</v>
      </c>
      <c r="G168" s="133" t="s">
        <v>1118</v>
      </c>
      <c r="H168" s="133" t="s">
        <v>1133</v>
      </c>
      <c r="I168" s="133" t="s">
        <v>1134</v>
      </c>
      <c r="J168" s="133" t="s">
        <v>1135</v>
      </c>
      <c r="K168" s="130" t="s">
        <v>1179</v>
      </c>
      <c r="L168" s="130" t="s">
        <v>1388</v>
      </c>
      <c r="M168" s="130" t="s">
        <v>1360</v>
      </c>
      <c r="N168" s="130" t="s">
        <v>168</v>
      </c>
      <c r="O168" s="130" t="s">
        <v>1361</v>
      </c>
      <c r="P168" s="130" t="s">
        <v>1366</v>
      </c>
      <c r="Q168" s="130" t="s">
        <v>1127</v>
      </c>
      <c r="R168" s="130" t="s">
        <v>1187</v>
      </c>
      <c r="S168" s="130" t="s">
        <v>1389</v>
      </c>
      <c r="T168" s="130" t="s">
        <v>1369</v>
      </c>
      <c r="U168" s="130">
        <v>0</v>
      </c>
      <c r="V168" s="131">
        <v>19000</v>
      </c>
      <c r="W168" s="131">
        <v>19000</v>
      </c>
      <c r="X168" s="131">
        <v>11272</v>
      </c>
      <c r="Y168" s="131">
        <v>7728</v>
      </c>
      <c r="Z168" s="131">
        <v>11272</v>
      </c>
      <c r="AA168" s="131">
        <v>7728</v>
      </c>
      <c r="AB168" s="131">
        <v>11272</v>
      </c>
      <c r="AC168" s="131">
        <v>7728</v>
      </c>
      <c r="AD168" s="131">
        <v>4632</v>
      </c>
      <c r="AE168" s="132">
        <v>14368</v>
      </c>
    </row>
    <row r="169" spans="1:31" x14ac:dyDescent="0.2">
      <c r="A169" s="133">
        <v>29</v>
      </c>
      <c r="B169" s="133" t="s">
        <v>1387</v>
      </c>
      <c r="C169" s="133" t="s">
        <v>1114</v>
      </c>
      <c r="D169" s="133" t="s">
        <v>1367</v>
      </c>
      <c r="E169" s="133" t="s">
        <v>1116</v>
      </c>
      <c r="F169" s="133" t="s">
        <v>1117</v>
      </c>
      <c r="G169" s="133" t="s">
        <v>1118</v>
      </c>
      <c r="H169" s="133" t="s">
        <v>1133</v>
      </c>
      <c r="I169" s="133" t="s">
        <v>1134</v>
      </c>
      <c r="J169" s="133" t="s">
        <v>1135</v>
      </c>
      <c r="K169" s="130" t="s">
        <v>1144</v>
      </c>
      <c r="L169" s="130" t="s">
        <v>1388</v>
      </c>
      <c r="M169" s="130" t="s">
        <v>1360</v>
      </c>
      <c r="N169" s="130" t="s">
        <v>168</v>
      </c>
      <c r="O169" s="130" t="s">
        <v>1361</v>
      </c>
      <c r="P169" s="130" t="s">
        <v>1366</v>
      </c>
      <c r="Q169" s="130" t="s">
        <v>1127</v>
      </c>
      <c r="R169" s="130" t="s">
        <v>1187</v>
      </c>
      <c r="S169" s="130" t="s">
        <v>1389</v>
      </c>
      <c r="T169" s="130" t="s">
        <v>1369</v>
      </c>
      <c r="U169" s="130">
        <v>0</v>
      </c>
      <c r="V169" s="131">
        <v>47050</v>
      </c>
      <c r="W169" s="131">
        <v>47050</v>
      </c>
      <c r="X169" s="131">
        <v>25440</v>
      </c>
      <c r="Y169" s="131">
        <v>21610</v>
      </c>
      <c r="Z169" s="131">
        <v>25440</v>
      </c>
      <c r="AA169" s="131">
        <v>21610</v>
      </c>
      <c r="AB169" s="131">
        <v>25440</v>
      </c>
      <c r="AC169" s="131">
        <v>21610</v>
      </c>
      <c r="AD169" s="131">
        <v>2385</v>
      </c>
      <c r="AE169" s="132">
        <v>44665</v>
      </c>
    </row>
    <row r="170" spans="1:31" x14ac:dyDescent="0.2">
      <c r="A170" s="130">
        <v>30</v>
      </c>
      <c r="B170" s="130" t="s">
        <v>1391</v>
      </c>
      <c r="C170" s="130" t="s">
        <v>1114</v>
      </c>
      <c r="D170" s="130" t="s">
        <v>1367</v>
      </c>
      <c r="E170" s="130" t="s">
        <v>1116</v>
      </c>
      <c r="F170" s="130" t="s">
        <v>1117</v>
      </c>
      <c r="G170" s="130" t="s">
        <v>1118</v>
      </c>
      <c r="H170" s="130" t="s">
        <v>1119</v>
      </c>
      <c r="I170" s="130" t="s">
        <v>1120</v>
      </c>
      <c r="J170" s="130" t="s">
        <v>1358</v>
      </c>
      <c r="K170" s="130" t="s">
        <v>1122</v>
      </c>
      <c r="L170" s="130" t="s">
        <v>1392</v>
      </c>
      <c r="M170" s="130" t="s">
        <v>1360</v>
      </c>
      <c r="N170" s="130" t="s">
        <v>168</v>
      </c>
      <c r="O170" s="130" t="s">
        <v>1361</v>
      </c>
      <c r="P170" s="130" t="s">
        <v>1366</v>
      </c>
      <c r="Q170" s="130" t="s">
        <v>1127</v>
      </c>
      <c r="R170" s="130" t="s">
        <v>1128</v>
      </c>
      <c r="S170" s="130" t="s">
        <v>1129</v>
      </c>
      <c r="T170" s="130" t="s">
        <v>1130</v>
      </c>
      <c r="U170" s="130">
        <v>9609000</v>
      </c>
      <c r="V170" s="131">
        <v>-9609000</v>
      </c>
      <c r="W170" s="131">
        <v>0</v>
      </c>
      <c r="X170" s="131">
        <v>0</v>
      </c>
      <c r="Y170" s="131">
        <v>0</v>
      </c>
      <c r="Z170" s="131">
        <v>0</v>
      </c>
      <c r="AA170" s="131">
        <v>0</v>
      </c>
      <c r="AB170" s="131">
        <v>0</v>
      </c>
      <c r="AC170" s="131">
        <v>0</v>
      </c>
      <c r="AD170" s="131">
        <v>0</v>
      </c>
      <c r="AE170" s="132">
        <v>0</v>
      </c>
    </row>
    <row r="171" spans="1:31" x14ac:dyDescent="0.2">
      <c r="A171" s="133">
        <v>30</v>
      </c>
      <c r="B171" s="133" t="s">
        <v>1391</v>
      </c>
      <c r="C171" s="133" t="s">
        <v>1114</v>
      </c>
      <c r="D171" s="133" t="s">
        <v>1367</v>
      </c>
      <c r="E171" s="133" t="s">
        <v>1116</v>
      </c>
      <c r="F171" s="133" t="s">
        <v>1117</v>
      </c>
      <c r="G171" s="133" t="s">
        <v>1118</v>
      </c>
      <c r="H171" s="133" t="s">
        <v>1119</v>
      </c>
      <c r="I171" s="133" t="s">
        <v>1120</v>
      </c>
      <c r="J171" s="133" t="s">
        <v>1358</v>
      </c>
      <c r="K171" s="130" t="s">
        <v>1131</v>
      </c>
      <c r="L171" s="130" t="s">
        <v>1392</v>
      </c>
      <c r="M171" s="130" t="s">
        <v>1360</v>
      </c>
      <c r="N171" s="130" t="s">
        <v>168</v>
      </c>
      <c r="O171" s="130" t="s">
        <v>1361</v>
      </c>
      <c r="P171" s="130" t="s">
        <v>1366</v>
      </c>
      <c r="Q171" s="130" t="s">
        <v>1127</v>
      </c>
      <c r="R171" s="130" t="s">
        <v>1128</v>
      </c>
      <c r="S171" s="130" t="s">
        <v>1129</v>
      </c>
      <c r="T171" s="130" t="s">
        <v>1130</v>
      </c>
      <c r="U171" s="130">
        <v>0</v>
      </c>
      <c r="V171" s="131">
        <v>4036561</v>
      </c>
      <c r="W171" s="131">
        <v>4036561</v>
      </c>
      <c r="X171" s="131">
        <v>4036561</v>
      </c>
      <c r="Y171" s="131">
        <v>0</v>
      </c>
      <c r="Z171" s="131">
        <v>4036561</v>
      </c>
      <c r="AA171" s="131">
        <v>0</v>
      </c>
      <c r="AB171" s="131">
        <v>4014496.8299999996</v>
      </c>
      <c r="AC171" s="131">
        <v>22064.170000000391</v>
      </c>
      <c r="AD171" s="131">
        <v>4014496.8299999996</v>
      </c>
      <c r="AE171" s="132">
        <v>22064.170000000391</v>
      </c>
    </row>
    <row r="172" spans="1:31" x14ac:dyDescent="0.2">
      <c r="A172" s="133">
        <v>30</v>
      </c>
      <c r="B172" s="133" t="s">
        <v>1391</v>
      </c>
      <c r="C172" s="133" t="s">
        <v>1114</v>
      </c>
      <c r="D172" s="133" t="s">
        <v>1367</v>
      </c>
      <c r="E172" s="133" t="s">
        <v>1116</v>
      </c>
      <c r="F172" s="133" t="s">
        <v>1117</v>
      </c>
      <c r="G172" s="133" t="s">
        <v>1118</v>
      </c>
      <c r="H172" s="133" t="s">
        <v>1119</v>
      </c>
      <c r="I172" s="133" t="s">
        <v>1120</v>
      </c>
      <c r="J172" s="133" t="s">
        <v>1358</v>
      </c>
      <c r="K172" s="130" t="s">
        <v>1177</v>
      </c>
      <c r="L172" s="130" t="s">
        <v>1392</v>
      </c>
      <c r="M172" s="130" t="s">
        <v>1360</v>
      </c>
      <c r="N172" s="130" t="s">
        <v>168</v>
      </c>
      <c r="O172" s="130" t="s">
        <v>1361</v>
      </c>
      <c r="P172" s="130" t="s">
        <v>1366</v>
      </c>
      <c r="Q172" s="130" t="s">
        <v>1127</v>
      </c>
      <c r="R172" s="130" t="s">
        <v>1128</v>
      </c>
      <c r="S172" s="130" t="s">
        <v>1129</v>
      </c>
      <c r="T172" s="130" t="s">
        <v>1130</v>
      </c>
      <c r="U172" s="130">
        <v>0</v>
      </c>
      <c r="V172" s="131">
        <v>7055482</v>
      </c>
      <c r="W172" s="131">
        <v>7055482</v>
      </c>
      <c r="X172" s="131">
        <v>7030517.2000000002</v>
      </c>
      <c r="Y172" s="131">
        <v>24964.799999999814</v>
      </c>
      <c r="Z172" s="131">
        <v>4715481.96</v>
      </c>
      <c r="AA172" s="131">
        <v>2340000.04</v>
      </c>
      <c r="AB172" s="131">
        <v>3882908.69</v>
      </c>
      <c r="AC172" s="131">
        <v>3172573.31</v>
      </c>
      <c r="AD172" s="131">
        <v>2733895.4499999997</v>
      </c>
      <c r="AE172" s="132">
        <v>4321586.5500000007</v>
      </c>
    </row>
    <row r="173" spans="1:31" x14ac:dyDescent="0.2">
      <c r="A173" s="133">
        <v>30</v>
      </c>
      <c r="B173" s="133" t="s">
        <v>1391</v>
      </c>
      <c r="C173" s="133" t="s">
        <v>1114</v>
      </c>
      <c r="D173" s="133" t="s">
        <v>1367</v>
      </c>
      <c r="E173" s="133" t="s">
        <v>1116</v>
      </c>
      <c r="F173" s="133" t="s">
        <v>1117</v>
      </c>
      <c r="G173" s="133" t="s">
        <v>1118</v>
      </c>
      <c r="H173" s="133" t="s">
        <v>1119</v>
      </c>
      <c r="I173" s="133" t="s">
        <v>1120</v>
      </c>
      <c r="J173" s="133" t="s">
        <v>1358</v>
      </c>
      <c r="K173" s="130" t="s">
        <v>1132</v>
      </c>
      <c r="L173" s="130" t="s">
        <v>1392</v>
      </c>
      <c r="M173" s="130" t="s">
        <v>1360</v>
      </c>
      <c r="N173" s="130" t="s">
        <v>168</v>
      </c>
      <c r="O173" s="130" t="s">
        <v>1361</v>
      </c>
      <c r="P173" s="130" t="s">
        <v>1366</v>
      </c>
      <c r="Q173" s="130" t="s">
        <v>1127</v>
      </c>
      <c r="R173" s="130" t="s">
        <v>1128</v>
      </c>
      <c r="S173" s="130" t="s">
        <v>1129</v>
      </c>
      <c r="T173" s="130" t="s">
        <v>1130</v>
      </c>
      <c r="U173" s="130">
        <v>0</v>
      </c>
      <c r="V173" s="131">
        <v>622501</v>
      </c>
      <c r="W173" s="131">
        <v>622501</v>
      </c>
      <c r="X173" s="131">
        <v>549974.17000000004</v>
      </c>
      <c r="Y173" s="131">
        <v>72526.829999999958</v>
      </c>
      <c r="Z173" s="131">
        <v>549974.17000000004</v>
      </c>
      <c r="AA173" s="131">
        <v>72526.829999999958</v>
      </c>
      <c r="AB173" s="131">
        <v>546475.16999999993</v>
      </c>
      <c r="AC173" s="131">
        <v>76025.830000000075</v>
      </c>
      <c r="AD173" s="131">
        <v>104975.12</v>
      </c>
      <c r="AE173" s="132">
        <v>517525.88</v>
      </c>
    </row>
    <row r="174" spans="1:31" x14ac:dyDescent="0.2">
      <c r="A174" s="133">
        <v>30</v>
      </c>
      <c r="B174" s="133" t="s">
        <v>1391</v>
      </c>
      <c r="C174" s="133" t="s">
        <v>1114</v>
      </c>
      <c r="D174" s="133" t="s">
        <v>1367</v>
      </c>
      <c r="E174" s="133" t="s">
        <v>1116</v>
      </c>
      <c r="F174" s="133" t="s">
        <v>1117</v>
      </c>
      <c r="G174" s="133" t="s">
        <v>1118</v>
      </c>
      <c r="H174" s="130" t="s">
        <v>1149</v>
      </c>
      <c r="I174" s="130" t="s">
        <v>1182</v>
      </c>
      <c r="J174" s="130" t="s">
        <v>1382</v>
      </c>
      <c r="K174" s="130" t="s">
        <v>1383</v>
      </c>
      <c r="L174" s="130" t="s">
        <v>1392</v>
      </c>
      <c r="M174" s="130" t="s">
        <v>1360</v>
      </c>
      <c r="N174" s="130" t="s">
        <v>168</v>
      </c>
      <c r="O174" s="130" t="s">
        <v>1361</v>
      </c>
      <c r="P174" s="130" t="s">
        <v>1366</v>
      </c>
      <c r="Q174" s="130" t="s">
        <v>1127</v>
      </c>
      <c r="R174" s="130" t="s">
        <v>1128</v>
      </c>
      <c r="S174" s="130" t="s">
        <v>1129</v>
      </c>
      <c r="T174" s="130" t="s">
        <v>1130</v>
      </c>
      <c r="U174" s="130">
        <v>0</v>
      </c>
      <c r="V174" s="131">
        <v>0</v>
      </c>
      <c r="W174" s="131">
        <v>0</v>
      </c>
      <c r="X174" s="131">
        <v>0</v>
      </c>
      <c r="Y174" s="131">
        <v>0</v>
      </c>
      <c r="Z174" s="131">
        <v>0</v>
      </c>
      <c r="AA174" s="131">
        <v>0</v>
      </c>
      <c r="AB174" s="131">
        <v>0</v>
      </c>
      <c r="AC174" s="131">
        <v>0</v>
      </c>
      <c r="AD174" s="131">
        <v>0</v>
      </c>
      <c r="AE174" s="132">
        <v>0</v>
      </c>
    </row>
    <row r="175" spans="1:31" x14ac:dyDescent="0.2">
      <c r="A175" s="133">
        <v>30</v>
      </c>
      <c r="B175" s="133" t="s">
        <v>1391</v>
      </c>
      <c r="C175" s="133" t="s">
        <v>1114</v>
      </c>
      <c r="D175" s="133" t="s">
        <v>1367</v>
      </c>
      <c r="E175" s="133" t="s">
        <v>1116</v>
      </c>
      <c r="F175" s="133" t="s">
        <v>1117</v>
      </c>
      <c r="G175" s="133" t="s">
        <v>1118</v>
      </c>
      <c r="H175" s="133" t="s">
        <v>1149</v>
      </c>
      <c r="I175" s="133" t="s">
        <v>1182</v>
      </c>
      <c r="J175" s="133" t="s">
        <v>1382</v>
      </c>
      <c r="K175" s="130" t="s">
        <v>1378</v>
      </c>
      <c r="L175" s="130" t="s">
        <v>1392</v>
      </c>
      <c r="M175" s="130" t="s">
        <v>1360</v>
      </c>
      <c r="N175" s="130" t="s">
        <v>168</v>
      </c>
      <c r="O175" s="130" t="s">
        <v>1361</v>
      </c>
      <c r="P175" s="130" t="s">
        <v>1366</v>
      </c>
      <c r="Q175" s="130" t="s">
        <v>1127</v>
      </c>
      <c r="R175" s="130" t="s">
        <v>1128</v>
      </c>
      <c r="S175" s="130" t="s">
        <v>1129</v>
      </c>
      <c r="T175" s="130" t="s">
        <v>1130</v>
      </c>
      <c r="U175" s="130">
        <v>0</v>
      </c>
      <c r="V175" s="131">
        <v>897601</v>
      </c>
      <c r="W175" s="131">
        <v>897601</v>
      </c>
      <c r="X175" s="131">
        <v>703079.44</v>
      </c>
      <c r="Y175" s="131">
        <v>194521.56000000006</v>
      </c>
      <c r="Z175" s="131">
        <v>0</v>
      </c>
      <c r="AA175" s="131">
        <v>897601</v>
      </c>
      <c r="AB175" s="131">
        <v>0</v>
      </c>
      <c r="AC175" s="131">
        <v>897601</v>
      </c>
      <c r="AD175" s="131">
        <v>0</v>
      </c>
      <c r="AE175" s="132">
        <v>897601</v>
      </c>
    </row>
    <row r="176" spans="1:31" x14ac:dyDescent="0.2">
      <c r="A176" s="133">
        <v>30</v>
      </c>
      <c r="B176" s="133" t="s">
        <v>1391</v>
      </c>
      <c r="C176" s="133" t="s">
        <v>1114</v>
      </c>
      <c r="D176" s="133" t="s">
        <v>1367</v>
      </c>
      <c r="E176" s="133" t="s">
        <v>1116</v>
      </c>
      <c r="F176" s="133" t="s">
        <v>1117</v>
      </c>
      <c r="G176" s="133" t="s">
        <v>1118</v>
      </c>
      <c r="H176" s="130" t="s">
        <v>1133</v>
      </c>
      <c r="I176" s="130" t="s">
        <v>1134</v>
      </c>
      <c r="J176" s="130" t="s">
        <v>1135</v>
      </c>
      <c r="K176" s="130" t="s">
        <v>1178</v>
      </c>
      <c r="L176" s="130" t="s">
        <v>1392</v>
      </c>
      <c r="M176" s="130" t="s">
        <v>1360</v>
      </c>
      <c r="N176" s="130" t="s">
        <v>168</v>
      </c>
      <c r="O176" s="130" t="s">
        <v>1361</v>
      </c>
      <c r="P176" s="130" t="s">
        <v>1366</v>
      </c>
      <c r="Q176" s="130" t="s">
        <v>1127</v>
      </c>
      <c r="R176" s="130" t="s">
        <v>1128</v>
      </c>
      <c r="S176" s="130" t="s">
        <v>1129</v>
      </c>
      <c r="T176" s="130" t="s">
        <v>1130</v>
      </c>
      <c r="U176" s="130">
        <v>0</v>
      </c>
      <c r="V176" s="131">
        <v>660000</v>
      </c>
      <c r="W176" s="131">
        <v>660000</v>
      </c>
      <c r="X176" s="131">
        <v>560000</v>
      </c>
      <c r="Y176" s="131">
        <v>100000</v>
      </c>
      <c r="Z176" s="131">
        <v>560000</v>
      </c>
      <c r="AA176" s="131">
        <v>100000</v>
      </c>
      <c r="AB176" s="131">
        <v>380549.52</v>
      </c>
      <c r="AC176" s="131">
        <v>279450.48</v>
      </c>
      <c r="AD176" s="131">
        <v>380549.52</v>
      </c>
      <c r="AE176" s="132">
        <v>279450.48</v>
      </c>
    </row>
    <row r="177" spans="1:31" x14ac:dyDescent="0.2">
      <c r="A177" s="133">
        <v>30</v>
      </c>
      <c r="B177" s="133" t="s">
        <v>1391</v>
      </c>
      <c r="C177" s="133" t="s">
        <v>1114</v>
      </c>
      <c r="D177" s="133" t="s">
        <v>1367</v>
      </c>
      <c r="E177" s="133" t="s">
        <v>1116</v>
      </c>
      <c r="F177" s="133" t="s">
        <v>1117</v>
      </c>
      <c r="G177" s="133" t="s">
        <v>1118</v>
      </c>
      <c r="H177" s="133" t="s">
        <v>1133</v>
      </c>
      <c r="I177" s="133" t="s">
        <v>1134</v>
      </c>
      <c r="J177" s="133" t="s">
        <v>1135</v>
      </c>
      <c r="K177" s="130" t="s">
        <v>1179</v>
      </c>
      <c r="L177" s="130" t="s">
        <v>1392</v>
      </c>
      <c r="M177" s="130" t="s">
        <v>1360</v>
      </c>
      <c r="N177" s="130" t="s">
        <v>168</v>
      </c>
      <c r="O177" s="130" t="s">
        <v>1361</v>
      </c>
      <c r="P177" s="130" t="s">
        <v>1366</v>
      </c>
      <c r="Q177" s="130" t="s">
        <v>1127</v>
      </c>
      <c r="R177" s="130" t="s">
        <v>1128</v>
      </c>
      <c r="S177" s="130" t="s">
        <v>1129</v>
      </c>
      <c r="T177" s="130" t="s">
        <v>1130</v>
      </c>
      <c r="U177" s="130">
        <v>0</v>
      </c>
      <c r="V177" s="131">
        <v>50000</v>
      </c>
      <c r="W177" s="131">
        <v>50000</v>
      </c>
      <c r="X177" s="131">
        <v>28280.6</v>
      </c>
      <c r="Y177" s="131">
        <v>21719.4</v>
      </c>
      <c r="Z177" s="131">
        <v>28280.6</v>
      </c>
      <c r="AA177" s="131">
        <v>21719.4</v>
      </c>
      <c r="AB177" s="131">
        <v>28280.6</v>
      </c>
      <c r="AC177" s="131">
        <v>21719.4</v>
      </c>
      <c r="AD177" s="131">
        <v>28280.6</v>
      </c>
      <c r="AE177" s="132">
        <v>21719.4</v>
      </c>
    </row>
    <row r="178" spans="1:31" x14ac:dyDescent="0.2">
      <c r="A178" s="133">
        <v>30</v>
      </c>
      <c r="B178" s="133" t="s">
        <v>1391</v>
      </c>
      <c r="C178" s="133" t="s">
        <v>1114</v>
      </c>
      <c r="D178" s="133" t="s">
        <v>1367</v>
      </c>
      <c r="E178" s="133" t="s">
        <v>1116</v>
      </c>
      <c r="F178" s="133" t="s">
        <v>1117</v>
      </c>
      <c r="G178" s="133" t="s">
        <v>1118</v>
      </c>
      <c r="H178" s="133" t="s">
        <v>1133</v>
      </c>
      <c r="I178" s="133" t="s">
        <v>1134</v>
      </c>
      <c r="J178" s="133" t="s">
        <v>1135</v>
      </c>
      <c r="K178" s="130" t="s">
        <v>1144</v>
      </c>
      <c r="L178" s="130" t="s">
        <v>1392</v>
      </c>
      <c r="M178" s="130" t="s">
        <v>1360</v>
      </c>
      <c r="N178" s="130" t="s">
        <v>168</v>
      </c>
      <c r="O178" s="130" t="s">
        <v>1361</v>
      </c>
      <c r="P178" s="130" t="s">
        <v>1366</v>
      </c>
      <c r="Q178" s="130" t="s">
        <v>1127</v>
      </c>
      <c r="R178" s="130" t="s">
        <v>1128</v>
      </c>
      <c r="S178" s="130" t="s">
        <v>1129</v>
      </c>
      <c r="T178" s="130" t="s">
        <v>1130</v>
      </c>
      <c r="U178" s="130">
        <v>0</v>
      </c>
      <c r="V178" s="131">
        <v>73356</v>
      </c>
      <c r="W178" s="131">
        <v>73356</v>
      </c>
      <c r="X178" s="131">
        <v>36300</v>
      </c>
      <c r="Y178" s="131">
        <v>37056</v>
      </c>
      <c r="Z178" s="131">
        <v>36300</v>
      </c>
      <c r="AA178" s="131">
        <v>37056</v>
      </c>
      <c r="AB178" s="131">
        <v>36300</v>
      </c>
      <c r="AC178" s="131">
        <v>37056</v>
      </c>
      <c r="AD178" s="131">
        <v>17580</v>
      </c>
      <c r="AE178" s="132">
        <v>55776</v>
      </c>
    </row>
    <row r="179" spans="1:31" x14ac:dyDescent="0.2">
      <c r="A179" s="130">
        <v>31</v>
      </c>
      <c r="B179" s="130" t="s">
        <v>1393</v>
      </c>
      <c r="C179" s="130" t="s">
        <v>1114</v>
      </c>
      <c r="D179" s="130" t="s">
        <v>1367</v>
      </c>
      <c r="E179" s="130" t="s">
        <v>1116</v>
      </c>
      <c r="F179" s="130" t="s">
        <v>1117</v>
      </c>
      <c r="G179" s="130" t="s">
        <v>1118</v>
      </c>
      <c r="H179" s="130" t="s">
        <v>1119</v>
      </c>
      <c r="I179" s="130" t="s">
        <v>1120</v>
      </c>
      <c r="J179" s="130" t="s">
        <v>1358</v>
      </c>
      <c r="K179" s="130" t="s">
        <v>1122</v>
      </c>
      <c r="L179" s="130" t="s">
        <v>1394</v>
      </c>
      <c r="M179" s="130" t="s">
        <v>1360</v>
      </c>
      <c r="N179" s="130" t="s">
        <v>168</v>
      </c>
      <c r="O179" s="130" t="s">
        <v>1361</v>
      </c>
      <c r="P179" s="130" t="s">
        <v>1366</v>
      </c>
      <c r="Q179" s="130" t="s">
        <v>1127</v>
      </c>
      <c r="R179" s="130" t="s">
        <v>1191</v>
      </c>
      <c r="S179" s="130" t="s">
        <v>1191</v>
      </c>
      <c r="T179" s="130" t="s">
        <v>1130</v>
      </c>
      <c r="U179" s="130">
        <v>100000</v>
      </c>
      <c r="V179" s="131">
        <v>-100000</v>
      </c>
      <c r="W179" s="131">
        <v>0</v>
      </c>
      <c r="X179" s="131">
        <v>0</v>
      </c>
      <c r="Y179" s="131">
        <v>0</v>
      </c>
      <c r="Z179" s="131">
        <v>0</v>
      </c>
      <c r="AA179" s="131">
        <v>0</v>
      </c>
      <c r="AB179" s="131">
        <v>0</v>
      </c>
      <c r="AC179" s="131">
        <v>0</v>
      </c>
      <c r="AD179" s="131">
        <v>0</v>
      </c>
      <c r="AE179" s="132">
        <v>0</v>
      </c>
    </row>
    <row r="180" spans="1:31" x14ac:dyDescent="0.2">
      <c r="A180" s="133">
        <v>31</v>
      </c>
      <c r="B180" s="133" t="s">
        <v>1393</v>
      </c>
      <c r="C180" s="133" t="s">
        <v>1114</v>
      </c>
      <c r="D180" s="133" t="s">
        <v>1367</v>
      </c>
      <c r="E180" s="133" t="s">
        <v>1116</v>
      </c>
      <c r="F180" s="133" t="s">
        <v>1117</v>
      </c>
      <c r="G180" s="133" t="s">
        <v>1118</v>
      </c>
      <c r="H180" s="130" t="s">
        <v>1133</v>
      </c>
      <c r="I180" s="130" t="s">
        <v>1134</v>
      </c>
      <c r="J180" s="130" t="s">
        <v>1166</v>
      </c>
      <c r="K180" s="130" t="s">
        <v>1167</v>
      </c>
      <c r="L180" s="130" t="s">
        <v>1394</v>
      </c>
      <c r="M180" s="130" t="s">
        <v>1360</v>
      </c>
      <c r="N180" s="130" t="s">
        <v>168</v>
      </c>
      <c r="O180" s="130" t="s">
        <v>1361</v>
      </c>
      <c r="P180" s="130" t="s">
        <v>1366</v>
      </c>
      <c r="Q180" s="130" t="s">
        <v>1127</v>
      </c>
      <c r="R180" s="130" t="s">
        <v>1191</v>
      </c>
      <c r="S180" s="130" t="s">
        <v>1191</v>
      </c>
      <c r="T180" s="130" t="s">
        <v>1130</v>
      </c>
      <c r="U180" s="130">
        <v>0</v>
      </c>
      <c r="V180" s="131">
        <v>100000</v>
      </c>
      <c r="W180" s="131">
        <v>100000</v>
      </c>
      <c r="X180" s="131">
        <v>60000</v>
      </c>
      <c r="Y180" s="131">
        <v>40000</v>
      </c>
      <c r="Z180" s="131">
        <v>60000</v>
      </c>
      <c r="AA180" s="131">
        <v>40000</v>
      </c>
      <c r="AB180" s="131">
        <v>53585.48</v>
      </c>
      <c r="AC180" s="131">
        <v>46414.52</v>
      </c>
      <c r="AD180" s="131">
        <v>53585.48</v>
      </c>
      <c r="AE180" s="132">
        <v>46414.52</v>
      </c>
    </row>
    <row r="181" spans="1:31" x14ac:dyDescent="0.2">
      <c r="A181" s="130">
        <v>32</v>
      </c>
      <c r="B181" s="130" t="s">
        <v>1395</v>
      </c>
      <c r="C181" s="130" t="s">
        <v>1114</v>
      </c>
      <c r="D181" s="130" t="s">
        <v>1367</v>
      </c>
      <c r="E181" s="130" t="s">
        <v>1116</v>
      </c>
      <c r="F181" s="130" t="s">
        <v>1117</v>
      </c>
      <c r="G181" s="130" t="s">
        <v>1118</v>
      </c>
      <c r="H181" s="130" t="s">
        <v>1119</v>
      </c>
      <c r="I181" s="130" t="s">
        <v>1120</v>
      </c>
      <c r="J181" s="130" t="s">
        <v>1358</v>
      </c>
      <c r="K181" s="130" t="s">
        <v>1122</v>
      </c>
      <c r="L181" s="130" t="s">
        <v>1396</v>
      </c>
      <c r="M181" s="130" t="s">
        <v>1360</v>
      </c>
      <c r="N181" s="130" t="s">
        <v>168</v>
      </c>
      <c r="O181" s="130" t="s">
        <v>1361</v>
      </c>
      <c r="P181" s="130" t="s">
        <v>1366</v>
      </c>
      <c r="Q181" s="130" t="s">
        <v>1127</v>
      </c>
      <c r="R181" s="130" t="s">
        <v>1191</v>
      </c>
      <c r="S181" s="130" t="s">
        <v>1191</v>
      </c>
      <c r="T181" s="130" t="s">
        <v>1130</v>
      </c>
      <c r="U181" s="130">
        <v>2000000</v>
      </c>
      <c r="V181" s="131">
        <v>-2000000</v>
      </c>
      <c r="W181" s="131">
        <v>0</v>
      </c>
      <c r="X181" s="131">
        <v>0</v>
      </c>
      <c r="Y181" s="131">
        <v>0</v>
      </c>
      <c r="Z181" s="131">
        <v>0</v>
      </c>
      <c r="AA181" s="131">
        <v>0</v>
      </c>
      <c r="AB181" s="131">
        <v>0</v>
      </c>
      <c r="AC181" s="131">
        <v>0</v>
      </c>
      <c r="AD181" s="131">
        <v>0</v>
      </c>
      <c r="AE181" s="132">
        <v>0</v>
      </c>
    </row>
    <row r="182" spans="1:31" x14ac:dyDescent="0.2">
      <c r="A182" s="133">
        <v>32</v>
      </c>
      <c r="B182" s="133" t="s">
        <v>1395</v>
      </c>
      <c r="C182" s="133" t="s">
        <v>1114</v>
      </c>
      <c r="D182" s="133" t="s">
        <v>1367</v>
      </c>
      <c r="E182" s="133" t="s">
        <v>1116</v>
      </c>
      <c r="F182" s="133" t="s">
        <v>1117</v>
      </c>
      <c r="G182" s="133" t="s">
        <v>1118</v>
      </c>
      <c r="H182" s="133" t="s">
        <v>1119</v>
      </c>
      <c r="I182" s="133" t="s">
        <v>1120</v>
      </c>
      <c r="J182" s="133" t="s">
        <v>1358</v>
      </c>
      <c r="K182" s="130" t="s">
        <v>1131</v>
      </c>
      <c r="L182" s="130" t="s">
        <v>1396</v>
      </c>
      <c r="M182" s="130" t="s">
        <v>1360</v>
      </c>
      <c r="N182" s="130" t="s">
        <v>168</v>
      </c>
      <c r="O182" s="130" t="s">
        <v>1361</v>
      </c>
      <c r="P182" s="130" t="s">
        <v>1366</v>
      </c>
      <c r="Q182" s="130" t="s">
        <v>1127</v>
      </c>
      <c r="R182" s="130" t="s">
        <v>1191</v>
      </c>
      <c r="S182" s="130" t="s">
        <v>1191</v>
      </c>
      <c r="T182" s="130" t="s">
        <v>1130</v>
      </c>
      <c r="U182" s="130">
        <v>0</v>
      </c>
      <c r="V182" s="131">
        <v>20000</v>
      </c>
      <c r="W182" s="131">
        <v>20000</v>
      </c>
      <c r="X182" s="131">
        <v>20000</v>
      </c>
      <c r="Y182" s="131">
        <v>0</v>
      </c>
      <c r="Z182" s="131">
        <v>20000</v>
      </c>
      <c r="AA182" s="131">
        <v>0</v>
      </c>
      <c r="AB182" s="131">
        <v>7913.77</v>
      </c>
      <c r="AC182" s="131">
        <v>12086.23</v>
      </c>
      <c r="AD182" s="131">
        <v>7913.77</v>
      </c>
      <c r="AE182" s="132">
        <v>12086.23</v>
      </c>
    </row>
    <row r="183" spans="1:31" x14ac:dyDescent="0.2">
      <c r="A183" s="133">
        <v>32</v>
      </c>
      <c r="B183" s="133" t="s">
        <v>1395</v>
      </c>
      <c r="C183" s="133" t="s">
        <v>1114</v>
      </c>
      <c r="D183" s="133" t="s">
        <v>1367</v>
      </c>
      <c r="E183" s="133" t="s">
        <v>1116</v>
      </c>
      <c r="F183" s="133" t="s">
        <v>1117</v>
      </c>
      <c r="G183" s="133" t="s">
        <v>1118</v>
      </c>
      <c r="H183" s="133" t="s">
        <v>1119</v>
      </c>
      <c r="I183" s="133" t="s">
        <v>1120</v>
      </c>
      <c r="J183" s="133" t="s">
        <v>1358</v>
      </c>
      <c r="K183" s="130" t="s">
        <v>1177</v>
      </c>
      <c r="L183" s="130" t="s">
        <v>1396</v>
      </c>
      <c r="M183" s="130" t="s">
        <v>1360</v>
      </c>
      <c r="N183" s="130" t="s">
        <v>168</v>
      </c>
      <c r="O183" s="130" t="s">
        <v>1361</v>
      </c>
      <c r="P183" s="130" t="s">
        <v>1366</v>
      </c>
      <c r="Q183" s="130" t="s">
        <v>1127</v>
      </c>
      <c r="R183" s="130" t="s">
        <v>1191</v>
      </c>
      <c r="S183" s="130" t="s">
        <v>1191</v>
      </c>
      <c r="T183" s="130" t="s">
        <v>1130</v>
      </c>
      <c r="U183" s="130">
        <v>0</v>
      </c>
      <c r="V183" s="131">
        <v>1396165</v>
      </c>
      <c r="W183" s="131">
        <v>1396165</v>
      </c>
      <c r="X183" s="131">
        <v>0</v>
      </c>
      <c r="Y183" s="131">
        <v>1396165</v>
      </c>
      <c r="Z183" s="131">
        <v>0</v>
      </c>
      <c r="AA183" s="131">
        <v>1396165</v>
      </c>
      <c r="AB183" s="131">
        <v>0</v>
      </c>
      <c r="AC183" s="131">
        <v>1396165</v>
      </c>
      <c r="AD183" s="131">
        <v>0</v>
      </c>
      <c r="AE183" s="132">
        <v>1396165</v>
      </c>
    </row>
    <row r="184" spans="1:31" x14ac:dyDescent="0.2">
      <c r="A184" s="133">
        <v>32</v>
      </c>
      <c r="B184" s="133" t="s">
        <v>1395</v>
      </c>
      <c r="C184" s="133" t="s">
        <v>1114</v>
      </c>
      <c r="D184" s="133" t="s">
        <v>1367</v>
      </c>
      <c r="E184" s="133" t="s">
        <v>1116</v>
      </c>
      <c r="F184" s="133" t="s">
        <v>1117</v>
      </c>
      <c r="G184" s="133" t="s">
        <v>1118</v>
      </c>
      <c r="H184" s="133" t="s">
        <v>1119</v>
      </c>
      <c r="I184" s="133" t="s">
        <v>1120</v>
      </c>
      <c r="J184" s="133" t="s">
        <v>1358</v>
      </c>
      <c r="K184" s="130" t="s">
        <v>1132</v>
      </c>
      <c r="L184" s="130" t="s">
        <v>1396</v>
      </c>
      <c r="M184" s="130" t="s">
        <v>1360</v>
      </c>
      <c r="N184" s="130" t="s">
        <v>168</v>
      </c>
      <c r="O184" s="130" t="s">
        <v>1361</v>
      </c>
      <c r="P184" s="130" t="s">
        <v>1366</v>
      </c>
      <c r="Q184" s="130" t="s">
        <v>1127</v>
      </c>
      <c r="R184" s="130" t="s">
        <v>1191</v>
      </c>
      <c r="S184" s="130" t="s">
        <v>1191</v>
      </c>
      <c r="T184" s="130" t="s">
        <v>1130</v>
      </c>
      <c r="U184" s="130">
        <v>0</v>
      </c>
      <c r="V184" s="131">
        <v>573835</v>
      </c>
      <c r="W184" s="131">
        <v>573835</v>
      </c>
      <c r="X184" s="131">
        <v>0</v>
      </c>
      <c r="Y184" s="131">
        <v>573835</v>
      </c>
      <c r="Z184" s="131">
        <v>0</v>
      </c>
      <c r="AA184" s="131">
        <v>573835</v>
      </c>
      <c r="AB184" s="131">
        <v>0</v>
      </c>
      <c r="AC184" s="131">
        <v>573835</v>
      </c>
      <c r="AD184" s="131">
        <v>0</v>
      </c>
      <c r="AE184" s="132">
        <v>573835</v>
      </c>
    </row>
    <row r="185" spans="1:31" x14ac:dyDescent="0.2">
      <c r="A185" s="133">
        <v>32</v>
      </c>
      <c r="B185" s="133" t="s">
        <v>1395</v>
      </c>
      <c r="C185" s="133" t="s">
        <v>1114</v>
      </c>
      <c r="D185" s="133" t="s">
        <v>1367</v>
      </c>
      <c r="E185" s="133" t="s">
        <v>1116</v>
      </c>
      <c r="F185" s="133" t="s">
        <v>1117</v>
      </c>
      <c r="G185" s="133" t="s">
        <v>1118</v>
      </c>
      <c r="H185" s="130" t="s">
        <v>1133</v>
      </c>
      <c r="I185" s="130" t="s">
        <v>1134</v>
      </c>
      <c r="J185" s="130" t="s">
        <v>1135</v>
      </c>
      <c r="K185" s="130" t="s">
        <v>1178</v>
      </c>
      <c r="L185" s="130" t="s">
        <v>1396</v>
      </c>
      <c r="M185" s="130" t="s">
        <v>1360</v>
      </c>
      <c r="N185" s="130" t="s">
        <v>168</v>
      </c>
      <c r="O185" s="130" t="s">
        <v>1361</v>
      </c>
      <c r="P185" s="130" t="s">
        <v>1366</v>
      </c>
      <c r="Q185" s="130" t="s">
        <v>1127</v>
      </c>
      <c r="R185" s="130" t="s">
        <v>1191</v>
      </c>
      <c r="S185" s="130" t="s">
        <v>1191</v>
      </c>
      <c r="T185" s="130" t="s">
        <v>1130</v>
      </c>
      <c r="U185" s="130">
        <v>0</v>
      </c>
      <c r="V185" s="131">
        <v>10000</v>
      </c>
      <c r="W185" s="131">
        <v>10000</v>
      </c>
      <c r="X185" s="131">
        <v>10000</v>
      </c>
      <c r="Y185" s="131">
        <v>0</v>
      </c>
      <c r="Z185" s="131">
        <v>10000</v>
      </c>
      <c r="AA185" s="131">
        <v>0</v>
      </c>
      <c r="AB185" s="131">
        <v>0</v>
      </c>
      <c r="AC185" s="131">
        <v>10000</v>
      </c>
      <c r="AD185" s="131">
        <v>0</v>
      </c>
      <c r="AE185" s="132">
        <v>10000</v>
      </c>
    </row>
    <row r="186" spans="1:31" x14ac:dyDescent="0.2">
      <c r="A186" s="130">
        <v>33</v>
      </c>
      <c r="B186" s="130" t="s">
        <v>1397</v>
      </c>
      <c r="C186" s="130" t="s">
        <v>1114</v>
      </c>
      <c r="D186" s="130" t="s">
        <v>1367</v>
      </c>
      <c r="E186" s="130" t="s">
        <v>1116</v>
      </c>
      <c r="F186" s="130" t="s">
        <v>1117</v>
      </c>
      <c r="G186" s="130" t="s">
        <v>1118</v>
      </c>
      <c r="H186" s="130" t="s">
        <v>1119</v>
      </c>
      <c r="I186" s="130" t="s">
        <v>1120</v>
      </c>
      <c r="J186" s="130" t="s">
        <v>1358</v>
      </c>
      <c r="K186" s="130" t="s">
        <v>1131</v>
      </c>
      <c r="L186" s="130" t="s">
        <v>1398</v>
      </c>
      <c r="M186" s="130" t="s">
        <v>1360</v>
      </c>
      <c r="N186" s="130" t="s">
        <v>168</v>
      </c>
      <c r="O186" s="130" t="s">
        <v>1361</v>
      </c>
      <c r="P186" s="130" t="s">
        <v>1366</v>
      </c>
      <c r="Q186" s="130" t="s">
        <v>1127</v>
      </c>
      <c r="R186" s="130" t="s">
        <v>1128</v>
      </c>
      <c r="S186" s="130" t="s">
        <v>1129</v>
      </c>
      <c r="T186" s="130" t="s">
        <v>1130</v>
      </c>
      <c r="U186" s="130">
        <v>0</v>
      </c>
      <c r="V186" s="131">
        <v>1500000</v>
      </c>
      <c r="W186" s="131">
        <v>1500000</v>
      </c>
      <c r="X186" s="131">
        <v>1500000</v>
      </c>
      <c r="Y186" s="131">
        <v>0</v>
      </c>
      <c r="Z186" s="131">
        <v>1500000</v>
      </c>
      <c r="AA186" s="131">
        <v>0</v>
      </c>
      <c r="AB186" s="131">
        <v>647037.99</v>
      </c>
      <c r="AC186" s="131">
        <v>852962.01</v>
      </c>
      <c r="AD186" s="131">
        <v>647037.99</v>
      </c>
      <c r="AE186" s="132">
        <v>852962.01</v>
      </c>
    </row>
    <row r="187" spans="1:31" x14ac:dyDescent="0.2">
      <c r="A187" s="133">
        <v>33</v>
      </c>
      <c r="B187" s="133" t="s">
        <v>1397</v>
      </c>
      <c r="C187" s="133" t="s">
        <v>1114</v>
      </c>
      <c r="D187" s="133" t="s">
        <v>1367</v>
      </c>
      <c r="E187" s="133" t="s">
        <v>1116</v>
      </c>
      <c r="F187" s="133" t="s">
        <v>1117</v>
      </c>
      <c r="G187" s="133" t="s">
        <v>1118</v>
      </c>
      <c r="H187" s="133" t="s">
        <v>1119</v>
      </c>
      <c r="I187" s="133" t="s">
        <v>1120</v>
      </c>
      <c r="J187" s="133" t="s">
        <v>1358</v>
      </c>
      <c r="K187" s="130" t="s">
        <v>1177</v>
      </c>
      <c r="L187" s="130" t="s">
        <v>1398</v>
      </c>
      <c r="M187" s="130" t="s">
        <v>1360</v>
      </c>
      <c r="N187" s="130" t="s">
        <v>168</v>
      </c>
      <c r="O187" s="130" t="s">
        <v>1361</v>
      </c>
      <c r="P187" s="130" t="s">
        <v>1366</v>
      </c>
      <c r="Q187" s="130" t="s">
        <v>1127</v>
      </c>
      <c r="R187" s="130" t="s">
        <v>1128</v>
      </c>
      <c r="S187" s="130" t="s">
        <v>1129</v>
      </c>
      <c r="T187" s="130" t="s">
        <v>1130</v>
      </c>
      <c r="U187" s="130">
        <v>0</v>
      </c>
      <c r="V187" s="131">
        <v>1800000</v>
      </c>
      <c r="W187" s="131">
        <v>1800000</v>
      </c>
      <c r="X187" s="131">
        <v>1608760.34</v>
      </c>
      <c r="Y187" s="131">
        <v>191239.65999999992</v>
      </c>
      <c r="Z187" s="131">
        <v>392208.82</v>
      </c>
      <c r="AA187" s="131">
        <v>1407791.18</v>
      </c>
      <c r="AB187" s="131">
        <v>324082.82</v>
      </c>
      <c r="AC187" s="131">
        <v>1475917.18</v>
      </c>
      <c r="AD187" s="131">
        <v>276636.42</v>
      </c>
      <c r="AE187" s="132">
        <v>1523363.58</v>
      </c>
    </row>
    <row r="188" spans="1:31" x14ac:dyDescent="0.2">
      <c r="A188" s="133">
        <v>33</v>
      </c>
      <c r="B188" s="133" t="s">
        <v>1397</v>
      </c>
      <c r="C188" s="133" t="s">
        <v>1114</v>
      </c>
      <c r="D188" s="133" t="s">
        <v>1367</v>
      </c>
      <c r="E188" s="133" t="s">
        <v>1116</v>
      </c>
      <c r="F188" s="133" t="s">
        <v>1117</v>
      </c>
      <c r="G188" s="133" t="s">
        <v>1118</v>
      </c>
      <c r="H188" s="133" t="s">
        <v>1119</v>
      </c>
      <c r="I188" s="133" t="s">
        <v>1120</v>
      </c>
      <c r="J188" s="133" t="s">
        <v>1358</v>
      </c>
      <c r="K188" s="130" t="s">
        <v>1132</v>
      </c>
      <c r="L188" s="130" t="s">
        <v>1398</v>
      </c>
      <c r="M188" s="130" t="s">
        <v>1360</v>
      </c>
      <c r="N188" s="130" t="s">
        <v>168</v>
      </c>
      <c r="O188" s="130" t="s">
        <v>1361</v>
      </c>
      <c r="P188" s="130" t="s">
        <v>1366</v>
      </c>
      <c r="Q188" s="130" t="s">
        <v>1127</v>
      </c>
      <c r="R188" s="130" t="s">
        <v>1128</v>
      </c>
      <c r="S188" s="130" t="s">
        <v>1129</v>
      </c>
      <c r="T188" s="130" t="s">
        <v>1130</v>
      </c>
      <c r="U188" s="130">
        <v>0</v>
      </c>
      <c r="V188" s="131">
        <v>200000</v>
      </c>
      <c r="W188" s="131">
        <v>200000</v>
      </c>
      <c r="X188" s="131">
        <v>0</v>
      </c>
      <c r="Y188" s="131">
        <v>200000</v>
      </c>
      <c r="Z188" s="131">
        <v>0</v>
      </c>
      <c r="AA188" s="131">
        <v>200000</v>
      </c>
      <c r="AB188" s="131">
        <v>0</v>
      </c>
      <c r="AC188" s="131">
        <v>200000</v>
      </c>
      <c r="AD188" s="131">
        <v>0</v>
      </c>
      <c r="AE188" s="132">
        <v>200000</v>
      </c>
    </row>
    <row r="189" spans="1:31" x14ac:dyDescent="0.2">
      <c r="A189" s="133">
        <v>33</v>
      </c>
      <c r="B189" s="133" t="s">
        <v>1397</v>
      </c>
      <c r="C189" s="133" t="s">
        <v>1114</v>
      </c>
      <c r="D189" s="133" t="s">
        <v>1367</v>
      </c>
      <c r="E189" s="133" t="s">
        <v>1116</v>
      </c>
      <c r="F189" s="133" t="s">
        <v>1117</v>
      </c>
      <c r="G189" s="133" t="s">
        <v>1118</v>
      </c>
      <c r="H189" s="130" t="s">
        <v>1149</v>
      </c>
      <c r="I189" s="130" t="s">
        <v>1182</v>
      </c>
      <c r="J189" s="130" t="s">
        <v>1377</v>
      </c>
      <c r="K189" s="130" t="s">
        <v>1378</v>
      </c>
      <c r="L189" s="130" t="s">
        <v>1398</v>
      </c>
      <c r="M189" s="130" t="s">
        <v>1360</v>
      </c>
      <c r="N189" s="130" t="s">
        <v>168</v>
      </c>
      <c r="O189" s="130" t="s">
        <v>1361</v>
      </c>
      <c r="P189" s="130" t="s">
        <v>1366</v>
      </c>
      <c r="Q189" s="130" t="s">
        <v>1127</v>
      </c>
      <c r="R189" s="130" t="s">
        <v>1128</v>
      </c>
      <c r="S189" s="130" t="s">
        <v>1129</v>
      </c>
      <c r="T189" s="130" t="s">
        <v>1130</v>
      </c>
      <c r="U189" s="130">
        <v>0</v>
      </c>
      <c r="V189" s="131">
        <v>0</v>
      </c>
      <c r="W189" s="131">
        <v>0</v>
      </c>
      <c r="X189" s="131">
        <v>0</v>
      </c>
      <c r="Y189" s="131">
        <v>0</v>
      </c>
      <c r="Z189" s="131">
        <v>0</v>
      </c>
      <c r="AA189" s="131">
        <v>0</v>
      </c>
      <c r="AB189" s="131">
        <v>0</v>
      </c>
      <c r="AC189" s="131">
        <v>0</v>
      </c>
      <c r="AD189" s="131">
        <v>0</v>
      </c>
      <c r="AE189" s="132">
        <v>0</v>
      </c>
    </row>
    <row r="190" spans="1:31" x14ac:dyDescent="0.2">
      <c r="A190" s="133">
        <v>33</v>
      </c>
      <c r="B190" s="133" t="s">
        <v>1397</v>
      </c>
      <c r="C190" s="133" t="s">
        <v>1114</v>
      </c>
      <c r="D190" s="133" t="s">
        <v>1367</v>
      </c>
      <c r="E190" s="133" t="s">
        <v>1116</v>
      </c>
      <c r="F190" s="133" t="s">
        <v>1117</v>
      </c>
      <c r="G190" s="133" t="s">
        <v>1118</v>
      </c>
      <c r="H190" s="130" t="s">
        <v>1133</v>
      </c>
      <c r="I190" s="130" t="s">
        <v>1134</v>
      </c>
      <c r="J190" s="130" t="s">
        <v>1135</v>
      </c>
      <c r="K190" s="130" t="s">
        <v>1178</v>
      </c>
      <c r="L190" s="130" t="s">
        <v>1398</v>
      </c>
      <c r="M190" s="130" t="s">
        <v>1360</v>
      </c>
      <c r="N190" s="130" t="s">
        <v>168</v>
      </c>
      <c r="O190" s="130" t="s">
        <v>1361</v>
      </c>
      <c r="P190" s="130" t="s">
        <v>1366</v>
      </c>
      <c r="Q190" s="130" t="s">
        <v>1127</v>
      </c>
      <c r="R190" s="130" t="s">
        <v>1128</v>
      </c>
      <c r="S190" s="130" t="s">
        <v>1129</v>
      </c>
      <c r="T190" s="130" t="s">
        <v>1130</v>
      </c>
      <c r="U190" s="130">
        <v>0</v>
      </c>
      <c r="V190" s="131">
        <v>0</v>
      </c>
      <c r="W190" s="131">
        <v>0</v>
      </c>
      <c r="X190" s="131">
        <v>0</v>
      </c>
      <c r="Y190" s="131">
        <v>0</v>
      </c>
      <c r="Z190" s="131">
        <v>0</v>
      </c>
      <c r="AA190" s="131">
        <v>0</v>
      </c>
      <c r="AB190" s="131">
        <v>0</v>
      </c>
      <c r="AC190" s="131">
        <v>0</v>
      </c>
      <c r="AD190" s="131">
        <v>0</v>
      </c>
      <c r="AE190" s="132">
        <v>0</v>
      </c>
    </row>
    <row r="191" spans="1:31" x14ac:dyDescent="0.2">
      <c r="A191" s="133">
        <v>33</v>
      </c>
      <c r="B191" s="133" t="s">
        <v>1397</v>
      </c>
      <c r="C191" s="133" t="s">
        <v>1114</v>
      </c>
      <c r="D191" s="133" t="s">
        <v>1367</v>
      </c>
      <c r="E191" s="130" t="s">
        <v>1143</v>
      </c>
      <c r="F191" s="130" t="s">
        <v>1117</v>
      </c>
      <c r="G191" s="130" t="s">
        <v>1118</v>
      </c>
      <c r="H191" s="130" t="s">
        <v>1119</v>
      </c>
      <c r="I191" s="130" t="s">
        <v>1120</v>
      </c>
      <c r="J191" s="130" t="s">
        <v>1358</v>
      </c>
      <c r="K191" s="130" t="s">
        <v>1131</v>
      </c>
      <c r="L191" s="130" t="s">
        <v>1398</v>
      </c>
      <c r="M191" s="130" t="s">
        <v>1360</v>
      </c>
      <c r="N191" s="130" t="s">
        <v>168</v>
      </c>
      <c r="O191" s="130" t="s">
        <v>1361</v>
      </c>
      <c r="P191" s="130" t="s">
        <v>1366</v>
      </c>
      <c r="Q191" s="130" t="s">
        <v>1127</v>
      </c>
      <c r="R191" s="130" t="s">
        <v>1128</v>
      </c>
      <c r="S191" s="130" t="s">
        <v>1129</v>
      </c>
      <c r="T191" s="130" t="s">
        <v>1130</v>
      </c>
      <c r="U191" s="130">
        <v>0</v>
      </c>
      <c r="V191" s="131">
        <v>2584236</v>
      </c>
      <c r="W191" s="131">
        <v>2584236</v>
      </c>
      <c r="X191" s="131">
        <v>2584235.2000000002</v>
      </c>
      <c r="Y191" s="131">
        <v>0.79999999981373549</v>
      </c>
      <c r="Z191" s="131">
        <v>2584235.2000000002</v>
      </c>
      <c r="AA191" s="131">
        <v>0.79999999981373549</v>
      </c>
      <c r="AB191" s="131">
        <v>2584235.1999999997</v>
      </c>
      <c r="AC191" s="131">
        <v>0.80000000027939677</v>
      </c>
      <c r="AD191" s="131">
        <v>2584235.1999999997</v>
      </c>
      <c r="AE191" s="132">
        <v>0.80000000027939677</v>
      </c>
    </row>
    <row r="192" spans="1:31" x14ac:dyDescent="0.2">
      <c r="A192" s="133">
        <v>33</v>
      </c>
      <c r="B192" s="133" t="s">
        <v>1397</v>
      </c>
      <c r="C192" s="133" t="s">
        <v>1114</v>
      </c>
      <c r="D192" s="133" t="s">
        <v>1367</v>
      </c>
      <c r="E192" s="133" t="s">
        <v>1143</v>
      </c>
      <c r="F192" s="133" t="s">
        <v>1117</v>
      </c>
      <c r="G192" s="133" t="s">
        <v>1118</v>
      </c>
      <c r="H192" s="133" t="s">
        <v>1119</v>
      </c>
      <c r="I192" s="133" t="s">
        <v>1120</v>
      </c>
      <c r="J192" s="133" t="s">
        <v>1358</v>
      </c>
      <c r="K192" s="130" t="s">
        <v>1177</v>
      </c>
      <c r="L192" s="130" t="s">
        <v>1398</v>
      </c>
      <c r="M192" s="130" t="s">
        <v>1360</v>
      </c>
      <c r="N192" s="130" t="s">
        <v>168</v>
      </c>
      <c r="O192" s="130" t="s">
        <v>1361</v>
      </c>
      <c r="P192" s="130" t="s">
        <v>1366</v>
      </c>
      <c r="Q192" s="130" t="s">
        <v>1127</v>
      </c>
      <c r="R192" s="130" t="s">
        <v>1128</v>
      </c>
      <c r="S192" s="130" t="s">
        <v>1129</v>
      </c>
      <c r="T192" s="130" t="s">
        <v>1130</v>
      </c>
      <c r="U192" s="130">
        <v>8016014</v>
      </c>
      <c r="V192" s="131">
        <v>-3604471</v>
      </c>
      <c r="W192" s="131">
        <v>4411543</v>
      </c>
      <c r="X192" s="131">
        <v>3940126.49</v>
      </c>
      <c r="Y192" s="131">
        <v>471416.50999999978</v>
      </c>
      <c r="Z192" s="131">
        <v>2882010.9</v>
      </c>
      <c r="AA192" s="131">
        <v>1529532.1</v>
      </c>
      <c r="AB192" s="131">
        <v>2111090.9</v>
      </c>
      <c r="AC192" s="131">
        <v>2300452.1</v>
      </c>
      <c r="AD192" s="131">
        <v>1676566.04</v>
      </c>
      <c r="AE192" s="132">
        <v>2734976.96</v>
      </c>
    </row>
    <row r="193" spans="1:31" x14ac:dyDescent="0.2">
      <c r="A193" s="133">
        <v>33</v>
      </c>
      <c r="B193" s="133" t="s">
        <v>1397</v>
      </c>
      <c r="C193" s="133" t="s">
        <v>1114</v>
      </c>
      <c r="D193" s="133" t="s">
        <v>1367</v>
      </c>
      <c r="E193" s="133" t="s">
        <v>1143</v>
      </c>
      <c r="F193" s="133" t="s">
        <v>1117</v>
      </c>
      <c r="G193" s="133" t="s">
        <v>1118</v>
      </c>
      <c r="H193" s="133" t="s">
        <v>1119</v>
      </c>
      <c r="I193" s="133" t="s">
        <v>1120</v>
      </c>
      <c r="J193" s="133" t="s">
        <v>1358</v>
      </c>
      <c r="K193" s="130" t="s">
        <v>1132</v>
      </c>
      <c r="L193" s="130" t="s">
        <v>1398</v>
      </c>
      <c r="M193" s="130" t="s">
        <v>1360</v>
      </c>
      <c r="N193" s="130" t="s">
        <v>168</v>
      </c>
      <c r="O193" s="130" t="s">
        <v>1361</v>
      </c>
      <c r="P193" s="130" t="s">
        <v>1366</v>
      </c>
      <c r="Q193" s="130" t="s">
        <v>1127</v>
      </c>
      <c r="R193" s="130" t="s">
        <v>1128</v>
      </c>
      <c r="S193" s="130" t="s">
        <v>1129</v>
      </c>
      <c r="T193" s="130" t="s">
        <v>1130</v>
      </c>
      <c r="U193" s="130">
        <v>0</v>
      </c>
      <c r="V193" s="131">
        <v>549769</v>
      </c>
      <c r="W193" s="131">
        <v>549769</v>
      </c>
      <c r="X193" s="131">
        <v>549768.94999999995</v>
      </c>
      <c r="Y193" s="131">
        <v>5.0000000046566129E-2</v>
      </c>
      <c r="Z193" s="131">
        <v>549768.94999999995</v>
      </c>
      <c r="AA193" s="131">
        <v>5.0000000046566129E-2</v>
      </c>
      <c r="AB193" s="131">
        <v>549768.94999999995</v>
      </c>
      <c r="AC193" s="131">
        <v>5.0000000046566129E-2</v>
      </c>
      <c r="AD193" s="131">
        <v>469931.95</v>
      </c>
      <c r="AE193" s="132">
        <v>79837.049999999988</v>
      </c>
    </row>
    <row r="194" spans="1:31" x14ac:dyDescent="0.2">
      <c r="A194" s="133">
        <v>33</v>
      </c>
      <c r="B194" s="133" t="s">
        <v>1397</v>
      </c>
      <c r="C194" s="133" t="s">
        <v>1114</v>
      </c>
      <c r="D194" s="133" t="s">
        <v>1367</v>
      </c>
      <c r="E194" s="133" t="s">
        <v>1143</v>
      </c>
      <c r="F194" s="133" t="s">
        <v>1117</v>
      </c>
      <c r="G194" s="133" t="s">
        <v>1118</v>
      </c>
      <c r="H194" s="130" t="s">
        <v>1149</v>
      </c>
      <c r="I194" s="130" t="s">
        <v>1182</v>
      </c>
      <c r="J194" s="130" t="s">
        <v>1377</v>
      </c>
      <c r="K194" s="130" t="s">
        <v>1378</v>
      </c>
      <c r="L194" s="130" t="s">
        <v>1398</v>
      </c>
      <c r="M194" s="130" t="s">
        <v>1360</v>
      </c>
      <c r="N194" s="130" t="s">
        <v>168</v>
      </c>
      <c r="O194" s="130" t="s">
        <v>1361</v>
      </c>
      <c r="P194" s="130" t="s">
        <v>1366</v>
      </c>
      <c r="Q194" s="130" t="s">
        <v>1127</v>
      </c>
      <c r="R194" s="130" t="s">
        <v>1128</v>
      </c>
      <c r="S194" s="130" t="s">
        <v>1129</v>
      </c>
      <c r="T194" s="130" t="s">
        <v>1130</v>
      </c>
      <c r="U194" s="130">
        <v>0</v>
      </c>
      <c r="V194" s="131">
        <v>10251</v>
      </c>
      <c r="W194" s="131">
        <v>10251</v>
      </c>
      <c r="X194" s="131">
        <v>10250.799999999999</v>
      </c>
      <c r="Y194" s="131">
        <v>0.2000000000007276</v>
      </c>
      <c r="Z194" s="131">
        <v>10250.799999999999</v>
      </c>
      <c r="AA194" s="131">
        <v>0.2000000000007276</v>
      </c>
      <c r="AB194" s="131">
        <v>10250.799999999999</v>
      </c>
      <c r="AC194" s="131">
        <v>0.2000000000007276</v>
      </c>
      <c r="AD194" s="131">
        <v>10250.799999999999</v>
      </c>
      <c r="AE194" s="132">
        <v>0.2000000000007276</v>
      </c>
    </row>
    <row r="195" spans="1:31" x14ac:dyDescent="0.2">
      <c r="A195" s="133">
        <v>33</v>
      </c>
      <c r="B195" s="133" t="s">
        <v>1397</v>
      </c>
      <c r="C195" s="133" t="s">
        <v>1114</v>
      </c>
      <c r="D195" s="133" t="s">
        <v>1367</v>
      </c>
      <c r="E195" s="133" t="s">
        <v>1143</v>
      </c>
      <c r="F195" s="133" t="s">
        <v>1117</v>
      </c>
      <c r="G195" s="133" t="s">
        <v>1118</v>
      </c>
      <c r="H195" s="130" t="s">
        <v>1133</v>
      </c>
      <c r="I195" s="130" t="s">
        <v>1134</v>
      </c>
      <c r="J195" s="130" t="s">
        <v>1135</v>
      </c>
      <c r="K195" s="130" t="s">
        <v>1178</v>
      </c>
      <c r="L195" s="130" t="s">
        <v>1398</v>
      </c>
      <c r="M195" s="130" t="s">
        <v>1360</v>
      </c>
      <c r="N195" s="130" t="s">
        <v>168</v>
      </c>
      <c r="O195" s="130" t="s">
        <v>1361</v>
      </c>
      <c r="P195" s="130" t="s">
        <v>1366</v>
      </c>
      <c r="Q195" s="130" t="s">
        <v>1127</v>
      </c>
      <c r="R195" s="130" t="s">
        <v>1128</v>
      </c>
      <c r="S195" s="130" t="s">
        <v>1129</v>
      </c>
      <c r="T195" s="130" t="s">
        <v>1130</v>
      </c>
      <c r="U195" s="130">
        <v>0</v>
      </c>
      <c r="V195" s="131">
        <v>410000</v>
      </c>
      <c r="W195" s="131">
        <v>410000</v>
      </c>
      <c r="X195" s="131">
        <v>410000</v>
      </c>
      <c r="Y195" s="131">
        <v>0</v>
      </c>
      <c r="Z195" s="131">
        <v>410000</v>
      </c>
      <c r="AA195" s="131">
        <v>0</v>
      </c>
      <c r="AB195" s="131">
        <v>287625.45999999996</v>
      </c>
      <c r="AC195" s="131">
        <v>122374.54000000004</v>
      </c>
      <c r="AD195" s="131">
        <v>283730.83999999997</v>
      </c>
      <c r="AE195" s="132">
        <v>126269.16000000003</v>
      </c>
    </row>
    <row r="196" spans="1:31" x14ac:dyDescent="0.2">
      <c r="A196" s="133">
        <v>33</v>
      </c>
      <c r="B196" s="133" t="s">
        <v>1397</v>
      </c>
      <c r="C196" s="133" t="s">
        <v>1114</v>
      </c>
      <c r="D196" s="133" t="s">
        <v>1367</v>
      </c>
      <c r="E196" s="133" t="s">
        <v>1143</v>
      </c>
      <c r="F196" s="133" t="s">
        <v>1117</v>
      </c>
      <c r="G196" s="133" t="s">
        <v>1118</v>
      </c>
      <c r="H196" s="133" t="s">
        <v>1133</v>
      </c>
      <c r="I196" s="133" t="s">
        <v>1134</v>
      </c>
      <c r="J196" s="133" t="s">
        <v>1135</v>
      </c>
      <c r="K196" s="130" t="s">
        <v>1179</v>
      </c>
      <c r="L196" s="130" t="s">
        <v>1398</v>
      </c>
      <c r="M196" s="130" t="s">
        <v>1360</v>
      </c>
      <c r="N196" s="130" t="s">
        <v>168</v>
      </c>
      <c r="O196" s="130" t="s">
        <v>1361</v>
      </c>
      <c r="P196" s="130" t="s">
        <v>1366</v>
      </c>
      <c r="Q196" s="130" t="s">
        <v>1127</v>
      </c>
      <c r="R196" s="130" t="s">
        <v>1128</v>
      </c>
      <c r="S196" s="130" t="s">
        <v>1129</v>
      </c>
      <c r="T196" s="130" t="s">
        <v>1130</v>
      </c>
      <c r="U196" s="130">
        <v>0</v>
      </c>
      <c r="V196" s="131">
        <v>17140</v>
      </c>
      <c r="W196" s="131">
        <v>17140</v>
      </c>
      <c r="X196" s="131">
        <v>17139.400000000001</v>
      </c>
      <c r="Y196" s="131">
        <v>0.59999999999854481</v>
      </c>
      <c r="Z196" s="131">
        <v>16519.580000000002</v>
      </c>
      <c r="AA196" s="131">
        <v>620.41999999999825</v>
      </c>
      <c r="AB196" s="131">
        <v>16519.580000000002</v>
      </c>
      <c r="AC196" s="131">
        <v>620.41999999999825</v>
      </c>
      <c r="AD196" s="131">
        <v>2515.4</v>
      </c>
      <c r="AE196" s="132">
        <v>14624.6</v>
      </c>
    </row>
    <row r="197" spans="1:31" x14ac:dyDescent="0.2">
      <c r="A197" s="133">
        <v>33</v>
      </c>
      <c r="B197" s="133" t="s">
        <v>1397</v>
      </c>
      <c r="C197" s="133" t="s">
        <v>1114</v>
      </c>
      <c r="D197" s="133" t="s">
        <v>1367</v>
      </c>
      <c r="E197" s="133" t="s">
        <v>1143</v>
      </c>
      <c r="F197" s="133" t="s">
        <v>1117</v>
      </c>
      <c r="G197" s="133" t="s">
        <v>1118</v>
      </c>
      <c r="H197" s="133" t="s">
        <v>1133</v>
      </c>
      <c r="I197" s="133" t="s">
        <v>1134</v>
      </c>
      <c r="J197" s="133" t="s">
        <v>1135</v>
      </c>
      <c r="K197" s="130" t="s">
        <v>1144</v>
      </c>
      <c r="L197" s="130" t="s">
        <v>1398</v>
      </c>
      <c r="M197" s="130" t="s">
        <v>1360</v>
      </c>
      <c r="N197" s="130" t="s">
        <v>168</v>
      </c>
      <c r="O197" s="130" t="s">
        <v>1361</v>
      </c>
      <c r="P197" s="130" t="s">
        <v>1366</v>
      </c>
      <c r="Q197" s="130" t="s">
        <v>1127</v>
      </c>
      <c r="R197" s="130" t="s">
        <v>1128</v>
      </c>
      <c r="S197" s="130" t="s">
        <v>1129</v>
      </c>
      <c r="T197" s="130" t="s">
        <v>1130</v>
      </c>
      <c r="U197" s="130">
        <v>0</v>
      </c>
      <c r="V197" s="131">
        <v>33075</v>
      </c>
      <c r="W197" s="131">
        <v>33075</v>
      </c>
      <c r="X197" s="131">
        <v>33075</v>
      </c>
      <c r="Y197" s="131">
        <v>0</v>
      </c>
      <c r="Z197" s="131">
        <v>33075</v>
      </c>
      <c r="AA197" s="131">
        <v>0</v>
      </c>
      <c r="AB197" s="131">
        <v>33075</v>
      </c>
      <c r="AC197" s="131">
        <v>0</v>
      </c>
      <c r="AD197" s="131">
        <v>8550</v>
      </c>
      <c r="AE197" s="132">
        <v>24525</v>
      </c>
    </row>
    <row r="198" spans="1:31" x14ac:dyDescent="0.2">
      <c r="A198" s="130">
        <v>34</v>
      </c>
      <c r="B198" s="130" t="s">
        <v>1399</v>
      </c>
      <c r="C198" s="130" t="s">
        <v>1114</v>
      </c>
      <c r="D198" s="130" t="s">
        <v>1367</v>
      </c>
      <c r="E198" s="130" t="s">
        <v>1116</v>
      </c>
      <c r="F198" s="130" t="s">
        <v>1117</v>
      </c>
      <c r="G198" s="130" t="s">
        <v>1118</v>
      </c>
      <c r="H198" s="130" t="s">
        <v>1119</v>
      </c>
      <c r="I198" s="130" t="s">
        <v>1120</v>
      </c>
      <c r="J198" s="130" t="s">
        <v>1358</v>
      </c>
      <c r="K198" s="130" t="s">
        <v>1122</v>
      </c>
      <c r="L198" s="130" t="s">
        <v>1400</v>
      </c>
      <c r="M198" s="130" t="s">
        <v>1360</v>
      </c>
      <c r="N198" s="130" t="s">
        <v>168</v>
      </c>
      <c r="O198" s="130" t="s">
        <v>1361</v>
      </c>
      <c r="P198" s="130" t="s">
        <v>1366</v>
      </c>
      <c r="Q198" s="130" t="s">
        <v>1127</v>
      </c>
      <c r="R198" s="130" t="s">
        <v>1175</v>
      </c>
      <c r="S198" s="130" t="s">
        <v>1401</v>
      </c>
      <c r="T198" s="130" t="s">
        <v>1130</v>
      </c>
      <c r="U198" s="130">
        <v>12431185</v>
      </c>
      <c r="V198" s="131">
        <v>8473170</v>
      </c>
      <c r="W198" s="131">
        <v>20904355</v>
      </c>
      <c r="X198" s="131">
        <v>20904355</v>
      </c>
      <c r="Y198" s="131">
        <v>0</v>
      </c>
      <c r="Z198" s="131">
        <v>20904355</v>
      </c>
      <c r="AA198" s="131">
        <v>0</v>
      </c>
      <c r="AB198" s="131">
        <v>2385000</v>
      </c>
      <c r="AC198" s="131">
        <v>18519355</v>
      </c>
      <c r="AD198" s="131">
        <v>2385000</v>
      </c>
      <c r="AE198" s="132">
        <v>18519355</v>
      </c>
    </row>
    <row r="199" spans="1:31" x14ac:dyDescent="0.2">
      <c r="A199" s="133">
        <v>34</v>
      </c>
      <c r="B199" s="133" t="s">
        <v>1399</v>
      </c>
      <c r="C199" s="133" t="s">
        <v>1114</v>
      </c>
      <c r="D199" s="133" t="s">
        <v>1367</v>
      </c>
      <c r="E199" s="133" t="s">
        <v>1116</v>
      </c>
      <c r="F199" s="133" t="s">
        <v>1117</v>
      </c>
      <c r="G199" s="133" t="s">
        <v>1118</v>
      </c>
      <c r="H199" s="130" t="s">
        <v>1149</v>
      </c>
      <c r="I199" s="130" t="s">
        <v>1182</v>
      </c>
      <c r="J199" s="130" t="s">
        <v>1377</v>
      </c>
      <c r="K199" s="130" t="s">
        <v>1378</v>
      </c>
      <c r="L199" s="130" t="s">
        <v>1400</v>
      </c>
      <c r="M199" s="130" t="s">
        <v>1360</v>
      </c>
      <c r="N199" s="130" t="s">
        <v>168</v>
      </c>
      <c r="O199" s="130" t="s">
        <v>1361</v>
      </c>
      <c r="P199" s="130" t="s">
        <v>1366</v>
      </c>
      <c r="Q199" s="130" t="s">
        <v>1127</v>
      </c>
      <c r="R199" s="130" t="s">
        <v>1175</v>
      </c>
      <c r="S199" s="130" t="s">
        <v>1401</v>
      </c>
      <c r="T199" s="130" t="s">
        <v>1130</v>
      </c>
      <c r="U199" s="130">
        <v>0</v>
      </c>
      <c r="V199" s="131">
        <v>4000</v>
      </c>
      <c r="W199" s="131">
        <v>4000</v>
      </c>
      <c r="X199" s="131">
        <v>0</v>
      </c>
      <c r="Y199" s="131">
        <v>4000</v>
      </c>
      <c r="Z199" s="131">
        <v>0</v>
      </c>
      <c r="AA199" s="131">
        <v>4000</v>
      </c>
      <c r="AB199" s="131">
        <v>0</v>
      </c>
      <c r="AC199" s="131">
        <v>4000</v>
      </c>
      <c r="AD199" s="131">
        <v>0</v>
      </c>
      <c r="AE199" s="132">
        <v>4000</v>
      </c>
    </row>
    <row r="200" spans="1:31" x14ac:dyDescent="0.2">
      <c r="A200" s="133">
        <v>34</v>
      </c>
      <c r="B200" s="133" t="s">
        <v>1399</v>
      </c>
      <c r="C200" s="133" t="s">
        <v>1114</v>
      </c>
      <c r="D200" s="133" t="s">
        <v>1367</v>
      </c>
      <c r="E200" s="133" t="s">
        <v>1116</v>
      </c>
      <c r="F200" s="133" t="s">
        <v>1117</v>
      </c>
      <c r="G200" s="133" t="s">
        <v>1118</v>
      </c>
      <c r="H200" s="133" t="s">
        <v>1149</v>
      </c>
      <c r="I200" s="133" t="s">
        <v>1182</v>
      </c>
      <c r="J200" s="130" t="s">
        <v>1347</v>
      </c>
      <c r="K200" s="130" t="s">
        <v>1348</v>
      </c>
      <c r="L200" s="130" t="s">
        <v>1400</v>
      </c>
      <c r="M200" s="130" t="s">
        <v>1360</v>
      </c>
      <c r="N200" s="130" t="s">
        <v>168</v>
      </c>
      <c r="O200" s="130" t="s">
        <v>1361</v>
      </c>
      <c r="P200" s="130" t="s">
        <v>1366</v>
      </c>
      <c r="Q200" s="130" t="s">
        <v>1127</v>
      </c>
      <c r="R200" s="130" t="s">
        <v>1175</v>
      </c>
      <c r="S200" s="130" t="s">
        <v>1401</v>
      </c>
      <c r="T200" s="130" t="s">
        <v>1130</v>
      </c>
      <c r="U200" s="130">
        <v>0</v>
      </c>
      <c r="V200" s="131">
        <v>0</v>
      </c>
      <c r="W200" s="131">
        <v>0</v>
      </c>
      <c r="X200" s="131">
        <v>0</v>
      </c>
      <c r="Y200" s="131">
        <v>0</v>
      </c>
      <c r="Z200" s="131">
        <v>0</v>
      </c>
      <c r="AA200" s="131">
        <v>0</v>
      </c>
      <c r="AB200" s="131">
        <v>0</v>
      </c>
      <c r="AC200" s="131">
        <v>0</v>
      </c>
      <c r="AD200" s="131">
        <v>0</v>
      </c>
      <c r="AE200" s="132">
        <v>0</v>
      </c>
    </row>
    <row r="201" spans="1:31" x14ac:dyDescent="0.2">
      <c r="A201" s="133">
        <v>34</v>
      </c>
      <c r="B201" s="133" t="s">
        <v>1399</v>
      </c>
      <c r="C201" s="133" t="s">
        <v>1114</v>
      </c>
      <c r="D201" s="133" t="s">
        <v>1367</v>
      </c>
      <c r="E201" s="133" t="s">
        <v>1116</v>
      </c>
      <c r="F201" s="133" t="s">
        <v>1117</v>
      </c>
      <c r="G201" s="133" t="s">
        <v>1118</v>
      </c>
      <c r="H201" s="130" t="s">
        <v>1133</v>
      </c>
      <c r="I201" s="130" t="s">
        <v>1134</v>
      </c>
      <c r="J201" s="130" t="s">
        <v>1135</v>
      </c>
      <c r="K201" s="130" t="s">
        <v>1178</v>
      </c>
      <c r="L201" s="130" t="s">
        <v>1400</v>
      </c>
      <c r="M201" s="130" t="s">
        <v>1360</v>
      </c>
      <c r="N201" s="130" t="s">
        <v>168</v>
      </c>
      <c r="O201" s="130" t="s">
        <v>1361</v>
      </c>
      <c r="P201" s="130" t="s">
        <v>1366</v>
      </c>
      <c r="Q201" s="130" t="s">
        <v>1127</v>
      </c>
      <c r="R201" s="130" t="s">
        <v>1175</v>
      </c>
      <c r="S201" s="130" t="s">
        <v>1401</v>
      </c>
      <c r="T201" s="130" t="s">
        <v>1130</v>
      </c>
      <c r="U201" s="130">
        <v>0</v>
      </c>
      <c r="V201" s="131">
        <v>208820</v>
      </c>
      <c r="W201" s="131">
        <v>208820</v>
      </c>
      <c r="X201" s="131">
        <v>208820</v>
      </c>
      <c r="Y201" s="131">
        <v>0</v>
      </c>
      <c r="Z201" s="131">
        <v>120000</v>
      </c>
      <c r="AA201" s="131">
        <v>88820</v>
      </c>
      <c r="AB201" s="131">
        <v>35903.82</v>
      </c>
      <c r="AC201" s="131">
        <v>172916.18</v>
      </c>
      <c r="AD201" s="131">
        <v>35903.82</v>
      </c>
      <c r="AE201" s="132">
        <v>172916.18</v>
      </c>
    </row>
    <row r="202" spans="1:31" x14ac:dyDescent="0.2">
      <c r="A202" s="133">
        <v>34</v>
      </c>
      <c r="B202" s="133" t="s">
        <v>1399</v>
      </c>
      <c r="C202" s="133" t="s">
        <v>1114</v>
      </c>
      <c r="D202" s="133" t="s">
        <v>1367</v>
      </c>
      <c r="E202" s="133" t="s">
        <v>1116</v>
      </c>
      <c r="F202" s="133" t="s">
        <v>1117</v>
      </c>
      <c r="G202" s="133" t="s">
        <v>1118</v>
      </c>
      <c r="H202" s="133" t="s">
        <v>1133</v>
      </c>
      <c r="I202" s="133" t="s">
        <v>1134</v>
      </c>
      <c r="J202" s="133" t="s">
        <v>1135</v>
      </c>
      <c r="K202" s="130" t="s">
        <v>1179</v>
      </c>
      <c r="L202" s="130" t="s">
        <v>1400</v>
      </c>
      <c r="M202" s="130" t="s">
        <v>1360</v>
      </c>
      <c r="N202" s="130" t="s">
        <v>168</v>
      </c>
      <c r="O202" s="130" t="s">
        <v>1361</v>
      </c>
      <c r="P202" s="130" t="s">
        <v>1366</v>
      </c>
      <c r="Q202" s="130" t="s">
        <v>1127</v>
      </c>
      <c r="R202" s="130" t="s">
        <v>1175</v>
      </c>
      <c r="S202" s="130" t="s">
        <v>1401</v>
      </c>
      <c r="T202" s="130" t="s">
        <v>1130</v>
      </c>
      <c r="U202" s="130">
        <v>0</v>
      </c>
      <c r="V202" s="131">
        <v>15856</v>
      </c>
      <c r="W202" s="131">
        <v>15856</v>
      </c>
      <c r="X202" s="131">
        <v>7527</v>
      </c>
      <c r="Y202" s="131">
        <v>8329</v>
      </c>
      <c r="Z202" s="131">
        <v>7527</v>
      </c>
      <c r="AA202" s="131">
        <v>8329</v>
      </c>
      <c r="AB202" s="131">
        <v>7527</v>
      </c>
      <c r="AC202" s="131">
        <v>8329</v>
      </c>
      <c r="AD202" s="131">
        <v>0</v>
      </c>
      <c r="AE202" s="132">
        <v>15856</v>
      </c>
    </row>
    <row r="203" spans="1:31" x14ac:dyDescent="0.2">
      <c r="A203" s="133">
        <v>34</v>
      </c>
      <c r="B203" s="133" t="s">
        <v>1399</v>
      </c>
      <c r="C203" s="133" t="s">
        <v>1114</v>
      </c>
      <c r="D203" s="133" t="s">
        <v>1367</v>
      </c>
      <c r="E203" s="133" t="s">
        <v>1116</v>
      </c>
      <c r="F203" s="133" t="s">
        <v>1117</v>
      </c>
      <c r="G203" s="133" t="s">
        <v>1118</v>
      </c>
      <c r="H203" s="133" t="s">
        <v>1133</v>
      </c>
      <c r="I203" s="133" t="s">
        <v>1134</v>
      </c>
      <c r="J203" s="133" t="s">
        <v>1135</v>
      </c>
      <c r="K203" s="130" t="s">
        <v>1144</v>
      </c>
      <c r="L203" s="130" t="s">
        <v>1400</v>
      </c>
      <c r="M203" s="130" t="s">
        <v>1360</v>
      </c>
      <c r="N203" s="130" t="s">
        <v>168</v>
      </c>
      <c r="O203" s="130" t="s">
        <v>1361</v>
      </c>
      <c r="P203" s="130" t="s">
        <v>1366</v>
      </c>
      <c r="Q203" s="130" t="s">
        <v>1127</v>
      </c>
      <c r="R203" s="130" t="s">
        <v>1175</v>
      </c>
      <c r="S203" s="130" t="s">
        <v>1401</v>
      </c>
      <c r="T203" s="130" t="s">
        <v>1130</v>
      </c>
      <c r="U203" s="130">
        <v>0</v>
      </c>
      <c r="V203" s="131">
        <v>469312</v>
      </c>
      <c r="W203" s="131">
        <v>469312</v>
      </c>
      <c r="X203" s="131">
        <v>469311.46</v>
      </c>
      <c r="Y203" s="131">
        <v>0.53999999997904524</v>
      </c>
      <c r="Z203" s="131">
        <v>11262.5</v>
      </c>
      <c r="AA203" s="131">
        <v>458049.5</v>
      </c>
      <c r="AB203" s="131">
        <v>11262.5</v>
      </c>
      <c r="AC203" s="131">
        <v>458049.5</v>
      </c>
      <c r="AD203" s="131">
        <v>0</v>
      </c>
      <c r="AE203" s="132">
        <v>469312</v>
      </c>
    </row>
    <row r="204" spans="1:31" x14ac:dyDescent="0.2">
      <c r="A204" s="133">
        <v>34</v>
      </c>
      <c r="B204" s="133" t="s">
        <v>1399</v>
      </c>
      <c r="C204" s="133" t="s">
        <v>1114</v>
      </c>
      <c r="D204" s="133" t="s">
        <v>1367</v>
      </c>
      <c r="E204" s="133" t="s">
        <v>1116</v>
      </c>
      <c r="F204" s="133" t="s">
        <v>1117</v>
      </c>
      <c r="G204" s="133" t="s">
        <v>1118</v>
      </c>
      <c r="H204" s="133" t="s">
        <v>1133</v>
      </c>
      <c r="I204" s="133" t="s">
        <v>1134</v>
      </c>
      <c r="J204" s="133" t="s">
        <v>1135</v>
      </c>
      <c r="K204" s="130" t="s">
        <v>1136</v>
      </c>
      <c r="L204" s="130" t="s">
        <v>1400</v>
      </c>
      <c r="M204" s="130" t="s">
        <v>1360</v>
      </c>
      <c r="N204" s="130" t="s">
        <v>168</v>
      </c>
      <c r="O204" s="130" t="s">
        <v>1361</v>
      </c>
      <c r="P204" s="130" t="s">
        <v>1366</v>
      </c>
      <c r="Q204" s="130" t="s">
        <v>1127</v>
      </c>
      <c r="R204" s="130" t="s">
        <v>1175</v>
      </c>
      <c r="S204" s="130" t="s">
        <v>1401</v>
      </c>
      <c r="T204" s="130" t="s">
        <v>1130</v>
      </c>
      <c r="U204" s="130">
        <v>0</v>
      </c>
      <c r="V204" s="131">
        <v>0</v>
      </c>
      <c r="W204" s="131">
        <v>0</v>
      </c>
      <c r="X204" s="131">
        <v>0</v>
      </c>
      <c r="Y204" s="131">
        <v>0</v>
      </c>
      <c r="Z204" s="131">
        <v>0</v>
      </c>
      <c r="AA204" s="131">
        <v>0</v>
      </c>
      <c r="AB204" s="131">
        <v>0</v>
      </c>
      <c r="AC204" s="131">
        <v>0</v>
      </c>
      <c r="AD204" s="131">
        <v>0</v>
      </c>
      <c r="AE204" s="132">
        <v>0</v>
      </c>
    </row>
    <row r="205" spans="1:31" x14ac:dyDescent="0.2">
      <c r="A205" s="130">
        <v>35</v>
      </c>
      <c r="B205" s="130" t="s">
        <v>179</v>
      </c>
      <c r="C205" s="130" t="s">
        <v>1114</v>
      </c>
      <c r="D205" s="130" t="s">
        <v>1367</v>
      </c>
      <c r="E205" s="130" t="s">
        <v>1116</v>
      </c>
      <c r="F205" s="130" t="s">
        <v>1117</v>
      </c>
      <c r="G205" s="130" t="s">
        <v>1118</v>
      </c>
      <c r="H205" s="130" t="s">
        <v>1119</v>
      </c>
      <c r="I205" s="130" t="s">
        <v>1120</v>
      </c>
      <c r="J205" s="130" t="s">
        <v>1358</v>
      </c>
      <c r="K205" s="130" t="s">
        <v>1122</v>
      </c>
      <c r="L205" s="130" t="s">
        <v>1402</v>
      </c>
      <c r="M205" s="130" t="s">
        <v>1360</v>
      </c>
      <c r="N205" s="130" t="s">
        <v>168</v>
      </c>
      <c r="O205" s="130" t="s">
        <v>1361</v>
      </c>
      <c r="P205" s="130" t="s">
        <v>1366</v>
      </c>
      <c r="Q205" s="130" t="s">
        <v>1127</v>
      </c>
      <c r="R205" s="130" t="s">
        <v>1128</v>
      </c>
      <c r="S205" s="130" t="s">
        <v>1403</v>
      </c>
      <c r="T205" s="130" t="s">
        <v>1130</v>
      </c>
      <c r="U205" s="130">
        <v>11955231</v>
      </c>
      <c r="V205" s="131">
        <v>-11955231</v>
      </c>
      <c r="W205" s="131">
        <v>0</v>
      </c>
      <c r="X205" s="131">
        <v>0</v>
      </c>
      <c r="Y205" s="131">
        <v>0</v>
      </c>
      <c r="Z205" s="131">
        <v>0</v>
      </c>
      <c r="AA205" s="131">
        <v>0</v>
      </c>
      <c r="AB205" s="131">
        <v>0</v>
      </c>
      <c r="AC205" s="131">
        <v>0</v>
      </c>
      <c r="AD205" s="131">
        <v>0</v>
      </c>
      <c r="AE205" s="132">
        <v>0</v>
      </c>
    </row>
    <row r="206" spans="1:31" x14ac:dyDescent="0.2">
      <c r="A206" s="133">
        <v>35</v>
      </c>
      <c r="B206" s="133" t="s">
        <v>179</v>
      </c>
      <c r="C206" s="133" t="s">
        <v>1114</v>
      </c>
      <c r="D206" s="133" t="s">
        <v>1367</v>
      </c>
      <c r="E206" s="133" t="s">
        <v>1116</v>
      </c>
      <c r="F206" s="133" t="s">
        <v>1117</v>
      </c>
      <c r="G206" s="133" t="s">
        <v>1118</v>
      </c>
      <c r="H206" s="133" t="s">
        <v>1119</v>
      </c>
      <c r="I206" s="133" t="s">
        <v>1120</v>
      </c>
      <c r="J206" s="133" t="s">
        <v>1358</v>
      </c>
      <c r="K206" s="130" t="s">
        <v>1131</v>
      </c>
      <c r="L206" s="130" t="s">
        <v>1402</v>
      </c>
      <c r="M206" s="130" t="s">
        <v>1360</v>
      </c>
      <c r="N206" s="130" t="s">
        <v>168</v>
      </c>
      <c r="O206" s="130" t="s">
        <v>1361</v>
      </c>
      <c r="P206" s="130" t="s">
        <v>1366</v>
      </c>
      <c r="Q206" s="130" t="s">
        <v>1127</v>
      </c>
      <c r="R206" s="130" t="s">
        <v>1128</v>
      </c>
      <c r="S206" s="130" t="s">
        <v>1403</v>
      </c>
      <c r="T206" s="130" t="s">
        <v>1130</v>
      </c>
      <c r="U206" s="130">
        <v>0</v>
      </c>
      <c r="V206" s="131">
        <v>3896401</v>
      </c>
      <c r="W206" s="131">
        <v>3896401</v>
      </c>
      <c r="X206" s="131">
        <v>3896401</v>
      </c>
      <c r="Y206" s="131">
        <v>0</v>
      </c>
      <c r="Z206" s="131">
        <v>3896401</v>
      </c>
      <c r="AA206" s="131">
        <v>0</v>
      </c>
      <c r="AB206" s="131">
        <v>3895827.78</v>
      </c>
      <c r="AC206" s="131">
        <v>573.22000000020489</v>
      </c>
      <c r="AD206" s="131">
        <v>3895827.78</v>
      </c>
      <c r="AE206" s="132">
        <v>573.22000000020489</v>
      </c>
    </row>
    <row r="207" spans="1:31" x14ac:dyDescent="0.2">
      <c r="A207" s="133">
        <v>35</v>
      </c>
      <c r="B207" s="133" t="s">
        <v>179</v>
      </c>
      <c r="C207" s="133" t="s">
        <v>1114</v>
      </c>
      <c r="D207" s="133" t="s">
        <v>1367</v>
      </c>
      <c r="E207" s="133" t="s">
        <v>1116</v>
      </c>
      <c r="F207" s="133" t="s">
        <v>1117</v>
      </c>
      <c r="G207" s="133" t="s">
        <v>1118</v>
      </c>
      <c r="H207" s="133" t="s">
        <v>1119</v>
      </c>
      <c r="I207" s="133" t="s">
        <v>1120</v>
      </c>
      <c r="J207" s="133" t="s">
        <v>1358</v>
      </c>
      <c r="K207" s="130" t="s">
        <v>1177</v>
      </c>
      <c r="L207" s="130" t="s">
        <v>1402</v>
      </c>
      <c r="M207" s="130" t="s">
        <v>1360</v>
      </c>
      <c r="N207" s="130" t="s">
        <v>168</v>
      </c>
      <c r="O207" s="130" t="s">
        <v>1361</v>
      </c>
      <c r="P207" s="130" t="s">
        <v>1366</v>
      </c>
      <c r="Q207" s="130" t="s">
        <v>1127</v>
      </c>
      <c r="R207" s="130" t="s">
        <v>1128</v>
      </c>
      <c r="S207" s="130" t="s">
        <v>1403</v>
      </c>
      <c r="T207" s="130" t="s">
        <v>1130</v>
      </c>
      <c r="U207" s="130">
        <v>0</v>
      </c>
      <c r="V207" s="131">
        <v>7593753</v>
      </c>
      <c r="W207" s="131">
        <v>7593753</v>
      </c>
      <c r="X207" s="131">
        <v>7516577.6699999999</v>
      </c>
      <c r="Y207" s="131">
        <v>77175.330000000075</v>
      </c>
      <c r="Z207" s="131">
        <v>3496632.95</v>
      </c>
      <c r="AA207" s="131">
        <v>4097120.05</v>
      </c>
      <c r="AB207" s="131">
        <v>2934656.0500000007</v>
      </c>
      <c r="AC207" s="131">
        <v>4659096.9499999993</v>
      </c>
      <c r="AD207" s="131">
        <v>2225196.35</v>
      </c>
      <c r="AE207" s="132">
        <v>5368556.6500000004</v>
      </c>
    </row>
    <row r="208" spans="1:31" x14ac:dyDescent="0.2">
      <c r="A208" s="133">
        <v>35</v>
      </c>
      <c r="B208" s="133" t="s">
        <v>179</v>
      </c>
      <c r="C208" s="133" t="s">
        <v>1114</v>
      </c>
      <c r="D208" s="133" t="s">
        <v>1367</v>
      </c>
      <c r="E208" s="133" t="s">
        <v>1116</v>
      </c>
      <c r="F208" s="133" t="s">
        <v>1117</v>
      </c>
      <c r="G208" s="133" t="s">
        <v>1118</v>
      </c>
      <c r="H208" s="133" t="s">
        <v>1119</v>
      </c>
      <c r="I208" s="133" t="s">
        <v>1120</v>
      </c>
      <c r="J208" s="133" t="s">
        <v>1358</v>
      </c>
      <c r="K208" s="130" t="s">
        <v>1132</v>
      </c>
      <c r="L208" s="130" t="s">
        <v>1402</v>
      </c>
      <c r="M208" s="130" t="s">
        <v>1360</v>
      </c>
      <c r="N208" s="130" t="s">
        <v>168</v>
      </c>
      <c r="O208" s="130" t="s">
        <v>1361</v>
      </c>
      <c r="P208" s="130" t="s">
        <v>1366</v>
      </c>
      <c r="Q208" s="130" t="s">
        <v>1127</v>
      </c>
      <c r="R208" s="130" t="s">
        <v>1128</v>
      </c>
      <c r="S208" s="130" t="s">
        <v>1403</v>
      </c>
      <c r="T208" s="130" t="s">
        <v>1130</v>
      </c>
      <c r="U208" s="130">
        <v>0</v>
      </c>
      <c r="V208" s="131">
        <v>622855</v>
      </c>
      <c r="W208" s="131">
        <v>622855</v>
      </c>
      <c r="X208" s="131">
        <v>619229.27</v>
      </c>
      <c r="Y208" s="131">
        <v>3625.7299999999814</v>
      </c>
      <c r="Z208" s="131">
        <v>619229.27</v>
      </c>
      <c r="AA208" s="131">
        <v>3625.7299999999814</v>
      </c>
      <c r="AB208" s="131">
        <v>619229.27</v>
      </c>
      <c r="AC208" s="131">
        <v>3625.7299999999814</v>
      </c>
      <c r="AD208" s="131">
        <v>204348.71</v>
      </c>
      <c r="AE208" s="132">
        <v>418506.29000000004</v>
      </c>
    </row>
    <row r="209" spans="1:31" x14ac:dyDescent="0.2">
      <c r="A209" s="133">
        <v>35</v>
      </c>
      <c r="B209" s="133" t="s">
        <v>179</v>
      </c>
      <c r="C209" s="133" t="s">
        <v>1114</v>
      </c>
      <c r="D209" s="133" t="s">
        <v>1367</v>
      </c>
      <c r="E209" s="133" t="s">
        <v>1116</v>
      </c>
      <c r="F209" s="133" t="s">
        <v>1117</v>
      </c>
      <c r="G209" s="133" t="s">
        <v>1118</v>
      </c>
      <c r="H209" s="130" t="s">
        <v>1149</v>
      </c>
      <c r="I209" s="130" t="s">
        <v>1182</v>
      </c>
      <c r="J209" s="130" t="s">
        <v>1377</v>
      </c>
      <c r="K209" s="130" t="s">
        <v>1378</v>
      </c>
      <c r="L209" s="130" t="s">
        <v>1402</v>
      </c>
      <c r="M209" s="130" t="s">
        <v>1360</v>
      </c>
      <c r="N209" s="130" t="s">
        <v>168</v>
      </c>
      <c r="O209" s="130" t="s">
        <v>1361</v>
      </c>
      <c r="P209" s="130" t="s">
        <v>1366</v>
      </c>
      <c r="Q209" s="130" t="s">
        <v>1127</v>
      </c>
      <c r="R209" s="130" t="s">
        <v>1128</v>
      </c>
      <c r="S209" s="130" t="s">
        <v>1403</v>
      </c>
      <c r="T209" s="130" t="s">
        <v>1130</v>
      </c>
      <c r="U209" s="130">
        <v>0</v>
      </c>
      <c r="V209" s="131">
        <v>2580</v>
      </c>
      <c r="W209" s="131">
        <v>2580</v>
      </c>
      <c r="X209" s="131">
        <v>0</v>
      </c>
      <c r="Y209" s="131">
        <v>2580</v>
      </c>
      <c r="Z209" s="131">
        <v>0</v>
      </c>
      <c r="AA209" s="131">
        <v>2580</v>
      </c>
      <c r="AB209" s="131">
        <v>0</v>
      </c>
      <c r="AC209" s="131">
        <v>2580</v>
      </c>
      <c r="AD209" s="131">
        <v>0</v>
      </c>
      <c r="AE209" s="132">
        <v>2580</v>
      </c>
    </row>
    <row r="210" spans="1:31" x14ac:dyDescent="0.2">
      <c r="A210" s="133">
        <v>35</v>
      </c>
      <c r="B210" s="133" t="s">
        <v>179</v>
      </c>
      <c r="C210" s="133" t="s">
        <v>1114</v>
      </c>
      <c r="D210" s="133" t="s">
        <v>1367</v>
      </c>
      <c r="E210" s="133" t="s">
        <v>1116</v>
      </c>
      <c r="F210" s="133" t="s">
        <v>1117</v>
      </c>
      <c r="G210" s="133" t="s">
        <v>1118</v>
      </c>
      <c r="H210" s="133" t="s">
        <v>1149</v>
      </c>
      <c r="I210" s="133" t="s">
        <v>1182</v>
      </c>
      <c r="J210" s="130" t="s">
        <v>1382</v>
      </c>
      <c r="K210" s="130" t="s">
        <v>1383</v>
      </c>
      <c r="L210" s="130" t="s">
        <v>1402</v>
      </c>
      <c r="M210" s="130" t="s">
        <v>1360</v>
      </c>
      <c r="N210" s="130" t="s">
        <v>168</v>
      </c>
      <c r="O210" s="130" t="s">
        <v>1361</v>
      </c>
      <c r="P210" s="130" t="s">
        <v>1366</v>
      </c>
      <c r="Q210" s="130" t="s">
        <v>1127</v>
      </c>
      <c r="R210" s="130" t="s">
        <v>1128</v>
      </c>
      <c r="S210" s="130" t="s">
        <v>1403</v>
      </c>
      <c r="T210" s="130" t="s">
        <v>1130</v>
      </c>
      <c r="U210" s="130">
        <v>0</v>
      </c>
      <c r="V210" s="131">
        <v>1057614</v>
      </c>
      <c r="W210" s="131">
        <v>1057614</v>
      </c>
      <c r="X210" s="131">
        <v>617073.52</v>
      </c>
      <c r="Y210" s="131">
        <v>440540.48</v>
      </c>
      <c r="Z210" s="131">
        <v>70457</v>
      </c>
      <c r="AA210" s="131">
        <v>987157</v>
      </c>
      <c r="AB210" s="131">
        <v>70457</v>
      </c>
      <c r="AC210" s="131">
        <v>987157</v>
      </c>
      <c r="AD210" s="131">
        <v>0</v>
      </c>
      <c r="AE210" s="132">
        <v>1057614</v>
      </c>
    </row>
    <row r="211" spans="1:31" x14ac:dyDescent="0.2">
      <c r="A211" s="133">
        <v>35</v>
      </c>
      <c r="B211" s="133" t="s">
        <v>179</v>
      </c>
      <c r="C211" s="133" t="s">
        <v>1114</v>
      </c>
      <c r="D211" s="133" t="s">
        <v>1367</v>
      </c>
      <c r="E211" s="133" t="s">
        <v>1116</v>
      </c>
      <c r="F211" s="133" t="s">
        <v>1117</v>
      </c>
      <c r="G211" s="133" t="s">
        <v>1118</v>
      </c>
      <c r="H211" s="133" t="s">
        <v>1149</v>
      </c>
      <c r="I211" s="133" t="s">
        <v>1182</v>
      </c>
      <c r="J211" s="133" t="s">
        <v>1382</v>
      </c>
      <c r="K211" s="130" t="s">
        <v>1378</v>
      </c>
      <c r="L211" s="130" t="s">
        <v>1402</v>
      </c>
      <c r="M211" s="130" t="s">
        <v>1360</v>
      </c>
      <c r="N211" s="130" t="s">
        <v>168</v>
      </c>
      <c r="O211" s="130" t="s">
        <v>1361</v>
      </c>
      <c r="P211" s="130" t="s">
        <v>1366</v>
      </c>
      <c r="Q211" s="130" t="s">
        <v>1127</v>
      </c>
      <c r="R211" s="130" t="s">
        <v>1128</v>
      </c>
      <c r="S211" s="130" t="s">
        <v>1403</v>
      </c>
      <c r="T211" s="130" t="s">
        <v>1130</v>
      </c>
      <c r="U211" s="130">
        <v>0</v>
      </c>
      <c r="V211" s="131">
        <v>1134147</v>
      </c>
      <c r="W211" s="131">
        <v>1134147</v>
      </c>
      <c r="X211" s="131">
        <v>959321.3</v>
      </c>
      <c r="Y211" s="131">
        <v>174825.69999999995</v>
      </c>
      <c r="Z211" s="131">
        <v>413630</v>
      </c>
      <c r="AA211" s="131">
        <v>720517</v>
      </c>
      <c r="AB211" s="131">
        <v>413630</v>
      </c>
      <c r="AC211" s="131">
        <v>720517</v>
      </c>
      <c r="AD211" s="131">
        <v>384946</v>
      </c>
      <c r="AE211" s="132">
        <v>749201</v>
      </c>
    </row>
    <row r="212" spans="1:31" x14ac:dyDescent="0.2">
      <c r="A212" s="133">
        <v>35</v>
      </c>
      <c r="B212" s="133" t="s">
        <v>179</v>
      </c>
      <c r="C212" s="133" t="s">
        <v>1114</v>
      </c>
      <c r="D212" s="133" t="s">
        <v>1367</v>
      </c>
      <c r="E212" s="133" t="s">
        <v>1116</v>
      </c>
      <c r="F212" s="133" t="s">
        <v>1117</v>
      </c>
      <c r="G212" s="133" t="s">
        <v>1118</v>
      </c>
      <c r="H212" s="133" t="s">
        <v>1149</v>
      </c>
      <c r="I212" s="133" t="s">
        <v>1182</v>
      </c>
      <c r="J212" s="130" t="s">
        <v>1347</v>
      </c>
      <c r="K212" s="130" t="s">
        <v>1348</v>
      </c>
      <c r="L212" s="130" t="s">
        <v>1402</v>
      </c>
      <c r="M212" s="130" t="s">
        <v>1360</v>
      </c>
      <c r="N212" s="130" t="s">
        <v>168</v>
      </c>
      <c r="O212" s="130" t="s">
        <v>1361</v>
      </c>
      <c r="P212" s="130" t="s">
        <v>1366</v>
      </c>
      <c r="Q212" s="130" t="s">
        <v>1127</v>
      </c>
      <c r="R212" s="130" t="s">
        <v>1128</v>
      </c>
      <c r="S212" s="130" t="s">
        <v>1403</v>
      </c>
      <c r="T212" s="130" t="s">
        <v>1130</v>
      </c>
      <c r="U212" s="130">
        <v>0</v>
      </c>
      <c r="V212" s="131">
        <v>1929811</v>
      </c>
      <c r="W212" s="131">
        <v>1929811</v>
      </c>
      <c r="X212" s="131">
        <v>1929810.9</v>
      </c>
      <c r="Y212" s="131">
        <v>0.10000000009313226</v>
      </c>
      <c r="Z212" s="131">
        <v>139434.29</v>
      </c>
      <c r="AA212" s="131">
        <v>1790376.71</v>
      </c>
      <c r="AB212" s="131">
        <v>139434.29</v>
      </c>
      <c r="AC212" s="131">
        <v>1790376.71</v>
      </c>
      <c r="AD212" s="131">
        <v>139434.29</v>
      </c>
      <c r="AE212" s="132">
        <v>1790376.71</v>
      </c>
    </row>
    <row r="213" spans="1:31" x14ac:dyDescent="0.2">
      <c r="A213" s="133">
        <v>35</v>
      </c>
      <c r="B213" s="133" t="s">
        <v>179</v>
      </c>
      <c r="C213" s="133" t="s">
        <v>1114</v>
      </c>
      <c r="D213" s="133" t="s">
        <v>1367</v>
      </c>
      <c r="E213" s="133" t="s">
        <v>1116</v>
      </c>
      <c r="F213" s="133" t="s">
        <v>1117</v>
      </c>
      <c r="G213" s="133" t="s">
        <v>1118</v>
      </c>
      <c r="H213" s="133" t="s">
        <v>1149</v>
      </c>
      <c r="I213" s="133" t="s">
        <v>1182</v>
      </c>
      <c r="J213" s="130" t="s">
        <v>1404</v>
      </c>
      <c r="K213" s="130" t="s">
        <v>1405</v>
      </c>
      <c r="L213" s="130" t="s">
        <v>1402</v>
      </c>
      <c r="M213" s="130" t="s">
        <v>1360</v>
      </c>
      <c r="N213" s="130" t="s">
        <v>168</v>
      </c>
      <c r="O213" s="130" t="s">
        <v>1361</v>
      </c>
      <c r="P213" s="130" t="s">
        <v>1366</v>
      </c>
      <c r="Q213" s="130" t="s">
        <v>1127</v>
      </c>
      <c r="R213" s="130" t="s">
        <v>1128</v>
      </c>
      <c r="S213" s="130" t="s">
        <v>1403</v>
      </c>
      <c r="T213" s="130" t="s">
        <v>1130</v>
      </c>
      <c r="U213" s="130">
        <v>0</v>
      </c>
      <c r="V213" s="131">
        <v>7250</v>
      </c>
      <c r="W213" s="131">
        <v>7250</v>
      </c>
      <c r="X213" s="131">
        <v>0</v>
      </c>
      <c r="Y213" s="131">
        <v>7250</v>
      </c>
      <c r="Z213" s="131">
        <v>0</v>
      </c>
      <c r="AA213" s="131">
        <v>7250</v>
      </c>
      <c r="AB213" s="131">
        <v>0</v>
      </c>
      <c r="AC213" s="131">
        <v>7250</v>
      </c>
      <c r="AD213" s="131">
        <v>0</v>
      </c>
      <c r="AE213" s="132">
        <v>7250</v>
      </c>
    </row>
    <row r="214" spans="1:31" x14ac:dyDescent="0.2">
      <c r="A214" s="133">
        <v>35</v>
      </c>
      <c r="B214" s="133" t="s">
        <v>179</v>
      </c>
      <c r="C214" s="133" t="s">
        <v>1114</v>
      </c>
      <c r="D214" s="133" t="s">
        <v>1367</v>
      </c>
      <c r="E214" s="133" t="s">
        <v>1116</v>
      </c>
      <c r="F214" s="133" t="s">
        <v>1117</v>
      </c>
      <c r="G214" s="133" t="s">
        <v>1118</v>
      </c>
      <c r="H214" s="130" t="s">
        <v>1133</v>
      </c>
      <c r="I214" s="130" t="s">
        <v>1134</v>
      </c>
      <c r="J214" s="130" t="s">
        <v>1135</v>
      </c>
      <c r="K214" s="130" t="s">
        <v>1178</v>
      </c>
      <c r="L214" s="130" t="s">
        <v>1402</v>
      </c>
      <c r="M214" s="130" t="s">
        <v>1360</v>
      </c>
      <c r="N214" s="130" t="s">
        <v>168</v>
      </c>
      <c r="O214" s="130" t="s">
        <v>1361</v>
      </c>
      <c r="P214" s="130" t="s">
        <v>1366</v>
      </c>
      <c r="Q214" s="130" t="s">
        <v>1127</v>
      </c>
      <c r="R214" s="130" t="s">
        <v>1128</v>
      </c>
      <c r="S214" s="130" t="s">
        <v>1403</v>
      </c>
      <c r="T214" s="130" t="s">
        <v>1130</v>
      </c>
      <c r="U214" s="130">
        <v>0</v>
      </c>
      <c r="V214" s="131">
        <v>510000</v>
      </c>
      <c r="W214" s="131">
        <v>510000</v>
      </c>
      <c r="X214" s="131">
        <v>510000</v>
      </c>
      <c r="Y214" s="131">
        <v>0</v>
      </c>
      <c r="Z214" s="131">
        <v>510000</v>
      </c>
      <c r="AA214" s="131">
        <v>0</v>
      </c>
      <c r="AB214" s="131">
        <v>340043.54</v>
      </c>
      <c r="AC214" s="131">
        <v>169956.46000000002</v>
      </c>
      <c r="AD214" s="131">
        <v>340043.54</v>
      </c>
      <c r="AE214" s="132">
        <v>169956.46000000002</v>
      </c>
    </row>
    <row r="215" spans="1:31" x14ac:dyDescent="0.2">
      <c r="A215" s="133">
        <v>35</v>
      </c>
      <c r="B215" s="133" t="s">
        <v>179</v>
      </c>
      <c r="C215" s="133" t="s">
        <v>1114</v>
      </c>
      <c r="D215" s="133" t="s">
        <v>1367</v>
      </c>
      <c r="E215" s="133" t="s">
        <v>1116</v>
      </c>
      <c r="F215" s="133" t="s">
        <v>1117</v>
      </c>
      <c r="G215" s="133" t="s">
        <v>1118</v>
      </c>
      <c r="H215" s="133" t="s">
        <v>1133</v>
      </c>
      <c r="I215" s="133" t="s">
        <v>1134</v>
      </c>
      <c r="J215" s="133" t="s">
        <v>1135</v>
      </c>
      <c r="K215" s="130" t="s">
        <v>1179</v>
      </c>
      <c r="L215" s="130" t="s">
        <v>1402</v>
      </c>
      <c r="M215" s="130" t="s">
        <v>1360</v>
      </c>
      <c r="N215" s="130" t="s">
        <v>168</v>
      </c>
      <c r="O215" s="130" t="s">
        <v>1361</v>
      </c>
      <c r="P215" s="130" t="s">
        <v>1366</v>
      </c>
      <c r="Q215" s="130" t="s">
        <v>1127</v>
      </c>
      <c r="R215" s="130" t="s">
        <v>1128</v>
      </c>
      <c r="S215" s="130" t="s">
        <v>1403</v>
      </c>
      <c r="T215" s="130" t="s">
        <v>1130</v>
      </c>
      <c r="U215" s="130">
        <v>0</v>
      </c>
      <c r="V215" s="131">
        <v>51480</v>
      </c>
      <c r="W215" s="131">
        <v>51480</v>
      </c>
      <c r="X215" s="131">
        <v>51093</v>
      </c>
      <c r="Y215" s="131">
        <v>387</v>
      </c>
      <c r="Z215" s="131">
        <v>49293</v>
      </c>
      <c r="AA215" s="131">
        <v>2187</v>
      </c>
      <c r="AB215" s="131">
        <v>23096</v>
      </c>
      <c r="AC215" s="131">
        <v>28384</v>
      </c>
      <c r="AD215" s="131">
        <v>13302</v>
      </c>
      <c r="AE215" s="132">
        <v>38178</v>
      </c>
    </row>
    <row r="216" spans="1:31" x14ac:dyDescent="0.2">
      <c r="A216" s="133">
        <v>35</v>
      </c>
      <c r="B216" s="133" t="s">
        <v>179</v>
      </c>
      <c r="C216" s="133" t="s">
        <v>1114</v>
      </c>
      <c r="D216" s="133" t="s">
        <v>1367</v>
      </c>
      <c r="E216" s="133" t="s">
        <v>1116</v>
      </c>
      <c r="F216" s="133" t="s">
        <v>1117</v>
      </c>
      <c r="G216" s="133" t="s">
        <v>1118</v>
      </c>
      <c r="H216" s="133" t="s">
        <v>1133</v>
      </c>
      <c r="I216" s="133" t="s">
        <v>1134</v>
      </c>
      <c r="J216" s="133" t="s">
        <v>1135</v>
      </c>
      <c r="K216" s="130" t="s">
        <v>1144</v>
      </c>
      <c r="L216" s="130" t="s">
        <v>1402</v>
      </c>
      <c r="M216" s="130" t="s">
        <v>1360</v>
      </c>
      <c r="N216" s="130" t="s">
        <v>168</v>
      </c>
      <c r="O216" s="130" t="s">
        <v>1361</v>
      </c>
      <c r="P216" s="130" t="s">
        <v>1366</v>
      </c>
      <c r="Q216" s="130" t="s">
        <v>1127</v>
      </c>
      <c r="R216" s="130" t="s">
        <v>1128</v>
      </c>
      <c r="S216" s="130" t="s">
        <v>1403</v>
      </c>
      <c r="T216" s="130" t="s">
        <v>1130</v>
      </c>
      <c r="U216" s="130">
        <v>0</v>
      </c>
      <c r="V216" s="131">
        <v>86000</v>
      </c>
      <c r="W216" s="131">
        <v>86000</v>
      </c>
      <c r="X216" s="131">
        <v>85886.9</v>
      </c>
      <c r="Y216" s="131">
        <v>113.10000000000582</v>
      </c>
      <c r="Z216" s="131">
        <v>85838.9</v>
      </c>
      <c r="AA216" s="131">
        <v>161.10000000000582</v>
      </c>
      <c r="AB216" s="131">
        <v>85838.9</v>
      </c>
      <c r="AC216" s="131">
        <v>161.10000000000582</v>
      </c>
      <c r="AD216" s="131">
        <v>34628.9</v>
      </c>
      <c r="AE216" s="132">
        <v>51371.1</v>
      </c>
    </row>
    <row r="217" spans="1:31" x14ac:dyDescent="0.2">
      <c r="A217" s="133">
        <v>35</v>
      </c>
      <c r="B217" s="133" t="s">
        <v>179</v>
      </c>
      <c r="C217" s="133" t="s">
        <v>1114</v>
      </c>
      <c r="D217" s="133" t="s">
        <v>1367</v>
      </c>
      <c r="E217" s="133" t="s">
        <v>1116</v>
      </c>
      <c r="F217" s="133" t="s">
        <v>1117</v>
      </c>
      <c r="G217" s="133" t="s">
        <v>1118</v>
      </c>
      <c r="H217" s="133" t="s">
        <v>1133</v>
      </c>
      <c r="I217" s="133" t="s">
        <v>1134</v>
      </c>
      <c r="J217" s="133" t="s">
        <v>1135</v>
      </c>
      <c r="K217" s="130" t="s">
        <v>1136</v>
      </c>
      <c r="L217" s="130" t="s">
        <v>1402</v>
      </c>
      <c r="M217" s="130" t="s">
        <v>1360</v>
      </c>
      <c r="N217" s="130" t="s">
        <v>168</v>
      </c>
      <c r="O217" s="130" t="s">
        <v>1361</v>
      </c>
      <c r="P217" s="130" t="s">
        <v>1366</v>
      </c>
      <c r="Q217" s="130" t="s">
        <v>1127</v>
      </c>
      <c r="R217" s="130" t="s">
        <v>1128</v>
      </c>
      <c r="S217" s="130" t="s">
        <v>1403</v>
      </c>
      <c r="T217" s="130" t="s">
        <v>1130</v>
      </c>
      <c r="U217" s="130">
        <v>0</v>
      </c>
      <c r="V217" s="131">
        <v>22263</v>
      </c>
      <c r="W217" s="131">
        <v>22263</v>
      </c>
      <c r="X217" s="131">
        <v>22263</v>
      </c>
      <c r="Y217" s="131">
        <v>0</v>
      </c>
      <c r="Z217" s="131">
        <v>22263</v>
      </c>
      <c r="AA217" s="131">
        <v>0</v>
      </c>
      <c r="AB217" s="131">
        <v>22262.42</v>
      </c>
      <c r="AC217" s="131">
        <v>0.58000000000174623</v>
      </c>
      <c r="AD217" s="131">
        <v>22262.42</v>
      </c>
      <c r="AE217" s="132">
        <v>0.58000000000174623</v>
      </c>
    </row>
    <row r="218" spans="1:31" x14ac:dyDescent="0.2">
      <c r="A218" s="130">
        <v>36</v>
      </c>
      <c r="B218" s="130" t="s">
        <v>180</v>
      </c>
      <c r="C218" s="130" t="s">
        <v>1114</v>
      </c>
      <c r="D218" s="130" t="s">
        <v>1357</v>
      </c>
      <c r="E218" s="130" t="s">
        <v>1116</v>
      </c>
      <c r="F218" s="130" t="s">
        <v>1117</v>
      </c>
      <c r="G218" s="130" t="s">
        <v>1118</v>
      </c>
      <c r="H218" s="130" t="s">
        <v>1119</v>
      </c>
      <c r="I218" s="130" t="s">
        <v>1120</v>
      </c>
      <c r="J218" s="130" t="s">
        <v>1358</v>
      </c>
      <c r="K218" s="130" t="s">
        <v>1122</v>
      </c>
      <c r="L218" s="130" t="s">
        <v>1406</v>
      </c>
      <c r="M218" s="130" t="s">
        <v>1360</v>
      </c>
      <c r="N218" s="130" t="s">
        <v>168</v>
      </c>
      <c r="O218" s="130" t="s">
        <v>1361</v>
      </c>
      <c r="P218" s="130" t="s">
        <v>1362</v>
      </c>
      <c r="Q218" s="130" t="s">
        <v>1127</v>
      </c>
      <c r="R218" s="130" t="s">
        <v>1140</v>
      </c>
      <c r="S218" s="130" t="s">
        <v>1407</v>
      </c>
      <c r="T218" s="130" t="s">
        <v>1130</v>
      </c>
      <c r="U218" s="130">
        <v>3770000</v>
      </c>
      <c r="V218" s="131">
        <v>-3770000</v>
      </c>
      <c r="W218" s="131">
        <v>0</v>
      </c>
      <c r="X218" s="131">
        <v>0</v>
      </c>
      <c r="Y218" s="131">
        <v>0</v>
      </c>
      <c r="Z218" s="131">
        <v>0</v>
      </c>
      <c r="AA218" s="131">
        <v>0</v>
      </c>
      <c r="AB218" s="131">
        <v>0</v>
      </c>
      <c r="AC218" s="131">
        <v>0</v>
      </c>
      <c r="AD218" s="131">
        <v>0</v>
      </c>
      <c r="AE218" s="132">
        <v>0</v>
      </c>
    </row>
    <row r="219" spans="1:31" x14ac:dyDescent="0.2">
      <c r="A219" s="133">
        <v>36</v>
      </c>
      <c r="B219" s="133" t="s">
        <v>180</v>
      </c>
      <c r="C219" s="133" t="s">
        <v>1114</v>
      </c>
      <c r="D219" s="133" t="s">
        <v>1357</v>
      </c>
      <c r="E219" s="133" t="s">
        <v>1116</v>
      </c>
      <c r="F219" s="133" t="s">
        <v>1117</v>
      </c>
      <c r="G219" s="133" t="s">
        <v>1118</v>
      </c>
      <c r="H219" s="133" t="s">
        <v>1119</v>
      </c>
      <c r="I219" s="133" t="s">
        <v>1120</v>
      </c>
      <c r="J219" s="133" t="s">
        <v>1358</v>
      </c>
      <c r="K219" s="130" t="s">
        <v>1131</v>
      </c>
      <c r="L219" s="130" t="s">
        <v>1406</v>
      </c>
      <c r="M219" s="130" t="s">
        <v>1360</v>
      </c>
      <c r="N219" s="130" t="s">
        <v>168</v>
      </c>
      <c r="O219" s="130" t="s">
        <v>1361</v>
      </c>
      <c r="P219" s="130" t="s">
        <v>1362</v>
      </c>
      <c r="Q219" s="130" t="s">
        <v>1127</v>
      </c>
      <c r="R219" s="130" t="s">
        <v>1140</v>
      </c>
      <c r="S219" s="130" t="s">
        <v>1407</v>
      </c>
      <c r="T219" s="130" t="s">
        <v>1130</v>
      </c>
      <c r="U219" s="130">
        <v>0</v>
      </c>
      <c r="V219" s="131">
        <v>840706</v>
      </c>
      <c r="W219" s="131">
        <v>840706</v>
      </c>
      <c r="X219" s="131">
        <v>840706</v>
      </c>
      <c r="Y219" s="131">
        <v>0</v>
      </c>
      <c r="Z219" s="131">
        <v>840706</v>
      </c>
      <c r="AA219" s="131">
        <v>0</v>
      </c>
      <c r="AB219" s="131">
        <v>733545.12</v>
      </c>
      <c r="AC219" s="131">
        <v>107160.88</v>
      </c>
      <c r="AD219" s="131">
        <v>732951.57000000007</v>
      </c>
      <c r="AE219" s="132">
        <v>107754.42999999993</v>
      </c>
    </row>
    <row r="220" spans="1:31" x14ac:dyDescent="0.2">
      <c r="A220" s="133">
        <v>36</v>
      </c>
      <c r="B220" s="133" t="s">
        <v>180</v>
      </c>
      <c r="C220" s="133" t="s">
        <v>1114</v>
      </c>
      <c r="D220" s="133" t="s">
        <v>1357</v>
      </c>
      <c r="E220" s="133" t="s">
        <v>1116</v>
      </c>
      <c r="F220" s="133" t="s">
        <v>1117</v>
      </c>
      <c r="G220" s="133" t="s">
        <v>1118</v>
      </c>
      <c r="H220" s="133" t="s">
        <v>1119</v>
      </c>
      <c r="I220" s="133" t="s">
        <v>1120</v>
      </c>
      <c r="J220" s="133" t="s">
        <v>1358</v>
      </c>
      <c r="K220" s="130" t="s">
        <v>1177</v>
      </c>
      <c r="L220" s="130" t="s">
        <v>1406</v>
      </c>
      <c r="M220" s="130" t="s">
        <v>1360</v>
      </c>
      <c r="N220" s="130" t="s">
        <v>168</v>
      </c>
      <c r="O220" s="130" t="s">
        <v>1361</v>
      </c>
      <c r="P220" s="130" t="s">
        <v>1362</v>
      </c>
      <c r="Q220" s="130" t="s">
        <v>1127</v>
      </c>
      <c r="R220" s="130" t="s">
        <v>1140</v>
      </c>
      <c r="S220" s="130" t="s">
        <v>1407</v>
      </c>
      <c r="T220" s="130" t="s">
        <v>1130</v>
      </c>
      <c r="U220" s="130">
        <v>0</v>
      </c>
      <c r="V220" s="131">
        <v>1523536</v>
      </c>
      <c r="W220" s="131">
        <v>1523536</v>
      </c>
      <c r="X220" s="131">
        <v>1355616.62</v>
      </c>
      <c r="Y220" s="131">
        <v>167919.37999999989</v>
      </c>
      <c r="Z220" s="131">
        <v>1019469.73</v>
      </c>
      <c r="AA220" s="131">
        <v>504066.27</v>
      </c>
      <c r="AB220" s="131">
        <v>987041.73</v>
      </c>
      <c r="AC220" s="131">
        <v>536494.27</v>
      </c>
      <c r="AD220" s="131">
        <v>740756.46</v>
      </c>
      <c r="AE220" s="132">
        <v>782779.54</v>
      </c>
    </row>
    <row r="221" spans="1:31" x14ac:dyDescent="0.2">
      <c r="A221" s="133">
        <v>36</v>
      </c>
      <c r="B221" s="133" t="s">
        <v>180</v>
      </c>
      <c r="C221" s="133" t="s">
        <v>1114</v>
      </c>
      <c r="D221" s="133" t="s">
        <v>1357</v>
      </c>
      <c r="E221" s="133" t="s">
        <v>1116</v>
      </c>
      <c r="F221" s="133" t="s">
        <v>1117</v>
      </c>
      <c r="G221" s="133" t="s">
        <v>1118</v>
      </c>
      <c r="H221" s="133" t="s">
        <v>1119</v>
      </c>
      <c r="I221" s="133" t="s">
        <v>1120</v>
      </c>
      <c r="J221" s="133" t="s">
        <v>1358</v>
      </c>
      <c r="K221" s="130" t="s">
        <v>1132</v>
      </c>
      <c r="L221" s="130" t="s">
        <v>1406</v>
      </c>
      <c r="M221" s="130" t="s">
        <v>1360</v>
      </c>
      <c r="N221" s="130" t="s">
        <v>168</v>
      </c>
      <c r="O221" s="130" t="s">
        <v>1361</v>
      </c>
      <c r="P221" s="130" t="s">
        <v>1362</v>
      </c>
      <c r="Q221" s="130" t="s">
        <v>1127</v>
      </c>
      <c r="R221" s="130" t="s">
        <v>1140</v>
      </c>
      <c r="S221" s="130" t="s">
        <v>1407</v>
      </c>
      <c r="T221" s="130" t="s">
        <v>1130</v>
      </c>
      <c r="U221" s="130">
        <v>0</v>
      </c>
      <c r="V221" s="131">
        <v>398575</v>
      </c>
      <c r="W221" s="131">
        <v>398575</v>
      </c>
      <c r="X221" s="131">
        <v>211609.72</v>
      </c>
      <c r="Y221" s="131">
        <v>186965.28</v>
      </c>
      <c r="Z221" s="131">
        <v>211609.72</v>
      </c>
      <c r="AA221" s="131">
        <v>186965.28</v>
      </c>
      <c r="AB221" s="131">
        <v>211609.72</v>
      </c>
      <c r="AC221" s="131">
        <v>186965.28</v>
      </c>
      <c r="AD221" s="131">
        <v>145042.60999999999</v>
      </c>
      <c r="AE221" s="132">
        <v>253532.39</v>
      </c>
    </row>
    <row r="222" spans="1:31" x14ac:dyDescent="0.2">
      <c r="A222" s="133">
        <v>36</v>
      </c>
      <c r="B222" s="133" t="s">
        <v>180</v>
      </c>
      <c r="C222" s="133" t="s">
        <v>1114</v>
      </c>
      <c r="D222" s="133" t="s">
        <v>1357</v>
      </c>
      <c r="E222" s="133" t="s">
        <v>1116</v>
      </c>
      <c r="F222" s="133" t="s">
        <v>1117</v>
      </c>
      <c r="G222" s="133" t="s">
        <v>1118</v>
      </c>
      <c r="H222" s="130" t="s">
        <v>1149</v>
      </c>
      <c r="I222" s="130" t="s">
        <v>1182</v>
      </c>
      <c r="J222" s="130" t="s">
        <v>1377</v>
      </c>
      <c r="K222" s="130" t="s">
        <v>1378</v>
      </c>
      <c r="L222" s="130" t="s">
        <v>1406</v>
      </c>
      <c r="M222" s="130" t="s">
        <v>1360</v>
      </c>
      <c r="N222" s="130" t="s">
        <v>168</v>
      </c>
      <c r="O222" s="130" t="s">
        <v>1361</v>
      </c>
      <c r="P222" s="130" t="s">
        <v>1362</v>
      </c>
      <c r="Q222" s="130" t="s">
        <v>1127</v>
      </c>
      <c r="R222" s="130" t="s">
        <v>1140</v>
      </c>
      <c r="S222" s="130" t="s">
        <v>1407</v>
      </c>
      <c r="T222" s="130" t="s">
        <v>1130</v>
      </c>
      <c r="U222" s="130">
        <v>0</v>
      </c>
      <c r="V222" s="131">
        <v>6550</v>
      </c>
      <c r="W222" s="131">
        <v>6550</v>
      </c>
      <c r="X222" s="131">
        <v>0</v>
      </c>
      <c r="Y222" s="131">
        <v>6550</v>
      </c>
      <c r="Z222" s="131">
        <v>0</v>
      </c>
      <c r="AA222" s="131">
        <v>6550</v>
      </c>
      <c r="AB222" s="131">
        <v>0</v>
      </c>
      <c r="AC222" s="131">
        <v>6550</v>
      </c>
      <c r="AD222" s="131">
        <v>0</v>
      </c>
      <c r="AE222" s="132">
        <v>6550</v>
      </c>
    </row>
    <row r="223" spans="1:31" x14ac:dyDescent="0.2">
      <c r="A223" s="133">
        <v>36</v>
      </c>
      <c r="B223" s="133" t="s">
        <v>180</v>
      </c>
      <c r="C223" s="133" t="s">
        <v>1114</v>
      </c>
      <c r="D223" s="133" t="s">
        <v>1357</v>
      </c>
      <c r="E223" s="133" t="s">
        <v>1116</v>
      </c>
      <c r="F223" s="133" t="s">
        <v>1117</v>
      </c>
      <c r="G223" s="133" t="s">
        <v>1118</v>
      </c>
      <c r="H223" s="133" t="s">
        <v>1149</v>
      </c>
      <c r="I223" s="133" t="s">
        <v>1182</v>
      </c>
      <c r="J223" s="130" t="s">
        <v>1382</v>
      </c>
      <c r="K223" s="130" t="s">
        <v>1383</v>
      </c>
      <c r="L223" s="130" t="s">
        <v>1406</v>
      </c>
      <c r="M223" s="130" t="s">
        <v>1360</v>
      </c>
      <c r="N223" s="130" t="s">
        <v>168</v>
      </c>
      <c r="O223" s="130" t="s">
        <v>1361</v>
      </c>
      <c r="P223" s="130" t="s">
        <v>1362</v>
      </c>
      <c r="Q223" s="130" t="s">
        <v>1127</v>
      </c>
      <c r="R223" s="130" t="s">
        <v>1140</v>
      </c>
      <c r="S223" s="130" t="s">
        <v>1407</v>
      </c>
      <c r="T223" s="130" t="s">
        <v>1130</v>
      </c>
      <c r="U223" s="130">
        <v>0</v>
      </c>
      <c r="V223" s="131">
        <v>3010</v>
      </c>
      <c r="W223" s="131">
        <v>3010</v>
      </c>
      <c r="X223" s="131">
        <v>0</v>
      </c>
      <c r="Y223" s="131">
        <v>3010</v>
      </c>
      <c r="Z223" s="131">
        <v>0</v>
      </c>
      <c r="AA223" s="131">
        <v>3010</v>
      </c>
      <c r="AB223" s="131">
        <v>0</v>
      </c>
      <c r="AC223" s="131">
        <v>3010</v>
      </c>
      <c r="AD223" s="131">
        <v>0</v>
      </c>
      <c r="AE223" s="132">
        <v>3010</v>
      </c>
    </row>
    <row r="224" spans="1:31" x14ac:dyDescent="0.2">
      <c r="A224" s="133">
        <v>36</v>
      </c>
      <c r="B224" s="133" t="s">
        <v>180</v>
      </c>
      <c r="C224" s="133" t="s">
        <v>1114</v>
      </c>
      <c r="D224" s="133" t="s">
        <v>1357</v>
      </c>
      <c r="E224" s="133" t="s">
        <v>1116</v>
      </c>
      <c r="F224" s="133" t="s">
        <v>1117</v>
      </c>
      <c r="G224" s="133" t="s">
        <v>1118</v>
      </c>
      <c r="H224" s="133" t="s">
        <v>1149</v>
      </c>
      <c r="I224" s="133" t="s">
        <v>1182</v>
      </c>
      <c r="J224" s="133" t="s">
        <v>1382</v>
      </c>
      <c r="K224" s="130" t="s">
        <v>1378</v>
      </c>
      <c r="L224" s="130" t="s">
        <v>1406</v>
      </c>
      <c r="M224" s="130" t="s">
        <v>1360</v>
      </c>
      <c r="N224" s="130" t="s">
        <v>168</v>
      </c>
      <c r="O224" s="130" t="s">
        <v>1361</v>
      </c>
      <c r="P224" s="130" t="s">
        <v>1362</v>
      </c>
      <c r="Q224" s="130" t="s">
        <v>1127</v>
      </c>
      <c r="R224" s="130" t="s">
        <v>1140</v>
      </c>
      <c r="S224" s="130" t="s">
        <v>1407</v>
      </c>
      <c r="T224" s="130" t="s">
        <v>1130</v>
      </c>
      <c r="U224" s="130">
        <v>0</v>
      </c>
      <c r="V224" s="131">
        <v>102388</v>
      </c>
      <c r="W224" s="131">
        <v>102388</v>
      </c>
      <c r="X224" s="131">
        <v>93978.5</v>
      </c>
      <c r="Y224" s="131">
        <v>8409.5</v>
      </c>
      <c r="Z224" s="131">
        <v>9700</v>
      </c>
      <c r="AA224" s="131">
        <v>92688</v>
      </c>
      <c r="AB224" s="131">
        <v>9700</v>
      </c>
      <c r="AC224" s="131">
        <v>92688</v>
      </c>
      <c r="AD224" s="131">
        <v>6500</v>
      </c>
      <c r="AE224" s="132">
        <v>95888</v>
      </c>
    </row>
    <row r="225" spans="1:31" x14ac:dyDescent="0.2">
      <c r="A225" s="133">
        <v>36</v>
      </c>
      <c r="B225" s="133" t="s">
        <v>180</v>
      </c>
      <c r="C225" s="133" t="s">
        <v>1114</v>
      </c>
      <c r="D225" s="133" t="s">
        <v>1357</v>
      </c>
      <c r="E225" s="133" t="s">
        <v>1116</v>
      </c>
      <c r="F225" s="133" t="s">
        <v>1117</v>
      </c>
      <c r="G225" s="133" t="s">
        <v>1118</v>
      </c>
      <c r="H225" s="133" t="s">
        <v>1149</v>
      </c>
      <c r="I225" s="133" t="s">
        <v>1182</v>
      </c>
      <c r="J225" s="130" t="s">
        <v>1347</v>
      </c>
      <c r="K225" s="130" t="s">
        <v>1348</v>
      </c>
      <c r="L225" s="130" t="s">
        <v>1406</v>
      </c>
      <c r="M225" s="130" t="s">
        <v>1360</v>
      </c>
      <c r="N225" s="130" t="s">
        <v>168</v>
      </c>
      <c r="O225" s="130" t="s">
        <v>1361</v>
      </c>
      <c r="P225" s="130" t="s">
        <v>1362</v>
      </c>
      <c r="Q225" s="130" t="s">
        <v>1127</v>
      </c>
      <c r="R225" s="130" t="s">
        <v>1140</v>
      </c>
      <c r="S225" s="130" t="s">
        <v>1407</v>
      </c>
      <c r="T225" s="130" t="s">
        <v>1130</v>
      </c>
      <c r="U225" s="130">
        <v>0</v>
      </c>
      <c r="V225" s="131">
        <v>78701</v>
      </c>
      <c r="W225" s="131">
        <v>78701</v>
      </c>
      <c r="X225" s="131">
        <v>3110</v>
      </c>
      <c r="Y225" s="131">
        <v>75591</v>
      </c>
      <c r="Z225" s="131">
        <v>3110</v>
      </c>
      <c r="AA225" s="131">
        <v>75591</v>
      </c>
      <c r="AB225" s="131">
        <v>3110</v>
      </c>
      <c r="AC225" s="131">
        <v>75591</v>
      </c>
      <c r="AD225" s="131">
        <v>0</v>
      </c>
      <c r="AE225" s="132">
        <v>78701</v>
      </c>
    </row>
    <row r="226" spans="1:31" x14ac:dyDescent="0.2">
      <c r="A226" s="133">
        <v>36</v>
      </c>
      <c r="B226" s="133" t="s">
        <v>180</v>
      </c>
      <c r="C226" s="133" t="s">
        <v>1114</v>
      </c>
      <c r="D226" s="133" t="s">
        <v>1357</v>
      </c>
      <c r="E226" s="133" t="s">
        <v>1116</v>
      </c>
      <c r="F226" s="133" t="s">
        <v>1117</v>
      </c>
      <c r="G226" s="133" t="s">
        <v>1118</v>
      </c>
      <c r="H226" s="130" t="s">
        <v>1133</v>
      </c>
      <c r="I226" s="130" t="s">
        <v>1134</v>
      </c>
      <c r="J226" s="130" t="s">
        <v>1135</v>
      </c>
      <c r="K226" s="130" t="s">
        <v>1178</v>
      </c>
      <c r="L226" s="130" t="s">
        <v>1406</v>
      </c>
      <c r="M226" s="130" t="s">
        <v>1360</v>
      </c>
      <c r="N226" s="130" t="s">
        <v>168</v>
      </c>
      <c r="O226" s="130" t="s">
        <v>1361</v>
      </c>
      <c r="P226" s="130" t="s">
        <v>1362</v>
      </c>
      <c r="Q226" s="130" t="s">
        <v>1127</v>
      </c>
      <c r="R226" s="130" t="s">
        <v>1140</v>
      </c>
      <c r="S226" s="130" t="s">
        <v>1407</v>
      </c>
      <c r="T226" s="130" t="s">
        <v>1130</v>
      </c>
      <c r="U226" s="130">
        <v>0</v>
      </c>
      <c r="V226" s="131">
        <v>226373</v>
      </c>
      <c r="W226" s="131">
        <v>226373</v>
      </c>
      <c r="X226" s="131">
        <v>226373</v>
      </c>
      <c r="Y226" s="131">
        <v>0</v>
      </c>
      <c r="Z226" s="131">
        <v>197793</v>
      </c>
      <c r="AA226" s="131">
        <v>28580</v>
      </c>
      <c r="AB226" s="131">
        <v>97300.34</v>
      </c>
      <c r="AC226" s="131">
        <v>129072.66</v>
      </c>
      <c r="AD226" s="131">
        <v>97300.34</v>
      </c>
      <c r="AE226" s="132">
        <v>129072.66</v>
      </c>
    </row>
    <row r="227" spans="1:31" x14ac:dyDescent="0.2">
      <c r="A227" s="133">
        <v>36</v>
      </c>
      <c r="B227" s="133" t="s">
        <v>180</v>
      </c>
      <c r="C227" s="133" t="s">
        <v>1114</v>
      </c>
      <c r="D227" s="133" t="s">
        <v>1357</v>
      </c>
      <c r="E227" s="133" t="s">
        <v>1116</v>
      </c>
      <c r="F227" s="133" t="s">
        <v>1117</v>
      </c>
      <c r="G227" s="133" t="s">
        <v>1118</v>
      </c>
      <c r="H227" s="133" t="s">
        <v>1133</v>
      </c>
      <c r="I227" s="133" t="s">
        <v>1134</v>
      </c>
      <c r="J227" s="133" t="s">
        <v>1135</v>
      </c>
      <c r="K227" s="130" t="s">
        <v>1179</v>
      </c>
      <c r="L227" s="130" t="s">
        <v>1406</v>
      </c>
      <c r="M227" s="130" t="s">
        <v>1360</v>
      </c>
      <c r="N227" s="130" t="s">
        <v>168</v>
      </c>
      <c r="O227" s="130" t="s">
        <v>1361</v>
      </c>
      <c r="P227" s="130" t="s">
        <v>1362</v>
      </c>
      <c r="Q227" s="130" t="s">
        <v>1127</v>
      </c>
      <c r="R227" s="130" t="s">
        <v>1140</v>
      </c>
      <c r="S227" s="130" t="s">
        <v>1407</v>
      </c>
      <c r="T227" s="130" t="s">
        <v>1130</v>
      </c>
      <c r="U227" s="130">
        <v>0</v>
      </c>
      <c r="V227" s="131">
        <v>42375</v>
      </c>
      <c r="W227" s="131">
        <v>42375</v>
      </c>
      <c r="X227" s="131">
        <v>28547</v>
      </c>
      <c r="Y227" s="131">
        <v>13828</v>
      </c>
      <c r="Z227" s="131">
        <v>28547</v>
      </c>
      <c r="AA227" s="131">
        <v>13828</v>
      </c>
      <c r="AB227" s="131">
        <v>28547</v>
      </c>
      <c r="AC227" s="131">
        <v>13828</v>
      </c>
      <c r="AD227" s="131">
        <v>6947</v>
      </c>
      <c r="AE227" s="132">
        <v>35428</v>
      </c>
    </row>
    <row r="228" spans="1:31" x14ac:dyDescent="0.2">
      <c r="A228" s="133">
        <v>36</v>
      </c>
      <c r="B228" s="133" t="s">
        <v>180</v>
      </c>
      <c r="C228" s="133" t="s">
        <v>1114</v>
      </c>
      <c r="D228" s="133" t="s">
        <v>1357</v>
      </c>
      <c r="E228" s="133" t="s">
        <v>1116</v>
      </c>
      <c r="F228" s="133" t="s">
        <v>1117</v>
      </c>
      <c r="G228" s="133" t="s">
        <v>1118</v>
      </c>
      <c r="H228" s="133" t="s">
        <v>1133</v>
      </c>
      <c r="I228" s="133" t="s">
        <v>1134</v>
      </c>
      <c r="J228" s="133" t="s">
        <v>1135</v>
      </c>
      <c r="K228" s="130" t="s">
        <v>1144</v>
      </c>
      <c r="L228" s="130" t="s">
        <v>1406</v>
      </c>
      <c r="M228" s="130" t="s">
        <v>1360</v>
      </c>
      <c r="N228" s="130" t="s">
        <v>168</v>
      </c>
      <c r="O228" s="130" t="s">
        <v>1361</v>
      </c>
      <c r="P228" s="130" t="s">
        <v>1362</v>
      </c>
      <c r="Q228" s="130" t="s">
        <v>1127</v>
      </c>
      <c r="R228" s="130" t="s">
        <v>1140</v>
      </c>
      <c r="S228" s="130" t="s">
        <v>1407</v>
      </c>
      <c r="T228" s="130" t="s">
        <v>1130</v>
      </c>
      <c r="U228" s="130">
        <v>0</v>
      </c>
      <c r="V228" s="131">
        <v>80292</v>
      </c>
      <c r="W228" s="131">
        <v>80292</v>
      </c>
      <c r="X228" s="131">
        <v>50088.3</v>
      </c>
      <c r="Y228" s="131">
        <v>30203.699999999997</v>
      </c>
      <c r="Z228" s="131">
        <v>49032.81</v>
      </c>
      <c r="AA228" s="131">
        <v>31259.190000000002</v>
      </c>
      <c r="AB228" s="131">
        <v>49032.81</v>
      </c>
      <c r="AC228" s="131">
        <v>31259.190000000002</v>
      </c>
      <c r="AD228" s="131">
        <v>30664.51</v>
      </c>
      <c r="AE228" s="132">
        <v>49627.490000000005</v>
      </c>
    </row>
    <row r="229" spans="1:31" x14ac:dyDescent="0.2">
      <c r="A229" s="130">
        <v>37</v>
      </c>
      <c r="B229" s="130" t="s">
        <v>181</v>
      </c>
      <c r="C229" s="130" t="s">
        <v>1114</v>
      </c>
      <c r="D229" s="130" t="s">
        <v>1367</v>
      </c>
      <c r="E229" s="130" t="s">
        <v>1116</v>
      </c>
      <c r="F229" s="130" t="s">
        <v>1117</v>
      </c>
      <c r="G229" s="130" t="s">
        <v>1118</v>
      </c>
      <c r="H229" s="130" t="s">
        <v>1119</v>
      </c>
      <c r="I229" s="130" t="s">
        <v>1120</v>
      </c>
      <c r="J229" s="130" t="s">
        <v>1358</v>
      </c>
      <c r="K229" s="130" t="s">
        <v>1177</v>
      </c>
      <c r="L229" s="130" t="s">
        <v>1408</v>
      </c>
      <c r="M229" s="130" t="s">
        <v>1360</v>
      </c>
      <c r="N229" s="130" t="s">
        <v>168</v>
      </c>
      <c r="O229" s="130" t="s">
        <v>1361</v>
      </c>
      <c r="P229" s="130" t="s">
        <v>1366</v>
      </c>
      <c r="Q229" s="130" t="s">
        <v>1127</v>
      </c>
      <c r="R229" s="130" t="s">
        <v>1409</v>
      </c>
      <c r="S229" s="130" t="s">
        <v>1410</v>
      </c>
      <c r="T229" s="130" t="s">
        <v>1130</v>
      </c>
      <c r="U229" s="130">
        <v>175369</v>
      </c>
      <c r="V229" s="131">
        <v>-50860</v>
      </c>
      <c r="W229" s="131">
        <v>124509</v>
      </c>
      <c r="X229" s="131">
        <v>0</v>
      </c>
      <c r="Y229" s="131">
        <v>124509</v>
      </c>
      <c r="Z229" s="131">
        <v>0</v>
      </c>
      <c r="AA229" s="131">
        <v>124509</v>
      </c>
      <c r="AB229" s="131">
        <v>0</v>
      </c>
      <c r="AC229" s="131">
        <v>124509</v>
      </c>
      <c r="AD229" s="131">
        <v>0</v>
      </c>
      <c r="AE229" s="132">
        <v>124509</v>
      </c>
    </row>
    <row r="230" spans="1:31" x14ac:dyDescent="0.2">
      <c r="A230" s="133">
        <v>37</v>
      </c>
      <c r="B230" s="133" t="s">
        <v>181</v>
      </c>
      <c r="C230" s="133" t="s">
        <v>1114</v>
      </c>
      <c r="D230" s="133" t="s">
        <v>1367</v>
      </c>
      <c r="E230" s="133" t="s">
        <v>1116</v>
      </c>
      <c r="F230" s="133" t="s">
        <v>1117</v>
      </c>
      <c r="G230" s="133" t="s">
        <v>1118</v>
      </c>
      <c r="H230" s="130" t="s">
        <v>1133</v>
      </c>
      <c r="I230" s="130" t="s">
        <v>1134</v>
      </c>
      <c r="J230" s="130" t="s">
        <v>1135</v>
      </c>
      <c r="K230" s="130" t="s">
        <v>1178</v>
      </c>
      <c r="L230" s="130" t="s">
        <v>1408</v>
      </c>
      <c r="M230" s="130" t="s">
        <v>1360</v>
      </c>
      <c r="N230" s="130" t="s">
        <v>168</v>
      </c>
      <c r="O230" s="130" t="s">
        <v>1361</v>
      </c>
      <c r="P230" s="130" t="s">
        <v>1366</v>
      </c>
      <c r="Q230" s="130" t="s">
        <v>1127</v>
      </c>
      <c r="R230" s="130" t="s">
        <v>1409</v>
      </c>
      <c r="S230" s="130" t="s">
        <v>1410</v>
      </c>
      <c r="T230" s="130" t="s">
        <v>1130</v>
      </c>
      <c r="U230" s="130">
        <v>0</v>
      </c>
      <c r="V230" s="131">
        <v>50132</v>
      </c>
      <c r="W230" s="131">
        <v>50132</v>
      </c>
      <c r="X230" s="131">
        <v>50132</v>
      </c>
      <c r="Y230" s="131">
        <v>0</v>
      </c>
      <c r="Z230" s="131">
        <v>50132</v>
      </c>
      <c r="AA230" s="131">
        <v>0</v>
      </c>
      <c r="AB230" s="131">
        <v>47450.05</v>
      </c>
      <c r="AC230" s="131">
        <v>2681.9499999999971</v>
      </c>
      <c r="AD230" s="131">
        <v>47450.05</v>
      </c>
      <c r="AE230" s="132">
        <v>2681.9499999999971</v>
      </c>
    </row>
    <row r="231" spans="1:31" x14ac:dyDescent="0.2">
      <c r="A231" s="133">
        <v>37</v>
      </c>
      <c r="B231" s="133" t="s">
        <v>181</v>
      </c>
      <c r="C231" s="133" t="s">
        <v>1114</v>
      </c>
      <c r="D231" s="133" t="s">
        <v>1367</v>
      </c>
      <c r="E231" s="133" t="s">
        <v>1116</v>
      </c>
      <c r="F231" s="133" t="s">
        <v>1117</v>
      </c>
      <c r="G231" s="133" t="s">
        <v>1118</v>
      </c>
      <c r="H231" s="133" t="s">
        <v>1133</v>
      </c>
      <c r="I231" s="133" t="s">
        <v>1134</v>
      </c>
      <c r="J231" s="133" t="s">
        <v>1135</v>
      </c>
      <c r="K231" s="130" t="s">
        <v>1179</v>
      </c>
      <c r="L231" s="130" t="s">
        <v>1408</v>
      </c>
      <c r="M231" s="130" t="s">
        <v>1360</v>
      </c>
      <c r="N231" s="130" t="s">
        <v>168</v>
      </c>
      <c r="O231" s="130" t="s">
        <v>1361</v>
      </c>
      <c r="P231" s="130" t="s">
        <v>1366</v>
      </c>
      <c r="Q231" s="130" t="s">
        <v>1127</v>
      </c>
      <c r="R231" s="130" t="s">
        <v>1409</v>
      </c>
      <c r="S231" s="130" t="s">
        <v>1410</v>
      </c>
      <c r="T231" s="130" t="s">
        <v>1130</v>
      </c>
      <c r="U231" s="130">
        <v>0</v>
      </c>
      <c r="V231" s="131">
        <v>728</v>
      </c>
      <c r="W231" s="131">
        <v>728</v>
      </c>
      <c r="X231" s="131">
        <v>0</v>
      </c>
      <c r="Y231" s="131">
        <v>728</v>
      </c>
      <c r="Z231" s="131">
        <v>0</v>
      </c>
      <c r="AA231" s="131">
        <v>728</v>
      </c>
      <c r="AB231" s="131">
        <v>0</v>
      </c>
      <c r="AC231" s="131">
        <v>728</v>
      </c>
      <c r="AD231" s="131">
        <v>0</v>
      </c>
      <c r="AE231" s="132">
        <v>728</v>
      </c>
    </row>
    <row r="232" spans="1:31" x14ac:dyDescent="0.2">
      <c r="A232" s="130">
        <v>38</v>
      </c>
      <c r="B232" s="130" t="s">
        <v>1411</v>
      </c>
      <c r="C232" s="130" t="s">
        <v>1114</v>
      </c>
      <c r="D232" s="130" t="s">
        <v>1357</v>
      </c>
      <c r="E232" s="130" t="s">
        <v>1116</v>
      </c>
      <c r="F232" s="130" t="s">
        <v>1117</v>
      </c>
      <c r="G232" s="130" t="s">
        <v>1118</v>
      </c>
      <c r="H232" s="130" t="s">
        <v>1119</v>
      </c>
      <c r="I232" s="130" t="s">
        <v>1120</v>
      </c>
      <c r="J232" s="130" t="s">
        <v>1358</v>
      </c>
      <c r="K232" s="130" t="s">
        <v>1122</v>
      </c>
      <c r="L232" s="130" t="s">
        <v>1412</v>
      </c>
      <c r="M232" s="130" t="s">
        <v>1360</v>
      </c>
      <c r="N232" s="130" t="s">
        <v>168</v>
      </c>
      <c r="O232" s="130" t="s">
        <v>1361</v>
      </c>
      <c r="P232" s="130" t="s">
        <v>1362</v>
      </c>
      <c r="Q232" s="130" t="s">
        <v>1127</v>
      </c>
      <c r="R232" s="130" t="s">
        <v>1413</v>
      </c>
      <c r="S232" s="130" t="s">
        <v>1414</v>
      </c>
      <c r="T232" s="130" t="s">
        <v>1130</v>
      </c>
      <c r="U232" s="130">
        <v>500000</v>
      </c>
      <c r="V232" s="131">
        <v>-500000</v>
      </c>
      <c r="W232" s="131">
        <v>0</v>
      </c>
      <c r="X232" s="131">
        <v>0</v>
      </c>
      <c r="Y232" s="131">
        <v>0</v>
      </c>
      <c r="Z232" s="131">
        <v>0</v>
      </c>
      <c r="AA232" s="131">
        <v>0</v>
      </c>
      <c r="AB232" s="131">
        <v>0</v>
      </c>
      <c r="AC232" s="131">
        <v>0</v>
      </c>
      <c r="AD232" s="131">
        <v>0</v>
      </c>
      <c r="AE232" s="132">
        <v>0</v>
      </c>
    </row>
    <row r="233" spans="1:31" x14ac:dyDescent="0.2">
      <c r="A233" s="130">
        <v>39</v>
      </c>
      <c r="B233" s="130" t="s">
        <v>1415</v>
      </c>
      <c r="C233" s="130" t="s">
        <v>1114</v>
      </c>
      <c r="D233" s="130" t="s">
        <v>1357</v>
      </c>
      <c r="E233" s="130" t="s">
        <v>1116</v>
      </c>
      <c r="F233" s="130" t="s">
        <v>1117</v>
      </c>
      <c r="G233" s="130" t="s">
        <v>1118</v>
      </c>
      <c r="H233" s="130" t="s">
        <v>1119</v>
      </c>
      <c r="I233" s="130" t="s">
        <v>1120</v>
      </c>
      <c r="J233" s="130" t="s">
        <v>1358</v>
      </c>
      <c r="K233" s="130" t="s">
        <v>1131</v>
      </c>
      <c r="L233" s="130" t="s">
        <v>1416</v>
      </c>
      <c r="M233" s="130" t="s">
        <v>1360</v>
      </c>
      <c r="N233" s="130" t="s">
        <v>168</v>
      </c>
      <c r="O233" s="130" t="s">
        <v>1361</v>
      </c>
      <c r="P233" s="130" t="s">
        <v>1362</v>
      </c>
      <c r="Q233" s="130" t="s">
        <v>1127</v>
      </c>
      <c r="R233" s="130" t="s">
        <v>1417</v>
      </c>
      <c r="S233" s="130" t="s">
        <v>1418</v>
      </c>
      <c r="T233" s="130" t="s">
        <v>1130</v>
      </c>
      <c r="U233" s="130">
        <v>0</v>
      </c>
      <c r="V233" s="131">
        <v>1345308</v>
      </c>
      <c r="W233" s="131">
        <v>1345308</v>
      </c>
      <c r="X233" s="131">
        <v>1345308</v>
      </c>
      <c r="Y233" s="131">
        <v>0</v>
      </c>
      <c r="Z233" s="131">
        <v>1345308</v>
      </c>
      <c r="AA233" s="131">
        <v>0</v>
      </c>
      <c r="AB233" s="131">
        <v>1330558.55</v>
      </c>
      <c r="AC233" s="131">
        <v>14749.449999999953</v>
      </c>
      <c r="AD233" s="131">
        <v>1317741.6099999999</v>
      </c>
      <c r="AE233" s="132">
        <v>27566.39000000013</v>
      </c>
    </row>
    <row r="234" spans="1:31" x14ac:dyDescent="0.2">
      <c r="A234" s="133">
        <v>39</v>
      </c>
      <c r="B234" s="133" t="s">
        <v>1415</v>
      </c>
      <c r="C234" s="133" t="s">
        <v>1114</v>
      </c>
      <c r="D234" s="133" t="s">
        <v>1357</v>
      </c>
      <c r="E234" s="133" t="s">
        <v>1116</v>
      </c>
      <c r="F234" s="133" t="s">
        <v>1117</v>
      </c>
      <c r="G234" s="133" t="s">
        <v>1118</v>
      </c>
      <c r="H234" s="133" t="s">
        <v>1119</v>
      </c>
      <c r="I234" s="133" t="s">
        <v>1120</v>
      </c>
      <c r="J234" s="133" t="s">
        <v>1358</v>
      </c>
      <c r="K234" s="130" t="s">
        <v>1177</v>
      </c>
      <c r="L234" s="130" t="s">
        <v>1416</v>
      </c>
      <c r="M234" s="130" t="s">
        <v>1360</v>
      </c>
      <c r="N234" s="130" t="s">
        <v>168</v>
      </c>
      <c r="O234" s="130" t="s">
        <v>1361</v>
      </c>
      <c r="P234" s="130" t="s">
        <v>1362</v>
      </c>
      <c r="Q234" s="130" t="s">
        <v>1127</v>
      </c>
      <c r="R234" s="130" t="s">
        <v>1417</v>
      </c>
      <c r="S234" s="130" t="s">
        <v>1418</v>
      </c>
      <c r="T234" s="130" t="s">
        <v>1130</v>
      </c>
      <c r="U234" s="130">
        <v>1341357</v>
      </c>
      <c r="V234" s="131">
        <v>234773</v>
      </c>
      <c r="W234" s="131">
        <v>1576130</v>
      </c>
      <c r="X234" s="131">
        <v>1078476.68</v>
      </c>
      <c r="Y234" s="131">
        <v>497653.32000000007</v>
      </c>
      <c r="Z234" s="131">
        <v>555578.44999999995</v>
      </c>
      <c r="AA234" s="131">
        <v>1020551.55</v>
      </c>
      <c r="AB234" s="131">
        <v>503738.13</v>
      </c>
      <c r="AC234" s="131">
        <v>1072391.8700000001</v>
      </c>
      <c r="AD234" s="131">
        <v>466769.11</v>
      </c>
      <c r="AE234" s="132">
        <v>1109360.8900000001</v>
      </c>
    </row>
    <row r="235" spans="1:31" x14ac:dyDescent="0.2">
      <c r="A235" s="133">
        <v>39</v>
      </c>
      <c r="B235" s="133" t="s">
        <v>1415</v>
      </c>
      <c r="C235" s="133" t="s">
        <v>1114</v>
      </c>
      <c r="D235" s="133" t="s">
        <v>1357</v>
      </c>
      <c r="E235" s="133" t="s">
        <v>1116</v>
      </c>
      <c r="F235" s="133" t="s">
        <v>1117</v>
      </c>
      <c r="G235" s="133" t="s">
        <v>1118</v>
      </c>
      <c r="H235" s="133" t="s">
        <v>1119</v>
      </c>
      <c r="I235" s="133" t="s">
        <v>1120</v>
      </c>
      <c r="J235" s="133" t="s">
        <v>1358</v>
      </c>
      <c r="K235" s="130" t="s">
        <v>1132</v>
      </c>
      <c r="L235" s="130" t="s">
        <v>1416</v>
      </c>
      <c r="M235" s="130" t="s">
        <v>1360</v>
      </c>
      <c r="N235" s="130" t="s">
        <v>168</v>
      </c>
      <c r="O235" s="130" t="s">
        <v>1361</v>
      </c>
      <c r="P235" s="130" t="s">
        <v>1362</v>
      </c>
      <c r="Q235" s="130" t="s">
        <v>1127</v>
      </c>
      <c r="R235" s="130" t="s">
        <v>1417</v>
      </c>
      <c r="S235" s="130" t="s">
        <v>1418</v>
      </c>
      <c r="T235" s="130" t="s">
        <v>1130</v>
      </c>
      <c r="U235" s="130">
        <v>0</v>
      </c>
      <c r="V235" s="131">
        <v>765512</v>
      </c>
      <c r="W235" s="131">
        <v>765512</v>
      </c>
      <c r="X235" s="131">
        <v>205324.66</v>
      </c>
      <c r="Y235" s="131">
        <v>560187.34</v>
      </c>
      <c r="Z235" s="131">
        <v>80074.66</v>
      </c>
      <c r="AA235" s="131">
        <v>685437.34</v>
      </c>
      <c r="AB235" s="131">
        <v>80074.66</v>
      </c>
      <c r="AC235" s="131">
        <v>685437.34</v>
      </c>
      <c r="AD235" s="131">
        <v>21037.8</v>
      </c>
      <c r="AE235" s="132">
        <v>744474.2</v>
      </c>
    </row>
    <row r="236" spans="1:31" x14ac:dyDescent="0.2">
      <c r="A236" s="133">
        <v>39</v>
      </c>
      <c r="B236" s="133" t="s">
        <v>1415</v>
      </c>
      <c r="C236" s="133" t="s">
        <v>1114</v>
      </c>
      <c r="D236" s="133" t="s">
        <v>1357</v>
      </c>
      <c r="E236" s="133" t="s">
        <v>1116</v>
      </c>
      <c r="F236" s="133" t="s">
        <v>1117</v>
      </c>
      <c r="G236" s="133" t="s">
        <v>1118</v>
      </c>
      <c r="H236" s="130" t="s">
        <v>1149</v>
      </c>
      <c r="I236" s="130" t="s">
        <v>1182</v>
      </c>
      <c r="J236" s="130" t="s">
        <v>1377</v>
      </c>
      <c r="K236" s="130" t="s">
        <v>1378</v>
      </c>
      <c r="L236" s="130" t="s">
        <v>1416</v>
      </c>
      <c r="M236" s="130" t="s">
        <v>1360</v>
      </c>
      <c r="N236" s="130" t="s">
        <v>168</v>
      </c>
      <c r="O236" s="130" t="s">
        <v>1361</v>
      </c>
      <c r="P236" s="130" t="s">
        <v>1362</v>
      </c>
      <c r="Q236" s="130" t="s">
        <v>1127</v>
      </c>
      <c r="R236" s="130" t="s">
        <v>1417</v>
      </c>
      <c r="S236" s="130" t="s">
        <v>1418</v>
      </c>
      <c r="T236" s="130" t="s">
        <v>1130</v>
      </c>
      <c r="U236" s="130">
        <v>0</v>
      </c>
      <c r="V236" s="131">
        <v>17050</v>
      </c>
      <c r="W236" s="131">
        <v>17050</v>
      </c>
      <c r="X236" s="131">
        <v>0</v>
      </c>
      <c r="Y236" s="131">
        <v>17050</v>
      </c>
      <c r="Z236" s="131">
        <v>0</v>
      </c>
      <c r="AA236" s="131">
        <v>17050</v>
      </c>
      <c r="AB236" s="131">
        <v>0</v>
      </c>
      <c r="AC236" s="131">
        <v>17050</v>
      </c>
      <c r="AD236" s="131">
        <v>0</v>
      </c>
      <c r="AE236" s="132">
        <v>17050</v>
      </c>
    </row>
    <row r="237" spans="1:31" x14ac:dyDescent="0.2">
      <c r="A237" s="133">
        <v>39</v>
      </c>
      <c r="B237" s="133" t="s">
        <v>1415</v>
      </c>
      <c r="C237" s="133" t="s">
        <v>1114</v>
      </c>
      <c r="D237" s="133" t="s">
        <v>1357</v>
      </c>
      <c r="E237" s="133" t="s">
        <v>1116</v>
      </c>
      <c r="F237" s="133" t="s">
        <v>1117</v>
      </c>
      <c r="G237" s="133" t="s">
        <v>1118</v>
      </c>
      <c r="H237" s="133" t="s">
        <v>1149</v>
      </c>
      <c r="I237" s="133" t="s">
        <v>1182</v>
      </c>
      <c r="J237" s="130" t="s">
        <v>1382</v>
      </c>
      <c r="K237" s="130" t="s">
        <v>1383</v>
      </c>
      <c r="L237" s="130" t="s">
        <v>1416</v>
      </c>
      <c r="M237" s="130" t="s">
        <v>1360</v>
      </c>
      <c r="N237" s="130" t="s">
        <v>168</v>
      </c>
      <c r="O237" s="130" t="s">
        <v>1361</v>
      </c>
      <c r="P237" s="130" t="s">
        <v>1362</v>
      </c>
      <c r="Q237" s="130" t="s">
        <v>1127</v>
      </c>
      <c r="R237" s="130" t="s">
        <v>1417</v>
      </c>
      <c r="S237" s="130" t="s">
        <v>1418</v>
      </c>
      <c r="T237" s="130" t="s">
        <v>1130</v>
      </c>
      <c r="U237" s="130">
        <v>0</v>
      </c>
      <c r="V237" s="131">
        <v>374735</v>
      </c>
      <c r="W237" s="131">
        <v>374735</v>
      </c>
      <c r="X237" s="131">
        <v>0</v>
      </c>
      <c r="Y237" s="131">
        <v>374735</v>
      </c>
      <c r="Z237" s="131">
        <v>0</v>
      </c>
      <c r="AA237" s="131">
        <v>374735</v>
      </c>
      <c r="AB237" s="131">
        <v>0</v>
      </c>
      <c r="AC237" s="131">
        <v>374735</v>
      </c>
      <c r="AD237" s="131">
        <v>0</v>
      </c>
      <c r="AE237" s="132">
        <v>374735</v>
      </c>
    </row>
    <row r="238" spans="1:31" x14ac:dyDescent="0.2">
      <c r="A238" s="133">
        <v>39</v>
      </c>
      <c r="B238" s="133" t="s">
        <v>1415</v>
      </c>
      <c r="C238" s="133" t="s">
        <v>1114</v>
      </c>
      <c r="D238" s="133" t="s">
        <v>1357</v>
      </c>
      <c r="E238" s="133" t="s">
        <v>1116</v>
      </c>
      <c r="F238" s="133" t="s">
        <v>1117</v>
      </c>
      <c r="G238" s="133" t="s">
        <v>1118</v>
      </c>
      <c r="H238" s="133" t="s">
        <v>1149</v>
      </c>
      <c r="I238" s="133" t="s">
        <v>1182</v>
      </c>
      <c r="J238" s="133" t="s">
        <v>1382</v>
      </c>
      <c r="K238" s="130" t="s">
        <v>1378</v>
      </c>
      <c r="L238" s="130" t="s">
        <v>1416</v>
      </c>
      <c r="M238" s="130" t="s">
        <v>1360</v>
      </c>
      <c r="N238" s="130" t="s">
        <v>168</v>
      </c>
      <c r="O238" s="130" t="s">
        <v>1361</v>
      </c>
      <c r="P238" s="130" t="s">
        <v>1362</v>
      </c>
      <c r="Q238" s="130" t="s">
        <v>1127</v>
      </c>
      <c r="R238" s="130" t="s">
        <v>1417</v>
      </c>
      <c r="S238" s="130" t="s">
        <v>1418</v>
      </c>
      <c r="T238" s="130" t="s">
        <v>1130</v>
      </c>
      <c r="U238" s="130">
        <v>0</v>
      </c>
      <c r="V238" s="131">
        <v>510790</v>
      </c>
      <c r="W238" s="131">
        <v>510790</v>
      </c>
      <c r="X238" s="131">
        <v>0</v>
      </c>
      <c r="Y238" s="131">
        <v>510790</v>
      </c>
      <c r="Z238" s="131">
        <v>0</v>
      </c>
      <c r="AA238" s="131">
        <v>510790</v>
      </c>
      <c r="AB238" s="131">
        <v>0</v>
      </c>
      <c r="AC238" s="131">
        <v>510790</v>
      </c>
      <c r="AD238" s="131">
        <v>0</v>
      </c>
      <c r="AE238" s="132">
        <v>510790</v>
      </c>
    </row>
    <row r="239" spans="1:31" x14ac:dyDescent="0.2">
      <c r="A239" s="133">
        <v>39</v>
      </c>
      <c r="B239" s="133" t="s">
        <v>1415</v>
      </c>
      <c r="C239" s="133" t="s">
        <v>1114</v>
      </c>
      <c r="D239" s="133" t="s">
        <v>1357</v>
      </c>
      <c r="E239" s="133" t="s">
        <v>1116</v>
      </c>
      <c r="F239" s="133" t="s">
        <v>1117</v>
      </c>
      <c r="G239" s="133" t="s">
        <v>1118</v>
      </c>
      <c r="H239" s="133" t="s">
        <v>1149</v>
      </c>
      <c r="I239" s="133" t="s">
        <v>1182</v>
      </c>
      <c r="J239" s="130" t="s">
        <v>1347</v>
      </c>
      <c r="K239" s="130" t="s">
        <v>1348</v>
      </c>
      <c r="L239" s="130" t="s">
        <v>1416</v>
      </c>
      <c r="M239" s="130" t="s">
        <v>1360</v>
      </c>
      <c r="N239" s="130" t="s">
        <v>168</v>
      </c>
      <c r="O239" s="130" t="s">
        <v>1361</v>
      </c>
      <c r="P239" s="130" t="s">
        <v>1362</v>
      </c>
      <c r="Q239" s="130" t="s">
        <v>1127</v>
      </c>
      <c r="R239" s="130" t="s">
        <v>1417</v>
      </c>
      <c r="S239" s="130" t="s">
        <v>1418</v>
      </c>
      <c r="T239" s="130" t="s">
        <v>1130</v>
      </c>
      <c r="U239" s="130">
        <v>0</v>
      </c>
      <c r="V239" s="131">
        <v>12852</v>
      </c>
      <c r="W239" s="131">
        <v>12852</v>
      </c>
      <c r="X239" s="131">
        <v>0</v>
      </c>
      <c r="Y239" s="131">
        <v>12852</v>
      </c>
      <c r="Z239" s="131">
        <v>0</v>
      </c>
      <c r="AA239" s="131">
        <v>12852</v>
      </c>
      <c r="AB239" s="131">
        <v>0</v>
      </c>
      <c r="AC239" s="131">
        <v>12852</v>
      </c>
      <c r="AD239" s="131">
        <v>0</v>
      </c>
      <c r="AE239" s="132">
        <v>12852</v>
      </c>
    </row>
    <row r="240" spans="1:31" x14ac:dyDescent="0.2">
      <c r="A240" s="133">
        <v>39</v>
      </c>
      <c r="B240" s="133" t="s">
        <v>1415</v>
      </c>
      <c r="C240" s="133" t="s">
        <v>1114</v>
      </c>
      <c r="D240" s="133" t="s">
        <v>1357</v>
      </c>
      <c r="E240" s="133" t="s">
        <v>1116</v>
      </c>
      <c r="F240" s="133" t="s">
        <v>1117</v>
      </c>
      <c r="G240" s="133" t="s">
        <v>1118</v>
      </c>
      <c r="H240" s="133" t="s">
        <v>1149</v>
      </c>
      <c r="I240" s="133" t="s">
        <v>1182</v>
      </c>
      <c r="J240" s="133" t="s">
        <v>1347</v>
      </c>
      <c r="K240" s="130" t="s">
        <v>1355</v>
      </c>
      <c r="L240" s="130" t="s">
        <v>1416</v>
      </c>
      <c r="M240" s="130" t="s">
        <v>1360</v>
      </c>
      <c r="N240" s="130" t="s">
        <v>168</v>
      </c>
      <c r="O240" s="130" t="s">
        <v>1361</v>
      </c>
      <c r="P240" s="130" t="s">
        <v>1362</v>
      </c>
      <c r="Q240" s="130" t="s">
        <v>1127</v>
      </c>
      <c r="R240" s="130" t="s">
        <v>1417</v>
      </c>
      <c r="S240" s="130" t="s">
        <v>1418</v>
      </c>
      <c r="T240" s="130" t="s">
        <v>1130</v>
      </c>
      <c r="U240" s="130">
        <v>0</v>
      </c>
      <c r="V240" s="131">
        <v>45983</v>
      </c>
      <c r="W240" s="131">
        <v>45983</v>
      </c>
      <c r="X240" s="131">
        <v>0</v>
      </c>
      <c r="Y240" s="131">
        <v>45983</v>
      </c>
      <c r="Z240" s="131">
        <v>0</v>
      </c>
      <c r="AA240" s="131">
        <v>45983</v>
      </c>
      <c r="AB240" s="131">
        <v>0</v>
      </c>
      <c r="AC240" s="131">
        <v>45983</v>
      </c>
      <c r="AD240" s="131">
        <v>0</v>
      </c>
      <c r="AE240" s="132">
        <v>45983</v>
      </c>
    </row>
    <row r="241" spans="1:31" x14ac:dyDescent="0.2">
      <c r="A241" s="133">
        <v>39</v>
      </c>
      <c r="B241" s="133" t="s">
        <v>1415</v>
      </c>
      <c r="C241" s="133" t="s">
        <v>1114</v>
      </c>
      <c r="D241" s="133" t="s">
        <v>1357</v>
      </c>
      <c r="E241" s="133" t="s">
        <v>1116</v>
      </c>
      <c r="F241" s="133" t="s">
        <v>1117</v>
      </c>
      <c r="G241" s="133" t="s">
        <v>1118</v>
      </c>
      <c r="H241" s="133" t="s">
        <v>1149</v>
      </c>
      <c r="I241" s="133" t="s">
        <v>1182</v>
      </c>
      <c r="J241" s="133" t="s">
        <v>1347</v>
      </c>
      <c r="K241" s="130" t="s">
        <v>1419</v>
      </c>
      <c r="L241" s="130" t="s">
        <v>1416</v>
      </c>
      <c r="M241" s="130" t="s">
        <v>1360</v>
      </c>
      <c r="N241" s="130" t="s">
        <v>168</v>
      </c>
      <c r="O241" s="130" t="s">
        <v>1361</v>
      </c>
      <c r="P241" s="130" t="s">
        <v>1362</v>
      </c>
      <c r="Q241" s="130" t="s">
        <v>1127</v>
      </c>
      <c r="R241" s="130" t="s">
        <v>1417</v>
      </c>
      <c r="S241" s="130" t="s">
        <v>1418</v>
      </c>
      <c r="T241" s="130" t="s">
        <v>1130</v>
      </c>
      <c r="U241" s="130">
        <v>0</v>
      </c>
      <c r="V241" s="131">
        <v>37769</v>
      </c>
      <c r="W241" s="131">
        <v>37769</v>
      </c>
      <c r="X241" s="131">
        <v>0</v>
      </c>
      <c r="Y241" s="131">
        <v>37769</v>
      </c>
      <c r="Z241" s="131">
        <v>0</v>
      </c>
      <c r="AA241" s="131">
        <v>37769</v>
      </c>
      <c r="AB241" s="131">
        <v>0</v>
      </c>
      <c r="AC241" s="131">
        <v>37769</v>
      </c>
      <c r="AD241" s="131">
        <v>0</v>
      </c>
      <c r="AE241" s="132">
        <v>37769</v>
      </c>
    </row>
    <row r="242" spans="1:31" x14ac:dyDescent="0.2">
      <c r="A242" s="133">
        <v>39</v>
      </c>
      <c r="B242" s="133" t="s">
        <v>1415</v>
      </c>
      <c r="C242" s="133" t="s">
        <v>1114</v>
      </c>
      <c r="D242" s="133" t="s">
        <v>1357</v>
      </c>
      <c r="E242" s="133" t="s">
        <v>1116</v>
      </c>
      <c r="F242" s="133" t="s">
        <v>1117</v>
      </c>
      <c r="G242" s="133" t="s">
        <v>1118</v>
      </c>
      <c r="H242" s="130" t="s">
        <v>1133</v>
      </c>
      <c r="I242" s="130" t="s">
        <v>1134</v>
      </c>
      <c r="J242" s="130" t="s">
        <v>1135</v>
      </c>
      <c r="K242" s="130" t="s">
        <v>1178</v>
      </c>
      <c r="L242" s="130" t="s">
        <v>1416</v>
      </c>
      <c r="M242" s="130" t="s">
        <v>1360</v>
      </c>
      <c r="N242" s="130" t="s">
        <v>168</v>
      </c>
      <c r="O242" s="130" t="s">
        <v>1361</v>
      </c>
      <c r="P242" s="130" t="s">
        <v>1362</v>
      </c>
      <c r="Q242" s="130" t="s">
        <v>1127</v>
      </c>
      <c r="R242" s="130" t="s">
        <v>1417</v>
      </c>
      <c r="S242" s="130" t="s">
        <v>1418</v>
      </c>
      <c r="T242" s="130" t="s">
        <v>1130</v>
      </c>
      <c r="U242" s="130">
        <v>0</v>
      </c>
      <c r="V242" s="131">
        <v>674861</v>
      </c>
      <c r="W242" s="131">
        <v>674861</v>
      </c>
      <c r="X242" s="131">
        <v>605000</v>
      </c>
      <c r="Y242" s="131">
        <v>69861</v>
      </c>
      <c r="Z242" s="131">
        <v>545000</v>
      </c>
      <c r="AA242" s="131">
        <v>129861</v>
      </c>
      <c r="AB242" s="131">
        <v>257841.3</v>
      </c>
      <c r="AC242" s="131">
        <v>417019.7</v>
      </c>
      <c r="AD242" s="131">
        <v>257841.3</v>
      </c>
      <c r="AE242" s="132">
        <v>417019.7</v>
      </c>
    </row>
    <row r="243" spans="1:31" x14ac:dyDescent="0.2">
      <c r="A243" s="133">
        <v>39</v>
      </c>
      <c r="B243" s="133" t="s">
        <v>1415</v>
      </c>
      <c r="C243" s="133" t="s">
        <v>1114</v>
      </c>
      <c r="D243" s="133" t="s">
        <v>1357</v>
      </c>
      <c r="E243" s="133" t="s">
        <v>1116</v>
      </c>
      <c r="F243" s="133" t="s">
        <v>1117</v>
      </c>
      <c r="G243" s="133" t="s">
        <v>1118</v>
      </c>
      <c r="H243" s="133" t="s">
        <v>1133</v>
      </c>
      <c r="I243" s="133" t="s">
        <v>1134</v>
      </c>
      <c r="J243" s="133" t="s">
        <v>1135</v>
      </c>
      <c r="K243" s="130" t="s">
        <v>1179</v>
      </c>
      <c r="L243" s="130" t="s">
        <v>1416</v>
      </c>
      <c r="M243" s="130" t="s">
        <v>1360</v>
      </c>
      <c r="N243" s="130" t="s">
        <v>168</v>
      </c>
      <c r="O243" s="130" t="s">
        <v>1361</v>
      </c>
      <c r="P243" s="130" t="s">
        <v>1362</v>
      </c>
      <c r="Q243" s="130" t="s">
        <v>1127</v>
      </c>
      <c r="R243" s="130" t="s">
        <v>1417</v>
      </c>
      <c r="S243" s="130" t="s">
        <v>1418</v>
      </c>
      <c r="T243" s="130" t="s">
        <v>1130</v>
      </c>
      <c r="U243" s="130">
        <v>0</v>
      </c>
      <c r="V243" s="131">
        <v>39642</v>
      </c>
      <c r="W243" s="131">
        <v>39642</v>
      </c>
      <c r="X243" s="131">
        <v>16985.400000000001</v>
      </c>
      <c r="Y243" s="131">
        <v>22656.6</v>
      </c>
      <c r="Z243" s="131">
        <v>16985.400000000001</v>
      </c>
      <c r="AA243" s="131">
        <v>22656.6</v>
      </c>
      <c r="AB243" s="131">
        <v>16985.400000000001</v>
      </c>
      <c r="AC243" s="131">
        <v>22656.6</v>
      </c>
      <c r="AD243" s="131">
        <v>3805</v>
      </c>
      <c r="AE243" s="132">
        <v>35837</v>
      </c>
    </row>
    <row r="244" spans="1:31" x14ac:dyDescent="0.2">
      <c r="A244" s="133">
        <v>39</v>
      </c>
      <c r="B244" s="133" t="s">
        <v>1415</v>
      </c>
      <c r="C244" s="133" t="s">
        <v>1114</v>
      </c>
      <c r="D244" s="133" t="s">
        <v>1357</v>
      </c>
      <c r="E244" s="133" t="s">
        <v>1116</v>
      </c>
      <c r="F244" s="133" t="s">
        <v>1117</v>
      </c>
      <c r="G244" s="133" t="s">
        <v>1118</v>
      </c>
      <c r="H244" s="133" t="s">
        <v>1133</v>
      </c>
      <c r="I244" s="133" t="s">
        <v>1134</v>
      </c>
      <c r="J244" s="133" t="s">
        <v>1135</v>
      </c>
      <c r="K244" s="130" t="s">
        <v>1144</v>
      </c>
      <c r="L244" s="130" t="s">
        <v>1416</v>
      </c>
      <c r="M244" s="130" t="s">
        <v>1360</v>
      </c>
      <c r="N244" s="130" t="s">
        <v>168</v>
      </c>
      <c r="O244" s="130" t="s">
        <v>1361</v>
      </c>
      <c r="P244" s="130" t="s">
        <v>1362</v>
      </c>
      <c r="Q244" s="130" t="s">
        <v>1127</v>
      </c>
      <c r="R244" s="130" t="s">
        <v>1417</v>
      </c>
      <c r="S244" s="130" t="s">
        <v>1418</v>
      </c>
      <c r="T244" s="130" t="s">
        <v>1130</v>
      </c>
      <c r="U244" s="130">
        <v>0</v>
      </c>
      <c r="V244" s="131">
        <v>64632</v>
      </c>
      <c r="W244" s="131">
        <v>64632</v>
      </c>
      <c r="X244" s="131">
        <v>25905</v>
      </c>
      <c r="Y244" s="131">
        <v>38727</v>
      </c>
      <c r="Z244" s="131">
        <v>25905</v>
      </c>
      <c r="AA244" s="131">
        <v>38727</v>
      </c>
      <c r="AB244" s="131">
        <v>25905</v>
      </c>
      <c r="AC244" s="131">
        <v>38727</v>
      </c>
      <c r="AD244" s="131">
        <v>20835</v>
      </c>
      <c r="AE244" s="132">
        <v>43797</v>
      </c>
    </row>
    <row r="245" spans="1:31" x14ac:dyDescent="0.2">
      <c r="A245" s="130">
        <v>40</v>
      </c>
      <c r="B245" s="130" t="s">
        <v>1420</v>
      </c>
      <c r="C245" s="130" t="s">
        <v>1114</v>
      </c>
      <c r="D245" s="130" t="s">
        <v>1357</v>
      </c>
      <c r="E245" s="130" t="s">
        <v>1116</v>
      </c>
      <c r="F245" s="130" t="s">
        <v>1117</v>
      </c>
      <c r="G245" s="130" t="s">
        <v>1118</v>
      </c>
      <c r="H245" s="130" t="s">
        <v>1119</v>
      </c>
      <c r="I245" s="130" t="s">
        <v>1120</v>
      </c>
      <c r="J245" s="130" t="s">
        <v>1358</v>
      </c>
      <c r="K245" s="130" t="s">
        <v>1122</v>
      </c>
      <c r="L245" s="130" t="s">
        <v>1421</v>
      </c>
      <c r="M245" s="130" t="s">
        <v>1360</v>
      </c>
      <c r="N245" s="130" t="s">
        <v>168</v>
      </c>
      <c r="O245" s="130" t="s">
        <v>1361</v>
      </c>
      <c r="P245" s="130" t="s">
        <v>1362</v>
      </c>
      <c r="Q245" s="130" t="s">
        <v>1127</v>
      </c>
      <c r="R245" s="130" t="s">
        <v>1128</v>
      </c>
      <c r="S245" s="130" t="s">
        <v>1129</v>
      </c>
      <c r="T245" s="130" t="s">
        <v>1130</v>
      </c>
      <c r="U245" s="130">
        <v>3860273</v>
      </c>
      <c r="V245" s="131">
        <v>-3860273</v>
      </c>
      <c r="W245" s="131">
        <v>0</v>
      </c>
      <c r="X245" s="131">
        <v>0</v>
      </c>
      <c r="Y245" s="131">
        <v>0</v>
      </c>
      <c r="Z245" s="131">
        <v>0</v>
      </c>
      <c r="AA245" s="131">
        <v>0</v>
      </c>
      <c r="AB245" s="131">
        <v>0</v>
      </c>
      <c r="AC245" s="131">
        <v>0</v>
      </c>
      <c r="AD245" s="131">
        <v>0</v>
      </c>
      <c r="AE245" s="132">
        <v>0</v>
      </c>
    </row>
    <row r="246" spans="1:31" x14ac:dyDescent="0.2">
      <c r="A246" s="133">
        <v>40</v>
      </c>
      <c r="B246" s="133" t="s">
        <v>1420</v>
      </c>
      <c r="C246" s="133" t="s">
        <v>1114</v>
      </c>
      <c r="D246" s="133" t="s">
        <v>1357</v>
      </c>
      <c r="E246" s="133" t="s">
        <v>1116</v>
      </c>
      <c r="F246" s="133" t="s">
        <v>1117</v>
      </c>
      <c r="G246" s="133" t="s">
        <v>1118</v>
      </c>
      <c r="H246" s="130" t="s">
        <v>1133</v>
      </c>
      <c r="I246" s="130" t="s">
        <v>1134</v>
      </c>
      <c r="J246" s="130" t="s">
        <v>1166</v>
      </c>
      <c r="K246" s="130" t="s">
        <v>1167</v>
      </c>
      <c r="L246" s="130" t="s">
        <v>1421</v>
      </c>
      <c r="M246" s="130" t="s">
        <v>1360</v>
      </c>
      <c r="N246" s="130" t="s">
        <v>168</v>
      </c>
      <c r="O246" s="130" t="s">
        <v>1361</v>
      </c>
      <c r="P246" s="130" t="s">
        <v>1362</v>
      </c>
      <c r="Q246" s="130" t="s">
        <v>1127</v>
      </c>
      <c r="R246" s="130" t="s">
        <v>1128</v>
      </c>
      <c r="S246" s="130" t="s">
        <v>1129</v>
      </c>
      <c r="T246" s="130" t="s">
        <v>1130</v>
      </c>
      <c r="U246" s="130">
        <v>0</v>
      </c>
      <c r="V246" s="131">
        <v>58259</v>
      </c>
      <c r="W246" s="131">
        <v>58259</v>
      </c>
      <c r="X246" s="131">
        <v>58259</v>
      </c>
      <c r="Y246" s="131">
        <v>0</v>
      </c>
      <c r="Z246" s="131">
        <v>58259</v>
      </c>
      <c r="AA246" s="131">
        <v>0</v>
      </c>
      <c r="AB246" s="131">
        <v>30329.29</v>
      </c>
      <c r="AC246" s="131">
        <v>27929.71</v>
      </c>
      <c r="AD246" s="131">
        <v>30329.29</v>
      </c>
      <c r="AE246" s="132">
        <v>27929.71</v>
      </c>
    </row>
    <row r="247" spans="1:31" x14ac:dyDescent="0.2">
      <c r="A247" s="130">
        <v>41</v>
      </c>
      <c r="B247" s="130" t="s">
        <v>1422</v>
      </c>
      <c r="C247" s="130" t="s">
        <v>1114</v>
      </c>
      <c r="D247" s="130" t="s">
        <v>1367</v>
      </c>
      <c r="E247" s="130" t="s">
        <v>1116</v>
      </c>
      <c r="F247" s="130" t="s">
        <v>1117</v>
      </c>
      <c r="G247" s="130" t="s">
        <v>1118</v>
      </c>
      <c r="H247" s="130" t="s">
        <v>1119</v>
      </c>
      <c r="I247" s="130" t="s">
        <v>1120</v>
      </c>
      <c r="J247" s="130" t="s">
        <v>1358</v>
      </c>
      <c r="K247" s="130" t="s">
        <v>1131</v>
      </c>
      <c r="L247" s="130" t="s">
        <v>1423</v>
      </c>
      <c r="M247" s="130" t="s">
        <v>1360</v>
      </c>
      <c r="N247" s="130" t="s">
        <v>168</v>
      </c>
      <c r="O247" s="130" t="s">
        <v>1361</v>
      </c>
      <c r="P247" s="130" t="s">
        <v>1366</v>
      </c>
      <c r="Q247" s="130" t="s">
        <v>1127</v>
      </c>
      <c r="R247" s="130" t="s">
        <v>1380</v>
      </c>
      <c r="S247" s="130" t="s">
        <v>1424</v>
      </c>
      <c r="T247" s="130" t="s">
        <v>1130</v>
      </c>
      <c r="U247" s="130">
        <v>0</v>
      </c>
      <c r="V247" s="131">
        <v>1093608</v>
      </c>
      <c r="W247" s="131">
        <v>1093608</v>
      </c>
      <c r="X247" s="131">
        <v>1093608</v>
      </c>
      <c r="Y247" s="131">
        <v>0</v>
      </c>
      <c r="Z247" s="131">
        <v>1093608</v>
      </c>
      <c r="AA247" s="131">
        <v>0</v>
      </c>
      <c r="AB247" s="131">
        <v>1058309.8900000001</v>
      </c>
      <c r="AC247" s="131">
        <v>35298.10999999987</v>
      </c>
      <c r="AD247" s="131">
        <v>1058309.8900000001</v>
      </c>
      <c r="AE247" s="132">
        <v>35298.10999999987</v>
      </c>
    </row>
    <row r="248" spans="1:31" x14ac:dyDescent="0.2">
      <c r="A248" s="133">
        <v>41</v>
      </c>
      <c r="B248" s="133" t="s">
        <v>1422</v>
      </c>
      <c r="C248" s="133" t="s">
        <v>1114</v>
      </c>
      <c r="D248" s="133" t="s">
        <v>1367</v>
      </c>
      <c r="E248" s="133" t="s">
        <v>1116</v>
      </c>
      <c r="F248" s="133" t="s">
        <v>1117</v>
      </c>
      <c r="G248" s="133" t="s">
        <v>1118</v>
      </c>
      <c r="H248" s="133" t="s">
        <v>1119</v>
      </c>
      <c r="I248" s="133" t="s">
        <v>1120</v>
      </c>
      <c r="J248" s="133" t="s">
        <v>1358</v>
      </c>
      <c r="K248" s="130" t="s">
        <v>1177</v>
      </c>
      <c r="L248" s="130" t="s">
        <v>1423</v>
      </c>
      <c r="M248" s="130" t="s">
        <v>1360</v>
      </c>
      <c r="N248" s="130" t="s">
        <v>168</v>
      </c>
      <c r="O248" s="130" t="s">
        <v>1361</v>
      </c>
      <c r="P248" s="130" t="s">
        <v>1366</v>
      </c>
      <c r="Q248" s="130" t="s">
        <v>1127</v>
      </c>
      <c r="R248" s="130" t="s">
        <v>1380</v>
      </c>
      <c r="S248" s="130" t="s">
        <v>1424</v>
      </c>
      <c r="T248" s="130" t="s">
        <v>1130</v>
      </c>
      <c r="U248" s="130">
        <v>2957419</v>
      </c>
      <c r="V248" s="131">
        <v>-1320386</v>
      </c>
      <c r="W248" s="131">
        <v>1637033</v>
      </c>
      <c r="X248" s="131">
        <v>1594157.81</v>
      </c>
      <c r="Y248" s="131">
        <v>42875.189999999944</v>
      </c>
      <c r="Z248" s="131">
        <v>1020794.57</v>
      </c>
      <c r="AA248" s="131">
        <v>616238.43000000005</v>
      </c>
      <c r="AB248" s="131">
        <v>1020794.5700000001</v>
      </c>
      <c r="AC248" s="131">
        <v>616238.42999999993</v>
      </c>
      <c r="AD248" s="131">
        <v>742035.32</v>
      </c>
      <c r="AE248" s="132">
        <v>894997.68</v>
      </c>
    </row>
    <row r="249" spans="1:31" x14ac:dyDescent="0.2">
      <c r="A249" s="133">
        <v>41</v>
      </c>
      <c r="B249" s="133" t="s">
        <v>1422</v>
      </c>
      <c r="C249" s="133" t="s">
        <v>1114</v>
      </c>
      <c r="D249" s="133" t="s">
        <v>1367</v>
      </c>
      <c r="E249" s="133" t="s">
        <v>1116</v>
      </c>
      <c r="F249" s="133" t="s">
        <v>1117</v>
      </c>
      <c r="G249" s="133" t="s">
        <v>1118</v>
      </c>
      <c r="H249" s="133" t="s">
        <v>1119</v>
      </c>
      <c r="I249" s="133" t="s">
        <v>1120</v>
      </c>
      <c r="J249" s="133" t="s">
        <v>1358</v>
      </c>
      <c r="K249" s="130" t="s">
        <v>1132</v>
      </c>
      <c r="L249" s="130" t="s">
        <v>1423</v>
      </c>
      <c r="M249" s="130" t="s">
        <v>1360</v>
      </c>
      <c r="N249" s="130" t="s">
        <v>168</v>
      </c>
      <c r="O249" s="130" t="s">
        <v>1361</v>
      </c>
      <c r="P249" s="130" t="s">
        <v>1366</v>
      </c>
      <c r="Q249" s="130" t="s">
        <v>1127</v>
      </c>
      <c r="R249" s="130" t="s">
        <v>1380</v>
      </c>
      <c r="S249" s="130" t="s">
        <v>1424</v>
      </c>
      <c r="T249" s="130" t="s">
        <v>1130</v>
      </c>
      <c r="U249" s="130">
        <v>0</v>
      </c>
      <c r="V249" s="131">
        <v>535330</v>
      </c>
      <c r="W249" s="131">
        <v>535330</v>
      </c>
      <c r="X249" s="131">
        <v>452838.5</v>
      </c>
      <c r="Y249" s="131">
        <v>82491.5</v>
      </c>
      <c r="Z249" s="131">
        <v>367616.38</v>
      </c>
      <c r="AA249" s="131">
        <v>167713.62</v>
      </c>
      <c r="AB249" s="131">
        <v>367616.38</v>
      </c>
      <c r="AC249" s="131">
        <v>167713.62</v>
      </c>
      <c r="AD249" s="131">
        <v>95344.25</v>
      </c>
      <c r="AE249" s="132">
        <v>439985.75</v>
      </c>
    </row>
    <row r="250" spans="1:31" x14ac:dyDescent="0.2">
      <c r="A250" s="133">
        <v>41</v>
      </c>
      <c r="B250" s="133" t="s">
        <v>1422</v>
      </c>
      <c r="C250" s="133" t="s">
        <v>1114</v>
      </c>
      <c r="D250" s="133" t="s">
        <v>1367</v>
      </c>
      <c r="E250" s="133" t="s">
        <v>1116</v>
      </c>
      <c r="F250" s="133" t="s">
        <v>1117</v>
      </c>
      <c r="G250" s="133" t="s">
        <v>1118</v>
      </c>
      <c r="H250" s="130" t="s">
        <v>1149</v>
      </c>
      <c r="I250" s="130" t="s">
        <v>1182</v>
      </c>
      <c r="J250" s="130" t="s">
        <v>1377</v>
      </c>
      <c r="K250" s="130" t="s">
        <v>1378</v>
      </c>
      <c r="L250" s="130" t="s">
        <v>1423</v>
      </c>
      <c r="M250" s="130" t="s">
        <v>1360</v>
      </c>
      <c r="N250" s="130" t="s">
        <v>168</v>
      </c>
      <c r="O250" s="130" t="s">
        <v>1361</v>
      </c>
      <c r="P250" s="130" t="s">
        <v>1366</v>
      </c>
      <c r="Q250" s="130" t="s">
        <v>1127</v>
      </c>
      <c r="R250" s="130" t="s">
        <v>1380</v>
      </c>
      <c r="S250" s="130" t="s">
        <v>1424</v>
      </c>
      <c r="T250" s="130" t="s">
        <v>1130</v>
      </c>
      <c r="U250" s="130">
        <v>0</v>
      </c>
      <c r="V250" s="131">
        <v>2250</v>
      </c>
      <c r="W250" s="131">
        <v>2250</v>
      </c>
      <c r="X250" s="131">
        <v>2250</v>
      </c>
      <c r="Y250" s="131">
        <v>0</v>
      </c>
      <c r="Z250" s="131">
        <v>2250</v>
      </c>
      <c r="AA250" s="131">
        <v>0</v>
      </c>
      <c r="AB250" s="131">
        <v>2250</v>
      </c>
      <c r="AC250" s="131">
        <v>0</v>
      </c>
      <c r="AD250" s="131">
        <v>2250</v>
      </c>
      <c r="AE250" s="132">
        <v>0</v>
      </c>
    </row>
    <row r="251" spans="1:31" x14ac:dyDescent="0.2">
      <c r="A251" s="133">
        <v>41</v>
      </c>
      <c r="B251" s="133" t="s">
        <v>1422</v>
      </c>
      <c r="C251" s="133" t="s">
        <v>1114</v>
      </c>
      <c r="D251" s="133" t="s">
        <v>1367</v>
      </c>
      <c r="E251" s="133" t="s">
        <v>1116</v>
      </c>
      <c r="F251" s="133" t="s">
        <v>1117</v>
      </c>
      <c r="G251" s="133" t="s">
        <v>1118</v>
      </c>
      <c r="H251" s="133" t="s">
        <v>1149</v>
      </c>
      <c r="I251" s="133" t="s">
        <v>1182</v>
      </c>
      <c r="J251" s="130" t="s">
        <v>1382</v>
      </c>
      <c r="K251" s="130" t="s">
        <v>1383</v>
      </c>
      <c r="L251" s="130" t="s">
        <v>1423</v>
      </c>
      <c r="M251" s="130" t="s">
        <v>1360</v>
      </c>
      <c r="N251" s="130" t="s">
        <v>168</v>
      </c>
      <c r="O251" s="130" t="s">
        <v>1361</v>
      </c>
      <c r="P251" s="130" t="s">
        <v>1366</v>
      </c>
      <c r="Q251" s="130" t="s">
        <v>1127</v>
      </c>
      <c r="R251" s="130" t="s">
        <v>1380</v>
      </c>
      <c r="S251" s="130" t="s">
        <v>1424</v>
      </c>
      <c r="T251" s="130" t="s">
        <v>1130</v>
      </c>
      <c r="U251" s="130">
        <v>0</v>
      </c>
      <c r="V251" s="131">
        <v>0</v>
      </c>
      <c r="W251" s="131">
        <v>0</v>
      </c>
      <c r="X251" s="131">
        <v>0</v>
      </c>
      <c r="Y251" s="131">
        <v>0</v>
      </c>
      <c r="Z251" s="131">
        <v>0</v>
      </c>
      <c r="AA251" s="131">
        <v>0</v>
      </c>
      <c r="AB251" s="131">
        <v>0</v>
      </c>
      <c r="AC251" s="131">
        <v>0</v>
      </c>
      <c r="AD251" s="131">
        <v>0</v>
      </c>
      <c r="AE251" s="132">
        <v>0</v>
      </c>
    </row>
    <row r="252" spans="1:31" x14ac:dyDescent="0.2">
      <c r="A252" s="133">
        <v>41</v>
      </c>
      <c r="B252" s="133" t="s">
        <v>1422</v>
      </c>
      <c r="C252" s="133" t="s">
        <v>1114</v>
      </c>
      <c r="D252" s="133" t="s">
        <v>1367</v>
      </c>
      <c r="E252" s="133" t="s">
        <v>1116</v>
      </c>
      <c r="F252" s="133" t="s">
        <v>1117</v>
      </c>
      <c r="G252" s="133" t="s">
        <v>1118</v>
      </c>
      <c r="H252" s="133" t="s">
        <v>1149</v>
      </c>
      <c r="I252" s="133" t="s">
        <v>1182</v>
      </c>
      <c r="J252" s="133" t="s">
        <v>1382</v>
      </c>
      <c r="K252" s="130" t="s">
        <v>1378</v>
      </c>
      <c r="L252" s="130" t="s">
        <v>1423</v>
      </c>
      <c r="M252" s="130" t="s">
        <v>1360</v>
      </c>
      <c r="N252" s="130" t="s">
        <v>168</v>
      </c>
      <c r="O252" s="130" t="s">
        <v>1361</v>
      </c>
      <c r="P252" s="130" t="s">
        <v>1366</v>
      </c>
      <c r="Q252" s="130" t="s">
        <v>1127</v>
      </c>
      <c r="R252" s="130" t="s">
        <v>1380</v>
      </c>
      <c r="S252" s="130" t="s">
        <v>1424</v>
      </c>
      <c r="T252" s="130" t="s">
        <v>1130</v>
      </c>
      <c r="U252" s="130">
        <v>0</v>
      </c>
      <c r="V252" s="131">
        <v>148347</v>
      </c>
      <c r="W252" s="131">
        <v>148347</v>
      </c>
      <c r="X252" s="131">
        <v>0</v>
      </c>
      <c r="Y252" s="131">
        <v>148347</v>
      </c>
      <c r="Z252" s="131">
        <v>0</v>
      </c>
      <c r="AA252" s="131">
        <v>148347</v>
      </c>
      <c r="AB252" s="131">
        <v>0</v>
      </c>
      <c r="AC252" s="131">
        <v>148347</v>
      </c>
      <c r="AD252" s="131">
        <v>0</v>
      </c>
      <c r="AE252" s="132">
        <v>148347</v>
      </c>
    </row>
    <row r="253" spans="1:31" x14ac:dyDescent="0.2">
      <c r="A253" s="133">
        <v>41</v>
      </c>
      <c r="B253" s="133" t="s">
        <v>1422</v>
      </c>
      <c r="C253" s="133" t="s">
        <v>1114</v>
      </c>
      <c r="D253" s="133" t="s">
        <v>1367</v>
      </c>
      <c r="E253" s="133" t="s">
        <v>1116</v>
      </c>
      <c r="F253" s="133" t="s">
        <v>1117</v>
      </c>
      <c r="G253" s="133" t="s">
        <v>1118</v>
      </c>
      <c r="H253" s="133" t="s">
        <v>1149</v>
      </c>
      <c r="I253" s="133" t="s">
        <v>1182</v>
      </c>
      <c r="J253" s="130" t="s">
        <v>1347</v>
      </c>
      <c r="K253" s="130" t="s">
        <v>1348</v>
      </c>
      <c r="L253" s="130" t="s">
        <v>1423</v>
      </c>
      <c r="M253" s="130" t="s">
        <v>1360</v>
      </c>
      <c r="N253" s="130" t="s">
        <v>168</v>
      </c>
      <c r="O253" s="130" t="s">
        <v>1361</v>
      </c>
      <c r="P253" s="130" t="s">
        <v>1366</v>
      </c>
      <c r="Q253" s="130" t="s">
        <v>1127</v>
      </c>
      <c r="R253" s="130" t="s">
        <v>1380</v>
      </c>
      <c r="S253" s="130" t="s">
        <v>1424</v>
      </c>
      <c r="T253" s="130" t="s">
        <v>1130</v>
      </c>
      <c r="U253" s="130">
        <v>0</v>
      </c>
      <c r="V253" s="131">
        <v>1590</v>
      </c>
      <c r="W253" s="131">
        <v>1590</v>
      </c>
      <c r="X253" s="131">
        <v>1590</v>
      </c>
      <c r="Y253" s="131">
        <v>0</v>
      </c>
      <c r="Z253" s="131">
        <v>1590</v>
      </c>
      <c r="AA253" s="131">
        <v>0</v>
      </c>
      <c r="AB253" s="131">
        <v>1590</v>
      </c>
      <c r="AC253" s="131">
        <v>0</v>
      </c>
      <c r="AD253" s="131">
        <v>0</v>
      </c>
      <c r="AE253" s="132">
        <v>1590</v>
      </c>
    </row>
    <row r="254" spans="1:31" x14ac:dyDescent="0.2">
      <c r="A254" s="133">
        <v>41</v>
      </c>
      <c r="B254" s="133" t="s">
        <v>1422</v>
      </c>
      <c r="C254" s="133" t="s">
        <v>1114</v>
      </c>
      <c r="D254" s="133" t="s">
        <v>1367</v>
      </c>
      <c r="E254" s="133" t="s">
        <v>1116</v>
      </c>
      <c r="F254" s="133" t="s">
        <v>1117</v>
      </c>
      <c r="G254" s="133" t="s">
        <v>1118</v>
      </c>
      <c r="H254" s="130" t="s">
        <v>1133</v>
      </c>
      <c r="I254" s="130" t="s">
        <v>1134</v>
      </c>
      <c r="J254" s="130" t="s">
        <v>1135</v>
      </c>
      <c r="K254" s="130" t="s">
        <v>1178</v>
      </c>
      <c r="L254" s="130" t="s">
        <v>1423</v>
      </c>
      <c r="M254" s="130" t="s">
        <v>1360</v>
      </c>
      <c r="N254" s="130" t="s">
        <v>168</v>
      </c>
      <c r="O254" s="130" t="s">
        <v>1361</v>
      </c>
      <c r="P254" s="130" t="s">
        <v>1366</v>
      </c>
      <c r="Q254" s="130" t="s">
        <v>1127</v>
      </c>
      <c r="R254" s="130" t="s">
        <v>1380</v>
      </c>
      <c r="S254" s="130" t="s">
        <v>1424</v>
      </c>
      <c r="T254" s="130" t="s">
        <v>1130</v>
      </c>
      <c r="U254" s="130">
        <v>0</v>
      </c>
      <c r="V254" s="131">
        <v>190947</v>
      </c>
      <c r="W254" s="131">
        <v>190947</v>
      </c>
      <c r="X254" s="131">
        <v>180000</v>
      </c>
      <c r="Y254" s="131">
        <v>10947</v>
      </c>
      <c r="Z254" s="131">
        <v>180000</v>
      </c>
      <c r="AA254" s="131">
        <v>10947</v>
      </c>
      <c r="AB254" s="131">
        <v>99804.079999999987</v>
      </c>
      <c r="AC254" s="131">
        <v>91142.920000000013</v>
      </c>
      <c r="AD254" s="131">
        <v>99804.079999999987</v>
      </c>
      <c r="AE254" s="132">
        <v>91142.920000000013</v>
      </c>
    </row>
    <row r="255" spans="1:31" x14ac:dyDescent="0.2">
      <c r="A255" s="133">
        <v>41</v>
      </c>
      <c r="B255" s="133" t="s">
        <v>1422</v>
      </c>
      <c r="C255" s="133" t="s">
        <v>1114</v>
      </c>
      <c r="D255" s="133" t="s">
        <v>1367</v>
      </c>
      <c r="E255" s="133" t="s">
        <v>1116</v>
      </c>
      <c r="F255" s="133" t="s">
        <v>1117</v>
      </c>
      <c r="G255" s="133" t="s">
        <v>1118</v>
      </c>
      <c r="H255" s="133" t="s">
        <v>1133</v>
      </c>
      <c r="I255" s="133" t="s">
        <v>1134</v>
      </c>
      <c r="J255" s="133" t="s">
        <v>1135</v>
      </c>
      <c r="K255" s="130" t="s">
        <v>1179</v>
      </c>
      <c r="L255" s="130" t="s">
        <v>1423</v>
      </c>
      <c r="M255" s="130" t="s">
        <v>1360</v>
      </c>
      <c r="N255" s="130" t="s">
        <v>168</v>
      </c>
      <c r="O255" s="130" t="s">
        <v>1361</v>
      </c>
      <c r="P255" s="130" t="s">
        <v>1366</v>
      </c>
      <c r="Q255" s="130" t="s">
        <v>1127</v>
      </c>
      <c r="R255" s="130" t="s">
        <v>1380</v>
      </c>
      <c r="S255" s="130" t="s">
        <v>1424</v>
      </c>
      <c r="T255" s="130" t="s">
        <v>1130</v>
      </c>
      <c r="U255" s="130">
        <v>0</v>
      </c>
      <c r="V255" s="131">
        <v>42628</v>
      </c>
      <c r="W255" s="131">
        <v>42628</v>
      </c>
      <c r="X255" s="131">
        <v>37377.5</v>
      </c>
      <c r="Y255" s="131">
        <v>5250.5</v>
      </c>
      <c r="Z255" s="131">
        <v>37037.14</v>
      </c>
      <c r="AA255" s="131">
        <v>5590.8600000000006</v>
      </c>
      <c r="AB255" s="131">
        <v>37037.14</v>
      </c>
      <c r="AC255" s="131">
        <v>5590.8600000000006</v>
      </c>
      <c r="AD255" s="131">
        <v>8785.5</v>
      </c>
      <c r="AE255" s="132">
        <v>33842.5</v>
      </c>
    </row>
    <row r="256" spans="1:31" x14ac:dyDescent="0.2">
      <c r="A256" s="133">
        <v>41</v>
      </c>
      <c r="B256" s="133" t="s">
        <v>1422</v>
      </c>
      <c r="C256" s="133" t="s">
        <v>1114</v>
      </c>
      <c r="D256" s="133" t="s">
        <v>1367</v>
      </c>
      <c r="E256" s="133" t="s">
        <v>1116</v>
      </c>
      <c r="F256" s="133" t="s">
        <v>1117</v>
      </c>
      <c r="G256" s="133" t="s">
        <v>1118</v>
      </c>
      <c r="H256" s="133" t="s">
        <v>1133</v>
      </c>
      <c r="I256" s="133" t="s">
        <v>1134</v>
      </c>
      <c r="J256" s="133" t="s">
        <v>1135</v>
      </c>
      <c r="K256" s="130" t="s">
        <v>1144</v>
      </c>
      <c r="L256" s="130" t="s">
        <v>1423</v>
      </c>
      <c r="M256" s="130" t="s">
        <v>1360</v>
      </c>
      <c r="N256" s="130" t="s">
        <v>168</v>
      </c>
      <c r="O256" s="130" t="s">
        <v>1361</v>
      </c>
      <c r="P256" s="130" t="s">
        <v>1366</v>
      </c>
      <c r="Q256" s="130" t="s">
        <v>1127</v>
      </c>
      <c r="R256" s="130" t="s">
        <v>1380</v>
      </c>
      <c r="S256" s="130" t="s">
        <v>1424</v>
      </c>
      <c r="T256" s="130" t="s">
        <v>1130</v>
      </c>
      <c r="U256" s="130">
        <v>0</v>
      </c>
      <c r="V256" s="131">
        <v>64471</v>
      </c>
      <c r="W256" s="131">
        <v>64471</v>
      </c>
      <c r="X256" s="131">
        <v>64470.6</v>
      </c>
      <c r="Y256" s="131">
        <v>0.40000000000145519</v>
      </c>
      <c r="Z256" s="131">
        <v>64470.559999999998</v>
      </c>
      <c r="AA256" s="131">
        <v>0.44000000000232831</v>
      </c>
      <c r="AB256" s="131">
        <v>64470.559999999998</v>
      </c>
      <c r="AC256" s="131">
        <v>0.44000000000232831</v>
      </c>
      <c r="AD256" s="131">
        <v>27750.560000000001</v>
      </c>
      <c r="AE256" s="132">
        <v>36720.44</v>
      </c>
    </row>
    <row r="257" spans="1:31" x14ac:dyDescent="0.2">
      <c r="A257" s="130">
        <v>42</v>
      </c>
      <c r="B257" s="130" t="s">
        <v>1425</v>
      </c>
      <c r="C257" s="130" t="s">
        <v>1114</v>
      </c>
      <c r="D257" s="130" t="s">
        <v>1367</v>
      </c>
      <c r="E257" s="130" t="s">
        <v>1116</v>
      </c>
      <c r="F257" s="130" t="s">
        <v>1117</v>
      </c>
      <c r="G257" s="130" t="s">
        <v>1118</v>
      </c>
      <c r="H257" s="130" t="s">
        <v>1119</v>
      </c>
      <c r="I257" s="130" t="s">
        <v>1120</v>
      </c>
      <c r="J257" s="130" t="s">
        <v>1358</v>
      </c>
      <c r="K257" s="130" t="s">
        <v>1122</v>
      </c>
      <c r="L257" s="130" t="s">
        <v>1426</v>
      </c>
      <c r="M257" s="130" t="s">
        <v>1360</v>
      </c>
      <c r="N257" s="130" t="s">
        <v>168</v>
      </c>
      <c r="O257" s="130" t="s">
        <v>1361</v>
      </c>
      <c r="P257" s="130" t="s">
        <v>1366</v>
      </c>
      <c r="Q257" s="130" t="s">
        <v>1127</v>
      </c>
      <c r="R257" s="130" t="s">
        <v>1187</v>
      </c>
      <c r="S257" s="130" t="s">
        <v>1427</v>
      </c>
      <c r="T257" s="130" t="s">
        <v>1130</v>
      </c>
      <c r="U257" s="130">
        <v>1800000</v>
      </c>
      <c r="V257" s="131">
        <v>-1800000</v>
      </c>
      <c r="W257" s="131">
        <v>0</v>
      </c>
      <c r="X257" s="131">
        <v>0</v>
      </c>
      <c r="Y257" s="131">
        <v>0</v>
      </c>
      <c r="Z257" s="131">
        <v>0</v>
      </c>
      <c r="AA257" s="131">
        <v>0</v>
      </c>
      <c r="AB257" s="131">
        <v>0</v>
      </c>
      <c r="AC257" s="131">
        <v>0</v>
      </c>
      <c r="AD257" s="131">
        <v>0</v>
      </c>
      <c r="AE257" s="132">
        <v>0</v>
      </c>
    </row>
    <row r="258" spans="1:31" x14ac:dyDescent="0.2">
      <c r="A258" s="133">
        <v>42</v>
      </c>
      <c r="B258" s="133" t="s">
        <v>1425</v>
      </c>
      <c r="C258" s="133" t="s">
        <v>1114</v>
      </c>
      <c r="D258" s="133" t="s">
        <v>1367</v>
      </c>
      <c r="E258" s="133" t="s">
        <v>1116</v>
      </c>
      <c r="F258" s="133" t="s">
        <v>1117</v>
      </c>
      <c r="G258" s="133" t="s">
        <v>1118</v>
      </c>
      <c r="H258" s="130" t="s">
        <v>1133</v>
      </c>
      <c r="I258" s="130" t="s">
        <v>1134</v>
      </c>
      <c r="J258" s="130" t="s">
        <v>1166</v>
      </c>
      <c r="K258" s="130" t="s">
        <v>1167</v>
      </c>
      <c r="L258" s="130" t="s">
        <v>1426</v>
      </c>
      <c r="M258" s="130" t="s">
        <v>1360</v>
      </c>
      <c r="N258" s="130" t="s">
        <v>168</v>
      </c>
      <c r="O258" s="130" t="s">
        <v>1361</v>
      </c>
      <c r="P258" s="130" t="s">
        <v>1366</v>
      </c>
      <c r="Q258" s="130" t="s">
        <v>1127</v>
      </c>
      <c r="R258" s="130" t="s">
        <v>1187</v>
      </c>
      <c r="S258" s="130" t="s">
        <v>1427</v>
      </c>
      <c r="T258" s="130" t="s">
        <v>1130</v>
      </c>
      <c r="U258" s="130">
        <v>0</v>
      </c>
      <c r="V258" s="131">
        <v>100000</v>
      </c>
      <c r="W258" s="131">
        <v>100000</v>
      </c>
      <c r="X258" s="131">
        <v>100000</v>
      </c>
      <c r="Y258" s="131">
        <v>0</v>
      </c>
      <c r="Z258" s="131">
        <v>50000</v>
      </c>
      <c r="AA258" s="131">
        <v>50000</v>
      </c>
      <c r="AB258" s="131">
        <v>45460.229999999996</v>
      </c>
      <c r="AC258" s="131">
        <v>54539.770000000004</v>
      </c>
      <c r="AD258" s="131">
        <v>45460.229999999996</v>
      </c>
      <c r="AE258" s="132">
        <v>54539.770000000004</v>
      </c>
    </row>
    <row r="259" spans="1:31" x14ac:dyDescent="0.2">
      <c r="A259" s="130">
        <v>43</v>
      </c>
      <c r="B259" s="130" t="s">
        <v>1428</v>
      </c>
      <c r="C259" s="130" t="s">
        <v>1114</v>
      </c>
      <c r="D259" s="130" t="s">
        <v>1357</v>
      </c>
      <c r="E259" s="130" t="s">
        <v>1116</v>
      </c>
      <c r="F259" s="130" t="s">
        <v>1117</v>
      </c>
      <c r="G259" s="130" t="s">
        <v>1118</v>
      </c>
      <c r="H259" s="130" t="s">
        <v>1119</v>
      </c>
      <c r="I259" s="130" t="s">
        <v>1120</v>
      </c>
      <c r="J259" s="130" t="s">
        <v>1358</v>
      </c>
      <c r="K259" s="130" t="s">
        <v>1122</v>
      </c>
      <c r="L259" s="130" t="s">
        <v>1429</v>
      </c>
      <c r="M259" s="130" t="s">
        <v>1360</v>
      </c>
      <c r="N259" s="130" t="s">
        <v>168</v>
      </c>
      <c r="O259" s="130" t="s">
        <v>1361</v>
      </c>
      <c r="P259" s="130" t="s">
        <v>1362</v>
      </c>
      <c r="Q259" s="130" t="s">
        <v>1127</v>
      </c>
      <c r="R259" s="130" t="s">
        <v>1191</v>
      </c>
      <c r="S259" s="130" t="s">
        <v>1191</v>
      </c>
      <c r="T259" s="130" t="s">
        <v>1158</v>
      </c>
      <c r="U259" s="130">
        <v>100000</v>
      </c>
      <c r="V259" s="131">
        <v>-98580</v>
      </c>
      <c r="W259" s="131">
        <v>1420</v>
      </c>
      <c r="X259" s="131">
        <v>0</v>
      </c>
      <c r="Y259" s="131">
        <v>1420</v>
      </c>
      <c r="Z259" s="131">
        <v>0</v>
      </c>
      <c r="AA259" s="131">
        <v>1420</v>
      </c>
      <c r="AB259" s="131">
        <v>0</v>
      </c>
      <c r="AC259" s="131">
        <v>1420</v>
      </c>
      <c r="AD259" s="131">
        <v>0</v>
      </c>
      <c r="AE259" s="132">
        <v>1420</v>
      </c>
    </row>
    <row r="260" spans="1:31" x14ac:dyDescent="0.2">
      <c r="A260" s="133">
        <v>43</v>
      </c>
      <c r="B260" s="133" t="s">
        <v>1428</v>
      </c>
      <c r="C260" s="133" t="s">
        <v>1114</v>
      </c>
      <c r="D260" s="133" t="s">
        <v>1357</v>
      </c>
      <c r="E260" s="133" t="s">
        <v>1116</v>
      </c>
      <c r="F260" s="133" t="s">
        <v>1117</v>
      </c>
      <c r="G260" s="133" t="s">
        <v>1118</v>
      </c>
      <c r="H260" s="130" t="s">
        <v>1133</v>
      </c>
      <c r="I260" s="130" t="s">
        <v>1134</v>
      </c>
      <c r="J260" s="130" t="s">
        <v>1166</v>
      </c>
      <c r="K260" s="130" t="s">
        <v>1167</v>
      </c>
      <c r="L260" s="130" t="s">
        <v>1429</v>
      </c>
      <c r="M260" s="130" t="s">
        <v>1360</v>
      </c>
      <c r="N260" s="130" t="s">
        <v>168</v>
      </c>
      <c r="O260" s="130" t="s">
        <v>1361</v>
      </c>
      <c r="P260" s="130" t="s">
        <v>1362</v>
      </c>
      <c r="Q260" s="130" t="s">
        <v>1127</v>
      </c>
      <c r="R260" s="130" t="s">
        <v>1191</v>
      </c>
      <c r="S260" s="130" t="s">
        <v>1191</v>
      </c>
      <c r="T260" s="130" t="s">
        <v>1158</v>
      </c>
      <c r="U260" s="130">
        <v>0</v>
      </c>
      <c r="V260" s="131">
        <v>98580</v>
      </c>
      <c r="W260" s="131">
        <v>98580</v>
      </c>
      <c r="X260" s="131">
        <v>98580</v>
      </c>
      <c r="Y260" s="131">
        <v>0</v>
      </c>
      <c r="Z260" s="131">
        <v>98580</v>
      </c>
      <c r="AA260" s="131">
        <v>0</v>
      </c>
      <c r="AB260" s="131">
        <v>78118.17</v>
      </c>
      <c r="AC260" s="131">
        <v>20461.830000000002</v>
      </c>
      <c r="AD260" s="131">
        <v>78118.170000000013</v>
      </c>
      <c r="AE260" s="132">
        <v>20461.829999999987</v>
      </c>
    </row>
    <row r="261" spans="1:31" x14ac:dyDescent="0.2">
      <c r="A261" s="130">
        <v>44</v>
      </c>
      <c r="B261" s="130" t="s">
        <v>1058</v>
      </c>
      <c r="C261" s="130" t="s">
        <v>1114</v>
      </c>
      <c r="D261" s="130" t="s">
        <v>1367</v>
      </c>
      <c r="E261" s="130" t="s">
        <v>1116</v>
      </c>
      <c r="F261" s="130" t="s">
        <v>1117</v>
      </c>
      <c r="G261" s="130" t="s">
        <v>1118</v>
      </c>
      <c r="H261" s="130" t="s">
        <v>1119</v>
      </c>
      <c r="I261" s="130" t="s">
        <v>1120</v>
      </c>
      <c r="J261" s="130" t="s">
        <v>1358</v>
      </c>
      <c r="K261" s="130" t="s">
        <v>1122</v>
      </c>
      <c r="L261" s="130" t="s">
        <v>1430</v>
      </c>
      <c r="M261" s="130" t="s">
        <v>1360</v>
      </c>
      <c r="N261" s="130" t="s">
        <v>168</v>
      </c>
      <c r="O261" s="130" t="s">
        <v>1361</v>
      </c>
      <c r="P261" s="130" t="s">
        <v>1366</v>
      </c>
      <c r="Q261" s="130" t="s">
        <v>1127</v>
      </c>
      <c r="R261" s="130" t="s">
        <v>1409</v>
      </c>
      <c r="S261" s="130" t="s">
        <v>1431</v>
      </c>
      <c r="T261" s="130" t="s">
        <v>1130</v>
      </c>
      <c r="U261" s="130">
        <v>2278000</v>
      </c>
      <c r="V261" s="131">
        <v>-2278000</v>
      </c>
      <c r="W261" s="131">
        <v>0</v>
      </c>
      <c r="X261" s="131">
        <v>0</v>
      </c>
      <c r="Y261" s="131">
        <v>0</v>
      </c>
      <c r="Z261" s="131">
        <v>0</v>
      </c>
      <c r="AA261" s="131">
        <v>0</v>
      </c>
      <c r="AB261" s="131">
        <v>0</v>
      </c>
      <c r="AC261" s="131">
        <v>0</v>
      </c>
      <c r="AD261" s="131">
        <v>0</v>
      </c>
      <c r="AE261" s="132">
        <v>0</v>
      </c>
    </row>
    <row r="262" spans="1:31" x14ac:dyDescent="0.2">
      <c r="A262" s="133">
        <v>44</v>
      </c>
      <c r="B262" s="133" t="s">
        <v>1058</v>
      </c>
      <c r="C262" s="133" t="s">
        <v>1114</v>
      </c>
      <c r="D262" s="133" t="s">
        <v>1367</v>
      </c>
      <c r="E262" s="133" t="s">
        <v>1116</v>
      </c>
      <c r="F262" s="133" t="s">
        <v>1117</v>
      </c>
      <c r="G262" s="133" t="s">
        <v>1118</v>
      </c>
      <c r="H262" s="133" t="s">
        <v>1119</v>
      </c>
      <c r="I262" s="133" t="s">
        <v>1120</v>
      </c>
      <c r="J262" s="133" t="s">
        <v>1358</v>
      </c>
      <c r="K262" s="130" t="s">
        <v>1131</v>
      </c>
      <c r="L262" s="130" t="s">
        <v>1430</v>
      </c>
      <c r="M262" s="130" t="s">
        <v>1360</v>
      </c>
      <c r="N262" s="130" t="s">
        <v>168</v>
      </c>
      <c r="O262" s="130" t="s">
        <v>1361</v>
      </c>
      <c r="P262" s="130" t="s">
        <v>1366</v>
      </c>
      <c r="Q262" s="130" t="s">
        <v>1127</v>
      </c>
      <c r="R262" s="130" t="s">
        <v>1409</v>
      </c>
      <c r="S262" s="130" t="s">
        <v>1431</v>
      </c>
      <c r="T262" s="130" t="s">
        <v>1130</v>
      </c>
      <c r="U262" s="130">
        <v>0</v>
      </c>
      <c r="V262" s="131">
        <v>409935</v>
      </c>
      <c r="W262" s="131">
        <v>409935</v>
      </c>
      <c r="X262" s="131">
        <v>117300</v>
      </c>
      <c r="Y262" s="131">
        <v>292635</v>
      </c>
      <c r="Z262" s="131">
        <v>117300</v>
      </c>
      <c r="AA262" s="131">
        <v>292635</v>
      </c>
      <c r="AB262" s="131">
        <v>15423.92</v>
      </c>
      <c r="AC262" s="131">
        <v>394511.08</v>
      </c>
      <c r="AD262" s="131">
        <v>13562.11</v>
      </c>
      <c r="AE262" s="132">
        <v>396372.89</v>
      </c>
    </row>
    <row r="263" spans="1:31" x14ac:dyDescent="0.2">
      <c r="A263" s="133">
        <v>44</v>
      </c>
      <c r="B263" s="133" t="s">
        <v>1058</v>
      </c>
      <c r="C263" s="133" t="s">
        <v>1114</v>
      </c>
      <c r="D263" s="133" t="s">
        <v>1367</v>
      </c>
      <c r="E263" s="133" t="s">
        <v>1116</v>
      </c>
      <c r="F263" s="133" t="s">
        <v>1117</v>
      </c>
      <c r="G263" s="133" t="s">
        <v>1118</v>
      </c>
      <c r="H263" s="133" t="s">
        <v>1119</v>
      </c>
      <c r="I263" s="133" t="s">
        <v>1120</v>
      </c>
      <c r="J263" s="133" t="s">
        <v>1358</v>
      </c>
      <c r="K263" s="130" t="s">
        <v>1177</v>
      </c>
      <c r="L263" s="130" t="s">
        <v>1430</v>
      </c>
      <c r="M263" s="130" t="s">
        <v>1360</v>
      </c>
      <c r="N263" s="130" t="s">
        <v>168</v>
      </c>
      <c r="O263" s="130" t="s">
        <v>1361</v>
      </c>
      <c r="P263" s="130" t="s">
        <v>1366</v>
      </c>
      <c r="Q263" s="130" t="s">
        <v>1127</v>
      </c>
      <c r="R263" s="130" t="s">
        <v>1409</v>
      </c>
      <c r="S263" s="130" t="s">
        <v>1431</v>
      </c>
      <c r="T263" s="130" t="s">
        <v>1130</v>
      </c>
      <c r="U263" s="130">
        <v>0</v>
      </c>
      <c r="V263" s="131">
        <v>1440709</v>
      </c>
      <c r="W263" s="131">
        <v>1440709</v>
      </c>
      <c r="X263" s="131">
        <v>1099270.01</v>
      </c>
      <c r="Y263" s="131">
        <v>341438.99</v>
      </c>
      <c r="Z263" s="131">
        <v>270580.86</v>
      </c>
      <c r="AA263" s="131">
        <v>1170128.1400000001</v>
      </c>
      <c r="AB263" s="131">
        <v>261683.36</v>
      </c>
      <c r="AC263" s="131">
        <v>1179025.6400000001</v>
      </c>
      <c r="AD263" s="131">
        <v>0</v>
      </c>
      <c r="AE263" s="132">
        <v>1440709</v>
      </c>
    </row>
    <row r="264" spans="1:31" x14ac:dyDescent="0.2">
      <c r="A264" s="133">
        <v>44</v>
      </c>
      <c r="B264" s="133" t="s">
        <v>1058</v>
      </c>
      <c r="C264" s="133" t="s">
        <v>1114</v>
      </c>
      <c r="D264" s="133" t="s">
        <v>1367</v>
      </c>
      <c r="E264" s="133" t="s">
        <v>1116</v>
      </c>
      <c r="F264" s="133" t="s">
        <v>1117</v>
      </c>
      <c r="G264" s="133" t="s">
        <v>1118</v>
      </c>
      <c r="H264" s="133" t="s">
        <v>1119</v>
      </c>
      <c r="I264" s="133" t="s">
        <v>1120</v>
      </c>
      <c r="J264" s="133" t="s">
        <v>1358</v>
      </c>
      <c r="K264" s="130" t="s">
        <v>1132</v>
      </c>
      <c r="L264" s="130" t="s">
        <v>1430</v>
      </c>
      <c r="M264" s="130" t="s">
        <v>1360</v>
      </c>
      <c r="N264" s="130" t="s">
        <v>168</v>
      </c>
      <c r="O264" s="130" t="s">
        <v>1361</v>
      </c>
      <c r="P264" s="130" t="s">
        <v>1366</v>
      </c>
      <c r="Q264" s="130" t="s">
        <v>1127</v>
      </c>
      <c r="R264" s="130" t="s">
        <v>1409</v>
      </c>
      <c r="S264" s="130" t="s">
        <v>1431</v>
      </c>
      <c r="T264" s="130" t="s">
        <v>1130</v>
      </c>
      <c r="U264" s="130">
        <v>0</v>
      </c>
      <c r="V264" s="131">
        <v>244881</v>
      </c>
      <c r="W264" s="131">
        <v>244881</v>
      </c>
      <c r="X264" s="131">
        <v>53893</v>
      </c>
      <c r="Y264" s="131">
        <v>190988</v>
      </c>
      <c r="Z264" s="131">
        <v>53893</v>
      </c>
      <c r="AA264" s="131">
        <v>190988</v>
      </c>
      <c r="AB264" s="131">
        <v>53893</v>
      </c>
      <c r="AC264" s="131">
        <v>190988</v>
      </c>
      <c r="AD264" s="131">
        <v>0</v>
      </c>
      <c r="AE264" s="132">
        <v>244881</v>
      </c>
    </row>
    <row r="265" spans="1:31" x14ac:dyDescent="0.2">
      <c r="A265" s="133">
        <v>44</v>
      </c>
      <c r="B265" s="133" t="s">
        <v>1058</v>
      </c>
      <c r="C265" s="133" t="s">
        <v>1114</v>
      </c>
      <c r="D265" s="133" t="s">
        <v>1367</v>
      </c>
      <c r="E265" s="133" t="s">
        <v>1116</v>
      </c>
      <c r="F265" s="133" t="s">
        <v>1117</v>
      </c>
      <c r="G265" s="133" t="s">
        <v>1118</v>
      </c>
      <c r="H265" s="130" t="s">
        <v>1149</v>
      </c>
      <c r="I265" s="130" t="s">
        <v>1182</v>
      </c>
      <c r="J265" s="130" t="s">
        <v>1347</v>
      </c>
      <c r="K265" s="130" t="s">
        <v>1348</v>
      </c>
      <c r="L265" s="130" t="s">
        <v>1430</v>
      </c>
      <c r="M265" s="130" t="s">
        <v>1360</v>
      </c>
      <c r="N265" s="130" t="s">
        <v>168</v>
      </c>
      <c r="O265" s="130" t="s">
        <v>1361</v>
      </c>
      <c r="P265" s="130" t="s">
        <v>1366</v>
      </c>
      <c r="Q265" s="130" t="s">
        <v>1127</v>
      </c>
      <c r="R265" s="130" t="s">
        <v>1409</v>
      </c>
      <c r="S265" s="130" t="s">
        <v>1431</v>
      </c>
      <c r="T265" s="130" t="s">
        <v>1130</v>
      </c>
      <c r="U265" s="130">
        <v>0</v>
      </c>
      <c r="V265" s="131">
        <v>4650</v>
      </c>
      <c r="W265" s="131">
        <v>4650</v>
      </c>
      <c r="X265" s="131">
        <v>0</v>
      </c>
      <c r="Y265" s="131">
        <v>4650</v>
      </c>
      <c r="Z265" s="131">
        <v>0</v>
      </c>
      <c r="AA265" s="131">
        <v>4650</v>
      </c>
      <c r="AB265" s="131">
        <v>0</v>
      </c>
      <c r="AC265" s="131">
        <v>4650</v>
      </c>
      <c r="AD265" s="131">
        <v>0</v>
      </c>
      <c r="AE265" s="132">
        <v>4650</v>
      </c>
    </row>
    <row r="266" spans="1:31" x14ac:dyDescent="0.2">
      <c r="A266" s="133">
        <v>44</v>
      </c>
      <c r="B266" s="133" t="s">
        <v>1058</v>
      </c>
      <c r="C266" s="133" t="s">
        <v>1114</v>
      </c>
      <c r="D266" s="133" t="s">
        <v>1367</v>
      </c>
      <c r="E266" s="133" t="s">
        <v>1116</v>
      </c>
      <c r="F266" s="133" t="s">
        <v>1117</v>
      </c>
      <c r="G266" s="133" t="s">
        <v>1118</v>
      </c>
      <c r="H266" s="130" t="s">
        <v>1133</v>
      </c>
      <c r="I266" s="130" t="s">
        <v>1134</v>
      </c>
      <c r="J266" s="130" t="s">
        <v>1135</v>
      </c>
      <c r="K266" s="130" t="s">
        <v>1178</v>
      </c>
      <c r="L266" s="130" t="s">
        <v>1430</v>
      </c>
      <c r="M266" s="130" t="s">
        <v>1360</v>
      </c>
      <c r="N266" s="130" t="s">
        <v>168</v>
      </c>
      <c r="O266" s="130" t="s">
        <v>1361</v>
      </c>
      <c r="P266" s="130" t="s">
        <v>1366</v>
      </c>
      <c r="Q266" s="130" t="s">
        <v>1127</v>
      </c>
      <c r="R266" s="130" t="s">
        <v>1409</v>
      </c>
      <c r="S266" s="130" t="s">
        <v>1431</v>
      </c>
      <c r="T266" s="130" t="s">
        <v>1130</v>
      </c>
      <c r="U266" s="130">
        <v>0</v>
      </c>
      <c r="V266" s="131">
        <v>78000</v>
      </c>
      <c r="W266" s="131">
        <v>78000</v>
      </c>
      <c r="X266" s="131">
        <v>78000</v>
      </c>
      <c r="Y266" s="131">
        <v>0</v>
      </c>
      <c r="Z266" s="131">
        <v>78000</v>
      </c>
      <c r="AA266" s="131">
        <v>0</v>
      </c>
      <c r="AB266" s="131">
        <v>7232.72</v>
      </c>
      <c r="AC266" s="131">
        <v>70767.28</v>
      </c>
      <c r="AD266" s="131">
        <v>7232.72</v>
      </c>
      <c r="AE266" s="132">
        <v>70767.28</v>
      </c>
    </row>
    <row r="267" spans="1:31" x14ac:dyDescent="0.2">
      <c r="A267" s="133">
        <v>44</v>
      </c>
      <c r="B267" s="133" t="s">
        <v>1058</v>
      </c>
      <c r="C267" s="133" t="s">
        <v>1114</v>
      </c>
      <c r="D267" s="133" t="s">
        <v>1367</v>
      </c>
      <c r="E267" s="133" t="s">
        <v>1116</v>
      </c>
      <c r="F267" s="133" t="s">
        <v>1117</v>
      </c>
      <c r="G267" s="133" t="s">
        <v>1118</v>
      </c>
      <c r="H267" s="133" t="s">
        <v>1133</v>
      </c>
      <c r="I267" s="133" t="s">
        <v>1134</v>
      </c>
      <c r="J267" s="133" t="s">
        <v>1135</v>
      </c>
      <c r="K267" s="130" t="s">
        <v>1144</v>
      </c>
      <c r="L267" s="130" t="s">
        <v>1430</v>
      </c>
      <c r="M267" s="130" t="s">
        <v>1360</v>
      </c>
      <c r="N267" s="130" t="s">
        <v>168</v>
      </c>
      <c r="O267" s="130" t="s">
        <v>1361</v>
      </c>
      <c r="P267" s="130" t="s">
        <v>1366</v>
      </c>
      <c r="Q267" s="130" t="s">
        <v>1127</v>
      </c>
      <c r="R267" s="130" t="s">
        <v>1409</v>
      </c>
      <c r="S267" s="130" t="s">
        <v>1431</v>
      </c>
      <c r="T267" s="130" t="s">
        <v>1130</v>
      </c>
      <c r="U267" s="130">
        <v>0</v>
      </c>
      <c r="V267" s="131">
        <v>99825</v>
      </c>
      <c r="W267" s="131">
        <v>99825</v>
      </c>
      <c r="X267" s="131">
        <v>0</v>
      </c>
      <c r="Y267" s="131">
        <v>99825</v>
      </c>
      <c r="Z267" s="131">
        <v>0</v>
      </c>
      <c r="AA267" s="131">
        <v>99825</v>
      </c>
      <c r="AB267" s="131">
        <v>0</v>
      </c>
      <c r="AC267" s="131">
        <v>99825</v>
      </c>
      <c r="AD267" s="131">
        <v>0</v>
      </c>
      <c r="AE267" s="132">
        <v>99825</v>
      </c>
    </row>
    <row r="268" spans="1:31" x14ac:dyDescent="0.2">
      <c r="A268" s="130">
        <v>45</v>
      </c>
      <c r="B268" s="130" t="s">
        <v>1432</v>
      </c>
      <c r="C268" s="130" t="s">
        <v>1114</v>
      </c>
      <c r="D268" s="130" t="s">
        <v>1367</v>
      </c>
      <c r="E268" s="130" t="s">
        <v>1116</v>
      </c>
      <c r="F268" s="130" t="s">
        <v>1117</v>
      </c>
      <c r="G268" s="130" t="s">
        <v>1118</v>
      </c>
      <c r="H268" s="130" t="s">
        <v>1119</v>
      </c>
      <c r="I268" s="130" t="s">
        <v>1120</v>
      </c>
      <c r="J268" s="130" t="s">
        <v>1358</v>
      </c>
      <c r="K268" s="130" t="s">
        <v>1122</v>
      </c>
      <c r="L268" s="130" t="s">
        <v>1433</v>
      </c>
      <c r="M268" s="130" t="s">
        <v>1360</v>
      </c>
      <c r="N268" s="130" t="s">
        <v>168</v>
      </c>
      <c r="O268" s="130" t="s">
        <v>1361</v>
      </c>
      <c r="P268" s="130" t="s">
        <v>1366</v>
      </c>
      <c r="Q268" s="130" t="s">
        <v>1127</v>
      </c>
      <c r="R268" s="130" t="s">
        <v>1434</v>
      </c>
      <c r="S268" s="130" t="s">
        <v>1435</v>
      </c>
      <c r="T268" s="130" t="s">
        <v>1130</v>
      </c>
      <c r="U268" s="130">
        <v>100000</v>
      </c>
      <c r="V268" s="131">
        <v>0</v>
      </c>
      <c r="W268" s="131">
        <v>100000</v>
      </c>
      <c r="X268" s="131">
        <v>0</v>
      </c>
      <c r="Y268" s="131">
        <v>100000</v>
      </c>
      <c r="Z268" s="131">
        <v>0</v>
      </c>
      <c r="AA268" s="131">
        <v>100000</v>
      </c>
      <c r="AB268" s="131">
        <v>0</v>
      </c>
      <c r="AC268" s="131">
        <v>100000</v>
      </c>
      <c r="AD268" s="131">
        <v>0</v>
      </c>
      <c r="AE268" s="132">
        <v>100000</v>
      </c>
    </row>
    <row r="269" spans="1:31" x14ac:dyDescent="0.2">
      <c r="A269" s="133">
        <v>45</v>
      </c>
      <c r="B269" s="133" t="s">
        <v>1432</v>
      </c>
      <c r="C269" s="133" t="s">
        <v>1114</v>
      </c>
      <c r="D269" s="133" t="s">
        <v>1367</v>
      </c>
      <c r="E269" s="133" t="s">
        <v>1116</v>
      </c>
      <c r="F269" s="133" t="s">
        <v>1117</v>
      </c>
      <c r="G269" s="133" t="s">
        <v>1118</v>
      </c>
      <c r="H269" s="133" t="s">
        <v>1119</v>
      </c>
      <c r="I269" s="133" t="s">
        <v>1120</v>
      </c>
      <c r="J269" s="133" t="s">
        <v>1358</v>
      </c>
      <c r="K269" s="130" t="s">
        <v>1131</v>
      </c>
      <c r="L269" s="130" t="s">
        <v>1433</v>
      </c>
      <c r="M269" s="130" t="s">
        <v>1360</v>
      </c>
      <c r="N269" s="130" t="s">
        <v>168</v>
      </c>
      <c r="O269" s="130" t="s">
        <v>1361</v>
      </c>
      <c r="P269" s="130" t="s">
        <v>1366</v>
      </c>
      <c r="Q269" s="130" t="s">
        <v>1127</v>
      </c>
      <c r="R269" s="130" t="s">
        <v>1434</v>
      </c>
      <c r="S269" s="130" t="s">
        <v>1435</v>
      </c>
      <c r="T269" s="130" t="s">
        <v>1130</v>
      </c>
      <c r="U269" s="130">
        <v>0</v>
      </c>
      <c r="V269" s="131">
        <v>200000</v>
      </c>
      <c r="W269" s="131">
        <v>200000</v>
      </c>
      <c r="X269" s="131">
        <v>0</v>
      </c>
      <c r="Y269" s="131">
        <v>200000</v>
      </c>
      <c r="Z269" s="131">
        <v>0</v>
      </c>
      <c r="AA269" s="131">
        <v>200000</v>
      </c>
      <c r="AB269" s="131">
        <v>0</v>
      </c>
      <c r="AC269" s="131">
        <v>200000</v>
      </c>
      <c r="AD269" s="131">
        <v>0</v>
      </c>
      <c r="AE269" s="132">
        <v>200000</v>
      </c>
    </row>
    <row r="270" spans="1:31" x14ac:dyDescent="0.2">
      <c r="A270" s="133">
        <v>45</v>
      </c>
      <c r="B270" s="133" t="s">
        <v>1432</v>
      </c>
      <c r="C270" s="133" t="s">
        <v>1114</v>
      </c>
      <c r="D270" s="133" t="s">
        <v>1367</v>
      </c>
      <c r="E270" s="133" t="s">
        <v>1116</v>
      </c>
      <c r="F270" s="133" t="s">
        <v>1117</v>
      </c>
      <c r="G270" s="133" t="s">
        <v>1118</v>
      </c>
      <c r="H270" s="133" t="s">
        <v>1119</v>
      </c>
      <c r="I270" s="133" t="s">
        <v>1120</v>
      </c>
      <c r="J270" s="133" t="s">
        <v>1358</v>
      </c>
      <c r="K270" s="130" t="s">
        <v>1177</v>
      </c>
      <c r="L270" s="130" t="s">
        <v>1433</v>
      </c>
      <c r="M270" s="130" t="s">
        <v>1360</v>
      </c>
      <c r="N270" s="130" t="s">
        <v>168</v>
      </c>
      <c r="O270" s="130" t="s">
        <v>1361</v>
      </c>
      <c r="P270" s="130" t="s">
        <v>1366</v>
      </c>
      <c r="Q270" s="130" t="s">
        <v>1127</v>
      </c>
      <c r="R270" s="130" t="s">
        <v>1434</v>
      </c>
      <c r="S270" s="130" t="s">
        <v>1435</v>
      </c>
      <c r="T270" s="130" t="s">
        <v>1130</v>
      </c>
      <c r="U270" s="130">
        <v>0</v>
      </c>
      <c r="V270" s="131">
        <v>900000</v>
      </c>
      <c r="W270" s="131">
        <v>900000</v>
      </c>
      <c r="X270" s="131">
        <v>0</v>
      </c>
      <c r="Y270" s="131">
        <v>900000</v>
      </c>
      <c r="Z270" s="131">
        <v>0</v>
      </c>
      <c r="AA270" s="131">
        <v>900000</v>
      </c>
      <c r="AB270" s="131">
        <v>0</v>
      </c>
      <c r="AC270" s="131">
        <v>900000</v>
      </c>
      <c r="AD270" s="131">
        <v>0</v>
      </c>
      <c r="AE270" s="132">
        <v>900000</v>
      </c>
    </row>
    <row r="271" spans="1:31" x14ac:dyDescent="0.2">
      <c r="A271" s="133">
        <v>45</v>
      </c>
      <c r="B271" s="133" t="s">
        <v>1432</v>
      </c>
      <c r="C271" s="133" t="s">
        <v>1114</v>
      </c>
      <c r="D271" s="133" t="s">
        <v>1367</v>
      </c>
      <c r="E271" s="133" t="s">
        <v>1116</v>
      </c>
      <c r="F271" s="133" t="s">
        <v>1117</v>
      </c>
      <c r="G271" s="133" t="s">
        <v>1118</v>
      </c>
      <c r="H271" s="133" t="s">
        <v>1119</v>
      </c>
      <c r="I271" s="133" t="s">
        <v>1120</v>
      </c>
      <c r="J271" s="133" t="s">
        <v>1358</v>
      </c>
      <c r="K271" s="130" t="s">
        <v>1132</v>
      </c>
      <c r="L271" s="130" t="s">
        <v>1433</v>
      </c>
      <c r="M271" s="130" t="s">
        <v>1360</v>
      </c>
      <c r="N271" s="130" t="s">
        <v>168</v>
      </c>
      <c r="O271" s="130" t="s">
        <v>1361</v>
      </c>
      <c r="P271" s="130" t="s">
        <v>1366</v>
      </c>
      <c r="Q271" s="130" t="s">
        <v>1127</v>
      </c>
      <c r="R271" s="130" t="s">
        <v>1434</v>
      </c>
      <c r="S271" s="130" t="s">
        <v>1435</v>
      </c>
      <c r="T271" s="130" t="s">
        <v>1130</v>
      </c>
      <c r="U271" s="130">
        <v>0</v>
      </c>
      <c r="V271" s="131">
        <v>330000</v>
      </c>
      <c r="W271" s="131">
        <v>330000</v>
      </c>
      <c r="X271" s="131">
        <v>0</v>
      </c>
      <c r="Y271" s="131">
        <v>330000</v>
      </c>
      <c r="Z271" s="131">
        <v>0</v>
      </c>
      <c r="AA271" s="131">
        <v>330000</v>
      </c>
      <c r="AB271" s="131">
        <v>0</v>
      </c>
      <c r="AC271" s="131">
        <v>330000</v>
      </c>
      <c r="AD271" s="131">
        <v>0</v>
      </c>
      <c r="AE271" s="132">
        <v>330000</v>
      </c>
    </row>
    <row r="272" spans="1:31" x14ac:dyDescent="0.2">
      <c r="A272" s="133">
        <v>45</v>
      </c>
      <c r="B272" s="133" t="s">
        <v>1432</v>
      </c>
      <c r="C272" s="133" t="s">
        <v>1114</v>
      </c>
      <c r="D272" s="133" t="s">
        <v>1367</v>
      </c>
      <c r="E272" s="133" t="s">
        <v>1116</v>
      </c>
      <c r="F272" s="133" t="s">
        <v>1117</v>
      </c>
      <c r="G272" s="133" t="s">
        <v>1118</v>
      </c>
      <c r="H272" s="130" t="s">
        <v>1133</v>
      </c>
      <c r="I272" s="130" t="s">
        <v>1134</v>
      </c>
      <c r="J272" s="130" t="s">
        <v>1135</v>
      </c>
      <c r="K272" s="130" t="s">
        <v>1178</v>
      </c>
      <c r="L272" s="130" t="s">
        <v>1433</v>
      </c>
      <c r="M272" s="130" t="s">
        <v>1360</v>
      </c>
      <c r="N272" s="130" t="s">
        <v>168</v>
      </c>
      <c r="O272" s="130" t="s">
        <v>1361</v>
      </c>
      <c r="P272" s="130" t="s">
        <v>1366</v>
      </c>
      <c r="Q272" s="130" t="s">
        <v>1127</v>
      </c>
      <c r="R272" s="130" t="s">
        <v>1434</v>
      </c>
      <c r="S272" s="130" t="s">
        <v>1435</v>
      </c>
      <c r="T272" s="130" t="s">
        <v>1130</v>
      </c>
      <c r="U272" s="130">
        <v>0</v>
      </c>
      <c r="V272" s="131">
        <v>70000</v>
      </c>
      <c r="W272" s="131">
        <v>70000</v>
      </c>
      <c r="X272" s="131">
        <v>0</v>
      </c>
      <c r="Y272" s="131">
        <v>70000</v>
      </c>
      <c r="Z272" s="131">
        <v>0</v>
      </c>
      <c r="AA272" s="131">
        <v>70000</v>
      </c>
      <c r="AB272" s="131">
        <v>0</v>
      </c>
      <c r="AC272" s="131">
        <v>70000</v>
      </c>
      <c r="AD272" s="131">
        <v>0</v>
      </c>
      <c r="AE272" s="132">
        <v>70000</v>
      </c>
    </row>
    <row r="273" spans="1:31" x14ac:dyDescent="0.2">
      <c r="A273" s="130">
        <v>46</v>
      </c>
      <c r="B273" s="130" t="s">
        <v>1436</v>
      </c>
      <c r="C273" s="130" t="s">
        <v>1114</v>
      </c>
      <c r="D273" s="130" t="s">
        <v>1367</v>
      </c>
      <c r="E273" s="130" t="s">
        <v>1116</v>
      </c>
      <c r="F273" s="130" t="s">
        <v>1117</v>
      </c>
      <c r="G273" s="130" t="s">
        <v>1118</v>
      </c>
      <c r="H273" s="130" t="s">
        <v>1119</v>
      </c>
      <c r="I273" s="130" t="s">
        <v>1120</v>
      </c>
      <c r="J273" s="130" t="s">
        <v>1358</v>
      </c>
      <c r="K273" s="130" t="s">
        <v>1122</v>
      </c>
      <c r="L273" s="130" t="s">
        <v>1437</v>
      </c>
      <c r="M273" s="130" t="s">
        <v>1360</v>
      </c>
      <c r="N273" s="130" t="s">
        <v>168</v>
      </c>
      <c r="O273" s="130" t="s">
        <v>1361</v>
      </c>
      <c r="P273" s="130" t="s">
        <v>1366</v>
      </c>
      <c r="Q273" s="130" t="s">
        <v>1127</v>
      </c>
      <c r="R273" s="130" t="s">
        <v>1434</v>
      </c>
      <c r="S273" s="130" t="s">
        <v>1435</v>
      </c>
      <c r="T273" s="130" t="s">
        <v>1158</v>
      </c>
      <c r="U273" s="130">
        <v>100000</v>
      </c>
      <c r="V273" s="131">
        <v>0</v>
      </c>
      <c r="W273" s="131">
        <v>100000</v>
      </c>
      <c r="X273" s="131">
        <v>0</v>
      </c>
      <c r="Y273" s="131">
        <v>100000</v>
      </c>
      <c r="Z273" s="131">
        <v>0</v>
      </c>
      <c r="AA273" s="131">
        <v>100000</v>
      </c>
      <c r="AB273" s="131">
        <v>0</v>
      </c>
      <c r="AC273" s="131">
        <v>100000</v>
      </c>
      <c r="AD273" s="131">
        <v>0</v>
      </c>
      <c r="AE273" s="132">
        <v>100000</v>
      </c>
    </row>
    <row r="274" spans="1:31" x14ac:dyDescent="0.2">
      <c r="A274" s="133">
        <v>46</v>
      </c>
      <c r="B274" s="133" t="s">
        <v>1436</v>
      </c>
      <c r="C274" s="133" t="s">
        <v>1114</v>
      </c>
      <c r="D274" s="133" t="s">
        <v>1367</v>
      </c>
      <c r="E274" s="133" t="s">
        <v>1116</v>
      </c>
      <c r="F274" s="133" t="s">
        <v>1117</v>
      </c>
      <c r="G274" s="133" t="s">
        <v>1118</v>
      </c>
      <c r="H274" s="133" t="s">
        <v>1119</v>
      </c>
      <c r="I274" s="133" t="s">
        <v>1120</v>
      </c>
      <c r="J274" s="133" t="s">
        <v>1358</v>
      </c>
      <c r="K274" s="130" t="s">
        <v>1131</v>
      </c>
      <c r="L274" s="130" t="s">
        <v>1437</v>
      </c>
      <c r="M274" s="130" t="s">
        <v>1360</v>
      </c>
      <c r="N274" s="130" t="s">
        <v>168</v>
      </c>
      <c r="O274" s="130" t="s">
        <v>1361</v>
      </c>
      <c r="P274" s="130" t="s">
        <v>1366</v>
      </c>
      <c r="Q274" s="130" t="s">
        <v>1127</v>
      </c>
      <c r="R274" s="130" t="s">
        <v>1434</v>
      </c>
      <c r="S274" s="130" t="s">
        <v>1435</v>
      </c>
      <c r="T274" s="130" t="s">
        <v>1158</v>
      </c>
      <c r="U274" s="130">
        <v>0</v>
      </c>
      <c r="V274" s="131">
        <v>240956</v>
      </c>
      <c r="W274" s="131">
        <v>240956</v>
      </c>
      <c r="X274" s="131">
        <v>0</v>
      </c>
      <c r="Y274" s="131">
        <v>240956</v>
      </c>
      <c r="Z274" s="131">
        <v>0</v>
      </c>
      <c r="AA274" s="131">
        <v>240956</v>
      </c>
      <c r="AB274" s="131">
        <v>0</v>
      </c>
      <c r="AC274" s="131">
        <v>240956</v>
      </c>
      <c r="AD274" s="131">
        <v>0</v>
      </c>
      <c r="AE274" s="132">
        <v>240956</v>
      </c>
    </row>
    <row r="275" spans="1:31" x14ac:dyDescent="0.2">
      <c r="A275" s="133">
        <v>46</v>
      </c>
      <c r="B275" s="133" t="s">
        <v>1436</v>
      </c>
      <c r="C275" s="133" t="s">
        <v>1114</v>
      </c>
      <c r="D275" s="133" t="s">
        <v>1367</v>
      </c>
      <c r="E275" s="133" t="s">
        <v>1116</v>
      </c>
      <c r="F275" s="133" t="s">
        <v>1117</v>
      </c>
      <c r="G275" s="133" t="s">
        <v>1118</v>
      </c>
      <c r="H275" s="133" t="s">
        <v>1119</v>
      </c>
      <c r="I275" s="133" t="s">
        <v>1120</v>
      </c>
      <c r="J275" s="133" t="s">
        <v>1358</v>
      </c>
      <c r="K275" s="130" t="s">
        <v>1177</v>
      </c>
      <c r="L275" s="130" t="s">
        <v>1437</v>
      </c>
      <c r="M275" s="130" t="s">
        <v>1360</v>
      </c>
      <c r="N275" s="130" t="s">
        <v>168</v>
      </c>
      <c r="O275" s="130" t="s">
        <v>1361</v>
      </c>
      <c r="P275" s="130" t="s">
        <v>1366</v>
      </c>
      <c r="Q275" s="130" t="s">
        <v>1127</v>
      </c>
      <c r="R275" s="130" t="s">
        <v>1434</v>
      </c>
      <c r="S275" s="130" t="s">
        <v>1435</v>
      </c>
      <c r="T275" s="130" t="s">
        <v>1158</v>
      </c>
      <c r="U275" s="130">
        <v>0</v>
      </c>
      <c r="V275" s="131">
        <v>321029</v>
      </c>
      <c r="W275" s="131">
        <v>321029</v>
      </c>
      <c r="X275" s="131">
        <v>0</v>
      </c>
      <c r="Y275" s="131">
        <v>321029</v>
      </c>
      <c r="Z275" s="131">
        <v>0</v>
      </c>
      <c r="AA275" s="131">
        <v>321029</v>
      </c>
      <c r="AB275" s="131">
        <v>0</v>
      </c>
      <c r="AC275" s="131">
        <v>321029</v>
      </c>
      <c r="AD275" s="131">
        <v>0</v>
      </c>
      <c r="AE275" s="132">
        <v>321029</v>
      </c>
    </row>
    <row r="276" spans="1:31" x14ac:dyDescent="0.2">
      <c r="A276" s="133">
        <v>46</v>
      </c>
      <c r="B276" s="133" t="s">
        <v>1436</v>
      </c>
      <c r="C276" s="133" t="s">
        <v>1114</v>
      </c>
      <c r="D276" s="133" t="s">
        <v>1367</v>
      </c>
      <c r="E276" s="133" t="s">
        <v>1116</v>
      </c>
      <c r="F276" s="133" t="s">
        <v>1117</v>
      </c>
      <c r="G276" s="133" t="s">
        <v>1118</v>
      </c>
      <c r="H276" s="133" t="s">
        <v>1119</v>
      </c>
      <c r="I276" s="133" t="s">
        <v>1120</v>
      </c>
      <c r="J276" s="133" t="s">
        <v>1358</v>
      </c>
      <c r="K276" s="130" t="s">
        <v>1132</v>
      </c>
      <c r="L276" s="130" t="s">
        <v>1437</v>
      </c>
      <c r="M276" s="130" t="s">
        <v>1360</v>
      </c>
      <c r="N276" s="130" t="s">
        <v>168</v>
      </c>
      <c r="O276" s="130" t="s">
        <v>1361</v>
      </c>
      <c r="P276" s="130" t="s">
        <v>1366</v>
      </c>
      <c r="Q276" s="130" t="s">
        <v>1127</v>
      </c>
      <c r="R276" s="130" t="s">
        <v>1434</v>
      </c>
      <c r="S276" s="130" t="s">
        <v>1435</v>
      </c>
      <c r="T276" s="130" t="s">
        <v>1158</v>
      </c>
      <c r="U276" s="130">
        <v>0</v>
      </c>
      <c r="V276" s="131">
        <v>96605</v>
      </c>
      <c r="W276" s="131">
        <v>96605</v>
      </c>
      <c r="X276" s="131">
        <v>0</v>
      </c>
      <c r="Y276" s="131">
        <v>96605</v>
      </c>
      <c r="Z276" s="131">
        <v>0</v>
      </c>
      <c r="AA276" s="131">
        <v>96605</v>
      </c>
      <c r="AB276" s="131">
        <v>0</v>
      </c>
      <c r="AC276" s="131">
        <v>96605</v>
      </c>
      <c r="AD276" s="131">
        <v>0</v>
      </c>
      <c r="AE276" s="132">
        <v>96605</v>
      </c>
    </row>
    <row r="277" spans="1:31" x14ac:dyDescent="0.2">
      <c r="A277" s="133">
        <v>46</v>
      </c>
      <c r="B277" s="133" t="s">
        <v>1436</v>
      </c>
      <c r="C277" s="133" t="s">
        <v>1114</v>
      </c>
      <c r="D277" s="133" t="s">
        <v>1367</v>
      </c>
      <c r="E277" s="133" t="s">
        <v>1116</v>
      </c>
      <c r="F277" s="133" t="s">
        <v>1117</v>
      </c>
      <c r="G277" s="133" t="s">
        <v>1118</v>
      </c>
      <c r="H277" s="130" t="s">
        <v>1149</v>
      </c>
      <c r="I277" s="130" t="s">
        <v>1182</v>
      </c>
      <c r="J277" s="130" t="s">
        <v>1377</v>
      </c>
      <c r="K277" s="130" t="s">
        <v>1378</v>
      </c>
      <c r="L277" s="130" t="s">
        <v>1437</v>
      </c>
      <c r="M277" s="130" t="s">
        <v>1360</v>
      </c>
      <c r="N277" s="130" t="s">
        <v>168</v>
      </c>
      <c r="O277" s="130" t="s">
        <v>1361</v>
      </c>
      <c r="P277" s="130" t="s">
        <v>1366</v>
      </c>
      <c r="Q277" s="130" t="s">
        <v>1127</v>
      </c>
      <c r="R277" s="130" t="s">
        <v>1434</v>
      </c>
      <c r="S277" s="130" t="s">
        <v>1435</v>
      </c>
      <c r="T277" s="130" t="s">
        <v>1158</v>
      </c>
      <c r="U277" s="130">
        <v>0</v>
      </c>
      <c r="V277" s="131">
        <v>0</v>
      </c>
      <c r="W277" s="131">
        <v>0</v>
      </c>
      <c r="X277" s="131">
        <v>0</v>
      </c>
      <c r="Y277" s="131">
        <v>0</v>
      </c>
      <c r="Z277" s="131">
        <v>0</v>
      </c>
      <c r="AA277" s="131">
        <v>0</v>
      </c>
      <c r="AB277" s="131">
        <v>0</v>
      </c>
      <c r="AC277" s="131">
        <v>0</v>
      </c>
      <c r="AD277" s="131">
        <v>0</v>
      </c>
      <c r="AE277" s="132">
        <v>0</v>
      </c>
    </row>
    <row r="278" spans="1:31" x14ac:dyDescent="0.2">
      <c r="A278" s="133">
        <v>46</v>
      </c>
      <c r="B278" s="133" t="s">
        <v>1436</v>
      </c>
      <c r="C278" s="133" t="s">
        <v>1114</v>
      </c>
      <c r="D278" s="133" t="s">
        <v>1367</v>
      </c>
      <c r="E278" s="133" t="s">
        <v>1116</v>
      </c>
      <c r="F278" s="133" t="s">
        <v>1117</v>
      </c>
      <c r="G278" s="133" t="s">
        <v>1118</v>
      </c>
      <c r="H278" s="133" t="s">
        <v>1149</v>
      </c>
      <c r="I278" s="133" t="s">
        <v>1182</v>
      </c>
      <c r="J278" s="130" t="s">
        <v>1382</v>
      </c>
      <c r="K278" s="130" t="s">
        <v>1383</v>
      </c>
      <c r="L278" s="130" t="s">
        <v>1437</v>
      </c>
      <c r="M278" s="130" t="s">
        <v>1360</v>
      </c>
      <c r="N278" s="130" t="s">
        <v>168</v>
      </c>
      <c r="O278" s="130" t="s">
        <v>1361</v>
      </c>
      <c r="P278" s="130" t="s">
        <v>1366</v>
      </c>
      <c r="Q278" s="130" t="s">
        <v>1127</v>
      </c>
      <c r="R278" s="130" t="s">
        <v>1434</v>
      </c>
      <c r="S278" s="130" t="s">
        <v>1435</v>
      </c>
      <c r="T278" s="130" t="s">
        <v>1158</v>
      </c>
      <c r="U278" s="130">
        <v>0</v>
      </c>
      <c r="V278" s="131">
        <v>0</v>
      </c>
      <c r="W278" s="131">
        <v>0</v>
      </c>
      <c r="X278" s="131">
        <v>0</v>
      </c>
      <c r="Y278" s="131">
        <v>0</v>
      </c>
      <c r="Z278" s="131">
        <v>0</v>
      </c>
      <c r="AA278" s="131">
        <v>0</v>
      </c>
      <c r="AB278" s="131">
        <v>0</v>
      </c>
      <c r="AC278" s="131">
        <v>0</v>
      </c>
      <c r="AD278" s="131">
        <v>0</v>
      </c>
      <c r="AE278" s="132">
        <v>0</v>
      </c>
    </row>
    <row r="279" spans="1:31" x14ac:dyDescent="0.2">
      <c r="A279" s="133">
        <v>46</v>
      </c>
      <c r="B279" s="133" t="s">
        <v>1436</v>
      </c>
      <c r="C279" s="133" t="s">
        <v>1114</v>
      </c>
      <c r="D279" s="133" t="s">
        <v>1367</v>
      </c>
      <c r="E279" s="133" t="s">
        <v>1116</v>
      </c>
      <c r="F279" s="133" t="s">
        <v>1117</v>
      </c>
      <c r="G279" s="133" t="s">
        <v>1118</v>
      </c>
      <c r="H279" s="133" t="s">
        <v>1149</v>
      </c>
      <c r="I279" s="133" t="s">
        <v>1182</v>
      </c>
      <c r="J279" s="133" t="s">
        <v>1382</v>
      </c>
      <c r="K279" s="130" t="s">
        <v>1378</v>
      </c>
      <c r="L279" s="130" t="s">
        <v>1437</v>
      </c>
      <c r="M279" s="130" t="s">
        <v>1360</v>
      </c>
      <c r="N279" s="130" t="s">
        <v>168</v>
      </c>
      <c r="O279" s="130" t="s">
        <v>1361</v>
      </c>
      <c r="P279" s="130" t="s">
        <v>1366</v>
      </c>
      <c r="Q279" s="130" t="s">
        <v>1127</v>
      </c>
      <c r="R279" s="130" t="s">
        <v>1434</v>
      </c>
      <c r="S279" s="130" t="s">
        <v>1435</v>
      </c>
      <c r="T279" s="130" t="s">
        <v>1158</v>
      </c>
      <c r="U279" s="130">
        <v>0</v>
      </c>
      <c r="V279" s="131">
        <v>0</v>
      </c>
      <c r="W279" s="131">
        <v>0</v>
      </c>
      <c r="X279" s="131">
        <v>0</v>
      </c>
      <c r="Y279" s="131">
        <v>0</v>
      </c>
      <c r="Z279" s="131">
        <v>0</v>
      </c>
      <c r="AA279" s="131">
        <v>0</v>
      </c>
      <c r="AB279" s="131">
        <v>0</v>
      </c>
      <c r="AC279" s="131">
        <v>0</v>
      </c>
      <c r="AD279" s="131">
        <v>0</v>
      </c>
      <c r="AE279" s="132">
        <v>0</v>
      </c>
    </row>
    <row r="280" spans="1:31" x14ac:dyDescent="0.2">
      <c r="A280" s="133">
        <v>46</v>
      </c>
      <c r="B280" s="133" t="s">
        <v>1436</v>
      </c>
      <c r="C280" s="133" t="s">
        <v>1114</v>
      </c>
      <c r="D280" s="133" t="s">
        <v>1367</v>
      </c>
      <c r="E280" s="133" t="s">
        <v>1116</v>
      </c>
      <c r="F280" s="133" t="s">
        <v>1117</v>
      </c>
      <c r="G280" s="133" t="s">
        <v>1118</v>
      </c>
      <c r="H280" s="133" t="s">
        <v>1149</v>
      </c>
      <c r="I280" s="133" t="s">
        <v>1182</v>
      </c>
      <c r="J280" s="130" t="s">
        <v>1347</v>
      </c>
      <c r="K280" s="130" t="s">
        <v>1348</v>
      </c>
      <c r="L280" s="130" t="s">
        <v>1437</v>
      </c>
      <c r="M280" s="130" t="s">
        <v>1360</v>
      </c>
      <c r="N280" s="130" t="s">
        <v>168</v>
      </c>
      <c r="O280" s="130" t="s">
        <v>1361</v>
      </c>
      <c r="P280" s="130" t="s">
        <v>1366</v>
      </c>
      <c r="Q280" s="130" t="s">
        <v>1127</v>
      </c>
      <c r="R280" s="130" t="s">
        <v>1434</v>
      </c>
      <c r="S280" s="130" t="s">
        <v>1435</v>
      </c>
      <c r="T280" s="130" t="s">
        <v>1158</v>
      </c>
      <c r="U280" s="130">
        <v>0</v>
      </c>
      <c r="V280" s="131">
        <v>0</v>
      </c>
      <c r="W280" s="131">
        <v>0</v>
      </c>
      <c r="X280" s="131">
        <v>0</v>
      </c>
      <c r="Y280" s="131">
        <v>0</v>
      </c>
      <c r="Z280" s="131">
        <v>0</v>
      </c>
      <c r="AA280" s="131">
        <v>0</v>
      </c>
      <c r="AB280" s="131">
        <v>0</v>
      </c>
      <c r="AC280" s="131">
        <v>0</v>
      </c>
      <c r="AD280" s="131">
        <v>0</v>
      </c>
      <c r="AE280" s="132">
        <v>0</v>
      </c>
    </row>
    <row r="281" spans="1:31" x14ac:dyDescent="0.2">
      <c r="A281" s="133">
        <v>46</v>
      </c>
      <c r="B281" s="133" t="s">
        <v>1436</v>
      </c>
      <c r="C281" s="133" t="s">
        <v>1114</v>
      </c>
      <c r="D281" s="133" t="s">
        <v>1367</v>
      </c>
      <c r="E281" s="133" t="s">
        <v>1116</v>
      </c>
      <c r="F281" s="133" t="s">
        <v>1117</v>
      </c>
      <c r="G281" s="133" t="s">
        <v>1118</v>
      </c>
      <c r="H281" s="133" t="s">
        <v>1149</v>
      </c>
      <c r="I281" s="133" t="s">
        <v>1182</v>
      </c>
      <c r="J281" s="133" t="s">
        <v>1347</v>
      </c>
      <c r="K281" s="130" t="s">
        <v>1355</v>
      </c>
      <c r="L281" s="130" t="s">
        <v>1437</v>
      </c>
      <c r="M281" s="130" t="s">
        <v>1360</v>
      </c>
      <c r="N281" s="130" t="s">
        <v>168</v>
      </c>
      <c r="O281" s="130" t="s">
        <v>1361</v>
      </c>
      <c r="P281" s="130" t="s">
        <v>1366</v>
      </c>
      <c r="Q281" s="130" t="s">
        <v>1127</v>
      </c>
      <c r="R281" s="130" t="s">
        <v>1434</v>
      </c>
      <c r="S281" s="130" t="s">
        <v>1435</v>
      </c>
      <c r="T281" s="130" t="s">
        <v>1158</v>
      </c>
      <c r="U281" s="130">
        <v>0</v>
      </c>
      <c r="V281" s="131">
        <v>0</v>
      </c>
      <c r="W281" s="131">
        <v>0</v>
      </c>
      <c r="X281" s="131">
        <v>0</v>
      </c>
      <c r="Y281" s="131">
        <v>0</v>
      </c>
      <c r="Z281" s="131">
        <v>0</v>
      </c>
      <c r="AA281" s="131">
        <v>0</v>
      </c>
      <c r="AB281" s="131">
        <v>0</v>
      </c>
      <c r="AC281" s="131">
        <v>0</v>
      </c>
      <c r="AD281" s="131">
        <v>0</v>
      </c>
      <c r="AE281" s="132">
        <v>0</v>
      </c>
    </row>
    <row r="282" spans="1:31" x14ac:dyDescent="0.2">
      <c r="A282" s="133">
        <v>46</v>
      </c>
      <c r="B282" s="133" t="s">
        <v>1436</v>
      </c>
      <c r="C282" s="133" t="s">
        <v>1114</v>
      </c>
      <c r="D282" s="133" t="s">
        <v>1367</v>
      </c>
      <c r="E282" s="133" t="s">
        <v>1116</v>
      </c>
      <c r="F282" s="133" t="s">
        <v>1117</v>
      </c>
      <c r="G282" s="133" t="s">
        <v>1118</v>
      </c>
      <c r="H282" s="130" t="s">
        <v>1133</v>
      </c>
      <c r="I282" s="130" t="s">
        <v>1134</v>
      </c>
      <c r="J282" s="130" t="s">
        <v>1135</v>
      </c>
      <c r="K282" s="130" t="s">
        <v>1178</v>
      </c>
      <c r="L282" s="130" t="s">
        <v>1437</v>
      </c>
      <c r="M282" s="130" t="s">
        <v>1360</v>
      </c>
      <c r="N282" s="130" t="s">
        <v>168</v>
      </c>
      <c r="O282" s="130" t="s">
        <v>1361</v>
      </c>
      <c r="P282" s="130" t="s">
        <v>1366</v>
      </c>
      <c r="Q282" s="130" t="s">
        <v>1127</v>
      </c>
      <c r="R282" s="130" t="s">
        <v>1434</v>
      </c>
      <c r="S282" s="130" t="s">
        <v>1435</v>
      </c>
      <c r="T282" s="130" t="s">
        <v>1158</v>
      </c>
      <c r="U282" s="130">
        <v>0</v>
      </c>
      <c r="V282" s="131">
        <v>89733</v>
      </c>
      <c r="W282" s="131">
        <v>89733</v>
      </c>
      <c r="X282" s="131">
        <v>0</v>
      </c>
      <c r="Y282" s="131">
        <v>89733</v>
      </c>
      <c r="Z282" s="131">
        <v>0</v>
      </c>
      <c r="AA282" s="131">
        <v>89733</v>
      </c>
      <c r="AB282" s="131">
        <v>0</v>
      </c>
      <c r="AC282" s="131">
        <v>89733</v>
      </c>
      <c r="AD282" s="131">
        <v>0</v>
      </c>
      <c r="AE282" s="132">
        <v>89733</v>
      </c>
    </row>
    <row r="283" spans="1:31" x14ac:dyDescent="0.2">
      <c r="A283" s="133">
        <v>46</v>
      </c>
      <c r="B283" s="133" t="s">
        <v>1436</v>
      </c>
      <c r="C283" s="133" t="s">
        <v>1114</v>
      </c>
      <c r="D283" s="133" t="s">
        <v>1367</v>
      </c>
      <c r="E283" s="133" t="s">
        <v>1116</v>
      </c>
      <c r="F283" s="133" t="s">
        <v>1117</v>
      </c>
      <c r="G283" s="133" t="s">
        <v>1118</v>
      </c>
      <c r="H283" s="133" t="s">
        <v>1133</v>
      </c>
      <c r="I283" s="133" t="s">
        <v>1134</v>
      </c>
      <c r="J283" s="133" t="s">
        <v>1135</v>
      </c>
      <c r="K283" s="130" t="s">
        <v>1179</v>
      </c>
      <c r="L283" s="130" t="s">
        <v>1437</v>
      </c>
      <c r="M283" s="130" t="s">
        <v>1360</v>
      </c>
      <c r="N283" s="130" t="s">
        <v>168</v>
      </c>
      <c r="O283" s="130" t="s">
        <v>1361</v>
      </c>
      <c r="P283" s="130" t="s">
        <v>1366</v>
      </c>
      <c r="Q283" s="130" t="s">
        <v>1127</v>
      </c>
      <c r="R283" s="130" t="s">
        <v>1434</v>
      </c>
      <c r="S283" s="130" t="s">
        <v>1435</v>
      </c>
      <c r="T283" s="130" t="s">
        <v>1158</v>
      </c>
      <c r="U283" s="130">
        <v>0</v>
      </c>
      <c r="V283" s="131">
        <v>0</v>
      </c>
      <c r="W283" s="131">
        <v>0</v>
      </c>
      <c r="X283" s="131">
        <v>0</v>
      </c>
      <c r="Y283" s="131">
        <v>0</v>
      </c>
      <c r="Z283" s="131">
        <v>0</v>
      </c>
      <c r="AA283" s="131">
        <v>0</v>
      </c>
      <c r="AB283" s="131">
        <v>0</v>
      </c>
      <c r="AC283" s="131">
        <v>0</v>
      </c>
      <c r="AD283" s="131">
        <v>0</v>
      </c>
      <c r="AE283" s="132">
        <v>0</v>
      </c>
    </row>
    <row r="284" spans="1:31" x14ac:dyDescent="0.2">
      <c r="A284" s="133">
        <v>46</v>
      </c>
      <c r="B284" s="133" t="s">
        <v>1436</v>
      </c>
      <c r="C284" s="133" t="s">
        <v>1114</v>
      </c>
      <c r="D284" s="133" t="s">
        <v>1367</v>
      </c>
      <c r="E284" s="133" t="s">
        <v>1116</v>
      </c>
      <c r="F284" s="133" t="s">
        <v>1117</v>
      </c>
      <c r="G284" s="133" t="s">
        <v>1118</v>
      </c>
      <c r="H284" s="133" t="s">
        <v>1133</v>
      </c>
      <c r="I284" s="133" t="s">
        <v>1134</v>
      </c>
      <c r="J284" s="133" t="s">
        <v>1135</v>
      </c>
      <c r="K284" s="130" t="s">
        <v>1144</v>
      </c>
      <c r="L284" s="130" t="s">
        <v>1437</v>
      </c>
      <c r="M284" s="130" t="s">
        <v>1360</v>
      </c>
      <c r="N284" s="130" t="s">
        <v>168</v>
      </c>
      <c r="O284" s="130" t="s">
        <v>1361</v>
      </c>
      <c r="P284" s="130" t="s">
        <v>1366</v>
      </c>
      <c r="Q284" s="130" t="s">
        <v>1127</v>
      </c>
      <c r="R284" s="130" t="s">
        <v>1434</v>
      </c>
      <c r="S284" s="130" t="s">
        <v>1435</v>
      </c>
      <c r="T284" s="130" t="s">
        <v>1158</v>
      </c>
      <c r="U284" s="130">
        <v>0</v>
      </c>
      <c r="V284" s="131">
        <v>89494</v>
      </c>
      <c r="W284" s="131">
        <v>89494</v>
      </c>
      <c r="X284" s="131">
        <v>0</v>
      </c>
      <c r="Y284" s="131">
        <v>89494</v>
      </c>
      <c r="Z284" s="131">
        <v>0</v>
      </c>
      <c r="AA284" s="131">
        <v>89494</v>
      </c>
      <c r="AB284" s="131">
        <v>0</v>
      </c>
      <c r="AC284" s="131">
        <v>89494</v>
      </c>
      <c r="AD284" s="131">
        <v>0</v>
      </c>
      <c r="AE284" s="132">
        <v>89494</v>
      </c>
    </row>
    <row r="285" spans="1:31" x14ac:dyDescent="0.2">
      <c r="A285" s="130">
        <v>47</v>
      </c>
      <c r="B285" s="130" t="s">
        <v>1438</v>
      </c>
      <c r="C285" s="130" t="s">
        <v>1114</v>
      </c>
      <c r="D285" s="130" t="s">
        <v>1367</v>
      </c>
      <c r="E285" s="130" t="s">
        <v>1116</v>
      </c>
      <c r="F285" s="130" t="s">
        <v>1117</v>
      </c>
      <c r="G285" s="130" t="s">
        <v>1118</v>
      </c>
      <c r="H285" s="130" t="s">
        <v>1119</v>
      </c>
      <c r="I285" s="130" t="s">
        <v>1120</v>
      </c>
      <c r="J285" s="130" t="s">
        <v>1358</v>
      </c>
      <c r="K285" s="130" t="s">
        <v>1122</v>
      </c>
      <c r="L285" s="130" t="s">
        <v>1439</v>
      </c>
      <c r="M285" s="130" t="s">
        <v>1360</v>
      </c>
      <c r="N285" s="130" t="s">
        <v>168</v>
      </c>
      <c r="O285" s="130" t="s">
        <v>1361</v>
      </c>
      <c r="P285" s="130" t="s">
        <v>1366</v>
      </c>
      <c r="Q285" s="130" t="s">
        <v>1127</v>
      </c>
      <c r="R285" s="130" t="s">
        <v>1434</v>
      </c>
      <c r="S285" s="130" t="s">
        <v>1435</v>
      </c>
      <c r="T285" s="130" t="s">
        <v>1158</v>
      </c>
      <c r="U285" s="130">
        <v>700000</v>
      </c>
      <c r="V285" s="131">
        <v>0</v>
      </c>
      <c r="W285" s="131">
        <v>700000</v>
      </c>
      <c r="X285" s="131">
        <v>0</v>
      </c>
      <c r="Y285" s="131">
        <v>700000</v>
      </c>
      <c r="Z285" s="131">
        <v>0</v>
      </c>
      <c r="AA285" s="131">
        <v>700000</v>
      </c>
      <c r="AB285" s="131">
        <v>0</v>
      </c>
      <c r="AC285" s="131">
        <v>700000</v>
      </c>
      <c r="AD285" s="131">
        <v>0</v>
      </c>
      <c r="AE285" s="132">
        <v>700000</v>
      </c>
    </row>
    <row r="286" spans="1:31" x14ac:dyDescent="0.2">
      <c r="A286" s="130">
        <v>48</v>
      </c>
      <c r="B286" s="130" t="s">
        <v>960</v>
      </c>
      <c r="C286" s="130" t="s">
        <v>1114</v>
      </c>
      <c r="D286" s="130" t="s">
        <v>1357</v>
      </c>
      <c r="E286" s="130" t="s">
        <v>1116</v>
      </c>
      <c r="F286" s="130" t="s">
        <v>1117</v>
      </c>
      <c r="G286" s="130" t="s">
        <v>1118</v>
      </c>
      <c r="H286" s="130" t="s">
        <v>1119</v>
      </c>
      <c r="I286" s="130" t="s">
        <v>1120</v>
      </c>
      <c r="J286" s="130" t="s">
        <v>1358</v>
      </c>
      <c r="K286" s="130" t="s">
        <v>1122</v>
      </c>
      <c r="L286" s="130" t="s">
        <v>1440</v>
      </c>
      <c r="M286" s="130" t="s">
        <v>1360</v>
      </c>
      <c r="N286" s="130" t="s">
        <v>168</v>
      </c>
      <c r="O286" s="130" t="s">
        <v>1361</v>
      </c>
      <c r="P286" s="130" t="s">
        <v>1362</v>
      </c>
      <c r="Q286" s="130" t="s">
        <v>1127</v>
      </c>
      <c r="R286" s="130" t="s">
        <v>1191</v>
      </c>
      <c r="S286" s="130" t="s">
        <v>1191</v>
      </c>
      <c r="T286" s="130" t="s">
        <v>1130</v>
      </c>
      <c r="U286" s="130">
        <v>50000</v>
      </c>
      <c r="V286" s="131">
        <v>-50000</v>
      </c>
      <c r="W286" s="131">
        <v>0</v>
      </c>
      <c r="X286" s="131">
        <v>0</v>
      </c>
      <c r="Y286" s="131">
        <v>0</v>
      </c>
      <c r="Z286" s="131">
        <v>0</v>
      </c>
      <c r="AA286" s="131">
        <v>0</v>
      </c>
      <c r="AB286" s="131">
        <v>0</v>
      </c>
      <c r="AC286" s="131">
        <v>0</v>
      </c>
      <c r="AD286" s="131">
        <v>0</v>
      </c>
      <c r="AE286" s="132">
        <v>0</v>
      </c>
    </row>
    <row r="287" spans="1:31" x14ac:dyDescent="0.2">
      <c r="A287" s="133">
        <v>48</v>
      </c>
      <c r="B287" s="133" t="s">
        <v>960</v>
      </c>
      <c r="C287" s="133" t="s">
        <v>1114</v>
      </c>
      <c r="D287" s="133" t="s">
        <v>1357</v>
      </c>
      <c r="E287" s="133" t="s">
        <v>1116</v>
      </c>
      <c r="F287" s="133" t="s">
        <v>1117</v>
      </c>
      <c r="G287" s="133" t="s">
        <v>1118</v>
      </c>
      <c r="H287" s="130" t="s">
        <v>1133</v>
      </c>
      <c r="I287" s="130" t="s">
        <v>1134</v>
      </c>
      <c r="J287" s="130" t="s">
        <v>1166</v>
      </c>
      <c r="K287" s="130" t="s">
        <v>1167</v>
      </c>
      <c r="L287" s="130" t="s">
        <v>1440</v>
      </c>
      <c r="M287" s="130" t="s">
        <v>1360</v>
      </c>
      <c r="N287" s="130" t="s">
        <v>168</v>
      </c>
      <c r="O287" s="130" t="s">
        <v>1361</v>
      </c>
      <c r="P287" s="130" t="s">
        <v>1362</v>
      </c>
      <c r="Q287" s="130" t="s">
        <v>1127</v>
      </c>
      <c r="R287" s="130" t="s">
        <v>1191</v>
      </c>
      <c r="S287" s="130" t="s">
        <v>1191</v>
      </c>
      <c r="T287" s="130" t="s">
        <v>1130</v>
      </c>
      <c r="U287" s="130">
        <v>0</v>
      </c>
      <c r="V287" s="131">
        <v>50000</v>
      </c>
      <c r="W287" s="131">
        <v>50000</v>
      </c>
      <c r="X287" s="131">
        <v>50000</v>
      </c>
      <c r="Y287" s="131">
        <v>0</v>
      </c>
      <c r="Z287" s="131">
        <v>50000</v>
      </c>
      <c r="AA287" s="131">
        <v>0</v>
      </c>
      <c r="AB287" s="131">
        <v>49952.759999999995</v>
      </c>
      <c r="AC287" s="131">
        <v>47.240000000005239</v>
      </c>
      <c r="AD287" s="131">
        <v>49952.759999999995</v>
      </c>
      <c r="AE287" s="132">
        <v>47.240000000005239</v>
      </c>
    </row>
    <row r="288" spans="1:31" x14ac:dyDescent="0.2">
      <c r="A288" s="130">
        <v>49</v>
      </c>
      <c r="B288" s="130" t="s">
        <v>1441</v>
      </c>
      <c r="C288" s="130" t="s">
        <v>1114</v>
      </c>
      <c r="D288" s="130" t="s">
        <v>1357</v>
      </c>
      <c r="E288" s="130" t="s">
        <v>1116</v>
      </c>
      <c r="F288" s="130" t="s">
        <v>1117</v>
      </c>
      <c r="G288" s="130" t="s">
        <v>1118</v>
      </c>
      <c r="H288" s="130" t="s">
        <v>1119</v>
      </c>
      <c r="I288" s="130" t="s">
        <v>1120</v>
      </c>
      <c r="J288" s="130" t="s">
        <v>1358</v>
      </c>
      <c r="K288" s="130" t="s">
        <v>1122</v>
      </c>
      <c r="L288" s="130" t="s">
        <v>1442</v>
      </c>
      <c r="M288" s="130" t="s">
        <v>1360</v>
      </c>
      <c r="N288" s="130" t="s">
        <v>168</v>
      </c>
      <c r="O288" s="130" t="s">
        <v>1361</v>
      </c>
      <c r="P288" s="130" t="s">
        <v>1362</v>
      </c>
      <c r="Q288" s="130" t="s">
        <v>1127</v>
      </c>
      <c r="R288" s="130" t="s">
        <v>1191</v>
      </c>
      <c r="S288" s="130" t="s">
        <v>1191</v>
      </c>
      <c r="T288" s="130" t="s">
        <v>1158</v>
      </c>
      <c r="U288" s="130">
        <v>100000</v>
      </c>
      <c r="V288" s="131">
        <v>-100000</v>
      </c>
      <c r="W288" s="131">
        <v>0</v>
      </c>
      <c r="X288" s="131">
        <v>0</v>
      </c>
      <c r="Y288" s="131">
        <v>0</v>
      </c>
      <c r="Z288" s="131">
        <v>0</v>
      </c>
      <c r="AA288" s="131">
        <v>0</v>
      </c>
      <c r="AB288" s="131">
        <v>0</v>
      </c>
      <c r="AC288" s="131">
        <v>0</v>
      </c>
      <c r="AD288" s="131">
        <v>0</v>
      </c>
      <c r="AE288" s="132">
        <v>0</v>
      </c>
    </row>
    <row r="289" spans="1:31" x14ac:dyDescent="0.2">
      <c r="A289" s="133">
        <v>49</v>
      </c>
      <c r="B289" s="133" t="s">
        <v>1441</v>
      </c>
      <c r="C289" s="133" t="s">
        <v>1114</v>
      </c>
      <c r="D289" s="133" t="s">
        <v>1357</v>
      </c>
      <c r="E289" s="133" t="s">
        <v>1116</v>
      </c>
      <c r="F289" s="133" t="s">
        <v>1117</v>
      </c>
      <c r="G289" s="133" t="s">
        <v>1118</v>
      </c>
      <c r="H289" s="130" t="s">
        <v>1133</v>
      </c>
      <c r="I289" s="130" t="s">
        <v>1134</v>
      </c>
      <c r="J289" s="130" t="s">
        <v>1166</v>
      </c>
      <c r="K289" s="130" t="s">
        <v>1167</v>
      </c>
      <c r="L289" s="130" t="s">
        <v>1442</v>
      </c>
      <c r="M289" s="130" t="s">
        <v>1360</v>
      </c>
      <c r="N289" s="130" t="s">
        <v>168</v>
      </c>
      <c r="O289" s="130" t="s">
        <v>1361</v>
      </c>
      <c r="P289" s="130" t="s">
        <v>1362</v>
      </c>
      <c r="Q289" s="130" t="s">
        <v>1127</v>
      </c>
      <c r="R289" s="130" t="s">
        <v>1191</v>
      </c>
      <c r="S289" s="130" t="s">
        <v>1191</v>
      </c>
      <c r="T289" s="130" t="s">
        <v>1158</v>
      </c>
      <c r="U289" s="130">
        <v>0</v>
      </c>
      <c r="V289" s="131">
        <v>100000</v>
      </c>
      <c r="W289" s="131">
        <v>100000</v>
      </c>
      <c r="X289" s="131">
        <v>50000</v>
      </c>
      <c r="Y289" s="131">
        <v>50000</v>
      </c>
      <c r="Z289" s="131">
        <v>0</v>
      </c>
      <c r="AA289" s="131">
        <v>100000</v>
      </c>
      <c r="AB289" s="131">
        <v>0</v>
      </c>
      <c r="AC289" s="131">
        <v>100000</v>
      </c>
      <c r="AD289" s="131">
        <v>0</v>
      </c>
      <c r="AE289" s="132">
        <v>100000</v>
      </c>
    </row>
    <row r="290" spans="1:31" x14ac:dyDescent="0.2">
      <c r="A290" s="130">
        <v>50</v>
      </c>
      <c r="B290" s="130" t="s">
        <v>961</v>
      </c>
      <c r="C290" s="130" t="s">
        <v>1114</v>
      </c>
      <c r="D290" s="130" t="s">
        <v>1357</v>
      </c>
      <c r="E290" s="130" t="s">
        <v>1116</v>
      </c>
      <c r="F290" s="130" t="s">
        <v>1117</v>
      </c>
      <c r="G290" s="130" t="s">
        <v>1118</v>
      </c>
      <c r="H290" s="130" t="s">
        <v>1119</v>
      </c>
      <c r="I290" s="130" t="s">
        <v>1120</v>
      </c>
      <c r="J290" s="130" t="s">
        <v>1358</v>
      </c>
      <c r="K290" s="130" t="s">
        <v>1122</v>
      </c>
      <c r="L290" s="130" t="s">
        <v>1443</v>
      </c>
      <c r="M290" s="130" t="s">
        <v>1360</v>
      </c>
      <c r="N290" s="130" t="s">
        <v>168</v>
      </c>
      <c r="O290" s="130" t="s">
        <v>1361</v>
      </c>
      <c r="P290" s="130" t="s">
        <v>1362</v>
      </c>
      <c r="Q290" s="130" t="s">
        <v>1127</v>
      </c>
      <c r="R290" s="130" t="s">
        <v>1191</v>
      </c>
      <c r="S290" s="130" t="s">
        <v>1191</v>
      </c>
      <c r="T290" s="130" t="s">
        <v>1130</v>
      </c>
      <c r="U290" s="130">
        <v>50000</v>
      </c>
      <c r="V290" s="131">
        <v>-50000</v>
      </c>
      <c r="W290" s="131">
        <v>0</v>
      </c>
      <c r="X290" s="131">
        <v>0</v>
      </c>
      <c r="Y290" s="131">
        <v>0</v>
      </c>
      <c r="Z290" s="131">
        <v>0</v>
      </c>
      <c r="AA290" s="131">
        <v>0</v>
      </c>
      <c r="AB290" s="131">
        <v>0</v>
      </c>
      <c r="AC290" s="131">
        <v>0</v>
      </c>
      <c r="AD290" s="131">
        <v>0</v>
      </c>
      <c r="AE290" s="132">
        <v>0</v>
      </c>
    </row>
    <row r="291" spans="1:31" x14ac:dyDescent="0.2">
      <c r="A291" s="133">
        <v>50</v>
      </c>
      <c r="B291" s="133" t="s">
        <v>961</v>
      </c>
      <c r="C291" s="133" t="s">
        <v>1114</v>
      </c>
      <c r="D291" s="133" t="s">
        <v>1357</v>
      </c>
      <c r="E291" s="133" t="s">
        <v>1116</v>
      </c>
      <c r="F291" s="133" t="s">
        <v>1117</v>
      </c>
      <c r="G291" s="133" t="s">
        <v>1118</v>
      </c>
      <c r="H291" s="130" t="s">
        <v>1133</v>
      </c>
      <c r="I291" s="130" t="s">
        <v>1134</v>
      </c>
      <c r="J291" s="130" t="s">
        <v>1166</v>
      </c>
      <c r="K291" s="130" t="s">
        <v>1167</v>
      </c>
      <c r="L291" s="130" t="s">
        <v>1443</v>
      </c>
      <c r="M291" s="130" t="s">
        <v>1360</v>
      </c>
      <c r="N291" s="130" t="s">
        <v>168</v>
      </c>
      <c r="O291" s="130" t="s">
        <v>1361</v>
      </c>
      <c r="P291" s="130" t="s">
        <v>1362</v>
      </c>
      <c r="Q291" s="130" t="s">
        <v>1127</v>
      </c>
      <c r="R291" s="130" t="s">
        <v>1191</v>
      </c>
      <c r="S291" s="130" t="s">
        <v>1191</v>
      </c>
      <c r="T291" s="130" t="s">
        <v>1130</v>
      </c>
      <c r="U291" s="130">
        <v>0</v>
      </c>
      <c r="V291" s="131">
        <v>50000</v>
      </c>
      <c r="W291" s="131">
        <v>50000</v>
      </c>
      <c r="X291" s="131">
        <v>50000</v>
      </c>
      <c r="Y291" s="131">
        <v>0</v>
      </c>
      <c r="Z291" s="131">
        <v>50000</v>
      </c>
      <c r="AA291" s="131">
        <v>0</v>
      </c>
      <c r="AB291" s="131">
        <v>45461.25</v>
      </c>
      <c r="AC291" s="131">
        <v>4538.75</v>
      </c>
      <c r="AD291" s="131">
        <v>45461.25</v>
      </c>
      <c r="AE291" s="132">
        <v>4538.75</v>
      </c>
    </row>
    <row r="292" spans="1:31" x14ac:dyDescent="0.2">
      <c r="A292" s="130">
        <v>51</v>
      </c>
      <c r="B292" s="130" t="s">
        <v>963</v>
      </c>
      <c r="C292" s="130" t="s">
        <v>1114</v>
      </c>
      <c r="D292" s="130" t="s">
        <v>1367</v>
      </c>
      <c r="E292" s="130" t="s">
        <v>1116</v>
      </c>
      <c r="F292" s="130" t="s">
        <v>1117</v>
      </c>
      <c r="G292" s="130" t="s">
        <v>1118</v>
      </c>
      <c r="H292" s="130" t="s">
        <v>1119</v>
      </c>
      <c r="I292" s="130" t="s">
        <v>1120</v>
      </c>
      <c r="J292" s="130" t="s">
        <v>1358</v>
      </c>
      <c r="K292" s="130" t="s">
        <v>1122</v>
      </c>
      <c r="L292" s="130" t="s">
        <v>1444</v>
      </c>
      <c r="M292" s="130" t="s">
        <v>1360</v>
      </c>
      <c r="N292" s="130" t="s">
        <v>168</v>
      </c>
      <c r="O292" s="130" t="s">
        <v>1361</v>
      </c>
      <c r="P292" s="130" t="s">
        <v>1366</v>
      </c>
      <c r="Q292" s="130" t="s">
        <v>1127</v>
      </c>
      <c r="R292" s="130" t="s">
        <v>1175</v>
      </c>
      <c r="S292" s="130" t="s">
        <v>1445</v>
      </c>
      <c r="T292" s="130" t="s">
        <v>1130</v>
      </c>
      <c r="U292" s="130">
        <v>50000</v>
      </c>
      <c r="V292" s="131">
        <v>-50000</v>
      </c>
      <c r="W292" s="131">
        <v>0</v>
      </c>
      <c r="X292" s="131">
        <v>0</v>
      </c>
      <c r="Y292" s="131">
        <v>0</v>
      </c>
      <c r="Z292" s="131">
        <v>0</v>
      </c>
      <c r="AA292" s="131">
        <v>0</v>
      </c>
      <c r="AB292" s="131">
        <v>0</v>
      </c>
      <c r="AC292" s="131">
        <v>0</v>
      </c>
      <c r="AD292" s="131">
        <v>0</v>
      </c>
      <c r="AE292" s="132">
        <v>0</v>
      </c>
    </row>
    <row r="293" spans="1:31" x14ac:dyDescent="0.2">
      <c r="A293" s="133">
        <v>51</v>
      </c>
      <c r="B293" s="133" t="s">
        <v>963</v>
      </c>
      <c r="C293" s="133" t="s">
        <v>1114</v>
      </c>
      <c r="D293" s="133" t="s">
        <v>1367</v>
      </c>
      <c r="E293" s="133" t="s">
        <v>1116</v>
      </c>
      <c r="F293" s="133" t="s">
        <v>1117</v>
      </c>
      <c r="G293" s="133" t="s">
        <v>1118</v>
      </c>
      <c r="H293" s="130" t="s">
        <v>1133</v>
      </c>
      <c r="I293" s="130" t="s">
        <v>1134</v>
      </c>
      <c r="J293" s="130" t="s">
        <v>1166</v>
      </c>
      <c r="K293" s="130" t="s">
        <v>1167</v>
      </c>
      <c r="L293" s="130" t="s">
        <v>1444</v>
      </c>
      <c r="M293" s="130" t="s">
        <v>1360</v>
      </c>
      <c r="N293" s="130" t="s">
        <v>168</v>
      </c>
      <c r="O293" s="130" t="s">
        <v>1361</v>
      </c>
      <c r="P293" s="130" t="s">
        <v>1366</v>
      </c>
      <c r="Q293" s="130" t="s">
        <v>1127</v>
      </c>
      <c r="R293" s="130" t="s">
        <v>1175</v>
      </c>
      <c r="S293" s="130" t="s">
        <v>1445</v>
      </c>
      <c r="T293" s="130" t="s">
        <v>1130</v>
      </c>
      <c r="U293" s="130">
        <v>0</v>
      </c>
      <c r="V293" s="131">
        <v>0</v>
      </c>
      <c r="W293" s="131">
        <v>0</v>
      </c>
      <c r="X293" s="131">
        <v>0</v>
      </c>
      <c r="Y293" s="131">
        <v>0</v>
      </c>
      <c r="Z293" s="131">
        <v>0</v>
      </c>
      <c r="AA293" s="131">
        <v>0</v>
      </c>
      <c r="AB293" s="131">
        <v>0</v>
      </c>
      <c r="AC293" s="131">
        <v>0</v>
      </c>
      <c r="AD293" s="131">
        <v>0</v>
      </c>
      <c r="AE293" s="132">
        <v>0</v>
      </c>
    </row>
    <row r="294" spans="1:31" x14ac:dyDescent="0.2">
      <c r="A294" s="130">
        <v>52</v>
      </c>
      <c r="B294" s="130" t="s">
        <v>1446</v>
      </c>
      <c r="C294" s="130" t="s">
        <v>1114</v>
      </c>
      <c r="D294" s="130" t="s">
        <v>1367</v>
      </c>
      <c r="E294" s="130" t="s">
        <v>1116</v>
      </c>
      <c r="F294" s="130" t="s">
        <v>1117</v>
      </c>
      <c r="G294" s="130" t="s">
        <v>1118</v>
      </c>
      <c r="H294" s="130" t="s">
        <v>1119</v>
      </c>
      <c r="I294" s="130" t="s">
        <v>1120</v>
      </c>
      <c r="J294" s="130" t="s">
        <v>1358</v>
      </c>
      <c r="K294" s="130" t="s">
        <v>1122</v>
      </c>
      <c r="L294" s="130" t="s">
        <v>1447</v>
      </c>
      <c r="M294" s="130" t="s">
        <v>1360</v>
      </c>
      <c r="N294" s="130" t="s">
        <v>168</v>
      </c>
      <c r="O294" s="130" t="s">
        <v>1361</v>
      </c>
      <c r="P294" s="130" t="s">
        <v>1366</v>
      </c>
      <c r="Q294" s="130" t="s">
        <v>1127</v>
      </c>
      <c r="R294" s="130" t="s">
        <v>1448</v>
      </c>
      <c r="S294" s="130" t="s">
        <v>1449</v>
      </c>
      <c r="T294" s="130" t="s">
        <v>1130</v>
      </c>
      <c r="U294" s="130">
        <v>50000</v>
      </c>
      <c r="V294" s="131">
        <v>-50000</v>
      </c>
      <c r="W294" s="131">
        <v>0</v>
      </c>
      <c r="X294" s="131">
        <v>0</v>
      </c>
      <c r="Y294" s="131">
        <v>0</v>
      </c>
      <c r="Z294" s="131">
        <v>0</v>
      </c>
      <c r="AA294" s="131">
        <v>0</v>
      </c>
      <c r="AB294" s="131">
        <v>0</v>
      </c>
      <c r="AC294" s="131">
        <v>0</v>
      </c>
      <c r="AD294" s="131">
        <v>0</v>
      </c>
      <c r="AE294" s="132">
        <v>0</v>
      </c>
    </row>
    <row r="295" spans="1:31" x14ac:dyDescent="0.2">
      <c r="A295" s="133">
        <v>52</v>
      </c>
      <c r="B295" s="133" t="s">
        <v>1446</v>
      </c>
      <c r="C295" s="133" t="s">
        <v>1114</v>
      </c>
      <c r="D295" s="133" t="s">
        <v>1367</v>
      </c>
      <c r="E295" s="133" t="s">
        <v>1116</v>
      </c>
      <c r="F295" s="133" t="s">
        <v>1117</v>
      </c>
      <c r="G295" s="133" t="s">
        <v>1118</v>
      </c>
      <c r="H295" s="130" t="s">
        <v>1133</v>
      </c>
      <c r="I295" s="130" t="s">
        <v>1134</v>
      </c>
      <c r="J295" s="130" t="s">
        <v>1166</v>
      </c>
      <c r="K295" s="130" t="s">
        <v>1167</v>
      </c>
      <c r="L295" s="130" t="s">
        <v>1447</v>
      </c>
      <c r="M295" s="130" t="s">
        <v>1360</v>
      </c>
      <c r="N295" s="130" t="s">
        <v>168</v>
      </c>
      <c r="O295" s="130" t="s">
        <v>1361</v>
      </c>
      <c r="P295" s="130" t="s">
        <v>1366</v>
      </c>
      <c r="Q295" s="130" t="s">
        <v>1127</v>
      </c>
      <c r="R295" s="130" t="s">
        <v>1448</v>
      </c>
      <c r="S295" s="130" t="s">
        <v>1449</v>
      </c>
      <c r="T295" s="130" t="s">
        <v>1130</v>
      </c>
      <c r="U295" s="130">
        <v>0</v>
      </c>
      <c r="V295" s="131">
        <v>126982</v>
      </c>
      <c r="W295" s="131">
        <v>126982</v>
      </c>
      <c r="X295" s="131">
        <v>86625.5</v>
      </c>
      <c r="Y295" s="131">
        <v>40356.5</v>
      </c>
      <c r="Z295" s="131">
        <v>30000</v>
      </c>
      <c r="AA295" s="131">
        <v>96982</v>
      </c>
      <c r="AB295" s="131">
        <v>29774.58</v>
      </c>
      <c r="AC295" s="131">
        <v>97207.42</v>
      </c>
      <c r="AD295" s="131">
        <v>29774.58</v>
      </c>
      <c r="AE295" s="132">
        <v>97207.42</v>
      </c>
    </row>
    <row r="296" spans="1:31" x14ac:dyDescent="0.2">
      <c r="A296" s="130">
        <v>53</v>
      </c>
      <c r="B296" s="130" t="s">
        <v>964</v>
      </c>
      <c r="C296" s="130" t="s">
        <v>1114</v>
      </c>
      <c r="D296" s="130" t="s">
        <v>1367</v>
      </c>
      <c r="E296" s="130" t="s">
        <v>1116</v>
      </c>
      <c r="F296" s="130" t="s">
        <v>1117</v>
      </c>
      <c r="G296" s="130" t="s">
        <v>1118</v>
      </c>
      <c r="H296" s="130" t="s">
        <v>1119</v>
      </c>
      <c r="I296" s="130" t="s">
        <v>1120</v>
      </c>
      <c r="J296" s="130" t="s">
        <v>1358</v>
      </c>
      <c r="K296" s="130" t="s">
        <v>1122</v>
      </c>
      <c r="L296" s="130" t="s">
        <v>1450</v>
      </c>
      <c r="M296" s="130" t="s">
        <v>1360</v>
      </c>
      <c r="N296" s="130" t="s">
        <v>168</v>
      </c>
      <c r="O296" s="130" t="s">
        <v>1361</v>
      </c>
      <c r="P296" s="130" t="s">
        <v>1366</v>
      </c>
      <c r="Q296" s="130" t="s">
        <v>1127</v>
      </c>
      <c r="R296" s="130" t="s">
        <v>1434</v>
      </c>
      <c r="S296" s="130" t="s">
        <v>1435</v>
      </c>
      <c r="T296" s="130" t="s">
        <v>1130</v>
      </c>
      <c r="U296" s="130">
        <v>50000</v>
      </c>
      <c r="V296" s="131">
        <v>-50000</v>
      </c>
      <c r="W296" s="131">
        <v>0</v>
      </c>
      <c r="X296" s="131">
        <v>0</v>
      </c>
      <c r="Y296" s="131">
        <v>0</v>
      </c>
      <c r="Z296" s="131">
        <v>0</v>
      </c>
      <c r="AA296" s="131">
        <v>0</v>
      </c>
      <c r="AB296" s="131">
        <v>0</v>
      </c>
      <c r="AC296" s="131">
        <v>0</v>
      </c>
      <c r="AD296" s="131">
        <v>0</v>
      </c>
      <c r="AE296" s="132">
        <v>0</v>
      </c>
    </row>
    <row r="297" spans="1:31" x14ac:dyDescent="0.2">
      <c r="A297" s="133">
        <v>53</v>
      </c>
      <c r="B297" s="133" t="s">
        <v>964</v>
      </c>
      <c r="C297" s="133" t="s">
        <v>1114</v>
      </c>
      <c r="D297" s="133" t="s">
        <v>1367</v>
      </c>
      <c r="E297" s="133" t="s">
        <v>1116</v>
      </c>
      <c r="F297" s="133" t="s">
        <v>1117</v>
      </c>
      <c r="G297" s="133" t="s">
        <v>1118</v>
      </c>
      <c r="H297" s="130" t="s">
        <v>1133</v>
      </c>
      <c r="I297" s="130" t="s">
        <v>1134</v>
      </c>
      <c r="J297" s="130" t="s">
        <v>1166</v>
      </c>
      <c r="K297" s="130" t="s">
        <v>1167</v>
      </c>
      <c r="L297" s="130" t="s">
        <v>1450</v>
      </c>
      <c r="M297" s="130" t="s">
        <v>1360</v>
      </c>
      <c r="N297" s="130" t="s">
        <v>168</v>
      </c>
      <c r="O297" s="130" t="s">
        <v>1361</v>
      </c>
      <c r="P297" s="130" t="s">
        <v>1366</v>
      </c>
      <c r="Q297" s="130" t="s">
        <v>1127</v>
      </c>
      <c r="R297" s="130" t="s">
        <v>1434</v>
      </c>
      <c r="S297" s="130" t="s">
        <v>1435</v>
      </c>
      <c r="T297" s="130" t="s">
        <v>1130</v>
      </c>
      <c r="U297" s="130">
        <v>0</v>
      </c>
      <c r="V297" s="131">
        <v>0</v>
      </c>
      <c r="W297" s="131">
        <v>0</v>
      </c>
      <c r="X297" s="131">
        <v>0</v>
      </c>
      <c r="Y297" s="131">
        <v>0</v>
      </c>
      <c r="Z297" s="131">
        <v>0</v>
      </c>
      <c r="AA297" s="131">
        <v>0</v>
      </c>
      <c r="AB297" s="131">
        <v>0</v>
      </c>
      <c r="AC297" s="131">
        <v>0</v>
      </c>
      <c r="AD297" s="131">
        <v>0</v>
      </c>
      <c r="AE297" s="132">
        <v>0</v>
      </c>
    </row>
    <row r="298" spans="1:31" x14ac:dyDescent="0.2">
      <c r="A298" s="130">
        <v>54</v>
      </c>
      <c r="B298" s="130" t="s">
        <v>1451</v>
      </c>
      <c r="C298" s="130" t="s">
        <v>1114</v>
      </c>
      <c r="D298" s="130" t="s">
        <v>1367</v>
      </c>
      <c r="E298" s="130" t="s">
        <v>1116</v>
      </c>
      <c r="F298" s="130" t="s">
        <v>1117</v>
      </c>
      <c r="G298" s="130" t="s">
        <v>1118</v>
      </c>
      <c r="H298" s="130" t="s">
        <v>1119</v>
      </c>
      <c r="I298" s="130" t="s">
        <v>1120</v>
      </c>
      <c r="J298" s="130" t="s">
        <v>1358</v>
      </c>
      <c r="K298" s="130" t="s">
        <v>1122</v>
      </c>
      <c r="L298" s="130" t="s">
        <v>1452</v>
      </c>
      <c r="M298" s="130" t="s">
        <v>1360</v>
      </c>
      <c r="N298" s="130" t="s">
        <v>168</v>
      </c>
      <c r="O298" s="130" t="s">
        <v>1361</v>
      </c>
      <c r="P298" s="130" t="s">
        <v>1366</v>
      </c>
      <c r="Q298" s="130" t="s">
        <v>1127</v>
      </c>
      <c r="R298" s="130" t="s">
        <v>1128</v>
      </c>
      <c r="S298" s="130" t="s">
        <v>1129</v>
      </c>
      <c r="T298" s="130" t="s">
        <v>1130</v>
      </c>
      <c r="U298" s="130">
        <v>50000</v>
      </c>
      <c r="V298" s="131">
        <v>-50000</v>
      </c>
      <c r="W298" s="131">
        <v>0</v>
      </c>
      <c r="X298" s="131">
        <v>0</v>
      </c>
      <c r="Y298" s="131">
        <v>0</v>
      </c>
      <c r="Z298" s="131">
        <v>0</v>
      </c>
      <c r="AA298" s="131">
        <v>0</v>
      </c>
      <c r="AB298" s="131">
        <v>0</v>
      </c>
      <c r="AC298" s="131">
        <v>0</v>
      </c>
      <c r="AD298" s="131">
        <v>0</v>
      </c>
      <c r="AE298" s="132">
        <v>0</v>
      </c>
    </row>
    <row r="299" spans="1:31" x14ac:dyDescent="0.2">
      <c r="A299" s="133">
        <v>54</v>
      </c>
      <c r="B299" s="133" t="s">
        <v>1451</v>
      </c>
      <c r="C299" s="133" t="s">
        <v>1114</v>
      </c>
      <c r="D299" s="133" t="s">
        <v>1367</v>
      </c>
      <c r="E299" s="133" t="s">
        <v>1116</v>
      </c>
      <c r="F299" s="133" t="s">
        <v>1117</v>
      </c>
      <c r="G299" s="133" t="s">
        <v>1118</v>
      </c>
      <c r="H299" s="130" t="s">
        <v>1133</v>
      </c>
      <c r="I299" s="130" t="s">
        <v>1134</v>
      </c>
      <c r="J299" s="130" t="s">
        <v>1166</v>
      </c>
      <c r="K299" s="130" t="s">
        <v>1167</v>
      </c>
      <c r="L299" s="130" t="s">
        <v>1452</v>
      </c>
      <c r="M299" s="130" t="s">
        <v>1360</v>
      </c>
      <c r="N299" s="130" t="s">
        <v>168</v>
      </c>
      <c r="O299" s="130" t="s">
        <v>1361</v>
      </c>
      <c r="P299" s="130" t="s">
        <v>1366</v>
      </c>
      <c r="Q299" s="130" t="s">
        <v>1127</v>
      </c>
      <c r="R299" s="130" t="s">
        <v>1128</v>
      </c>
      <c r="S299" s="130" t="s">
        <v>1129</v>
      </c>
      <c r="T299" s="130" t="s">
        <v>1130</v>
      </c>
      <c r="U299" s="130">
        <v>0</v>
      </c>
      <c r="V299" s="131">
        <v>112244</v>
      </c>
      <c r="W299" s="131">
        <v>112244</v>
      </c>
      <c r="X299" s="131">
        <v>112243.56</v>
      </c>
      <c r="Y299" s="131">
        <v>0.44000000000232831</v>
      </c>
      <c r="Z299" s="131">
        <v>37061.56</v>
      </c>
      <c r="AA299" s="131">
        <v>75182.44</v>
      </c>
      <c r="AB299" s="131">
        <v>36882.92</v>
      </c>
      <c r="AC299" s="131">
        <v>75361.08</v>
      </c>
      <c r="AD299" s="131">
        <v>36882.92</v>
      </c>
      <c r="AE299" s="132">
        <v>75361.08</v>
      </c>
    </row>
    <row r="300" spans="1:31" x14ac:dyDescent="0.2">
      <c r="A300" s="130">
        <v>55</v>
      </c>
      <c r="B300" s="130" t="s">
        <v>1453</v>
      </c>
      <c r="C300" s="130" t="s">
        <v>1114</v>
      </c>
      <c r="D300" s="130" t="s">
        <v>1357</v>
      </c>
      <c r="E300" s="130" t="s">
        <v>1116</v>
      </c>
      <c r="F300" s="130" t="s">
        <v>1117</v>
      </c>
      <c r="G300" s="130" t="s">
        <v>1118</v>
      </c>
      <c r="H300" s="130" t="s">
        <v>1119</v>
      </c>
      <c r="I300" s="130" t="s">
        <v>1120</v>
      </c>
      <c r="J300" s="130" t="s">
        <v>1358</v>
      </c>
      <c r="K300" s="130" t="s">
        <v>1122</v>
      </c>
      <c r="L300" s="130" t="s">
        <v>1454</v>
      </c>
      <c r="M300" s="130" t="s">
        <v>1360</v>
      </c>
      <c r="N300" s="130" t="s">
        <v>168</v>
      </c>
      <c r="O300" s="130" t="s">
        <v>1361</v>
      </c>
      <c r="P300" s="130" t="s">
        <v>1362</v>
      </c>
      <c r="Q300" s="130" t="s">
        <v>1127</v>
      </c>
      <c r="R300" s="130" t="s">
        <v>1175</v>
      </c>
      <c r="S300" s="130" t="s">
        <v>1455</v>
      </c>
      <c r="T300" s="130" t="s">
        <v>1130</v>
      </c>
      <c r="U300" s="130">
        <v>50000</v>
      </c>
      <c r="V300" s="131">
        <v>-50000</v>
      </c>
      <c r="W300" s="131">
        <v>0</v>
      </c>
      <c r="X300" s="131">
        <v>0</v>
      </c>
      <c r="Y300" s="131">
        <v>0</v>
      </c>
      <c r="Z300" s="131">
        <v>0</v>
      </c>
      <c r="AA300" s="131">
        <v>0</v>
      </c>
      <c r="AB300" s="131">
        <v>0</v>
      </c>
      <c r="AC300" s="131">
        <v>0</v>
      </c>
      <c r="AD300" s="131">
        <v>0</v>
      </c>
      <c r="AE300" s="132">
        <v>0</v>
      </c>
    </row>
    <row r="301" spans="1:31" x14ac:dyDescent="0.2">
      <c r="A301" s="133">
        <v>55</v>
      </c>
      <c r="B301" s="133" t="s">
        <v>1453</v>
      </c>
      <c r="C301" s="133" t="s">
        <v>1114</v>
      </c>
      <c r="D301" s="133" t="s">
        <v>1357</v>
      </c>
      <c r="E301" s="133" t="s">
        <v>1116</v>
      </c>
      <c r="F301" s="133" t="s">
        <v>1117</v>
      </c>
      <c r="G301" s="133" t="s">
        <v>1118</v>
      </c>
      <c r="H301" s="130" t="s">
        <v>1133</v>
      </c>
      <c r="I301" s="130" t="s">
        <v>1134</v>
      </c>
      <c r="J301" s="130" t="s">
        <v>1166</v>
      </c>
      <c r="K301" s="130" t="s">
        <v>1167</v>
      </c>
      <c r="L301" s="130" t="s">
        <v>1454</v>
      </c>
      <c r="M301" s="130" t="s">
        <v>1360</v>
      </c>
      <c r="N301" s="130" t="s">
        <v>168</v>
      </c>
      <c r="O301" s="130" t="s">
        <v>1361</v>
      </c>
      <c r="P301" s="130" t="s">
        <v>1362</v>
      </c>
      <c r="Q301" s="130" t="s">
        <v>1127</v>
      </c>
      <c r="R301" s="130" t="s">
        <v>1175</v>
      </c>
      <c r="S301" s="130" t="s">
        <v>1455</v>
      </c>
      <c r="T301" s="130" t="s">
        <v>1130</v>
      </c>
      <c r="U301" s="130">
        <v>0</v>
      </c>
      <c r="V301" s="131">
        <v>164979</v>
      </c>
      <c r="W301" s="131">
        <v>164979</v>
      </c>
      <c r="X301" s="131">
        <v>116123</v>
      </c>
      <c r="Y301" s="131">
        <v>48856</v>
      </c>
      <c r="Z301" s="131">
        <v>94523</v>
      </c>
      <c r="AA301" s="131">
        <v>70456</v>
      </c>
      <c r="AB301" s="131">
        <v>54126.73</v>
      </c>
      <c r="AC301" s="131">
        <v>110852.26999999999</v>
      </c>
      <c r="AD301" s="131">
        <v>40056.729999999996</v>
      </c>
      <c r="AE301" s="132">
        <v>124922.27</v>
      </c>
    </row>
    <row r="302" spans="1:31" x14ac:dyDescent="0.2">
      <c r="A302" s="130">
        <v>56</v>
      </c>
      <c r="B302" s="130" t="s">
        <v>1456</v>
      </c>
      <c r="C302" s="130" t="s">
        <v>1114</v>
      </c>
      <c r="D302" s="130" t="s">
        <v>1357</v>
      </c>
      <c r="E302" s="130" t="s">
        <v>1116</v>
      </c>
      <c r="F302" s="130" t="s">
        <v>1117</v>
      </c>
      <c r="G302" s="130" t="s">
        <v>1118</v>
      </c>
      <c r="H302" s="130" t="s">
        <v>1119</v>
      </c>
      <c r="I302" s="130" t="s">
        <v>1120</v>
      </c>
      <c r="J302" s="130" t="s">
        <v>1358</v>
      </c>
      <c r="K302" s="130" t="s">
        <v>1122</v>
      </c>
      <c r="L302" s="130" t="s">
        <v>1457</v>
      </c>
      <c r="M302" s="130" t="s">
        <v>1360</v>
      </c>
      <c r="N302" s="130" t="s">
        <v>168</v>
      </c>
      <c r="O302" s="130" t="s">
        <v>1361</v>
      </c>
      <c r="P302" s="130" t="s">
        <v>1362</v>
      </c>
      <c r="Q302" s="130" t="s">
        <v>1127</v>
      </c>
      <c r="R302" s="130" t="s">
        <v>1175</v>
      </c>
      <c r="S302" s="130" t="s">
        <v>1455</v>
      </c>
      <c r="T302" s="130" t="s">
        <v>1130</v>
      </c>
      <c r="U302" s="130">
        <v>50000</v>
      </c>
      <c r="V302" s="131">
        <v>-50000</v>
      </c>
      <c r="W302" s="131">
        <v>0</v>
      </c>
      <c r="X302" s="131">
        <v>0</v>
      </c>
      <c r="Y302" s="131">
        <v>0</v>
      </c>
      <c r="Z302" s="131">
        <v>0</v>
      </c>
      <c r="AA302" s="131">
        <v>0</v>
      </c>
      <c r="AB302" s="131">
        <v>0</v>
      </c>
      <c r="AC302" s="131">
        <v>0</v>
      </c>
      <c r="AD302" s="131">
        <v>0</v>
      </c>
      <c r="AE302" s="132">
        <v>0</v>
      </c>
    </row>
    <row r="303" spans="1:31" x14ac:dyDescent="0.2">
      <c r="A303" s="133">
        <v>56</v>
      </c>
      <c r="B303" s="133" t="s">
        <v>1456</v>
      </c>
      <c r="C303" s="133" t="s">
        <v>1114</v>
      </c>
      <c r="D303" s="133" t="s">
        <v>1357</v>
      </c>
      <c r="E303" s="133" t="s">
        <v>1116</v>
      </c>
      <c r="F303" s="133" t="s">
        <v>1117</v>
      </c>
      <c r="G303" s="133" t="s">
        <v>1118</v>
      </c>
      <c r="H303" s="130" t="s">
        <v>1133</v>
      </c>
      <c r="I303" s="130" t="s">
        <v>1134</v>
      </c>
      <c r="J303" s="130" t="s">
        <v>1166</v>
      </c>
      <c r="K303" s="130" t="s">
        <v>1167</v>
      </c>
      <c r="L303" s="130" t="s">
        <v>1457</v>
      </c>
      <c r="M303" s="130" t="s">
        <v>1360</v>
      </c>
      <c r="N303" s="130" t="s">
        <v>168</v>
      </c>
      <c r="O303" s="130" t="s">
        <v>1361</v>
      </c>
      <c r="P303" s="130" t="s">
        <v>1362</v>
      </c>
      <c r="Q303" s="130" t="s">
        <v>1127</v>
      </c>
      <c r="R303" s="130" t="s">
        <v>1175</v>
      </c>
      <c r="S303" s="130" t="s">
        <v>1455</v>
      </c>
      <c r="T303" s="130" t="s">
        <v>1130</v>
      </c>
      <c r="U303" s="130">
        <v>0</v>
      </c>
      <c r="V303" s="131">
        <v>99897</v>
      </c>
      <c r="W303" s="131">
        <v>99897</v>
      </c>
      <c r="X303" s="131">
        <v>75562</v>
      </c>
      <c r="Y303" s="131">
        <v>24335</v>
      </c>
      <c r="Z303" s="131">
        <v>30000</v>
      </c>
      <c r="AA303" s="131">
        <v>69897</v>
      </c>
      <c r="AB303" s="131">
        <v>21628.78</v>
      </c>
      <c r="AC303" s="131">
        <v>78268.22</v>
      </c>
      <c r="AD303" s="131">
        <v>21628.78</v>
      </c>
      <c r="AE303" s="132">
        <v>78268.22</v>
      </c>
    </row>
    <row r="304" spans="1:31" x14ac:dyDescent="0.2">
      <c r="A304" s="130">
        <v>57</v>
      </c>
      <c r="B304" s="130" t="s">
        <v>965</v>
      </c>
      <c r="C304" s="130" t="s">
        <v>1114</v>
      </c>
      <c r="D304" s="130" t="s">
        <v>1367</v>
      </c>
      <c r="E304" s="130" t="s">
        <v>1116</v>
      </c>
      <c r="F304" s="130" t="s">
        <v>1117</v>
      </c>
      <c r="G304" s="130" t="s">
        <v>1118</v>
      </c>
      <c r="H304" s="130" t="s">
        <v>1119</v>
      </c>
      <c r="I304" s="130" t="s">
        <v>1120</v>
      </c>
      <c r="J304" s="130" t="s">
        <v>1358</v>
      </c>
      <c r="K304" s="130" t="s">
        <v>1122</v>
      </c>
      <c r="L304" s="130" t="s">
        <v>1458</v>
      </c>
      <c r="M304" s="130" t="s">
        <v>1360</v>
      </c>
      <c r="N304" s="130" t="s">
        <v>168</v>
      </c>
      <c r="O304" s="130" t="s">
        <v>1361</v>
      </c>
      <c r="P304" s="130" t="s">
        <v>1366</v>
      </c>
      <c r="Q304" s="130" t="s">
        <v>1127</v>
      </c>
      <c r="R304" s="130" t="s">
        <v>1175</v>
      </c>
      <c r="S304" s="130" t="s">
        <v>1455</v>
      </c>
      <c r="T304" s="130" t="s">
        <v>1130</v>
      </c>
      <c r="U304" s="130">
        <v>50000</v>
      </c>
      <c r="V304" s="131">
        <v>-50000</v>
      </c>
      <c r="W304" s="131">
        <v>0</v>
      </c>
      <c r="X304" s="131">
        <v>0</v>
      </c>
      <c r="Y304" s="131">
        <v>0</v>
      </c>
      <c r="Z304" s="131">
        <v>0</v>
      </c>
      <c r="AA304" s="131">
        <v>0</v>
      </c>
      <c r="AB304" s="131">
        <v>0</v>
      </c>
      <c r="AC304" s="131">
        <v>0</v>
      </c>
      <c r="AD304" s="131">
        <v>0</v>
      </c>
      <c r="AE304" s="132">
        <v>0</v>
      </c>
    </row>
    <row r="305" spans="1:31" x14ac:dyDescent="0.2">
      <c r="A305" s="133">
        <v>57</v>
      </c>
      <c r="B305" s="133" t="s">
        <v>965</v>
      </c>
      <c r="C305" s="133" t="s">
        <v>1114</v>
      </c>
      <c r="D305" s="133" t="s">
        <v>1367</v>
      </c>
      <c r="E305" s="133" t="s">
        <v>1116</v>
      </c>
      <c r="F305" s="133" t="s">
        <v>1117</v>
      </c>
      <c r="G305" s="133" t="s">
        <v>1118</v>
      </c>
      <c r="H305" s="130" t="s">
        <v>1133</v>
      </c>
      <c r="I305" s="130" t="s">
        <v>1134</v>
      </c>
      <c r="J305" s="130" t="s">
        <v>1166</v>
      </c>
      <c r="K305" s="130" t="s">
        <v>1167</v>
      </c>
      <c r="L305" s="130" t="s">
        <v>1458</v>
      </c>
      <c r="M305" s="130" t="s">
        <v>1360</v>
      </c>
      <c r="N305" s="130" t="s">
        <v>168</v>
      </c>
      <c r="O305" s="130" t="s">
        <v>1361</v>
      </c>
      <c r="P305" s="130" t="s">
        <v>1366</v>
      </c>
      <c r="Q305" s="130" t="s">
        <v>1127</v>
      </c>
      <c r="R305" s="130" t="s">
        <v>1175</v>
      </c>
      <c r="S305" s="130" t="s">
        <v>1455</v>
      </c>
      <c r="T305" s="130" t="s">
        <v>1130</v>
      </c>
      <c r="U305" s="130">
        <v>0</v>
      </c>
      <c r="V305" s="131">
        <v>50000</v>
      </c>
      <c r="W305" s="131">
        <v>50000</v>
      </c>
      <c r="X305" s="131">
        <v>50000</v>
      </c>
      <c r="Y305" s="131">
        <v>0</v>
      </c>
      <c r="Z305" s="131">
        <v>50000</v>
      </c>
      <c r="AA305" s="131">
        <v>0</v>
      </c>
      <c r="AB305" s="131">
        <v>50000</v>
      </c>
      <c r="AC305" s="131">
        <v>0</v>
      </c>
      <c r="AD305" s="131">
        <v>50000</v>
      </c>
      <c r="AE305" s="132">
        <v>0</v>
      </c>
    </row>
    <row r="306" spans="1:31" x14ac:dyDescent="0.2">
      <c r="A306" s="130">
        <v>58</v>
      </c>
      <c r="B306" s="130" t="s">
        <v>966</v>
      </c>
      <c r="C306" s="130" t="s">
        <v>1114</v>
      </c>
      <c r="D306" s="130" t="s">
        <v>1357</v>
      </c>
      <c r="E306" s="130" t="s">
        <v>1116</v>
      </c>
      <c r="F306" s="130" t="s">
        <v>1117</v>
      </c>
      <c r="G306" s="130" t="s">
        <v>1118</v>
      </c>
      <c r="H306" s="130" t="s">
        <v>1119</v>
      </c>
      <c r="I306" s="130" t="s">
        <v>1120</v>
      </c>
      <c r="J306" s="130" t="s">
        <v>1358</v>
      </c>
      <c r="K306" s="130" t="s">
        <v>1122</v>
      </c>
      <c r="L306" s="130" t="s">
        <v>1459</v>
      </c>
      <c r="M306" s="130" t="s">
        <v>1360</v>
      </c>
      <c r="N306" s="130" t="s">
        <v>168</v>
      </c>
      <c r="O306" s="130" t="s">
        <v>1361</v>
      </c>
      <c r="P306" s="130" t="s">
        <v>1362</v>
      </c>
      <c r="Q306" s="130" t="s">
        <v>1127</v>
      </c>
      <c r="R306" s="130" t="s">
        <v>1409</v>
      </c>
      <c r="S306" s="130" t="s">
        <v>1460</v>
      </c>
      <c r="T306" s="130" t="s">
        <v>1130</v>
      </c>
      <c r="U306" s="130">
        <v>50000</v>
      </c>
      <c r="V306" s="131">
        <v>-50000</v>
      </c>
      <c r="W306" s="131">
        <v>0</v>
      </c>
      <c r="X306" s="131">
        <v>0</v>
      </c>
      <c r="Y306" s="131">
        <v>0</v>
      </c>
      <c r="Z306" s="131">
        <v>0</v>
      </c>
      <c r="AA306" s="131">
        <v>0</v>
      </c>
      <c r="AB306" s="131">
        <v>0</v>
      </c>
      <c r="AC306" s="131">
        <v>0</v>
      </c>
      <c r="AD306" s="131">
        <v>0</v>
      </c>
      <c r="AE306" s="132">
        <v>0</v>
      </c>
    </row>
    <row r="307" spans="1:31" x14ac:dyDescent="0.2">
      <c r="A307" s="133">
        <v>58</v>
      </c>
      <c r="B307" s="133" t="s">
        <v>966</v>
      </c>
      <c r="C307" s="133" t="s">
        <v>1114</v>
      </c>
      <c r="D307" s="133" t="s">
        <v>1357</v>
      </c>
      <c r="E307" s="133" t="s">
        <v>1116</v>
      </c>
      <c r="F307" s="133" t="s">
        <v>1117</v>
      </c>
      <c r="G307" s="133" t="s">
        <v>1118</v>
      </c>
      <c r="H307" s="130" t="s">
        <v>1133</v>
      </c>
      <c r="I307" s="130" t="s">
        <v>1134</v>
      </c>
      <c r="J307" s="130" t="s">
        <v>1166</v>
      </c>
      <c r="K307" s="130" t="s">
        <v>1167</v>
      </c>
      <c r="L307" s="130" t="s">
        <v>1459</v>
      </c>
      <c r="M307" s="130" t="s">
        <v>1360</v>
      </c>
      <c r="N307" s="130" t="s">
        <v>168</v>
      </c>
      <c r="O307" s="130" t="s">
        <v>1361</v>
      </c>
      <c r="P307" s="130" t="s">
        <v>1362</v>
      </c>
      <c r="Q307" s="130" t="s">
        <v>1127</v>
      </c>
      <c r="R307" s="130" t="s">
        <v>1409</v>
      </c>
      <c r="S307" s="130" t="s">
        <v>1460</v>
      </c>
      <c r="T307" s="130" t="s">
        <v>1130</v>
      </c>
      <c r="U307" s="130">
        <v>0</v>
      </c>
      <c r="V307" s="131">
        <v>0</v>
      </c>
      <c r="W307" s="131">
        <v>0</v>
      </c>
      <c r="X307" s="131">
        <v>0</v>
      </c>
      <c r="Y307" s="131">
        <v>0</v>
      </c>
      <c r="Z307" s="131">
        <v>0</v>
      </c>
      <c r="AA307" s="131">
        <v>0</v>
      </c>
      <c r="AB307" s="131">
        <v>0</v>
      </c>
      <c r="AC307" s="131">
        <v>0</v>
      </c>
      <c r="AD307" s="131">
        <v>0</v>
      </c>
      <c r="AE307" s="132">
        <v>0</v>
      </c>
    </row>
    <row r="308" spans="1:31" x14ac:dyDescent="0.2">
      <c r="A308" s="130">
        <v>59</v>
      </c>
      <c r="B308" s="130" t="s">
        <v>131</v>
      </c>
      <c r="C308" s="130" t="s">
        <v>1147</v>
      </c>
      <c r="D308" s="130" t="s">
        <v>1461</v>
      </c>
      <c r="E308" s="130" t="s">
        <v>1116</v>
      </c>
      <c r="F308" s="130" t="s">
        <v>1117</v>
      </c>
      <c r="G308" s="130" t="s">
        <v>1118</v>
      </c>
      <c r="H308" s="130" t="s">
        <v>1159</v>
      </c>
      <c r="I308" s="130" t="s">
        <v>1160</v>
      </c>
      <c r="J308" s="130" t="s">
        <v>1163</v>
      </c>
      <c r="K308" s="130" t="s">
        <v>1164</v>
      </c>
      <c r="L308" s="130" t="s">
        <v>1462</v>
      </c>
      <c r="M308" s="130" t="s">
        <v>1463</v>
      </c>
      <c r="N308" s="130" t="s">
        <v>130</v>
      </c>
      <c r="O308" s="130" t="s">
        <v>1464</v>
      </c>
      <c r="P308" s="130" t="s">
        <v>1465</v>
      </c>
      <c r="Q308" s="130" t="s">
        <v>1127</v>
      </c>
      <c r="R308" s="130" t="s">
        <v>1187</v>
      </c>
      <c r="S308" s="130" t="s">
        <v>1157</v>
      </c>
      <c r="T308" s="130" t="s">
        <v>1329</v>
      </c>
      <c r="U308" s="130">
        <v>0</v>
      </c>
      <c r="V308" s="131">
        <v>32820</v>
      </c>
      <c r="W308" s="131">
        <v>32820</v>
      </c>
      <c r="X308" s="131">
        <v>8760</v>
      </c>
      <c r="Y308" s="131">
        <v>24060</v>
      </c>
      <c r="Z308" s="131">
        <v>8760</v>
      </c>
      <c r="AA308" s="131">
        <v>24060</v>
      </c>
      <c r="AB308" s="131">
        <v>8759.4</v>
      </c>
      <c r="AC308" s="131">
        <v>24060.6</v>
      </c>
      <c r="AD308" s="131">
        <v>8759.4</v>
      </c>
      <c r="AE308" s="132">
        <v>24060.6</v>
      </c>
    </row>
    <row r="309" spans="1:31" x14ac:dyDescent="0.2">
      <c r="A309" s="133">
        <v>59</v>
      </c>
      <c r="B309" s="133" t="s">
        <v>131</v>
      </c>
      <c r="C309" s="133" t="s">
        <v>1147</v>
      </c>
      <c r="D309" s="133" t="s">
        <v>1461</v>
      </c>
      <c r="E309" s="133" t="s">
        <v>1116</v>
      </c>
      <c r="F309" s="133" t="s">
        <v>1117</v>
      </c>
      <c r="G309" s="133" t="s">
        <v>1118</v>
      </c>
      <c r="H309" s="133" t="s">
        <v>1159</v>
      </c>
      <c r="I309" s="133" t="s">
        <v>1160</v>
      </c>
      <c r="J309" s="133" t="s">
        <v>1163</v>
      </c>
      <c r="K309" s="130" t="s">
        <v>1165</v>
      </c>
      <c r="L309" s="130" t="s">
        <v>1462</v>
      </c>
      <c r="M309" s="130" t="s">
        <v>1463</v>
      </c>
      <c r="N309" s="130" t="s">
        <v>130</v>
      </c>
      <c r="O309" s="130" t="s">
        <v>1464</v>
      </c>
      <c r="P309" s="130" t="s">
        <v>1465</v>
      </c>
      <c r="Q309" s="130" t="s">
        <v>1127</v>
      </c>
      <c r="R309" s="130" t="s">
        <v>1187</v>
      </c>
      <c r="S309" s="130" t="s">
        <v>1157</v>
      </c>
      <c r="T309" s="130" t="s">
        <v>1329</v>
      </c>
      <c r="U309" s="130">
        <v>100560</v>
      </c>
      <c r="V309" s="131">
        <v>315540</v>
      </c>
      <c r="W309" s="131">
        <v>416100</v>
      </c>
      <c r="X309" s="131">
        <v>416100</v>
      </c>
      <c r="Y309" s="131">
        <v>0</v>
      </c>
      <c r="Z309" s="131">
        <v>415758.94</v>
      </c>
      <c r="AA309" s="131">
        <v>341.05999999999767</v>
      </c>
      <c r="AB309" s="131">
        <v>1137.8</v>
      </c>
      <c r="AC309" s="131">
        <v>414962.2</v>
      </c>
      <c r="AD309" s="131">
        <v>1137.8</v>
      </c>
      <c r="AE309" s="132">
        <v>414962.2</v>
      </c>
    </row>
    <row r="310" spans="1:31" x14ac:dyDescent="0.2">
      <c r="A310" s="133">
        <v>59</v>
      </c>
      <c r="B310" s="133" t="s">
        <v>131</v>
      </c>
      <c r="C310" s="133" t="s">
        <v>1147</v>
      </c>
      <c r="D310" s="133" t="s">
        <v>1461</v>
      </c>
      <c r="E310" s="133" t="s">
        <v>1116</v>
      </c>
      <c r="F310" s="133" t="s">
        <v>1117</v>
      </c>
      <c r="G310" s="133" t="s">
        <v>1118</v>
      </c>
      <c r="H310" s="133" t="s">
        <v>1159</v>
      </c>
      <c r="I310" s="133" t="s">
        <v>1160</v>
      </c>
      <c r="J310" s="133" t="s">
        <v>1163</v>
      </c>
      <c r="K310" s="130" t="s">
        <v>1162</v>
      </c>
      <c r="L310" s="130" t="s">
        <v>1462</v>
      </c>
      <c r="M310" s="130" t="s">
        <v>1463</v>
      </c>
      <c r="N310" s="130" t="s">
        <v>130</v>
      </c>
      <c r="O310" s="130" t="s">
        <v>1464</v>
      </c>
      <c r="P310" s="130" t="s">
        <v>1465</v>
      </c>
      <c r="Q310" s="130" t="s">
        <v>1127</v>
      </c>
      <c r="R310" s="130" t="s">
        <v>1187</v>
      </c>
      <c r="S310" s="130" t="s">
        <v>1157</v>
      </c>
      <c r="T310" s="130" t="s">
        <v>1329</v>
      </c>
      <c r="U310" s="130">
        <v>0</v>
      </c>
      <c r="V310" s="131">
        <v>96840</v>
      </c>
      <c r="W310" s="131">
        <v>96840</v>
      </c>
      <c r="X310" s="131">
        <v>65600</v>
      </c>
      <c r="Y310" s="131">
        <v>31240</v>
      </c>
      <c r="Z310" s="131">
        <v>65600</v>
      </c>
      <c r="AA310" s="131">
        <v>31240</v>
      </c>
      <c r="AB310" s="131">
        <v>65600</v>
      </c>
      <c r="AC310" s="131">
        <v>31240</v>
      </c>
      <c r="AD310" s="131">
        <v>29600</v>
      </c>
      <c r="AE310" s="132">
        <v>67240</v>
      </c>
    </row>
    <row r="311" spans="1:31" x14ac:dyDescent="0.2">
      <c r="A311" s="133">
        <v>59</v>
      </c>
      <c r="B311" s="133" t="s">
        <v>131</v>
      </c>
      <c r="C311" s="133" t="s">
        <v>1147</v>
      </c>
      <c r="D311" s="133" t="s">
        <v>1461</v>
      </c>
      <c r="E311" s="133" t="s">
        <v>1116</v>
      </c>
      <c r="F311" s="133" t="s">
        <v>1117</v>
      </c>
      <c r="G311" s="133" t="s">
        <v>1118</v>
      </c>
      <c r="H311" s="130" t="s">
        <v>1133</v>
      </c>
      <c r="I311" s="130" t="s">
        <v>1134</v>
      </c>
      <c r="J311" s="130" t="s">
        <v>1135</v>
      </c>
      <c r="K311" s="130" t="s">
        <v>1178</v>
      </c>
      <c r="L311" s="130" t="s">
        <v>1462</v>
      </c>
      <c r="M311" s="130" t="s">
        <v>1463</v>
      </c>
      <c r="N311" s="130" t="s">
        <v>130</v>
      </c>
      <c r="O311" s="130" t="s">
        <v>1464</v>
      </c>
      <c r="P311" s="130" t="s">
        <v>1465</v>
      </c>
      <c r="Q311" s="130" t="s">
        <v>1127</v>
      </c>
      <c r="R311" s="130" t="s">
        <v>1187</v>
      </c>
      <c r="S311" s="130" t="s">
        <v>1157</v>
      </c>
      <c r="T311" s="130" t="s">
        <v>1329</v>
      </c>
      <c r="U311" s="130">
        <v>0</v>
      </c>
      <c r="V311" s="131">
        <v>4800</v>
      </c>
      <c r="W311" s="131">
        <v>4800</v>
      </c>
      <c r="X311" s="131">
        <v>4800</v>
      </c>
      <c r="Y311" s="131">
        <v>0</v>
      </c>
      <c r="Z311" s="131">
        <v>4800</v>
      </c>
      <c r="AA311" s="131">
        <v>0</v>
      </c>
      <c r="AB311" s="131">
        <v>4682.8900000000003</v>
      </c>
      <c r="AC311" s="131">
        <v>117.10999999999967</v>
      </c>
      <c r="AD311" s="131">
        <v>4682.8900000000003</v>
      </c>
      <c r="AE311" s="132">
        <v>117.10999999999967</v>
      </c>
    </row>
    <row r="312" spans="1:31" x14ac:dyDescent="0.2">
      <c r="A312" s="130">
        <v>60</v>
      </c>
      <c r="B312" s="130" t="s">
        <v>1466</v>
      </c>
      <c r="C312" s="130" t="s">
        <v>1147</v>
      </c>
      <c r="D312" s="130" t="s">
        <v>1346</v>
      </c>
      <c r="E312" s="130" t="s">
        <v>1116</v>
      </c>
      <c r="F312" s="130" t="s">
        <v>1117</v>
      </c>
      <c r="G312" s="130" t="s">
        <v>1118</v>
      </c>
      <c r="H312" s="130" t="s">
        <v>1119</v>
      </c>
      <c r="I312" s="130" t="s">
        <v>1169</v>
      </c>
      <c r="J312" s="130" t="s">
        <v>1170</v>
      </c>
      <c r="K312" s="130" t="s">
        <v>1131</v>
      </c>
      <c r="L312" s="130" t="s">
        <v>1467</v>
      </c>
      <c r="M312" s="130" t="s">
        <v>1463</v>
      </c>
      <c r="N312" s="130" t="s">
        <v>130</v>
      </c>
      <c r="O312" s="130" t="s">
        <v>1464</v>
      </c>
      <c r="P312" s="130" t="s">
        <v>1465</v>
      </c>
      <c r="Q312" s="130" t="s">
        <v>1127</v>
      </c>
      <c r="R312" s="130" t="s">
        <v>1187</v>
      </c>
      <c r="S312" s="130" t="s">
        <v>1157</v>
      </c>
      <c r="T312" s="130" t="s">
        <v>1468</v>
      </c>
      <c r="U312" s="130">
        <v>0</v>
      </c>
      <c r="V312" s="131">
        <v>741556</v>
      </c>
      <c r="W312" s="131">
        <v>741556</v>
      </c>
      <c r="X312" s="131">
        <v>741556</v>
      </c>
      <c r="Y312" s="131">
        <v>0</v>
      </c>
      <c r="Z312" s="131">
        <v>741536</v>
      </c>
      <c r="AA312" s="131">
        <v>20</v>
      </c>
      <c r="AB312" s="131">
        <v>604077.70000000007</v>
      </c>
      <c r="AC312" s="131">
        <v>137478.29999999993</v>
      </c>
      <c r="AD312" s="131">
        <v>604077.70000000007</v>
      </c>
      <c r="AE312" s="132">
        <v>137478.29999999993</v>
      </c>
    </row>
    <row r="313" spans="1:31" x14ac:dyDescent="0.2">
      <c r="A313" s="133">
        <v>60</v>
      </c>
      <c r="B313" s="133" t="s">
        <v>1466</v>
      </c>
      <c r="C313" s="133" t="s">
        <v>1147</v>
      </c>
      <c r="D313" s="133" t="s">
        <v>1346</v>
      </c>
      <c r="E313" s="133" t="s">
        <v>1116</v>
      </c>
      <c r="F313" s="133" t="s">
        <v>1117</v>
      </c>
      <c r="G313" s="133" t="s">
        <v>1118</v>
      </c>
      <c r="H313" s="133" t="s">
        <v>1119</v>
      </c>
      <c r="I313" s="133" t="s">
        <v>1169</v>
      </c>
      <c r="J313" s="133" t="s">
        <v>1170</v>
      </c>
      <c r="K313" s="130" t="s">
        <v>1177</v>
      </c>
      <c r="L313" s="130" t="s">
        <v>1467</v>
      </c>
      <c r="M313" s="130" t="s">
        <v>1463</v>
      </c>
      <c r="N313" s="130" t="s">
        <v>130</v>
      </c>
      <c r="O313" s="130" t="s">
        <v>1464</v>
      </c>
      <c r="P313" s="130" t="s">
        <v>1465</v>
      </c>
      <c r="Q313" s="130" t="s">
        <v>1127</v>
      </c>
      <c r="R313" s="130" t="s">
        <v>1187</v>
      </c>
      <c r="S313" s="130" t="s">
        <v>1157</v>
      </c>
      <c r="T313" s="130" t="s">
        <v>1468</v>
      </c>
      <c r="U313" s="130">
        <v>0</v>
      </c>
      <c r="V313" s="131">
        <v>2772582</v>
      </c>
      <c r="W313" s="131">
        <v>2772582</v>
      </c>
      <c r="X313" s="131">
        <v>2558952.0699999998</v>
      </c>
      <c r="Y313" s="131">
        <v>213629.93000000017</v>
      </c>
      <c r="Z313" s="131">
        <v>940783.7</v>
      </c>
      <c r="AA313" s="131">
        <v>1831798.3</v>
      </c>
      <c r="AB313" s="131">
        <v>919343.70000000007</v>
      </c>
      <c r="AC313" s="131">
        <v>1853238.2999999998</v>
      </c>
      <c r="AD313" s="131">
        <v>735027.83</v>
      </c>
      <c r="AE313" s="132">
        <v>2037554.17</v>
      </c>
    </row>
    <row r="314" spans="1:31" x14ac:dyDescent="0.2">
      <c r="A314" s="133">
        <v>60</v>
      </c>
      <c r="B314" s="133" t="s">
        <v>1466</v>
      </c>
      <c r="C314" s="133" t="s">
        <v>1147</v>
      </c>
      <c r="D314" s="133" t="s">
        <v>1346</v>
      </c>
      <c r="E314" s="133" t="s">
        <v>1116</v>
      </c>
      <c r="F314" s="133" t="s">
        <v>1117</v>
      </c>
      <c r="G314" s="133" t="s">
        <v>1118</v>
      </c>
      <c r="H314" s="133" t="s">
        <v>1119</v>
      </c>
      <c r="I314" s="133" t="s">
        <v>1169</v>
      </c>
      <c r="J314" s="133" t="s">
        <v>1170</v>
      </c>
      <c r="K314" s="130" t="s">
        <v>1132</v>
      </c>
      <c r="L314" s="130" t="s">
        <v>1467</v>
      </c>
      <c r="M314" s="130" t="s">
        <v>1463</v>
      </c>
      <c r="N314" s="130" t="s">
        <v>130</v>
      </c>
      <c r="O314" s="130" t="s">
        <v>1464</v>
      </c>
      <c r="P314" s="130" t="s">
        <v>1465</v>
      </c>
      <c r="Q314" s="130" t="s">
        <v>1127</v>
      </c>
      <c r="R314" s="130" t="s">
        <v>1187</v>
      </c>
      <c r="S314" s="130" t="s">
        <v>1157</v>
      </c>
      <c r="T314" s="130" t="s">
        <v>1468</v>
      </c>
      <c r="U314" s="130">
        <v>0</v>
      </c>
      <c r="V314" s="131">
        <v>104082</v>
      </c>
      <c r="W314" s="131">
        <v>104082</v>
      </c>
      <c r="X314" s="131">
        <v>101336.2</v>
      </c>
      <c r="Y314" s="131">
        <v>2745.8000000000029</v>
      </c>
      <c r="Z314" s="131">
        <v>101289.04</v>
      </c>
      <c r="AA314" s="131">
        <v>2792.9600000000064</v>
      </c>
      <c r="AB314" s="131">
        <v>101289.04000000001</v>
      </c>
      <c r="AC314" s="131">
        <v>2792.9599999999919</v>
      </c>
      <c r="AD314" s="131">
        <v>43593.84</v>
      </c>
      <c r="AE314" s="132">
        <v>60488.160000000003</v>
      </c>
    </row>
    <row r="315" spans="1:31" x14ac:dyDescent="0.2">
      <c r="A315" s="133">
        <v>60</v>
      </c>
      <c r="B315" s="133" t="s">
        <v>1466</v>
      </c>
      <c r="C315" s="133" t="s">
        <v>1147</v>
      </c>
      <c r="D315" s="133" t="s">
        <v>1346</v>
      </c>
      <c r="E315" s="133" t="s">
        <v>1116</v>
      </c>
      <c r="F315" s="133" t="s">
        <v>1117</v>
      </c>
      <c r="G315" s="133" t="s">
        <v>1118</v>
      </c>
      <c r="H315" s="130" t="s">
        <v>1149</v>
      </c>
      <c r="I315" s="130" t="s">
        <v>1150</v>
      </c>
      <c r="J315" s="130" t="s">
        <v>1150</v>
      </c>
      <c r="K315" s="130" t="s">
        <v>1151</v>
      </c>
      <c r="L315" s="130" t="s">
        <v>1467</v>
      </c>
      <c r="M315" s="130" t="s">
        <v>1463</v>
      </c>
      <c r="N315" s="130" t="s">
        <v>130</v>
      </c>
      <c r="O315" s="130" t="s">
        <v>1464</v>
      </c>
      <c r="P315" s="130" t="s">
        <v>1465</v>
      </c>
      <c r="Q315" s="130" t="s">
        <v>1127</v>
      </c>
      <c r="R315" s="130" t="s">
        <v>1187</v>
      </c>
      <c r="S315" s="130" t="s">
        <v>1157</v>
      </c>
      <c r="T315" s="130" t="s">
        <v>1468</v>
      </c>
      <c r="U315" s="130">
        <v>0</v>
      </c>
      <c r="V315" s="131">
        <v>0</v>
      </c>
      <c r="W315" s="131">
        <v>0</v>
      </c>
      <c r="X315" s="131">
        <v>0</v>
      </c>
      <c r="Y315" s="131">
        <v>0</v>
      </c>
      <c r="Z315" s="131">
        <v>0</v>
      </c>
      <c r="AA315" s="131">
        <v>0</v>
      </c>
      <c r="AB315" s="131">
        <v>0</v>
      </c>
      <c r="AC315" s="131">
        <v>0</v>
      </c>
      <c r="AD315" s="131">
        <v>0</v>
      </c>
      <c r="AE315" s="132">
        <v>0</v>
      </c>
    </row>
    <row r="316" spans="1:31" x14ac:dyDescent="0.2">
      <c r="A316" s="133">
        <v>60</v>
      </c>
      <c r="B316" s="133" t="s">
        <v>1466</v>
      </c>
      <c r="C316" s="133" t="s">
        <v>1147</v>
      </c>
      <c r="D316" s="133" t="s">
        <v>1346</v>
      </c>
      <c r="E316" s="133" t="s">
        <v>1116</v>
      </c>
      <c r="F316" s="133" t="s">
        <v>1117</v>
      </c>
      <c r="G316" s="133" t="s">
        <v>1118</v>
      </c>
      <c r="H316" s="133" t="s">
        <v>1149</v>
      </c>
      <c r="I316" s="133" t="s">
        <v>1150</v>
      </c>
      <c r="J316" s="133" t="s">
        <v>1150</v>
      </c>
      <c r="K316" s="130" t="s">
        <v>1469</v>
      </c>
      <c r="L316" s="130" t="s">
        <v>1467</v>
      </c>
      <c r="M316" s="130" t="s">
        <v>1463</v>
      </c>
      <c r="N316" s="130" t="s">
        <v>130</v>
      </c>
      <c r="O316" s="130" t="s">
        <v>1464</v>
      </c>
      <c r="P316" s="130" t="s">
        <v>1465</v>
      </c>
      <c r="Q316" s="130" t="s">
        <v>1127</v>
      </c>
      <c r="R316" s="130" t="s">
        <v>1187</v>
      </c>
      <c r="S316" s="130" t="s">
        <v>1157</v>
      </c>
      <c r="T316" s="130" t="s">
        <v>1468</v>
      </c>
      <c r="U316" s="130">
        <v>0</v>
      </c>
      <c r="V316" s="131">
        <v>296750</v>
      </c>
      <c r="W316" s="131">
        <v>296750</v>
      </c>
      <c r="X316" s="131">
        <v>296750</v>
      </c>
      <c r="Y316" s="131">
        <v>0</v>
      </c>
      <c r="Z316" s="131">
        <v>28000</v>
      </c>
      <c r="AA316" s="131">
        <v>268750</v>
      </c>
      <c r="AB316" s="131">
        <v>28000</v>
      </c>
      <c r="AC316" s="131">
        <v>268750</v>
      </c>
      <c r="AD316" s="131">
        <v>28000</v>
      </c>
      <c r="AE316" s="132">
        <v>268750</v>
      </c>
    </row>
    <row r="317" spans="1:31" x14ac:dyDescent="0.2">
      <c r="A317" s="133">
        <v>60</v>
      </c>
      <c r="B317" s="133" t="s">
        <v>1466</v>
      </c>
      <c r="C317" s="133" t="s">
        <v>1147</v>
      </c>
      <c r="D317" s="133" t="s">
        <v>1346</v>
      </c>
      <c r="E317" s="133" t="s">
        <v>1116</v>
      </c>
      <c r="F317" s="133" t="s">
        <v>1117</v>
      </c>
      <c r="G317" s="133" t="s">
        <v>1118</v>
      </c>
      <c r="H317" s="133" t="s">
        <v>1149</v>
      </c>
      <c r="I317" s="130" t="s">
        <v>1182</v>
      </c>
      <c r="J317" s="130" t="s">
        <v>1347</v>
      </c>
      <c r="K317" s="130" t="s">
        <v>1348</v>
      </c>
      <c r="L317" s="130" t="s">
        <v>1467</v>
      </c>
      <c r="M317" s="130" t="s">
        <v>1463</v>
      </c>
      <c r="N317" s="130" t="s">
        <v>130</v>
      </c>
      <c r="O317" s="130" t="s">
        <v>1464</v>
      </c>
      <c r="P317" s="130" t="s">
        <v>1465</v>
      </c>
      <c r="Q317" s="130" t="s">
        <v>1127</v>
      </c>
      <c r="R317" s="130" t="s">
        <v>1187</v>
      </c>
      <c r="S317" s="130" t="s">
        <v>1157</v>
      </c>
      <c r="T317" s="130" t="s">
        <v>1468</v>
      </c>
      <c r="U317" s="130">
        <v>0</v>
      </c>
      <c r="V317" s="131">
        <v>16880</v>
      </c>
      <c r="W317" s="131">
        <v>16880</v>
      </c>
      <c r="X317" s="131">
        <v>14216.31</v>
      </c>
      <c r="Y317" s="131">
        <v>2663.6900000000005</v>
      </c>
      <c r="Z317" s="131">
        <v>14216.31</v>
      </c>
      <c r="AA317" s="131">
        <v>2663.6900000000005</v>
      </c>
      <c r="AB317" s="131">
        <v>14216.31</v>
      </c>
      <c r="AC317" s="131">
        <v>2663.6900000000005</v>
      </c>
      <c r="AD317" s="131">
        <v>14216.31</v>
      </c>
      <c r="AE317" s="132">
        <v>2663.6900000000005</v>
      </c>
    </row>
    <row r="318" spans="1:31" x14ac:dyDescent="0.2">
      <c r="A318" s="133">
        <v>60</v>
      </c>
      <c r="B318" s="133" t="s">
        <v>1466</v>
      </c>
      <c r="C318" s="133" t="s">
        <v>1147</v>
      </c>
      <c r="D318" s="133" t="s">
        <v>1346</v>
      </c>
      <c r="E318" s="133" t="s">
        <v>1116</v>
      </c>
      <c r="F318" s="133" t="s">
        <v>1117</v>
      </c>
      <c r="G318" s="133" t="s">
        <v>1118</v>
      </c>
      <c r="H318" s="130" t="s">
        <v>1159</v>
      </c>
      <c r="I318" s="130" t="s">
        <v>1160</v>
      </c>
      <c r="J318" s="130" t="s">
        <v>1163</v>
      </c>
      <c r="K318" s="130" t="s">
        <v>1164</v>
      </c>
      <c r="L318" s="130" t="s">
        <v>1467</v>
      </c>
      <c r="M318" s="130" t="s">
        <v>1463</v>
      </c>
      <c r="N318" s="130" t="s">
        <v>130</v>
      </c>
      <c r="O318" s="130" t="s">
        <v>1464</v>
      </c>
      <c r="P318" s="130" t="s">
        <v>1465</v>
      </c>
      <c r="Q318" s="130" t="s">
        <v>1127</v>
      </c>
      <c r="R318" s="130" t="s">
        <v>1187</v>
      </c>
      <c r="S318" s="130" t="s">
        <v>1157</v>
      </c>
      <c r="T318" s="130" t="s">
        <v>1468</v>
      </c>
      <c r="U318" s="130">
        <v>0</v>
      </c>
      <c r="V318" s="131">
        <v>101400</v>
      </c>
      <c r="W318" s="131">
        <v>101400</v>
      </c>
      <c r="X318" s="131">
        <v>101400</v>
      </c>
      <c r="Y318" s="131">
        <v>0</v>
      </c>
      <c r="Z318" s="131">
        <v>101400</v>
      </c>
      <c r="AA318" s="131">
        <v>0</v>
      </c>
      <c r="AB318" s="131">
        <v>63624.67</v>
      </c>
      <c r="AC318" s="131">
        <v>37775.33</v>
      </c>
      <c r="AD318" s="131">
        <v>63624.67</v>
      </c>
      <c r="AE318" s="132">
        <v>37775.33</v>
      </c>
    </row>
    <row r="319" spans="1:31" x14ac:dyDescent="0.2">
      <c r="A319" s="133">
        <v>60</v>
      </c>
      <c r="B319" s="133" t="s">
        <v>1466</v>
      </c>
      <c r="C319" s="133" t="s">
        <v>1147</v>
      </c>
      <c r="D319" s="133" t="s">
        <v>1346</v>
      </c>
      <c r="E319" s="133" t="s">
        <v>1116</v>
      </c>
      <c r="F319" s="133" t="s">
        <v>1117</v>
      </c>
      <c r="G319" s="133" t="s">
        <v>1118</v>
      </c>
      <c r="H319" s="133" t="s">
        <v>1159</v>
      </c>
      <c r="I319" s="133" t="s">
        <v>1160</v>
      </c>
      <c r="J319" s="133" t="s">
        <v>1163</v>
      </c>
      <c r="K319" s="130" t="s">
        <v>1165</v>
      </c>
      <c r="L319" s="130" t="s">
        <v>1467</v>
      </c>
      <c r="M319" s="130" t="s">
        <v>1463</v>
      </c>
      <c r="N319" s="130" t="s">
        <v>130</v>
      </c>
      <c r="O319" s="130" t="s">
        <v>1464</v>
      </c>
      <c r="P319" s="130" t="s">
        <v>1465</v>
      </c>
      <c r="Q319" s="130" t="s">
        <v>1127</v>
      </c>
      <c r="R319" s="130" t="s">
        <v>1187</v>
      </c>
      <c r="S319" s="130" t="s">
        <v>1157</v>
      </c>
      <c r="T319" s="130" t="s">
        <v>1468</v>
      </c>
      <c r="U319" s="130">
        <v>1000000</v>
      </c>
      <c r="V319" s="131">
        <v>-940000</v>
      </c>
      <c r="W319" s="131">
        <v>60000</v>
      </c>
      <c r="X319" s="131">
        <v>57397.4</v>
      </c>
      <c r="Y319" s="131">
        <v>2602.5999999999985</v>
      </c>
      <c r="Z319" s="131">
        <v>57397.4</v>
      </c>
      <c r="AA319" s="131">
        <v>2602.5999999999985</v>
      </c>
      <c r="AB319" s="131">
        <v>57397.4</v>
      </c>
      <c r="AC319" s="131">
        <v>2602.5999999999985</v>
      </c>
      <c r="AD319" s="131">
        <v>28450</v>
      </c>
      <c r="AE319" s="132">
        <v>31550</v>
      </c>
    </row>
    <row r="320" spans="1:31" x14ac:dyDescent="0.2">
      <c r="A320" s="133">
        <v>60</v>
      </c>
      <c r="B320" s="133" t="s">
        <v>1466</v>
      </c>
      <c r="C320" s="133" t="s">
        <v>1147</v>
      </c>
      <c r="D320" s="133" t="s">
        <v>1346</v>
      </c>
      <c r="E320" s="133" t="s">
        <v>1116</v>
      </c>
      <c r="F320" s="133" t="s">
        <v>1117</v>
      </c>
      <c r="G320" s="133" t="s">
        <v>1118</v>
      </c>
      <c r="H320" s="133" t="s">
        <v>1159</v>
      </c>
      <c r="I320" s="133" t="s">
        <v>1160</v>
      </c>
      <c r="J320" s="133" t="s">
        <v>1163</v>
      </c>
      <c r="K320" s="130" t="s">
        <v>1162</v>
      </c>
      <c r="L320" s="130" t="s">
        <v>1467</v>
      </c>
      <c r="M320" s="130" t="s">
        <v>1463</v>
      </c>
      <c r="N320" s="130" t="s">
        <v>130</v>
      </c>
      <c r="O320" s="130" t="s">
        <v>1464</v>
      </c>
      <c r="P320" s="130" t="s">
        <v>1465</v>
      </c>
      <c r="Q320" s="130" t="s">
        <v>1127</v>
      </c>
      <c r="R320" s="130" t="s">
        <v>1187</v>
      </c>
      <c r="S320" s="130" t="s">
        <v>1157</v>
      </c>
      <c r="T320" s="130" t="s">
        <v>1468</v>
      </c>
      <c r="U320" s="130">
        <v>0</v>
      </c>
      <c r="V320" s="131">
        <v>702000</v>
      </c>
      <c r="W320" s="131">
        <v>702000</v>
      </c>
      <c r="X320" s="131">
        <v>670996.56999999995</v>
      </c>
      <c r="Y320" s="131">
        <v>31003.430000000051</v>
      </c>
      <c r="Z320" s="131">
        <v>41189.9</v>
      </c>
      <c r="AA320" s="131">
        <v>660810.1</v>
      </c>
      <c r="AB320" s="131">
        <v>41189.9</v>
      </c>
      <c r="AC320" s="131">
        <v>660810.1</v>
      </c>
      <c r="AD320" s="131">
        <v>41189.9</v>
      </c>
      <c r="AE320" s="132">
        <v>660810.1</v>
      </c>
    </row>
    <row r="321" spans="1:31" x14ac:dyDescent="0.2">
      <c r="A321" s="133">
        <v>60</v>
      </c>
      <c r="B321" s="133" t="s">
        <v>1466</v>
      </c>
      <c r="C321" s="133" t="s">
        <v>1147</v>
      </c>
      <c r="D321" s="133" t="s">
        <v>1346</v>
      </c>
      <c r="E321" s="133" t="s">
        <v>1116</v>
      </c>
      <c r="F321" s="133" t="s">
        <v>1117</v>
      </c>
      <c r="G321" s="133" t="s">
        <v>1118</v>
      </c>
      <c r="H321" s="130" t="s">
        <v>1133</v>
      </c>
      <c r="I321" s="130" t="s">
        <v>1134</v>
      </c>
      <c r="J321" s="130" t="s">
        <v>1135</v>
      </c>
      <c r="K321" s="130" t="s">
        <v>1178</v>
      </c>
      <c r="L321" s="130" t="s">
        <v>1467</v>
      </c>
      <c r="M321" s="130" t="s">
        <v>1463</v>
      </c>
      <c r="N321" s="130" t="s">
        <v>130</v>
      </c>
      <c r="O321" s="130" t="s">
        <v>1464</v>
      </c>
      <c r="P321" s="130" t="s">
        <v>1465</v>
      </c>
      <c r="Q321" s="130" t="s">
        <v>1127</v>
      </c>
      <c r="R321" s="130" t="s">
        <v>1187</v>
      </c>
      <c r="S321" s="130" t="s">
        <v>1157</v>
      </c>
      <c r="T321" s="130" t="s">
        <v>1468</v>
      </c>
      <c r="U321" s="130">
        <v>0</v>
      </c>
      <c r="V321" s="131">
        <v>137250</v>
      </c>
      <c r="W321" s="131">
        <v>137250</v>
      </c>
      <c r="X321" s="131">
        <v>137250</v>
      </c>
      <c r="Y321" s="131">
        <v>0</v>
      </c>
      <c r="Z321" s="131">
        <v>137250</v>
      </c>
      <c r="AA321" s="131">
        <v>0</v>
      </c>
      <c r="AB321" s="131">
        <v>102711.53</v>
      </c>
      <c r="AC321" s="131">
        <v>34538.47</v>
      </c>
      <c r="AD321" s="131">
        <v>102711.53</v>
      </c>
      <c r="AE321" s="132">
        <v>34538.47</v>
      </c>
    </row>
    <row r="322" spans="1:31" x14ac:dyDescent="0.2">
      <c r="A322" s="133">
        <v>60</v>
      </c>
      <c r="B322" s="133" t="s">
        <v>1466</v>
      </c>
      <c r="C322" s="133" t="s">
        <v>1147</v>
      </c>
      <c r="D322" s="133" t="s">
        <v>1346</v>
      </c>
      <c r="E322" s="133" t="s">
        <v>1116</v>
      </c>
      <c r="F322" s="133" t="s">
        <v>1117</v>
      </c>
      <c r="G322" s="133" t="s">
        <v>1118</v>
      </c>
      <c r="H322" s="133" t="s">
        <v>1133</v>
      </c>
      <c r="I322" s="133" t="s">
        <v>1134</v>
      </c>
      <c r="J322" s="133" t="s">
        <v>1135</v>
      </c>
      <c r="K322" s="130" t="s">
        <v>1179</v>
      </c>
      <c r="L322" s="130" t="s">
        <v>1467</v>
      </c>
      <c r="M322" s="130" t="s">
        <v>1463</v>
      </c>
      <c r="N322" s="130" t="s">
        <v>130</v>
      </c>
      <c r="O322" s="130" t="s">
        <v>1464</v>
      </c>
      <c r="P322" s="130" t="s">
        <v>1465</v>
      </c>
      <c r="Q322" s="130" t="s">
        <v>1127</v>
      </c>
      <c r="R322" s="130" t="s">
        <v>1187</v>
      </c>
      <c r="S322" s="130" t="s">
        <v>1157</v>
      </c>
      <c r="T322" s="130" t="s">
        <v>1468</v>
      </c>
      <c r="U322" s="130">
        <v>0</v>
      </c>
      <c r="V322" s="131">
        <v>24000</v>
      </c>
      <c r="W322" s="131">
        <v>24000</v>
      </c>
      <c r="X322" s="131">
        <v>23158</v>
      </c>
      <c r="Y322" s="131">
        <v>842</v>
      </c>
      <c r="Z322" s="131">
        <v>23158</v>
      </c>
      <c r="AA322" s="131">
        <v>842</v>
      </c>
      <c r="AB322" s="131">
        <v>23158</v>
      </c>
      <c r="AC322" s="131">
        <v>842</v>
      </c>
      <c r="AD322" s="131">
        <v>1630</v>
      </c>
      <c r="AE322" s="132">
        <v>22370</v>
      </c>
    </row>
    <row r="323" spans="1:31" x14ac:dyDescent="0.2">
      <c r="A323" s="133">
        <v>60</v>
      </c>
      <c r="B323" s="133" t="s">
        <v>1466</v>
      </c>
      <c r="C323" s="133" t="s">
        <v>1147</v>
      </c>
      <c r="D323" s="133" t="s">
        <v>1346</v>
      </c>
      <c r="E323" s="133" t="s">
        <v>1116</v>
      </c>
      <c r="F323" s="133" t="s">
        <v>1117</v>
      </c>
      <c r="G323" s="133" t="s">
        <v>1118</v>
      </c>
      <c r="H323" s="133" t="s">
        <v>1133</v>
      </c>
      <c r="I323" s="133" t="s">
        <v>1134</v>
      </c>
      <c r="J323" s="133" t="s">
        <v>1135</v>
      </c>
      <c r="K323" s="130" t="s">
        <v>1144</v>
      </c>
      <c r="L323" s="130" t="s">
        <v>1467</v>
      </c>
      <c r="M323" s="130" t="s">
        <v>1463</v>
      </c>
      <c r="N323" s="130" t="s">
        <v>130</v>
      </c>
      <c r="O323" s="130" t="s">
        <v>1464</v>
      </c>
      <c r="P323" s="130" t="s">
        <v>1465</v>
      </c>
      <c r="Q323" s="130" t="s">
        <v>1127</v>
      </c>
      <c r="R323" s="130" t="s">
        <v>1187</v>
      </c>
      <c r="S323" s="130" t="s">
        <v>1157</v>
      </c>
      <c r="T323" s="130" t="s">
        <v>1468</v>
      </c>
      <c r="U323" s="130">
        <v>0</v>
      </c>
      <c r="V323" s="131">
        <v>43500</v>
      </c>
      <c r="W323" s="131">
        <v>43500</v>
      </c>
      <c r="X323" s="131">
        <v>43500</v>
      </c>
      <c r="Y323" s="131">
        <v>0</v>
      </c>
      <c r="Z323" s="131">
        <v>43500</v>
      </c>
      <c r="AA323" s="131">
        <v>0</v>
      </c>
      <c r="AB323" s="131">
        <v>43500</v>
      </c>
      <c r="AC323" s="131">
        <v>0</v>
      </c>
      <c r="AD323" s="131">
        <v>0</v>
      </c>
      <c r="AE323" s="132">
        <v>43500</v>
      </c>
    </row>
    <row r="324" spans="1:31" x14ac:dyDescent="0.2">
      <c r="A324" s="130">
        <v>61</v>
      </c>
      <c r="B324" s="130" t="s">
        <v>1470</v>
      </c>
      <c r="C324" s="130" t="s">
        <v>1147</v>
      </c>
      <c r="D324" s="130" t="s">
        <v>1346</v>
      </c>
      <c r="E324" s="130" t="s">
        <v>1116</v>
      </c>
      <c r="F324" s="130" t="s">
        <v>1117</v>
      </c>
      <c r="G324" s="130" t="s">
        <v>1118</v>
      </c>
      <c r="H324" s="130" t="s">
        <v>1159</v>
      </c>
      <c r="I324" s="130" t="s">
        <v>1160</v>
      </c>
      <c r="J324" s="130" t="s">
        <v>1163</v>
      </c>
      <c r="K324" s="130" t="s">
        <v>1165</v>
      </c>
      <c r="L324" s="130" t="s">
        <v>1471</v>
      </c>
      <c r="M324" s="130" t="s">
        <v>1463</v>
      </c>
      <c r="N324" s="130" t="s">
        <v>130</v>
      </c>
      <c r="O324" s="130" t="s">
        <v>1464</v>
      </c>
      <c r="P324" s="130" t="s">
        <v>1465</v>
      </c>
      <c r="Q324" s="130" t="s">
        <v>1127</v>
      </c>
      <c r="R324" s="130" t="s">
        <v>1472</v>
      </c>
      <c r="S324" s="130" t="s">
        <v>1157</v>
      </c>
      <c r="T324" s="130" t="s">
        <v>1158</v>
      </c>
      <c r="U324" s="130">
        <v>100000</v>
      </c>
      <c r="V324" s="131">
        <v>0</v>
      </c>
      <c r="W324" s="131">
        <v>100000</v>
      </c>
      <c r="X324" s="131">
        <v>0</v>
      </c>
      <c r="Y324" s="131">
        <v>100000</v>
      </c>
      <c r="Z324" s="131">
        <v>0</v>
      </c>
      <c r="AA324" s="131">
        <v>100000</v>
      </c>
      <c r="AB324" s="131">
        <v>0</v>
      </c>
      <c r="AC324" s="131">
        <v>100000</v>
      </c>
      <c r="AD324" s="131">
        <v>0</v>
      </c>
      <c r="AE324" s="132">
        <v>100000</v>
      </c>
    </row>
    <row r="325" spans="1:31" x14ac:dyDescent="0.2">
      <c r="A325" s="130">
        <v>62</v>
      </c>
      <c r="B325" s="130" t="s">
        <v>969</v>
      </c>
      <c r="C325" s="130" t="s">
        <v>1114</v>
      </c>
      <c r="D325" s="130" t="s">
        <v>1473</v>
      </c>
      <c r="E325" s="130" t="s">
        <v>1116</v>
      </c>
      <c r="F325" s="130" t="s">
        <v>1117</v>
      </c>
      <c r="G325" s="130" t="s">
        <v>1118</v>
      </c>
      <c r="H325" s="130" t="s">
        <v>1119</v>
      </c>
      <c r="I325" s="130" t="s">
        <v>1169</v>
      </c>
      <c r="J325" s="130" t="s">
        <v>1170</v>
      </c>
      <c r="K325" s="130" t="s">
        <v>1131</v>
      </c>
      <c r="L325" s="130" t="s">
        <v>1474</v>
      </c>
      <c r="M325" s="130" t="s">
        <v>1475</v>
      </c>
      <c r="N325" s="130" t="s">
        <v>165</v>
      </c>
      <c r="O325" s="130" t="s">
        <v>1476</v>
      </c>
      <c r="P325" s="130" t="s">
        <v>1477</v>
      </c>
      <c r="Q325" s="130" t="s">
        <v>1127</v>
      </c>
      <c r="R325" s="130" t="s">
        <v>1191</v>
      </c>
      <c r="S325" s="130" t="s">
        <v>1191</v>
      </c>
      <c r="T325" s="130" t="s">
        <v>1130</v>
      </c>
      <c r="U325" s="130">
        <v>0</v>
      </c>
      <c r="V325" s="131">
        <v>110000</v>
      </c>
      <c r="W325" s="131">
        <v>110000</v>
      </c>
      <c r="X325" s="131">
        <v>80000</v>
      </c>
      <c r="Y325" s="131">
        <v>30000</v>
      </c>
      <c r="Z325" s="131">
        <v>80000</v>
      </c>
      <c r="AA325" s="131">
        <v>30000</v>
      </c>
      <c r="AB325" s="131">
        <v>34048.619999999995</v>
      </c>
      <c r="AC325" s="131">
        <v>75951.38</v>
      </c>
      <c r="AD325" s="131">
        <v>34048.619999999995</v>
      </c>
      <c r="AE325" s="132">
        <v>75951.38</v>
      </c>
    </row>
    <row r="326" spans="1:31" x14ac:dyDescent="0.2">
      <c r="A326" s="133">
        <v>62</v>
      </c>
      <c r="B326" s="133" t="s">
        <v>969</v>
      </c>
      <c r="C326" s="133" t="s">
        <v>1114</v>
      </c>
      <c r="D326" s="133" t="s">
        <v>1473</v>
      </c>
      <c r="E326" s="133" t="s">
        <v>1116</v>
      </c>
      <c r="F326" s="133" t="s">
        <v>1117</v>
      </c>
      <c r="G326" s="133" t="s">
        <v>1118</v>
      </c>
      <c r="H326" s="133" t="s">
        <v>1119</v>
      </c>
      <c r="I326" s="133" t="s">
        <v>1169</v>
      </c>
      <c r="J326" s="133" t="s">
        <v>1170</v>
      </c>
      <c r="K326" s="130" t="s">
        <v>1177</v>
      </c>
      <c r="L326" s="130" t="s">
        <v>1474</v>
      </c>
      <c r="M326" s="130" t="s">
        <v>1475</v>
      </c>
      <c r="N326" s="130" t="s">
        <v>165</v>
      </c>
      <c r="O326" s="130" t="s">
        <v>1476</v>
      </c>
      <c r="P326" s="130" t="s">
        <v>1477</v>
      </c>
      <c r="Q326" s="130" t="s">
        <v>1127</v>
      </c>
      <c r="R326" s="130" t="s">
        <v>1191</v>
      </c>
      <c r="S326" s="130" t="s">
        <v>1191</v>
      </c>
      <c r="T326" s="130" t="s">
        <v>1130</v>
      </c>
      <c r="U326" s="130">
        <v>11675669</v>
      </c>
      <c r="V326" s="131">
        <v>-10554853</v>
      </c>
      <c r="W326" s="131">
        <v>1120816</v>
      </c>
      <c r="X326" s="131">
        <v>980680</v>
      </c>
      <c r="Y326" s="131">
        <v>140136</v>
      </c>
      <c r="Z326" s="131">
        <v>980680</v>
      </c>
      <c r="AA326" s="131">
        <v>140136</v>
      </c>
      <c r="AB326" s="131">
        <v>980680</v>
      </c>
      <c r="AC326" s="131">
        <v>140136</v>
      </c>
      <c r="AD326" s="131">
        <v>980680</v>
      </c>
      <c r="AE326" s="132">
        <v>140136</v>
      </c>
    </row>
    <row r="327" spans="1:31" x14ac:dyDescent="0.2">
      <c r="A327" s="133">
        <v>62</v>
      </c>
      <c r="B327" s="133" t="s">
        <v>969</v>
      </c>
      <c r="C327" s="133" t="s">
        <v>1114</v>
      </c>
      <c r="D327" s="133" t="s">
        <v>1473</v>
      </c>
      <c r="E327" s="133" t="s">
        <v>1116</v>
      </c>
      <c r="F327" s="133" t="s">
        <v>1117</v>
      </c>
      <c r="G327" s="133" t="s">
        <v>1118</v>
      </c>
      <c r="H327" s="133" t="s">
        <v>1119</v>
      </c>
      <c r="I327" s="133" t="s">
        <v>1169</v>
      </c>
      <c r="J327" s="133" t="s">
        <v>1170</v>
      </c>
      <c r="K327" s="130" t="s">
        <v>1132</v>
      </c>
      <c r="L327" s="130" t="s">
        <v>1474</v>
      </c>
      <c r="M327" s="130" t="s">
        <v>1475</v>
      </c>
      <c r="N327" s="130" t="s">
        <v>165</v>
      </c>
      <c r="O327" s="130" t="s">
        <v>1476</v>
      </c>
      <c r="P327" s="130" t="s">
        <v>1477</v>
      </c>
      <c r="Q327" s="130" t="s">
        <v>1127</v>
      </c>
      <c r="R327" s="130" t="s">
        <v>1191</v>
      </c>
      <c r="S327" s="130" t="s">
        <v>1191</v>
      </c>
      <c r="T327" s="130" t="s">
        <v>1130</v>
      </c>
      <c r="U327" s="130">
        <v>0</v>
      </c>
      <c r="V327" s="131">
        <v>40000</v>
      </c>
      <c r="W327" s="131">
        <v>40000</v>
      </c>
      <c r="X327" s="131">
        <v>26580.43</v>
      </c>
      <c r="Y327" s="131">
        <v>13419.57</v>
      </c>
      <c r="Z327" s="131">
        <v>26580.43</v>
      </c>
      <c r="AA327" s="131">
        <v>13419.57</v>
      </c>
      <c r="AB327" s="131">
        <v>26580.43</v>
      </c>
      <c r="AC327" s="131">
        <v>13419.57</v>
      </c>
      <c r="AD327" s="131">
        <v>26580.43</v>
      </c>
      <c r="AE327" s="132">
        <v>13419.57</v>
      </c>
    </row>
    <row r="328" spans="1:31" x14ac:dyDescent="0.2">
      <c r="A328" s="133">
        <v>62</v>
      </c>
      <c r="B328" s="133" t="s">
        <v>969</v>
      </c>
      <c r="C328" s="133" t="s">
        <v>1114</v>
      </c>
      <c r="D328" s="133" t="s">
        <v>1473</v>
      </c>
      <c r="E328" s="133" t="s">
        <v>1116</v>
      </c>
      <c r="F328" s="133" t="s">
        <v>1117</v>
      </c>
      <c r="G328" s="133" t="s">
        <v>1118</v>
      </c>
      <c r="H328" s="130" t="s">
        <v>1133</v>
      </c>
      <c r="I328" s="130" t="s">
        <v>1134</v>
      </c>
      <c r="J328" s="130" t="s">
        <v>1166</v>
      </c>
      <c r="K328" s="130" t="s">
        <v>1167</v>
      </c>
      <c r="L328" s="130" t="s">
        <v>1474</v>
      </c>
      <c r="M328" s="130" t="s">
        <v>1475</v>
      </c>
      <c r="N328" s="130" t="s">
        <v>165</v>
      </c>
      <c r="O328" s="130" t="s">
        <v>1476</v>
      </c>
      <c r="P328" s="130" t="s">
        <v>1477</v>
      </c>
      <c r="Q328" s="130" t="s">
        <v>1127</v>
      </c>
      <c r="R328" s="130" t="s">
        <v>1191</v>
      </c>
      <c r="S328" s="130" t="s">
        <v>1191</v>
      </c>
      <c r="T328" s="130" t="s">
        <v>1130</v>
      </c>
      <c r="U328" s="130">
        <v>0</v>
      </c>
      <c r="V328" s="131">
        <v>0</v>
      </c>
      <c r="W328" s="131">
        <v>0</v>
      </c>
      <c r="X328" s="131">
        <v>0</v>
      </c>
      <c r="Y328" s="131">
        <v>0</v>
      </c>
      <c r="Z328" s="131">
        <v>0</v>
      </c>
      <c r="AA328" s="131">
        <v>0</v>
      </c>
      <c r="AB328" s="131">
        <v>0</v>
      </c>
      <c r="AC328" s="131">
        <v>0</v>
      </c>
      <c r="AD328" s="131">
        <v>0</v>
      </c>
      <c r="AE328" s="132">
        <v>0</v>
      </c>
    </row>
    <row r="329" spans="1:31" x14ac:dyDescent="0.2">
      <c r="A329" s="130">
        <v>63</v>
      </c>
      <c r="B329" s="130" t="s">
        <v>167</v>
      </c>
      <c r="C329" s="130" t="s">
        <v>1114</v>
      </c>
      <c r="D329" s="130" t="s">
        <v>1473</v>
      </c>
      <c r="E329" s="130" t="s">
        <v>1116</v>
      </c>
      <c r="F329" s="130" t="s">
        <v>1117</v>
      </c>
      <c r="G329" s="130" t="s">
        <v>1118</v>
      </c>
      <c r="H329" s="130" t="s">
        <v>1119</v>
      </c>
      <c r="I329" s="130" t="s">
        <v>1169</v>
      </c>
      <c r="J329" s="130" t="s">
        <v>1170</v>
      </c>
      <c r="K329" s="130" t="s">
        <v>1122</v>
      </c>
      <c r="L329" s="130" t="s">
        <v>1478</v>
      </c>
      <c r="M329" s="130" t="s">
        <v>1475</v>
      </c>
      <c r="N329" s="130" t="s">
        <v>165</v>
      </c>
      <c r="O329" s="130" t="s">
        <v>1476</v>
      </c>
      <c r="P329" s="130" t="s">
        <v>1477</v>
      </c>
      <c r="Q329" s="130" t="s">
        <v>1127</v>
      </c>
      <c r="R329" s="130" t="s">
        <v>1128</v>
      </c>
      <c r="S329" s="130" t="s">
        <v>1129</v>
      </c>
      <c r="T329" s="130" t="s">
        <v>1130</v>
      </c>
      <c r="U329" s="130">
        <v>1139986</v>
      </c>
      <c r="V329" s="131">
        <v>-1139986</v>
      </c>
      <c r="W329" s="131">
        <v>0</v>
      </c>
      <c r="X329" s="131">
        <v>0</v>
      </c>
      <c r="Y329" s="131">
        <v>0</v>
      </c>
      <c r="Z329" s="131">
        <v>0</v>
      </c>
      <c r="AA329" s="131">
        <v>0</v>
      </c>
      <c r="AB329" s="131">
        <v>0</v>
      </c>
      <c r="AC329" s="131">
        <v>0</v>
      </c>
      <c r="AD329" s="131">
        <v>0</v>
      </c>
      <c r="AE329" s="132">
        <v>0</v>
      </c>
    </row>
    <row r="330" spans="1:31" x14ac:dyDescent="0.2">
      <c r="A330" s="133">
        <v>63</v>
      </c>
      <c r="B330" s="133" t="s">
        <v>167</v>
      </c>
      <c r="C330" s="133" t="s">
        <v>1114</v>
      </c>
      <c r="D330" s="133" t="s">
        <v>1473</v>
      </c>
      <c r="E330" s="133" t="s">
        <v>1116</v>
      </c>
      <c r="F330" s="133" t="s">
        <v>1117</v>
      </c>
      <c r="G330" s="133" t="s">
        <v>1118</v>
      </c>
      <c r="H330" s="133" t="s">
        <v>1119</v>
      </c>
      <c r="I330" s="133" t="s">
        <v>1169</v>
      </c>
      <c r="J330" s="133" t="s">
        <v>1170</v>
      </c>
      <c r="K330" s="130" t="s">
        <v>1131</v>
      </c>
      <c r="L330" s="130" t="s">
        <v>1478</v>
      </c>
      <c r="M330" s="130" t="s">
        <v>1475</v>
      </c>
      <c r="N330" s="130" t="s">
        <v>165</v>
      </c>
      <c r="O330" s="130" t="s">
        <v>1476</v>
      </c>
      <c r="P330" s="130" t="s">
        <v>1477</v>
      </c>
      <c r="Q330" s="130" t="s">
        <v>1127</v>
      </c>
      <c r="R330" s="130" t="s">
        <v>1128</v>
      </c>
      <c r="S330" s="130" t="s">
        <v>1129</v>
      </c>
      <c r="T330" s="130" t="s">
        <v>1130</v>
      </c>
      <c r="U330" s="130">
        <v>0</v>
      </c>
      <c r="V330" s="131">
        <v>500000</v>
      </c>
      <c r="W330" s="131">
        <v>500000</v>
      </c>
      <c r="X330" s="131">
        <v>450000</v>
      </c>
      <c r="Y330" s="131">
        <v>50000</v>
      </c>
      <c r="Z330" s="131">
        <v>450000</v>
      </c>
      <c r="AA330" s="131">
        <v>50000</v>
      </c>
      <c r="AB330" s="131">
        <v>356341.8</v>
      </c>
      <c r="AC330" s="131">
        <v>143658.20000000001</v>
      </c>
      <c r="AD330" s="131">
        <v>356341.8</v>
      </c>
      <c r="AE330" s="132">
        <v>143658.20000000001</v>
      </c>
    </row>
    <row r="331" spans="1:31" x14ac:dyDescent="0.2">
      <c r="A331" s="133">
        <v>63</v>
      </c>
      <c r="B331" s="133" t="s">
        <v>167</v>
      </c>
      <c r="C331" s="133" t="s">
        <v>1114</v>
      </c>
      <c r="D331" s="133" t="s">
        <v>1473</v>
      </c>
      <c r="E331" s="133" t="s">
        <v>1116</v>
      </c>
      <c r="F331" s="133" t="s">
        <v>1117</v>
      </c>
      <c r="G331" s="133" t="s">
        <v>1118</v>
      </c>
      <c r="H331" s="133" t="s">
        <v>1119</v>
      </c>
      <c r="I331" s="133" t="s">
        <v>1169</v>
      </c>
      <c r="J331" s="133" t="s">
        <v>1170</v>
      </c>
      <c r="K331" s="130" t="s">
        <v>1177</v>
      </c>
      <c r="L331" s="130" t="s">
        <v>1478</v>
      </c>
      <c r="M331" s="130" t="s">
        <v>1475</v>
      </c>
      <c r="N331" s="130" t="s">
        <v>165</v>
      </c>
      <c r="O331" s="130" t="s">
        <v>1476</v>
      </c>
      <c r="P331" s="130" t="s">
        <v>1477</v>
      </c>
      <c r="Q331" s="130" t="s">
        <v>1127</v>
      </c>
      <c r="R331" s="130" t="s">
        <v>1128</v>
      </c>
      <c r="S331" s="130" t="s">
        <v>1129</v>
      </c>
      <c r="T331" s="130" t="s">
        <v>1130</v>
      </c>
      <c r="U331" s="130">
        <v>0</v>
      </c>
      <c r="V331" s="131">
        <v>384643</v>
      </c>
      <c r="W331" s="131">
        <v>384643</v>
      </c>
      <c r="X331" s="131">
        <v>275544.90000000002</v>
      </c>
      <c r="Y331" s="131">
        <v>109098.09999999998</v>
      </c>
      <c r="Z331" s="131">
        <v>272404.37</v>
      </c>
      <c r="AA331" s="131">
        <v>112238.63</v>
      </c>
      <c r="AB331" s="131">
        <v>272404.37</v>
      </c>
      <c r="AC331" s="131">
        <v>112238.63</v>
      </c>
      <c r="AD331" s="131">
        <v>102019.9</v>
      </c>
      <c r="AE331" s="132">
        <v>282623.09999999998</v>
      </c>
    </row>
    <row r="332" spans="1:31" x14ac:dyDescent="0.2">
      <c r="A332" s="133">
        <v>63</v>
      </c>
      <c r="B332" s="133" t="s">
        <v>167</v>
      </c>
      <c r="C332" s="133" t="s">
        <v>1114</v>
      </c>
      <c r="D332" s="133" t="s">
        <v>1473</v>
      </c>
      <c r="E332" s="133" t="s">
        <v>1116</v>
      </c>
      <c r="F332" s="133" t="s">
        <v>1117</v>
      </c>
      <c r="G332" s="133" t="s">
        <v>1118</v>
      </c>
      <c r="H332" s="133" t="s">
        <v>1119</v>
      </c>
      <c r="I332" s="133" t="s">
        <v>1169</v>
      </c>
      <c r="J332" s="133" t="s">
        <v>1170</v>
      </c>
      <c r="K332" s="130" t="s">
        <v>1132</v>
      </c>
      <c r="L332" s="130" t="s">
        <v>1478</v>
      </c>
      <c r="M332" s="130" t="s">
        <v>1475</v>
      </c>
      <c r="N332" s="130" t="s">
        <v>165</v>
      </c>
      <c r="O332" s="130" t="s">
        <v>1476</v>
      </c>
      <c r="P332" s="130" t="s">
        <v>1477</v>
      </c>
      <c r="Q332" s="130" t="s">
        <v>1127</v>
      </c>
      <c r="R332" s="130" t="s">
        <v>1128</v>
      </c>
      <c r="S332" s="130" t="s">
        <v>1129</v>
      </c>
      <c r="T332" s="130" t="s">
        <v>1130</v>
      </c>
      <c r="U332" s="130">
        <v>0</v>
      </c>
      <c r="V332" s="131">
        <v>4223300</v>
      </c>
      <c r="W332" s="131">
        <v>4223300</v>
      </c>
      <c r="X332" s="131">
        <v>3845393.35</v>
      </c>
      <c r="Y332" s="131">
        <v>377906.64999999991</v>
      </c>
      <c r="Z332" s="131">
        <v>18658.2</v>
      </c>
      <c r="AA332" s="131">
        <v>4204641.8</v>
      </c>
      <c r="AB332" s="131">
        <v>18658.2</v>
      </c>
      <c r="AC332" s="131">
        <v>4204641.8</v>
      </c>
      <c r="AD332" s="131">
        <v>12958.2</v>
      </c>
      <c r="AE332" s="132">
        <v>4210341.8</v>
      </c>
    </row>
    <row r="333" spans="1:31" x14ac:dyDescent="0.2">
      <c r="A333" s="133">
        <v>63</v>
      </c>
      <c r="B333" s="133" t="s">
        <v>167</v>
      </c>
      <c r="C333" s="133" t="s">
        <v>1114</v>
      </c>
      <c r="D333" s="133" t="s">
        <v>1473</v>
      </c>
      <c r="E333" s="133" t="s">
        <v>1116</v>
      </c>
      <c r="F333" s="133" t="s">
        <v>1117</v>
      </c>
      <c r="G333" s="133" t="s">
        <v>1118</v>
      </c>
      <c r="H333" s="130" t="s">
        <v>1149</v>
      </c>
      <c r="I333" s="130" t="s">
        <v>1182</v>
      </c>
      <c r="J333" s="130" t="s">
        <v>1404</v>
      </c>
      <c r="K333" s="130" t="s">
        <v>1405</v>
      </c>
      <c r="L333" s="130" t="s">
        <v>1478</v>
      </c>
      <c r="M333" s="130" t="s">
        <v>1475</v>
      </c>
      <c r="N333" s="130" t="s">
        <v>165</v>
      </c>
      <c r="O333" s="130" t="s">
        <v>1476</v>
      </c>
      <c r="P333" s="130" t="s">
        <v>1477</v>
      </c>
      <c r="Q333" s="130" t="s">
        <v>1127</v>
      </c>
      <c r="R333" s="130" t="s">
        <v>1128</v>
      </c>
      <c r="S333" s="130" t="s">
        <v>1129</v>
      </c>
      <c r="T333" s="130" t="s">
        <v>1130</v>
      </c>
      <c r="U333" s="130">
        <v>0</v>
      </c>
      <c r="V333" s="131">
        <v>746840</v>
      </c>
      <c r="W333" s="131">
        <v>746840</v>
      </c>
      <c r="X333" s="131">
        <v>658817</v>
      </c>
      <c r="Y333" s="131">
        <v>88023</v>
      </c>
      <c r="Z333" s="131">
        <v>427632</v>
      </c>
      <c r="AA333" s="131">
        <v>319208</v>
      </c>
      <c r="AB333" s="131">
        <v>427632</v>
      </c>
      <c r="AC333" s="131">
        <v>319208</v>
      </c>
      <c r="AD333" s="131">
        <v>44132</v>
      </c>
      <c r="AE333" s="132">
        <v>702708</v>
      </c>
    </row>
    <row r="334" spans="1:31" x14ac:dyDescent="0.2">
      <c r="A334" s="133">
        <v>63</v>
      </c>
      <c r="B334" s="133" t="s">
        <v>167</v>
      </c>
      <c r="C334" s="133" t="s">
        <v>1114</v>
      </c>
      <c r="D334" s="133" t="s">
        <v>1473</v>
      </c>
      <c r="E334" s="133" t="s">
        <v>1116</v>
      </c>
      <c r="F334" s="133" t="s">
        <v>1117</v>
      </c>
      <c r="G334" s="133" t="s">
        <v>1118</v>
      </c>
      <c r="H334" s="130" t="s">
        <v>1133</v>
      </c>
      <c r="I334" s="130" t="s">
        <v>1134</v>
      </c>
      <c r="J334" s="130" t="s">
        <v>1135</v>
      </c>
      <c r="K334" s="130" t="s">
        <v>1178</v>
      </c>
      <c r="L334" s="130" t="s">
        <v>1478</v>
      </c>
      <c r="M334" s="130" t="s">
        <v>1475</v>
      </c>
      <c r="N334" s="130" t="s">
        <v>165</v>
      </c>
      <c r="O334" s="130" t="s">
        <v>1476</v>
      </c>
      <c r="P334" s="130" t="s">
        <v>1477</v>
      </c>
      <c r="Q334" s="130" t="s">
        <v>1127</v>
      </c>
      <c r="R334" s="130" t="s">
        <v>1128</v>
      </c>
      <c r="S334" s="130" t="s">
        <v>1129</v>
      </c>
      <c r="T334" s="130" t="s">
        <v>1130</v>
      </c>
      <c r="U334" s="130">
        <v>0</v>
      </c>
      <c r="V334" s="131">
        <v>51000</v>
      </c>
      <c r="W334" s="131">
        <v>51000</v>
      </c>
      <c r="X334" s="131">
        <v>35500</v>
      </c>
      <c r="Y334" s="131">
        <v>15500</v>
      </c>
      <c r="Z334" s="131">
        <v>13500</v>
      </c>
      <c r="AA334" s="131">
        <v>37500</v>
      </c>
      <c r="AB334" s="131">
        <v>13407</v>
      </c>
      <c r="AC334" s="131">
        <v>37593</v>
      </c>
      <c r="AD334" s="131">
        <v>13407</v>
      </c>
      <c r="AE334" s="132">
        <v>37593</v>
      </c>
    </row>
    <row r="335" spans="1:31" x14ac:dyDescent="0.2">
      <c r="A335" s="133">
        <v>63</v>
      </c>
      <c r="B335" s="133" t="s">
        <v>167</v>
      </c>
      <c r="C335" s="133" t="s">
        <v>1114</v>
      </c>
      <c r="D335" s="133" t="s">
        <v>1473</v>
      </c>
      <c r="E335" s="133" t="s">
        <v>1116</v>
      </c>
      <c r="F335" s="133" t="s">
        <v>1117</v>
      </c>
      <c r="G335" s="133" t="s">
        <v>1118</v>
      </c>
      <c r="H335" s="133" t="s">
        <v>1133</v>
      </c>
      <c r="I335" s="133" t="s">
        <v>1134</v>
      </c>
      <c r="J335" s="133" t="s">
        <v>1135</v>
      </c>
      <c r="K335" s="130" t="s">
        <v>1179</v>
      </c>
      <c r="L335" s="130" t="s">
        <v>1478</v>
      </c>
      <c r="M335" s="130" t="s">
        <v>1475</v>
      </c>
      <c r="N335" s="130" t="s">
        <v>165</v>
      </c>
      <c r="O335" s="130" t="s">
        <v>1476</v>
      </c>
      <c r="P335" s="130" t="s">
        <v>1477</v>
      </c>
      <c r="Q335" s="130" t="s">
        <v>1127</v>
      </c>
      <c r="R335" s="130" t="s">
        <v>1128</v>
      </c>
      <c r="S335" s="130" t="s">
        <v>1129</v>
      </c>
      <c r="T335" s="130" t="s">
        <v>1130</v>
      </c>
      <c r="U335" s="130">
        <v>0</v>
      </c>
      <c r="V335" s="131">
        <v>6000</v>
      </c>
      <c r="W335" s="131">
        <v>6000</v>
      </c>
      <c r="X335" s="131">
        <v>5271</v>
      </c>
      <c r="Y335" s="131">
        <v>729</v>
      </c>
      <c r="Z335" s="131">
        <v>5271</v>
      </c>
      <c r="AA335" s="131">
        <v>729</v>
      </c>
      <c r="AB335" s="131">
        <v>5271</v>
      </c>
      <c r="AC335" s="131">
        <v>729</v>
      </c>
      <c r="AD335" s="131">
        <v>5271</v>
      </c>
      <c r="AE335" s="132">
        <v>729</v>
      </c>
    </row>
    <row r="336" spans="1:31" x14ac:dyDescent="0.2">
      <c r="A336" s="133">
        <v>63</v>
      </c>
      <c r="B336" s="133" t="s">
        <v>167</v>
      </c>
      <c r="C336" s="133" t="s">
        <v>1114</v>
      </c>
      <c r="D336" s="133" t="s">
        <v>1473</v>
      </c>
      <c r="E336" s="133" t="s">
        <v>1116</v>
      </c>
      <c r="F336" s="133" t="s">
        <v>1117</v>
      </c>
      <c r="G336" s="133" t="s">
        <v>1118</v>
      </c>
      <c r="H336" s="133" t="s">
        <v>1133</v>
      </c>
      <c r="I336" s="133" t="s">
        <v>1134</v>
      </c>
      <c r="J336" s="133" t="s">
        <v>1135</v>
      </c>
      <c r="K336" s="130" t="s">
        <v>1136</v>
      </c>
      <c r="L336" s="130" t="s">
        <v>1478</v>
      </c>
      <c r="M336" s="130" t="s">
        <v>1475</v>
      </c>
      <c r="N336" s="130" t="s">
        <v>165</v>
      </c>
      <c r="O336" s="130" t="s">
        <v>1476</v>
      </c>
      <c r="P336" s="130" t="s">
        <v>1477</v>
      </c>
      <c r="Q336" s="130" t="s">
        <v>1127</v>
      </c>
      <c r="R336" s="130" t="s">
        <v>1128</v>
      </c>
      <c r="S336" s="130" t="s">
        <v>1129</v>
      </c>
      <c r="T336" s="130" t="s">
        <v>1130</v>
      </c>
      <c r="U336" s="130">
        <v>0</v>
      </c>
      <c r="V336" s="131">
        <v>10000</v>
      </c>
      <c r="W336" s="131">
        <v>10000</v>
      </c>
      <c r="X336" s="131">
        <v>0</v>
      </c>
      <c r="Y336" s="131">
        <v>10000</v>
      </c>
      <c r="Z336" s="131">
        <v>0</v>
      </c>
      <c r="AA336" s="131">
        <v>10000</v>
      </c>
      <c r="AB336" s="131">
        <v>0</v>
      </c>
      <c r="AC336" s="131">
        <v>10000</v>
      </c>
      <c r="AD336" s="131">
        <v>0</v>
      </c>
      <c r="AE336" s="132">
        <v>10000</v>
      </c>
    </row>
    <row r="337" spans="1:31" x14ac:dyDescent="0.2">
      <c r="A337" s="130">
        <v>64</v>
      </c>
      <c r="B337" s="130" t="s">
        <v>1479</v>
      </c>
      <c r="C337" s="130" t="s">
        <v>1114</v>
      </c>
      <c r="D337" s="130" t="s">
        <v>1473</v>
      </c>
      <c r="E337" s="130" t="s">
        <v>1116</v>
      </c>
      <c r="F337" s="130" t="s">
        <v>1117</v>
      </c>
      <c r="G337" s="130" t="s">
        <v>1118</v>
      </c>
      <c r="H337" s="130" t="s">
        <v>1119</v>
      </c>
      <c r="I337" s="130" t="s">
        <v>1169</v>
      </c>
      <c r="J337" s="130" t="s">
        <v>1170</v>
      </c>
      <c r="K337" s="130" t="s">
        <v>1122</v>
      </c>
      <c r="L337" s="130" t="s">
        <v>1480</v>
      </c>
      <c r="M337" s="130" t="s">
        <v>1475</v>
      </c>
      <c r="N337" s="130" t="s">
        <v>165</v>
      </c>
      <c r="O337" s="130" t="s">
        <v>1476</v>
      </c>
      <c r="P337" s="130" t="s">
        <v>1477</v>
      </c>
      <c r="Q337" s="130" t="s">
        <v>1127</v>
      </c>
      <c r="R337" s="130" t="s">
        <v>1380</v>
      </c>
      <c r="S337" s="130" t="s">
        <v>1481</v>
      </c>
      <c r="T337" s="130" t="s">
        <v>1158</v>
      </c>
      <c r="U337" s="130">
        <v>3160785</v>
      </c>
      <c r="V337" s="131">
        <v>2991218</v>
      </c>
      <c r="W337" s="131">
        <v>6152003</v>
      </c>
      <c r="X337" s="131">
        <v>6152003</v>
      </c>
      <c r="Y337" s="131">
        <v>0</v>
      </c>
      <c r="Z337" s="131">
        <v>5541000.6600000001</v>
      </c>
      <c r="AA337" s="131">
        <v>611002.33999999985</v>
      </c>
      <c r="AB337" s="131">
        <v>4111182.09</v>
      </c>
      <c r="AC337" s="131">
        <v>2040820.9100000001</v>
      </c>
      <c r="AD337" s="131">
        <v>4111182.09</v>
      </c>
      <c r="AE337" s="132">
        <v>2040820.9100000001</v>
      </c>
    </row>
    <row r="338" spans="1:31" x14ac:dyDescent="0.2">
      <c r="A338" s="133">
        <v>64</v>
      </c>
      <c r="B338" s="133" t="s">
        <v>1479</v>
      </c>
      <c r="C338" s="133" t="s">
        <v>1114</v>
      </c>
      <c r="D338" s="133" t="s">
        <v>1473</v>
      </c>
      <c r="E338" s="133" t="s">
        <v>1116</v>
      </c>
      <c r="F338" s="133" t="s">
        <v>1117</v>
      </c>
      <c r="G338" s="133" t="s">
        <v>1118</v>
      </c>
      <c r="H338" s="130" t="s">
        <v>1133</v>
      </c>
      <c r="I338" s="130" t="s">
        <v>1134</v>
      </c>
      <c r="J338" s="130" t="s">
        <v>1135</v>
      </c>
      <c r="K338" s="130" t="s">
        <v>1178</v>
      </c>
      <c r="L338" s="130" t="s">
        <v>1480</v>
      </c>
      <c r="M338" s="130" t="s">
        <v>1475</v>
      </c>
      <c r="N338" s="130" t="s">
        <v>165</v>
      </c>
      <c r="O338" s="130" t="s">
        <v>1476</v>
      </c>
      <c r="P338" s="130" t="s">
        <v>1477</v>
      </c>
      <c r="Q338" s="130" t="s">
        <v>1127</v>
      </c>
      <c r="R338" s="130" t="s">
        <v>1380</v>
      </c>
      <c r="S338" s="130" t="s">
        <v>1481</v>
      </c>
      <c r="T338" s="130" t="s">
        <v>1158</v>
      </c>
      <c r="U338" s="130">
        <v>0</v>
      </c>
      <c r="V338" s="131">
        <v>208000</v>
      </c>
      <c r="W338" s="131">
        <v>208000</v>
      </c>
      <c r="X338" s="131">
        <v>180000</v>
      </c>
      <c r="Y338" s="131">
        <v>28000</v>
      </c>
      <c r="Z338" s="131">
        <v>0</v>
      </c>
      <c r="AA338" s="131">
        <v>208000</v>
      </c>
      <c r="AB338" s="131">
        <v>0</v>
      </c>
      <c r="AC338" s="131">
        <v>208000</v>
      </c>
      <c r="AD338" s="131">
        <v>0</v>
      </c>
      <c r="AE338" s="132">
        <v>208000</v>
      </c>
    </row>
    <row r="339" spans="1:31" x14ac:dyDescent="0.2">
      <c r="A339" s="133">
        <v>64</v>
      </c>
      <c r="B339" s="133" t="s">
        <v>1479</v>
      </c>
      <c r="C339" s="133" t="s">
        <v>1114</v>
      </c>
      <c r="D339" s="133" t="s">
        <v>1473</v>
      </c>
      <c r="E339" s="133" t="s">
        <v>1116</v>
      </c>
      <c r="F339" s="133" t="s">
        <v>1117</v>
      </c>
      <c r="G339" s="133" t="s">
        <v>1118</v>
      </c>
      <c r="H339" s="133" t="s">
        <v>1133</v>
      </c>
      <c r="I339" s="133" t="s">
        <v>1134</v>
      </c>
      <c r="J339" s="133" t="s">
        <v>1135</v>
      </c>
      <c r="K339" s="130" t="s">
        <v>1179</v>
      </c>
      <c r="L339" s="130" t="s">
        <v>1480</v>
      </c>
      <c r="M339" s="130" t="s">
        <v>1475</v>
      </c>
      <c r="N339" s="130" t="s">
        <v>165</v>
      </c>
      <c r="O339" s="130" t="s">
        <v>1476</v>
      </c>
      <c r="P339" s="130" t="s">
        <v>1477</v>
      </c>
      <c r="Q339" s="130" t="s">
        <v>1127</v>
      </c>
      <c r="R339" s="130" t="s">
        <v>1380</v>
      </c>
      <c r="S339" s="130" t="s">
        <v>1481</v>
      </c>
      <c r="T339" s="130" t="s">
        <v>1158</v>
      </c>
      <c r="U339" s="130">
        <v>0</v>
      </c>
      <c r="V339" s="131">
        <v>10000</v>
      </c>
      <c r="W339" s="131">
        <v>10000</v>
      </c>
      <c r="X339" s="131">
        <v>7942.6</v>
      </c>
      <c r="Y339" s="131">
        <v>2057.3999999999996</v>
      </c>
      <c r="Z339" s="131">
        <v>7942.6</v>
      </c>
      <c r="AA339" s="131">
        <v>2057.3999999999996</v>
      </c>
      <c r="AB339" s="131">
        <v>7942.6</v>
      </c>
      <c r="AC339" s="131">
        <v>2057.3999999999996</v>
      </c>
      <c r="AD339" s="131">
        <v>0</v>
      </c>
      <c r="AE339" s="132">
        <v>10000</v>
      </c>
    </row>
    <row r="340" spans="1:31" x14ac:dyDescent="0.2">
      <c r="A340" s="133">
        <v>64</v>
      </c>
      <c r="B340" s="133" t="s">
        <v>1479</v>
      </c>
      <c r="C340" s="133" t="s">
        <v>1114</v>
      </c>
      <c r="D340" s="133" t="s">
        <v>1473</v>
      </c>
      <c r="E340" s="133" t="s">
        <v>1116</v>
      </c>
      <c r="F340" s="133" t="s">
        <v>1117</v>
      </c>
      <c r="G340" s="133" t="s">
        <v>1118</v>
      </c>
      <c r="H340" s="133" t="s">
        <v>1133</v>
      </c>
      <c r="I340" s="133" t="s">
        <v>1134</v>
      </c>
      <c r="J340" s="133" t="s">
        <v>1135</v>
      </c>
      <c r="K340" s="130" t="s">
        <v>1144</v>
      </c>
      <c r="L340" s="130" t="s">
        <v>1480</v>
      </c>
      <c r="M340" s="130" t="s">
        <v>1475</v>
      </c>
      <c r="N340" s="130" t="s">
        <v>165</v>
      </c>
      <c r="O340" s="130" t="s">
        <v>1476</v>
      </c>
      <c r="P340" s="130" t="s">
        <v>1477</v>
      </c>
      <c r="Q340" s="130" t="s">
        <v>1127</v>
      </c>
      <c r="R340" s="130" t="s">
        <v>1380</v>
      </c>
      <c r="S340" s="130" t="s">
        <v>1481</v>
      </c>
      <c r="T340" s="130" t="s">
        <v>1158</v>
      </c>
      <c r="U340" s="130">
        <v>0</v>
      </c>
      <c r="V340" s="131">
        <v>542539</v>
      </c>
      <c r="W340" s="131">
        <v>542539</v>
      </c>
      <c r="X340" s="131">
        <v>0</v>
      </c>
      <c r="Y340" s="131">
        <v>542539</v>
      </c>
      <c r="Z340" s="131">
        <v>0</v>
      </c>
      <c r="AA340" s="131">
        <v>542539</v>
      </c>
      <c r="AB340" s="131">
        <v>0</v>
      </c>
      <c r="AC340" s="131">
        <v>542539</v>
      </c>
      <c r="AD340" s="131">
        <v>0</v>
      </c>
      <c r="AE340" s="132">
        <v>542539</v>
      </c>
    </row>
    <row r="341" spans="1:31" x14ac:dyDescent="0.2">
      <c r="A341" s="130">
        <v>65</v>
      </c>
      <c r="B341" s="130" t="s">
        <v>1482</v>
      </c>
      <c r="C341" s="130" t="s">
        <v>1114</v>
      </c>
      <c r="D341" s="130" t="s">
        <v>1473</v>
      </c>
      <c r="E341" s="130" t="s">
        <v>1116</v>
      </c>
      <c r="F341" s="130" t="s">
        <v>1117</v>
      </c>
      <c r="G341" s="130" t="s">
        <v>1118</v>
      </c>
      <c r="H341" s="130" t="s">
        <v>1119</v>
      </c>
      <c r="I341" s="130" t="s">
        <v>1169</v>
      </c>
      <c r="J341" s="130" t="s">
        <v>1170</v>
      </c>
      <c r="K341" s="130" t="s">
        <v>1122</v>
      </c>
      <c r="L341" s="130" t="s">
        <v>1483</v>
      </c>
      <c r="M341" s="130" t="s">
        <v>1475</v>
      </c>
      <c r="N341" s="130" t="s">
        <v>165</v>
      </c>
      <c r="O341" s="130" t="s">
        <v>1476</v>
      </c>
      <c r="P341" s="130" t="s">
        <v>1477</v>
      </c>
      <c r="Q341" s="130" t="s">
        <v>1127</v>
      </c>
      <c r="R341" s="130" t="s">
        <v>1140</v>
      </c>
      <c r="S341" s="130" t="s">
        <v>1484</v>
      </c>
      <c r="T341" s="130" t="s">
        <v>1130</v>
      </c>
      <c r="U341" s="130">
        <v>2028388</v>
      </c>
      <c r="V341" s="131">
        <v>-260913</v>
      </c>
      <c r="W341" s="131">
        <v>1767475</v>
      </c>
      <c r="X341" s="131">
        <v>1767475</v>
      </c>
      <c r="Y341" s="131">
        <v>0</v>
      </c>
      <c r="Z341" s="131">
        <v>1767475</v>
      </c>
      <c r="AA341" s="131">
        <v>0</v>
      </c>
      <c r="AB341" s="131">
        <v>382599.96</v>
      </c>
      <c r="AC341" s="131">
        <v>1384875.04</v>
      </c>
      <c r="AD341" s="131">
        <v>382599.96</v>
      </c>
      <c r="AE341" s="132">
        <v>1384875.04</v>
      </c>
    </row>
    <row r="342" spans="1:31" x14ac:dyDescent="0.2">
      <c r="A342" s="133">
        <v>65</v>
      </c>
      <c r="B342" s="133" t="s">
        <v>1482</v>
      </c>
      <c r="C342" s="133" t="s">
        <v>1114</v>
      </c>
      <c r="D342" s="133" t="s">
        <v>1473</v>
      </c>
      <c r="E342" s="133" t="s">
        <v>1116</v>
      </c>
      <c r="F342" s="133" t="s">
        <v>1117</v>
      </c>
      <c r="G342" s="133" t="s">
        <v>1118</v>
      </c>
      <c r="H342" s="130" t="s">
        <v>1133</v>
      </c>
      <c r="I342" s="130" t="s">
        <v>1134</v>
      </c>
      <c r="J342" s="130" t="s">
        <v>1135</v>
      </c>
      <c r="K342" s="130" t="s">
        <v>1144</v>
      </c>
      <c r="L342" s="130" t="s">
        <v>1483</v>
      </c>
      <c r="M342" s="130" t="s">
        <v>1475</v>
      </c>
      <c r="N342" s="130" t="s">
        <v>165</v>
      </c>
      <c r="O342" s="130" t="s">
        <v>1476</v>
      </c>
      <c r="P342" s="130" t="s">
        <v>1477</v>
      </c>
      <c r="Q342" s="130" t="s">
        <v>1127</v>
      </c>
      <c r="R342" s="130" t="s">
        <v>1140</v>
      </c>
      <c r="S342" s="130" t="s">
        <v>1484</v>
      </c>
      <c r="T342" s="130" t="s">
        <v>1130</v>
      </c>
      <c r="U342" s="130">
        <v>0</v>
      </c>
      <c r="V342" s="131">
        <v>260913</v>
      </c>
      <c r="W342" s="131">
        <v>260913</v>
      </c>
      <c r="X342" s="131">
        <v>260913</v>
      </c>
      <c r="Y342" s="131">
        <v>0</v>
      </c>
      <c r="Z342" s="131">
        <v>260912.87</v>
      </c>
      <c r="AA342" s="131">
        <v>0.13000000000465661</v>
      </c>
      <c r="AB342" s="131">
        <v>0</v>
      </c>
      <c r="AC342" s="131">
        <v>260913</v>
      </c>
      <c r="AD342" s="131">
        <v>0</v>
      </c>
      <c r="AE342" s="132">
        <v>260913</v>
      </c>
    </row>
    <row r="343" spans="1:31" x14ac:dyDescent="0.2">
      <c r="A343" s="130">
        <v>66</v>
      </c>
      <c r="B343" s="130" t="s">
        <v>1485</v>
      </c>
      <c r="C343" s="130" t="s">
        <v>1114</v>
      </c>
      <c r="D343" s="130" t="s">
        <v>1473</v>
      </c>
      <c r="E343" s="130" t="s">
        <v>1116</v>
      </c>
      <c r="F343" s="130" t="s">
        <v>1117</v>
      </c>
      <c r="G343" s="130" t="s">
        <v>1118</v>
      </c>
      <c r="H343" s="130" t="s">
        <v>1119</v>
      </c>
      <c r="I343" s="130" t="s">
        <v>1169</v>
      </c>
      <c r="J343" s="130" t="s">
        <v>1170</v>
      </c>
      <c r="K343" s="130" t="s">
        <v>1122</v>
      </c>
      <c r="L343" s="130" t="s">
        <v>1486</v>
      </c>
      <c r="M343" s="130" t="s">
        <v>1475</v>
      </c>
      <c r="N343" s="130" t="s">
        <v>165</v>
      </c>
      <c r="O343" s="130" t="s">
        <v>1476</v>
      </c>
      <c r="P343" s="130" t="s">
        <v>1477</v>
      </c>
      <c r="Q343" s="130" t="s">
        <v>1127</v>
      </c>
      <c r="R343" s="130" t="s">
        <v>1448</v>
      </c>
      <c r="S343" s="130" t="s">
        <v>1487</v>
      </c>
      <c r="T343" s="130" t="s">
        <v>1130</v>
      </c>
      <c r="U343" s="130">
        <v>3796481</v>
      </c>
      <c r="V343" s="131">
        <v>-414064</v>
      </c>
      <c r="W343" s="131">
        <v>3382417</v>
      </c>
      <c r="X343" s="131">
        <v>3218241.48</v>
      </c>
      <c r="Y343" s="131">
        <v>164175.52000000002</v>
      </c>
      <c r="Z343" s="131">
        <v>3218241.48</v>
      </c>
      <c r="AA343" s="131">
        <v>164175.52000000002</v>
      </c>
      <c r="AB343" s="131">
        <v>0</v>
      </c>
      <c r="AC343" s="131">
        <v>3382417</v>
      </c>
      <c r="AD343" s="131">
        <v>0</v>
      </c>
      <c r="AE343" s="132">
        <v>3382417</v>
      </c>
    </row>
    <row r="344" spans="1:31" x14ac:dyDescent="0.2">
      <c r="A344" s="133">
        <v>66</v>
      </c>
      <c r="B344" s="133" t="s">
        <v>1485</v>
      </c>
      <c r="C344" s="133" t="s">
        <v>1114</v>
      </c>
      <c r="D344" s="133" t="s">
        <v>1473</v>
      </c>
      <c r="E344" s="133" t="s">
        <v>1116</v>
      </c>
      <c r="F344" s="133" t="s">
        <v>1117</v>
      </c>
      <c r="G344" s="133" t="s">
        <v>1118</v>
      </c>
      <c r="H344" s="130" t="s">
        <v>1133</v>
      </c>
      <c r="I344" s="130" t="s">
        <v>1134</v>
      </c>
      <c r="J344" s="130" t="s">
        <v>1135</v>
      </c>
      <c r="K344" s="130" t="s">
        <v>1178</v>
      </c>
      <c r="L344" s="130" t="s">
        <v>1486</v>
      </c>
      <c r="M344" s="130" t="s">
        <v>1475</v>
      </c>
      <c r="N344" s="130" t="s">
        <v>165</v>
      </c>
      <c r="O344" s="130" t="s">
        <v>1476</v>
      </c>
      <c r="P344" s="130" t="s">
        <v>1477</v>
      </c>
      <c r="Q344" s="130" t="s">
        <v>1127</v>
      </c>
      <c r="R344" s="130" t="s">
        <v>1448</v>
      </c>
      <c r="S344" s="130" t="s">
        <v>1487</v>
      </c>
      <c r="T344" s="130" t="s">
        <v>1130</v>
      </c>
      <c r="U344" s="130">
        <v>0</v>
      </c>
      <c r="V344" s="131">
        <v>60000</v>
      </c>
      <c r="W344" s="131">
        <v>60000</v>
      </c>
      <c r="X344" s="131">
        <v>0</v>
      </c>
      <c r="Y344" s="131">
        <v>60000</v>
      </c>
      <c r="Z344" s="131">
        <v>0</v>
      </c>
      <c r="AA344" s="131">
        <v>60000</v>
      </c>
      <c r="AB344" s="131">
        <v>0</v>
      </c>
      <c r="AC344" s="131">
        <v>60000</v>
      </c>
      <c r="AD344" s="131">
        <v>0</v>
      </c>
      <c r="AE344" s="132">
        <v>60000</v>
      </c>
    </row>
    <row r="345" spans="1:31" x14ac:dyDescent="0.2">
      <c r="A345" s="133">
        <v>66</v>
      </c>
      <c r="B345" s="133" t="s">
        <v>1485</v>
      </c>
      <c r="C345" s="133" t="s">
        <v>1114</v>
      </c>
      <c r="D345" s="133" t="s">
        <v>1473</v>
      </c>
      <c r="E345" s="133" t="s">
        <v>1116</v>
      </c>
      <c r="F345" s="133" t="s">
        <v>1117</v>
      </c>
      <c r="G345" s="133" t="s">
        <v>1118</v>
      </c>
      <c r="H345" s="133" t="s">
        <v>1133</v>
      </c>
      <c r="I345" s="133" t="s">
        <v>1134</v>
      </c>
      <c r="J345" s="133" t="s">
        <v>1135</v>
      </c>
      <c r="K345" s="130" t="s">
        <v>1179</v>
      </c>
      <c r="L345" s="130" t="s">
        <v>1486</v>
      </c>
      <c r="M345" s="130" t="s">
        <v>1475</v>
      </c>
      <c r="N345" s="130" t="s">
        <v>165</v>
      </c>
      <c r="O345" s="130" t="s">
        <v>1476</v>
      </c>
      <c r="P345" s="130" t="s">
        <v>1477</v>
      </c>
      <c r="Q345" s="130" t="s">
        <v>1127</v>
      </c>
      <c r="R345" s="130" t="s">
        <v>1448</v>
      </c>
      <c r="S345" s="130" t="s">
        <v>1487</v>
      </c>
      <c r="T345" s="130" t="s">
        <v>1130</v>
      </c>
      <c r="U345" s="130">
        <v>0</v>
      </c>
      <c r="V345" s="131">
        <v>13000</v>
      </c>
      <c r="W345" s="131">
        <v>13000</v>
      </c>
      <c r="X345" s="131">
        <v>0</v>
      </c>
      <c r="Y345" s="131">
        <v>13000</v>
      </c>
      <c r="Z345" s="131">
        <v>0</v>
      </c>
      <c r="AA345" s="131">
        <v>13000</v>
      </c>
      <c r="AB345" s="131">
        <v>0</v>
      </c>
      <c r="AC345" s="131">
        <v>13000</v>
      </c>
      <c r="AD345" s="131">
        <v>0</v>
      </c>
      <c r="AE345" s="132">
        <v>13000</v>
      </c>
    </row>
    <row r="346" spans="1:31" x14ac:dyDescent="0.2">
      <c r="A346" s="133">
        <v>66</v>
      </c>
      <c r="B346" s="133" t="s">
        <v>1485</v>
      </c>
      <c r="C346" s="133" t="s">
        <v>1114</v>
      </c>
      <c r="D346" s="133" t="s">
        <v>1473</v>
      </c>
      <c r="E346" s="133" t="s">
        <v>1116</v>
      </c>
      <c r="F346" s="133" t="s">
        <v>1117</v>
      </c>
      <c r="G346" s="133" t="s">
        <v>1118</v>
      </c>
      <c r="H346" s="133" t="s">
        <v>1133</v>
      </c>
      <c r="I346" s="133" t="s">
        <v>1134</v>
      </c>
      <c r="J346" s="133" t="s">
        <v>1135</v>
      </c>
      <c r="K346" s="130" t="s">
        <v>1144</v>
      </c>
      <c r="L346" s="130" t="s">
        <v>1486</v>
      </c>
      <c r="M346" s="130" t="s">
        <v>1475</v>
      </c>
      <c r="N346" s="130" t="s">
        <v>165</v>
      </c>
      <c r="O346" s="130" t="s">
        <v>1476</v>
      </c>
      <c r="P346" s="130" t="s">
        <v>1477</v>
      </c>
      <c r="Q346" s="130" t="s">
        <v>1127</v>
      </c>
      <c r="R346" s="130" t="s">
        <v>1448</v>
      </c>
      <c r="S346" s="130" t="s">
        <v>1487</v>
      </c>
      <c r="T346" s="130" t="s">
        <v>1130</v>
      </c>
      <c r="U346" s="130">
        <v>0</v>
      </c>
      <c r="V346" s="131">
        <v>341064</v>
      </c>
      <c r="W346" s="131">
        <v>341064</v>
      </c>
      <c r="X346" s="131">
        <v>333064</v>
      </c>
      <c r="Y346" s="131">
        <v>8000</v>
      </c>
      <c r="Z346" s="131">
        <v>0</v>
      </c>
      <c r="AA346" s="131">
        <v>341064</v>
      </c>
      <c r="AB346" s="131">
        <v>0</v>
      </c>
      <c r="AC346" s="131">
        <v>341064</v>
      </c>
      <c r="AD346" s="131">
        <v>0</v>
      </c>
      <c r="AE346" s="132">
        <v>341064</v>
      </c>
    </row>
    <row r="347" spans="1:31" x14ac:dyDescent="0.2">
      <c r="A347" s="130">
        <v>67</v>
      </c>
      <c r="B347" s="130" t="s">
        <v>1488</v>
      </c>
      <c r="C347" s="130" t="s">
        <v>1114</v>
      </c>
      <c r="D347" s="130" t="s">
        <v>1473</v>
      </c>
      <c r="E347" s="130" t="s">
        <v>1116</v>
      </c>
      <c r="F347" s="130" t="s">
        <v>1117</v>
      </c>
      <c r="G347" s="130" t="s">
        <v>1118</v>
      </c>
      <c r="H347" s="130" t="s">
        <v>1119</v>
      </c>
      <c r="I347" s="130" t="s">
        <v>1169</v>
      </c>
      <c r="J347" s="130" t="s">
        <v>1170</v>
      </c>
      <c r="K347" s="130" t="s">
        <v>1122</v>
      </c>
      <c r="L347" s="130" t="s">
        <v>1489</v>
      </c>
      <c r="M347" s="130" t="s">
        <v>1475</v>
      </c>
      <c r="N347" s="130" t="s">
        <v>165</v>
      </c>
      <c r="O347" s="130" t="s">
        <v>1476</v>
      </c>
      <c r="P347" s="130" t="s">
        <v>1477</v>
      </c>
      <c r="Q347" s="130" t="s">
        <v>1127</v>
      </c>
      <c r="R347" s="130" t="s">
        <v>1417</v>
      </c>
      <c r="S347" s="130" t="s">
        <v>1418</v>
      </c>
      <c r="T347" s="130" t="s">
        <v>1130</v>
      </c>
      <c r="U347" s="130">
        <v>2575916</v>
      </c>
      <c r="V347" s="131">
        <v>-392219</v>
      </c>
      <c r="W347" s="131">
        <v>2183697</v>
      </c>
      <c r="X347" s="131">
        <v>2000000</v>
      </c>
      <c r="Y347" s="131">
        <v>183697</v>
      </c>
      <c r="Z347" s="131">
        <v>2000000</v>
      </c>
      <c r="AA347" s="131">
        <v>183697</v>
      </c>
      <c r="AB347" s="131">
        <v>0</v>
      </c>
      <c r="AC347" s="131">
        <v>2183697</v>
      </c>
      <c r="AD347" s="131">
        <v>0</v>
      </c>
      <c r="AE347" s="132">
        <v>2183697</v>
      </c>
    </row>
    <row r="348" spans="1:31" x14ac:dyDescent="0.2">
      <c r="A348" s="133">
        <v>67</v>
      </c>
      <c r="B348" s="133" t="s">
        <v>1488</v>
      </c>
      <c r="C348" s="133" t="s">
        <v>1114</v>
      </c>
      <c r="D348" s="133" t="s">
        <v>1473</v>
      </c>
      <c r="E348" s="133" t="s">
        <v>1116</v>
      </c>
      <c r="F348" s="133" t="s">
        <v>1117</v>
      </c>
      <c r="G348" s="133" t="s">
        <v>1118</v>
      </c>
      <c r="H348" s="130" t="s">
        <v>1133</v>
      </c>
      <c r="I348" s="130" t="s">
        <v>1134</v>
      </c>
      <c r="J348" s="130" t="s">
        <v>1135</v>
      </c>
      <c r="K348" s="130" t="s">
        <v>1144</v>
      </c>
      <c r="L348" s="130" t="s">
        <v>1489</v>
      </c>
      <c r="M348" s="130" t="s">
        <v>1475</v>
      </c>
      <c r="N348" s="130" t="s">
        <v>165</v>
      </c>
      <c r="O348" s="130" t="s">
        <v>1476</v>
      </c>
      <c r="P348" s="130" t="s">
        <v>1477</v>
      </c>
      <c r="Q348" s="130" t="s">
        <v>1127</v>
      </c>
      <c r="R348" s="130" t="s">
        <v>1417</v>
      </c>
      <c r="S348" s="130" t="s">
        <v>1418</v>
      </c>
      <c r="T348" s="130" t="s">
        <v>1130</v>
      </c>
      <c r="U348" s="130">
        <v>0</v>
      </c>
      <c r="V348" s="131">
        <v>392219</v>
      </c>
      <c r="W348" s="131">
        <v>392219</v>
      </c>
      <c r="X348" s="131">
        <v>392219</v>
      </c>
      <c r="Y348" s="131">
        <v>0</v>
      </c>
      <c r="Z348" s="131">
        <v>0</v>
      </c>
      <c r="AA348" s="131">
        <v>392219</v>
      </c>
      <c r="AB348" s="131">
        <v>0</v>
      </c>
      <c r="AC348" s="131">
        <v>392219</v>
      </c>
      <c r="AD348" s="131">
        <v>0</v>
      </c>
      <c r="AE348" s="132">
        <v>392219</v>
      </c>
    </row>
    <row r="349" spans="1:31" x14ac:dyDescent="0.2">
      <c r="A349" s="130">
        <v>68</v>
      </c>
      <c r="B349" s="130" t="s">
        <v>1490</v>
      </c>
      <c r="C349" s="130" t="s">
        <v>1114</v>
      </c>
      <c r="D349" s="130" t="s">
        <v>1473</v>
      </c>
      <c r="E349" s="130" t="s">
        <v>1116</v>
      </c>
      <c r="F349" s="130" t="s">
        <v>1117</v>
      </c>
      <c r="G349" s="130" t="s">
        <v>1118</v>
      </c>
      <c r="H349" s="130" t="s">
        <v>1119</v>
      </c>
      <c r="I349" s="130" t="s">
        <v>1169</v>
      </c>
      <c r="J349" s="130" t="s">
        <v>1170</v>
      </c>
      <c r="K349" s="130" t="s">
        <v>1122</v>
      </c>
      <c r="L349" s="130" t="s">
        <v>1491</v>
      </c>
      <c r="M349" s="130" t="s">
        <v>1475</v>
      </c>
      <c r="N349" s="130" t="s">
        <v>165</v>
      </c>
      <c r="O349" s="130" t="s">
        <v>1476</v>
      </c>
      <c r="P349" s="130" t="s">
        <v>1477</v>
      </c>
      <c r="Q349" s="130" t="s">
        <v>1127</v>
      </c>
      <c r="R349" s="130" t="s">
        <v>1413</v>
      </c>
      <c r="S349" s="130" t="s">
        <v>1414</v>
      </c>
      <c r="T349" s="130" t="s">
        <v>1130</v>
      </c>
      <c r="U349" s="130">
        <v>1515300</v>
      </c>
      <c r="V349" s="131">
        <v>-1515300</v>
      </c>
      <c r="W349" s="131">
        <v>0</v>
      </c>
      <c r="X349" s="131">
        <v>0</v>
      </c>
      <c r="Y349" s="131">
        <v>0</v>
      </c>
      <c r="Z349" s="131">
        <v>0</v>
      </c>
      <c r="AA349" s="131">
        <v>0</v>
      </c>
      <c r="AB349" s="131">
        <v>0</v>
      </c>
      <c r="AC349" s="131">
        <v>0</v>
      </c>
      <c r="AD349" s="131">
        <v>0</v>
      </c>
      <c r="AE349" s="132">
        <v>0</v>
      </c>
    </row>
    <row r="350" spans="1:31" x14ac:dyDescent="0.2">
      <c r="A350" s="133">
        <v>68</v>
      </c>
      <c r="B350" s="133" t="s">
        <v>1490</v>
      </c>
      <c r="C350" s="133" t="s">
        <v>1114</v>
      </c>
      <c r="D350" s="133" t="s">
        <v>1473</v>
      </c>
      <c r="E350" s="133" t="s">
        <v>1116</v>
      </c>
      <c r="F350" s="133" t="s">
        <v>1117</v>
      </c>
      <c r="G350" s="133" t="s">
        <v>1118</v>
      </c>
      <c r="H350" s="130" t="s">
        <v>1133</v>
      </c>
      <c r="I350" s="130" t="s">
        <v>1134</v>
      </c>
      <c r="J350" s="130" t="s">
        <v>1166</v>
      </c>
      <c r="K350" s="130" t="s">
        <v>1167</v>
      </c>
      <c r="L350" s="130" t="s">
        <v>1491</v>
      </c>
      <c r="M350" s="130" t="s">
        <v>1475</v>
      </c>
      <c r="N350" s="130" t="s">
        <v>165</v>
      </c>
      <c r="O350" s="130" t="s">
        <v>1476</v>
      </c>
      <c r="P350" s="130" t="s">
        <v>1477</v>
      </c>
      <c r="Q350" s="130" t="s">
        <v>1127</v>
      </c>
      <c r="R350" s="130" t="s">
        <v>1413</v>
      </c>
      <c r="S350" s="130" t="s">
        <v>1414</v>
      </c>
      <c r="T350" s="130" t="s">
        <v>1130</v>
      </c>
      <c r="U350" s="130">
        <v>0</v>
      </c>
      <c r="V350" s="131">
        <v>48882</v>
      </c>
      <c r="W350" s="131">
        <v>48882</v>
      </c>
      <c r="X350" s="131">
        <v>30000</v>
      </c>
      <c r="Y350" s="131">
        <v>18882</v>
      </c>
      <c r="Z350" s="131">
        <v>0</v>
      </c>
      <c r="AA350" s="131">
        <v>48882</v>
      </c>
      <c r="AB350" s="131">
        <v>0</v>
      </c>
      <c r="AC350" s="131">
        <v>48882</v>
      </c>
      <c r="AD350" s="131">
        <v>0</v>
      </c>
      <c r="AE350" s="132">
        <v>48882</v>
      </c>
    </row>
    <row r="351" spans="1:31" x14ac:dyDescent="0.2">
      <c r="A351" s="130">
        <v>69</v>
      </c>
      <c r="B351" s="130" t="s">
        <v>1492</v>
      </c>
      <c r="C351" s="130" t="s">
        <v>1114</v>
      </c>
      <c r="D351" s="130" t="s">
        <v>1473</v>
      </c>
      <c r="E351" s="130" t="s">
        <v>1116</v>
      </c>
      <c r="F351" s="130" t="s">
        <v>1117</v>
      </c>
      <c r="G351" s="130" t="s">
        <v>1118</v>
      </c>
      <c r="H351" s="130" t="s">
        <v>1119</v>
      </c>
      <c r="I351" s="130" t="s">
        <v>1169</v>
      </c>
      <c r="J351" s="130" t="s">
        <v>1170</v>
      </c>
      <c r="K351" s="130" t="s">
        <v>1122</v>
      </c>
      <c r="L351" s="130" t="s">
        <v>1493</v>
      </c>
      <c r="M351" s="130" t="s">
        <v>1475</v>
      </c>
      <c r="N351" s="130" t="s">
        <v>165</v>
      </c>
      <c r="O351" s="130" t="s">
        <v>1476</v>
      </c>
      <c r="P351" s="130" t="s">
        <v>1477</v>
      </c>
      <c r="Q351" s="130" t="s">
        <v>1127</v>
      </c>
      <c r="R351" s="130" t="s">
        <v>1191</v>
      </c>
      <c r="S351" s="130" t="s">
        <v>1191</v>
      </c>
      <c r="T351" s="130" t="s">
        <v>1130</v>
      </c>
      <c r="U351" s="130">
        <v>1062638</v>
      </c>
      <c r="V351" s="131">
        <v>-1062638</v>
      </c>
      <c r="W351" s="131">
        <v>0</v>
      </c>
      <c r="X351" s="131">
        <v>0</v>
      </c>
      <c r="Y351" s="131">
        <v>0</v>
      </c>
      <c r="Z351" s="131">
        <v>0</v>
      </c>
      <c r="AA351" s="131">
        <v>0</v>
      </c>
      <c r="AB351" s="131">
        <v>0</v>
      </c>
      <c r="AC351" s="131">
        <v>0</v>
      </c>
      <c r="AD351" s="131">
        <v>0</v>
      </c>
      <c r="AE351" s="132">
        <v>0</v>
      </c>
    </row>
    <row r="352" spans="1:31" x14ac:dyDescent="0.2">
      <c r="A352" s="133">
        <v>69</v>
      </c>
      <c r="B352" s="133" t="s">
        <v>1492</v>
      </c>
      <c r="C352" s="133" t="s">
        <v>1114</v>
      </c>
      <c r="D352" s="133" t="s">
        <v>1473</v>
      </c>
      <c r="E352" s="133" t="s">
        <v>1116</v>
      </c>
      <c r="F352" s="133" t="s">
        <v>1117</v>
      </c>
      <c r="G352" s="133" t="s">
        <v>1118</v>
      </c>
      <c r="H352" s="130" t="s">
        <v>1133</v>
      </c>
      <c r="I352" s="130" t="s">
        <v>1134</v>
      </c>
      <c r="J352" s="130" t="s">
        <v>1166</v>
      </c>
      <c r="K352" s="130" t="s">
        <v>1167</v>
      </c>
      <c r="L352" s="130" t="s">
        <v>1493</v>
      </c>
      <c r="M352" s="130" t="s">
        <v>1475</v>
      </c>
      <c r="N352" s="130" t="s">
        <v>165</v>
      </c>
      <c r="O352" s="130" t="s">
        <v>1476</v>
      </c>
      <c r="P352" s="130" t="s">
        <v>1477</v>
      </c>
      <c r="Q352" s="130" t="s">
        <v>1127</v>
      </c>
      <c r="R352" s="130" t="s">
        <v>1191</v>
      </c>
      <c r="S352" s="130" t="s">
        <v>1191</v>
      </c>
      <c r="T352" s="130" t="s">
        <v>1130</v>
      </c>
      <c r="U352" s="130">
        <v>0</v>
      </c>
      <c r="V352" s="131">
        <v>38244</v>
      </c>
      <c r="W352" s="131">
        <v>38244</v>
      </c>
      <c r="X352" s="131">
        <v>25418</v>
      </c>
      <c r="Y352" s="131">
        <v>12826</v>
      </c>
      <c r="Z352" s="131">
        <v>0</v>
      </c>
      <c r="AA352" s="131">
        <v>38244</v>
      </c>
      <c r="AB352" s="131">
        <v>0</v>
      </c>
      <c r="AC352" s="131">
        <v>38244</v>
      </c>
      <c r="AD352" s="131">
        <v>0</v>
      </c>
      <c r="AE352" s="132">
        <v>38244</v>
      </c>
    </row>
    <row r="353" spans="1:31" x14ac:dyDescent="0.2">
      <c r="A353" s="130">
        <v>70</v>
      </c>
      <c r="B353" s="130" t="s">
        <v>1494</v>
      </c>
      <c r="C353" s="130" t="s">
        <v>1114</v>
      </c>
      <c r="D353" s="130" t="s">
        <v>1473</v>
      </c>
      <c r="E353" s="130" t="s">
        <v>1116</v>
      </c>
      <c r="F353" s="130" t="s">
        <v>1117</v>
      </c>
      <c r="G353" s="130" t="s">
        <v>1118</v>
      </c>
      <c r="H353" s="130" t="s">
        <v>1119</v>
      </c>
      <c r="I353" s="130" t="s">
        <v>1169</v>
      </c>
      <c r="J353" s="130" t="s">
        <v>1170</v>
      </c>
      <c r="K353" s="130" t="s">
        <v>1122</v>
      </c>
      <c r="L353" s="130" t="s">
        <v>1495</v>
      </c>
      <c r="M353" s="130" t="s">
        <v>1475</v>
      </c>
      <c r="N353" s="130" t="s">
        <v>165</v>
      </c>
      <c r="O353" s="130" t="s">
        <v>1476</v>
      </c>
      <c r="P353" s="130" t="s">
        <v>1477</v>
      </c>
      <c r="Q353" s="130" t="s">
        <v>1127</v>
      </c>
      <c r="R353" s="130" t="s">
        <v>1434</v>
      </c>
      <c r="S353" s="130" t="s">
        <v>1496</v>
      </c>
      <c r="T353" s="130" t="s">
        <v>1130</v>
      </c>
      <c r="U353" s="130">
        <v>1893433</v>
      </c>
      <c r="V353" s="131">
        <v>-1893433</v>
      </c>
      <c r="W353" s="131">
        <v>0</v>
      </c>
      <c r="X353" s="131">
        <v>0</v>
      </c>
      <c r="Y353" s="131">
        <v>0</v>
      </c>
      <c r="Z353" s="131">
        <v>0</v>
      </c>
      <c r="AA353" s="131">
        <v>0</v>
      </c>
      <c r="AB353" s="131">
        <v>0</v>
      </c>
      <c r="AC353" s="131">
        <v>0</v>
      </c>
      <c r="AD353" s="131">
        <v>0</v>
      </c>
      <c r="AE353" s="132">
        <v>0</v>
      </c>
    </row>
    <row r="354" spans="1:31" x14ac:dyDescent="0.2">
      <c r="A354" s="133">
        <v>70</v>
      </c>
      <c r="B354" s="133" t="s">
        <v>1494</v>
      </c>
      <c r="C354" s="133" t="s">
        <v>1114</v>
      </c>
      <c r="D354" s="133" t="s">
        <v>1473</v>
      </c>
      <c r="E354" s="133" t="s">
        <v>1116</v>
      </c>
      <c r="F354" s="133" t="s">
        <v>1117</v>
      </c>
      <c r="G354" s="133" t="s">
        <v>1118</v>
      </c>
      <c r="H354" s="130" t="s">
        <v>1133</v>
      </c>
      <c r="I354" s="130" t="s">
        <v>1134</v>
      </c>
      <c r="J354" s="130" t="s">
        <v>1166</v>
      </c>
      <c r="K354" s="130" t="s">
        <v>1167</v>
      </c>
      <c r="L354" s="130" t="s">
        <v>1495</v>
      </c>
      <c r="M354" s="130" t="s">
        <v>1475</v>
      </c>
      <c r="N354" s="130" t="s">
        <v>165</v>
      </c>
      <c r="O354" s="130" t="s">
        <v>1476</v>
      </c>
      <c r="P354" s="130" t="s">
        <v>1477</v>
      </c>
      <c r="Q354" s="130" t="s">
        <v>1127</v>
      </c>
      <c r="R354" s="130" t="s">
        <v>1434</v>
      </c>
      <c r="S354" s="130" t="s">
        <v>1496</v>
      </c>
      <c r="T354" s="130" t="s">
        <v>1130</v>
      </c>
      <c r="U354" s="130">
        <v>0</v>
      </c>
      <c r="V354" s="131">
        <v>25425</v>
      </c>
      <c r="W354" s="131">
        <v>25425</v>
      </c>
      <c r="X354" s="131">
        <v>0</v>
      </c>
      <c r="Y354" s="131">
        <v>25425</v>
      </c>
      <c r="Z354" s="131">
        <v>0</v>
      </c>
      <c r="AA354" s="131">
        <v>25425</v>
      </c>
      <c r="AB354" s="131">
        <v>0</v>
      </c>
      <c r="AC354" s="131">
        <v>25425</v>
      </c>
      <c r="AD354" s="131">
        <v>0</v>
      </c>
      <c r="AE354" s="132">
        <v>25425</v>
      </c>
    </row>
    <row r="355" spans="1:31" x14ac:dyDescent="0.2">
      <c r="A355" s="130">
        <v>71</v>
      </c>
      <c r="B355" s="130" t="s">
        <v>1497</v>
      </c>
      <c r="C355" s="130" t="s">
        <v>1114</v>
      </c>
      <c r="D355" s="130" t="s">
        <v>1473</v>
      </c>
      <c r="E355" s="130" t="s">
        <v>1116</v>
      </c>
      <c r="F355" s="130" t="s">
        <v>1117</v>
      </c>
      <c r="G355" s="130" t="s">
        <v>1118</v>
      </c>
      <c r="H355" s="130" t="s">
        <v>1119</v>
      </c>
      <c r="I355" s="130" t="s">
        <v>1169</v>
      </c>
      <c r="J355" s="130" t="s">
        <v>1170</v>
      </c>
      <c r="K355" s="130" t="s">
        <v>1122</v>
      </c>
      <c r="L355" s="130" t="s">
        <v>1498</v>
      </c>
      <c r="M355" s="130" t="s">
        <v>1475</v>
      </c>
      <c r="N355" s="130" t="s">
        <v>165</v>
      </c>
      <c r="O355" s="130" t="s">
        <v>1476</v>
      </c>
      <c r="P355" s="130" t="s">
        <v>1477</v>
      </c>
      <c r="Q355" s="130" t="s">
        <v>1127</v>
      </c>
      <c r="R355" s="130" t="s">
        <v>1499</v>
      </c>
      <c r="S355" s="130" t="s">
        <v>1500</v>
      </c>
      <c r="T355" s="130" t="s">
        <v>1130</v>
      </c>
      <c r="U355" s="130">
        <v>2054253</v>
      </c>
      <c r="V355" s="131">
        <v>-440473</v>
      </c>
      <c r="W355" s="131">
        <v>1613780</v>
      </c>
      <c r="X355" s="131">
        <v>1413780</v>
      </c>
      <c r="Y355" s="131">
        <v>200000</v>
      </c>
      <c r="Z355" s="131">
        <v>0</v>
      </c>
      <c r="AA355" s="131">
        <v>1613780</v>
      </c>
      <c r="AB355" s="131">
        <v>0</v>
      </c>
      <c r="AC355" s="131">
        <v>1613780</v>
      </c>
      <c r="AD355" s="131">
        <v>0</v>
      </c>
      <c r="AE355" s="132">
        <v>1613780</v>
      </c>
    </row>
    <row r="356" spans="1:31" x14ac:dyDescent="0.2">
      <c r="A356" s="133">
        <v>71</v>
      </c>
      <c r="B356" s="133" t="s">
        <v>1497</v>
      </c>
      <c r="C356" s="133" t="s">
        <v>1114</v>
      </c>
      <c r="D356" s="133" t="s">
        <v>1473</v>
      </c>
      <c r="E356" s="133" t="s">
        <v>1116</v>
      </c>
      <c r="F356" s="133" t="s">
        <v>1117</v>
      </c>
      <c r="G356" s="133" t="s">
        <v>1118</v>
      </c>
      <c r="H356" s="130" t="s">
        <v>1133</v>
      </c>
      <c r="I356" s="130" t="s">
        <v>1134</v>
      </c>
      <c r="J356" s="130" t="s">
        <v>1135</v>
      </c>
      <c r="K356" s="130" t="s">
        <v>1144</v>
      </c>
      <c r="L356" s="130" t="s">
        <v>1498</v>
      </c>
      <c r="M356" s="130" t="s">
        <v>1475</v>
      </c>
      <c r="N356" s="130" t="s">
        <v>165</v>
      </c>
      <c r="O356" s="130" t="s">
        <v>1476</v>
      </c>
      <c r="P356" s="130" t="s">
        <v>1477</v>
      </c>
      <c r="Q356" s="130" t="s">
        <v>1127</v>
      </c>
      <c r="R356" s="130" t="s">
        <v>1499</v>
      </c>
      <c r="S356" s="130" t="s">
        <v>1500</v>
      </c>
      <c r="T356" s="130" t="s">
        <v>1130</v>
      </c>
      <c r="U356" s="130">
        <v>0</v>
      </c>
      <c r="V356" s="131">
        <v>440473</v>
      </c>
      <c r="W356" s="131">
        <v>440473</v>
      </c>
      <c r="X356" s="131">
        <v>440473</v>
      </c>
      <c r="Y356" s="131">
        <v>0</v>
      </c>
      <c r="Z356" s="131">
        <v>0</v>
      </c>
      <c r="AA356" s="131">
        <v>440473</v>
      </c>
      <c r="AB356" s="131">
        <v>0</v>
      </c>
      <c r="AC356" s="131">
        <v>440473</v>
      </c>
      <c r="AD356" s="131">
        <v>0</v>
      </c>
      <c r="AE356" s="132">
        <v>440473</v>
      </c>
    </row>
    <row r="357" spans="1:31" x14ac:dyDescent="0.2">
      <c r="A357" s="130">
        <v>72</v>
      </c>
      <c r="B357" s="130" t="s">
        <v>1501</v>
      </c>
      <c r="C357" s="130" t="s">
        <v>1114</v>
      </c>
      <c r="D357" s="130" t="s">
        <v>1473</v>
      </c>
      <c r="E357" s="130" t="s">
        <v>1116</v>
      </c>
      <c r="F357" s="130" t="s">
        <v>1117</v>
      </c>
      <c r="G357" s="130" t="s">
        <v>1118</v>
      </c>
      <c r="H357" s="130" t="s">
        <v>1119</v>
      </c>
      <c r="I357" s="130" t="s">
        <v>1169</v>
      </c>
      <c r="J357" s="130" t="s">
        <v>1170</v>
      </c>
      <c r="K357" s="130" t="s">
        <v>1122</v>
      </c>
      <c r="L357" s="130" t="s">
        <v>1502</v>
      </c>
      <c r="M357" s="130" t="s">
        <v>1475</v>
      </c>
      <c r="N357" s="130" t="s">
        <v>165</v>
      </c>
      <c r="O357" s="130" t="s">
        <v>1476</v>
      </c>
      <c r="P357" s="130" t="s">
        <v>1477</v>
      </c>
      <c r="Q357" s="130" t="s">
        <v>1127</v>
      </c>
      <c r="R357" s="130" t="s">
        <v>1472</v>
      </c>
      <c r="S357" s="130" t="s">
        <v>1503</v>
      </c>
      <c r="T357" s="130" t="s">
        <v>1130</v>
      </c>
      <c r="U357" s="130">
        <v>2000000</v>
      </c>
      <c r="V357" s="131">
        <v>633946</v>
      </c>
      <c r="W357" s="131">
        <v>2633946</v>
      </c>
      <c r="X357" s="131">
        <v>1706774</v>
      </c>
      <c r="Y357" s="131">
        <v>927172</v>
      </c>
      <c r="Z357" s="131">
        <v>1706774</v>
      </c>
      <c r="AA357" s="131">
        <v>927172</v>
      </c>
      <c r="AB357" s="131">
        <v>0</v>
      </c>
      <c r="AC357" s="131">
        <v>2633946</v>
      </c>
      <c r="AD357" s="131">
        <v>0</v>
      </c>
      <c r="AE357" s="132">
        <v>2633946</v>
      </c>
    </row>
    <row r="358" spans="1:31" x14ac:dyDescent="0.2">
      <c r="A358" s="133">
        <v>72</v>
      </c>
      <c r="B358" s="133" t="s">
        <v>1501</v>
      </c>
      <c r="C358" s="133" t="s">
        <v>1114</v>
      </c>
      <c r="D358" s="133" t="s">
        <v>1473</v>
      </c>
      <c r="E358" s="133" t="s">
        <v>1116</v>
      </c>
      <c r="F358" s="133" t="s">
        <v>1117</v>
      </c>
      <c r="G358" s="133" t="s">
        <v>1118</v>
      </c>
      <c r="H358" s="130" t="s">
        <v>1133</v>
      </c>
      <c r="I358" s="130" t="s">
        <v>1134</v>
      </c>
      <c r="J358" s="130" t="s">
        <v>1135</v>
      </c>
      <c r="K358" s="130" t="s">
        <v>1178</v>
      </c>
      <c r="L358" s="130" t="s">
        <v>1502</v>
      </c>
      <c r="M358" s="130" t="s">
        <v>1475</v>
      </c>
      <c r="N358" s="130" t="s">
        <v>165</v>
      </c>
      <c r="O358" s="130" t="s">
        <v>1476</v>
      </c>
      <c r="P358" s="130" t="s">
        <v>1477</v>
      </c>
      <c r="Q358" s="130" t="s">
        <v>1127</v>
      </c>
      <c r="R358" s="130" t="s">
        <v>1472</v>
      </c>
      <c r="S358" s="130" t="s">
        <v>1503</v>
      </c>
      <c r="T358" s="130" t="s">
        <v>1130</v>
      </c>
      <c r="U358" s="130">
        <v>0</v>
      </c>
      <c r="V358" s="131">
        <v>100000</v>
      </c>
      <c r="W358" s="131">
        <v>100000</v>
      </c>
      <c r="X358" s="131">
        <v>0</v>
      </c>
      <c r="Y358" s="131">
        <v>100000</v>
      </c>
      <c r="Z358" s="131">
        <v>0</v>
      </c>
      <c r="AA358" s="131">
        <v>100000</v>
      </c>
      <c r="AB358" s="131">
        <v>0</v>
      </c>
      <c r="AC358" s="131">
        <v>100000</v>
      </c>
      <c r="AD358" s="131">
        <v>0</v>
      </c>
      <c r="AE358" s="132">
        <v>100000</v>
      </c>
    </row>
    <row r="359" spans="1:31" x14ac:dyDescent="0.2">
      <c r="A359" s="133">
        <v>72</v>
      </c>
      <c r="B359" s="133" t="s">
        <v>1501</v>
      </c>
      <c r="C359" s="133" t="s">
        <v>1114</v>
      </c>
      <c r="D359" s="133" t="s">
        <v>1473</v>
      </c>
      <c r="E359" s="133" t="s">
        <v>1116</v>
      </c>
      <c r="F359" s="133" t="s">
        <v>1117</v>
      </c>
      <c r="G359" s="133" t="s">
        <v>1118</v>
      </c>
      <c r="H359" s="133" t="s">
        <v>1133</v>
      </c>
      <c r="I359" s="133" t="s">
        <v>1134</v>
      </c>
      <c r="J359" s="133" t="s">
        <v>1135</v>
      </c>
      <c r="K359" s="130" t="s">
        <v>1179</v>
      </c>
      <c r="L359" s="130" t="s">
        <v>1502</v>
      </c>
      <c r="M359" s="130" t="s">
        <v>1475</v>
      </c>
      <c r="N359" s="130" t="s">
        <v>165</v>
      </c>
      <c r="O359" s="130" t="s">
        <v>1476</v>
      </c>
      <c r="P359" s="130" t="s">
        <v>1477</v>
      </c>
      <c r="Q359" s="130" t="s">
        <v>1127</v>
      </c>
      <c r="R359" s="130" t="s">
        <v>1472</v>
      </c>
      <c r="S359" s="130" t="s">
        <v>1503</v>
      </c>
      <c r="T359" s="130" t="s">
        <v>1130</v>
      </c>
      <c r="U359" s="130">
        <v>0</v>
      </c>
      <c r="V359" s="131">
        <v>20000</v>
      </c>
      <c r="W359" s="131">
        <v>20000</v>
      </c>
      <c r="X359" s="131">
        <v>0</v>
      </c>
      <c r="Y359" s="131">
        <v>20000</v>
      </c>
      <c r="Z359" s="131">
        <v>0</v>
      </c>
      <c r="AA359" s="131">
        <v>20000</v>
      </c>
      <c r="AB359" s="131">
        <v>0</v>
      </c>
      <c r="AC359" s="131">
        <v>20000</v>
      </c>
      <c r="AD359" s="131">
        <v>0</v>
      </c>
      <c r="AE359" s="132">
        <v>20000</v>
      </c>
    </row>
    <row r="360" spans="1:31" x14ac:dyDescent="0.2">
      <c r="A360" s="133">
        <v>72</v>
      </c>
      <c r="B360" s="133" t="s">
        <v>1501</v>
      </c>
      <c r="C360" s="133" t="s">
        <v>1114</v>
      </c>
      <c r="D360" s="133" t="s">
        <v>1473</v>
      </c>
      <c r="E360" s="133" t="s">
        <v>1116</v>
      </c>
      <c r="F360" s="133" t="s">
        <v>1117</v>
      </c>
      <c r="G360" s="133" t="s">
        <v>1118</v>
      </c>
      <c r="H360" s="133" t="s">
        <v>1133</v>
      </c>
      <c r="I360" s="133" t="s">
        <v>1134</v>
      </c>
      <c r="J360" s="133" t="s">
        <v>1135</v>
      </c>
      <c r="K360" s="130" t="s">
        <v>1144</v>
      </c>
      <c r="L360" s="130" t="s">
        <v>1502</v>
      </c>
      <c r="M360" s="130" t="s">
        <v>1475</v>
      </c>
      <c r="N360" s="130" t="s">
        <v>165</v>
      </c>
      <c r="O360" s="130" t="s">
        <v>1476</v>
      </c>
      <c r="P360" s="130" t="s">
        <v>1477</v>
      </c>
      <c r="Q360" s="130" t="s">
        <v>1127</v>
      </c>
      <c r="R360" s="130" t="s">
        <v>1472</v>
      </c>
      <c r="S360" s="130" t="s">
        <v>1503</v>
      </c>
      <c r="T360" s="130" t="s">
        <v>1130</v>
      </c>
      <c r="U360" s="130">
        <v>0</v>
      </c>
      <c r="V360" s="131">
        <v>313226</v>
      </c>
      <c r="W360" s="131">
        <v>313226</v>
      </c>
      <c r="X360" s="131">
        <v>0</v>
      </c>
      <c r="Y360" s="131">
        <v>313226</v>
      </c>
      <c r="Z360" s="131">
        <v>0</v>
      </c>
      <c r="AA360" s="131">
        <v>313226</v>
      </c>
      <c r="AB360" s="131">
        <v>0</v>
      </c>
      <c r="AC360" s="131">
        <v>313226</v>
      </c>
      <c r="AD360" s="131">
        <v>0</v>
      </c>
      <c r="AE360" s="132">
        <v>313226</v>
      </c>
    </row>
    <row r="361" spans="1:31" x14ac:dyDescent="0.2">
      <c r="A361" s="130">
        <v>73</v>
      </c>
      <c r="B361" s="130" t="s">
        <v>1504</v>
      </c>
      <c r="C361" s="130" t="s">
        <v>1114</v>
      </c>
      <c r="D361" s="130" t="s">
        <v>1473</v>
      </c>
      <c r="E361" s="130" t="s">
        <v>1116</v>
      </c>
      <c r="F361" s="130" t="s">
        <v>1117</v>
      </c>
      <c r="G361" s="130" t="s">
        <v>1118</v>
      </c>
      <c r="H361" s="130" t="s">
        <v>1119</v>
      </c>
      <c r="I361" s="130" t="s">
        <v>1120</v>
      </c>
      <c r="J361" s="130" t="s">
        <v>2012</v>
      </c>
      <c r="K361" s="130" t="s">
        <v>1122</v>
      </c>
      <c r="L361" s="130" t="s">
        <v>1505</v>
      </c>
      <c r="M361" s="130" t="s">
        <v>1475</v>
      </c>
      <c r="N361" s="130" t="s">
        <v>165</v>
      </c>
      <c r="O361" s="130" t="s">
        <v>1476</v>
      </c>
      <c r="P361" s="130" t="s">
        <v>1477</v>
      </c>
      <c r="Q361" s="130" t="s">
        <v>1127</v>
      </c>
      <c r="R361" s="130" t="s">
        <v>1187</v>
      </c>
      <c r="S361" s="130" t="s">
        <v>1427</v>
      </c>
      <c r="T361" s="130" t="s">
        <v>1130</v>
      </c>
      <c r="U361" s="130">
        <v>0</v>
      </c>
      <c r="V361" s="131">
        <v>4438905</v>
      </c>
      <c r="W361" s="131">
        <v>4438905</v>
      </c>
      <c r="X361" s="131">
        <v>4438905</v>
      </c>
      <c r="Y361" s="131">
        <v>0</v>
      </c>
      <c r="Z361" s="131">
        <v>0</v>
      </c>
      <c r="AA361" s="131">
        <v>4438905</v>
      </c>
      <c r="AB361" s="131">
        <v>0</v>
      </c>
      <c r="AC361" s="131">
        <v>4438905</v>
      </c>
      <c r="AD361" s="131">
        <v>0</v>
      </c>
      <c r="AE361" s="132">
        <v>4438905</v>
      </c>
    </row>
    <row r="362" spans="1:31" x14ac:dyDescent="0.2">
      <c r="A362" s="133">
        <v>73</v>
      </c>
      <c r="B362" s="133" t="s">
        <v>1504</v>
      </c>
      <c r="C362" s="133" t="s">
        <v>1114</v>
      </c>
      <c r="D362" s="133" t="s">
        <v>1473</v>
      </c>
      <c r="E362" s="133" t="s">
        <v>1116</v>
      </c>
      <c r="F362" s="133" t="s">
        <v>1117</v>
      </c>
      <c r="G362" s="133" t="s">
        <v>1118</v>
      </c>
      <c r="H362" s="133" t="s">
        <v>1119</v>
      </c>
      <c r="I362" s="130" t="s">
        <v>1169</v>
      </c>
      <c r="J362" s="130" t="s">
        <v>1170</v>
      </c>
      <c r="K362" s="130" t="s">
        <v>1122</v>
      </c>
      <c r="L362" s="130" t="s">
        <v>1505</v>
      </c>
      <c r="M362" s="130" t="s">
        <v>1475</v>
      </c>
      <c r="N362" s="130" t="s">
        <v>165</v>
      </c>
      <c r="O362" s="130" t="s">
        <v>1476</v>
      </c>
      <c r="P362" s="130" t="s">
        <v>1477</v>
      </c>
      <c r="Q362" s="130" t="s">
        <v>1127</v>
      </c>
      <c r="R362" s="130" t="s">
        <v>1187</v>
      </c>
      <c r="S362" s="130" t="s">
        <v>1427</v>
      </c>
      <c r="T362" s="130" t="s">
        <v>1130</v>
      </c>
      <c r="U362" s="130">
        <v>1556258</v>
      </c>
      <c r="V362" s="131">
        <v>-1556258</v>
      </c>
      <c r="W362" s="131">
        <v>0</v>
      </c>
      <c r="X362" s="131">
        <v>0</v>
      </c>
      <c r="Y362" s="131">
        <v>0</v>
      </c>
      <c r="Z362" s="131">
        <v>0</v>
      </c>
      <c r="AA362" s="131">
        <v>0</v>
      </c>
      <c r="AB362" s="131">
        <v>0</v>
      </c>
      <c r="AC362" s="131">
        <v>0</v>
      </c>
      <c r="AD362" s="131">
        <v>0</v>
      </c>
      <c r="AE362" s="132">
        <v>0</v>
      </c>
    </row>
    <row r="363" spans="1:31" x14ac:dyDescent="0.2">
      <c r="A363" s="133">
        <v>73</v>
      </c>
      <c r="B363" s="133" t="s">
        <v>1504</v>
      </c>
      <c r="C363" s="133" t="s">
        <v>1114</v>
      </c>
      <c r="D363" s="133" t="s">
        <v>1473</v>
      </c>
      <c r="E363" s="133" t="s">
        <v>1116</v>
      </c>
      <c r="F363" s="133" t="s">
        <v>1117</v>
      </c>
      <c r="G363" s="133" t="s">
        <v>1118</v>
      </c>
      <c r="H363" s="130" t="s">
        <v>1133</v>
      </c>
      <c r="I363" s="130" t="s">
        <v>1134</v>
      </c>
      <c r="J363" s="130" t="s">
        <v>1166</v>
      </c>
      <c r="K363" s="130" t="s">
        <v>1167</v>
      </c>
      <c r="L363" s="130" t="s">
        <v>1505</v>
      </c>
      <c r="M363" s="130" t="s">
        <v>1475</v>
      </c>
      <c r="N363" s="130" t="s">
        <v>165</v>
      </c>
      <c r="O363" s="130" t="s">
        <v>1476</v>
      </c>
      <c r="P363" s="130" t="s">
        <v>1477</v>
      </c>
      <c r="Q363" s="130" t="s">
        <v>1127</v>
      </c>
      <c r="R363" s="130" t="s">
        <v>1187</v>
      </c>
      <c r="S363" s="130" t="s">
        <v>1427</v>
      </c>
      <c r="T363" s="130" t="s">
        <v>1130</v>
      </c>
      <c r="U363" s="130">
        <v>0</v>
      </c>
      <c r="V363" s="131">
        <v>35099</v>
      </c>
      <c r="W363" s="131">
        <v>35099</v>
      </c>
      <c r="X363" s="131">
        <v>0</v>
      </c>
      <c r="Y363" s="131">
        <v>35099</v>
      </c>
      <c r="Z363" s="131">
        <v>0</v>
      </c>
      <c r="AA363" s="131">
        <v>35099</v>
      </c>
      <c r="AB363" s="131">
        <v>0</v>
      </c>
      <c r="AC363" s="131">
        <v>35099</v>
      </c>
      <c r="AD363" s="131">
        <v>0</v>
      </c>
      <c r="AE363" s="132">
        <v>35099</v>
      </c>
    </row>
    <row r="364" spans="1:31" x14ac:dyDescent="0.2">
      <c r="A364" s="130">
        <v>74</v>
      </c>
      <c r="B364" s="130" t="s">
        <v>1506</v>
      </c>
      <c r="C364" s="130" t="s">
        <v>1114</v>
      </c>
      <c r="D364" s="130" t="s">
        <v>1473</v>
      </c>
      <c r="E364" s="130" t="s">
        <v>1116</v>
      </c>
      <c r="F364" s="130" t="s">
        <v>1117</v>
      </c>
      <c r="G364" s="130" t="s">
        <v>1118</v>
      </c>
      <c r="H364" s="130" t="s">
        <v>1119</v>
      </c>
      <c r="I364" s="130" t="s">
        <v>1169</v>
      </c>
      <c r="J364" s="130" t="s">
        <v>1170</v>
      </c>
      <c r="K364" s="130" t="s">
        <v>1122</v>
      </c>
      <c r="L364" s="130" t="s">
        <v>1507</v>
      </c>
      <c r="M364" s="130" t="s">
        <v>1475</v>
      </c>
      <c r="N364" s="130" t="s">
        <v>165</v>
      </c>
      <c r="O364" s="130" t="s">
        <v>1476</v>
      </c>
      <c r="P364" s="130" t="s">
        <v>1477</v>
      </c>
      <c r="Q364" s="130" t="s">
        <v>1127</v>
      </c>
      <c r="R364" s="130" t="s">
        <v>1434</v>
      </c>
      <c r="S364" s="130" t="s">
        <v>1435</v>
      </c>
      <c r="T364" s="130" t="s">
        <v>1130</v>
      </c>
      <c r="U364" s="130">
        <v>50000</v>
      </c>
      <c r="V364" s="131">
        <v>-50000</v>
      </c>
      <c r="W364" s="131">
        <v>0</v>
      </c>
      <c r="X364" s="131">
        <v>0</v>
      </c>
      <c r="Y364" s="131">
        <v>0</v>
      </c>
      <c r="Z364" s="131">
        <v>0</v>
      </c>
      <c r="AA364" s="131">
        <v>0</v>
      </c>
      <c r="AB364" s="131">
        <v>0</v>
      </c>
      <c r="AC364" s="131">
        <v>0</v>
      </c>
      <c r="AD364" s="131">
        <v>0</v>
      </c>
      <c r="AE364" s="132">
        <v>0</v>
      </c>
    </row>
    <row r="365" spans="1:31" x14ac:dyDescent="0.2">
      <c r="A365" s="133">
        <v>74</v>
      </c>
      <c r="B365" s="133" t="s">
        <v>1506</v>
      </c>
      <c r="C365" s="133" t="s">
        <v>1114</v>
      </c>
      <c r="D365" s="133" t="s">
        <v>1473</v>
      </c>
      <c r="E365" s="133" t="s">
        <v>1116</v>
      </c>
      <c r="F365" s="133" t="s">
        <v>1117</v>
      </c>
      <c r="G365" s="133" t="s">
        <v>1118</v>
      </c>
      <c r="H365" s="130" t="s">
        <v>1133</v>
      </c>
      <c r="I365" s="130" t="s">
        <v>1134</v>
      </c>
      <c r="J365" s="130" t="s">
        <v>1166</v>
      </c>
      <c r="K365" s="130" t="s">
        <v>1167</v>
      </c>
      <c r="L365" s="130" t="s">
        <v>1507</v>
      </c>
      <c r="M365" s="130" t="s">
        <v>1475</v>
      </c>
      <c r="N365" s="130" t="s">
        <v>165</v>
      </c>
      <c r="O365" s="130" t="s">
        <v>1476</v>
      </c>
      <c r="P365" s="130" t="s">
        <v>1477</v>
      </c>
      <c r="Q365" s="130" t="s">
        <v>1127</v>
      </c>
      <c r="R365" s="130" t="s">
        <v>1434</v>
      </c>
      <c r="S365" s="130" t="s">
        <v>1435</v>
      </c>
      <c r="T365" s="130" t="s">
        <v>1130</v>
      </c>
      <c r="U365" s="130">
        <v>0</v>
      </c>
      <c r="V365" s="131">
        <v>50000</v>
      </c>
      <c r="W365" s="131">
        <v>50000</v>
      </c>
      <c r="X365" s="131">
        <v>50000</v>
      </c>
      <c r="Y365" s="131">
        <v>0</v>
      </c>
      <c r="Z365" s="131">
        <v>30000</v>
      </c>
      <c r="AA365" s="131">
        <v>20000</v>
      </c>
      <c r="AB365" s="131">
        <v>0</v>
      </c>
      <c r="AC365" s="131">
        <v>50000</v>
      </c>
      <c r="AD365" s="131">
        <v>0</v>
      </c>
      <c r="AE365" s="132">
        <v>50000</v>
      </c>
    </row>
    <row r="366" spans="1:31" x14ac:dyDescent="0.2">
      <c r="A366" s="130">
        <v>75</v>
      </c>
      <c r="B366" s="130" t="s">
        <v>1198</v>
      </c>
      <c r="C366" s="130" t="s">
        <v>1199</v>
      </c>
      <c r="D366" s="130" t="s">
        <v>1508</v>
      </c>
      <c r="E366" s="130" t="s">
        <v>1201</v>
      </c>
      <c r="F366" s="130" t="s">
        <v>1117</v>
      </c>
      <c r="G366" s="130" t="s">
        <v>1276</v>
      </c>
      <c r="H366" s="130" t="s">
        <v>1277</v>
      </c>
      <c r="I366" s="130" t="s">
        <v>1278</v>
      </c>
      <c r="J366" s="130" t="s">
        <v>1278</v>
      </c>
      <c r="K366" s="130" t="s">
        <v>1279</v>
      </c>
      <c r="L366" s="130" t="s">
        <v>1509</v>
      </c>
      <c r="M366" s="130" t="s">
        <v>1510</v>
      </c>
      <c r="N366" s="130" t="s">
        <v>1511</v>
      </c>
      <c r="O366" s="130" t="s">
        <v>1512</v>
      </c>
      <c r="P366" s="130" t="s">
        <v>1513</v>
      </c>
      <c r="Q366" s="130" t="s">
        <v>1127</v>
      </c>
      <c r="R366" s="130" t="s">
        <v>1191</v>
      </c>
      <c r="S366" s="130" t="s">
        <v>1191</v>
      </c>
      <c r="T366" s="130" t="s">
        <v>1142</v>
      </c>
      <c r="U366" s="130">
        <v>191626</v>
      </c>
      <c r="V366" s="131">
        <v>-53157</v>
      </c>
      <c r="W366" s="131">
        <v>138469</v>
      </c>
      <c r="X366" s="131">
        <v>138469</v>
      </c>
      <c r="Y366" s="131">
        <v>0</v>
      </c>
      <c r="Z366" s="131">
        <v>138193.79999999999</v>
      </c>
      <c r="AA366" s="131">
        <v>275.20000000001164</v>
      </c>
      <c r="AB366" s="131">
        <v>86127.049999999988</v>
      </c>
      <c r="AC366" s="131">
        <v>52341.950000000012</v>
      </c>
      <c r="AD366" s="131">
        <v>86127.049999999988</v>
      </c>
      <c r="AE366" s="132">
        <v>52341.950000000012</v>
      </c>
    </row>
    <row r="367" spans="1:31" x14ac:dyDescent="0.2">
      <c r="A367" s="133">
        <v>75</v>
      </c>
      <c r="B367" s="133" t="s">
        <v>1198</v>
      </c>
      <c r="C367" s="133" t="s">
        <v>1199</v>
      </c>
      <c r="D367" s="133" t="s">
        <v>1508</v>
      </c>
      <c r="E367" s="133" t="s">
        <v>1201</v>
      </c>
      <c r="F367" s="133" t="s">
        <v>1117</v>
      </c>
      <c r="G367" s="133" t="s">
        <v>1276</v>
      </c>
      <c r="H367" s="133" t="s">
        <v>1277</v>
      </c>
      <c r="I367" s="133" t="s">
        <v>1278</v>
      </c>
      <c r="J367" s="133" t="s">
        <v>1278</v>
      </c>
      <c r="K367" s="130" t="s">
        <v>1281</v>
      </c>
      <c r="L367" s="130" t="s">
        <v>1509</v>
      </c>
      <c r="M367" s="130" t="s">
        <v>1510</v>
      </c>
      <c r="N367" s="130" t="s">
        <v>1511</v>
      </c>
      <c r="O367" s="130" t="s">
        <v>1512</v>
      </c>
      <c r="P367" s="130" t="s">
        <v>1513</v>
      </c>
      <c r="Q367" s="130" t="s">
        <v>1127</v>
      </c>
      <c r="R367" s="130" t="s">
        <v>1191</v>
      </c>
      <c r="S367" s="130" t="s">
        <v>1191</v>
      </c>
      <c r="T367" s="130" t="s">
        <v>1142</v>
      </c>
      <c r="U367" s="130">
        <v>18555</v>
      </c>
      <c r="V367" s="131">
        <v>55865</v>
      </c>
      <c r="W367" s="131">
        <v>74420</v>
      </c>
      <c r="X367" s="131">
        <v>74420</v>
      </c>
      <c r="Y367" s="131">
        <v>0</v>
      </c>
      <c r="Z367" s="131">
        <v>74420</v>
      </c>
      <c r="AA367" s="131">
        <v>0</v>
      </c>
      <c r="AB367" s="131">
        <v>60335.159999999996</v>
      </c>
      <c r="AC367" s="131">
        <v>14084.840000000004</v>
      </c>
      <c r="AD367" s="131">
        <v>60335.159999999996</v>
      </c>
      <c r="AE367" s="132">
        <v>14084.840000000004</v>
      </c>
    </row>
    <row r="368" spans="1:31" x14ac:dyDescent="0.2">
      <c r="A368" s="133">
        <v>75</v>
      </c>
      <c r="B368" s="133" t="s">
        <v>1198</v>
      </c>
      <c r="C368" s="133" t="s">
        <v>1199</v>
      </c>
      <c r="D368" s="133" t="s">
        <v>1508</v>
      </c>
      <c r="E368" s="133" t="s">
        <v>1201</v>
      </c>
      <c r="F368" s="133" t="s">
        <v>1117</v>
      </c>
      <c r="G368" s="133" t="s">
        <v>1276</v>
      </c>
      <c r="H368" s="133" t="s">
        <v>1277</v>
      </c>
      <c r="I368" s="133" t="s">
        <v>1278</v>
      </c>
      <c r="J368" s="133" t="s">
        <v>1278</v>
      </c>
      <c r="K368" s="130" t="s">
        <v>1282</v>
      </c>
      <c r="L368" s="130" t="s">
        <v>1509</v>
      </c>
      <c r="M368" s="130" t="s">
        <v>1510</v>
      </c>
      <c r="N368" s="130" t="s">
        <v>1511</v>
      </c>
      <c r="O368" s="130" t="s">
        <v>1512</v>
      </c>
      <c r="P368" s="130" t="s">
        <v>1513</v>
      </c>
      <c r="Q368" s="130" t="s">
        <v>1127</v>
      </c>
      <c r="R368" s="130" t="s">
        <v>1191</v>
      </c>
      <c r="S368" s="130" t="s">
        <v>1191</v>
      </c>
      <c r="T368" s="130" t="s">
        <v>1142</v>
      </c>
      <c r="U368" s="130">
        <v>15658</v>
      </c>
      <c r="V368" s="131">
        <v>0</v>
      </c>
      <c r="W368" s="131">
        <v>15658</v>
      </c>
      <c r="X368" s="131">
        <v>15658</v>
      </c>
      <c r="Y368" s="131">
        <v>0</v>
      </c>
      <c r="Z368" s="131">
        <v>15658</v>
      </c>
      <c r="AA368" s="131">
        <v>0</v>
      </c>
      <c r="AB368" s="131">
        <v>8016.26</v>
      </c>
      <c r="AC368" s="131">
        <v>7641.74</v>
      </c>
      <c r="AD368" s="131">
        <v>8016.26</v>
      </c>
      <c r="AE368" s="132">
        <v>7641.74</v>
      </c>
    </row>
    <row r="369" spans="1:31" x14ac:dyDescent="0.2">
      <c r="A369" s="133">
        <v>75</v>
      </c>
      <c r="B369" s="133" t="s">
        <v>1198</v>
      </c>
      <c r="C369" s="133" t="s">
        <v>1199</v>
      </c>
      <c r="D369" s="133" t="s">
        <v>1508</v>
      </c>
      <c r="E369" s="133" t="s">
        <v>1201</v>
      </c>
      <c r="F369" s="133" t="s">
        <v>1117</v>
      </c>
      <c r="G369" s="133" t="s">
        <v>1276</v>
      </c>
      <c r="H369" s="133" t="s">
        <v>1277</v>
      </c>
      <c r="I369" s="133" t="s">
        <v>1278</v>
      </c>
      <c r="J369" s="130" t="s">
        <v>1283</v>
      </c>
      <c r="K369" s="130" t="s">
        <v>1284</v>
      </c>
      <c r="L369" s="130" t="s">
        <v>1509</v>
      </c>
      <c r="M369" s="130" t="s">
        <v>1510</v>
      </c>
      <c r="N369" s="130" t="s">
        <v>1511</v>
      </c>
      <c r="O369" s="130" t="s">
        <v>1512</v>
      </c>
      <c r="P369" s="130" t="s">
        <v>1513</v>
      </c>
      <c r="Q369" s="130" t="s">
        <v>1127</v>
      </c>
      <c r="R369" s="130" t="s">
        <v>1191</v>
      </c>
      <c r="S369" s="130" t="s">
        <v>1191</v>
      </c>
      <c r="T369" s="130" t="s">
        <v>1142</v>
      </c>
      <c r="U369" s="130">
        <v>313800</v>
      </c>
      <c r="V369" s="131">
        <v>0</v>
      </c>
      <c r="W369" s="131">
        <v>313800</v>
      </c>
      <c r="X369" s="131">
        <v>313800</v>
      </c>
      <c r="Y369" s="131">
        <v>0</v>
      </c>
      <c r="Z369" s="131">
        <v>313800</v>
      </c>
      <c r="AA369" s="131">
        <v>0</v>
      </c>
      <c r="AB369" s="131">
        <v>179015.8</v>
      </c>
      <c r="AC369" s="131">
        <v>134784.20000000001</v>
      </c>
      <c r="AD369" s="131">
        <v>148066.5</v>
      </c>
      <c r="AE369" s="132">
        <v>165733.5</v>
      </c>
    </row>
    <row r="370" spans="1:31" x14ac:dyDescent="0.2">
      <c r="A370" s="133">
        <v>75</v>
      </c>
      <c r="B370" s="133" t="s">
        <v>1198</v>
      </c>
      <c r="C370" s="133" t="s">
        <v>1199</v>
      </c>
      <c r="D370" s="133" t="s">
        <v>1508</v>
      </c>
      <c r="E370" s="133" t="s">
        <v>1201</v>
      </c>
      <c r="F370" s="133" t="s">
        <v>1117</v>
      </c>
      <c r="G370" s="133" t="s">
        <v>1276</v>
      </c>
      <c r="H370" s="133" t="s">
        <v>1277</v>
      </c>
      <c r="I370" s="130" t="s">
        <v>1285</v>
      </c>
      <c r="J370" s="130" t="s">
        <v>1286</v>
      </c>
      <c r="K370" s="130" t="s">
        <v>1287</v>
      </c>
      <c r="L370" s="130" t="s">
        <v>1509</v>
      </c>
      <c r="M370" s="130" t="s">
        <v>1510</v>
      </c>
      <c r="N370" s="130" t="s">
        <v>1511</v>
      </c>
      <c r="O370" s="130" t="s">
        <v>1512</v>
      </c>
      <c r="P370" s="130" t="s">
        <v>1513</v>
      </c>
      <c r="Q370" s="130" t="s">
        <v>1127</v>
      </c>
      <c r="R370" s="130" t="s">
        <v>1191</v>
      </c>
      <c r="S370" s="130" t="s">
        <v>1191</v>
      </c>
      <c r="T370" s="130" t="s">
        <v>1142</v>
      </c>
      <c r="U370" s="130">
        <v>113822</v>
      </c>
      <c r="V370" s="131">
        <v>4800</v>
      </c>
      <c r="W370" s="131">
        <v>118622</v>
      </c>
      <c r="X370" s="131">
        <v>113822</v>
      </c>
      <c r="Y370" s="131">
        <v>4800</v>
      </c>
      <c r="Z370" s="131">
        <v>113822</v>
      </c>
      <c r="AA370" s="131">
        <v>4800</v>
      </c>
      <c r="AB370" s="131">
        <v>42768.94</v>
      </c>
      <c r="AC370" s="131">
        <v>75853.06</v>
      </c>
      <c r="AD370" s="131">
        <v>42768.94</v>
      </c>
      <c r="AE370" s="132">
        <v>75853.06</v>
      </c>
    </row>
    <row r="371" spans="1:31" x14ac:dyDescent="0.2">
      <c r="A371" s="133">
        <v>75</v>
      </c>
      <c r="B371" s="133" t="s">
        <v>1198</v>
      </c>
      <c r="C371" s="133" t="s">
        <v>1199</v>
      </c>
      <c r="D371" s="133" t="s">
        <v>1508</v>
      </c>
      <c r="E371" s="133" t="s">
        <v>1201</v>
      </c>
      <c r="F371" s="133" t="s">
        <v>1117</v>
      </c>
      <c r="G371" s="133" t="s">
        <v>1276</v>
      </c>
      <c r="H371" s="133" t="s">
        <v>1277</v>
      </c>
      <c r="I371" s="130" t="s">
        <v>1288</v>
      </c>
      <c r="J371" s="130" t="s">
        <v>1289</v>
      </c>
      <c r="K371" s="130" t="s">
        <v>1290</v>
      </c>
      <c r="L371" s="130" t="s">
        <v>1509</v>
      </c>
      <c r="M371" s="130" t="s">
        <v>1510</v>
      </c>
      <c r="N371" s="130" t="s">
        <v>1511</v>
      </c>
      <c r="O371" s="130" t="s">
        <v>1512</v>
      </c>
      <c r="P371" s="130" t="s">
        <v>1513</v>
      </c>
      <c r="Q371" s="130" t="s">
        <v>1127</v>
      </c>
      <c r="R371" s="130" t="s">
        <v>1191</v>
      </c>
      <c r="S371" s="130" t="s">
        <v>1191</v>
      </c>
      <c r="T371" s="130" t="s">
        <v>1142</v>
      </c>
      <c r="U371" s="130">
        <v>8800</v>
      </c>
      <c r="V371" s="131">
        <v>0</v>
      </c>
      <c r="W371" s="131">
        <v>8800</v>
      </c>
      <c r="X371" s="131">
        <v>8800</v>
      </c>
      <c r="Y371" s="131">
        <v>0</v>
      </c>
      <c r="Z371" s="131">
        <v>8800</v>
      </c>
      <c r="AA371" s="131">
        <v>0</v>
      </c>
      <c r="AB371" s="131">
        <v>0</v>
      </c>
      <c r="AC371" s="131">
        <v>8800</v>
      </c>
      <c r="AD371" s="131">
        <v>0</v>
      </c>
      <c r="AE371" s="132">
        <v>8800</v>
      </c>
    </row>
    <row r="372" spans="1:31" x14ac:dyDescent="0.2">
      <c r="A372" s="133">
        <v>75</v>
      </c>
      <c r="B372" s="133" t="s">
        <v>1198</v>
      </c>
      <c r="C372" s="133" t="s">
        <v>1199</v>
      </c>
      <c r="D372" s="133" t="s">
        <v>1508</v>
      </c>
      <c r="E372" s="133" t="s">
        <v>1201</v>
      </c>
      <c r="F372" s="133" t="s">
        <v>1117</v>
      </c>
      <c r="G372" s="133" t="s">
        <v>1276</v>
      </c>
      <c r="H372" s="133" t="s">
        <v>1277</v>
      </c>
      <c r="I372" s="133" t="s">
        <v>1288</v>
      </c>
      <c r="J372" s="133" t="s">
        <v>1289</v>
      </c>
      <c r="K372" s="130" t="s">
        <v>1291</v>
      </c>
      <c r="L372" s="130" t="s">
        <v>1509</v>
      </c>
      <c r="M372" s="130" t="s">
        <v>1510</v>
      </c>
      <c r="N372" s="130" t="s">
        <v>1511</v>
      </c>
      <c r="O372" s="130" t="s">
        <v>1512</v>
      </c>
      <c r="P372" s="130" t="s">
        <v>1513</v>
      </c>
      <c r="Q372" s="130" t="s">
        <v>1127</v>
      </c>
      <c r="R372" s="130" t="s">
        <v>1191</v>
      </c>
      <c r="S372" s="130" t="s">
        <v>1191</v>
      </c>
      <c r="T372" s="130" t="s">
        <v>1142</v>
      </c>
      <c r="U372" s="130">
        <v>8800</v>
      </c>
      <c r="V372" s="131">
        <v>0</v>
      </c>
      <c r="W372" s="131">
        <v>8800</v>
      </c>
      <c r="X372" s="131">
        <v>8800</v>
      </c>
      <c r="Y372" s="131">
        <v>0</v>
      </c>
      <c r="Z372" s="131">
        <v>8800</v>
      </c>
      <c r="AA372" s="131">
        <v>0</v>
      </c>
      <c r="AB372" s="131">
        <v>5698.9</v>
      </c>
      <c r="AC372" s="131">
        <v>3101.1000000000004</v>
      </c>
      <c r="AD372" s="131">
        <v>5698.9</v>
      </c>
      <c r="AE372" s="132">
        <v>3101.1000000000004</v>
      </c>
    </row>
    <row r="373" spans="1:31" x14ac:dyDescent="0.2">
      <c r="A373" s="133">
        <v>75</v>
      </c>
      <c r="B373" s="133" t="s">
        <v>1198</v>
      </c>
      <c r="C373" s="133" t="s">
        <v>1199</v>
      </c>
      <c r="D373" s="133" t="s">
        <v>1508</v>
      </c>
      <c r="E373" s="133" t="s">
        <v>1201</v>
      </c>
      <c r="F373" s="133" t="s">
        <v>1117</v>
      </c>
      <c r="G373" s="133" t="s">
        <v>1276</v>
      </c>
      <c r="H373" s="133" t="s">
        <v>1277</v>
      </c>
      <c r="I373" s="133" t="s">
        <v>1288</v>
      </c>
      <c r="J373" s="133" t="s">
        <v>1289</v>
      </c>
      <c r="K373" s="130" t="s">
        <v>1292</v>
      </c>
      <c r="L373" s="130" t="s">
        <v>1509</v>
      </c>
      <c r="M373" s="130" t="s">
        <v>1510</v>
      </c>
      <c r="N373" s="130" t="s">
        <v>1511</v>
      </c>
      <c r="O373" s="130" t="s">
        <v>1512</v>
      </c>
      <c r="P373" s="130" t="s">
        <v>1513</v>
      </c>
      <c r="Q373" s="130" t="s">
        <v>1127</v>
      </c>
      <c r="R373" s="130" t="s">
        <v>1191</v>
      </c>
      <c r="S373" s="130" t="s">
        <v>1191</v>
      </c>
      <c r="T373" s="130" t="s">
        <v>1142</v>
      </c>
      <c r="U373" s="130">
        <v>3600</v>
      </c>
      <c r="V373" s="131">
        <v>0</v>
      </c>
      <c r="W373" s="131">
        <v>3600</v>
      </c>
      <c r="X373" s="131">
        <v>3600</v>
      </c>
      <c r="Y373" s="131">
        <v>0</v>
      </c>
      <c r="Z373" s="131">
        <v>3600</v>
      </c>
      <c r="AA373" s="131">
        <v>0</v>
      </c>
      <c r="AB373" s="131">
        <v>0</v>
      </c>
      <c r="AC373" s="131">
        <v>3600</v>
      </c>
      <c r="AD373" s="131">
        <v>0</v>
      </c>
      <c r="AE373" s="132">
        <v>3600</v>
      </c>
    </row>
    <row r="374" spans="1:31" x14ac:dyDescent="0.2">
      <c r="A374" s="133">
        <v>75</v>
      </c>
      <c r="B374" s="133" t="s">
        <v>1198</v>
      </c>
      <c r="C374" s="133" t="s">
        <v>1199</v>
      </c>
      <c r="D374" s="133" t="s">
        <v>1508</v>
      </c>
      <c r="E374" s="133" t="s">
        <v>1201</v>
      </c>
      <c r="F374" s="133" t="s">
        <v>1117</v>
      </c>
      <c r="G374" s="133" t="s">
        <v>1276</v>
      </c>
      <c r="H374" s="130" t="s">
        <v>1293</v>
      </c>
      <c r="I374" s="130" t="s">
        <v>1294</v>
      </c>
      <c r="J374" s="130" t="s">
        <v>1295</v>
      </c>
      <c r="K374" s="130" t="s">
        <v>1296</v>
      </c>
      <c r="L374" s="130" t="s">
        <v>1509</v>
      </c>
      <c r="M374" s="130" t="s">
        <v>1510</v>
      </c>
      <c r="N374" s="130" t="s">
        <v>1511</v>
      </c>
      <c r="O374" s="130" t="s">
        <v>1512</v>
      </c>
      <c r="P374" s="130" t="s">
        <v>1513</v>
      </c>
      <c r="Q374" s="130" t="s">
        <v>1127</v>
      </c>
      <c r="R374" s="130" t="s">
        <v>1191</v>
      </c>
      <c r="S374" s="130" t="s">
        <v>1191</v>
      </c>
      <c r="T374" s="130" t="s">
        <v>1142</v>
      </c>
      <c r="U374" s="130">
        <v>12411</v>
      </c>
      <c r="V374" s="131">
        <v>0</v>
      </c>
      <c r="W374" s="131">
        <v>12411</v>
      </c>
      <c r="X374" s="131">
        <v>7590</v>
      </c>
      <c r="Y374" s="131">
        <v>4821</v>
      </c>
      <c r="Z374" s="131">
        <v>7590</v>
      </c>
      <c r="AA374" s="131">
        <v>4821</v>
      </c>
      <c r="AB374" s="131">
        <v>7590</v>
      </c>
      <c r="AC374" s="131">
        <v>4821</v>
      </c>
      <c r="AD374" s="131">
        <v>0</v>
      </c>
      <c r="AE374" s="132">
        <v>12411</v>
      </c>
    </row>
    <row r="375" spans="1:31" x14ac:dyDescent="0.2">
      <c r="A375" s="133">
        <v>75</v>
      </c>
      <c r="B375" s="133" t="s">
        <v>1198</v>
      </c>
      <c r="C375" s="133" t="s">
        <v>1199</v>
      </c>
      <c r="D375" s="133" t="s">
        <v>1508</v>
      </c>
      <c r="E375" s="133" t="s">
        <v>1201</v>
      </c>
      <c r="F375" s="133" t="s">
        <v>1117</v>
      </c>
      <c r="G375" s="133" t="s">
        <v>1276</v>
      </c>
      <c r="H375" s="130" t="s">
        <v>1297</v>
      </c>
      <c r="I375" s="130" t="s">
        <v>1298</v>
      </c>
      <c r="J375" s="130" t="s">
        <v>1298</v>
      </c>
      <c r="K375" s="130" t="s">
        <v>1299</v>
      </c>
      <c r="L375" s="130" t="s">
        <v>1509</v>
      </c>
      <c r="M375" s="130" t="s">
        <v>1510</v>
      </c>
      <c r="N375" s="130" t="s">
        <v>1511</v>
      </c>
      <c r="O375" s="130" t="s">
        <v>1512</v>
      </c>
      <c r="P375" s="130" t="s">
        <v>1513</v>
      </c>
      <c r="Q375" s="130" t="s">
        <v>1127</v>
      </c>
      <c r="R375" s="130" t="s">
        <v>1191</v>
      </c>
      <c r="S375" s="130" t="s">
        <v>1191</v>
      </c>
      <c r="T375" s="130" t="s">
        <v>1142</v>
      </c>
      <c r="U375" s="130">
        <v>14480</v>
      </c>
      <c r="V375" s="131">
        <v>15000</v>
      </c>
      <c r="W375" s="131">
        <v>29480</v>
      </c>
      <c r="X375" s="131">
        <v>14480</v>
      </c>
      <c r="Y375" s="131">
        <v>15000</v>
      </c>
      <c r="Z375" s="131">
        <v>14480</v>
      </c>
      <c r="AA375" s="131">
        <v>15000</v>
      </c>
      <c r="AB375" s="131">
        <v>13179</v>
      </c>
      <c r="AC375" s="131">
        <v>16301</v>
      </c>
      <c r="AD375" s="131">
        <v>13179</v>
      </c>
      <c r="AE375" s="132">
        <v>16301</v>
      </c>
    </row>
    <row r="376" spans="1:31" x14ac:dyDescent="0.2">
      <c r="A376" s="133">
        <v>75</v>
      </c>
      <c r="B376" s="133" t="s">
        <v>1198</v>
      </c>
      <c r="C376" s="133" t="s">
        <v>1199</v>
      </c>
      <c r="D376" s="133" t="s">
        <v>1508</v>
      </c>
      <c r="E376" s="133" t="s">
        <v>1201</v>
      </c>
      <c r="F376" s="133" t="s">
        <v>1117</v>
      </c>
      <c r="G376" s="133" t="s">
        <v>1276</v>
      </c>
      <c r="H376" s="133" t="s">
        <v>1297</v>
      </c>
      <c r="I376" s="133" t="s">
        <v>1298</v>
      </c>
      <c r="J376" s="133" t="s">
        <v>1298</v>
      </c>
      <c r="K376" s="130" t="s">
        <v>1300</v>
      </c>
      <c r="L376" s="130" t="s">
        <v>1509</v>
      </c>
      <c r="M376" s="130" t="s">
        <v>1510</v>
      </c>
      <c r="N376" s="130" t="s">
        <v>1511</v>
      </c>
      <c r="O376" s="130" t="s">
        <v>1512</v>
      </c>
      <c r="P376" s="130" t="s">
        <v>1513</v>
      </c>
      <c r="Q376" s="130" t="s">
        <v>1127</v>
      </c>
      <c r="R376" s="130" t="s">
        <v>1191</v>
      </c>
      <c r="S376" s="130" t="s">
        <v>1191</v>
      </c>
      <c r="T376" s="130" t="s">
        <v>1142</v>
      </c>
      <c r="U376" s="130">
        <v>8732</v>
      </c>
      <c r="V376" s="131">
        <v>1944</v>
      </c>
      <c r="W376" s="131">
        <v>10676</v>
      </c>
      <c r="X376" s="131">
        <v>8732</v>
      </c>
      <c r="Y376" s="131">
        <v>1944</v>
      </c>
      <c r="Z376" s="131">
        <v>8732</v>
      </c>
      <c r="AA376" s="131">
        <v>1944</v>
      </c>
      <c r="AB376" s="131">
        <v>3850</v>
      </c>
      <c r="AC376" s="131">
        <v>6826</v>
      </c>
      <c r="AD376" s="131">
        <v>3850</v>
      </c>
      <c r="AE376" s="132">
        <v>6826</v>
      </c>
    </row>
    <row r="377" spans="1:31" x14ac:dyDescent="0.2">
      <c r="A377" s="133">
        <v>75</v>
      </c>
      <c r="B377" s="133" t="s">
        <v>1198</v>
      </c>
      <c r="C377" s="133" t="s">
        <v>1199</v>
      </c>
      <c r="D377" s="133" t="s">
        <v>1508</v>
      </c>
      <c r="E377" s="133" t="s">
        <v>1201</v>
      </c>
      <c r="F377" s="133" t="s">
        <v>1117</v>
      </c>
      <c r="G377" s="133" t="s">
        <v>1276</v>
      </c>
      <c r="H377" s="130" t="s">
        <v>1514</v>
      </c>
      <c r="I377" s="130" t="s">
        <v>1515</v>
      </c>
      <c r="J377" s="130" t="s">
        <v>1515</v>
      </c>
      <c r="K377" s="130" t="s">
        <v>1516</v>
      </c>
      <c r="L377" s="130" t="s">
        <v>1509</v>
      </c>
      <c r="M377" s="130" t="s">
        <v>1510</v>
      </c>
      <c r="N377" s="130" t="s">
        <v>1511</v>
      </c>
      <c r="O377" s="130" t="s">
        <v>1512</v>
      </c>
      <c r="P377" s="130" t="s">
        <v>1513</v>
      </c>
      <c r="Q377" s="130" t="s">
        <v>1127</v>
      </c>
      <c r="R377" s="130" t="s">
        <v>1191</v>
      </c>
      <c r="S377" s="130" t="s">
        <v>1191</v>
      </c>
      <c r="T377" s="130" t="s">
        <v>1142</v>
      </c>
      <c r="U377" s="130">
        <v>0</v>
      </c>
      <c r="V377" s="131">
        <v>75106</v>
      </c>
      <c r="W377" s="131">
        <v>75106</v>
      </c>
      <c r="X377" s="131">
        <v>75105.429999999993</v>
      </c>
      <c r="Y377" s="131">
        <v>0.57000000000698492</v>
      </c>
      <c r="Z377" s="131">
        <v>75105.429999999993</v>
      </c>
      <c r="AA377" s="131">
        <v>0.57000000000698492</v>
      </c>
      <c r="AB377" s="131">
        <v>75105.429999999993</v>
      </c>
      <c r="AC377" s="131">
        <v>0.57000000000698492</v>
      </c>
      <c r="AD377" s="131">
        <v>75105.429999999993</v>
      </c>
      <c r="AE377" s="132">
        <v>0.57000000000698492</v>
      </c>
    </row>
    <row r="378" spans="1:31" x14ac:dyDescent="0.2">
      <c r="A378" s="133">
        <v>75</v>
      </c>
      <c r="B378" s="133" t="s">
        <v>1198</v>
      </c>
      <c r="C378" s="133" t="s">
        <v>1199</v>
      </c>
      <c r="D378" s="133" t="s">
        <v>1508</v>
      </c>
      <c r="E378" s="133" t="s">
        <v>1201</v>
      </c>
      <c r="F378" s="133" t="s">
        <v>1117</v>
      </c>
      <c r="G378" s="133" t="s">
        <v>1276</v>
      </c>
      <c r="H378" s="133" t="s">
        <v>1514</v>
      </c>
      <c r="I378" s="133" t="s">
        <v>1515</v>
      </c>
      <c r="J378" s="133" t="s">
        <v>1515</v>
      </c>
      <c r="K378" s="130" t="s">
        <v>1517</v>
      </c>
      <c r="L378" s="130" t="s">
        <v>1509</v>
      </c>
      <c r="M378" s="130" t="s">
        <v>1510</v>
      </c>
      <c r="N378" s="130" t="s">
        <v>1511</v>
      </c>
      <c r="O378" s="130" t="s">
        <v>1512</v>
      </c>
      <c r="P378" s="130" t="s">
        <v>1513</v>
      </c>
      <c r="Q378" s="130" t="s">
        <v>1127</v>
      </c>
      <c r="R378" s="130" t="s">
        <v>1191</v>
      </c>
      <c r="S378" s="130" t="s">
        <v>1191</v>
      </c>
      <c r="T378" s="130" t="s">
        <v>1142</v>
      </c>
      <c r="U378" s="130">
        <v>0</v>
      </c>
      <c r="V378" s="131">
        <v>4140</v>
      </c>
      <c r="W378" s="131">
        <v>4140</v>
      </c>
      <c r="X378" s="131">
        <v>4139.1499999999996</v>
      </c>
      <c r="Y378" s="131">
        <v>0.8500000000003638</v>
      </c>
      <c r="Z378" s="131">
        <v>2891.15</v>
      </c>
      <c r="AA378" s="131">
        <v>1248.8499999999999</v>
      </c>
      <c r="AB378" s="131">
        <v>2891.15</v>
      </c>
      <c r="AC378" s="131">
        <v>1248.8499999999999</v>
      </c>
      <c r="AD378" s="131">
        <v>2891.15</v>
      </c>
      <c r="AE378" s="132">
        <v>1248.8499999999999</v>
      </c>
    </row>
    <row r="379" spans="1:31" x14ac:dyDescent="0.2">
      <c r="A379" s="133">
        <v>75</v>
      </c>
      <c r="B379" s="133" t="s">
        <v>1198</v>
      </c>
      <c r="C379" s="133" t="s">
        <v>1199</v>
      </c>
      <c r="D379" s="133" t="s">
        <v>1508</v>
      </c>
      <c r="E379" s="133" t="s">
        <v>1201</v>
      </c>
      <c r="F379" s="133" t="s">
        <v>1117</v>
      </c>
      <c r="G379" s="133" t="s">
        <v>1276</v>
      </c>
      <c r="H379" s="133" t="s">
        <v>1514</v>
      </c>
      <c r="I379" s="133" t="s">
        <v>1515</v>
      </c>
      <c r="J379" s="133" t="s">
        <v>1515</v>
      </c>
      <c r="K379" s="130" t="s">
        <v>1518</v>
      </c>
      <c r="L379" s="130" t="s">
        <v>1509</v>
      </c>
      <c r="M379" s="130" t="s">
        <v>1510</v>
      </c>
      <c r="N379" s="130" t="s">
        <v>1511</v>
      </c>
      <c r="O379" s="130" t="s">
        <v>1512</v>
      </c>
      <c r="P379" s="130" t="s">
        <v>1513</v>
      </c>
      <c r="Q379" s="130" t="s">
        <v>1127</v>
      </c>
      <c r="R379" s="130" t="s">
        <v>1191</v>
      </c>
      <c r="S379" s="130" t="s">
        <v>1191</v>
      </c>
      <c r="T379" s="130" t="s">
        <v>1142</v>
      </c>
      <c r="U379" s="130">
        <v>0</v>
      </c>
      <c r="V379" s="131">
        <v>712</v>
      </c>
      <c r="W379" s="131">
        <v>712</v>
      </c>
      <c r="X379" s="131">
        <v>712</v>
      </c>
      <c r="Y379" s="131">
        <v>0</v>
      </c>
      <c r="Z379" s="131">
        <v>0</v>
      </c>
      <c r="AA379" s="131">
        <v>712</v>
      </c>
      <c r="AB379" s="131">
        <v>0</v>
      </c>
      <c r="AC379" s="131">
        <v>712</v>
      </c>
      <c r="AD379" s="131">
        <v>0</v>
      </c>
      <c r="AE379" s="132">
        <v>712</v>
      </c>
    </row>
    <row r="380" spans="1:31" x14ac:dyDescent="0.2">
      <c r="A380" s="133">
        <v>75</v>
      </c>
      <c r="B380" s="133" t="s">
        <v>1198</v>
      </c>
      <c r="C380" s="133" t="s">
        <v>1199</v>
      </c>
      <c r="D380" s="133" t="s">
        <v>1508</v>
      </c>
      <c r="E380" s="133" t="s">
        <v>1201</v>
      </c>
      <c r="F380" s="133" t="s">
        <v>1117</v>
      </c>
      <c r="G380" s="130" t="s">
        <v>1202</v>
      </c>
      <c r="H380" s="130" t="s">
        <v>1216</v>
      </c>
      <c r="I380" s="130" t="s">
        <v>1301</v>
      </c>
      <c r="J380" s="130" t="s">
        <v>1301</v>
      </c>
      <c r="K380" s="130" t="s">
        <v>1302</v>
      </c>
      <c r="L380" s="130" t="s">
        <v>1509</v>
      </c>
      <c r="M380" s="130" t="s">
        <v>1510</v>
      </c>
      <c r="N380" s="130" t="s">
        <v>1511</v>
      </c>
      <c r="O380" s="130" t="s">
        <v>1512</v>
      </c>
      <c r="P380" s="130" t="s">
        <v>1513</v>
      </c>
      <c r="Q380" s="130" t="s">
        <v>1127</v>
      </c>
      <c r="R380" s="130" t="s">
        <v>1191</v>
      </c>
      <c r="S380" s="130" t="s">
        <v>1191</v>
      </c>
      <c r="T380" s="130" t="s">
        <v>1142</v>
      </c>
      <c r="U380" s="130">
        <v>388599</v>
      </c>
      <c r="V380" s="131">
        <v>0</v>
      </c>
      <c r="W380" s="131">
        <v>388599</v>
      </c>
      <c r="X380" s="131">
        <v>500</v>
      </c>
      <c r="Y380" s="131">
        <v>388099</v>
      </c>
      <c r="Z380" s="131">
        <v>500</v>
      </c>
      <c r="AA380" s="131">
        <v>388099</v>
      </c>
      <c r="AB380" s="131">
        <v>500</v>
      </c>
      <c r="AC380" s="131">
        <v>388099</v>
      </c>
      <c r="AD380" s="131">
        <v>500</v>
      </c>
      <c r="AE380" s="132">
        <v>388099</v>
      </c>
    </row>
    <row r="381" spans="1:31" x14ac:dyDescent="0.2">
      <c r="A381" s="133">
        <v>75</v>
      </c>
      <c r="B381" s="133" t="s">
        <v>1198</v>
      </c>
      <c r="C381" s="133" t="s">
        <v>1199</v>
      </c>
      <c r="D381" s="133" t="s">
        <v>1508</v>
      </c>
      <c r="E381" s="133" t="s">
        <v>1201</v>
      </c>
      <c r="F381" s="133" t="s">
        <v>1117</v>
      </c>
      <c r="G381" s="133" t="s">
        <v>1202</v>
      </c>
      <c r="H381" s="133" t="s">
        <v>1216</v>
      </c>
      <c r="I381" s="130" t="s">
        <v>1239</v>
      </c>
      <c r="J381" s="130" t="s">
        <v>1240</v>
      </c>
      <c r="K381" s="130" t="s">
        <v>1519</v>
      </c>
      <c r="L381" s="130" t="s">
        <v>1509</v>
      </c>
      <c r="M381" s="130" t="s">
        <v>1510</v>
      </c>
      <c r="N381" s="130" t="s">
        <v>1511</v>
      </c>
      <c r="O381" s="130" t="s">
        <v>1512</v>
      </c>
      <c r="P381" s="130" t="s">
        <v>1513</v>
      </c>
      <c r="Q381" s="130" t="s">
        <v>1127</v>
      </c>
      <c r="R381" s="130" t="s">
        <v>1191</v>
      </c>
      <c r="S381" s="130" t="s">
        <v>1191</v>
      </c>
      <c r="T381" s="130" t="s">
        <v>1142</v>
      </c>
      <c r="U381" s="130">
        <v>2008</v>
      </c>
      <c r="V381" s="131">
        <v>0</v>
      </c>
      <c r="W381" s="131">
        <v>2008</v>
      </c>
      <c r="X381" s="131">
        <v>950</v>
      </c>
      <c r="Y381" s="131">
        <v>1058</v>
      </c>
      <c r="Z381" s="131">
        <v>950</v>
      </c>
      <c r="AA381" s="131">
        <v>1058</v>
      </c>
      <c r="AB381" s="131">
        <v>950</v>
      </c>
      <c r="AC381" s="131">
        <v>1058</v>
      </c>
      <c r="AD381" s="131">
        <v>0</v>
      </c>
      <c r="AE381" s="132">
        <v>2008</v>
      </c>
    </row>
    <row r="382" spans="1:31" x14ac:dyDescent="0.2">
      <c r="A382" s="133">
        <v>75</v>
      </c>
      <c r="B382" s="133" t="s">
        <v>1198</v>
      </c>
      <c r="C382" s="133" t="s">
        <v>1199</v>
      </c>
      <c r="D382" s="133" t="s">
        <v>1508</v>
      </c>
      <c r="E382" s="133" t="s">
        <v>1201</v>
      </c>
      <c r="F382" s="133" t="s">
        <v>1117</v>
      </c>
      <c r="G382" s="133" t="s">
        <v>1202</v>
      </c>
      <c r="H382" s="133" t="s">
        <v>1216</v>
      </c>
      <c r="I382" s="130" t="s">
        <v>1217</v>
      </c>
      <c r="J382" s="130" t="s">
        <v>1218</v>
      </c>
      <c r="K382" s="130" t="s">
        <v>1219</v>
      </c>
      <c r="L382" s="130" t="s">
        <v>1509</v>
      </c>
      <c r="M382" s="130" t="s">
        <v>1510</v>
      </c>
      <c r="N382" s="130" t="s">
        <v>1511</v>
      </c>
      <c r="O382" s="130" t="s">
        <v>1512</v>
      </c>
      <c r="P382" s="130" t="s">
        <v>1513</v>
      </c>
      <c r="Q382" s="130" t="s">
        <v>1127</v>
      </c>
      <c r="R382" s="130" t="s">
        <v>1191</v>
      </c>
      <c r="S382" s="130" t="s">
        <v>1191</v>
      </c>
      <c r="T382" s="130" t="s">
        <v>1142</v>
      </c>
      <c r="U382" s="130">
        <v>17220</v>
      </c>
      <c r="V382" s="131">
        <v>2400</v>
      </c>
      <c r="W382" s="131">
        <v>19620</v>
      </c>
      <c r="X382" s="131">
        <v>10070</v>
      </c>
      <c r="Y382" s="131">
        <v>9550</v>
      </c>
      <c r="Z382" s="131">
        <v>10070</v>
      </c>
      <c r="AA382" s="131">
        <v>9550</v>
      </c>
      <c r="AB382" s="131">
        <v>10070</v>
      </c>
      <c r="AC382" s="131">
        <v>9550</v>
      </c>
      <c r="AD382" s="131">
        <v>0</v>
      </c>
      <c r="AE382" s="132">
        <v>19620</v>
      </c>
    </row>
    <row r="383" spans="1:31" x14ac:dyDescent="0.2">
      <c r="A383" s="133">
        <v>75</v>
      </c>
      <c r="B383" s="133" t="s">
        <v>1198</v>
      </c>
      <c r="C383" s="133" t="s">
        <v>1199</v>
      </c>
      <c r="D383" s="133" t="s">
        <v>1508</v>
      </c>
      <c r="E383" s="133" t="s">
        <v>1201</v>
      </c>
      <c r="F383" s="133" t="s">
        <v>1117</v>
      </c>
      <c r="G383" s="133" t="s">
        <v>1202</v>
      </c>
      <c r="H383" s="133" t="s">
        <v>1216</v>
      </c>
      <c r="I383" s="130" t="s">
        <v>1242</v>
      </c>
      <c r="J383" s="130" t="s">
        <v>1243</v>
      </c>
      <c r="K383" s="130" t="s">
        <v>1303</v>
      </c>
      <c r="L383" s="130" t="s">
        <v>1509</v>
      </c>
      <c r="M383" s="130" t="s">
        <v>1510</v>
      </c>
      <c r="N383" s="130" t="s">
        <v>1511</v>
      </c>
      <c r="O383" s="130" t="s">
        <v>1512</v>
      </c>
      <c r="P383" s="130" t="s">
        <v>1513</v>
      </c>
      <c r="Q383" s="130" t="s">
        <v>1127</v>
      </c>
      <c r="R383" s="130" t="s">
        <v>1191</v>
      </c>
      <c r="S383" s="130" t="s">
        <v>1191</v>
      </c>
      <c r="T383" s="130" t="s">
        <v>1142</v>
      </c>
      <c r="U383" s="130">
        <v>7340</v>
      </c>
      <c r="V383" s="131">
        <v>0</v>
      </c>
      <c r="W383" s="131">
        <v>7340</v>
      </c>
      <c r="X383" s="131">
        <v>5850</v>
      </c>
      <c r="Y383" s="131">
        <v>1490</v>
      </c>
      <c r="Z383" s="131">
        <v>5850</v>
      </c>
      <c r="AA383" s="131">
        <v>1490</v>
      </c>
      <c r="AB383" s="131">
        <v>5850</v>
      </c>
      <c r="AC383" s="131">
        <v>1490</v>
      </c>
      <c r="AD383" s="131">
        <v>0</v>
      </c>
      <c r="AE383" s="132">
        <v>7340</v>
      </c>
    </row>
    <row r="384" spans="1:31" x14ac:dyDescent="0.2">
      <c r="A384" s="133">
        <v>75</v>
      </c>
      <c r="B384" s="133" t="s">
        <v>1198</v>
      </c>
      <c r="C384" s="133" t="s">
        <v>1199</v>
      </c>
      <c r="D384" s="133" t="s">
        <v>1508</v>
      </c>
      <c r="E384" s="133" t="s">
        <v>1201</v>
      </c>
      <c r="F384" s="133" t="s">
        <v>1117</v>
      </c>
      <c r="G384" s="133" t="s">
        <v>1202</v>
      </c>
      <c r="H384" s="133" t="s">
        <v>1216</v>
      </c>
      <c r="I384" s="133" t="s">
        <v>1242</v>
      </c>
      <c r="J384" s="133" t="s">
        <v>1243</v>
      </c>
      <c r="K384" s="130" t="s">
        <v>1520</v>
      </c>
      <c r="L384" s="130" t="s">
        <v>1509</v>
      </c>
      <c r="M384" s="130" t="s">
        <v>1510</v>
      </c>
      <c r="N384" s="130" t="s">
        <v>1511</v>
      </c>
      <c r="O384" s="130" t="s">
        <v>1512</v>
      </c>
      <c r="P384" s="130" t="s">
        <v>1513</v>
      </c>
      <c r="Q384" s="130" t="s">
        <v>1127</v>
      </c>
      <c r="R384" s="130" t="s">
        <v>1191</v>
      </c>
      <c r="S384" s="130" t="s">
        <v>1191</v>
      </c>
      <c r="T384" s="130" t="s">
        <v>1142</v>
      </c>
      <c r="U384" s="130">
        <v>360</v>
      </c>
      <c r="V384" s="131">
        <v>-360</v>
      </c>
      <c r="W384" s="131">
        <v>0</v>
      </c>
      <c r="X384" s="131">
        <v>0</v>
      </c>
      <c r="Y384" s="131">
        <v>0</v>
      </c>
      <c r="Z384" s="131">
        <v>0</v>
      </c>
      <c r="AA384" s="131">
        <v>0</v>
      </c>
      <c r="AB384" s="131">
        <v>0</v>
      </c>
      <c r="AC384" s="131">
        <v>0</v>
      </c>
      <c r="AD384" s="131">
        <v>0</v>
      </c>
      <c r="AE384" s="132">
        <v>0</v>
      </c>
    </row>
    <row r="385" spans="1:31" x14ac:dyDescent="0.2">
      <c r="A385" s="133">
        <v>75</v>
      </c>
      <c r="B385" s="133" t="s">
        <v>1198</v>
      </c>
      <c r="C385" s="133" t="s">
        <v>1199</v>
      </c>
      <c r="D385" s="133" t="s">
        <v>1508</v>
      </c>
      <c r="E385" s="133" t="s">
        <v>1201</v>
      </c>
      <c r="F385" s="133" t="s">
        <v>1117</v>
      </c>
      <c r="G385" s="133" t="s">
        <v>1202</v>
      </c>
      <c r="H385" s="133" t="s">
        <v>1216</v>
      </c>
      <c r="I385" s="133" t="s">
        <v>1242</v>
      </c>
      <c r="J385" s="133" t="s">
        <v>1243</v>
      </c>
      <c r="K385" s="130" t="s">
        <v>1244</v>
      </c>
      <c r="L385" s="130" t="s">
        <v>1509</v>
      </c>
      <c r="M385" s="130" t="s">
        <v>1510</v>
      </c>
      <c r="N385" s="130" t="s">
        <v>1511</v>
      </c>
      <c r="O385" s="130" t="s">
        <v>1512</v>
      </c>
      <c r="P385" s="130" t="s">
        <v>1513</v>
      </c>
      <c r="Q385" s="130" t="s">
        <v>1127</v>
      </c>
      <c r="R385" s="130" t="s">
        <v>1191</v>
      </c>
      <c r="S385" s="130" t="s">
        <v>1191</v>
      </c>
      <c r="T385" s="130" t="s">
        <v>1142</v>
      </c>
      <c r="U385" s="130">
        <v>2114</v>
      </c>
      <c r="V385" s="131">
        <v>0</v>
      </c>
      <c r="W385" s="131">
        <v>2114</v>
      </c>
      <c r="X385" s="131">
        <v>0</v>
      </c>
      <c r="Y385" s="131">
        <v>2114</v>
      </c>
      <c r="Z385" s="131">
        <v>0</v>
      </c>
      <c r="AA385" s="131">
        <v>2114</v>
      </c>
      <c r="AB385" s="131">
        <v>0</v>
      </c>
      <c r="AC385" s="131">
        <v>2114</v>
      </c>
      <c r="AD385" s="131">
        <v>0</v>
      </c>
      <c r="AE385" s="132">
        <v>2114</v>
      </c>
    </row>
    <row r="386" spans="1:31" x14ac:dyDescent="0.2">
      <c r="A386" s="133">
        <v>75</v>
      </c>
      <c r="B386" s="133" t="s">
        <v>1198</v>
      </c>
      <c r="C386" s="133" t="s">
        <v>1199</v>
      </c>
      <c r="D386" s="133" t="s">
        <v>1508</v>
      </c>
      <c r="E386" s="133" t="s">
        <v>1201</v>
      </c>
      <c r="F386" s="133" t="s">
        <v>1117</v>
      </c>
      <c r="G386" s="133" t="s">
        <v>1202</v>
      </c>
      <c r="H386" s="133" t="s">
        <v>1216</v>
      </c>
      <c r="I386" s="130" t="s">
        <v>1222</v>
      </c>
      <c r="J386" s="130" t="s">
        <v>1304</v>
      </c>
      <c r="K386" s="130" t="s">
        <v>1248</v>
      </c>
      <c r="L386" s="130" t="s">
        <v>1509</v>
      </c>
      <c r="M386" s="130" t="s">
        <v>1510</v>
      </c>
      <c r="N386" s="130" t="s">
        <v>1511</v>
      </c>
      <c r="O386" s="130" t="s">
        <v>1512</v>
      </c>
      <c r="P386" s="130" t="s">
        <v>1513</v>
      </c>
      <c r="Q386" s="130" t="s">
        <v>1127</v>
      </c>
      <c r="R386" s="130" t="s">
        <v>1191</v>
      </c>
      <c r="S386" s="130" t="s">
        <v>1191</v>
      </c>
      <c r="T386" s="130" t="s">
        <v>1142</v>
      </c>
      <c r="U386" s="130">
        <v>6620</v>
      </c>
      <c r="V386" s="131">
        <v>-6620</v>
      </c>
      <c r="W386" s="131">
        <v>0</v>
      </c>
      <c r="X386" s="131">
        <v>0</v>
      </c>
      <c r="Y386" s="131">
        <v>0</v>
      </c>
      <c r="Z386" s="131">
        <v>0</v>
      </c>
      <c r="AA386" s="131">
        <v>0</v>
      </c>
      <c r="AB386" s="131">
        <v>0</v>
      </c>
      <c r="AC386" s="131">
        <v>0</v>
      </c>
      <c r="AD386" s="131">
        <v>0</v>
      </c>
      <c r="AE386" s="132">
        <v>0</v>
      </c>
    </row>
    <row r="387" spans="1:31" x14ac:dyDescent="0.2">
      <c r="A387" s="133">
        <v>75</v>
      </c>
      <c r="B387" s="133" t="s">
        <v>1198</v>
      </c>
      <c r="C387" s="133" t="s">
        <v>1199</v>
      </c>
      <c r="D387" s="133" t="s">
        <v>1508</v>
      </c>
      <c r="E387" s="133" t="s">
        <v>1201</v>
      </c>
      <c r="F387" s="133" t="s">
        <v>1117</v>
      </c>
      <c r="G387" s="133" t="s">
        <v>1202</v>
      </c>
      <c r="H387" s="133" t="s">
        <v>1216</v>
      </c>
      <c r="I387" s="133" t="s">
        <v>1222</v>
      </c>
      <c r="J387" s="133" t="s">
        <v>1304</v>
      </c>
      <c r="K387" s="130" t="s">
        <v>1305</v>
      </c>
      <c r="L387" s="130" t="s">
        <v>1509</v>
      </c>
      <c r="M387" s="130" t="s">
        <v>1510</v>
      </c>
      <c r="N387" s="130" t="s">
        <v>1511</v>
      </c>
      <c r="O387" s="130" t="s">
        <v>1512</v>
      </c>
      <c r="P387" s="130" t="s">
        <v>1513</v>
      </c>
      <c r="Q387" s="130" t="s">
        <v>1127</v>
      </c>
      <c r="R387" s="130" t="s">
        <v>1191</v>
      </c>
      <c r="S387" s="130" t="s">
        <v>1191</v>
      </c>
      <c r="T387" s="130" t="s">
        <v>1142</v>
      </c>
      <c r="U387" s="130">
        <v>13242</v>
      </c>
      <c r="V387" s="131">
        <v>2620</v>
      </c>
      <c r="W387" s="131">
        <v>15862</v>
      </c>
      <c r="X387" s="131">
        <v>4178</v>
      </c>
      <c r="Y387" s="131">
        <v>11684</v>
      </c>
      <c r="Z387" s="131">
        <v>3660.65</v>
      </c>
      <c r="AA387" s="131">
        <v>12201.35</v>
      </c>
      <c r="AB387" s="131">
        <v>3660.65</v>
      </c>
      <c r="AC387" s="131">
        <v>12201.35</v>
      </c>
      <c r="AD387" s="131">
        <v>2050</v>
      </c>
      <c r="AE387" s="132">
        <v>13812</v>
      </c>
    </row>
    <row r="388" spans="1:31" x14ac:dyDescent="0.2">
      <c r="A388" s="133">
        <v>75</v>
      </c>
      <c r="B388" s="133" t="s">
        <v>1198</v>
      </c>
      <c r="C388" s="133" t="s">
        <v>1199</v>
      </c>
      <c r="D388" s="133" t="s">
        <v>1508</v>
      </c>
      <c r="E388" s="133" t="s">
        <v>1201</v>
      </c>
      <c r="F388" s="133" t="s">
        <v>1117</v>
      </c>
      <c r="G388" s="133" t="s">
        <v>1202</v>
      </c>
      <c r="H388" s="133" t="s">
        <v>1216</v>
      </c>
      <c r="I388" s="133" t="s">
        <v>1222</v>
      </c>
      <c r="J388" s="130" t="s">
        <v>1245</v>
      </c>
      <c r="K388" s="130" t="s">
        <v>1246</v>
      </c>
      <c r="L388" s="130" t="s">
        <v>1509</v>
      </c>
      <c r="M388" s="130" t="s">
        <v>1510</v>
      </c>
      <c r="N388" s="130" t="s">
        <v>1511</v>
      </c>
      <c r="O388" s="130" t="s">
        <v>1512</v>
      </c>
      <c r="P388" s="130" t="s">
        <v>1513</v>
      </c>
      <c r="Q388" s="130" t="s">
        <v>1127</v>
      </c>
      <c r="R388" s="130" t="s">
        <v>1191</v>
      </c>
      <c r="S388" s="130" t="s">
        <v>1191</v>
      </c>
      <c r="T388" s="130" t="s">
        <v>1142</v>
      </c>
      <c r="U388" s="130">
        <v>4102</v>
      </c>
      <c r="V388" s="131">
        <v>0</v>
      </c>
      <c r="W388" s="131">
        <v>4102</v>
      </c>
      <c r="X388" s="131">
        <v>500</v>
      </c>
      <c r="Y388" s="131">
        <v>3602</v>
      </c>
      <c r="Z388" s="131">
        <v>500</v>
      </c>
      <c r="AA388" s="131">
        <v>3602</v>
      </c>
      <c r="AB388" s="131">
        <v>500</v>
      </c>
      <c r="AC388" s="131">
        <v>3602</v>
      </c>
      <c r="AD388" s="131">
        <v>500</v>
      </c>
      <c r="AE388" s="132">
        <v>3602</v>
      </c>
    </row>
    <row r="389" spans="1:31" x14ac:dyDescent="0.2">
      <c r="A389" s="133">
        <v>75</v>
      </c>
      <c r="B389" s="133" t="s">
        <v>1198</v>
      </c>
      <c r="C389" s="133" t="s">
        <v>1199</v>
      </c>
      <c r="D389" s="133" t="s">
        <v>1508</v>
      </c>
      <c r="E389" s="133" t="s">
        <v>1201</v>
      </c>
      <c r="F389" s="133" t="s">
        <v>1117</v>
      </c>
      <c r="G389" s="133" t="s">
        <v>1202</v>
      </c>
      <c r="H389" s="133" t="s">
        <v>1216</v>
      </c>
      <c r="I389" s="133" t="s">
        <v>1222</v>
      </c>
      <c r="J389" s="130" t="s">
        <v>1230</v>
      </c>
      <c r="K389" s="130" t="s">
        <v>1231</v>
      </c>
      <c r="L389" s="130" t="s">
        <v>1509</v>
      </c>
      <c r="M389" s="130" t="s">
        <v>1510</v>
      </c>
      <c r="N389" s="130" t="s">
        <v>1511</v>
      </c>
      <c r="O389" s="130" t="s">
        <v>1512</v>
      </c>
      <c r="P389" s="130" t="s">
        <v>1513</v>
      </c>
      <c r="Q389" s="130" t="s">
        <v>1127</v>
      </c>
      <c r="R389" s="130" t="s">
        <v>1191</v>
      </c>
      <c r="S389" s="130" t="s">
        <v>1191</v>
      </c>
      <c r="T389" s="130" t="s">
        <v>1142</v>
      </c>
      <c r="U389" s="130">
        <v>613</v>
      </c>
      <c r="V389" s="131">
        <v>150</v>
      </c>
      <c r="W389" s="131">
        <v>763</v>
      </c>
      <c r="X389" s="131">
        <v>750</v>
      </c>
      <c r="Y389" s="131">
        <v>13</v>
      </c>
      <c r="Z389" s="131">
        <v>750</v>
      </c>
      <c r="AA389" s="131">
        <v>13</v>
      </c>
      <c r="AB389" s="131">
        <v>750</v>
      </c>
      <c r="AC389" s="131">
        <v>13</v>
      </c>
      <c r="AD389" s="131">
        <v>750</v>
      </c>
      <c r="AE389" s="132">
        <v>13</v>
      </c>
    </row>
    <row r="390" spans="1:31" x14ac:dyDescent="0.2">
      <c r="A390" s="133">
        <v>75</v>
      </c>
      <c r="B390" s="133" t="s">
        <v>1198</v>
      </c>
      <c r="C390" s="133" t="s">
        <v>1199</v>
      </c>
      <c r="D390" s="133" t="s">
        <v>1508</v>
      </c>
      <c r="E390" s="133" t="s">
        <v>1201</v>
      </c>
      <c r="F390" s="133" t="s">
        <v>1117</v>
      </c>
      <c r="G390" s="133" t="s">
        <v>1202</v>
      </c>
      <c r="H390" s="133" t="s">
        <v>1216</v>
      </c>
      <c r="I390" s="130" t="s">
        <v>1247</v>
      </c>
      <c r="J390" s="130" t="s">
        <v>1248</v>
      </c>
      <c r="K390" s="130" t="s">
        <v>1249</v>
      </c>
      <c r="L390" s="130" t="s">
        <v>1509</v>
      </c>
      <c r="M390" s="130" t="s">
        <v>1510</v>
      </c>
      <c r="N390" s="130" t="s">
        <v>1511</v>
      </c>
      <c r="O390" s="130" t="s">
        <v>1512</v>
      </c>
      <c r="P390" s="130" t="s">
        <v>1513</v>
      </c>
      <c r="Q390" s="130" t="s">
        <v>1127</v>
      </c>
      <c r="R390" s="130" t="s">
        <v>1191</v>
      </c>
      <c r="S390" s="130" t="s">
        <v>1191</v>
      </c>
      <c r="T390" s="130" t="s">
        <v>1142</v>
      </c>
      <c r="U390" s="130">
        <v>500</v>
      </c>
      <c r="V390" s="131">
        <v>4300</v>
      </c>
      <c r="W390" s="131">
        <v>4800</v>
      </c>
      <c r="X390" s="131">
        <v>4800</v>
      </c>
      <c r="Y390" s="131">
        <v>0</v>
      </c>
      <c r="Z390" s="131">
        <v>0</v>
      </c>
      <c r="AA390" s="131">
        <v>4800</v>
      </c>
      <c r="AB390" s="131">
        <v>0</v>
      </c>
      <c r="AC390" s="131">
        <v>4800</v>
      </c>
      <c r="AD390" s="131">
        <v>0</v>
      </c>
      <c r="AE390" s="132">
        <v>4800</v>
      </c>
    </row>
    <row r="391" spans="1:31" x14ac:dyDescent="0.2">
      <c r="A391" s="133">
        <v>75</v>
      </c>
      <c r="B391" s="133" t="s">
        <v>1198</v>
      </c>
      <c r="C391" s="133" t="s">
        <v>1199</v>
      </c>
      <c r="D391" s="133" t="s">
        <v>1508</v>
      </c>
      <c r="E391" s="133" t="s">
        <v>1201</v>
      </c>
      <c r="F391" s="133" t="s">
        <v>1117</v>
      </c>
      <c r="G391" s="133" t="s">
        <v>1202</v>
      </c>
      <c r="H391" s="133" t="s">
        <v>1216</v>
      </c>
      <c r="I391" s="133" t="s">
        <v>1247</v>
      </c>
      <c r="J391" s="133" t="s">
        <v>1248</v>
      </c>
      <c r="K391" s="130" t="s">
        <v>1521</v>
      </c>
      <c r="L391" s="130" t="s">
        <v>1509</v>
      </c>
      <c r="M391" s="130" t="s">
        <v>1510</v>
      </c>
      <c r="N391" s="130" t="s">
        <v>1511</v>
      </c>
      <c r="O391" s="130" t="s">
        <v>1512</v>
      </c>
      <c r="P391" s="130" t="s">
        <v>1513</v>
      </c>
      <c r="Q391" s="130" t="s">
        <v>1127</v>
      </c>
      <c r="R391" s="130" t="s">
        <v>1191</v>
      </c>
      <c r="S391" s="130" t="s">
        <v>1191</v>
      </c>
      <c r="T391" s="130" t="s">
        <v>1142</v>
      </c>
      <c r="U391" s="130">
        <v>300</v>
      </c>
      <c r="V391" s="131">
        <v>-300</v>
      </c>
      <c r="W391" s="131">
        <v>0</v>
      </c>
      <c r="X391" s="131">
        <v>0</v>
      </c>
      <c r="Y391" s="131">
        <v>0</v>
      </c>
      <c r="Z391" s="131">
        <v>0</v>
      </c>
      <c r="AA391" s="131">
        <v>0</v>
      </c>
      <c r="AB391" s="131">
        <v>0</v>
      </c>
      <c r="AC391" s="131">
        <v>0</v>
      </c>
      <c r="AD391" s="131">
        <v>0</v>
      </c>
      <c r="AE391" s="132">
        <v>0</v>
      </c>
    </row>
    <row r="392" spans="1:31" x14ac:dyDescent="0.2">
      <c r="A392" s="133">
        <v>75</v>
      </c>
      <c r="B392" s="133" t="s">
        <v>1198</v>
      </c>
      <c r="C392" s="133" t="s">
        <v>1199</v>
      </c>
      <c r="D392" s="133" t="s">
        <v>1508</v>
      </c>
      <c r="E392" s="133" t="s">
        <v>1201</v>
      </c>
      <c r="F392" s="133" t="s">
        <v>1117</v>
      </c>
      <c r="G392" s="133" t="s">
        <v>1202</v>
      </c>
      <c r="H392" s="133" t="s">
        <v>1216</v>
      </c>
      <c r="I392" s="133" t="s">
        <v>1247</v>
      </c>
      <c r="J392" s="133" t="s">
        <v>1248</v>
      </c>
      <c r="K392" s="130" t="s">
        <v>1522</v>
      </c>
      <c r="L392" s="130" t="s">
        <v>1509</v>
      </c>
      <c r="M392" s="130" t="s">
        <v>1510</v>
      </c>
      <c r="N392" s="130" t="s">
        <v>1511</v>
      </c>
      <c r="O392" s="130" t="s">
        <v>1512</v>
      </c>
      <c r="P392" s="130" t="s">
        <v>1513</v>
      </c>
      <c r="Q392" s="130" t="s">
        <v>1127</v>
      </c>
      <c r="R392" s="130" t="s">
        <v>1191</v>
      </c>
      <c r="S392" s="130" t="s">
        <v>1191</v>
      </c>
      <c r="T392" s="130" t="s">
        <v>1142</v>
      </c>
      <c r="U392" s="130">
        <v>500</v>
      </c>
      <c r="V392" s="131">
        <v>0</v>
      </c>
      <c r="W392" s="131">
        <v>500</v>
      </c>
      <c r="X392" s="131">
        <v>0</v>
      </c>
      <c r="Y392" s="131">
        <v>500</v>
      </c>
      <c r="Z392" s="131">
        <v>0</v>
      </c>
      <c r="AA392" s="131">
        <v>500</v>
      </c>
      <c r="AB392" s="131">
        <v>0</v>
      </c>
      <c r="AC392" s="131">
        <v>500</v>
      </c>
      <c r="AD392" s="131">
        <v>0</v>
      </c>
      <c r="AE392" s="132">
        <v>500</v>
      </c>
    </row>
    <row r="393" spans="1:31" x14ac:dyDescent="0.2">
      <c r="A393" s="133">
        <v>75</v>
      </c>
      <c r="B393" s="133" t="s">
        <v>1198</v>
      </c>
      <c r="C393" s="133" t="s">
        <v>1199</v>
      </c>
      <c r="D393" s="133" t="s">
        <v>1508</v>
      </c>
      <c r="E393" s="133" t="s">
        <v>1201</v>
      </c>
      <c r="F393" s="133" t="s">
        <v>1117</v>
      </c>
      <c r="G393" s="133" t="s">
        <v>1202</v>
      </c>
      <c r="H393" s="133" t="s">
        <v>1216</v>
      </c>
      <c r="I393" s="130" t="s">
        <v>1523</v>
      </c>
      <c r="J393" s="130" t="s">
        <v>1524</v>
      </c>
      <c r="K393" s="130" t="s">
        <v>1524</v>
      </c>
      <c r="L393" s="130" t="s">
        <v>1509</v>
      </c>
      <c r="M393" s="130" t="s">
        <v>1510</v>
      </c>
      <c r="N393" s="130" t="s">
        <v>1511</v>
      </c>
      <c r="O393" s="130" t="s">
        <v>1512</v>
      </c>
      <c r="P393" s="130" t="s">
        <v>1513</v>
      </c>
      <c r="Q393" s="130" t="s">
        <v>1127</v>
      </c>
      <c r="R393" s="130" t="s">
        <v>1191</v>
      </c>
      <c r="S393" s="130" t="s">
        <v>1191</v>
      </c>
      <c r="T393" s="130" t="s">
        <v>1142</v>
      </c>
      <c r="U393" s="130">
        <v>1800</v>
      </c>
      <c r="V393" s="131">
        <v>0</v>
      </c>
      <c r="W393" s="131">
        <v>1800</v>
      </c>
      <c r="X393" s="131">
        <v>500</v>
      </c>
      <c r="Y393" s="131">
        <v>1300</v>
      </c>
      <c r="Z393" s="131">
        <v>500</v>
      </c>
      <c r="AA393" s="131">
        <v>1300</v>
      </c>
      <c r="AB393" s="131">
        <v>500</v>
      </c>
      <c r="AC393" s="131">
        <v>1300</v>
      </c>
      <c r="AD393" s="131">
        <v>500</v>
      </c>
      <c r="AE393" s="132">
        <v>1300</v>
      </c>
    </row>
    <row r="394" spans="1:31" x14ac:dyDescent="0.2">
      <c r="A394" s="133">
        <v>75</v>
      </c>
      <c r="B394" s="133" t="s">
        <v>1198</v>
      </c>
      <c r="C394" s="133" t="s">
        <v>1199</v>
      </c>
      <c r="D394" s="133" t="s">
        <v>1508</v>
      </c>
      <c r="E394" s="133" t="s">
        <v>1201</v>
      </c>
      <c r="F394" s="133" t="s">
        <v>1117</v>
      </c>
      <c r="G394" s="133" t="s">
        <v>1202</v>
      </c>
      <c r="H394" s="133" t="s">
        <v>1216</v>
      </c>
      <c r="I394" s="130" t="s">
        <v>1525</v>
      </c>
      <c r="J394" s="130" t="s">
        <v>1526</v>
      </c>
      <c r="K394" s="130" t="s">
        <v>1527</v>
      </c>
      <c r="L394" s="130" t="s">
        <v>1509</v>
      </c>
      <c r="M394" s="130" t="s">
        <v>1510</v>
      </c>
      <c r="N394" s="130" t="s">
        <v>1511</v>
      </c>
      <c r="O394" s="130" t="s">
        <v>1512</v>
      </c>
      <c r="P394" s="130" t="s">
        <v>1513</v>
      </c>
      <c r="Q394" s="130" t="s">
        <v>1127</v>
      </c>
      <c r="R394" s="130" t="s">
        <v>1191</v>
      </c>
      <c r="S394" s="130" t="s">
        <v>1191</v>
      </c>
      <c r="T394" s="130" t="s">
        <v>1142</v>
      </c>
      <c r="U394" s="130">
        <v>726</v>
      </c>
      <c r="V394" s="131">
        <v>0</v>
      </c>
      <c r="W394" s="131">
        <v>726</v>
      </c>
      <c r="X394" s="131">
        <v>0</v>
      </c>
      <c r="Y394" s="131">
        <v>726</v>
      </c>
      <c r="Z394" s="131">
        <v>0</v>
      </c>
      <c r="AA394" s="131">
        <v>726</v>
      </c>
      <c r="AB394" s="131">
        <v>0</v>
      </c>
      <c r="AC394" s="131">
        <v>726</v>
      </c>
      <c r="AD394" s="131">
        <v>0</v>
      </c>
      <c r="AE394" s="132">
        <v>726</v>
      </c>
    </row>
    <row r="395" spans="1:31" x14ac:dyDescent="0.2">
      <c r="A395" s="133">
        <v>75</v>
      </c>
      <c r="B395" s="133" t="s">
        <v>1198</v>
      </c>
      <c r="C395" s="133" t="s">
        <v>1199</v>
      </c>
      <c r="D395" s="133" t="s">
        <v>1508</v>
      </c>
      <c r="E395" s="133" t="s">
        <v>1201</v>
      </c>
      <c r="F395" s="133" t="s">
        <v>1117</v>
      </c>
      <c r="G395" s="133" t="s">
        <v>1202</v>
      </c>
      <c r="H395" s="133" t="s">
        <v>1216</v>
      </c>
      <c r="I395" s="130" t="s">
        <v>1252</v>
      </c>
      <c r="J395" s="130" t="s">
        <v>1253</v>
      </c>
      <c r="K395" s="130" t="s">
        <v>1528</v>
      </c>
      <c r="L395" s="130" t="s">
        <v>1509</v>
      </c>
      <c r="M395" s="130" t="s">
        <v>1510</v>
      </c>
      <c r="N395" s="130" t="s">
        <v>1511</v>
      </c>
      <c r="O395" s="130" t="s">
        <v>1512</v>
      </c>
      <c r="P395" s="130" t="s">
        <v>1513</v>
      </c>
      <c r="Q395" s="130" t="s">
        <v>1127</v>
      </c>
      <c r="R395" s="130" t="s">
        <v>1191</v>
      </c>
      <c r="S395" s="130" t="s">
        <v>1191</v>
      </c>
      <c r="T395" s="130" t="s">
        <v>1142</v>
      </c>
      <c r="U395" s="130">
        <v>400</v>
      </c>
      <c r="V395" s="131">
        <v>-120</v>
      </c>
      <c r="W395" s="131">
        <v>280</v>
      </c>
      <c r="X395" s="131">
        <v>280</v>
      </c>
      <c r="Y395" s="131">
        <v>0</v>
      </c>
      <c r="Z395" s="131">
        <v>280</v>
      </c>
      <c r="AA395" s="131">
        <v>0</v>
      </c>
      <c r="AB395" s="131">
        <v>280</v>
      </c>
      <c r="AC395" s="131">
        <v>0</v>
      </c>
      <c r="AD395" s="131">
        <v>280</v>
      </c>
      <c r="AE395" s="132">
        <v>0</v>
      </c>
    </row>
    <row r="396" spans="1:31" x14ac:dyDescent="0.2">
      <c r="A396" s="133">
        <v>75</v>
      </c>
      <c r="B396" s="133" t="s">
        <v>1198</v>
      </c>
      <c r="C396" s="133" t="s">
        <v>1199</v>
      </c>
      <c r="D396" s="133" t="s">
        <v>1508</v>
      </c>
      <c r="E396" s="133" t="s">
        <v>1201</v>
      </c>
      <c r="F396" s="133" t="s">
        <v>1117</v>
      </c>
      <c r="G396" s="133" t="s">
        <v>1202</v>
      </c>
      <c r="H396" s="130" t="s">
        <v>1203</v>
      </c>
      <c r="I396" s="130" t="s">
        <v>1204</v>
      </c>
      <c r="J396" s="130" t="s">
        <v>1205</v>
      </c>
      <c r="K396" s="130" t="s">
        <v>1255</v>
      </c>
      <c r="L396" s="130" t="s">
        <v>1509</v>
      </c>
      <c r="M396" s="130" t="s">
        <v>1510</v>
      </c>
      <c r="N396" s="130" t="s">
        <v>1511</v>
      </c>
      <c r="O396" s="130" t="s">
        <v>1512</v>
      </c>
      <c r="P396" s="130" t="s">
        <v>1513</v>
      </c>
      <c r="Q396" s="130" t="s">
        <v>1127</v>
      </c>
      <c r="R396" s="130" t="s">
        <v>1191</v>
      </c>
      <c r="S396" s="130" t="s">
        <v>1191</v>
      </c>
      <c r="T396" s="130" t="s">
        <v>1142</v>
      </c>
      <c r="U396" s="130">
        <v>10401</v>
      </c>
      <c r="V396" s="131">
        <v>-1150</v>
      </c>
      <c r="W396" s="131">
        <v>9251</v>
      </c>
      <c r="X396" s="131">
        <v>0</v>
      </c>
      <c r="Y396" s="131">
        <v>9251</v>
      </c>
      <c r="Z396" s="131">
        <v>0</v>
      </c>
      <c r="AA396" s="131">
        <v>9251</v>
      </c>
      <c r="AB396" s="131">
        <v>0</v>
      </c>
      <c r="AC396" s="131">
        <v>9251</v>
      </c>
      <c r="AD396" s="131">
        <v>0</v>
      </c>
      <c r="AE396" s="132">
        <v>9251</v>
      </c>
    </row>
    <row r="397" spans="1:31" x14ac:dyDescent="0.2">
      <c r="A397" s="133">
        <v>75</v>
      </c>
      <c r="B397" s="133" t="s">
        <v>1198</v>
      </c>
      <c r="C397" s="133" t="s">
        <v>1199</v>
      </c>
      <c r="D397" s="133" t="s">
        <v>1508</v>
      </c>
      <c r="E397" s="133" t="s">
        <v>1201</v>
      </c>
      <c r="F397" s="133" t="s">
        <v>1117</v>
      </c>
      <c r="G397" s="133" t="s">
        <v>1202</v>
      </c>
      <c r="H397" s="133" t="s">
        <v>1203</v>
      </c>
      <c r="I397" s="133" t="s">
        <v>1204</v>
      </c>
      <c r="J397" s="133" t="s">
        <v>1205</v>
      </c>
      <c r="K397" s="130" t="s">
        <v>1256</v>
      </c>
      <c r="L397" s="130" t="s">
        <v>1509</v>
      </c>
      <c r="M397" s="130" t="s">
        <v>1510</v>
      </c>
      <c r="N397" s="130" t="s">
        <v>1511</v>
      </c>
      <c r="O397" s="130" t="s">
        <v>1512</v>
      </c>
      <c r="P397" s="130" t="s">
        <v>1513</v>
      </c>
      <c r="Q397" s="130" t="s">
        <v>1127</v>
      </c>
      <c r="R397" s="130" t="s">
        <v>1191</v>
      </c>
      <c r="S397" s="130" t="s">
        <v>1191</v>
      </c>
      <c r="T397" s="130" t="s">
        <v>1142</v>
      </c>
      <c r="U397" s="130">
        <v>11550</v>
      </c>
      <c r="V397" s="131">
        <v>-1400</v>
      </c>
      <c r="W397" s="131">
        <v>10150</v>
      </c>
      <c r="X397" s="131">
        <v>0</v>
      </c>
      <c r="Y397" s="131">
        <v>10150</v>
      </c>
      <c r="Z397" s="131">
        <v>0</v>
      </c>
      <c r="AA397" s="131">
        <v>10150</v>
      </c>
      <c r="AB397" s="131">
        <v>0</v>
      </c>
      <c r="AC397" s="131">
        <v>10150</v>
      </c>
      <c r="AD397" s="131">
        <v>0</v>
      </c>
      <c r="AE397" s="132">
        <v>10150</v>
      </c>
    </row>
    <row r="398" spans="1:31" x14ac:dyDescent="0.2">
      <c r="A398" s="133">
        <v>75</v>
      </c>
      <c r="B398" s="133" t="s">
        <v>1198</v>
      </c>
      <c r="C398" s="133" t="s">
        <v>1199</v>
      </c>
      <c r="D398" s="133" t="s">
        <v>1508</v>
      </c>
      <c r="E398" s="133" t="s">
        <v>1201</v>
      </c>
      <c r="F398" s="133" t="s">
        <v>1117</v>
      </c>
      <c r="G398" s="133" t="s">
        <v>1202</v>
      </c>
      <c r="H398" s="133" t="s">
        <v>1203</v>
      </c>
      <c r="I398" s="133" t="s">
        <v>1204</v>
      </c>
      <c r="J398" s="133" t="s">
        <v>1205</v>
      </c>
      <c r="K398" s="130" t="s">
        <v>1206</v>
      </c>
      <c r="L398" s="130" t="s">
        <v>1509</v>
      </c>
      <c r="M398" s="130" t="s">
        <v>1510</v>
      </c>
      <c r="N398" s="130" t="s">
        <v>1511</v>
      </c>
      <c r="O398" s="130" t="s">
        <v>1512</v>
      </c>
      <c r="P398" s="130" t="s">
        <v>1513</v>
      </c>
      <c r="Q398" s="130" t="s">
        <v>1127</v>
      </c>
      <c r="R398" s="130" t="s">
        <v>1191</v>
      </c>
      <c r="S398" s="130" t="s">
        <v>1191</v>
      </c>
      <c r="T398" s="130" t="s">
        <v>1142</v>
      </c>
      <c r="U398" s="130">
        <v>3540</v>
      </c>
      <c r="V398" s="131">
        <v>-710</v>
      </c>
      <c r="W398" s="131">
        <v>2830</v>
      </c>
      <c r="X398" s="131">
        <v>0</v>
      </c>
      <c r="Y398" s="131">
        <v>2830</v>
      </c>
      <c r="Z398" s="131">
        <v>0</v>
      </c>
      <c r="AA398" s="131">
        <v>2830</v>
      </c>
      <c r="AB398" s="131">
        <v>0</v>
      </c>
      <c r="AC398" s="131">
        <v>2830</v>
      </c>
      <c r="AD398" s="131">
        <v>0</v>
      </c>
      <c r="AE398" s="132">
        <v>2830</v>
      </c>
    </row>
    <row r="399" spans="1:31" x14ac:dyDescent="0.2">
      <c r="A399" s="133">
        <v>75</v>
      </c>
      <c r="B399" s="133" t="s">
        <v>1198</v>
      </c>
      <c r="C399" s="133" t="s">
        <v>1199</v>
      </c>
      <c r="D399" s="133" t="s">
        <v>1508</v>
      </c>
      <c r="E399" s="133" t="s">
        <v>1201</v>
      </c>
      <c r="F399" s="133" t="s">
        <v>1117</v>
      </c>
      <c r="G399" s="133" t="s">
        <v>1202</v>
      </c>
      <c r="H399" s="133" t="s">
        <v>1203</v>
      </c>
      <c r="I399" s="130" t="s">
        <v>1224</v>
      </c>
      <c r="J399" s="130" t="s">
        <v>1257</v>
      </c>
      <c r="K399" s="130" t="s">
        <v>1258</v>
      </c>
      <c r="L399" s="130" t="s">
        <v>1509</v>
      </c>
      <c r="M399" s="130" t="s">
        <v>1510</v>
      </c>
      <c r="N399" s="130" t="s">
        <v>1511</v>
      </c>
      <c r="O399" s="130" t="s">
        <v>1512</v>
      </c>
      <c r="P399" s="130" t="s">
        <v>1513</v>
      </c>
      <c r="Q399" s="130" t="s">
        <v>1127</v>
      </c>
      <c r="R399" s="130" t="s">
        <v>1191</v>
      </c>
      <c r="S399" s="130" t="s">
        <v>1191</v>
      </c>
      <c r="T399" s="130" t="s">
        <v>1142</v>
      </c>
      <c r="U399" s="130">
        <v>16800</v>
      </c>
      <c r="V399" s="131">
        <v>0</v>
      </c>
      <c r="W399" s="131">
        <v>16800</v>
      </c>
      <c r="X399" s="131">
        <v>16800</v>
      </c>
      <c r="Y399" s="131">
        <v>0</v>
      </c>
      <c r="Z399" s="131">
        <v>8315.6</v>
      </c>
      <c r="AA399" s="131">
        <v>8484.4</v>
      </c>
      <c r="AB399" s="131">
        <v>8315.5999999999985</v>
      </c>
      <c r="AC399" s="131">
        <v>8484.4000000000015</v>
      </c>
      <c r="AD399" s="131">
        <v>8315.5999999999985</v>
      </c>
      <c r="AE399" s="132">
        <v>8484.4000000000015</v>
      </c>
    </row>
    <row r="400" spans="1:31" x14ac:dyDescent="0.2">
      <c r="A400" s="133">
        <v>75</v>
      </c>
      <c r="B400" s="133" t="s">
        <v>1198</v>
      </c>
      <c r="C400" s="133" t="s">
        <v>1199</v>
      </c>
      <c r="D400" s="133" t="s">
        <v>1508</v>
      </c>
      <c r="E400" s="133" t="s">
        <v>1201</v>
      </c>
      <c r="F400" s="133" t="s">
        <v>1117</v>
      </c>
      <c r="G400" s="133" t="s">
        <v>1202</v>
      </c>
      <c r="H400" s="133" t="s">
        <v>1203</v>
      </c>
      <c r="I400" s="133" t="s">
        <v>1224</v>
      </c>
      <c r="J400" s="133" t="s">
        <v>1257</v>
      </c>
      <c r="K400" s="130" t="s">
        <v>1259</v>
      </c>
      <c r="L400" s="130" t="s">
        <v>1509</v>
      </c>
      <c r="M400" s="130" t="s">
        <v>1510</v>
      </c>
      <c r="N400" s="130" t="s">
        <v>1511</v>
      </c>
      <c r="O400" s="130" t="s">
        <v>1512</v>
      </c>
      <c r="P400" s="130" t="s">
        <v>1513</v>
      </c>
      <c r="Q400" s="130" t="s">
        <v>1127</v>
      </c>
      <c r="R400" s="130" t="s">
        <v>1191</v>
      </c>
      <c r="S400" s="130" t="s">
        <v>1191</v>
      </c>
      <c r="T400" s="130" t="s">
        <v>1142</v>
      </c>
      <c r="U400" s="130">
        <v>732</v>
      </c>
      <c r="V400" s="131">
        <v>0</v>
      </c>
      <c r="W400" s="131">
        <v>732</v>
      </c>
      <c r="X400" s="131">
        <v>732</v>
      </c>
      <c r="Y400" s="131">
        <v>0</v>
      </c>
      <c r="Z400" s="131">
        <v>517.17999999999995</v>
      </c>
      <c r="AA400" s="131">
        <v>214.82000000000005</v>
      </c>
      <c r="AB400" s="131">
        <v>517.17999999999995</v>
      </c>
      <c r="AC400" s="131">
        <v>214.82000000000005</v>
      </c>
      <c r="AD400" s="131">
        <v>517.17999999999995</v>
      </c>
      <c r="AE400" s="132">
        <v>214.82000000000005</v>
      </c>
    </row>
    <row r="401" spans="1:31" x14ac:dyDescent="0.2">
      <c r="A401" s="133">
        <v>75</v>
      </c>
      <c r="B401" s="133" t="s">
        <v>1198</v>
      </c>
      <c r="C401" s="133" t="s">
        <v>1199</v>
      </c>
      <c r="D401" s="133" t="s">
        <v>1508</v>
      </c>
      <c r="E401" s="133" t="s">
        <v>1201</v>
      </c>
      <c r="F401" s="133" t="s">
        <v>1117</v>
      </c>
      <c r="G401" s="133" t="s">
        <v>1202</v>
      </c>
      <c r="H401" s="133" t="s">
        <v>1203</v>
      </c>
      <c r="I401" s="133" t="s">
        <v>1224</v>
      </c>
      <c r="J401" s="130" t="s">
        <v>1529</v>
      </c>
      <c r="K401" s="130" t="s">
        <v>1530</v>
      </c>
      <c r="L401" s="130" t="s">
        <v>1509</v>
      </c>
      <c r="M401" s="130" t="s">
        <v>1510</v>
      </c>
      <c r="N401" s="130" t="s">
        <v>1511</v>
      </c>
      <c r="O401" s="130" t="s">
        <v>1512</v>
      </c>
      <c r="P401" s="130" t="s">
        <v>1513</v>
      </c>
      <c r="Q401" s="130" t="s">
        <v>1127</v>
      </c>
      <c r="R401" s="130" t="s">
        <v>1191</v>
      </c>
      <c r="S401" s="130" t="s">
        <v>1191</v>
      </c>
      <c r="T401" s="130" t="s">
        <v>1142</v>
      </c>
      <c r="U401" s="130">
        <v>3576</v>
      </c>
      <c r="V401" s="131">
        <v>-3576</v>
      </c>
      <c r="W401" s="131">
        <v>0</v>
      </c>
      <c r="X401" s="131">
        <v>0</v>
      </c>
      <c r="Y401" s="131">
        <v>0</v>
      </c>
      <c r="Z401" s="131">
        <v>0</v>
      </c>
      <c r="AA401" s="131">
        <v>0</v>
      </c>
      <c r="AB401" s="131">
        <v>0</v>
      </c>
      <c r="AC401" s="131">
        <v>0</v>
      </c>
      <c r="AD401" s="131">
        <v>0</v>
      </c>
      <c r="AE401" s="132">
        <v>0</v>
      </c>
    </row>
    <row r="402" spans="1:31" x14ac:dyDescent="0.2">
      <c r="A402" s="133">
        <v>75</v>
      </c>
      <c r="B402" s="133" t="s">
        <v>1198</v>
      </c>
      <c r="C402" s="133" t="s">
        <v>1199</v>
      </c>
      <c r="D402" s="133" t="s">
        <v>1508</v>
      </c>
      <c r="E402" s="133" t="s">
        <v>1201</v>
      </c>
      <c r="F402" s="133" t="s">
        <v>1117</v>
      </c>
      <c r="G402" s="133" t="s">
        <v>1202</v>
      </c>
      <c r="H402" s="133" t="s">
        <v>1203</v>
      </c>
      <c r="I402" s="133" t="s">
        <v>1224</v>
      </c>
      <c r="J402" s="133" t="s">
        <v>1529</v>
      </c>
      <c r="K402" s="130" t="s">
        <v>1531</v>
      </c>
      <c r="L402" s="130" t="s">
        <v>1509</v>
      </c>
      <c r="M402" s="130" t="s">
        <v>1510</v>
      </c>
      <c r="N402" s="130" t="s">
        <v>1511</v>
      </c>
      <c r="O402" s="130" t="s">
        <v>1512</v>
      </c>
      <c r="P402" s="130" t="s">
        <v>1513</v>
      </c>
      <c r="Q402" s="130" t="s">
        <v>1127</v>
      </c>
      <c r="R402" s="130" t="s">
        <v>1191</v>
      </c>
      <c r="S402" s="130" t="s">
        <v>1191</v>
      </c>
      <c r="T402" s="130" t="s">
        <v>1142</v>
      </c>
      <c r="U402" s="130">
        <v>13440</v>
      </c>
      <c r="V402" s="131">
        <v>3576</v>
      </c>
      <c r="W402" s="131">
        <v>17016</v>
      </c>
      <c r="X402" s="131">
        <v>16700</v>
      </c>
      <c r="Y402" s="131">
        <v>316</v>
      </c>
      <c r="Z402" s="131">
        <v>16700</v>
      </c>
      <c r="AA402" s="131">
        <v>316</v>
      </c>
      <c r="AB402" s="131">
        <v>16700</v>
      </c>
      <c r="AC402" s="131">
        <v>316</v>
      </c>
      <c r="AD402" s="131">
        <v>3340</v>
      </c>
      <c r="AE402" s="132">
        <v>13676</v>
      </c>
    </row>
    <row r="403" spans="1:31" x14ac:dyDescent="0.2">
      <c r="A403" s="133">
        <v>75</v>
      </c>
      <c r="B403" s="133" t="s">
        <v>1198</v>
      </c>
      <c r="C403" s="133" t="s">
        <v>1199</v>
      </c>
      <c r="D403" s="133" t="s">
        <v>1508</v>
      </c>
      <c r="E403" s="133" t="s">
        <v>1201</v>
      </c>
      <c r="F403" s="133" t="s">
        <v>1117</v>
      </c>
      <c r="G403" s="133" t="s">
        <v>1202</v>
      </c>
      <c r="H403" s="133" t="s">
        <v>1203</v>
      </c>
      <c r="I403" s="133" t="s">
        <v>1224</v>
      </c>
      <c r="J403" s="130" t="s">
        <v>1306</v>
      </c>
      <c r="K403" s="130" t="s">
        <v>1307</v>
      </c>
      <c r="L403" s="130" t="s">
        <v>1509</v>
      </c>
      <c r="M403" s="130" t="s">
        <v>1510</v>
      </c>
      <c r="N403" s="130" t="s">
        <v>1511</v>
      </c>
      <c r="O403" s="130" t="s">
        <v>1512</v>
      </c>
      <c r="P403" s="130" t="s">
        <v>1513</v>
      </c>
      <c r="Q403" s="130" t="s">
        <v>1127</v>
      </c>
      <c r="R403" s="130" t="s">
        <v>1191</v>
      </c>
      <c r="S403" s="130" t="s">
        <v>1191</v>
      </c>
      <c r="T403" s="130" t="s">
        <v>1142</v>
      </c>
      <c r="U403" s="130">
        <v>2100</v>
      </c>
      <c r="V403" s="131">
        <v>0</v>
      </c>
      <c r="W403" s="131">
        <v>2100</v>
      </c>
      <c r="X403" s="131">
        <v>0</v>
      </c>
      <c r="Y403" s="131">
        <v>2100</v>
      </c>
      <c r="Z403" s="131">
        <v>0</v>
      </c>
      <c r="AA403" s="131">
        <v>2100</v>
      </c>
      <c r="AB403" s="131">
        <v>0</v>
      </c>
      <c r="AC403" s="131">
        <v>2100</v>
      </c>
      <c r="AD403" s="131">
        <v>0</v>
      </c>
      <c r="AE403" s="132">
        <v>2100</v>
      </c>
    </row>
    <row r="404" spans="1:31" x14ac:dyDescent="0.2">
      <c r="A404" s="133">
        <v>75</v>
      </c>
      <c r="B404" s="133" t="s">
        <v>1198</v>
      </c>
      <c r="C404" s="133" t="s">
        <v>1199</v>
      </c>
      <c r="D404" s="133" t="s">
        <v>1508</v>
      </c>
      <c r="E404" s="133" t="s">
        <v>1201</v>
      </c>
      <c r="F404" s="133" t="s">
        <v>1117</v>
      </c>
      <c r="G404" s="133" t="s">
        <v>1202</v>
      </c>
      <c r="H404" s="133" t="s">
        <v>1203</v>
      </c>
      <c r="I404" s="130" t="s">
        <v>1264</v>
      </c>
      <c r="J404" s="130" t="s">
        <v>1265</v>
      </c>
      <c r="K404" s="130" t="s">
        <v>1266</v>
      </c>
      <c r="L404" s="130" t="s">
        <v>1509</v>
      </c>
      <c r="M404" s="130" t="s">
        <v>1510</v>
      </c>
      <c r="N404" s="130" t="s">
        <v>1511</v>
      </c>
      <c r="O404" s="130" t="s">
        <v>1512</v>
      </c>
      <c r="P404" s="130" t="s">
        <v>1513</v>
      </c>
      <c r="Q404" s="130" t="s">
        <v>1127</v>
      </c>
      <c r="R404" s="130" t="s">
        <v>1191</v>
      </c>
      <c r="S404" s="130" t="s">
        <v>1191</v>
      </c>
      <c r="T404" s="130" t="s">
        <v>1142</v>
      </c>
      <c r="U404" s="130">
        <v>1000</v>
      </c>
      <c r="V404" s="131">
        <v>0</v>
      </c>
      <c r="W404" s="131">
        <v>1000</v>
      </c>
      <c r="X404" s="131">
        <v>0</v>
      </c>
      <c r="Y404" s="131">
        <v>1000</v>
      </c>
      <c r="Z404" s="131">
        <v>0</v>
      </c>
      <c r="AA404" s="131">
        <v>1000</v>
      </c>
      <c r="AB404" s="131">
        <v>0</v>
      </c>
      <c r="AC404" s="131">
        <v>1000</v>
      </c>
      <c r="AD404" s="131">
        <v>0</v>
      </c>
      <c r="AE404" s="132">
        <v>1000</v>
      </c>
    </row>
    <row r="405" spans="1:31" x14ac:dyDescent="0.2">
      <c r="A405" s="133">
        <v>75</v>
      </c>
      <c r="B405" s="133" t="s">
        <v>1198</v>
      </c>
      <c r="C405" s="133" t="s">
        <v>1199</v>
      </c>
      <c r="D405" s="133" t="s">
        <v>1508</v>
      </c>
      <c r="E405" s="133" t="s">
        <v>1201</v>
      </c>
      <c r="F405" s="133" t="s">
        <v>1117</v>
      </c>
      <c r="G405" s="133" t="s">
        <v>1202</v>
      </c>
      <c r="H405" s="133" t="s">
        <v>1203</v>
      </c>
      <c r="I405" s="133" t="s">
        <v>1264</v>
      </c>
      <c r="J405" s="130" t="s">
        <v>1532</v>
      </c>
      <c r="K405" s="130" t="s">
        <v>1249</v>
      </c>
      <c r="L405" s="130" t="s">
        <v>1509</v>
      </c>
      <c r="M405" s="130" t="s">
        <v>1510</v>
      </c>
      <c r="N405" s="130" t="s">
        <v>1511</v>
      </c>
      <c r="O405" s="130" t="s">
        <v>1512</v>
      </c>
      <c r="P405" s="130" t="s">
        <v>1513</v>
      </c>
      <c r="Q405" s="130" t="s">
        <v>1127</v>
      </c>
      <c r="R405" s="130" t="s">
        <v>1191</v>
      </c>
      <c r="S405" s="130" t="s">
        <v>1191</v>
      </c>
      <c r="T405" s="130" t="s">
        <v>1142</v>
      </c>
      <c r="U405" s="130">
        <v>4250</v>
      </c>
      <c r="V405" s="131">
        <v>770</v>
      </c>
      <c r="W405" s="131">
        <v>5020</v>
      </c>
      <c r="X405" s="131">
        <v>0</v>
      </c>
      <c r="Y405" s="131">
        <v>5020</v>
      </c>
      <c r="Z405" s="131">
        <v>0</v>
      </c>
      <c r="AA405" s="131">
        <v>5020</v>
      </c>
      <c r="AB405" s="131">
        <v>0</v>
      </c>
      <c r="AC405" s="131">
        <v>5020</v>
      </c>
      <c r="AD405" s="131">
        <v>0</v>
      </c>
      <c r="AE405" s="132">
        <v>5020</v>
      </c>
    </row>
    <row r="406" spans="1:31" x14ac:dyDescent="0.2">
      <c r="A406" s="133">
        <v>75</v>
      </c>
      <c r="B406" s="133" t="s">
        <v>1198</v>
      </c>
      <c r="C406" s="133" t="s">
        <v>1199</v>
      </c>
      <c r="D406" s="133" t="s">
        <v>1508</v>
      </c>
      <c r="E406" s="133" t="s">
        <v>1201</v>
      </c>
      <c r="F406" s="133" t="s">
        <v>1117</v>
      </c>
      <c r="G406" s="133" t="s">
        <v>1202</v>
      </c>
      <c r="H406" s="133" t="s">
        <v>1203</v>
      </c>
      <c r="I406" s="130" t="s">
        <v>1315</v>
      </c>
      <c r="J406" s="130" t="s">
        <v>1316</v>
      </c>
      <c r="K406" s="130" t="s">
        <v>1533</v>
      </c>
      <c r="L406" s="130" t="s">
        <v>1509</v>
      </c>
      <c r="M406" s="130" t="s">
        <v>1510</v>
      </c>
      <c r="N406" s="130" t="s">
        <v>1511</v>
      </c>
      <c r="O406" s="130" t="s">
        <v>1512</v>
      </c>
      <c r="P406" s="130" t="s">
        <v>1513</v>
      </c>
      <c r="Q406" s="130" t="s">
        <v>1127</v>
      </c>
      <c r="R406" s="130" t="s">
        <v>1191</v>
      </c>
      <c r="S406" s="130" t="s">
        <v>1191</v>
      </c>
      <c r="T406" s="130" t="s">
        <v>1142</v>
      </c>
      <c r="U406" s="130">
        <v>35400</v>
      </c>
      <c r="V406" s="131">
        <v>-1400</v>
      </c>
      <c r="W406" s="131">
        <v>34000</v>
      </c>
      <c r="X406" s="131">
        <v>34000</v>
      </c>
      <c r="Y406" s="131">
        <v>0</v>
      </c>
      <c r="Z406" s="131">
        <v>34000</v>
      </c>
      <c r="AA406" s="131">
        <v>0</v>
      </c>
      <c r="AB406" s="131">
        <v>34000</v>
      </c>
      <c r="AC406" s="131">
        <v>0</v>
      </c>
      <c r="AD406" s="131">
        <v>6800</v>
      </c>
      <c r="AE406" s="132">
        <v>27200</v>
      </c>
    </row>
    <row r="407" spans="1:31" x14ac:dyDescent="0.2">
      <c r="A407" s="133">
        <v>75</v>
      </c>
      <c r="B407" s="133" t="s">
        <v>1198</v>
      </c>
      <c r="C407" s="133" t="s">
        <v>1199</v>
      </c>
      <c r="D407" s="133" t="s">
        <v>1508</v>
      </c>
      <c r="E407" s="133" t="s">
        <v>1201</v>
      </c>
      <c r="F407" s="133" t="s">
        <v>1117</v>
      </c>
      <c r="G407" s="133" t="s">
        <v>1202</v>
      </c>
      <c r="H407" s="133" t="s">
        <v>1203</v>
      </c>
      <c r="I407" s="130" t="s">
        <v>1269</v>
      </c>
      <c r="J407" s="130" t="s">
        <v>1534</v>
      </c>
      <c r="K407" s="130" t="s">
        <v>1535</v>
      </c>
      <c r="L407" s="130" t="s">
        <v>1509</v>
      </c>
      <c r="M407" s="130" t="s">
        <v>1510</v>
      </c>
      <c r="N407" s="130" t="s">
        <v>1511</v>
      </c>
      <c r="O407" s="130" t="s">
        <v>1512</v>
      </c>
      <c r="P407" s="130" t="s">
        <v>1513</v>
      </c>
      <c r="Q407" s="130" t="s">
        <v>1127</v>
      </c>
      <c r="R407" s="130" t="s">
        <v>1191</v>
      </c>
      <c r="S407" s="130" t="s">
        <v>1191</v>
      </c>
      <c r="T407" s="130" t="s">
        <v>1142</v>
      </c>
      <c r="U407" s="130">
        <v>200</v>
      </c>
      <c r="V407" s="131">
        <v>0</v>
      </c>
      <c r="W407" s="131">
        <v>200</v>
      </c>
      <c r="X407" s="131">
        <v>0</v>
      </c>
      <c r="Y407" s="131">
        <v>200</v>
      </c>
      <c r="Z407" s="131">
        <v>0</v>
      </c>
      <c r="AA407" s="131">
        <v>200</v>
      </c>
      <c r="AB407" s="131">
        <v>0</v>
      </c>
      <c r="AC407" s="131">
        <v>200</v>
      </c>
      <c r="AD407" s="131">
        <v>0</v>
      </c>
      <c r="AE407" s="132">
        <v>200</v>
      </c>
    </row>
    <row r="408" spans="1:31" x14ac:dyDescent="0.2">
      <c r="A408" s="133">
        <v>75</v>
      </c>
      <c r="B408" s="133" t="s">
        <v>1198</v>
      </c>
      <c r="C408" s="133" t="s">
        <v>1199</v>
      </c>
      <c r="D408" s="133" t="s">
        <v>1508</v>
      </c>
      <c r="E408" s="133" t="s">
        <v>1201</v>
      </c>
      <c r="F408" s="133" t="s">
        <v>1117</v>
      </c>
      <c r="G408" s="133" t="s">
        <v>1202</v>
      </c>
      <c r="H408" s="133" t="s">
        <v>1203</v>
      </c>
      <c r="I408" s="133" t="s">
        <v>1269</v>
      </c>
      <c r="J408" s="130" t="s">
        <v>1270</v>
      </c>
      <c r="K408" s="130" t="s">
        <v>1272</v>
      </c>
      <c r="L408" s="130" t="s">
        <v>1509</v>
      </c>
      <c r="M408" s="130" t="s">
        <v>1510</v>
      </c>
      <c r="N408" s="130" t="s">
        <v>1511</v>
      </c>
      <c r="O408" s="130" t="s">
        <v>1512</v>
      </c>
      <c r="P408" s="130" t="s">
        <v>1513</v>
      </c>
      <c r="Q408" s="130" t="s">
        <v>1127</v>
      </c>
      <c r="R408" s="130" t="s">
        <v>1191</v>
      </c>
      <c r="S408" s="130" t="s">
        <v>1191</v>
      </c>
      <c r="T408" s="130" t="s">
        <v>1142</v>
      </c>
      <c r="U408" s="130">
        <v>1670</v>
      </c>
      <c r="V408" s="131">
        <v>0</v>
      </c>
      <c r="W408" s="131">
        <v>1670</v>
      </c>
      <c r="X408" s="131">
        <v>0</v>
      </c>
      <c r="Y408" s="131">
        <v>1670</v>
      </c>
      <c r="Z408" s="131">
        <v>0</v>
      </c>
      <c r="AA408" s="131">
        <v>1670</v>
      </c>
      <c r="AB408" s="131">
        <v>0</v>
      </c>
      <c r="AC408" s="131">
        <v>1670</v>
      </c>
      <c r="AD408" s="131">
        <v>0</v>
      </c>
      <c r="AE408" s="132">
        <v>1670</v>
      </c>
    </row>
    <row r="409" spans="1:31" x14ac:dyDescent="0.2">
      <c r="A409" s="133">
        <v>75</v>
      </c>
      <c r="B409" s="133" t="s">
        <v>1198</v>
      </c>
      <c r="C409" s="133" t="s">
        <v>1199</v>
      </c>
      <c r="D409" s="133" t="s">
        <v>1508</v>
      </c>
      <c r="E409" s="133" t="s">
        <v>1201</v>
      </c>
      <c r="F409" s="133" t="s">
        <v>1117</v>
      </c>
      <c r="G409" s="133" t="s">
        <v>1202</v>
      </c>
      <c r="H409" s="133" t="s">
        <v>1203</v>
      </c>
      <c r="I409" s="130" t="s">
        <v>1209</v>
      </c>
      <c r="J409" s="130" t="s">
        <v>1210</v>
      </c>
      <c r="K409" s="130" t="s">
        <v>1273</v>
      </c>
      <c r="L409" s="130" t="s">
        <v>1509</v>
      </c>
      <c r="M409" s="130" t="s">
        <v>1510</v>
      </c>
      <c r="N409" s="130" t="s">
        <v>1511</v>
      </c>
      <c r="O409" s="130" t="s">
        <v>1512</v>
      </c>
      <c r="P409" s="130" t="s">
        <v>1513</v>
      </c>
      <c r="Q409" s="130" t="s">
        <v>1127</v>
      </c>
      <c r="R409" s="130" t="s">
        <v>1191</v>
      </c>
      <c r="S409" s="130" t="s">
        <v>1191</v>
      </c>
      <c r="T409" s="130" t="s">
        <v>1142</v>
      </c>
      <c r="U409" s="130">
        <v>1600</v>
      </c>
      <c r="V409" s="131">
        <v>-1600</v>
      </c>
      <c r="W409" s="131">
        <v>0</v>
      </c>
      <c r="X409" s="131">
        <v>0</v>
      </c>
      <c r="Y409" s="131">
        <v>0</v>
      </c>
      <c r="Z409" s="131">
        <v>0</v>
      </c>
      <c r="AA409" s="131">
        <v>0</v>
      </c>
      <c r="AB409" s="131">
        <v>0</v>
      </c>
      <c r="AC409" s="131">
        <v>0</v>
      </c>
      <c r="AD409" s="131">
        <v>0</v>
      </c>
      <c r="AE409" s="132">
        <v>0</v>
      </c>
    </row>
    <row r="410" spans="1:31" x14ac:dyDescent="0.2">
      <c r="A410" s="133">
        <v>75</v>
      </c>
      <c r="B410" s="133" t="s">
        <v>1198</v>
      </c>
      <c r="C410" s="133" t="s">
        <v>1199</v>
      </c>
      <c r="D410" s="133" t="s">
        <v>1508</v>
      </c>
      <c r="E410" s="133" t="s">
        <v>1201</v>
      </c>
      <c r="F410" s="133" t="s">
        <v>1117</v>
      </c>
      <c r="G410" s="133" t="s">
        <v>1202</v>
      </c>
      <c r="H410" s="133" t="s">
        <v>1203</v>
      </c>
      <c r="I410" s="133" t="s">
        <v>1209</v>
      </c>
      <c r="J410" s="133" t="s">
        <v>1210</v>
      </c>
      <c r="K410" s="130" t="s">
        <v>1211</v>
      </c>
      <c r="L410" s="130" t="s">
        <v>1509</v>
      </c>
      <c r="M410" s="130" t="s">
        <v>1510</v>
      </c>
      <c r="N410" s="130" t="s">
        <v>1511</v>
      </c>
      <c r="O410" s="130" t="s">
        <v>1512</v>
      </c>
      <c r="P410" s="130" t="s">
        <v>1513</v>
      </c>
      <c r="Q410" s="130" t="s">
        <v>1127</v>
      </c>
      <c r="R410" s="130" t="s">
        <v>1191</v>
      </c>
      <c r="S410" s="130" t="s">
        <v>1191</v>
      </c>
      <c r="T410" s="130" t="s">
        <v>1142</v>
      </c>
      <c r="U410" s="130">
        <v>6270</v>
      </c>
      <c r="V410" s="131">
        <v>2750</v>
      </c>
      <c r="W410" s="131">
        <v>9020</v>
      </c>
      <c r="X410" s="131">
        <v>4600</v>
      </c>
      <c r="Y410" s="131">
        <v>4420</v>
      </c>
      <c r="Z410" s="131">
        <v>4600</v>
      </c>
      <c r="AA410" s="131">
        <v>4420</v>
      </c>
      <c r="AB410" s="131">
        <v>3650</v>
      </c>
      <c r="AC410" s="131">
        <v>5370</v>
      </c>
      <c r="AD410" s="131">
        <v>3650</v>
      </c>
      <c r="AE410" s="132">
        <v>5370</v>
      </c>
    </row>
    <row r="411" spans="1:31" x14ac:dyDescent="0.2">
      <c r="A411" s="133">
        <v>75</v>
      </c>
      <c r="B411" s="133" t="s">
        <v>1198</v>
      </c>
      <c r="C411" s="133" t="s">
        <v>1199</v>
      </c>
      <c r="D411" s="133" t="s">
        <v>1508</v>
      </c>
      <c r="E411" s="133" t="s">
        <v>1201</v>
      </c>
      <c r="F411" s="133" t="s">
        <v>1117</v>
      </c>
      <c r="G411" s="133" t="s">
        <v>1202</v>
      </c>
      <c r="H411" s="133" t="s">
        <v>1203</v>
      </c>
      <c r="I411" s="133" t="s">
        <v>1209</v>
      </c>
      <c r="J411" s="133" t="s">
        <v>1210</v>
      </c>
      <c r="K411" s="130" t="s">
        <v>1274</v>
      </c>
      <c r="L411" s="130" t="s">
        <v>1509</v>
      </c>
      <c r="M411" s="130" t="s">
        <v>1510</v>
      </c>
      <c r="N411" s="130" t="s">
        <v>1511</v>
      </c>
      <c r="O411" s="130" t="s">
        <v>1512</v>
      </c>
      <c r="P411" s="130" t="s">
        <v>1513</v>
      </c>
      <c r="Q411" s="130" t="s">
        <v>1127</v>
      </c>
      <c r="R411" s="130" t="s">
        <v>1191</v>
      </c>
      <c r="S411" s="130" t="s">
        <v>1191</v>
      </c>
      <c r="T411" s="130" t="s">
        <v>1142</v>
      </c>
      <c r="U411" s="130">
        <v>11000</v>
      </c>
      <c r="V411" s="131">
        <v>0</v>
      </c>
      <c r="W411" s="131">
        <v>11000</v>
      </c>
      <c r="X411" s="131">
        <v>500</v>
      </c>
      <c r="Y411" s="131">
        <v>10500</v>
      </c>
      <c r="Z411" s="131">
        <v>500</v>
      </c>
      <c r="AA411" s="131">
        <v>10500</v>
      </c>
      <c r="AB411" s="131">
        <v>500</v>
      </c>
      <c r="AC411" s="131">
        <v>10500</v>
      </c>
      <c r="AD411" s="131">
        <v>500</v>
      </c>
      <c r="AE411" s="132">
        <v>10500</v>
      </c>
    </row>
    <row r="412" spans="1:31" x14ac:dyDescent="0.2">
      <c r="A412" s="133">
        <v>75</v>
      </c>
      <c r="B412" s="133" t="s">
        <v>1198</v>
      </c>
      <c r="C412" s="133" t="s">
        <v>1199</v>
      </c>
      <c r="D412" s="133" t="s">
        <v>1508</v>
      </c>
      <c r="E412" s="133" t="s">
        <v>1201</v>
      </c>
      <c r="F412" s="133" t="s">
        <v>1117</v>
      </c>
      <c r="G412" s="133" t="s">
        <v>1202</v>
      </c>
      <c r="H412" s="133" t="s">
        <v>1203</v>
      </c>
      <c r="I412" s="133" t="s">
        <v>1209</v>
      </c>
      <c r="J412" s="130" t="s">
        <v>1536</v>
      </c>
      <c r="K412" s="130" t="s">
        <v>1537</v>
      </c>
      <c r="L412" s="130" t="s">
        <v>1509</v>
      </c>
      <c r="M412" s="130" t="s">
        <v>1510</v>
      </c>
      <c r="N412" s="130" t="s">
        <v>1511</v>
      </c>
      <c r="O412" s="130" t="s">
        <v>1512</v>
      </c>
      <c r="P412" s="130" t="s">
        <v>1513</v>
      </c>
      <c r="Q412" s="130" t="s">
        <v>1127</v>
      </c>
      <c r="R412" s="130" t="s">
        <v>1191</v>
      </c>
      <c r="S412" s="130" t="s">
        <v>1191</v>
      </c>
      <c r="T412" s="130" t="s">
        <v>1142</v>
      </c>
      <c r="U412" s="130">
        <v>2000</v>
      </c>
      <c r="V412" s="131">
        <v>0</v>
      </c>
      <c r="W412" s="131">
        <v>2000</v>
      </c>
      <c r="X412" s="131">
        <v>0</v>
      </c>
      <c r="Y412" s="131">
        <v>2000</v>
      </c>
      <c r="Z412" s="131">
        <v>0</v>
      </c>
      <c r="AA412" s="131">
        <v>2000</v>
      </c>
      <c r="AB412" s="131">
        <v>0</v>
      </c>
      <c r="AC412" s="131">
        <v>2000</v>
      </c>
      <c r="AD412" s="131">
        <v>0</v>
      </c>
      <c r="AE412" s="132">
        <v>2000</v>
      </c>
    </row>
    <row r="413" spans="1:31" x14ac:dyDescent="0.2">
      <c r="A413" s="133">
        <v>75</v>
      </c>
      <c r="B413" s="133" t="s">
        <v>1198</v>
      </c>
      <c r="C413" s="133" t="s">
        <v>1199</v>
      </c>
      <c r="D413" s="133" t="s">
        <v>1508</v>
      </c>
      <c r="E413" s="133" t="s">
        <v>1201</v>
      </c>
      <c r="F413" s="133" t="s">
        <v>1117</v>
      </c>
      <c r="G413" s="133" t="s">
        <v>1202</v>
      </c>
      <c r="H413" s="133" t="s">
        <v>1203</v>
      </c>
      <c r="I413" s="130" t="s">
        <v>1309</v>
      </c>
      <c r="J413" s="130" t="s">
        <v>1310</v>
      </c>
      <c r="K413" s="130" t="s">
        <v>1310</v>
      </c>
      <c r="L413" s="130" t="s">
        <v>1509</v>
      </c>
      <c r="M413" s="130" t="s">
        <v>1510</v>
      </c>
      <c r="N413" s="130" t="s">
        <v>1511</v>
      </c>
      <c r="O413" s="130" t="s">
        <v>1512</v>
      </c>
      <c r="P413" s="130" t="s">
        <v>1513</v>
      </c>
      <c r="Q413" s="130" t="s">
        <v>1127</v>
      </c>
      <c r="R413" s="130" t="s">
        <v>1191</v>
      </c>
      <c r="S413" s="130" t="s">
        <v>1191</v>
      </c>
      <c r="T413" s="130" t="s">
        <v>1142</v>
      </c>
      <c r="U413" s="130">
        <v>48000</v>
      </c>
      <c r="V413" s="131">
        <v>0</v>
      </c>
      <c r="W413" s="131">
        <v>48000</v>
      </c>
      <c r="X413" s="131">
        <v>25000</v>
      </c>
      <c r="Y413" s="131">
        <v>23000</v>
      </c>
      <c r="Z413" s="131">
        <v>25000</v>
      </c>
      <c r="AA413" s="131">
        <v>23000</v>
      </c>
      <c r="AB413" s="131">
        <v>25000</v>
      </c>
      <c r="AC413" s="131">
        <v>23000</v>
      </c>
      <c r="AD413" s="131">
        <v>5000</v>
      </c>
      <c r="AE413" s="132">
        <v>43000</v>
      </c>
    </row>
    <row r="414" spans="1:31" x14ac:dyDescent="0.2">
      <c r="A414" s="133">
        <v>75</v>
      </c>
      <c r="B414" s="133" t="s">
        <v>1198</v>
      </c>
      <c r="C414" s="133" t="s">
        <v>1199</v>
      </c>
      <c r="D414" s="133" t="s">
        <v>1508</v>
      </c>
      <c r="E414" s="133" t="s">
        <v>1201</v>
      </c>
      <c r="F414" s="133" t="s">
        <v>1117</v>
      </c>
      <c r="G414" s="130" t="s">
        <v>1880</v>
      </c>
      <c r="H414" s="130" t="s">
        <v>1881</v>
      </c>
      <c r="I414" s="130" t="s">
        <v>2418</v>
      </c>
      <c r="J414" s="130" t="s">
        <v>1883</v>
      </c>
      <c r="K414" s="130" t="s">
        <v>1884</v>
      </c>
      <c r="L414" s="130" t="s">
        <v>1509</v>
      </c>
      <c r="M414" s="130" t="s">
        <v>1510</v>
      </c>
      <c r="N414" s="130" t="s">
        <v>1511</v>
      </c>
      <c r="O414" s="130" t="s">
        <v>1512</v>
      </c>
      <c r="P414" s="130" t="s">
        <v>1513</v>
      </c>
      <c r="Q414" s="130" t="s">
        <v>1127</v>
      </c>
      <c r="R414" s="130" t="s">
        <v>1191</v>
      </c>
      <c r="S414" s="130" t="s">
        <v>1191</v>
      </c>
      <c r="T414" s="130" t="s">
        <v>1142</v>
      </c>
      <c r="U414" s="130">
        <v>0</v>
      </c>
      <c r="V414" s="131">
        <v>670</v>
      </c>
      <c r="W414" s="131">
        <v>670</v>
      </c>
      <c r="X414" s="131">
        <v>0</v>
      </c>
      <c r="Y414" s="131">
        <v>670</v>
      </c>
      <c r="Z414" s="131">
        <v>0</v>
      </c>
      <c r="AA414" s="131">
        <v>670</v>
      </c>
      <c r="AB414" s="131">
        <v>0</v>
      </c>
      <c r="AC414" s="131">
        <v>670</v>
      </c>
      <c r="AD414" s="131">
        <v>0</v>
      </c>
      <c r="AE414" s="132">
        <v>670</v>
      </c>
    </row>
    <row r="415" spans="1:31" x14ac:dyDescent="0.2">
      <c r="A415" s="130">
        <v>76</v>
      </c>
      <c r="B415" s="130" t="s">
        <v>1198</v>
      </c>
      <c r="C415" s="130" t="s">
        <v>1199</v>
      </c>
      <c r="D415" s="130" t="s">
        <v>1508</v>
      </c>
      <c r="E415" s="130" t="s">
        <v>1201</v>
      </c>
      <c r="F415" s="130" t="s">
        <v>1117</v>
      </c>
      <c r="G415" s="130" t="s">
        <v>1202</v>
      </c>
      <c r="H415" s="130" t="s">
        <v>1216</v>
      </c>
      <c r="I415" s="130" t="s">
        <v>1301</v>
      </c>
      <c r="J415" s="130" t="s">
        <v>1301</v>
      </c>
      <c r="K415" s="130" t="s">
        <v>1302</v>
      </c>
      <c r="L415" s="130" t="s">
        <v>1509</v>
      </c>
      <c r="M415" s="130" t="s">
        <v>1510</v>
      </c>
      <c r="N415" s="130" t="s">
        <v>1511</v>
      </c>
      <c r="O415" s="130" t="s">
        <v>1512</v>
      </c>
      <c r="P415" s="130" t="s">
        <v>1513</v>
      </c>
      <c r="Q415" s="130" t="s">
        <v>1127</v>
      </c>
      <c r="R415" s="130" t="s">
        <v>1191</v>
      </c>
      <c r="S415" s="130" t="s">
        <v>1538</v>
      </c>
      <c r="T415" s="130" t="s">
        <v>1142</v>
      </c>
      <c r="U415" s="130">
        <v>1000</v>
      </c>
      <c r="V415" s="131">
        <v>-600</v>
      </c>
      <c r="W415" s="131">
        <v>400</v>
      </c>
      <c r="X415" s="131">
        <v>308</v>
      </c>
      <c r="Y415" s="131">
        <v>92</v>
      </c>
      <c r="Z415" s="131">
        <v>308</v>
      </c>
      <c r="AA415" s="131">
        <v>92</v>
      </c>
      <c r="AB415" s="131">
        <v>308</v>
      </c>
      <c r="AC415" s="131">
        <v>92</v>
      </c>
      <c r="AD415" s="131">
        <v>308</v>
      </c>
      <c r="AE415" s="132">
        <v>92</v>
      </c>
    </row>
    <row r="416" spans="1:31" x14ac:dyDescent="0.2">
      <c r="A416" s="133">
        <v>76</v>
      </c>
      <c r="B416" s="133" t="s">
        <v>1198</v>
      </c>
      <c r="C416" s="133" t="s">
        <v>1199</v>
      </c>
      <c r="D416" s="133" t="s">
        <v>1508</v>
      </c>
      <c r="E416" s="133" t="s">
        <v>1201</v>
      </c>
      <c r="F416" s="133" t="s">
        <v>1117</v>
      </c>
      <c r="G416" s="133" t="s">
        <v>1202</v>
      </c>
      <c r="H416" s="133" t="s">
        <v>1216</v>
      </c>
      <c r="I416" s="130" t="s">
        <v>1222</v>
      </c>
      <c r="J416" s="130" t="s">
        <v>1304</v>
      </c>
      <c r="K416" s="130" t="s">
        <v>1248</v>
      </c>
      <c r="L416" s="130" t="s">
        <v>1509</v>
      </c>
      <c r="M416" s="130" t="s">
        <v>1510</v>
      </c>
      <c r="N416" s="130" t="s">
        <v>1511</v>
      </c>
      <c r="O416" s="130" t="s">
        <v>1512</v>
      </c>
      <c r="P416" s="130" t="s">
        <v>1513</v>
      </c>
      <c r="Q416" s="130" t="s">
        <v>1127</v>
      </c>
      <c r="R416" s="130" t="s">
        <v>1191</v>
      </c>
      <c r="S416" s="130" t="s">
        <v>1538</v>
      </c>
      <c r="T416" s="130" t="s">
        <v>1142</v>
      </c>
      <c r="U416" s="130">
        <v>600</v>
      </c>
      <c r="V416" s="131">
        <v>-600</v>
      </c>
      <c r="W416" s="131">
        <v>0</v>
      </c>
      <c r="X416" s="131">
        <v>0</v>
      </c>
      <c r="Y416" s="131">
        <v>0</v>
      </c>
      <c r="Z416" s="131">
        <v>0</v>
      </c>
      <c r="AA416" s="131">
        <v>0</v>
      </c>
      <c r="AB416" s="131">
        <v>0</v>
      </c>
      <c r="AC416" s="131">
        <v>0</v>
      </c>
      <c r="AD416" s="131">
        <v>0</v>
      </c>
      <c r="AE416" s="132">
        <v>0</v>
      </c>
    </row>
    <row r="417" spans="1:31" x14ac:dyDescent="0.2">
      <c r="A417" s="133">
        <v>76</v>
      </c>
      <c r="B417" s="133" t="s">
        <v>1198</v>
      </c>
      <c r="C417" s="133" t="s">
        <v>1199</v>
      </c>
      <c r="D417" s="133" t="s">
        <v>1508</v>
      </c>
      <c r="E417" s="133" t="s">
        <v>1201</v>
      </c>
      <c r="F417" s="133" t="s">
        <v>1117</v>
      </c>
      <c r="G417" s="133" t="s">
        <v>1202</v>
      </c>
      <c r="H417" s="133" t="s">
        <v>1216</v>
      </c>
      <c r="I417" s="133" t="s">
        <v>1222</v>
      </c>
      <c r="J417" s="133" t="s">
        <v>1304</v>
      </c>
      <c r="K417" s="130" t="s">
        <v>1305</v>
      </c>
      <c r="L417" s="130" t="s">
        <v>1509</v>
      </c>
      <c r="M417" s="130" t="s">
        <v>1510</v>
      </c>
      <c r="N417" s="130" t="s">
        <v>1511</v>
      </c>
      <c r="O417" s="130" t="s">
        <v>1512</v>
      </c>
      <c r="P417" s="130" t="s">
        <v>1513</v>
      </c>
      <c r="Q417" s="130" t="s">
        <v>1127</v>
      </c>
      <c r="R417" s="130" t="s">
        <v>1191</v>
      </c>
      <c r="S417" s="130" t="s">
        <v>1538</v>
      </c>
      <c r="T417" s="130" t="s">
        <v>1142</v>
      </c>
      <c r="U417" s="130">
        <v>1044</v>
      </c>
      <c r="V417" s="131">
        <v>600</v>
      </c>
      <c r="W417" s="131">
        <v>1644</v>
      </c>
      <c r="X417" s="131">
        <v>500</v>
      </c>
      <c r="Y417" s="131">
        <v>1144</v>
      </c>
      <c r="Z417" s="131">
        <v>412.41</v>
      </c>
      <c r="AA417" s="131">
        <v>1231.5899999999999</v>
      </c>
      <c r="AB417" s="131">
        <v>412.41</v>
      </c>
      <c r="AC417" s="131">
        <v>1231.5899999999999</v>
      </c>
      <c r="AD417" s="131">
        <v>412.41</v>
      </c>
      <c r="AE417" s="132">
        <v>1231.5899999999999</v>
      </c>
    </row>
    <row r="418" spans="1:31" x14ac:dyDescent="0.2">
      <c r="A418" s="133">
        <v>76</v>
      </c>
      <c r="B418" s="133" t="s">
        <v>1198</v>
      </c>
      <c r="C418" s="133" t="s">
        <v>1199</v>
      </c>
      <c r="D418" s="133" t="s">
        <v>1508</v>
      </c>
      <c r="E418" s="133" t="s">
        <v>1201</v>
      </c>
      <c r="F418" s="133" t="s">
        <v>1117</v>
      </c>
      <c r="G418" s="133" t="s">
        <v>1202</v>
      </c>
      <c r="H418" s="130" t="s">
        <v>1203</v>
      </c>
      <c r="I418" s="130" t="s">
        <v>1204</v>
      </c>
      <c r="J418" s="130" t="s">
        <v>1205</v>
      </c>
      <c r="K418" s="130" t="s">
        <v>1255</v>
      </c>
      <c r="L418" s="130" t="s">
        <v>1509</v>
      </c>
      <c r="M418" s="130" t="s">
        <v>1510</v>
      </c>
      <c r="N418" s="130" t="s">
        <v>1511</v>
      </c>
      <c r="O418" s="130" t="s">
        <v>1512</v>
      </c>
      <c r="P418" s="130" t="s">
        <v>1513</v>
      </c>
      <c r="Q418" s="130" t="s">
        <v>1127</v>
      </c>
      <c r="R418" s="130" t="s">
        <v>1191</v>
      </c>
      <c r="S418" s="130" t="s">
        <v>1538</v>
      </c>
      <c r="T418" s="130" t="s">
        <v>1142</v>
      </c>
      <c r="U418" s="130">
        <v>1000</v>
      </c>
      <c r="V418" s="131">
        <v>135</v>
      </c>
      <c r="W418" s="131">
        <v>1135</v>
      </c>
      <c r="X418" s="131">
        <v>1135</v>
      </c>
      <c r="Y418" s="131">
        <v>0</v>
      </c>
      <c r="Z418" s="131">
        <v>1029.6199999999999</v>
      </c>
      <c r="AA418" s="131">
        <v>105.38000000000011</v>
      </c>
      <c r="AB418" s="131">
        <v>1029.6199999999999</v>
      </c>
      <c r="AC418" s="131">
        <v>105.38000000000011</v>
      </c>
      <c r="AD418" s="131">
        <v>1029.6199999999999</v>
      </c>
      <c r="AE418" s="132">
        <v>105.38000000000011</v>
      </c>
    </row>
    <row r="419" spans="1:31" x14ac:dyDescent="0.2">
      <c r="A419" s="133">
        <v>76</v>
      </c>
      <c r="B419" s="133" t="s">
        <v>1198</v>
      </c>
      <c r="C419" s="133" t="s">
        <v>1199</v>
      </c>
      <c r="D419" s="133" t="s">
        <v>1508</v>
      </c>
      <c r="E419" s="133" t="s">
        <v>1201</v>
      </c>
      <c r="F419" s="133" t="s">
        <v>1117</v>
      </c>
      <c r="G419" s="133" t="s">
        <v>1202</v>
      </c>
      <c r="H419" s="133" t="s">
        <v>1203</v>
      </c>
      <c r="I419" s="133" t="s">
        <v>1204</v>
      </c>
      <c r="J419" s="133" t="s">
        <v>1205</v>
      </c>
      <c r="K419" s="130" t="s">
        <v>1256</v>
      </c>
      <c r="L419" s="130" t="s">
        <v>1509</v>
      </c>
      <c r="M419" s="130" t="s">
        <v>1510</v>
      </c>
      <c r="N419" s="130" t="s">
        <v>1511</v>
      </c>
      <c r="O419" s="130" t="s">
        <v>1512</v>
      </c>
      <c r="P419" s="130" t="s">
        <v>1513</v>
      </c>
      <c r="Q419" s="130" t="s">
        <v>1127</v>
      </c>
      <c r="R419" s="130" t="s">
        <v>1191</v>
      </c>
      <c r="S419" s="130" t="s">
        <v>1538</v>
      </c>
      <c r="T419" s="130" t="s">
        <v>1142</v>
      </c>
      <c r="U419" s="130">
        <v>1780</v>
      </c>
      <c r="V419" s="131">
        <v>-135</v>
      </c>
      <c r="W419" s="131">
        <v>1645</v>
      </c>
      <c r="X419" s="131">
        <v>1645</v>
      </c>
      <c r="Y419" s="131">
        <v>0</v>
      </c>
      <c r="Z419" s="131">
        <v>697.1</v>
      </c>
      <c r="AA419" s="131">
        <v>947.9</v>
      </c>
      <c r="AB419" s="131">
        <v>697.1</v>
      </c>
      <c r="AC419" s="131">
        <v>947.9</v>
      </c>
      <c r="AD419" s="131">
        <v>697.1</v>
      </c>
      <c r="AE419" s="132">
        <v>947.9</v>
      </c>
    </row>
    <row r="420" spans="1:31" x14ac:dyDescent="0.2">
      <c r="A420" s="133">
        <v>76</v>
      </c>
      <c r="B420" s="133" t="s">
        <v>1198</v>
      </c>
      <c r="C420" s="133" t="s">
        <v>1199</v>
      </c>
      <c r="D420" s="133" t="s">
        <v>1508</v>
      </c>
      <c r="E420" s="133" t="s">
        <v>1201</v>
      </c>
      <c r="F420" s="133" t="s">
        <v>1117</v>
      </c>
      <c r="G420" s="133" t="s">
        <v>1202</v>
      </c>
      <c r="H420" s="133" t="s">
        <v>1203</v>
      </c>
      <c r="I420" s="130" t="s">
        <v>1209</v>
      </c>
      <c r="J420" s="130" t="s">
        <v>1210</v>
      </c>
      <c r="K420" s="130" t="s">
        <v>1539</v>
      </c>
      <c r="L420" s="130" t="s">
        <v>1509</v>
      </c>
      <c r="M420" s="130" t="s">
        <v>1510</v>
      </c>
      <c r="N420" s="130" t="s">
        <v>1511</v>
      </c>
      <c r="O420" s="130" t="s">
        <v>1512</v>
      </c>
      <c r="P420" s="130" t="s">
        <v>1513</v>
      </c>
      <c r="Q420" s="130" t="s">
        <v>1127</v>
      </c>
      <c r="R420" s="130" t="s">
        <v>1191</v>
      </c>
      <c r="S420" s="130" t="s">
        <v>1538</v>
      </c>
      <c r="T420" s="130" t="s">
        <v>1142</v>
      </c>
      <c r="U420" s="130">
        <v>0</v>
      </c>
      <c r="V420" s="131">
        <v>600</v>
      </c>
      <c r="W420" s="131">
        <v>600</v>
      </c>
      <c r="X420" s="131">
        <v>0</v>
      </c>
      <c r="Y420" s="131">
        <v>600</v>
      </c>
      <c r="Z420" s="131">
        <v>0</v>
      </c>
      <c r="AA420" s="131">
        <v>600</v>
      </c>
      <c r="AB420" s="131">
        <v>0</v>
      </c>
      <c r="AC420" s="131">
        <v>600</v>
      </c>
      <c r="AD420" s="131">
        <v>0</v>
      </c>
      <c r="AE420" s="132">
        <v>600</v>
      </c>
    </row>
    <row r="421" spans="1:31" x14ac:dyDescent="0.2">
      <c r="A421" s="133">
        <v>76</v>
      </c>
      <c r="B421" s="133" t="s">
        <v>1198</v>
      </c>
      <c r="C421" s="133" t="s">
        <v>1199</v>
      </c>
      <c r="D421" s="133" t="s">
        <v>1508</v>
      </c>
      <c r="E421" s="133" t="s">
        <v>1201</v>
      </c>
      <c r="F421" s="133" t="s">
        <v>1117</v>
      </c>
      <c r="G421" s="133" t="s">
        <v>1202</v>
      </c>
      <c r="H421" s="133" t="s">
        <v>1203</v>
      </c>
      <c r="I421" s="133" t="s">
        <v>1209</v>
      </c>
      <c r="J421" s="133" t="s">
        <v>1210</v>
      </c>
      <c r="K421" s="130" t="s">
        <v>1211</v>
      </c>
      <c r="L421" s="130" t="s">
        <v>1509</v>
      </c>
      <c r="M421" s="130" t="s">
        <v>1510</v>
      </c>
      <c r="N421" s="130" t="s">
        <v>1511</v>
      </c>
      <c r="O421" s="130" t="s">
        <v>1512</v>
      </c>
      <c r="P421" s="130" t="s">
        <v>1513</v>
      </c>
      <c r="Q421" s="130" t="s">
        <v>1127</v>
      </c>
      <c r="R421" s="130" t="s">
        <v>1191</v>
      </c>
      <c r="S421" s="130" t="s">
        <v>1538</v>
      </c>
      <c r="T421" s="130" t="s">
        <v>1142</v>
      </c>
      <c r="U421" s="130">
        <v>2010</v>
      </c>
      <c r="V421" s="131">
        <v>0</v>
      </c>
      <c r="W421" s="131">
        <v>2010</v>
      </c>
      <c r="X421" s="131">
        <v>1780</v>
      </c>
      <c r="Y421" s="131">
        <v>230</v>
      </c>
      <c r="Z421" s="131">
        <v>1780</v>
      </c>
      <c r="AA421" s="131">
        <v>230</v>
      </c>
      <c r="AB421" s="131">
        <v>1780</v>
      </c>
      <c r="AC421" s="131">
        <v>230</v>
      </c>
      <c r="AD421" s="131">
        <v>1780</v>
      </c>
      <c r="AE421" s="132">
        <v>230</v>
      </c>
    </row>
    <row r="422" spans="1:31" x14ac:dyDescent="0.2">
      <c r="A422" s="130">
        <v>77</v>
      </c>
      <c r="B422" s="130" t="s">
        <v>1198</v>
      </c>
      <c r="C422" s="130" t="s">
        <v>1199</v>
      </c>
      <c r="D422" s="130" t="s">
        <v>1508</v>
      </c>
      <c r="E422" s="130" t="s">
        <v>1201</v>
      </c>
      <c r="F422" s="130" t="s">
        <v>1117</v>
      </c>
      <c r="G422" s="130" t="s">
        <v>1202</v>
      </c>
      <c r="H422" s="130" t="s">
        <v>1216</v>
      </c>
      <c r="I422" s="130" t="s">
        <v>1301</v>
      </c>
      <c r="J422" s="130" t="s">
        <v>1301</v>
      </c>
      <c r="K422" s="130" t="s">
        <v>1302</v>
      </c>
      <c r="L422" s="130" t="s">
        <v>1509</v>
      </c>
      <c r="M422" s="130" t="s">
        <v>1510</v>
      </c>
      <c r="N422" s="130" t="s">
        <v>1511</v>
      </c>
      <c r="O422" s="130" t="s">
        <v>1512</v>
      </c>
      <c r="P422" s="130" t="s">
        <v>1513</v>
      </c>
      <c r="Q422" s="130" t="s">
        <v>1127</v>
      </c>
      <c r="R422" s="130" t="s">
        <v>1128</v>
      </c>
      <c r="S422" s="130" t="s">
        <v>1129</v>
      </c>
      <c r="T422" s="130" t="s">
        <v>1142</v>
      </c>
      <c r="U422" s="130">
        <v>1046</v>
      </c>
      <c r="V422" s="131">
        <v>0</v>
      </c>
      <c r="W422" s="131">
        <v>1046</v>
      </c>
      <c r="X422" s="131">
        <v>860</v>
      </c>
      <c r="Y422" s="131">
        <v>186</v>
      </c>
      <c r="Z422" s="131">
        <v>860</v>
      </c>
      <c r="AA422" s="131">
        <v>186</v>
      </c>
      <c r="AB422" s="131">
        <v>860</v>
      </c>
      <c r="AC422" s="131">
        <v>186</v>
      </c>
      <c r="AD422" s="131">
        <v>0</v>
      </c>
      <c r="AE422" s="132">
        <v>1046</v>
      </c>
    </row>
    <row r="423" spans="1:31" x14ac:dyDescent="0.2">
      <c r="A423" s="133">
        <v>77</v>
      </c>
      <c r="B423" s="133" t="s">
        <v>1198</v>
      </c>
      <c r="C423" s="133" t="s">
        <v>1199</v>
      </c>
      <c r="D423" s="133" t="s">
        <v>1508</v>
      </c>
      <c r="E423" s="133" t="s">
        <v>1201</v>
      </c>
      <c r="F423" s="133" t="s">
        <v>1117</v>
      </c>
      <c r="G423" s="133" t="s">
        <v>1202</v>
      </c>
      <c r="H423" s="133" t="s">
        <v>1216</v>
      </c>
      <c r="I423" s="130" t="s">
        <v>1222</v>
      </c>
      <c r="J423" s="130" t="s">
        <v>1304</v>
      </c>
      <c r="K423" s="130" t="s">
        <v>1248</v>
      </c>
      <c r="L423" s="130" t="s">
        <v>1509</v>
      </c>
      <c r="M423" s="130" t="s">
        <v>1510</v>
      </c>
      <c r="N423" s="130" t="s">
        <v>1511</v>
      </c>
      <c r="O423" s="130" t="s">
        <v>1512</v>
      </c>
      <c r="P423" s="130" t="s">
        <v>1513</v>
      </c>
      <c r="Q423" s="130" t="s">
        <v>1127</v>
      </c>
      <c r="R423" s="130" t="s">
        <v>1128</v>
      </c>
      <c r="S423" s="130" t="s">
        <v>1129</v>
      </c>
      <c r="T423" s="130" t="s">
        <v>1142</v>
      </c>
      <c r="U423" s="130">
        <v>600</v>
      </c>
      <c r="V423" s="131">
        <v>-600</v>
      </c>
      <c r="W423" s="131">
        <v>0</v>
      </c>
      <c r="X423" s="131">
        <v>0</v>
      </c>
      <c r="Y423" s="131">
        <v>0</v>
      </c>
      <c r="Z423" s="131">
        <v>0</v>
      </c>
      <c r="AA423" s="131">
        <v>0</v>
      </c>
      <c r="AB423" s="131">
        <v>0</v>
      </c>
      <c r="AC423" s="131">
        <v>0</v>
      </c>
      <c r="AD423" s="131">
        <v>0</v>
      </c>
      <c r="AE423" s="132">
        <v>0</v>
      </c>
    </row>
    <row r="424" spans="1:31" x14ac:dyDescent="0.2">
      <c r="A424" s="133">
        <v>77</v>
      </c>
      <c r="B424" s="133" t="s">
        <v>1198</v>
      </c>
      <c r="C424" s="133" t="s">
        <v>1199</v>
      </c>
      <c r="D424" s="133" t="s">
        <v>1508</v>
      </c>
      <c r="E424" s="133" t="s">
        <v>1201</v>
      </c>
      <c r="F424" s="133" t="s">
        <v>1117</v>
      </c>
      <c r="G424" s="133" t="s">
        <v>1202</v>
      </c>
      <c r="H424" s="133" t="s">
        <v>1216</v>
      </c>
      <c r="I424" s="133" t="s">
        <v>1222</v>
      </c>
      <c r="J424" s="133" t="s">
        <v>1304</v>
      </c>
      <c r="K424" s="130" t="s">
        <v>1305</v>
      </c>
      <c r="L424" s="130" t="s">
        <v>1509</v>
      </c>
      <c r="M424" s="130" t="s">
        <v>1510</v>
      </c>
      <c r="N424" s="130" t="s">
        <v>1511</v>
      </c>
      <c r="O424" s="130" t="s">
        <v>1512</v>
      </c>
      <c r="P424" s="130" t="s">
        <v>1513</v>
      </c>
      <c r="Q424" s="130" t="s">
        <v>1127</v>
      </c>
      <c r="R424" s="130" t="s">
        <v>1128</v>
      </c>
      <c r="S424" s="130" t="s">
        <v>1129</v>
      </c>
      <c r="T424" s="130" t="s">
        <v>1142</v>
      </c>
      <c r="U424" s="130">
        <v>1191</v>
      </c>
      <c r="V424" s="131">
        <v>600</v>
      </c>
      <c r="W424" s="131">
        <v>1791</v>
      </c>
      <c r="X424" s="131">
        <v>1719.5</v>
      </c>
      <c r="Y424" s="131">
        <v>71.5</v>
      </c>
      <c r="Z424" s="131">
        <v>1719.5</v>
      </c>
      <c r="AA424" s="131">
        <v>71.5</v>
      </c>
      <c r="AB424" s="131">
        <v>1719.5</v>
      </c>
      <c r="AC424" s="131">
        <v>71.5</v>
      </c>
      <c r="AD424" s="131">
        <v>1719.5</v>
      </c>
      <c r="AE424" s="132">
        <v>71.5</v>
      </c>
    </row>
    <row r="425" spans="1:31" x14ac:dyDescent="0.2">
      <c r="A425" s="133">
        <v>77</v>
      </c>
      <c r="B425" s="133" t="s">
        <v>1198</v>
      </c>
      <c r="C425" s="133" t="s">
        <v>1199</v>
      </c>
      <c r="D425" s="133" t="s">
        <v>1508</v>
      </c>
      <c r="E425" s="133" t="s">
        <v>1201</v>
      </c>
      <c r="F425" s="133" t="s">
        <v>1117</v>
      </c>
      <c r="G425" s="133" t="s">
        <v>1202</v>
      </c>
      <c r="H425" s="130" t="s">
        <v>1203</v>
      </c>
      <c r="I425" s="130" t="s">
        <v>1204</v>
      </c>
      <c r="J425" s="130" t="s">
        <v>1205</v>
      </c>
      <c r="K425" s="130" t="s">
        <v>1255</v>
      </c>
      <c r="L425" s="130" t="s">
        <v>1509</v>
      </c>
      <c r="M425" s="130" t="s">
        <v>1510</v>
      </c>
      <c r="N425" s="130" t="s">
        <v>1511</v>
      </c>
      <c r="O425" s="130" t="s">
        <v>1512</v>
      </c>
      <c r="P425" s="130" t="s">
        <v>1513</v>
      </c>
      <c r="Q425" s="130" t="s">
        <v>1127</v>
      </c>
      <c r="R425" s="130" t="s">
        <v>1128</v>
      </c>
      <c r="S425" s="130" t="s">
        <v>1129</v>
      </c>
      <c r="T425" s="130" t="s">
        <v>1142</v>
      </c>
      <c r="U425" s="130">
        <v>1335</v>
      </c>
      <c r="V425" s="131">
        <v>0</v>
      </c>
      <c r="W425" s="131">
        <v>1335</v>
      </c>
      <c r="X425" s="131">
        <v>0</v>
      </c>
      <c r="Y425" s="131">
        <v>1335</v>
      </c>
      <c r="Z425" s="131">
        <v>0</v>
      </c>
      <c r="AA425" s="131">
        <v>1335</v>
      </c>
      <c r="AB425" s="131">
        <v>0</v>
      </c>
      <c r="AC425" s="131">
        <v>1335</v>
      </c>
      <c r="AD425" s="131">
        <v>0</v>
      </c>
      <c r="AE425" s="132">
        <v>1335</v>
      </c>
    </row>
    <row r="426" spans="1:31" x14ac:dyDescent="0.2">
      <c r="A426" s="133">
        <v>77</v>
      </c>
      <c r="B426" s="133" t="s">
        <v>1198</v>
      </c>
      <c r="C426" s="133" t="s">
        <v>1199</v>
      </c>
      <c r="D426" s="133" t="s">
        <v>1508</v>
      </c>
      <c r="E426" s="133" t="s">
        <v>1201</v>
      </c>
      <c r="F426" s="133" t="s">
        <v>1117</v>
      </c>
      <c r="G426" s="133" t="s">
        <v>1202</v>
      </c>
      <c r="H426" s="133" t="s">
        <v>1203</v>
      </c>
      <c r="I426" s="133" t="s">
        <v>1204</v>
      </c>
      <c r="J426" s="133" t="s">
        <v>1205</v>
      </c>
      <c r="K426" s="130" t="s">
        <v>1256</v>
      </c>
      <c r="L426" s="130" t="s">
        <v>1509</v>
      </c>
      <c r="M426" s="130" t="s">
        <v>1510</v>
      </c>
      <c r="N426" s="130" t="s">
        <v>1511</v>
      </c>
      <c r="O426" s="130" t="s">
        <v>1512</v>
      </c>
      <c r="P426" s="130" t="s">
        <v>1513</v>
      </c>
      <c r="Q426" s="130" t="s">
        <v>1127</v>
      </c>
      <c r="R426" s="130" t="s">
        <v>1128</v>
      </c>
      <c r="S426" s="130" t="s">
        <v>1129</v>
      </c>
      <c r="T426" s="130" t="s">
        <v>1142</v>
      </c>
      <c r="U426" s="130">
        <v>2850</v>
      </c>
      <c r="V426" s="131">
        <v>0</v>
      </c>
      <c r="W426" s="131">
        <v>2850</v>
      </c>
      <c r="X426" s="131">
        <v>0</v>
      </c>
      <c r="Y426" s="131">
        <v>2850</v>
      </c>
      <c r="Z426" s="131">
        <v>0</v>
      </c>
      <c r="AA426" s="131">
        <v>2850</v>
      </c>
      <c r="AB426" s="131">
        <v>0</v>
      </c>
      <c r="AC426" s="131">
        <v>2850</v>
      </c>
      <c r="AD426" s="131">
        <v>0</v>
      </c>
      <c r="AE426" s="132">
        <v>2850</v>
      </c>
    </row>
    <row r="427" spans="1:31" x14ac:dyDescent="0.2">
      <c r="A427" s="133">
        <v>77</v>
      </c>
      <c r="B427" s="133" t="s">
        <v>1198</v>
      </c>
      <c r="C427" s="133" t="s">
        <v>1199</v>
      </c>
      <c r="D427" s="133" t="s">
        <v>1508</v>
      </c>
      <c r="E427" s="133" t="s">
        <v>1201</v>
      </c>
      <c r="F427" s="133" t="s">
        <v>1117</v>
      </c>
      <c r="G427" s="133" t="s">
        <v>1202</v>
      </c>
      <c r="H427" s="133" t="s">
        <v>1203</v>
      </c>
      <c r="I427" s="130" t="s">
        <v>1209</v>
      </c>
      <c r="J427" s="130" t="s">
        <v>1210</v>
      </c>
      <c r="K427" s="130" t="s">
        <v>1211</v>
      </c>
      <c r="L427" s="130" t="s">
        <v>1509</v>
      </c>
      <c r="M427" s="130" t="s">
        <v>1510</v>
      </c>
      <c r="N427" s="130" t="s">
        <v>1511</v>
      </c>
      <c r="O427" s="130" t="s">
        <v>1512</v>
      </c>
      <c r="P427" s="130" t="s">
        <v>1513</v>
      </c>
      <c r="Q427" s="130" t="s">
        <v>1127</v>
      </c>
      <c r="R427" s="130" t="s">
        <v>1128</v>
      </c>
      <c r="S427" s="130" t="s">
        <v>1129</v>
      </c>
      <c r="T427" s="130" t="s">
        <v>1142</v>
      </c>
      <c r="U427" s="130">
        <v>1060</v>
      </c>
      <c r="V427" s="131">
        <v>0</v>
      </c>
      <c r="W427" s="131">
        <v>1060</v>
      </c>
      <c r="X427" s="131">
        <v>0</v>
      </c>
      <c r="Y427" s="131">
        <v>1060</v>
      </c>
      <c r="Z427" s="131">
        <v>0</v>
      </c>
      <c r="AA427" s="131">
        <v>1060</v>
      </c>
      <c r="AB427" s="131">
        <v>0</v>
      </c>
      <c r="AC427" s="131">
        <v>1060</v>
      </c>
      <c r="AD427" s="131">
        <v>0</v>
      </c>
      <c r="AE427" s="132">
        <v>1060</v>
      </c>
    </row>
    <row r="428" spans="1:31" x14ac:dyDescent="0.2">
      <c r="A428" s="130">
        <v>78</v>
      </c>
      <c r="B428" s="130" t="s">
        <v>1540</v>
      </c>
      <c r="C428" s="130" t="s">
        <v>1199</v>
      </c>
      <c r="D428" s="130" t="s">
        <v>1541</v>
      </c>
      <c r="E428" s="130" t="s">
        <v>1201</v>
      </c>
      <c r="F428" s="130" t="s">
        <v>1117</v>
      </c>
      <c r="G428" s="130" t="s">
        <v>1276</v>
      </c>
      <c r="H428" s="130" t="s">
        <v>1277</v>
      </c>
      <c r="I428" s="130" t="s">
        <v>1285</v>
      </c>
      <c r="J428" s="130" t="s">
        <v>1286</v>
      </c>
      <c r="K428" s="130" t="s">
        <v>1287</v>
      </c>
      <c r="L428" s="130" t="s">
        <v>1542</v>
      </c>
      <c r="M428" s="130" t="s">
        <v>1510</v>
      </c>
      <c r="N428" s="130" t="s">
        <v>1511</v>
      </c>
      <c r="O428" s="130" t="s">
        <v>1512</v>
      </c>
      <c r="P428" s="130" t="s">
        <v>1513</v>
      </c>
      <c r="Q428" s="130" t="s">
        <v>1127</v>
      </c>
      <c r="R428" s="130" t="s">
        <v>1191</v>
      </c>
      <c r="S428" s="130" t="s">
        <v>1191</v>
      </c>
      <c r="T428" s="130" t="s">
        <v>1321</v>
      </c>
      <c r="U428" s="130">
        <v>61411</v>
      </c>
      <c r="V428" s="131">
        <v>16500</v>
      </c>
      <c r="W428" s="131">
        <v>77911</v>
      </c>
      <c r="X428" s="131">
        <v>61411</v>
      </c>
      <c r="Y428" s="131">
        <v>16500</v>
      </c>
      <c r="Z428" s="131">
        <v>61411</v>
      </c>
      <c r="AA428" s="131">
        <v>16500</v>
      </c>
      <c r="AB428" s="131">
        <v>5787.59</v>
      </c>
      <c r="AC428" s="131">
        <v>72123.41</v>
      </c>
      <c r="AD428" s="131">
        <v>5787.59</v>
      </c>
      <c r="AE428" s="132">
        <v>72123.41</v>
      </c>
    </row>
    <row r="429" spans="1:31" x14ac:dyDescent="0.2">
      <c r="A429" s="133">
        <v>78</v>
      </c>
      <c r="B429" s="133" t="s">
        <v>1540</v>
      </c>
      <c r="C429" s="133" t="s">
        <v>1199</v>
      </c>
      <c r="D429" s="133" t="s">
        <v>1541</v>
      </c>
      <c r="E429" s="133" t="s">
        <v>1201</v>
      </c>
      <c r="F429" s="133" t="s">
        <v>1117</v>
      </c>
      <c r="G429" s="133" t="s">
        <v>1276</v>
      </c>
      <c r="H429" s="133" t="s">
        <v>1277</v>
      </c>
      <c r="I429" s="130" t="s">
        <v>1288</v>
      </c>
      <c r="J429" s="130" t="s">
        <v>1289</v>
      </c>
      <c r="K429" s="130" t="s">
        <v>1292</v>
      </c>
      <c r="L429" s="130" t="s">
        <v>1542</v>
      </c>
      <c r="M429" s="130" t="s">
        <v>1510</v>
      </c>
      <c r="N429" s="130" t="s">
        <v>1511</v>
      </c>
      <c r="O429" s="130" t="s">
        <v>1512</v>
      </c>
      <c r="P429" s="130" t="s">
        <v>1513</v>
      </c>
      <c r="Q429" s="130" t="s">
        <v>1127</v>
      </c>
      <c r="R429" s="130" t="s">
        <v>1191</v>
      </c>
      <c r="S429" s="130" t="s">
        <v>1191</v>
      </c>
      <c r="T429" s="130" t="s">
        <v>1321</v>
      </c>
      <c r="U429" s="130">
        <v>1800</v>
      </c>
      <c r="V429" s="131">
        <v>0</v>
      </c>
      <c r="W429" s="131">
        <v>1800</v>
      </c>
      <c r="X429" s="131">
        <v>1800</v>
      </c>
      <c r="Y429" s="131">
        <v>0</v>
      </c>
      <c r="Z429" s="131">
        <v>1800</v>
      </c>
      <c r="AA429" s="131">
        <v>0</v>
      </c>
      <c r="AB429" s="131">
        <v>0</v>
      </c>
      <c r="AC429" s="131">
        <v>1800</v>
      </c>
      <c r="AD429" s="131">
        <v>0</v>
      </c>
      <c r="AE429" s="132">
        <v>1800</v>
      </c>
    </row>
    <row r="430" spans="1:31" x14ac:dyDescent="0.2">
      <c r="A430" s="133">
        <v>78</v>
      </c>
      <c r="B430" s="133" t="s">
        <v>1540</v>
      </c>
      <c r="C430" s="133" t="s">
        <v>1199</v>
      </c>
      <c r="D430" s="133" t="s">
        <v>1541</v>
      </c>
      <c r="E430" s="133" t="s">
        <v>1201</v>
      </c>
      <c r="F430" s="133" t="s">
        <v>1117</v>
      </c>
      <c r="G430" s="133" t="s">
        <v>1276</v>
      </c>
      <c r="H430" s="130" t="s">
        <v>1297</v>
      </c>
      <c r="I430" s="130" t="s">
        <v>1298</v>
      </c>
      <c r="J430" s="130" t="s">
        <v>1298</v>
      </c>
      <c r="K430" s="130" t="s">
        <v>1300</v>
      </c>
      <c r="L430" s="130" t="s">
        <v>1542</v>
      </c>
      <c r="M430" s="130" t="s">
        <v>1510</v>
      </c>
      <c r="N430" s="130" t="s">
        <v>1511</v>
      </c>
      <c r="O430" s="130" t="s">
        <v>1512</v>
      </c>
      <c r="P430" s="130" t="s">
        <v>1513</v>
      </c>
      <c r="Q430" s="130" t="s">
        <v>1127</v>
      </c>
      <c r="R430" s="130" t="s">
        <v>1191</v>
      </c>
      <c r="S430" s="130" t="s">
        <v>1191</v>
      </c>
      <c r="T430" s="130" t="s">
        <v>1321</v>
      </c>
      <c r="U430" s="130">
        <v>6202</v>
      </c>
      <c r="V430" s="131">
        <v>810</v>
      </c>
      <c r="W430" s="131">
        <v>7012</v>
      </c>
      <c r="X430" s="131">
        <v>6202</v>
      </c>
      <c r="Y430" s="131">
        <v>810</v>
      </c>
      <c r="Z430" s="131">
        <v>6202</v>
      </c>
      <c r="AA430" s="131">
        <v>810</v>
      </c>
      <c r="AB430" s="131">
        <v>522</v>
      </c>
      <c r="AC430" s="131">
        <v>6490</v>
      </c>
      <c r="AD430" s="131">
        <v>522</v>
      </c>
      <c r="AE430" s="132">
        <v>6490</v>
      </c>
    </row>
    <row r="431" spans="1:31" x14ac:dyDescent="0.2">
      <c r="A431" s="133">
        <v>78</v>
      </c>
      <c r="B431" s="133" t="s">
        <v>1540</v>
      </c>
      <c r="C431" s="133" t="s">
        <v>1199</v>
      </c>
      <c r="D431" s="133" t="s">
        <v>1541</v>
      </c>
      <c r="E431" s="133" t="s">
        <v>1201</v>
      </c>
      <c r="F431" s="133" t="s">
        <v>1117</v>
      </c>
      <c r="G431" s="130" t="s">
        <v>1202</v>
      </c>
      <c r="H431" s="130" t="s">
        <v>1216</v>
      </c>
      <c r="I431" s="130" t="s">
        <v>1222</v>
      </c>
      <c r="J431" s="130" t="s">
        <v>1304</v>
      </c>
      <c r="K431" s="130" t="s">
        <v>1248</v>
      </c>
      <c r="L431" s="130" t="s">
        <v>1542</v>
      </c>
      <c r="M431" s="130" t="s">
        <v>1510</v>
      </c>
      <c r="N431" s="130" t="s">
        <v>1511</v>
      </c>
      <c r="O431" s="130" t="s">
        <v>1512</v>
      </c>
      <c r="P431" s="130" t="s">
        <v>1513</v>
      </c>
      <c r="Q431" s="130" t="s">
        <v>1127</v>
      </c>
      <c r="R431" s="130" t="s">
        <v>1191</v>
      </c>
      <c r="S431" s="130" t="s">
        <v>1191</v>
      </c>
      <c r="T431" s="130" t="s">
        <v>1321</v>
      </c>
      <c r="U431" s="130">
        <v>2100</v>
      </c>
      <c r="V431" s="131">
        <v>-2100</v>
      </c>
      <c r="W431" s="131">
        <v>0</v>
      </c>
      <c r="X431" s="131">
        <v>0</v>
      </c>
      <c r="Y431" s="131">
        <v>0</v>
      </c>
      <c r="Z431" s="131">
        <v>0</v>
      </c>
      <c r="AA431" s="131">
        <v>0</v>
      </c>
      <c r="AB431" s="131">
        <v>0</v>
      </c>
      <c r="AC431" s="131">
        <v>0</v>
      </c>
      <c r="AD431" s="131">
        <v>0</v>
      </c>
      <c r="AE431" s="132">
        <v>0</v>
      </c>
    </row>
    <row r="432" spans="1:31" x14ac:dyDescent="0.2">
      <c r="A432" s="133">
        <v>78</v>
      </c>
      <c r="B432" s="133" t="s">
        <v>1540</v>
      </c>
      <c r="C432" s="133" t="s">
        <v>1199</v>
      </c>
      <c r="D432" s="133" t="s">
        <v>1541</v>
      </c>
      <c r="E432" s="133" t="s">
        <v>1201</v>
      </c>
      <c r="F432" s="133" t="s">
        <v>1117</v>
      </c>
      <c r="G432" s="133" t="s">
        <v>1202</v>
      </c>
      <c r="H432" s="133" t="s">
        <v>1216</v>
      </c>
      <c r="I432" s="133" t="s">
        <v>1222</v>
      </c>
      <c r="J432" s="133" t="s">
        <v>1304</v>
      </c>
      <c r="K432" s="130" t="s">
        <v>1305</v>
      </c>
      <c r="L432" s="130" t="s">
        <v>1542</v>
      </c>
      <c r="M432" s="130" t="s">
        <v>1510</v>
      </c>
      <c r="N432" s="130" t="s">
        <v>1511</v>
      </c>
      <c r="O432" s="130" t="s">
        <v>1512</v>
      </c>
      <c r="P432" s="130" t="s">
        <v>1513</v>
      </c>
      <c r="Q432" s="130" t="s">
        <v>1127</v>
      </c>
      <c r="R432" s="130" t="s">
        <v>1191</v>
      </c>
      <c r="S432" s="130" t="s">
        <v>1191</v>
      </c>
      <c r="T432" s="130" t="s">
        <v>1321</v>
      </c>
      <c r="U432" s="130">
        <v>3980</v>
      </c>
      <c r="V432" s="131">
        <v>2100</v>
      </c>
      <c r="W432" s="131">
        <v>6080</v>
      </c>
      <c r="X432" s="131">
        <v>2166</v>
      </c>
      <c r="Y432" s="131">
        <v>3914</v>
      </c>
      <c r="Z432" s="131">
        <v>1844.39</v>
      </c>
      <c r="AA432" s="131">
        <v>4235.6099999999997</v>
      </c>
      <c r="AB432" s="131">
        <v>1844.3899999999999</v>
      </c>
      <c r="AC432" s="131">
        <v>4235.6100000000006</v>
      </c>
      <c r="AD432" s="131">
        <v>1844.3899999999999</v>
      </c>
      <c r="AE432" s="132">
        <v>4235.6100000000006</v>
      </c>
    </row>
    <row r="433" spans="1:31" x14ac:dyDescent="0.2">
      <c r="A433" s="130">
        <v>79</v>
      </c>
      <c r="B433" s="130" t="s">
        <v>1540</v>
      </c>
      <c r="C433" s="130" t="s">
        <v>1199</v>
      </c>
      <c r="D433" s="130" t="s">
        <v>1543</v>
      </c>
      <c r="E433" s="130" t="s">
        <v>1201</v>
      </c>
      <c r="F433" s="130" t="s">
        <v>1117</v>
      </c>
      <c r="G433" s="130" t="s">
        <v>1276</v>
      </c>
      <c r="H433" s="130" t="s">
        <v>1277</v>
      </c>
      <c r="I433" s="130" t="s">
        <v>1285</v>
      </c>
      <c r="J433" s="130" t="s">
        <v>1286</v>
      </c>
      <c r="K433" s="130" t="s">
        <v>1287</v>
      </c>
      <c r="L433" s="130" t="s">
        <v>1544</v>
      </c>
      <c r="M433" s="130" t="s">
        <v>1510</v>
      </c>
      <c r="N433" s="130" t="s">
        <v>1511</v>
      </c>
      <c r="O433" s="130" t="s">
        <v>1512</v>
      </c>
      <c r="P433" s="130" t="s">
        <v>1513</v>
      </c>
      <c r="Q433" s="130" t="s">
        <v>1127</v>
      </c>
      <c r="R433" s="130" t="s">
        <v>1191</v>
      </c>
      <c r="S433" s="130" t="s">
        <v>1191</v>
      </c>
      <c r="T433" s="130" t="s">
        <v>1321</v>
      </c>
      <c r="U433" s="130">
        <v>24771</v>
      </c>
      <c r="V433" s="131">
        <v>1200</v>
      </c>
      <c r="W433" s="131">
        <v>25971</v>
      </c>
      <c r="X433" s="131">
        <v>24771</v>
      </c>
      <c r="Y433" s="131">
        <v>1200</v>
      </c>
      <c r="Z433" s="131">
        <v>24771</v>
      </c>
      <c r="AA433" s="131">
        <v>1200</v>
      </c>
      <c r="AB433" s="131">
        <v>2164.19</v>
      </c>
      <c r="AC433" s="131">
        <v>23806.81</v>
      </c>
      <c r="AD433" s="131">
        <v>2164.19</v>
      </c>
      <c r="AE433" s="132">
        <v>23806.81</v>
      </c>
    </row>
    <row r="434" spans="1:31" x14ac:dyDescent="0.2">
      <c r="A434" s="133">
        <v>79</v>
      </c>
      <c r="B434" s="133" t="s">
        <v>1540</v>
      </c>
      <c r="C434" s="133" t="s">
        <v>1199</v>
      </c>
      <c r="D434" s="133" t="s">
        <v>1543</v>
      </c>
      <c r="E434" s="133" t="s">
        <v>1201</v>
      </c>
      <c r="F434" s="133" t="s">
        <v>1117</v>
      </c>
      <c r="G434" s="133" t="s">
        <v>1276</v>
      </c>
      <c r="H434" s="133" t="s">
        <v>1277</v>
      </c>
      <c r="I434" s="130" t="s">
        <v>1288</v>
      </c>
      <c r="J434" s="130" t="s">
        <v>1289</v>
      </c>
      <c r="K434" s="130" t="s">
        <v>1292</v>
      </c>
      <c r="L434" s="130" t="s">
        <v>1544</v>
      </c>
      <c r="M434" s="130" t="s">
        <v>1510</v>
      </c>
      <c r="N434" s="130" t="s">
        <v>1511</v>
      </c>
      <c r="O434" s="130" t="s">
        <v>1512</v>
      </c>
      <c r="P434" s="130" t="s">
        <v>1513</v>
      </c>
      <c r="Q434" s="130" t="s">
        <v>1127</v>
      </c>
      <c r="R434" s="130" t="s">
        <v>1191</v>
      </c>
      <c r="S434" s="130" t="s">
        <v>1191</v>
      </c>
      <c r="T434" s="130" t="s">
        <v>1321</v>
      </c>
      <c r="U434" s="130">
        <v>600</v>
      </c>
      <c r="V434" s="131">
        <v>0</v>
      </c>
      <c r="W434" s="131">
        <v>600</v>
      </c>
      <c r="X434" s="131">
        <v>600</v>
      </c>
      <c r="Y434" s="131">
        <v>0</v>
      </c>
      <c r="Z434" s="131">
        <v>600</v>
      </c>
      <c r="AA434" s="131">
        <v>0</v>
      </c>
      <c r="AB434" s="131">
        <v>0</v>
      </c>
      <c r="AC434" s="131">
        <v>600</v>
      </c>
      <c r="AD434" s="131">
        <v>0</v>
      </c>
      <c r="AE434" s="132">
        <v>600</v>
      </c>
    </row>
    <row r="435" spans="1:31" x14ac:dyDescent="0.2">
      <c r="A435" s="133">
        <v>79</v>
      </c>
      <c r="B435" s="133" t="s">
        <v>1540</v>
      </c>
      <c r="C435" s="133" t="s">
        <v>1199</v>
      </c>
      <c r="D435" s="133" t="s">
        <v>1543</v>
      </c>
      <c r="E435" s="133" t="s">
        <v>1201</v>
      </c>
      <c r="F435" s="133" t="s">
        <v>1117</v>
      </c>
      <c r="G435" s="133" t="s">
        <v>1276</v>
      </c>
      <c r="H435" s="130" t="s">
        <v>1297</v>
      </c>
      <c r="I435" s="130" t="s">
        <v>1298</v>
      </c>
      <c r="J435" s="130" t="s">
        <v>1298</v>
      </c>
      <c r="K435" s="130" t="s">
        <v>1300</v>
      </c>
      <c r="L435" s="130" t="s">
        <v>1544</v>
      </c>
      <c r="M435" s="130" t="s">
        <v>1510</v>
      </c>
      <c r="N435" s="130" t="s">
        <v>1511</v>
      </c>
      <c r="O435" s="130" t="s">
        <v>1512</v>
      </c>
      <c r="P435" s="130" t="s">
        <v>1513</v>
      </c>
      <c r="Q435" s="130" t="s">
        <v>1127</v>
      </c>
      <c r="R435" s="130" t="s">
        <v>1191</v>
      </c>
      <c r="S435" s="130" t="s">
        <v>1191</v>
      </c>
      <c r="T435" s="130" t="s">
        <v>1321</v>
      </c>
      <c r="U435" s="130">
        <v>2067</v>
      </c>
      <c r="V435" s="131">
        <v>270</v>
      </c>
      <c r="W435" s="131">
        <v>2337</v>
      </c>
      <c r="X435" s="131">
        <v>2067</v>
      </c>
      <c r="Y435" s="131">
        <v>270</v>
      </c>
      <c r="Z435" s="131">
        <v>2067</v>
      </c>
      <c r="AA435" s="131">
        <v>270</v>
      </c>
      <c r="AB435" s="131">
        <v>195</v>
      </c>
      <c r="AC435" s="131">
        <v>2142</v>
      </c>
      <c r="AD435" s="131">
        <v>195</v>
      </c>
      <c r="AE435" s="132">
        <v>2142</v>
      </c>
    </row>
    <row r="436" spans="1:31" x14ac:dyDescent="0.2">
      <c r="A436" s="133">
        <v>79</v>
      </c>
      <c r="B436" s="133" t="s">
        <v>1540</v>
      </c>
      <c r="C436" s="133" t="s">
        <v>1199</v>
      </c>
      <c r="D436" s="133" t="s">
        <v>1543</v>
      </c>
      <c r="E436" s="133" t="s">
        <v>1201</v>
      </c>
      <c r="F436" s="133" t="s">
        <v>1117</v>
      </c>
      <c r="G436" s="130" t="s">
        <v>1202</v>
      </c>
      <c r="H436" s="130" t="s">
        <v>1216</v>
      </c>
      <c r="I436" s="130" t="s">
        <v>1222</v>
      </c>
      <c r="J436" s="130" t="s">
        <v>1304</v>
      </c>
      <c r="K436" s="130" t="s">
        <v>1248</v>
      </c>
      <c r="L436" s="130" t="s">
        <v>1544</v>
      </c>
      <c r="M436" s="130" t="s">
        <v>1510</v>
      </c>
      <c r="N436" s="130" t="s">
        <v>1511</v>
      </c>
      <c r="O436" s="130" t="s">
        <v>1512</v>
      </c>
      <c r="P436" s="130" t="s">
        <v>1513</v>
      </c>
      <c r="Q436" s="130" t="s">
        <v>1127</v>
      </c>
      <c r="R436" s="130" t="s">
        <v>1191</v>
      </c>
      <c r="S436" s="130" t="s">
        <v>1191</v>
      </c>
      <c r="T436" s="130" t="s">
        <v>1321</v>
      </c>
      <c r="U436" s="130">
        <v>600</v>
      </c>
      <c r="V436" s="131">
        <v>-600</v>
      </c>
      <c r="W436" s="131">
        <v>0</v>
      </c>
      <c r="X436" s="131">
        <v>0</v>
      </c>
      <c r="Y436" s="131">
        <v>0</v>
      </c>
      <c r="Z436" s="131">
        <v>0</v>
      </c>
      <c r="AA436" s="131">
        <v>0</v>
      </c>
      <c r="AB436" s="131">
        <v>0</v>
      </c>
      <c r="AC436" s="131">
        <v>0</v>
      </c>
      <c r="AD436" s="131">
        <v>0</v>
      </c>
      <c r="AE436" s="132">
        <v>0</v>
      </c>
    </row>
    <row r="437" spans="1:31" x14ac:dyDescent="0.2">
      <c r="A437" s="133">
        <v>79</v>
      </c>
      <c r="B437" s="133" t="s">
        <v>1540</v>
      </c>
      <c r="C437" s="133" t="s">
        <v>1199</v>
      </c>
      <c r="D437" s="133" t="s">
        <v>1543</v>
      </c>
      <c r="E437" s="133" t="s">
        <v>1201</v>
      </c>
      <c r="F437" s="133" t="s">
        <v>1117</v>
      </c>
      <c r="G437" s="133" t="s">
        <v>1202</v>
      </c>
      <c r="H437" s="133" t="s">
        <v>1216</v>
      </c>
      <c r="I437" s="133" t="s">
        <v>1222</v>
      </c>
      <c r="J437" s="133" t="s">
        <v>1304</v>
      </c>
      <c r="K437" s="130" t="s">
        <v>1305</v>
      </c>
      <c r="L437" s="130" t="s">
        <v>1544</v>
      </c>
      <c r="M437" s="130" t="s">
        <v>1510</v>
      </c>
      <c r="N437" s="130" t="s">
        <v>1511</v>
      </c>
      <c r="O437" s="130" t="s">
        <v>1512</v>
      </c>
      <c r="P437" s="130" t="s">
        <v>1513</v>
      </c>
      <c r="Q437" s="130" t="s">
        <v>1127</v>
      </c>
      <c r="R437" s="130" t="s">
        <v>1191</v>
      </c>
      <c r="S437" s="130" t="s">
        <v>1191</v>
      </c>
      <c r="T437" s="130" t="s">
        <v>1321</v>
      </c>
      <c r="U437" s="130">
        <v>3506</v>
      </c>
      <c r="V437" s="131">
        <v>600</v>
      </c>
      <c r="W437" s="131">
        <v>4106</v>
      </c>
      <c r="X437" s="131">
        <v>1683</v>
      </c>
      <c r="Y437" s="131">
        <v>2423</v>
      </c>
      <c r="Z437" s="131">
        <v>1683</v>
      </c>
      <c r="AA437" s="131">
        <v>2423</v>
      </c>
      <c r="AB437" s="131">
        <v>1683</v>
      </c>
      <c r="AC437" s="131">
        <v>2423</v>
      </c>
      <c r="AD437" s="131">
        <v>1683</v>
      </c>
      <c r="AE437" s="132">
        <v>2423</v>
      </c>
    </row>
    <row r="438" spans="1:31" x14ac:dyDescent="0.2">
      <c r="A438" s="133">
        <v>79</v>
      </c>
      <c r="B438" s="133" t="s">
        <v>1540</v>
      </c>
      <c r="C438" s="133" t="s">
        <v>1199</v>
      </c>
      <c r="D438" s="133" t="s">
        <v>1543</v>
      </c>
      <c r="E438" s="133" t="s">
        <v>1201</v>
      </c>
      <c r="F438" s="133" t="s">
        <v>1117</v>
      </c>
      <c r="G438" s="133" t="s">
        <v>1202</v>
      </c>
      <c r="H438" s="130" t="s">
        <v>1203</v>
      </c>
      <c r="I438" s="130" t="s">
        <v>1204</v>
      </c>
      <c r="J438" s="130" t="s">
        <v>1205</v>
      </c>
      <c r="K438" s="130" t="s">
        <v>1255</v>
      </c>
      <c r="L438" s="130" t="s">
        <v>1544</v>
      </c>
      <c r="M438" s="130" t="s">
        <v>1510</v>
      </c>
      <c r="N438" s="130" t="s">
        <v>1511</v>
      </c>
      <c r="O438" s="130" t="s">
        <v>1512</v>
      </c>
      <c r="P438" s="130" t="s">
        <v>1513</v>
      </c>
      <c r="Q438" s="130" t="s">
        <v>1127</v>
      </c>
      <c r="R438" s="130" t="s">
        <v>1191</v>
      </c>
      <c r="S438" s="130" t="s">
        <v>1191</v>
      </c>
      <c r="T438" s="130" t="s">
        <v>1321</v>
      </c>
      <c r="U438" s="130">
        <v>3120</v>
      </c>
      <c r="V438" s="131">
        <v>0</v>
      </c>
      <c r="W438" s="131">
        <v>3120</v>
      </c>
      <c r="X438" s="131">
        <v>1000</v>
      </c>
      <c r="Y438" s="131">
        <v>2120</v>
      </c>
      <c r="Z438" s="131">
        <v>0</v>
      </c>
      <c r="AA438" s="131">
        <v>3120</v>
      </c>
      <c r="AB438" s="131">
        <v>0</v>
      </c>
      <c r="AC438" s="131">
        <v>3120</v>
      </c>
      <c r="AD438" s="131">
        <v>0</v>
      </c>
      <c r="AE438" s="132">
        <v>3120</v>
      </c>
    </row>
    <row r="439" spans="1:31" x14ac:dyDescent="0.2">
      <c r="A439" s="133">
        <v>79</v>
      </c>
      <c r="B439" s="133" t="s">
        <v>1540</v>
      </c>
      <c r="C439" s="133" t="s">
        <v>1199</v>
      </c>
      <c r="D439" s="133" t="s">
        <v>1543</v>
      </c>
      <c r="E439" s="133" t="s">
        <v>1201</v>
      </c>
      <c r="F439" s="133" t="s">
        <v>1117</v>
      </c>
      <c r="G439" s="133" t="s">
        <v>1202</v>
      </c>
      <c r="H439" s="133" t="s">
        <v>1203</v>
      </c>
      <c r="I439" s="133" t="s">
        <v>1204</v>
      </c>
      <c r="J439" s="133" t="s">
        <v>1205</v>
      </c>
      <c r="K439" s="130" t="s">
        <v>1256</v>
      </c>
      <c r="L439" s="130" t="s">
        <v>1544</v>
      </c>
      <c r="M439" s="130" t="s">
        <v>1510</v>
      </c>
      <c r="N439" s="130" t="s">
        <v>1511</v>
      </c>
      <c r="O439" s="130" t="s">
        <v>1512</v>
      </c>
      <c r="P439" s="130" t="s">
        <v>1513</v>
      </c>
      <c r="Q439" s="130" t="s">
        <v>1127</v>
      </c>
      <c r="R439" s="130" t="s">
        <v>1191</v>
      </c>
      <c r="S439" s="130" t="s">
        <v>1191</v>
      </c>
      <c r="T439" s="130" t="s">
        <v>1321</v>
      </c>
      <c r="U439" s="130">
        <v>8000</v>
      </c>
      <c r="V439" s="131">
        <v>0</v>
      </c>
      <c r="W439" s="131">
        <v>8000</v>
      </c>
      <c r="X439" s="131">
        <v>1500</v>
      </c>
      <c r="Y439" s="131">
        <v>6500</v>
      </c>
      <c r="Z439" s="131">
        <v>321</v>
      </c>
      <c r="AA439" s="131">
        <v>7679</v>
      </c>
      <c r="AB439" s="131">
        <v>321</v>
      </c>
      <c r="AC439" s="131">
        <v>7679</v>
      </c>
      <c r="AD439" s="131">
        <v>321</v>
      </c>
      <c r="AE439" s="132">
        <v>7679</v>
      </c>
    </row>
    <row r="440" spans="1:31" x14ac:dyDescent="0.2">
      <c r="A440" s="133">
        <v>79</v>
      </c>
      <c r="B440" s="133" t="s">
        <v>1540</v>
      </c>
      <c r="C440" s="133" t="s">
        <v>1199</v>
      </c>
      <c r="D440" s="133" t="s">
        <v>1543</v>
      </c>
      <c r="E440" s="133" t="s">
        <v>1201</v>
      </c>
      <c r="F440" s="133" t="s">
        <v>1117</v>
      </c>
      <c r="G440" s="133" t="s">
        <v>1202</v>
      </c>
      <c r="H440" s="133" t="s">
        <v>1203</v>
      </c>
      <c r="I440" s="130" t="s">
        <v>1209</v>
      </c>
      <c r="J440" s="130" t="s">
        <v>1210</v>
      </c>
      <c r="K440" s="130" t="s">
        <v>1211</v>
      </c>
      <c r="L440" s="130" t="s">
        <v>1544</v>
      </c>
      <c r="M440" s="130" t="s">
        <v>1510</v>
      </c>
      <c r="N440" s="130" t="s">
        <v>1511</v>
      </c>
      <c r="O440" s="130" t="s">
        <v>1512</v>
      </c>
      <c r="P440" s="130" t="s">
        <v>1513</v>
      </c>
      <c r="Q440" s="130" t="s">
        <v>1127</v>
      </c>
      <c r="R440" s="130" t="s">
        <v>1191</v>
      </c>
      <c r="S440" s="130" t="s">
        <v>1191</v>
      </c>
      <c r="T440" s="130" t="s">
        <v>1321</v>
      </c>
      <c r="U440" s="130">
        <v>1680</v>
      </c>
      <c r="V440" s="131">
        <v>0</v>
      </c>
      <c r="W440" s="131">
        <v>1680</v>
      </c>
      <c r="X440" s="131">
        <v>0</v>
      </c>
      <c r="Y440" s="131">
        <v>1680</v>
      </c>
      <c r="Z440" s="131">
        <v>0</v>
      </c>
      <c r="AA440" s="131">
        <v>1680</v>
      </c>
      <c r="AB440" s="131">
        <v>0</v>
      </c>
      <c r="AC440" s="131">
        <v>1680</v>
      </c>
      <c r="AD440" s="131">
        <v>0</v>
      </c>
      <c r="AE440" s="132">
        <v>1680</v>
      </c>
    </row>
    <row r="441" spans="1:31" x14ac:dyDescent="0.2">
      <c r="A441" s="133">
        <v>79</v>
      </c>
      <c r="B441" s="133" t="s">
        <v>1540</v>
      </c>
      <c r="C441" s="133" t="s">
        <v>1199</v>
      </c>
      <c r="D441" s="133" t="s">
        <v>1543</v>
      </c>
      <c r="E441" s="133" t="s">
        <v>1201</v>
      </c>
      <c r="F441" s="133" t="s">
        <v>1117</v>
      </c>
      <c r="G441" s="133" t="s">
        <v>1202</v>
      </c>
      <c r="H441" s="133" t="s">
        <v>1203</v>
      </c>
      <c r="I441" s="133" t="s">
        <v>1209</v>
      </c>
      <c r="J441" s="133" t="s">
        <v>1210</v>
      </c>
      <c r="K441" s="130" t="s">
        <v>1274</v>
      </c>
      <c r="L441" s="130" t="s">
        <v>1544</v>
      </c>
      <c r="M441" s="130" t="s">
        <v>1510</v>
      </c>
      <c r="N441" s="130" t="s">
        <v>1511</v>
      </c>
      <c r="O441" s="130" t="s">
        <v>1512</v>
      </c>
      <c r="P441" s="130" t="s">
        <v>1513</v>
      </c>
      <c r="Q441" s="130" t="s">
        <v>1127</v>
      </c>
      <c r="R441" s="130" t="s">
        <v>1191</v>
      </c>
      <c r="S441" s="130" t="s">
        <v>1191</v>
      </c>
      <c r="T441" s="130" t="s">
        <v>1321</v>
      </c>
      <c r="U441" s="130">
        <v>2038</v>
      </c>
      <c r="V441" s="131">
        <v>0</v>
      </c>
      <c r="W441" s="131">
        <v>2038</v>
      </c>
      <c r="X441" s="131">
        <v>0</v>
      </c>
      <c r="Y441" s="131">
        <v>2038</v>
      </c>
      <c r="Z441" s="131">
        <v>0</v>
      </c>
      <c r="AA441" s="131">
        <v>2038</v>
      </c>
      <c r="AB441" s="131">
        <v>0</v>
      </c>
      <c r="AC441" s="131">
        <v>2038</v>
      </c>
      <c r="AD441" s="131">
        <v>0</v>
      </c>
      <c r="AE441" s="132">
        <v>2038</v>
      </c>
    </row>
    <row r="442" spans="1:31" x14ac:dyDescent="0.2">
      <c r="A442" s="133">
        <v>79</v>
      </c>
      <c r="B442" s="133" t="s">
        <v>1540</v>
      </c>
      <c r="C442" s="133" t="s">
        <v>1199</v>
      </c>
      <c r="D442" s="133" t="s">
        <v>1543</v>
      </c>
      <c r="E442" s="133" t="s">
        <v>1201</v>
      </c>
      <c r="F442" s="133" t="s">
        <v>1117</v>
      </c>
      <c r="G442" s="133" t="s">
        <v>1202</v>
      </c>
      <c r="H442" s="133" t="s">
        <v>1203</v>
      </c>
      <c r="I442" s="130" t="s">
        <v>1309</v>
      </c>
      <c r="J442" s="130" t="s">
        <v>1310</v>
      </c>
      <c r="K442" s="130" t="s">
        <v>1310</v>
      </c>
      <c r="L442" s="130" t="s">
        <v>1544</v>
      </c>
      <c r="M442" s="130" t="s">
        <v>1510</v>
      </c>
      <c r="N442" s="130" t="s">
        <v>1511</v>
      </c>
      <c r="O442" s="130" t="s">
        <v>1512</v>
      </c>
      <c r="P442" s="130" t="s">
        <v>1513</v>
      </c>
      <c r="Q442" s="130" t="s">
        <v>1127</v>
      </c>
      <c r="R442" s="130" t="s">
        <v>1191</v>
      </c>
      <c r="S442" s="130" t="s">
        <v>1191</v>
      </c>
      <c r="T442" s="130" t="s">
        <v>1321</v>
      </c>
      <c r="U442" s="130">
        <v>36000</v>
      </c>
      <c r="V442" s="131">
        <v>0</v>
      </c>
      <c r="W442" s="131">
        <v>36000</v>
      </c>
      <c r="X442" s="131">
        <v>21000</v>
      </c>
      <c r="Y442" s="131">
        <v>15000</v>
      </c>
      <c r="Z442" s="131">
        <v>21000</v>
      </c>
      <c r="AA442" s="131">
        <v>15000</v>
      </c>
      <c r="AB442" s="131">
        <v>21000</v>
      </c>
      <c r="AC442" s="131">
        <v>15000</v>
      </c>
      <c r="AD442" s="131">
        <v>17500</v>
      </c>
      <c r="AE442" s="132">
        <v>18500</v>
      </c>
    </row>
    <row r="443" spans="1:31" x14ac:dyDescent="0.2">
      <c r="A443" s="130">
        <v>80</v>
      </c>
      <c r="B443" s="130" t="s">
        <v>1540</v>
      </c>
      <c r="C443" s="130" t="s">
        <v>1199</v>
      </c>
      <c r="D443" s="130" t="s">
        <v>1545</v>
      </c>
      <c r="E443" s="130" t="s">
        <v>1201</v>
      </c>
      <c r="F443" s="130" t="s">
        <v>1117</v>
      </c>
      <c r="G443" s="130" t="s">
        <v>1202</v>
      </c>
      <c r="H443" s="130" t="s">
        <v>1216</v>
      </c>
      <c r="I443" s="130" t="s">
        <v>1222</v>
      </c>
      <c r="J443" s="130" t="s">
        <v>1304</v>
      </c>
      <c r="K443" s="130" t="s">
        <v>1248</v>
      </c>
      <c r="L443" s="130" t="s">
        <v>1546</v>
      </c>
      <c r="M443" s="130" t="s">
        <v>1510</v>
      </c>
      <c r="N443" s="130" t="s">
        <v>1511</v>
      </c>
      <c r="O443" s="130" t="s">
        <v>1512</v>
      </c>
      <c r="P443" s="130" t="s">
        <v>1513</v>
      </c>
      <c r="Q443" s="130" t="s">
        <v>1127</v>
      </c>
      <c r="R443" s="130" t="s">
        <v>1191</v>
      </c>
      <c r="S443" s="130" t="s">
        <v>1191</v>
      </c>
      <c r="T443" s="130" t="s">
        <v>1321</v>
      </c>
      <c r="U443" s="130">
        <v>900</v>
      </c>
      <c r="V443" s="131">
        <v>0</v>
      </c>
      <c r="W443" s="131">
        <v>900</v>
      </c>
      <c r="X443" s="131">
        <v>0</v>
      </c>
      <c r="Y443" s="131">
        <v>900</v>
      </c>
      <c r="Z443" s="131">
        <v>0</v>
      </c>
      <c r="AA443" s="131">
        <v>900</v>
      </c>
      <c r="AB443" s="131">
        <v>0</v>
      </c>
      <c r="AC443" s="131">
        <v>900</v>
      </c>
      <c r="AD443" s="131">
        <v>0</v>
      </c>
      <c r="AE443" s="132">
        <v>900</v>
      </c>
    </row>
    <row r="444" spans="1:31" x14ac:dyDescent="0.2">
      <c r="A444" s="133">
        <v>80</v>
      </c>
      <c r="B444" s="133" t="s">
        <v>1540</v>
      </c>
      <c r="C444" s="133" t="s">
        <v>1199</v>
      </c>
      <c r="D444" s="133" t="s">
        <v>1545</v>
      </c>
      <c r="E444" s="133" t="s">
        <v>1201</v>
      </c>
      <c r="F444" s="133" t="s">
        <v>1117</v>
      </c>
      <c r="G444" s="133" t="s">
        <v>1202</v>
      </c>
      <c r="H444" s="133" t="s">
        <v>1216</v>
      </c>
      <c r="I444" s="133" t="s">
        <v>1222</v>
      </c>
      <c r="J444" s="133" t="s">
        <v>1304</v>
      </c>
      <c r="K444" s="130" t="s">
        <v>1305</v>
      </c>
      <c r="L444" s="130" t="s">
        <v>1546</v>
      </c>
      <c r="M444" s="130" t="s">
        <v>1510</v>
      </c>
      <c r="N444" s="130" t="s">
        <v>1511</v>
      </c>
      <c r="O444" s="130" t="s">
        <v>1512</v>
      </c>
      <c r="P444" s="130" t="s">
        <v>1513</v>
      </c>
      <c r="Q444" s="130" t="s">
        <v>1127</v>
      </c>
      <c r="R444" s="130" t="s">
        <v>1191</v>
      </c>
      <c r="S444" s="130" t="s">
        <v>1191</v>
      </c>
      <c r="T444" s="130" t="s">
        <v>1321</v>
      </c>
      <c r="U444" s="130">
        <v>1257</v>
      </c>
      <c r="V444" s="131">
        <v>0</v>
      </c>
      <c r="W444" s="131">
        <v>1257</v>
      </c>
      <c r="X444" s="131">
        <v>0</v>
      </c>
      <c r="Y444" s="131">
        <v>1257</v>
      </c>
      <c r="Z444" s="131">
        <v>0</v>
      </c>
      <c r="AA444" s="131">
        <v>1257</v>
      </c>
      <c r="AB444" s="131">
        <v>0</v>
      </c>
      <c r="AC444" s="131">
        <v>1257</v>
      </c>
      <c r="AD444" s="131">
        <v>0</v>
      </c>
      <c r="AE444" s="132">
        <v>1257</v>
      </c>
    </row>
    <row r="445" spans="1:31" x14ac:dyDescent="0.2">
      <c r="A445" s="133">
        <v>80</v>
      </c>
      <c r="B445" s="133" t="s">
        <v>1540</v>
      </c>
      <c r="C445" s="133" t="s">
        <v>1199</v>
      </c>
      <c r="D445" s="133" t="s">
        <v>1545</v>
      </c>
      <c r="E445" s="133" t="s">
        <v>1201</v>
      </c>
      <c r="F445" s="133" t="s">
        <v>1117</v>
      </c>
      <c r="G445" s="133" t="s">
        <v>1202</v>
      </c>
      <c r="H445" s="130" t="s">
        <v>1203</v>
      </c>
      <c r="I445" s="130" t="s">
        <v>1204</v>
      </c>
      <c r="J445" s="130" t="s">
        <v>1205</v>
      </c>
      <c r="K445" s="130" t="s">
        <v>1255</v>
      </c>
      <c r="L445" s="130" t="s">
        <v>1546</v>
      </c>
      <c r="M445" s="130" t="s">
        <v>1510</v>
      </c>
      <c r="N445" s="130" t="s">
        <v>1511</v>
      </c>
      <c r="O445" s="130" t="s">
        <v>1512</v>
      </c>
      <c r="P445" s="130" t="s">
        <v>1513</v>
      </c>
      <c r="Q445" s="130" t="s">
        <v>1127</v>
      </c>
      <c r="R445" s="130" t="s">
        <v>1191</v>
      </c>
      <c r="S445" s="130" t="s">
        <v>1191</v>
      </c>
      <c r="T445" s="130" t="s">
        <v>1321</v>
      </c>
      <c r="U445" s="130">
        <v>800</v>
      </c>
      <c r="V445" s="131">
        <v>0</v>
      </c>
      <c r="W445" s="131">
        <v>800</v>
      </c>
      <c r="X445" s="131">
        <v>0</v>
      </c>
      <c r="Y445" s="131">
        <v>800</v>
      </c>
      <c r="Z445" s="131">
        <v>0</v>
      </c>
      <c r="AA445" s="131">
        <v>800</v>
      </c>
      <c r="AB445" s="131">
        <v>0</v>
      </c>
      <c r="AC445" s="131">
        <v>800</v>
      </c>
      <c r="AD445" s="131">
        <v>0</v>
      </c>
      <c r="AE445" s="132">
        <v>800</v>
      </c>
    </row>
    <row r="446" spans="1:31" x14ac:dyDescent="0.2">
      <c r="A446" s="133">
        <v>80</v>
      </c>
      <c r="B446" s="133" t="s">
        <v>1540</v>
      </c>
      <c r="C446" s="133" t="s">
        <v>1199</v>
      </c>
      <c r="D446" s="133" t="s">
        <v>1545</v>
      </c>
      <c r="E446" s="133" t="s">
        <v>1201</v>
      </c>
      <c r="F446" s="133" t="s">
        <v>1117</v>
      </c>
      <c r="G446" s="133" t="s">
        <v>1202</v>
      </c>
      <c r="H446" s="133" t="s">
        <v>1203</v>
      </c>
      <c r="I446" s="133" t="s">
        <v>1204</v>
      </c>
      <c r="J446" s="133" t="s">
        <v>1205</v>
      </c>
      <c r="K446" s="130" t="s">
        <v>1256</v>
      </c>
      <c r="L446" s="130" t="s">
        <v>1546</v>
      </c>
      <c r="M446" s="130" t="s">
        <v>1510</v>
      </c>
      <c r="N446" s="130" t="s">
        <v>1511</v>
      </c>
      <c r="O446" s="130" t="s">
        <v>1512</v>
      </c>
      <c r="P446" s="130" t="s">
        <v>1513</v>
      </c>
      <c r="Q446" s="130" t="s">
        <v>1127</v>
      </c>
      <c r="R446" s="130" t="s">
        <v>1191</v>
      </c>
      <c r="S446" s="130" t="s">
        <v>1191</v>
      </c>
      <c r="T446" s="130" t="s">
        <v>1321</v>
      </c>
      <c r="U446" s="130">
        <v>2520</v>
      </c>
      <c r="V446" s="131">
        <v>0</v>
      </c>
      <c r="W446" s="131">
        <v>2520</v>
      </c>
      <c r="X446" s="131">
        <v>0</v>
      </c>
      <c r="Y446" s="131">
        <v>2520</v>
      </c>
      <c r="Z446" s="131">
        <v>0</v>
      </c>
      <c r="AA446" s="131">
        <v>2520</v>
      </c>
      <c r="AB446" s="131">
        <v>0</v>
      </c>
      <c r="AC446" s="131">
        <v>2520</v>
      </c>
      <c r="AD446" s="131">
        <v>0</v>
      </c>
      <c r="AE446" s="132">
        <v>2520</v>
      </c>
    </row>
    <row r="447" spans="1:31" x14ac:dyDescent="0.2">
      <c r="A447" s="133">
        <v>80</v>
      </c>
      <c r="B447" s="133" t="s">
        <v>1540</v>
      </c>
      <c r="C447" s="133" t="s">
        <v>1199</v>
      </c>
      <c r="D447" s="133" t="s">
        <v>1545</v>
      </c>
      <c r="E447" s="133" t="s">
        <v>1201</v>
      </c>
      <c r="F447" s="133" t="s">
        <v>1117</v>
      </c>
      <c r="G447" s="133" t="s">
        <v>1202</v>
      </c>
      <c r="H447" s="133" t="s">
        <v>1203</v>
      </c>
      <c r="I447" s="133" t="s">
        <v>1204</v>
      </c>
      <c r="J447" s="133" t="s">
        <v>1205</v>
      </c>
      <c r="K447" s="130" t="s">
        <v>1206</v>
      </c>
      <c r="L447" s="130" t="s">
        <v>1546</v>
      </c>
      <c r="M447" s="130" t="s">
        <v>1510</v>
      </c>
      <c r="N447" s="130" t="s">
        <v>1511</v>
      </c>
      <c r="O447" s="130" t="s">
        <v>1512</v>
      </c>
      <c r="P447" s="130" t="s">
        <v>1513</v>
      </c>
      <c r="Q447" s="130" t="s">
        <v>1127</v>
      </c>
      <c r="R447" s="130" t="s">
        <v>1191</v>
      </c>
      <c r="S447" s="130" t="s">
        <v>1191</v>
      </c>
      <c r="T447" s="130" t="s">
        <v>1321</v>
      </c>
      <c r="U447" s="130">
        <v>300</v>
      </c>
      <c r="V447" s="131">
        <v>0</v>
      </c>
      <c r="W447" s="131">
        <v>300</v>
      </c>
      <c r="X447" s="131">
        <v>0</v>
      </c>
      <c r="Y447" s="131">
        <v>300</v>
      </c>
      <c r="Z447" s="131">
        <v>0</v>
      </c>
      <c r="AA447" s="131">
        <v>300</v>
      </c>
      <c r="AB447" s="131">
        <v>0</v>
      </c>
      <c r="AC447" s="131">
        <v>300</v>
      </c>
      <c r="AD447" s="131">
        <v>0</v>
      </c>
      <c r="AE447" s="132">
        <v>300</v>
      </c>
    </row>
    <row r="448" spans="1:31" x14ac:dyDescent="0.2">
      <c r="A448" s="133">
        <v>80</v>
      </c>
      <c r="B448" s="133" t="s">
        <v>1540</v>
      </c>
      <c r="C448" s="133" t="s">
        <v>1199</v>
      </c>
      <c r="D448" s="133" t="s">
        <v>1545</v>
      </c>
      <c r="E448" s="133" t="s">
        <v>1201</v>
      </c>
      <c r="F448" s="133" t="s">
        <v>1117</v>
      </c>
      <c r="G448" s="133" t="s">
        <v>1202</v>
      </c>
      <c r="H448" s="133" t="s">
        <v>1203</v>
      </c>
      <c r="I448" s="130" t="s">
        <v>1209</v>
      </c>
      <c r="J448" s="130" t="s">
        <v>1210</v>
      </c>
      <c r="K448" s="130" t="s">
        <v>1211</v>
      </c>
      <c r="L448" s="130" t="s">
        <v>1546</v>
      </c>
      <c r="M448" s="130" t="s">
        <v>1510</v>
      </c>
      <c r="N448" s="130" t="s">
        <v>1511</v>
      </c>
      <c r="O448" s="130" t="s">
        <v>1512</v>
      </c>
      <c r="P448" s="130" t="s">
        <v>1513</v>
      </c>
      <c r="Q448" s="130" t="s">
        <v>1127</v>
      </c>
      <c r="R448" s="130" t="s">
        <v>1191</v>
      </c>
      <c r="S448" s="130" t="s">
        <v>1191</v>
      </c>
      <c r="T448" s="130" t="s">
        <v>1321</v>
      </c>
      <c r="U448" s="130">
        <v>2046</v>
      </c>
      <c r="V448" s="131">
        <v>0</v>
      </c>
      <c r="W448" s="131">
        <v>2046</v>
      </c>
      <c r="X448" s="131">
        <v>2040</v>
      </c>
      <c r="Y448" s="131">
        <v>6</v>
      </c>
      <c r="Z448" s="131">
        <v>2040</v>
      </c>
      <c r="AA448" s="131">
        <v>6</v>
      </c>
      <c r="AB448" s="131">
        <v>2040</v>
      </c>
      <c r="AC448" s="131">
        <v>6</v>
      </c>
      <c r="AD448" s="131">
        <v>0</v>
      </c>
      <c r="AE448" s="132">
        <v>2046</v>
      </c>
    </row>
    <row r="449" spans="1:31" x14ac:dyDescent="0.2">
      <c r="A449" s="133">
        <v>80</v>
      </c>
      <c r="B449" s="133" t="s">
        <v>1540</v>
      </c>
      <c r="C449" s="133" t="s">
        <v>1199</v>
      </c>
      <c r="D449" s="133" t="s">
        <v>1545</v>
      </c>
      <c r="E449" s="133" t="s">
        <v>1201</v>
      </c>
      <c r="F449" s="133" t="s">
        <v>1117</v>
      </c>
      <c r="G449" s="133" t="s">
        <v>1202</v>
      </c>
      <c r="H449" s="133" t="s">
        <v>1203</v>
      </c>
      <c r="I449" s="133" t="s">
        <v>1209</v>
      </c>
      <c r="J449" s="133" t="s">
        <v>1210</v>
      </c>
      <c r="K449" s="130" t="s">
        <v>1274</v>
      </c>
      <c r="L449" s="130" t="s">
        <v>1546</v>
      </c>
      <c r="M449" s="130" t="s">
        <v>1510</v>
      </c>
      <c r="N449" s="130" t="s">
        <v>1511</v>
      </c>
      <c r="O449" s="130" t="s">
        <v>1512</v>
      </c>
      <c r="P449" s="130" t="s">
        <v>1513</v>
      </c>
      <c r="Q449" s="130" t="s">
        <v>1127</v>
      </c>
      <c r="R449" s="130" t="s">
        <v>1191</v>
      </c>
      <c r="S449" s="130" t="s">
        <v>1191</v>
      </c>
      <c r="T449" s="130" t="s">
        <v>1321</v>
      </c>
      <c r="U449" s="130">
        <v>4200</v>
      </c>
      <c r="V449" s="131">
        <v>0</v>
      </c>
      <c r="W449" s="131">
        <v>4200</v>
      </c>
      <c r="X449" s="131">
        <v>0</v>
      </c>
      <c r="Y449" s="131">
        <v>4200</v>
      </c>
      <c r="Z449" s="131">
        <v>0</v>
      </c>
      <c r="AA449" s="131">
        <v>4200</v>
      </c>
      <c r="AB449" s="131">
        <v>0</v>
      </c>
      <c r="AC449" s="131">
        <v>4200</v>
      </c>
      <c r="AD449" s="131">
        <v>0</v>
      </c>
      <c r="AE449" s="132">
        <v>4200</v>
      </c>
    </row>
    <row r="450" spans="1:31" x14ac:dyDescent="0.2">
      <c r="A450" s="130">
        <v>81</v>
      </c>
      <c r="B450" s="130" t="s">
        <v>1547</v>
      </c>
      <c r="C450" s="130" t="s">
        <v>1114</v>
      </c>
      <c r="D450" s="130" t="s">
        <v>1548</v>
      </c>
      <c r="E450" s="130" t="s">
        <v>1116</v>
      </c>
      <c r="F450" s="130" t="s">
        <v>1117</v>
      </c>
      <c r="G450" s="130" t="s">
        <v>1118</v>
      </c>
      <c r="H450" s="130" t="s">
        <v>1119</v>
      </c>
      <c r="I450" s="130" t="s">
        <v>1120</v>
      </c>
      <c r="J450" s="130" t="s">
        <v>1358</v>
      </c>
      <c r="K450" s="130" t="s">
        <v>1122</v>
      </c>
      <c r="L450" s="130" t="s">
        <v>1549</v>
      </c>
      <c r="M450" s="130" t="s">
        <v>1550</v>
      </c>
      <c r="N450" s="130" t="s">
        <v>168</v>
      </c>
      <c r="O450" s="130" t="s">
        <v>1551</v>
      </c>
      <c r="P450" s="130" t="s">
        <v>1552</v>
      </c>
      <c r="Q450" s="130" t="s">
        <v>1127</v>
      </c>
      <c r="R450" s="130" t="s">
        <v>1191</v>
      </c>
      <c r="S450" s="130" t="s">
        <v>1191</v>
      </c>
      <c r="T450" s="130" t="s">
        <v>1130</v>
      </c>
      <c r="U450" s="130">
        <v>100000</v>
      </c>
      <c r="V450" s="131">
        <v>-100000</v>
      </c>
      <c r="W450" s="131">
        <v>0</v>
      </c>
      <c r="X450" s="131">
        <v>0</v>
      </c>
      <c r="Y450" s="131">
        <v>0</v>
      </c>
      <c r="Z450" s="131">
        <v>0</v>
      </c>
      <c r="AA450" s="131">
        <v>0</v>
      </c>
      <c r="AB450" s="131">
        <v>0</v>
      </c>
      <c r="AC450" s="131">
        <v>0</v>
      </c>
      <c r="AD450" s="131">
        <v>0</v>
      </c>
      <c r="AE450" s="132">
        <v>0</v>
      </c>
    </row>
    <row r="451" spans="1:31" x14ac:dyDescent="0.2">
      <c r="A451" s="133">
        <v>81</v>
      </c>
      <c r="B451" s="133" t="s">
        <v>1547</v>
      </c>
      <c r="C451" s="133" t="s">
        <v>1114</v>
      </c>
      <c r="D451" s="133" t="s">
        <v>1548</v>
      </c>
      <c r="E451" s="133" t="s">
        <v>1116</v>
      </c>
      <c r="F451" s="133" t="s">
        <v>1117</v>
      </c>
      <c r="G451" s="133" t="s">
        <v>1118</v>
      </c>
      <c r="H451" s="130" t="s">
        <v>1133</v>
      </c>
      <c r="I451" s="130" t="s">
        <v>1134</v>
      </c>
      <c r="J451" s="130" t="s">
        <v>1166</v>
      </c>
      <c r="K451" s="130" t="s">
        <v>1167</v>
      </c>
      <c r="L451" s="130" t="s">
        <v>1549</v>
      </c>
      <c r="M451" s="130" t="s">
        <v>1550</v>
      </c>
      <c r="N451" s="130" t="s">
        <v>168</v>
      </c>
      <c r="O451" s="130" t="s">
        <v>1551</v>
      </c>
      <c r="P451" s="130" t="s">
        <v>1552</v>
      </c>
      <c r="Q451" s="130" t="s">
        <v>1127</v>
      </c>
      <c r="R451" s="130" t="s">
        <v>1191</v>
      </c>
      <c r="S451" s="130" t="s">
        <v>1191</v>
      </c>
      <c r="T451" s="130" t="s">
        <v>1130</v>
      </c>
      <c r="U451" s="130">
        <v>0</v>
      </c>
      <c r="V451" s="131">
        <v>100000</v>
      </c>
      <c r="W451" s="131">
        <v>100000</v>
      </c>
      <c r="X451" s="131">
        <v>50000</v>
      </c>
      <c r="Y451" s="131">
        <v>50000</v>
      </c>
      <c r="Z451" s="131">
        <v>50000</v>
      </c>
      <c r="AA451" s="131">
        <v>50000</v>
      </c>
      <c r="AB451" s="131">
        <v>0</v>
      </c>
      <c r="AC451" s="131">
        <v>100000</v>
      </c>
      <c r="AD451" s="131">
        <v>0</v>
      </c>
      <c r="AE451" s="132">
        <v>100000</v>
      </c>
    </row>
    <row r="452" spans="1:31" x14ac:dyDescent="0.2">
      <c r="A452" s="130">
        <v>82</v>
      </c>
      <c r="B452" s="130" t="s">
        <v>1553</v>
      </c>
      <c r="C452" s="130" t="s">
        <v>1114</v>
      </c>
      <c r="D452" s="130" t="s">
        <v>1554</v>
      </c>
      <c r="E452" s="130" t="s">
        <v>1116</v>
      </c>
      <c r="F452" s="130" t="s">
        <v>1117</v>
      </c>
      <c r="G452" s="130" t="s">
        <v>1118</v>
      </c>
      <c r="H452" s="130" t="s">
        <v>1119</v>
      </c>
      <c r="I452" s="130" t="s">
        <v>1120</v>
      </c>
      <c r="J452" s="130" t="s">
        <v>1358</v>
      </c>
      <c r="K452" s="130" t="s">
        <v>1122</v>
      </c>
      <c r="L452" s="130" t="s">
        <v>1555</v>
      </c>
      <c r="M452" s="130" t="s">
        <v>1550</v>
      </c>
      <c r="N452" s="130" t="s">
        <v>168</v>
      </c>
      <c r="O452" s="130" t="s">
        <v>1551</v>
      </c>
      <c r="P452" s="130" t="s">
        <v>1552</v>
      </c>
      <c r="Q452" s="130" t="s">
        <v>1127</v>
      </c>
      <c r="R452" s="130" t="s">
        <v>1417</v>
      </c>
      <c r="S452" s="130" t="s">
        <v>1418</v>
      </c>
      <c r="T452" s="130" t="s">
        <v>1130</v>
      </c>
      <c r="U452" s="130">
        <v>2981000</v>
      </c>
      <c r="V452" s="131">
        <v>-2981000</v>
      </c>
      <c r="W452" s="131">
        <v>0</v>
      </c>
      <c r="X452" s="131">
        <v>0</v>
      </c>
      <c r="Y452" s="131">
        <v>0</v>
      </c>
      <c r="Z452" s="131">
        <v>0</v>
      </c>
      <c r="AA452" s="131">
        <v>0</v>
      </c>
      <c r="AB452" s="131">
        <v>0</v>
      </c>
      <c r="AC452" s="131">
        <v>0</v>
      </c>
      <c r="AD452" s="131">
        <v>0</v>
      </c>
      <c r="AE452" s="132">
        <v>0</v>
      </c>
    </row>
    <row r="453" spans="1:31" x14ac:dyDescent="0.2">
      <c r="A453" s="133">
        <v>82</v>
      </c>
      <c r="B453" s="133" t="s">
        <v>1553</v>
      </c>
      <c r="C453" s="133" t="s">
        <v>1114</v>
      </c>
      <c r="D453" s="133" t="s">
        <v>1554</v>
      </c>
      <c r="E453" s="133" t="s">
        <v>1116</v>
      </c>
      <c r="F453" s="133" t="s">
        <v>1117</v>
      </c>
      <c r="G453" s="133" t="s">
        <v>1118</v>
      </c>
      <c r="H453" s="130" t="s">
        <v>1133</v>
      </c>
      <c r="I453" s="130" t="s">
        <v>1134</v>
      </c>
      <c r="J453" s="130" t="s">
        <v>1166</v>
      </c>
      <c r="K453" s="130" t="s">
        <v>1167</v>
      </c>
      <c r="L453" s="130" t="s">
        <v>1555</v>
      </c>
      <c r="M453" s="130" t="s">
        <v>1550</v>
      </c>
      <c r="N453" s="130" t="s">
        <v>168</v>
      </c>
      <c r="O453" s="130" t="s">
        <v>1551</v>
      </c>
      <c r="P453" s="130" t="s">
        <v>1552</v>
      </c>
      <c r="Q453" s="130" t="s">
        <v>1127</v>
      </c>
      <c r="R453" s="130" t="s">
        <v>1417</v>
      </c>
      <c r="S453" s="130" t="s">
        <v>1418</v>
      </c>
      <c r="T453" s="130" t="s">
        <v>1130</v>
      </c>
      <c r="U453" s="130">
        <v>0</v>
      </c>
      <c r="V453" s="131">
        <v>408761</v>
      </c>
      <c r="W453" s="131">
        <v>408761</v>
      </c>
      <c r="X453" s="131">
        <v>285138</v>
      </c>
      <c r="Y453" s="131">
        <v>123623</v>
      </c>
      <c r="Z453" s="131">
        <v>285138</v>
      </c>
      <c r="AA453" s="131">
        <v>123623</v>
      </c>
      <c r="AB453" s="131">
        <v>24949.9</v>
      </c>
      <c r="AC453" s="131">
        <v>383811.1</v>
      </c>
      <c r="AD453" s="131">
        <v>24949.9</v>
      </c>
      <c r="AE453" s="132">
        <v>383811.1</v>
      </c>
    </row>
    <row r="454" spans="1:31" x14ac:dyDescent="0.2">
      <c r="A454" s="130">
        <v>83</v>
      </c>
      <c r="B454" s="130" t="s">
        <v>1556</v>
      </c>
      <c r="C454" s="130" t="s">
        <v>1114</v>
      </c>
      <c r="D454" s="130" t="s">
        <v>1554</v>
      </c>
      <c r="E454" s="130" t="s">
        <v>1116</v>
      </c>
      <c r="F454" s="130" t="s">
        <v>1117</v>
      </c>
      <c r="G454" s="130" t="s">
        <v>1118</v>
      </c>
      <c r="H454" s="130" t="s">
        <v>1119</v>
      </c>
      <c r="I454" s="130" t="s">
        <v>1120</v>
      </c>
      <c r="J454" s="130" t="s">
        <v>1358</v>
      </c>
      <c r="K454" s="130" t="s">
        <v>1177</v>
      </c>
      <c r="L454" s="130" t="s">
        <v>1557</v>
      </c>
      <c r="M454" s="130" t="s">
        <v>1550</v>
      </c>
      <c r="N454" s="130" t="s">
        <v>168</v>
      </c>
      <c r="O454" s="130" t="s">
        <v>1551</v>
      </c>
      <c r="P454" s="130" t="s">
        <v>1552</v>
      </c>
      <c r="Q454" s="130" t="s">
        <v>1127</v>
      </c>
      <c r="R454" s="130" t="s">
        <v>1187</v>
      </c>
      <c r="S454" s="130" t="s">
        <v>1427</v>
      </c>
      <c r="T454" s="130" t="s">
        <v>1130</v>
      </c>
      <c r="U454" s="130">
        <v>61203</v>
      </c>
      <c r="V454" s="131">
        <v>0</v>
      </c>
      <c r="W454" s="131">
        <v>61203</v>
      </c>
      <c r="X454" s="131">
        <v>0</v>
      </c>
      <c r="Y454" s="131">
        <v>61203</v>
      </c>
      <c r="Z454" s="131">
        <v>0</v>
      </c>
      <c r="AA454" s="131">
        <v>61203</v>
      </c>
      <c r="AB454" s="131">
        <v>0</v>
      </c>
      <c r="AC454" s="131">
        <v>61203</v>
      </c>
      <c r="AD454" s="131">
        <v>0</v>
      </c>
      <c r="AE454" s="132">
        <v>61203</v>
      </c>
    </row>
    <row r="455" spans="1:31" x14ac:dyDescent="0.2">
      <c r="A455" s="130">
        <v>84</v>
      </c>
      <c r="B455" s="130" t="s">
        <v>1558</v>
      </c>
      <c r="C455" s="130" t="s">
        <v>1199</v>
      </c>
      <c r="D455" s="130" t="s">
        <v>1559</v>
      </c>
      <c r="E455" s="130" t="s">
        <v>1201</v>
      </c>
      <c r="F455" s="130" t="s">
        <v>1117</v>
      </c>
      <c r="G455" s="130" t="s">
        <v>1276</v>
      </c>
      <c r="H455" s="130" t="s">
        <v>1277</v>
      </c>
      <c r="I455" s="130" t="s">
        <v>1285</v>
      </c>
      <c r="J455" s="130" t="s">
        <v>1286</v>
      </c>
      <c r="K455" s="130" t="s">
        <v>1287</v>
      </c>
      <c r="L455" s="130" t="s">
        <v>1560</v>
      </c>
      <c r="M455" s="130" t="s">
        <v>1561</v>
      </c>
      <c r="N455" s="130" t="s">
        <v>1511</v>
      </c>
      <c r="O455" s="130" t="s">
        <v>1512</v>
      </c>
      <c r="P455" s="130" t="s">
        <v>1562</v>
      </c>
      <c r="Q455" s="130" t="s">
        <v>1127</v>
      </c>
      <c r="R455" s="130" t="s">
        <v>1191</v>
      </c>
      <c r="S455" s="130" t="s">
        <v>1191</v>
      </c>
      <c r="T455" s="130" t="s">
        <v>1563</v>
      </c>
      <c r="U455" s="130">
        <v>68181</v>
      </c>
      <c r="V455" s="131">
        <v>8400</v>
      </c>
      <c r="W455" s="131">
        <v>76581</v>
      </c>
      <c r="X455" s="131">
        <v>68181</v>
      </c>
      <c r="Y455" s="131">
        <v>8400</v>
      </c>
      <c r="Z455" s="131">
        <v>68181</v>
      </c>
      <c r="AA455" s="131">
        <v>8400</v>
      </c>
      <c r="AB455" s="131">
        <v>28714.61</v>
      </c>
      <c r="AC455" s="131">
        <v>47866.39</v>
      </c>
      <c r="AD455" s="131">
        <v>28714.61</v>
      </c>
      <c r="AE455" s="132">
        <v>47866.39</v>
      </c>
    </row>
    <row r="456" spans="1:31" x14ac:dyDescent="0.2">
      <c r="A456" s="133">
        <v>84</v>
      </c>
      <c r="B456" s="133" t="s">
        <v>1558</v>
      </c>
      <c r="C456" s="133" t="s">
        <v>1199</v>
      </c>
      <c r="D456" s="133" t="s">
        <v>1559</v>
      </c>
      <c r="E456" s="133" t="s">
        <v>1201</v>
      </c>
      <c r="F456" s="133" t="s">
        <v>1117</v>
      </c>
      <c r="G456" s="133" t="s">
        <v>1276</v>
      </c>
      <c r="H456" s="133" t="s">
        <v>1277</v>
      </c>
      <c r="I456" s="130" t="s">
        <v>1288</v>
      </c>
      <c r="J456" s="130" t="s">
        <v>1289</v>
      </c>
      <c r="K456" s="130" t="s">
        <v>1292</v>
      </c>
      <c r="L456" s="130" t="s">
        <v>1560</v>
      </c>
      <c r="M456" s="130" t="s">
        <v>1561</v>
      </c>
      <c r="N456" s="130" t="s">
        <v>1511</v>
      </c>
      <c r="O456" s="130" t="s">
        <v>1512</v>
      </c>
      <c r="P456" s="130" t="s">
        <v>1562</v>
      </c>
      <c r="Q456" s="130" t="s">
        <v>1127</v>
      </c>
      <c r="R456" s="130" t="s">
        <v>1191</v>
      </c>
      <c r="S456" s="130" t="s">
        <v>1191</v>
      </c>
      <c r="T456" s="130" t="s">
        <v>1563</v>
      </c>
      <c r="U456" s="130">
        <v>2400</v>
      </c>
      <c r="V456" s="131">
        <v>0</v>
      </c>
      <c r="W456" s="131">
        <v>2400</v>
      </c>
      <c r="X456" s="131">
        <v>2400</v>
      </c>
      <c r="Y456" s="131">
        <v>0</v>
      </c>
      <c r="Z456" s="131">
        <v>2400</v>
      </c>
      <c r="AA456" s="131">
        <v>0</v>
      </c>
      <c r="AB456" s="131">
        <v>0</v>
      </c>
      <c r="AC456" s="131">
        <v>2400</v>
      </c>
      <c r="AD456" s="131">
        <v>0</v>
      </c>
      <c r="AE456" s="132">
        <v>2400</v>
      </c>
    </row>
    <row r="457" spans="1:31" x14ac:dyDescent="0.2">
      <c r="A457" s="133">
        <v>84</v>
      </c>
      <c r="B457" s="133" t="s">
        <v>1558</v>
      </c>
      <c r="C457" s="133" t="s">
        <v>1199</v>
      </c>
      <c r="D457" s="133" t="s">
        <v>1559</v>
      </c>
      <c r="E457" s="133" t="s">
        <v>1201</v>
      </c>
      <c r="F457" s="133" t="s">
        <v>1117</v>
      </c>
      <c r="G457" s="133" t="s">
        <v>1276</v>
      </c>
      <c r="H457" s="130" t="s">
        <v>1297</v>
      </c>
      <c r="I457" s="130" t="s">
        <v>1298</v>
      </c>
      <c r="J457" s="130" t="s">
        <v>1298</v>
      </c>
      <c r="K457" s="130" t="s">
        <v>1300</v>
      </c>
      <c r="L457" s="130" t="s">
        <v>1560</v>
      </c>
      <c r="M457" s="130" t="s">
        <v>1561</v>
      </c>
      <c r="N457" s="130" t="s">
        <v>1511</v>
      </c>
      <c r="O457" s="130" t="s">
        <v>1512</v>
      </c>
      <c r="P457" s="130" t="s">
        <v>1562</v>
      </c>
      <c r="Q457" s="130" t="s">
        <v>1127</v>
      </c>
      <c r="R457" s="130" t="s">
        <v>1191</v>
      </c>
      <c r="S457" s="130" t="s">
        <v>1191</v>
      </c>
      <c r="T457" s="130" t="s">
        <v>1563</v>
      </c>
      <c r="U457" s="130">
        <v>6136</v>
      </c>
      <c r="V457" s="131">
        <v>756</v>
      </c>
      <c r="W457" s="131">
        <v>6892</v>
      </c>
      <c r="X457" s="131">
        <v>6136</v>
      </c>
      <c r="Y457" s="131">
        <v>756</v>
      </c>
      <c r="Z457" s="131">
        <v>6136</v>
      </c>
      <c r="AA457" s="131">
        <v>756</v>
      </c>
      <c r="AB457" s="131">
        <v>2587</v>
      </c>
      <c r="AC457" s="131">
        <v>4305</v>
      </c>
      <c r="AD457" s="131">
        <v>2587</v>
      </c>
      <c r="AE457" s="132">
        <v>4305</v>
      </c>
    </row>
    <row r="458" spans="1:31" x14ac:dyDescent="0.2">
      <c r="A458" s="133">
        <v>84</v>
      </c>
      <c r="B458" s="133" t="s">
        <v>1558</v>
      </c>
      <c r="C458" s="133" t="s">
        <v>1199</v>
      </c>
      <c r="D458" s="133" t="s">
        <v>1559</v>
      </c>
      <c r="E458" s="133" t="s">
        <v>1201</v>
      </c>
      <c r="F458" s="133" t="s">
        <v>1117</v>
      </c>
      <c r="G458" s="130" t="s">
        <v>1202</v>
      </c>
      <c r="H458" s="130" t="s">
        <v>1203</v>
      </c>
      <c r="I458" s="130" t="s">
        <v>1309</v>
      </c>
      <c r="J458" s="130" t="s">
        <v>1310</v>
      </c>
      <c r="K458" s="130" t="s">
        <v>1310</v>
      </c>
      <c r="L458" s="130" t="s">
        <v>1560</v>
      </c>
      <c r="M458" s="130" t="s">
        <v>1561</v>
      </c>
      <c r="N458" s="130" t="s">
        <v>1511</v>
      </c>
      <c r="O458" s="130" t="s">
        <v>1512</v>
      </c>
      <c r="P458" s="130" t="s">
        <v>1562</v>
      </c>
      <c r="Q458" s="130" t="s">
        <v>1127</v>
      </c>
      <c r="R458" s="130" t="s">
        <v>1191</v>
      </c>
      <c r="S458" s="130" t="s">
        <v>1191</v>
      </c>
      <c r="T458" s="130" t="s">
        <v>1563</v>
      </c>
      <c r="U458" s="130">
        <v>18000</v>
      </c>
      <c r="V458" s="131">
        <v>0</v>
      </c>
      <c r="W458" s="131">
        <v>18000</v>
      </c>
      <c r="X458" s="131">
        <v>6000</v>
      </c>
      <c r="Y458" s="131">
        <v>12000</v>
      </c>
      <c r="Z458" s="131">
        <v>6000</v>
      </c>
      <c r="AA458" s="131">
        <v>12000</v>
      </c>
      <c r="AB458" s="131">
        <v>6000</v>
      </c>
      <c r="AC458" s="131">
        <v>12000</v>
      </c>
      <c r="AD458" s="131">
        <v>6000</v>
      </c>
      <c r="AE458" s="132">
        <v>12000</v>
      </c>
    </row>
    <row r="459" spans="1:31" x14ac:dyDescent="0.2">
      <c r="A459" s="130">
        <v>85</v>
      </c>
      <c r="B459" s="130" t="s">
        <v>1564</v>
      </c>
      <c r="C459" s="130" t="s">
        <v>1199</v>
      </c>
      <c r="D459" s="130" t="s">
        <v>1565</v>
      </c>
      <c r="E459" s="130" t="s">
        <v>1201</v>
      </c>
      <c r="F459" s="130" t="s">
        <v>1117</v>
      </c>
      <c r="G459" s="130" t="s">
        <v>1276</v>
      </c>
      <c r="H459" s="130" t="s">
        <v>1277</v>
      </c>
      <c r="I459" s="130" t="s">
        <v>1278</v>
      </c>
      <c r="J459" s="130" t="s">
        <v>1278</v>
      </c>
      <c r="K459" s="130" t="s">
        <v>1279</v>
      </c>
      <c r="L459" s="130" t="s">
        <v>1566</v>
      </c>
      <c r="M459" s="130" t="s">
        <v>1567</v>
      </c>
      <c r="N459" s="130" t="s">
        <v>1568</v>
      </c>
      <c r="O459" s="130" t="s">
        <v>1569</v>
      </c>
      <c r="P459" s="130" t="s">
        <v>1570</v>
      </c>
      <c r="Q459" s="130" t="s">
        <v>1127</v>
      </c>
      <c r="R459" s="130" t="s">
        <v>1191</v>
      </c>
      <c r="S459" s="130" t="s">
        <v>1191</v>
      </c>
      <c r="T459" s="130" t="s">
        <v>1321</v>
      </c>
      <c r="U459" s="130">
        <v>77747</v>
      </c>
      <c r="V459" s="131">
        <v>0</v>
      </c>
      <c r="W459" s="131">
        <v>77747</v>
      </c>
      <c r="X459" s="131">
        <v>77747</v>
      </c>
      <c r="Y459" s="131">
        <v>0</v>
      </c>
      <c r="Z459" s="131">
        <v>77747</v>
      </c>
      <c r="AA459" s="131">
        <v>0</v>
      </c>
      <c r="AB459" s="131">
        <v>30560.7</v>
      </c>
      <c r="AC459" s="131">
        <v>47186.3</v>
      </c>
      <c r="AD459" s="131">
        <v>30560.7</v>
      </c>
      <c r="AE459" s="132">
        <v>47186.3</v>
      </c>
    </row>
    <row r="460" spans="1:31" x14ac:dyDescent="0.2">
      <c r="A460" s="133">
        <v>85</v>
      </c>
      <c r="B460" s="133" t="s">
        <v>1564</v>
      </c>
      <c r="C460" s="133" t="s">
        <v>1199</v>
      </c>
      <c r="D460" s="133" t="s">
        <v>1565</v>
      </c>
      <c r="E460" s="133" t="s">
        <v>1201</v>
      </c>
      <c r="F460" s="133" t="s">
        <v>1117</v>
      </c>
      <c r="G460" s="133" t="s">
        <v>1276</v>
      </c>
      <c r="H460" s="133" t="s">
        <v>1277</v>
      </c>
      <c r="I460" s="133" t="s">
        <v>1278</v>
      </c>
      <c r="J460" s="133" t="s">
        <v>1278</v>
      </c>
      <c r="K460" s="130" t="s">
        <v>1281</v>
      </c>
      <c r="L460" s="130" t="s">
        <v>1566</v>
      </c>
      <c r="M460" s="130" t="s">
        <v>1567</v>
      </c>
      <c r="N460" s="130" t="s">
        <v>1568</v>
      </c>
      <c r="O460" s="130" t="s">
        <v>1569</v>
      </c>
      <c r="P460" s="130" t="s">
        <v>1570</v>
      </c>
      <c r="Q460" s="130" t="s">
        <v>1127</v>
      </c>
      <c r="R460" s="130" t="s">
        <v>1191</v>
      </c>
      <c r="S460" s="130" t="s">
        <v>1191</v>
      </c>
      <c r="T460" s="130" t="s">
        <v>1321</v>
      </c>
      <c r="U460" s="130">
        <v>51230</v>
      </c>
      <c r="V460" s="131">
        <v>0</v>
      </c>
      <c r="W460" s="131">
        <v>51230</v>
      </c>
      <c r="X460" s="131">
        <v>51230</v>
      </c>
      <c r="Y460" s="131">
        <v>0</v>
      </c>
      <c r="Z460" s="131">
        <v>51230</v>
      </c>
      <c r="AA460" s="131">
        <v>0</v>
      </c>
      <c r="AB460" s="131">
        <v>40912.1</v>
      </c>
      <c r="AC460" s="131">
        <v>10317.900000000001</v>
      </c>
      <c r="AD460" s="131">
        <v>40912.1</v>
      </c>
      <c r="AE460" s="132">
        <v>10317.900000000001</v>
      </c>
    </row>
    <row r="461" spans="1:31" x14ac:dyDescent="0.2">
      <c r="A461" s="133">
        <v>85</v>
      </c>
      <c r="B461" s="133" t="s">
        <v>1564</v>
      </c>
      <c r="C461" s="133" t="s">
        <v>1199</v>
      </c>
      <c r="D461" s="133" t="s">
        <v>1565</v>
      </c>
      <c r="E461" s="133" t="s">
        <v>1201</v>
      </c>
      <c r="F461" s="133" t="s">
        <v>1117</v>
      </c>
      <c r="G461" s="133" t="s">
        <v>1276</v>
      </c>
      <c r="H461" s="133" t="s">
        <v>1277</v>
      </c>
      <c r="I461" s="133" t="s">
        <v>1278</v>
      </c>
      <c r="J461" s="133" t="s">
        <v>1278</v>
      </c>
      <c r="K461" s="130" t="s">
        <v>1282</v>
      </c>
      <c r="L461" s="130" t="s">
        <v>1566</v>
      </c>
      <c r="M461" s="130" t="s">
        <v>1567</v>
      </c>
      <c r="N461" s="130" t="s">
        <v>1568</v>
      </c>
      <c r="O461" s="130" t="s">
        <v>1569</v>
      </c>
      <c r="P461" s="130" t="s">
        <v>1570</v>
      </c>
      <c r="Q461" s="130" t="s">
        <v>1127</v>
      </c>
      <c r="R461" s="130" t="s">
        <v>1191</v>
      </c>
      <c r="S461" s="130" t="s">
        <v>1191</v>
      </c>
      <c r="T461" s="130" t="s">
        <v>1321</v>
      </c>
      <c r="U461" s="130">
        <v>43056</v>
      </c>
      <c r="V461" s="131">
        <v>0</v>
      </c>
      <c r="W461" s="131">
        <v>43056</v>
      </c>
      <c r="X461" s="131">
        <v>43056</v>
      </c>
      <c r="Y461" s="131">
        <v>0</v>
      </c>
      <c r="Z461" s="131">
        <v>43056</v>
      </c>
      <c r="AA461" s="131">
        <v>0</v>
      </c>
      <c r="AB461" s="131">
        <v>17994.28</v>
      </c>
      <c r="AC461" s="131">
        <v>25061.72</v>
      </c>
      <c r="AD461" s="131">
        <v>17994.28</v>
      </c>
      <c r="AE461" s="132">
        <v>25061.72</v>
      </c>
    </row>
    <row r="462" spans="1:31" x14ac:dyDescent="0.2">
      <c r="A462" s="133">
        <v>85</v>
      </c>
      <c r="B462" s="133" t="s">
        <v>1564</v>
      </c>
      <c r="C462" s="133" t="s">
        <v>1199</v>
      </c>
      <c r="D462" s="133" t="s">
        <v>1565</v>
      </c>
      <c r="E462" s="133" t="s">
        <v>1201</v>
      </c>
      <c r="F462" s="133" t="s">
        <v>1117</v>
      </c>
      <c r="G462" s="133" t="s">
        <v>1276</v>
      </c>
      <c r="H462" s="133" t="s">
        <v>1277</v>
      </c>
      <c r="I462" s="133" t="s">
        <v>1278</v>
      </c>
      <c r="J462" s="130" t="s">
        <v>1283</v>
      </c>
      <c r="K462" s="130" t="s">
        <v>1284</v>
      </c>
      <c r="L462" s="130" t="s">
        <v>1566</v>
      </c>
      <c r="M462" s="130" t="s">
        <v>1567</v>
      </c>
      <c r="N462" s="130" t="s">
        <v>1568</v>
      </c>
      <c r="O462" s="130" t="s">
        <v>1569</v>
      </c>
      <c r="P462" s="130" t="s">
        <v>1570</v>
      </c>
      <c r="Q462" s="130" t="s">
        <v>1127</v>
      </c>
      <c r="R462" s="130" t="s">
        <v>1191</v>
      </c>
      <c r="S462" s="130" t="s">
        <v>1191</v>
      </c>
      <c r="T462" s="130" t="s">
        <v>1321</v>
      </c>
      <c r="U462" s="130">
        <v>201360</v>
      </c>
      <c r="V462" s="131">
        <v>0</v>
      </c>
      <c r="W462" s="131">
        <v>201360</v>
      </c>
      <c r="X462" s="131">
        <v>201360</v>
      </c>
      <c r="Y462" s="131">
        <v>0</v>
      </c>
      <c r="Z462" s="131">
        <v>201360</v>
      </c>
      <c r="AA462" s="131">
        <v>0</v>
      </c>
      <c r="AB462" s="131">
        <v>79886.179999999993</v>
      </c>
      <c r="AC462" s="131">
        <v>121473.82</v>
      </c>
      <c r="AD462" s="131">
        <v>79886.179999999993</v>
      </c>
      <c r="AE462" s="132">
        <v>121473.82</v>
      </c>
    </row>
    <row r="463" spans="1:31" x14ac:dyDescent="0.2">
      <c r="A463" s="133">
        <v>85</v>
      </c>
      <c r="B463" s="133" t="s">
        <v>1564</v>
      </c>
      <c r="C463" s="133" t="s">
        <v>1199</v>
      </c>
      <c r="D463" s="133" t="s">
        <v>1565</v>
      </c>
      <c r="E463" s="133" t="s">
        <v>1201</v>
      </c>
      <c r="F463" s="133" t="s">
        <v>1117</v>
      </c>
      <c r="G463" s="133" t="s">
        <v>1276</v>
      </c>
      <c r="H463" s="133" t="s">
        <v>1277</v>
      </c>
      <c r="I463" s="130" t="s">
        <v>1285</v>
      </c>
      <c r="J463" s="130" t="s">
        <v>1286</v>
      </c>
      <c r="K463" s="130" t="s">
        <v>1287</v>
      </c>
      <c r="L463" s="130" t="s">
        <v>1566</v>
      </c>
      <c r="M463" s="130" t="s">
        <v>1567</v>
      </c>
      <c r="N463" s="130" t="s">
        <v>1568</v>
      </c>
      <c r="O463" s="130" t="s">
        <v>1569</v>
      </c>
      <c r="P463" s="130" t="s">
        <v>1570</v>
      </c>
      <c r="Q463" s="130" t="s">
        <v>1127</v>
      </c>
      <c r="R463" s="130" t="s">
        <v>1191</v>
      </c>
      <c r="S463" s="130" t="s">
        <v>1191</v>
      </c>
      <c r="T463" s="130" t="s">
        <v>1321</v>
      </c>
      <c r="U463" s="130">
        <v>108292</v>
      </c>
      <c r="V463" s="131">
        <v>8400</v>
      </c>
      <c r="W463" s="131">
        <v>116692</v>
      </c>
      <c r="X463" s="131">
        <v>116692</v>
      </c>
      <c r="Y463" s="131">
        <v>0</v>
      </c>
      <c r="Z463" s="131">
        <v>116692</v>
      </c>
      <c r="AA463" s="131">
        <v>0</v>
      </c>
      <c r="AB463" s="131">
        <v>43805.21</v>
      </c>
      <c r="AC463" s="131">
        <v>72886.790000000008</v>
      </c>
      <c r="AD463" s="131">
        <v>43805.21</v>
      </c>
      <c r="AE463" s="132">
        <v>72886.790000000008</v>
      </c>
    </row>
    <row r="464" spans="1:31" x14ac:dyDescent="0.2">
      <c r="A464" s="133">
        <v>85</v>
      </c>
      <c r="B464" s="133" t="s">
        <v>1564</v>
      </c>
      <c r="C464" s="133" t="s">
        <v>1199</v>
      </c>
      <c r="D464" s="133" t="s">
        <v>1565</v>
      </c>
      <c r="E464" s="133" t="s">
        <v>1201</v>
      </c>
      <c r="F464" s="133" t="s">
        <v>1117</v>
      </c>
      <c r="G464" s="133" t="s">
        <v>1276</v>
      </c>
      <c r="H464" s="133" t="s">
        <v>1277</v>
      </c>
      <c r="I464" s="130" t="s">
        <v>1288</v>
      </c>
      <c r="J464" s="130" t="s">
        <v>1289</v>
      </c>
      <c r="K464" s="130" t="s">
        <v>1290</v>
      </c>
      <c r="L464" s="130" t="s">
        <v>1566</v>
      </c>
      <c r="M464" s="130" t="s">
        <v>1567</v>
      </c>
      <c r="N464" s="130" t="s">
        <v>1568</v>
      </c>
      <c r="O464" s="130" t="s">
        <v>1569</v>
      </c>
      <c r="P464" s="130" t="s">
        <v>1570</v>
      </c>
      <c r="Q464" s="130" t="s">
        <v>1127</v>
      </c>
      <c r="R464" s="130" t="s">
        <v>1191</v>
      </c>
      <c r="S464" s="130" t="s">
        <v>1191</v>
      </c>
      <c r="T464" s="130" t="s">
        <v>1321</v>
      </c>
      <c r="U464" s="130">
        <v>8800</v>
      </c>
      <c r="V464" s="131">
        <v>0</v>
      </c>
      <c r="W464" s="131">
        <v>8800</v>
      </c>
      <c r="X464" s="131">
        <v>8800</v>
      </c>
      <c r="Y464" s="131">
        <v>0</v>
      </c>
      <c r="Z464" s="131">
        <v>8800</v>
      </c>
      <c r="AA464" s="131">
        <v>0</v>
      </c>
      <c r="AB464" s="131">
        <v>0</v>
      </c>
      <c r="AC464" s="131">
        <v>8800</v>
      </c>
      <c r="AD464" s="131">
        <v>0</v>
      </c>
      <c r="AE464" s="132">
        <v>8800</v>
      </c>
    </row>
    <row r="465" spans="1:31" x14ac:dyDescent="0.2">
      <c r="A465" s="133">
        <v>85</v>
      </c>
      <c r="B465" s="133" t="s">
        <v>1564</v>
      </c>
      <c r="C465" s="133" t="s">
        <v>1199</v>
      </c>
      <c r="D465" s="133" t="s">
        <v>1565</v>
      </c>
      <c r="E465" s="133" t="s">
        <v>1201</v>
      </c>
      <c r="F465" s="133" t="s">
        <v>1117</v>
      </c>
      <c r="G465" s="133" t="s">
        <v>1276</v>
      </c>
      <c r="H465" s="133" t="s">
        <v>1277</v>
      </c>
      <c r="I465" s="133" t="s">
        <v>1288</v>
      </c>
      <c r="J465" s="133" t="s">
        <v>1289</v>
      </c>
      <c r="K465" s="130" t="s">
        <v>1291</v>
      </c>
      <c r="L465" s="130" t="s">
        <v>1566</v>
      </c>
      <c r="M465" s="130" t="s">
        <v>1567</v>
      </c>
      <c r="N465" s="130" t="s">
        <v>1568</v>
      </c>
      <c r="O465" s="130" t="s">
        <v>1569</v>
      </c>
      <c r="P465" s="130" t="s">
        <v>1570</v>
      </c>
      <c r="Q465" s="130" t="s">
        <v>1127</v>
      </c>
      <c r="R465" s="130" t="s">
        <v>1191</v>
      </c>
      <c r="S465" s="130" t="s">
        <v>1191</v>
      </c>
      <c r="T465" s="130" t="s">
        <v>1321</v>
      </c>
      <c r="U465" s="130">
        <v>4000</v>
      </c>
      <c r="V465" s="131">
        <v>0</v>
      </c>
      <c r="W465" s="131">
        <v>4000</v>
      </c>
      <c r="X465" s="131">
        <v>4000</v>
      </c>
      <c r="Y465" s="131">
        <v>0</v>
      </c>
      <c r="Z465" s="131">
        <v>4000</v>
      </c>
      <c r="AA465" s="131">
        <v>0</v>
      </c>
      <c r="AB465" s="131">
        <v>4000</v>
      </c>
      <c r="AC465" s="131">
        <v>0</v>
      </c>
      <c r="AD465" s="131">
        <v>4000</v>
      </c>
      <c r="AE465" s="132">
        <v>0</v>
      </c>
    </row>
    <row r="466" spans="1:31" x14ac:dyDescent="0.2">
      <c r="A466" s="133">
        <v>85</v>
      </c>
      <c r="B466" s="133" t="s">
        <v>1564</v>
      </c>
      <c r="C466" s="133" t="s">
        <v>1199</v>
      </c>
      <c r="D466" s="133" t="s">
        <v>1565</v>
      </c>
      <c r="E466" s="133" t="s">
        <v>1201</v>
      </c>
      <c r="F466" s="133" t="s">
        <v>1117</v>
      </c>
      <c r="G466" s="133" t="s">
        <v>1276</v>
      </c>
      <c r="H466" s="133" t="s">
        <v>1277</v>
      </c>
      <c r="I466" s="133" t="s">
        <v>1288</v>
      </c>
      <c r="J466" s="133" t="s">
        <v>1289</v>
      </c>
      <c r="K466" s="130" t="s">
        <v>1292</v>
      </c>
      <c r="L466" s="130" t="s">
        <v>1566</v>
      </c>
      <c r="M466" s="130" t="s">
        <v>1567</v>
      </c>
      <c r="N466" s="130" t="s">
        <v>1568</v>
      </c>
      <c r="O466" s="130" t="s">
        <v>1569</v>
      </c>
      <c r="P466" s="130" t="s">
        <v>1570</v>
      </c>
      <c r="Q466" s="130" t="s">
        <v>1127</v>
      </c>
      <c r="R466" s="130" t="s">
        <v>1191</v>
      </c>
      <c r="S466" s="130" t="s">
        <v>1191</v>
      </c>
      <c r="T466" s="130" t="s">
        <v>1321</v>
      </c>
      <c r="U466" s="130">
        <v>4200</v>
      </c>
      <c r="V466" s="131">
        <v>0</v>
      </c>
      <c r="W466" s="131">
        <v>4200</v>
      </c>
      <c r="X466" s="131">
        <v>4200</v>
      </c>
      <c r="Y466" s="131">
        <v>0</v>
      </c>
      <c r="Z466" s="131">
        <v>4200</v>
      </c>
      <c r="AA466" s="131">
        <v>0</v>
      </c>
      <c r="AB466" s="131">
        <v>0</v>
      </c>
      <c r="AC466" s="131">
        <v>4200</v>
      </c>
      <c r="AD466" s="131">
        <v>0</v>
      </c>
      <c r="AE466" s="132">
        <v>4200</v>
      </c>
    </row>
    <row r="467" spans="1:31" x14ac:dyDescent="0.2">
      <c r="A467" s="133">
        <v>85</v>
      </c>
      <c r="B467" s="133" t="s">
        <v>1564</v>
      </c>
      <c r="C467" s="133" t="s">
        <v>1199</v>
      </c>
      <c r="D467" s="133" t="s">
        <v>1565</v>
      </c>
      <c r="E467" s="133" t="s">
        <v>1201</v>
      </c>
      <c r="F467" s="133" t="s">
        <v>1117</v>
      </c>
      <c r="G467" s="133" t="s">
        <v>1276</v>
      </c>
      <c r="H467" s="130" t="s">
        <v>1293</v>
      </c>
      <c r="I467" s="130" t="s">
        <v>1294</v>
      </c>
      <c r="J467" s="130" t="s">
        <v>1295</v>
      </c>
      <c r="K467" s="130" t="s">
        <v>1296</v>
      </c>
      <c r="L467" s="130" t="s">
        <v>1566</v>
      </c>
      <c r="M467" s="130" t="s">
        <v>1567</v>
      </c>
      <c r="N467" s="130" t="s">
        <v>1568</v>
      </c>
      <c r="O467" s="130" t="s">
        <v>1569</v>
      </c>
      <c r="P467" s="130" t="s">
        <v>1570</v>
      </c>
      <c r="Q467" s="130" t="s">
        <v>1127</v>
      </c>
      <c r="R467" s="130" t="s">
        <v>1191</v>
      </c>
      <c r="S467" s="130" t="s">
        <v>1191</v>
      </c>
      <c r="T467" s="130" t="s">
        <v>1321</v>
      </c>
      <c r="U467" s="130">
        <v>5720</v>
      </c>
      <c r="V467" s="131">
        <v>0</v>
      </c>
      <c r="W467" s="131">
        <v>5720</v>
      </c>
      <c r="X467" s="131">
        <v>3128</v>
      </c>
      <c r="Y467" s="131">
        <v>2592</v>
      </c>
      <c r="Z467" s="131">
        <v>3128</v>
      </c>
      <c r="AA467" s="131">
        <v>2592</v>
      </c>
      <c r="AB467" s="131">
        <v>3128</v>
      </c>
      <c r="AC467" s="131">
        <v>2592</v>
      </c>
      <c r="AD467" s="131">
        <v>0</v>
      </c>
      <c r="AE467" s="132">
        <v>5720</v>
      </c>
    </row>
    <row r="468" spans="1:31" x14ac:dyDescent="0.2">
      <c r="A468" s="133">
        <v>85</v>
      </c>
      <c r="B468" s="133" t="s">
        <v>1564</v>
      </c>
      <c r="C468" s="133" t="s">
        <v>1199</v>
      </c>
      <c r="D468" s="133" t="s">
        <v>1565</v>
      </c>
      <c r="E468" s="133" t="s">
        <v>1201</v>
      </c>
      <c r="F468" s="133" t="s">
        <v>1117</v>
      </c>
      <c r="G468" s="133" t="s">
        <v>1276</v>
      </c>
      <c r="H468" s="130" t="s">
        <v>1297</v>
      </c>
      <c r="I468" s="130" t="s">
        <v>1298</v>
      </c>
      <c r="J468" s="130" t="s">
        <v>1298</v>
      </c>
      <c r="K468" s="130" t="s">
        <v>1299</v>
      </c>
      <c r="L468" s="130" t="s">
        <v>1566</v>
      </c>
      <c r="M468" s="130" t="s">
        <v>1567</v>
      </c>
      <c r="N468" s="130" t="s">
        <v>1568</v>
      </c>
      <c r="O468" s="130" t="s">
        <v>1569</v>
      </c>
      <c r="P468" s="130" t="s">
        <v>1570</v>
      </c>
      <c r="Q468" s="130" t="s">
        <v>1127</v>
      </c>
      <c r="R468" s="130" t="s">
        <v>1191</v>
      </c>
      <c r="S468" s="130" t="s">
        <v>1191</v>
      </c>
      <c r="T468" s="130" t="s">
        <v>1321</v>
      </c>
      <c r="U468" s="130">
        <v>8068</v>
      </c>
      <c r="V468" s="131">
        <v>294</v>
      </c>
      <c r="W468" s="131">
        <v>8362</v>
      </c>
      <c r="X468" s="131">
        <v>8362</v>
      </c>
      <c r="Y468" s="131">
        <v>0</v>
      </c>
      <c r="Z468" s="131">
        <v>8362</v>
      </c>
      <c r="AA468" s="131">
        <v>0</v>
      </c>
      <c r="AB468" s="131">
        <v>8008</v>
      </c>
      <c r="AC468" s="131">
        <v>354</v>
      </c>
      <c r="AD468" s="131">
        <v>8008</v>
      </c>
      <c r="AE468" s="132">
        <v>354</v>
      </c>
    </row>
    <row r="469" spans="1:31" x14ac:dyDescent="0.2">
      <c r="A469" s="133">
        <v>85</v>
      </c>
      <c r="B469" s="133" t="s">
        <v>1564</v>
      </c>
      <c r="C469" s="133" t="s">
        <v>1199</v>
      </c>
      <c r="D469" s="133" t="s">
        <v>1565</v>
      </c>
      <c r="E469" s="133" t="s">
        <v>1201</v>
      </c>
      <c r="F469" s="133" t="s">
        <v>1117</v>
      </c>
      <c r="G469" s="133" t="s">
        <v>1276</v>
      </c>
      <c r="H469" s="133" t="s">
        <v>1297</v>
      </c>
      <c r="I469" s="133" t="s">
        <v>1298</v>
      </c>
      <c r="J469" s="133" t="s">
        <v>1298</v>
      </c>
      <c r="K469" s="130" t="s">
        <v>1300</v>
      </c>
      <c r="L469" s="130" t="s">
        <v>1566</v>
      </c>
      <c r="M469" s="130" t="s">
        <v>1567</v>
      </c>
      <c r="N469" s="130" t="s">
        <v>1568</v>
      </c>
      <c r="O469" s="130" t="s">
        <v>1569</v>
      </c>
      <c r="P469" s="130" t="s">
        <v>1570</v>
      </c>
      <c r="Q469" s="130" t="s">
        <v>1127</v>
      </c>
      <c r="R469" s="130" t="s">
        <v>1191</v>
      </c>
      <c r="S469" s="130" t="s">
        <v>1191</v>
      </c>
      <c r="T469" s="130" t="s">
        <v>1321</v>
      </c>
      <c r="U469" s="130">
        <v>8613</v>
      </c>
      <c r="V469" s="131">
        <v>1890</v>
      </c>
      <c r="W469" s="131">
        <v>10503</v>
      </c>
      <c r="X469" s="131">
        <v>10503</v>
      </c>
      <c r="Y469" s="131">
        <v>0</v>
      </c>
      <c r="Z469" s="131">
        <v>10503</v>
      </c>
      <c r="AA469" s="131">
        <v>0</v>
      </c>
      <c r="AB469" s="131">
        <v>3977</v>
      </c>
      <c r="AC469" s="131">
        <v>6526</v>
      </c>
      <c r="AD469" s="131">
        <v>3977</v>
      </c>
      <c r="AE469" s="132">
        <v>6526</v>
      </c>
    </row>
    <row r="470" spans="1:31" x14ac:dyDescent="0.2">
      <c r="A470" s="133">
        <v>85</v>
      </c>
      <c r="B470" s="133" t="s">
        <v>1564</v>
      </c>
      <c r="C470" s="133" t="s">
        <v>1199</v>
      </c>
      <c r="D470" s="133" t="s">
        <v>1565</v>
      </c>
      <c r="E470" s="133" t="s">
        <v>1201</v>
      </c>
      <c r="F470" s="133" t="s">
        <v>1117</v>
      </c>
      <c r="G470" s="133" t="s">
        <v>1276</v>
      </c>
      <c r="H470" s="130" t="s">
        <v>1514</v>
      </c>
      <c r="I470" s="130" t="s">
        <v>1515</v>
      </c>
      <c r="J470" s="130" t="s">
        <v>1515</v>
      </c>
      <c r="K470" s="130" t="s">
        <v>1516</v>
      </c>
      <c r="L470" s="130" t="s">
        <v>1566</v>
      </c>
      <c r="M470" s="130" t="s">
        <v>1567</v>
      </c>
      <c r="N470" s="130" t="s">
        <v>1568</v>
      </c>
      <c r="O470" s="130" t="s">
        <v>1569</v>
      </c>
      <c r="P470" s="130" t="s">
        <v>1570</v>
      </c>
      <c r="Q470" s="130" t="s">
        <v>1127</v>
      </c>
      <c r="R470" s="130" t="s">
        <v>1191</v>
      </c>
      <c r="S470" s="130" t="s">
        <v>1191</v>
      </c>
      <c r="T470" s="130" t="s">
        <v>1321</v>
      </c>
      <c r="U470" s="130">
        <v>0</v>
      </c>
      <c r="V470" s="131">
        <v>29749</v>
      </c>
      <c r="W470" s="131">
        <v>29749</v>
      </c>
      <c r="X470" s="131">
        <v>29749</v>
      </c>
      <c r="Y470" s="131">
        <v>0</v>
      </c>
      <c r="Z470" s="131">
        <v>29749</v>
      </c>
      <c r="AA470" s="131">
        <v>0</v>
      </c>
      <c r="AB470" s="131">
        <v>29749</v>
      </c>
      <c r="AC470" s="131">
        <v>0</v>
      </c>
      <c r="AD470" s="131">
        <v>29749</v>
      </c>
      <c r="AE470" s="132">
        <v>0</v>
      </c>
    </row>
    <row r="471" spans="1:31" x14ac:dyDescent="0.2">
      <c r="A471" s="133">
        <v>85</v>
      </c>
      <c r="B471" s="133" t="s">
        <v>1564</v>
      </c>
      <c r="C471" s="133" t="s">
        <v>1199</v>
      </c>
      <c r="D471" s="133" t="s">
        <v>1565</v>
      </c>
      <c r="E471" s="133" t="s">
        <v>1201</v>
      </c>
      <c r="F471" s="133" t="s">
        <v>1117</v>
      </c>
      <c r="G471" s="133" t="s">
        <v>1276</v>
      </c>
      <c r="H471" s="133" t="s">
        <v>1514</v>
      </c>
      <c r="I471" s="133" t="s">
        <v>1515</v>
      </c>
      <c r="J471" s="133" t="s">
        <v>1515</v>
      </c>
      <c r="K471" s="130" t="s">
        <v>1518</v>
      </c>
      <c r="L471" s="130" t="s">
        <v>1566</v>
      </c>
      <c r="M471" s="130" t="s">
        <v>1567</v>
      </c>
      <c r="N471" s="130" t="s">
        <v>1568</v>
      </c>
      <c r="O471" s="130" t="s">
        <v>1569</v>
      </c>
      <c r="P471" s="130" t="s">
        <v>1570</v>
      </c>
      <c r="Q471" s="130" t="s">
        <v>1127</v>
      </c>
      <c r="R471" s="130" t="s">
        <v>1191</v>
      </c>
      <c r="S471" s="130" t="s">
        <v>1191</v>
      </c>
      <c r="T471" s="130" t="s">
        <v>1321</v>
      </c>
      <c r="U471" s="130">
        <v>0</v>
      </c>
      <c r="V471" s="131">
        <v>2796</v>
      </c>
      <c r="W471" s="131">
        <v>2796</v>
      </c>
      <c r="X471" s="131">
        <v>2795.25</v>
      </c>
      <c r="Y471" s="131">
        <v>0.75</v>
      </c>
      <c r="Z471" s="131">
        <v>2795.25</v>
      </c>
      <c r="AA471" s="131">
        <v>0.75</v>
      </c>
      <c r="AB471" s="131">
        <v>2795.25</v>
      </c>
      <c r="AC471" s="131">
        <v>0.75</v>
      </c>
      <c r="AD471" s="131">
        <v>2795.25</v>
      </c>
      <c r="AE471" s="132">
        <v>0.75</v>
      </c>
    </row>
    <row r="472" spans="1:31" x14ac:dyDescent="0.2">
      <c r="A472" s="133">
        <v>85</v>
      </c>
      <c r="B472" s="133" t="s">
        <v>1564</v>
      </c>
      <c r="C472" s="133" t="s">
        <v>1199</v>
      </c>
      <c r="D472" s="133" t="s">
        <v>1565</v>
      </c>
      <c r="E472" s="133" t="s">
        <v>1201</v>
      </c>
      <c r="F472" s="133" t="s">
        <v>1117</v>
      </c>
      <c r="G472" s="130" t="s">
        <v>1233</v>
      </c>
      <c r="H472" s="130" t="s">
        <v>1234</v>
      </c>
      <c r="I472" s="130" t="s">
        <v>1850</v>
      </c>
      <c r="J472" s="130" t="s">
        <v>1851</v>
      </c>
      <c r="K472" s="130" t="s">
        <v>1852</v>
      </c>
      <c r="L472" s="130" t="s">
        <v>1566</v>
      </c>
      <c r="M472" s="130" t="s">
        <v>1567</v>
      </c>
      <c r="N472" s="130" t="s">
        <v>1568</v>
      </c>
      <c r="O472" s="130" t="s">
        <v>1569</v>
      </c>
      <c r="P472" s="130" t="s">
        <v>1570</v>
      </c>
      <c r="Q472" s="130" t="s">
        <v>1127</v>
      </c>
      <c r="R472" s="130" t="s">
        <v>1191</v>
      </c>
      <c r="S472" s="130" t="s">
        <v>1191</v>
      </c>
      <c r="T472" s="130" t="s">
        <v>1321</v>
      </c>
      <c r="U472" s="130">
        <v>0</v>
      </c>
      <c r="V472" s="131">
        <v>3000</v>
      </c>
      <c r="W472" s="131">
        <v>3000</v>
      </c>
      <c r="X472" s="131">
        <v>3000</v>
      </c>
      <c r="Y472" s="131">
        <v>0</v>
      </c>
      <c r="Z472" s="131">
        <v>3000</v>
      </c>
      <c r="AA472" s="131">
        <v>0</v>
      </c>
      <c r="AB472" s="131">
        <v>3000</v>
      </c>
      <c r="AC472" s="131">
        <v>0</v>
      </c>
      <c r="AD472" s="131">
        <v>3000</v>
      </c>
      <c r="AE472" s="132">
        <v>0</v>
      </c>
    </row>
    <row r="473" spans="1:31" x14ac:dyDescent="0.2">
      <c r="A473" s="133">
        <v>85</v>
      </c>
      <c r="B473" s="133" t="s">
        <v>1564</v>
      </c>
      <c r="C473" s="133" t="s">
        <v>1199</v>
      </c>
      <c r="D473" s="133" t="s">
        <v>1565</v>
      </c>
      <c r="E473" s="133" t="s">
        <v>1201</v>
      </c>
      <c r="F473" s="133" t="s">
        <v>1117</v>
      </c>
      <c r="G473" s="133" t="s">
        <v>1233</v>
      </c>
      <c r="H473" s="133" t="s">
        <v>1234</v>
      </c>
      <c r="I473" s="130" t="s">
        <v>1235</v>
      </c>
      <c r="J473" s="130" t="s">
        <v>1571</v>
      </c>
      <c r="K473" s="130" t="s">
        <v>1572</v>
      </c>
      <c r="L473" s="130" t="s">
        <v>1566</v>
      </c>
      <c r="M473" s="130" t="s">
        <v>1567</v>
      </c>
      <c r="N473" s="130" t="s">
        <v>1568</v>
      </c>
      <c r="O473" s="130" t="s">
        <v>1569</v>
      </c>
      <c r="P473" s="130" t="s">
        <v>1570</v>
      </c>
      <c r="Q473" s="130" t="s">
        <v>1127</v>
      </c>
      <c r="R473" s="130" t="s">
        <v>1191</v>
      </c>
      <c r="S473" s="130" t="s">
        <v>1191</v>
      </c>
      <c r="T473" s="130" t="s">
        <v>1321</v>
      </c>
      <c r="U473" s="130">
        <v>207330</v>
      </c>
      <c r="V473" s="131">
        <v>0</v>
      </c>
      <c r="W473" s="131">
        <v>207330</v>
      </c>
      <c r="X473" s="131">
        <v>62963.6</v>
      </c>
      <c r="Y473" s="131">
        <v>144366.39999999999</v>
      </c>
      <c r="Z473" s="131">
        <v>57092</v>
      </c>
      <c r="AA473" s="131">
        <v>150238</v>
      </c>
      <c r="AB473" s="131">
        <v>57092</v>
      </c>
      <c r="AC473" s="131">
        <v>150238</v>
      </c>
      <c r="AD473" s="131">
        <v>28882</v>
      </c>
      <c r="AE473" s="132">
        <v>178448</v>
      </c>
    </row>
    <row r="474" spans="1:31" x14ac:dyDescent="0.2">
      <c r="A474" s="133">
        <v>85</v>
      </c>
      <c r="B474" s="133" t="s">
        <v>1564</v>
      </c>
      <c r="C474" s="133" t="s">
        <v>1199</v>
      </c>
      <c r="D474" s="133" t="s">
        <v>1565</v>
      </c>
      <c r="E474" s="133" t="s">
        <v>1201</v>
      </c>
      <c r="F474" s="133" t="s">
        <v>1117</v>
      </c>
      <c r="G474" s="130" t="s">
        <v>1202</v>
      </c>
      <c r="H474" s="130" t="s">
        <v>1216</v>
      </c>
      <c r="I474" s="130" t="s">
        <v>1301</v>
      </c>
      <c r="J474" s="130" t="s">
        <v>1301</v>
      </c>
      <c r="K474" s="130" t="s">
        <v>1302</v>
      </c>
      <c r="L474" s="130" t="s">
        <v>1566</v>
      </c>
      <c r="M474" s="130" t="s">
        <v>1567</v>
      </c>
      <c r="N474" s="130" t="s">
        <v>1568</v>
      </c>
      <c r="O474" s="130" t="s">
        <v>1569</v>
      </c>
      <c r="P474" s="130" t="s">
        <v>1570</v>
      </c>
      <c r="Q474" s="130" t="s">
        <v>1127</v>
      </c>
      <c r="R474" s="130" t="s">
        <v>1191</v>
      </c>
      <c r="S474" s="130" t="s">
        <v>1191</v>
      </c>
      <c r="T474" s="130" t="s">
        <v>1321</v>
      </c>
      <c r="U474" s="130">
        <v>115647</v>
      </c>
      <c r="V474" s="131">
        <v>-15000</v>
      </c>
      <c r="W474" s="131">
        <v>100647</v>
      </c>
      <c r="X474" s="131">
        <v>48117.3</v>
      </c>
      <c r="Y474" s="131">
        <v>52529.7</v>
      </c>
      <c r="Z474" s="131">
        <v>48117.3</v>
      </c>
      <c r="AA474" s="131">
        <v>52529.7</v>
      </c>
      <c r="AB474" s="131">
        <v>48117.3</v>
      </c>
      <c r="AC474" s="131">
        <v>52529.7</v>
      </c>
      <c r="AD474" s="131">
        <v>33716.300000000003</v>
      </c>
      <c r="AE474" s="132">
        <v>66930.7</v>
      </c>
    </row>
    <row r="475" spans="1:31" x14ac:dyDescent="0.2">
      <c r="A475" s="133">
        <v>85</v>
      </c>
      <c r="B475" s="133" t="s">
        <v>1564</v>
      </c>
      <c r="C475" s="133" t="s">
        <v>1199</v>
      </c>
      <c r="D475" s="133" t="s">
        <v>1565</v>
      </c>
      <c r="E475" s="133" t="s">
        <v>1201</v>
      </c>
      <c r="F475" s="133" t="s">
        <v>1117</v>
      </c>
      <c r="G475" s="133" t="s">
        <v>1202</v>
      </c>
      <c r="H475" s="133" t="s">
        <v>1216</v>
      </c>
      <c r="I475" s="130" t="s">
        <v>1217</v>
      </c>
      <c r="J475" s="130" t="s">
        <v>1218</v>
      </c>
      <c r="K475" s="130" t="s">
        <v>1219</v>
      </c>
      <c r="L475" s="130" t="s">
        <v>1566</v>
      </c>
      <c r="M475" s="130" t="s">
        <v>1567</v>
      </c>
      <c r="N475" s="130" t="s">
        <v>1568</v>
      </c>
      <c r="O475" s="130" t="s">
        <v>1569</v>
      </c>
      <c r="P475" s="130" t="s">
        <v>1570</v>
      </c>
      <c r="Q475" s="130" t="s">
        <v>1127</v>
      </c>
      <c r="R475" s="130" t="s">
        <v>1191</v>
      </c>
      <c r="S475" s="130" t="s">
        <v>1191</v>
      </c>
      <c r="T475" s="130" t="s">
        <v>1321</v>
      </c>
      <c r="U475" s="130">
        <v>24530</v>
      </c>
      <c r="V475" s="131">
        <v>-4000</v>
      </c>
      <c r="W475" s="131">
        <v>20530</v>
      </c>
      <c r="X475" s="131">
        <v>14392</v>
      </c>
      <c r="Y475" s="131">
        <v>6138</v>
      </c>
      <c r="Z475" s="131">
        <v>14392</v>
      </c>
      <c r="AA475" s="131">
        <v>6138</v>
      </c>
      <c r="AB475" s="131">
        <v>14392</v>
      </c>
      <c r="AC475" s="131">
        <v>6138</v>
      </c>
      <c r="AD475" s="131">
        <v>7022</v>
      </c>
      <c r="AE475" s="132">
        <v>13508</v>
      </c>
    </row>
    <row r="476" spans="1:31" x14ac:dyDescent="0.2">
      <c r="A476" s="133">
        <v>85</v>
      </c>
      <c r="B476" s="133" t="s">
        <v>1564</v>
      </c>
      <c r="C476" s="133" t="s">
        <v>1199</v>
      </c>
      <c r="D476" s="133" t="s">
        <v>1565</v>
      </c>
      <c r="E476" s="133" t="s">
        <v>1201</v>
      </c>
      <c r="F476" s="133" t="s">
        <v>1117</v>
      </c>
      <c r="G476" s="133" t="s">
        <v>1202</v>
      </c>
      <c r="H476" s="133" t="s">
        <v>1216</v>
      </c>
      <c r="I476" s="133" t="s">
        <v>1217</v>
      </c>
      <c r="J476" s="133" t="s">
        <v>1218</v>
      </c>
      <c r="K476" s="130" t="s">
        <v>1573</v>
      </c>
      <c r="L476" s="130" t="s">
        <v>1566</v>
      </c>
      <c r="M476" s="130" t="s">
        <v>1567</v>
      </c>
      <c r="N476" s="130" t="s">
        <v>1568</v>
      </c>
      <c r="O476" s="130" t="s">
        <v>1569</v>
      </c>
      <c r="P476" s="130" t="s">
        <v>1570</v>
      </c>
      <c r="Q476" s="130" t="s">
        <v>1127</v>
      </c>
      <c r="R476" s="130" t="s">
        <v>1191</v>
      </c>
      <c r="S476" s="130" t="s">
        <v>1191</v>
      </c>
      <c r="T476" s="130" t="s">
        <v>1321</v>
      </c>
      <c r="U476" s="130">
        <v>500</v>
      </c>
      <c r="V476" s="131">
        <v>0</v>
      </c>
      <c r="W476" s="131">
        <v>500</v>
      </c>
      <c r="X476" s="131">
        <v>0</v>
      </c>
      <c r="Y476" s="131">
        <v>500</v>
      </c>
      <c r="Z476" s="131">
        <v>0</v>
      </c>
      <c r="AA476" s="131">
        <v>500</v>
      </c>
      <c r="AB476" s="131">
        <v>0</v>
      </c>
      <c r="AC476" s="131">
        <v>500</v>
      </c>
      <c r="AD476" s="131">
        <v>0</v>
      </c>
      <c r="AE476" s="132">
        <v>500</v>
      </c>
    </row>
    <row r="477" spans="1:31" x14ac:dyDescent="0.2">
      <c r="A477" s="133">
        <v>85</v>
      </c>
      <c r="B477" s="133" t="s">
        <v>1564</v>
      </c>
      <c r="C477" s="133" t="s">
        <v>1199</v>
      </c>
      <c r="D477" s="133" t="s">
        <v>1565</v>
      </c>
      <c r="E477" s="133" t="s">
        <v>1201</v>
      </c>
      <c r="F477" s="133" t="s">
        <v>1117</v>
      </c>
      <c r="G477" s="133" t="s">
        <v>1202</v>
      </c>
      <c r="H477" s="133" t="s">
        <v>1216</v>
      </c>
      <c r="I477" s="133" t="s">
        <v>1217</v>
      </c>
      <c r="J477" s="133" t="s">
        <v>1218</v>
      </c>
      <c r="K477" s="130" t="s">
        <v>1574</v>
      </c>
      <c r="L477" s="130" t="s">
        <v>1566</v>
      </c>
      <c r="M477" s="130" t="s">
        <v>1567</v>
      </c>
      <c r="N477" s="130" t="s">
        <v>1568</v>
      </c>
      <c r="O477" s="130" t="s">
        <v>1569</v>
      </c>
      <c r="P477" s="130" t="s">
        <v>1570</v>
      </c>
      <c r="Q477" s="130" t="s">
        <v>1127</v>
      </c>
      <c r="R477" s="130" t="s">
        <v>1191</v>
      </c>
      <c r="S477" s="130" t="s">
        <v>1191</v>
      </c>
      <c r="T477" s="130" t="s">
        <v>1321</v>
      </c>
      <c r="U477" s="130">
        <v>10520</v>
      </c>
      <c r="V477" s="131">
        <v>-4000</v>
      </c>
      <c r="W477" s="131">
        <v>6520</v>
      </c>
      <c r="X477" s="131">
        <v>0</v>
      </c>
      <c r="Y477" s="131">
        <v>6520</v>
      </c>
      <c r="Z477" s="131">
        <v>0</v>
      </c>
      <c r="AA477" s="131">
        <v>6520</v>
      </c>
      <c r="AB477" s="131">
        <v>0</v>
      </c>
      <c r="AC477" s="131">
        <v>6520</v>
      </c>
      <c r="AD477" s="131">
        <v>0</v>
      </c>
      <c r="AE477" s="132">
        <v>6520</v>
      </c>
    </row>
    <row r="478" spans="1:31" x14ac:dyDescent="0.2">
      <c r="A478" s="133">
        <v>85</v>
      </c>
      <c r="B478" s="133" t="s">
        <v>1564</v>
      </c>
      <c r="C478" s="133" t="s">
        <v>1199</v>
      </c>
      <c r="D478" s="133" t="s">
        <v>1565</v>
      </c>
      <c r="E478" s="133" t="s">
        <v>1201</v>
      </c>
      <c r="F478" s="133" t="s">
        <v>1117</v>
      </c>
      <c r="G478" s="133" t="s">
        <v>1202</v>
      </c>
      <c r="H478" s="133" t="s">
        <v>1216</v>
      </c>
      <c r="I478" s="130" t="s">
        <v>1242</v>
      </c>
      <c r="J478" s="130" t="s">
        <v>1243</v>
      </c>
      <c r="K478" s="130" t="s">
        <v>1303</v>
      </c>
      <c r="L478" s="130" t="s">
        <v>1566</v>
      </c>
      <c r="M478" s="130" t="s">
        <v>1567</v>
      </c>
      <c r="N478" s="130" t="s">
        <v>1568</v>
      </c>
      <c r="O478" s="130" t="s">
        <v>1569</v>
      </c>
      <c r="P478" s="130" t="s">
        <v>1570</v>
      </c>
      <c r="Q478" s="130" t="s">
        <v>1127</v>
      </c>
      <c r="R478" s="130" t="s">
        <v>1191</v>
      </c>
      <c r="S478" s="130" t="s">
        <v>1191</v>
      </c>
      <c r="T478" s="130" t="s">
        <v>1321</v>
      </c>
      <c r="U478" s="130">
        <v>8200</v>
      </c>
      <c r="V478" s="131">
        <v>0</v>
      </c>
      <c r="W478" s="131">
        <v>8200</v>
      </c>
      <c r="X478" s="131">
        <v>7236.15</v>
      </c>
      <c r="Y478" s="131">
        <v>963.85000000000036</v>
      </c>
      <c r="Z478" s="131">
        <v>7236.15</v>
      </c>
      <c r="AA478" s="131">
        <v>963.85000000000036</v>
      </c>
      <c r="AB478" s="131">
        <v>7236.15</v>
      </c>
      <c r="AC478" s="131">
        <v>963.85000000000036</v>
      </c>
      <c r="AD478" s="131">
        <v>0</v>
      </c>
      <c r="AE478" s="132">
        <v>8200</v>
      </c>
    </row>
    <row r="479" spans="1:31" x14ac:dyDescent="0.2">
      <c r="A479" s="133">
        <v>85</v>
      </c>
      <c r="B479" s="133" t="s">
        <v>1564</v>
      </c>
      <c r="C479" s="133" t="s">
        <v>1199</v>
      </c>
      <c r="D479" s="133" t="s">
        <v>1565</v>
      </c>
      <c r="E479" s="133" t="s">
        <v>1201</v>
      </c>
      <c r="F479" s="133" t="s">
        <v>1117</v>
      </c>
      <c r="G479" s="133" t="s">
        <v>1202</v>
      </c>
      <c r="H479" s="133" t="s">
        <v>1216</v>
      </c>
      <c r="I479" s="133" t="s">
        <v>1242</v>
      </c>
      <c r="J479" s="133" t="s">
        <v>1243</v>
      </c>
      <c r="K479" s="130" t="s">
        <v>1520</v>
      </c>
      <c r="L479" s="130" t="s">
        <v>1566</v>
      </c>
      <c r="M479" s="130" t="s">
        <v>1567</v>
      </c>
      <c r="N479" s="130" t="s">
        <v>1568</v>
      </c>
      <c r="O479" s="130" t="s">
        <v>1569</v>
      </c>
      <c r="P479" s="130" t="s">
        <v>1570</v>
      </c>
      <c r="Q479" s="130" t="s">
        <v>1127</v>
      </c>
      <c r="R479" s="130" t="s">
        <v>1191</v>
      </c>
      <c r="S479" s="130" t="s">
        <v>1191</v>
      </c>
      <c r="T479" s="130" t="s">
        <v>1321</v>
      </c>
      <c r="U479" s="130">
        <v>9600</v>
      </c>
      <c r="V479" s="131">
        <v>0</v>
      </c>
      <c r="W479" s="131">
        <v>9600</v>
      </c>
      <c r="X479" s="131">
        <v>4550</v>
      </c>
      <c r="Y479" s="131">
        <v>5050</v>
      </c>
      <c r="Z479" s="131">
        <v>4550</v>
      </c>
      <c r="AA479" s="131">
        <v>5050</v>
      </c>
      <c r="AB479" s="131">
        <v>4550</v>
      </c>
      <c r="AC479" s="131">
        <v>5050</v>
      </c>
      <c r="AD479" s="131">
        <v>4550</v>
      </c>
      <c r="AE479" s="132">
        <v>5050</v>
      </c>
    </row>
    <row r="480" spans="1:31" x14ac:dyDescent="0.2">
      <c r="A480" s="133">
        <v>85</v>
      </c>
      <c r="B480" s="133" t="s">
        <v>1564</v>
      </c>
      <c r="C480" s="133" t="s">
        <v>1199</v>
      </c>
      <c r="D480" s="133" t="s">
        <v>1565</v>
      </c>
      <c r="E480" s="133" t="s">
        <v>1201</v>
      </c>
      <c r="F480" s="133" t="s">
        <v>1117</v>
      </c>
      <c r="G480" s="133" t="s">
        <v>1202</v>
      </c>
      <c r="H480" s="133" t="s">
        <v>1216</v>
      </c>
      <c r="I480" s="133" t="s">
        <v>1242</v>
      </c>
      <c r="J480" s="133" t="s">
        <v>1243</v>
      </c>
      <c r="K480" s="130" t="s">
        <v>1244</v>
      </c>
      <c r="L480" s="130" t="s">
        <v>1566</v>
      </c>
      <c r="M480" s="130" t="s">
        <v>1567</v>
      </c>
      <c r="N480" s="130" t="s">
        <v>1568</v>
      </c>
      <c r="O480" s="130" t="s">
        <v>1569</v>
      </c>
      <c r="P480" s="130" t="s">
        <v>1570</v>
      </c>
      <c r="Q480" s="130" t="s">
        <v>1127</v>
      </c>
      <c r="R480" s="130" t="s">
        <v>1191</v>
      </c>
      <c r="S480" s="130" t="s">
        <v>1191</v>
      </c>
      <c r="T480" s="130" t="s">
        <v>1321</v>
      </c>
      <c r="U480" s="130">
        <v>150</v>
      </c>
      <c r="V480" s="131">
        <v>0</v>
      </c>
      <c r="W480" s="131">
        <v>150</v>
      </c>
      <c r="X480" s="131">
        <v>0</v>
      </c>
      <c r="Y480" s="131">
        <v>150</v>
      </c>
      <c r="Z480" s="131">
        <v>0</v>
      </c>
      <c r="AA480" s="131">
        <v>150</v>
      </c>
      <c r="AB480" s="131">
        <v>0</v>
      </c>
      <c r="AC480" s="131">
        <v>150</v>
      </c>
      <c r="AD480" s="131">
        <v>0</v>
      </c>
      <c r="AE480" s="132">
        <v>150</v>
      </c>
    </row>
    <row r="481" spans="1:31" x14ac:dyDescent="0.2">
      <c r="A481" s="133">
        <v>85</v>
      </c>
      <c r="B481" s="133" t="s">
        <v>1564</v>
      </c>
      <c r="C481" s="133" t="s">
        <v>1199</v>
      </c>
      <c r="D481" s="133" t="s">
        <v>1565</v>
      </c>
      <c r="E481" s="133" t="s">
        <v>1201</v>
      </c>
      <c r="F481" s="133" t="s">
        <v>1117</v>
      </c>
      <c r="G481" s="133" t="s">
        <v>1202</v>
      </c>
      <c r="H481" s="133" t="s">
        <v>1216</v>
      </c>
      <c r="I481" s="130" t="s">
        <v>1222</v>
      </c>
      <c r="J481" s="130" t="s">
        <v>1304</v>
      </c>
      <c r="K481" s="130" t="s">
        <v>1248</v>
      </c>
      <c r="L481" s="130" t="s">
        <v>1566</v>
      </c>
      <c r="M481" s="130" t="s">
        <v>1567</v>
      </c>
      <c r="N481" s="130" t="s">
        <v>1568</v>
      </c>
      <c r="O481" s="130" t="s">
        <v>1569</v>
      </c>
      <c r="P481" s="130" t="s">
        <v>1570</v>
      </c>
      <c r="Q481" s="130" t="s">
        <v>1127</v>
      </c>
      <c r="R481" s="130" t="s">
        <v>1191</v>
      </c>
      <c r="S481" s="130" t="s">
        <v>1191</v>
      </c>
      <c r="T481" s="130" t="s">
        <v>1321</v>
      </c>
      <c r="U481" s="130">
        <v>4700</v>
      </c>
      <c r="V481" s="131">
        <v>0</v>
      </c>
      <c r="W481" s="131">
        <v>4700</v>
      </c>
      <c r="X481" s="131">
        <v>0</v>
      </c>
      <c r="Y481" s="131">
        <v>4700</v>
      </c>
      <c r="Z481" s="131">
        <v>0</v>
      </c>
      <c r="AA481" s="131">
        <v>4700</v>
      </c>
      <c r="AB481" s="131">
        <v>0</v>
      </c>
      <c r="AC481" s="131">
        <v>4700</v>
      </c>
      <c r="AD481" s="131">
        <v>0</v>
      </c>
      <c r="AE481" s="132">
        <v>4700</v>
      </c>
    </row>
    <row r="482" spans="1:31" x14ac:dyDescent="0.2">
      <c r="A482" s="133">
        <v>85</v>
      </c>
      <c r="B482" s="133" t="s">
        <v>1564</v>
      </c>
      <c r="C482" s="133" t="s">
        <v>1199</v>
      </c>
      <c r="D482" s="133" t="s">
        <v>1565</v>
      </c>
      <c r="E482" s="133" t="s">
        <v>1201</v>
      </c>
      <c r="F482" s="133" t="s">
        <v>1117</v>
      </c>
      <c r="G482" s="133" t="s">
        <v>1202</v>
      </c>
      <c r="H482" s="133" t="s">
        <v>1216</v>
      </c>
      <c r="I482" s="133" t="s">
        <v>1222</v>
      </c>
      <c r="J482" s="133" t="s">
        <v>1304</v>
      </c>
      <c r="K482" s="130" t="s">
        <v>1305</v>
      </c>
      <c r="L482" s="130" t="s">
        <v>1566</v>
      </c>
      <c r="M482" s="130" t="s">
        <v>1567</v>
      </c>
      <c r="N482" s="130" t="s">
        <v>1568</v>
      </c>
      <c r="O482" s="130" t="s">
        <v>1569</v>
      </c>
      <c r="P482" s="130" t="s">
        <v>1570</v>
      </c>
      <c r="Q482" s="130" t="s">
        <v>1127</v>
      </c>
      <c r="R482" s="130" t="s">
        <v>1191</v>
      </c>
      <c r="S482" s="130" t="s">
        <v>1191</v>
      </c>
      <c r="T482" s="130" t="s">
        <v>1321</v>
      </c>
      <c r="U482" s="130">
        <v>10659</v>
      </c>
      <c r="V482" s="131">
        <v>-2000</v>
      </c>
      <c r="W482" s="131">
        <v>8659</v>
      </c>
      <c r="X482" s="131">
        <v>6249.5</v>
      </c>
      <c r="Y482" s="131">
        <v>2409.5</v>
      </c>
      <c r="Z482" s="131">
        <v>6171.5</v>
      </c>
      <c r="AA482" s="131">
        <v>2487.5</v>
      </c>
      <c r="AB482" s="131">
        <v>6171.5</v>
      </c>
      <c r="AC482" s="131">
        <v>2487.5</v>
      </c>
      <c r="AD482" s="131">
        <v>5109.5</v>
      </c>
      <c r="AE482" s="132">
        <v>3549.5</v>
      </c>
    </row>
    <row r="483" spans="1:31" x14ac:dyDescent="0.2">
      <c r="A483" s="133">
        <v>85</v>
      </c>
      <c r="B483" s="133" t="s">
        <v>1564</v>
      </c>
      <c r="C483" s="133" t="s">
        <v>1199</v>
      </c>
      <c r="D483" s="133" t="s">
        <v>1565</v>
      </c>
      <c r="E483" s="133" t="s">
        <v>1201</v>
      </c>
      <c r="F483" s="133" t="s">
        <v>1117</v>
      </c>
      <c r="G483" s="133" t="s">
        <v>1202</v>
      </c>
      <c r="H483" s="133" t="s">
        <v>1216</v>
      </c>
      <c r="I483" s="133" t="s">
        <v>1222</v>
      </c>
      <c r="J483" s="130" t="s">
        <v>1245</v>
      </c>
      <c r="K483" s="130" t="s">
        <v>1246</v>
      </c>
      <c r="L483" s="130" t="s">
        <v>1566</v>
      </c>
      <c r="M483" s="130" t="s">
        <v>1567</v>
      </c>
      <c r="N483" s="130" t="s">
        <v>1568</v>
      </c>
      <c r="O483" s="130" t="s">
        <v>1569</v>
      </c>
      <c r="P483" s="130" t="s">
        <v>1570</v>
      </c>
      <c r="Q483" s="130" t="s">
        <v>1127</v>
      </c>
      <c r="R483" s="130" t="s">
        <v>1191</v>
      </c>
      <c r="S483" s="130" t="s">
        <v>1191</v>
      </c>
      <c r="T483" s="130" t="s">
        <v>1321</v>
      </c>
      <c r="U483" s="130">
        <v>20100</v>
      </c>
      <c r="V483" s="131">
        <v>-4000</v>
      </c>
      <c r="W483" s="131">
        <v>16100</v>
      </c>
      <c r="X483" s="131">
        <v>9446</v>
      </c>
      <c r="Y483" s="131">
        <v>6654</v>
      </c>
      <c r="Z483" s="131">
        <v>9446</v>
      </c>
      <c r="AA483" s="131">
        <v>6654</v>
      </c>
      <c r="AB483" s="131">
        <v>9446</v>
      </c>
      <c r="AC483" s="131">
        <v>6654</v>
      </c>
      <c r="AD483" s="131">
        <v>7795</v>
      </c>
      <c r="AE483" s="132">
        <v>8305</v>
      </c>
    </row>
    <row r="484" spans="1:31" x14ac:dyDescent="0.2">
      <c r="A484" s="133">
        <v>85</v>
      </c>
      <c r="B484" s="133" t="s">
        <v>1564</v>
      </c>
      <c r="C484" s="133" t="s">
        <v>1199</v>
      </c>
      <c r="D484" s="133" t="s">
        <v>1565</v>
      </c>
      <c r="E484" s="133" t="s">
        <v>1201</v>
      </c>
      <c r="F484" s="133" t="s">
        <v>1117</v>
      </c>
      <c r="G484" s="133" t="s">
        <v>1202</v>
      </c>
      <c r="H484" s="133" t="s">
        <v>1216</v>
      </c>
      <c r="I484" s="133" t="s">
        <v>1222</v>
      </c>
      <c r="J484" s="133" t="s">
        <v>1245</v>
      </c>
      <c r="K484" s="130" t="s">
        <v>1575</v>
      </c>
      <c r="L484" s="130" t="s">
        <v>1566</v>
      </c>
      <c r="M484" s="130" t="s">
        <v>1567</v>
      </c>
      <c r="N484" s="130" t="s">
        <v>1568</v>
      </c>
      <c r="O484" s="130" t="s">
        <v>1569</v>
      </c>
      <c r="P484" s="130" t="s">
        <v>1570</v>
      </c>
      <c r="Q484" s="130" t="s">
        <v>1127</v>
      </c>
      <c r="R484" s="130" t="s">
        <v>1191</v>
      </c>
      <c r="S484" s="130" t="s">
        <v>1191</v>
      </c>
      <c r="T484" s="130" t="s">
        <v>1321</v>
      </c>
      <c r="U484" s="130">
        <v>8956</v>
      </c>
      <c r="V484" s="131">
        <v>-1000</v>
      </c>
      <c r="W484" s="131">
        <v>7956</v>
      </c>
      <c r="X484" s="131">
        <v>1673</v>
      </c>
      <c r="Y484" s="131">
        <v>6283</v>
      </c>
      <c r="Z484" s="131">
        <v>1673</v>
      </c>
      <c r="AA484" s="131">
        <v>6283</v>
      </c>
      <c r="AB484" s="131">
        <v>1673</v>
      </c>
      <c r="AC484" s="131">
        <v>6283</v>
      </c>
      <c r="AD484" s="131">
        <v>1673</v>
      </c>
      <c r="AE484" s="132">
        <v>6283</v>
      </c>
    </row>
    <row r="485" spans="1:31" x14ac:dyDescent="0.2">
      <c r="A485" s="133">
        <v>85</v>
      </c>
      <c r="B485" s="133" t="s">
        <v>1564</v>
      </c>
      <c r="C485" s="133" t="s">
        <v>1199</v>
      </c>
      <c r="D485" s="133" t="s">
        <v>1565</v>
      </c>
      <c r="E485" s="133" t="s">
        <v>1201</v>
      </c>
      <c r="F485" s="133" t="s">
        <v>1117</v>
      </c>
      <c r="G485" s="133" t="s">
        <v>1202</v>
      </c>
      <c r="H485" s="133" t="s">
        <v>1216</v>
      </c>
      <c r="I485" s="130" t="s">
        <v>1523</v>
      </c>
      <c r="J485" s="130" t="s">
        <v>1524</v>
      </c>
      <c r="K485" s="130" t="s">
        <v>1524</v>
      </c>
      <c r="L485" s="130" t="s">
        <v>1566</v>
      </c>
      <c r="M485" s="130" t="s">
        <v>1567</v>
      </c>
      <c r="N485" s="130" t="s">
        <v>1568</v>
      </c>
      <c r="O485" s="130" t="s">
        <v>1569</v>
      </c>
      <c r="P485" s="130" t="s">
        <v>1570</v>
      </c>
      <c r="Q485" s="130" t="s">
        <v>1127</v>
      </c>
      <c r="R485" s="130" t="s">
        <v>1191</v>
      </c>
      <c r="S485" s="130" t="s">
        <v>1191</v>
      </c>
      <c r="T485" s="130" t="s">
        <v>1321</v>
      </c>
      <c r="U485" s="130">
        <v>7962</v>
      </c>
      <c r="V485" s="131">
        <v>-4000</v>
      </c>
      <c r="W485" s="131">
        <v>3962</v>
      </c>
      <c r="X485" s="131">
        <v>1331</v>
      </c>
      <c r="Y485" s="131">
        <v>2631</v>
      </c>
      <c r="Z485" s="131">
        <v>1331</v>
      </c>
      <c r="AA485" s="131">
        <v>2631</v>
      </c>
      <c r="AB485" s="131">
        <v>1331</v>
      </c>
      <c r="AC485" s="131">
        <v>2631</v>
      </c>
      <c r="AD485" s="131">
        <v>1331</v>
      </c>
      <c r="AE485" s="132">
        <v>2631</v>
      </c>
    </row>
    <row r="486" spans="1:31" x14ac:dyDescent="0.2">
      <c r="A486" s="133">
        <v>85</v>
      </c>
      <c r="B486" s="133" t="s">
        <v>1564</v>
      </c>
      <c r="C486" s="133" t="s">
        <v>1199</v>
      </c>
      <c r="D486" s="133" t="s">
        <v>1565</v>
      </c>
      <c r="E486" s="133" t="s">
        <v>1201</v>
      </c>
      <c r="F486" s="133" t="s">
        <v>1117</v>
      </c>
      <c r="G486" s="133" t="s">
        <v>1202</v>
      </c>
      <c r="H486" s="133" t="s">
        <v>1216</v>
      </c>
      <c r="I486" s="130" t="s">
        <v>1525</v>
      </c>
      <c r="J486" s="130" t="s">
        <v>1526</v>
      </c>
      <c r="K486" s="130" t="s">
        <v>1527</v>
      </c>
      <c r="L486" s="130" t="s">
        <v>1566</v>
      </c>
      <c r="M486" s="130" t="s">
        <v>1567</v>
      </c>
      <c r="N486" s="130" t="s">
        <v>1568</v>
      </c>
      <c r="O486" s="130" t="s">
        <v>1569</v>
      </c>
      <c r="P486" s="130" t="s">
        <v>1570</v>
      </c>
      <c r="Q486" s="130" t="s">
        <v>1127</v>
      </c>
      <c r="R486" s="130" t="s">
        <v>1191</v>
      </c>
      <c r="S486" s="130" t="s">
        <v>1191</v>
      </c>
      <c r="T486" s="130" t="s">
        <v>1321</v>
      </c>
      <c r="U486" s="130">
        <v>1250</v>
      </c>
      <c r="V486" s="131">
        <v>0</v>
      </c>
      <c r="W486" s="131">
        <v>1250</v>
      </c>
      <c r="X486" s="131">
        <v>0</v>
      </c>
      <c r="Y486" s="131">
        <v>1250</v>
      </c>
      <c r="Z486" s="131">
        <v>0</v>
      </c>
      <c r="AA486" s="131">
        <v>1250</v>
      </c>
      <c r="AB486" s="131">
        <v>0</v>
      </c>
      <c r="AC486" s="131">
        <v>1250</v>
      </c>
      <c r="AD486" s="131">
        <v>0</v>
      </c>
      <c r="AE486" s="132">
        <v>1250</v>
      </c>
    </row>
    <row r="487" spans="1:31" x14ac:dyDescent="0.2">
      <c r="A487" s="133">
        <v>85</v>
      </c>
      <c r="B487" s="133" t="s">
        <v>1564</v>
      </c>
      <c r="C487" s="133" t="s">
        <v>1199</v>
      </c>
      <c r="D487" s="133" t="s">
        <v>1565</v>
      </c>
      <c r="E487" s="133" t="s">
        <v>1201</v>
      </c>
      <c r="F487" s="133" t="s">
        <v>1117</v>
      </c>
      <c r="G487" s="133" t="s">
        <v>1202</v>
      </c>
      <c r="H487" s="133" t="s">
        <v>1216</v>
      </c>
      <c r="I487" s="133" t="s">
        <v>1525</v>
      </c>
      <c r="J487" s="130" t="s">
        <v>1576</v>
      </c>
      <c r="K487" s="130" t="s">
        <v>1577</v>
      </c>
      <c r="L487" s="130" t="s">
        <v>1566</v>
      </c>
      <c r="M487" s="130" t="s">
        <v>1567</v>
      </c>
      <c r="N487" s="130" t="s">
        <v>1568</v>
      </c>
      <c r="O487" s="130" t="s">
        <v>1569</v>
      </c>
      <c r="P487" s="130" t="s">
        <v>1570</v>
      </c>
      <c r="Q487" s="130" t="s">
        <v>1127</v>
      </c>
      <c r="R487" s="130" t="s">
        <v>1191</v>
      </c>
      <c r="S487" s="130" t="s">
        <v>1191</v>
      </c>
      <c r="T487" s="130" t="s">
        <v>1321</v>
      </c>
      <c r="U487" s="130">
        <v>600</v>
      </c>
      <c r="V487" s="131">
        <v>0</v>
      </c>
      <c r="W487" s="131">
        <v>600</v>
      </c>
      <c r="X487" s="131">
        <v>0</v>
      </c>
      <c r="Y487" s="131">
        <v>600</v>
      </c>
      <c r="Z487" s="131">
        <v>0</v>
      </c>
      <c r="AA487" s="131">
        <v>600</v>
      </c>
      <c r="AB487" s="131">
        <v>0</v>
      </c>
      <c r="AC487" s="131">
        <v>600</v>
      </c>
      <c r="AD487" s="131">
        <v>0</v>
      </c>
      <c r="AE487" s="132">
        <v>600</v>
      </c>
    </row>
    <row r="488" spans="1:31" x14ac:dyDescent="0.2">
      <c r="A488" s="133">
        <v>85</v>
      </c>
      <c r="B488" s="133" t="s">
        <v>1564</v>
      </c>
      <c r="C488" s="133" t="s">
        <v>1199</v>
      </c>
      <c r="D488" s="133" t="s">
        <v>1565</v>
      </c>
      <c r="E488" s="133" t="s">
        <v>1201</v>
      </c>
      <c r="F488" s="133" t="s">
        <v>1117</v>
      </c>
      <c r="G488" s="133" t="s">
        <v>1202</v>
      </c>
      <c r="H488" s="133" t="s">
        <v>1216</v>
      </c>
      <c r="I488" s="130" t="s">
        <v>1578</v>
      </c>
      <c r="J488" s="130" t="s">
        <v>1579</v>
      </c>
      <c r="K488" s="130" t="s">
        <v>1580</v>
      </c>
      <c r="L488" s="130" t="s">
        <v>1566</v>
      </c>
      <c r="M488" s="130" t="s">
        <v>1567</v>
      </c>
      <c r="N488" s="130" t="s">
        <v>1568</v>
      </c>
      <c r="O488" s="130" t="s">
        <v>1569</v>
      </c>
      <c r="P488" s="130" t="s">
        <v>1570</v>
      </c>
      <c r="Q488" s="130" t="s">
        <v>1127</v>
      </c>
      <c r="R488" s="130" t="s">
        <v>1191</v>
      </c>
      <c r="S488" s="130" t="s">
        <v>1191</v>
      </c>
      <c r="T488" s="130" t="s">
        <v>1321</v>
      </c>
      <c r="U488" s="130">
        <v>1300</v>
      </c>
      <c r="V488" s="131">
        <v>0</v>
      </c>
      <c r="W488" s="131">
        <v>1300</v>
      </c>
      <c r="X488" s="131">
        <v>0</v>
      </c>
      <c r="Y488" s="131">
        <v>1300</v>
      </c>
      <c r="Z488" s="131">
        <v>0</v>
      </c>
      <c r="AA488" s="131">
        <v>1300</v>
      </c>
      <c r="AB488" s="131">
        <v>0</v>
      </c>
      <c r="AC488" s="131">
        <v>1300</v>
      </c>
      <c r="AD488" s="131">
        <v>0</v>
      </c>
      <c r="AE488" s="132">
        <v>1300</v>
      </c>
    </row>
    <row r="489" spans="1:31" x14ac:dyDescent="0.2">
      <c r="A489" s="133">
        <v>85</v>
      </c>
      <c r="B489" s="133" t="s">
        <v>1564</v>
      </c>
      <c r="C489" s="133" t="s">
        <v>1199</v>
      </c>
      <c r="D489" s="133" t="s">
        <v>1565</v>
      </c>
      <c r="E489" s="133" t="s">
        <v>1201</v>
      </c>
      <c r="F489" s="133" t="s">
        <v>1117</v>
      </c>
      <c r="G489" s="133" t="s">
        <v>1202</v>
      </c>
      <c r="H489" s="133" t="s">
        <v>1216</v>
      </c>
      <c r="I489" s="130" t="s">
        <v>1252</v>
      </c>
      <c r="J489" s="130" t="s">
        <v>1253</v>
      </c>
      <c r="K489" s="130" t="s">
        <v>1581</v>
      </c>
      <c r="L489" s="130" t="s">
        <v>1566</v>
      </c>
      <c r="M489" s="130" t="s">
        <v>1567</v>
      </c>
      <c r="N489" s="130" t="s">
        <v>1568</v>
      </c>
      <c r="O489" s="130" t="s">
        <v>1569</v>
      </c>
      <c r="P489" s="130" t="s">
        <v>1570</v>
      </c>
      <c r="Q489" s="130" t="s">
        <v>1127</v>
      </c>
      <c r="R489" s="130" t="s">
        <v>1191</v>
      </c>
      <c r="S489" s="130" t="s">
        <v>1191</v>
      </c>
      <c r="T489" s="130" t="s">
        <v>1321</v>
      </c>
      <c r="U489" s="130">
        <v>1182</v>
      </c>
      <c r="V489" s="131">
        <v>0</v>
      </c>
      <c r="W489" s="131">
        <v>1182</v>
      </c>
      <c r="X489" s="131">
        <v>0</v>
      </c>
      <c r="Y489" s="131">
        <v>1182</v>
      </c>
      <c r="Z489" s="131">
        <v>0</v>
      </c>
      <c r="AA489" s="131">
        <v>1182</v>
      </c>
      <c r="AB489" s="131">
        <v>0</v>
      </c>
      <c r="AC489" s="131">
        <v>1182</v>
      </c>
      <c r="AD489" s="131">
        <v>0</v>
      </c>
      <c r="AE489" s="132">
        <v>1182</v>
      </c>
    </row>
    <row r="490" spans="1:31" x14ac:dyDescent="0.2">
      <c r="A490" s="133">
        <v>85</v>
      </c>
      <c r="B490" s="133" t="s">
        <v>1564</v>
      </c>
      <c r="C490" s="133" t="s">
        <v>1199</v>
      </c>
      <c r="D490" s="133" t="s">
        <v>1565</v>
      </c>
      <c r="E490" s="133" t="s">
        <v>1201</v>
      </c>
      <c r="F490" s="133" t="s">
        <v>1117</v>
      </c>
      <c r="G490" s="133" t="s">
        <v>1202</v>
      </c>
      <c r="H490" s="133" t="s">
        <v>1216</v>
      </c>
      <c r="I490" s="133" t="s">
        <v>1252</v>
      </c>
      <c r="J490" s="133" t="s">
        <v>1253</v>
      </c>
      <c r="K490" s="130" t="s">
        <v>1528</v>
      </c>
      <c r="L490" s="130" t="s">
        <v>1566</v>
      </c>
      <c r="M490" s="130" t="s">
        <v>1567</v>
      </c>
      <c r="N490" s="130" t="s">
        <v>1568</v>
      </c>
      <c r="O490" s="130" t="s">
        <v>1569</v>
      </c>
      <c r="P490" s="130" t="s">
        <v>1570</v>
      </c>
      <c r="Q490" s="130" t="s">
        <v>1127</v>
      </c>
      <c r="R490" s="130" t="s">
        <v>1191</v>
      </c>
      <c r="S490" s="130" t="s">
        <v>1191</v>
      </c>
      <c r="T490" s="130" t="s">
        <v>1321</v>
      </c>
      <c r="U490" s="130">
        <v>1500</v>
      </c>
      <c r="V490" s="131">
        <v>0</v>
      </c>
      <c r="W490" s="131">
        <v>1500</v>
      </c>
      <c r="X490" s="131">
        <v>0</v>
      </c>
      <c r="Y490" s="131">
        <v>1500</v>
      </c>
      <c r="Z490" s="131">
        <v>0</v>
      </c>
      <c r="AA490" s="131">
        <v>1500</v>
      </c>
      <c r="AB490" s="131">
        <v>0</v>
      </c>
      <c r="AC490" s="131">
        <v>1500</v>
      </c>
      <c r="AD490" s="131">
        <v>0</v>
      </c>
      <c r="AE490" s="132">
        <v>1500</v>
      </c>
    </row>
    <row r="491" spans="1:31" x14ac:dyDescent="0.2">
      <c r="A491" s="133">
        <v>85</v>
      </c>
      <c r="B491" s="133" t="s">
        <v>1564</v>
      </c>
      <c r="C491" s="133" t="s">
        <v>1199</v>
      </c>
      <c r="D491" s="133" t="s">
        <v>1565</v>
      </c>
      <c r="E491" s="133" t="s">
        <v>1201</v>
      </c>
      <c r="F491" s="133" t="s">
        <v>1117</v>
      </c>
      <c r="G491" s="133" t="s">
        <v>1202</v>
      </c>
      <c r="H491" s="133" t="s">
        <v>1216</v>
      </c>
      <c r="I491" s="133" t="s">
        <v>1252</v>
      </c>
      <c r="J491" s="133" t="s">
        <v>1253</v>
      </c>
      <c r="K491" s="130" t="s">
        <v>1254</v>
      </c>
      <c r="L491" s="130" t="s">
        <v>1566</v>
      </c>
      <c r="M491" s="130" t="s">
        <v>1567</v>
      </c>
      <c r="N491" s="130" t="s">
        <v>1568</v>
      </c>
      <c r="O491" s="130" t="s">
        <v>1569</v>
      </c>
      <c r="P491" s="130" t="s">
        <v>1570</v>
      </c>
      <c r="Q491" s="130" t="s">
        <v>1127</v>
      </c>
      <c r="R491" s="130" t="s">
        <v>1191</v>
      </c>
      <c r="S491" s="130" t="s">
        <v>1191</v>
      </c>
      <c r="T491" s="130" t="s">
        <v>1321</v>
      </c>
      <c r="U491" s="130">
        <v>1742</v>
      </c>
      <c r="V491" s="131">
        <v>0</v>
      </c>
      <c r="W491" s="131">
        <v>1742</v>
      </c>
      <c r="X491" s="131">
        <v>280</v>
      </c>
      <c r="Y491" s="131">
        <v>1462</v>
      </c>
      <c r="Z491" s="131">
        <v>280</v>
      </c>
      <c r="AA491" s="131">
        <v>1462</v>
      </c>
      <c r="AB491" s="131">
        <v>280</v>
      </c>
      <c r="AC491" s="131">
        <v>1462</v>
      </c>
      <c r="AD491" s="131">
        <v>280</v>
      </c>
      <c r="AE491" s="132">
        <v>1462</v>
      </c>
    </row>
    <row r="492" spans="1:31" x14ac:dyDescent="0.2">
      <c r="A492" s="133">
        <v>85</v>
      </c>
      <c r="B492" s="133" t="s">
        <v>1564</v>
      </c>
      <c r="C492" s="133" t="s">
        <v>1199</v>
      </c>
      <c r="D492" s="133" t="s">
        <v>1565</v>
      </c>
      <c r="E492" s="133" t="s">
        <v>1201</v>
      </c>
      <c r="F492" s="133" t="s">
        <v>1117</v>
      </c>
      <c r="G492" s="133" t="s">
        <v>1202</v>
      </c>
      <c r="H492" s="130" t="s">
        <v>1203</v>
      </c>
      <c r="I492" s="130" t="s">
        <v>1204</v>
      </c>
      <c r="J492" s="130" t="s">
        <v>1205</v>
      </c>
      <c r="K492" s="130" t="s">
        <v>1255</v>
      </c>
      <c r="L492" s="130" t="s">
        <v>1566</v>
      </c>
      <c r="M492" s="130" t="s">
        <v>1567</v>
      </c>
      <c r="N492" s="130" t="s">
        <v>1568</v>
      </c>
      <c r="O492" s="130" t="s">
        <v>1569</v>
      </c>
      <c r="P492" s="130" t="s">
        <v>1570</v>
      </c>
      <c r="Q492" s="130" t="s">
        <v>1127</v>
      </c>
      <c r="R492" s="130" t="s">
        <v>1191</v>
      </c>
      <c r="S492" s="130" t="s">
        <v>1191</v>
      </c>
      <c r="T492" s="130" t="s">
        <v>1321</v>
      </c>
      <c r="U492" s="130">
        <v>3300</v>
      </c>
      <c r="V492" s="131">
        <v>0</v>
      </c>
      <c r="W492" s="131">
        <v>3300</v>
      </c>
      <c r="X492" s="131">
        <v>0</v>
      </c>
      <c r="Y492" s="131">
        <v>3300</v>
      </c>
      <c r="Z492" s="131">
        <v>0</v>
      </c>
      <c r="AA492" s="131">
        <v>3300</v>
      </c>
      <c r="AB492" s="131">
        <v>0</v>
      </c>
      <c r="AC492" s="131">
        <v>3300</v>
      </c>
      <c r="AD492" s="131">
        <v>0</v>
      </c>
      <c r="AE492" s="132">
        <v>3300</v>
      </c>
    </row>
    <row r="493" spans="1:31" x14ac:dyDescent="0.2">
      <c r="A493" s="133">
        <v>85</v>
      </c>
      <c r="B493" s="133" t="s">
        <v>1564</v>
      </c>
      <c r="C493" s="133" t="s">
        <v>1199</v>
      </c>
      <c r="D493" s="133" t="s">
        <v>1565</v>
      </c>
      <c r="E493" s="133" t="s">
        <v>1201</v>
      </c>
      <c r="F493" s="133" t="s">
        <v>1117</v>
      </c>
      <c r="G493" s="133" t="s">
        <v>1202</v>
      </c>
      <c r="H493" s="133" t="s">
        <v>1203</v>
      </c>
      <c r="I493" s="133" t="s">
        <v>1204</v>
      </c>
      <c r="J493" s="133" t="s">
        <v>1205</v>
      </c>
      <c r="K493" s="130" t="s">
        <v>1256</v>
      </c>
      <c r="L493" s="130" t="s">
        <v>1566</v>
      </c>
      <c r="M493" s="130" t="s">
        <v>1567</v>
      </c>
      <c r="N493" s="130" t="s">
        <v>1568</v>
      </c>
      <c r="O493" s="130" t="s">
        <v>1569</v>
      </c>
      <c r="P493" s="130" t="s">
        <v>1570</v>
      </c>
      <c r="Q493" s="130" t="s">
        <v>1127</v>
      </c>
      <c r="R493" s="130" t="s">
        <v>1191</v>
      </c>
      <c r="S493" s="130" t="s">
        <v>1191</v>
      </c>
      <c r="T493" s="130" t="s">
        <v>1321</v>
      </c>
      <c r="U493" s="130">
        <v>1280</v>
      </c>
      <c r="V493" s="131">
        <v>0</v>
      </c>
      <c r="W493" s="131">
        <v>1280</v>
      </c>
      <c r="X493" s="131">
        <v>0</v>
      </c>
      <c r="Y493" s="131">
        <v>1280</v>
      </c>
      <c r="Z493" s="131">
        <v>0</v>
      </c>
      <c r="AA493" s="131">
        <v>1280</v>
      </c>
      <c r="AB493" s="131">
        <v>0</v>
      </c>
      <c r="AC493" s="131">
        <v>1280</v>
      </c>
      <c r="AD493" s="131">
        <v>0</v>
      </c>
      <c r="AE493" s="132">
        <v>1280</v>
      </c>
    </row>
    <row r="494" spans="1:31" x14ac:dyDescent="0.2">
      <c r="A494" s="133">
        <v>85</v>
      </c>
      <c r="B494" s="133" t="s">
        <v>1564</v>
      </c>
      <c r="C494" s="133" t="s">
        <v>1199</v>
      </c>
      <c r="D494" s="133" t="s">
        <v>1565</v>
      </c>
      <c r="E494" s="133" t="s">
        <v>1201</v>
      </c>
      <c r="F494" s="133" t="s">
        <v>1117</v>
      </c>
      <c r="G494" s="133" t="s">
        <v>1202</v>
      </c>
      <c r="H494" s="133" t="s">
        <v>1203</v>
      </c>
      <c r="I494" s="133" t="s">
        <v>1204</v>
      </c>
      <c r="J494" s="133" t="s">
        <v>1205</v>
      </c>
      <c r="K494" s="130" t="s">
        <v>1206</v>
      </c>
      <c r="L494" s="130" t="s">
        <v>1566</v>
      </c>
      <c r="M494" s="130" t="s">
        <v>1567</v>
      </c>
      <c r="N494" s="130" t="s">
        <v>1568</v>
      </c>
      <c r="O494" s="130" t="s">
        <v>1569</v>
      </c>
      <c r="P494" s="130" t="s">
        <v>1570</v>
      </c>
      <c r="Q494" s="130" t="s">
        <v>1127</v>
      </c>
      <c r="R494" s="130" t="s">
        <v>1191</v>
      </c>
      <c r="S494" s="130" t="s">
        <v>1191</v>
      </c>
      <c r="T494" s="130" t="s">
        <v>1321</v>
      </c>
      <c r="U494" s="130">
        <v>800</v>
      </c>
      <c r="V494" s="131">
        <v>0</v>
      </c>
      <c r="W494" s="131">
        <v>800</v>
      </c>
      <c r="X494" s="131">
        <v>0</v>
      </c>
      <c r="Y494" s="131">
        <v>800</v>
      </c>
      <c r="Z494" s="131">
        <v>0</v>
      </c>
      <c r="AA494" s="131">
        <v>800</v>
      </c>
      <c r="AB494" s="131">
        <v>0</v>
      </c>
      <c r="AC494" s="131">
        <v>800</v>
      </c>
      <c r="AD494" s="131">
        <v>0</v>
      </c>
      <c r="AE494" s="132">
        <v>800</v>
      </c>
    </row>
    <row r="495" spans="1:31" x14ac:dyDescent="0.2">
      <c r="A495" s="133">
        <v>85</v>
      </c>
      <c r="B495" s="133" t="s">
        <v>1564</v>
      </c>
      <c r="C495" s="133" t="s">
        <v>1199</v>
      </c>
      <c r="D495" s="133" t="s">
        <v>1565</v>
      </c>
      <c r="E495" s="133" t="s">
        <v>1201</v>
      </c>
      <c r="F495" s="133" t="s">
        <v>1117</v>
      </c>
      <c r="G495" s="133" t="s">
        <v>1202</v>
      </c>
      <c r="H495" s="133" t="s">
        <v>1203</v>
      </c>
      <c r="I495" s="130" t="s">
        <v>1224</v>
      </c>
      <c r="J495" s="130" t="s">
        <v>1257</v>
      </c>
      <c r="K495" s="130" t="s">
        <v>1258</v>
      </c>
      <c r="L495" s="130" t="s">
        <v>1566</v>
      </c>
      <c r="M495" s="130" t="s">
        <v>1567</v>
      </c>
      <c r="N495" s="130" t="s">
        <v>1568</v>
      </c>
      <c r="O495" s="130" t="s">
        <v>1569</v>
      </c>
      <c r="P495" s="130" t="s">
        <v>1570</v>
      </c>
      <c r="Q495" s="130" t="s">
        <v>1127</v>
      </c>
      <c r="R495" s="130" t="s">
        <v>1191</v>
      </c>
      <c r="S495" s="130" t="s">
        <v>1191</v>
      </c>
      <c r="T495" s="130" t="s">
        <v>1321</v>
      </c>
      <c r="U495" s="130">
        <v>9746</v>
      </c>
      <c r="V495" s="131">
        <v>0</v>
      </c>
      <c r="W495" s="131">
        <v>9746</v>
      </c>
      <c r="X495" s="131">
        <v>9746</v>
      </c>
      <c r="Y495" s="131">
        <v>0</v>
      </c>
      <c r="Z495" s="131">
        <v>5401.6</v>
      </c>
      <c r="AA495" s="131">
        <v>4344.3999999999996</v>
      </c>
      <c r="AB495" s="131">
        <v>5401.6</v>
      </c>
      <c r="AC495" s="131">
        <v>4344.3999999999996</v>
      </c>
      <c r="AD495" s="131">
        <v>5401.6</v>
      </c>
      <c r="AE495" s="132">
        <v>4344.3999999999996</v>
      </c>
    </row>
    <row r="496" spans="1:31" x14ac:dyDescent="0.2">
      <c r="A496" s="133">
        <v>85</v>
      </c>
      <c r="B496" s="133" t="s">
        <v>1564</v>
      </c>
      <c r="C496" s="133" t="s">
        <v>1199</v>
      </c>
      <c r="D496" s="133" t="s">
        <v>1565</v>
      </c>
      <c r="E496" s="133" t="s">
        <v>1201</v>
      </c>
      <c r="F496" s="133" t="s">
        <v>1117</v>
      </c>
      <c r="G496" s="133" t="s">
        <v>1202</v>
      </c>
      <c r="H496" s="133" t="s">
        <v>1203</v>
      </c>
      <c r="I496" s="133" t="s">
        <v>1224</v>
      </c>
      <c r="J496" s="130" t="s">
        <v>1529</v>
      </c>
      <c r="K496" s="130" t="s">
        <v>1531</v>
      </c>
      <c r="L496" s="130" t="s">
        <v>1566</v>
      </c>
      <c r="M496" s="130" t="s">
        <v>1567</v>
      </c>
      <c r="N496" s="130" t="s">
        <v>1568</v>
      </c>
      <c r="O496" s="130" t="s">
        <v>1569</v>
      </c>
      <c r="P496" s="130" t="s">
        <v>1570</v>
      </c>
      <c r="Q496" s="130" t="s">
        <v>1127</v>
      </c>
      <c r="R496" s="130" t="s">
        <v>1191</v>
      </c>
      <c r="S496" s="130" t="s">
        <v>1191</v>
      </c>
      <c r="T496" s="130" t="s">
        <v>1321</v>
      </c>
      <c r="U496" s="130">
        <v>1416</v>
      </c>
      <c r="V496" s="131">
        <v>0</v>
      </c>
      <c r="W496" s="131">
        <v>1416</v>
      </c>
      <c r="X496" s="131">
        <v>0</v>
      </c>
      <c r="Y496" s="131">
        <v>1416</v>
      </c>
      <c r="Z496" s="131">
        <v>0</v>
      </c>
      <c r="AA496" s="131">
        <v>1416</v>
      </c>
      <c r="AB496" s="131">
        <v>0</v>
      </c>
      <c r="AC496" s="131">
        <v>1416</v>
      </c>
      <c r="AD496" s="131">
        <v>0</v>
      </c>
      <c r="AE496" s="132">
        <v>1416</v>
      </c>
    </row>
    <row r="497" spans="1:31" x14ac:dyDescent="0.2">
      <c r="A497" s="133">
        <v>85</v>
      </c>
      <c r="B497" s="133" t="s">
        <v>1564</v>
      </c>
      <c r="C497" s="133" t="s">
        <v>1199</v>
      </c>
      <c r="D497" s="133" t="s">
        <v>1565</v>
      </c>
      <c r="E497" s="133" t="s">
        <v>1201</v>
      </c>
      <c r="F497" s="133" t="s">
        <v>1117</v>
      </c>
      <c r="G497" s="133" t="s">
        <v>1202</v>
      </c>
      <c r="H497" s="133" t="s">
        <v>1203</v>
      </c>
      <c r="I497" s="133" t="s">
        <v>1224</v>
      </c>
      <c r="J497" s="130" t="s">
        <v>1306</v>
      </c>
      <c r="K497" s="130" t="s">
        <v>1307</v>
      </c>
      <c r="L497" s="130" t="s">
        <v>1566</v>
      </c>
      <c r="M497" s="130" t="s">
        <v>1567</v>
      </c>
      <c r="N497" s="130" t="s">
        <v>1568</v>
      </c>
      <c r="O497" s="130" t="s">
        <v>1569</v>
      </c>
      <c r="P497" s="130" t="s">
        <v>1570</v>
      </c>
      <c r="Q497" s="130" t="s">
        <v>1127</v>
      </c>
      <c r="R497" s="130" t="s">
        <v>1191</v>
      </c>
      <c r="S497" s="130" t="s">
        <v>1191</v>
      </c>
      <c r="T497" s="130" t="s">
        <v>1321</v>
      </c>
      <c r="U497" s="130">
        <v>1200</v>
      </c>
      <c r="V497" s="131">
        <v>0</v>
      </c>
      <c r="W497" s="131">
        <v>1200</v>
      </c>
      <c r="X497" s="131">
        <v>0</v>
      </c>
      <c r="Y497" s="131">
        <v>1200</v>
      </c>
      <c r="Z497" s="131">
        <v>0</v>
      </c>
      <c r="AA497" s="131">
        <v>1200</v>
      </c>
      <c r="AB497" s="131">
        <v>0</v>
      </c>
      <c r="AC497" s="131">
        <v>1200</v>
      </c>
      <c r="AD497" s="131">
        <v>0</v>
      </c>
      <c r="AE497" s="132">
        <v>1200</v>
      </c>
    </row>
    <row r="498" spans="1:31" x14ac:dyDescent="0.2">
      <c r="A498" s="133">
        <v>85</v>
      </c>
      <c r="B498" s="133" t="s">
        <v>1564</v>
      </c>
      <c r="C498" s="133" t="s">
        <v>1199</v>
      </c>
      <c r="D498" s="133" t="s">
        <v>1565</v>
      </c>
      <c r="E498" s="133" t="s">
        <v>1201</v>
      </c>
      <c r="F498" s="133" t="s">
        <v>1117</v>
      </c>
      <c r="G498" s="133" t="s">
        <v>1202</v>
      </c>
      <c r="H498" s="133" t="s">
        <v>1203</v>
      </c>
      <c r="I498" s="130" t="s">
        <v>1315</v>
      </c>
      <c r="J498" s="130" t="s">
        <v>1316</v>
      </c>
      <c r="K498" s="130" t="s">
        <v>1582</v>
      </c>
      <c r="L498" s="130" t="s">
        <v>1566</v>
      </c>
      <c r="M498" s="130" t="s">
        <v>1567</v>
      </c>
      <c r="N498" s="130" t="s">
        <v>1568</v>
      </c>
      <c r="O498" s="130" t="s">
        <v>1569</v>
      </c>
      <c r="P498" s="130" t="s">
        <v>1570</v>
      </c>
      <c r="Q498" s="130" t="s">
        <v>1127</v>
      </c>
      <c r="R498" s="130" t="s">
        <v>1191</v>
      </c>
      <c r="S498" s="130" t="s">
        <v>1191</v>
      </c>
      <c r="T498" s="130" t="s">
        <v>1321</v>
      </c>
      <c r="U498" s="130">
        <v>3000</v>
      </c>
      <c r="V498" s="131">
        <v>0</v>
      </c>
      <c r="W498" s="131">
        <v>3000</v>
      </c>
      <c r="X498" s="131">
        <v>0</v>
      </c>
      <c r="Y498" s="131">
        <v>3000</v>
      </c>
      <c r="Z498" s="131">
        <v>0</v>
      </c>
      <c r="AA498" s="131">
        <v>3000</v>
      </c>
      <c r="AB498" s="131">
        <v>0</v>
      </c>
      <c r="AC498" s="131">
        <v>3000</v>
      </c>
      <c r="AD498" s="131">
        <v>0</v>
      </c>
      <c r="AE498" s="132">
        <v>3000</v>
      </c>
    </row>
    <row r="499" spans="1:31" x14ac:dyDescent="0.2">
      <c r="A499" s="133">
        <v>85</v>
      </c>
      <c r="B499" s="133" t="s">
        <v>1564</v>
      </c>
      <c r="C499" s="133" t="s">
        <v>1199</v>
      </c>
      <c r="D499" s="133" t="s">
        <v>1565</v>
      </c>
      <c r="E499" s="133" t="s">
        <v>1201</v>
      </c>
      <c r="F499" s="133" t="s">
        <v>1117</v>
      </c>
      <c r="G499" s="133" t="s">
        <v>1202</v>
      </c>
      <c r="H499" s="133" t="s">
        <v>1203</v>
      </c>
      <c r="I499" s="130" t="s">
        <v>1269</v>
      </c>
      <c r="J499" s="130" t="s">
        <v>1270</v>
      </c>
      <c r="K499" s="130" t="s">
        <v>1272</v>
      </c>
      <c r="L499" s="130" t="s">
        <v>1566</v>
      </c>
      <c r="M499" s="130" t="s">
        <v>1567</v>
      </c>
      <c r="N499" s="130" t="s">
        <v>1568</v>
      </c>
      <c r="O499" s="130" t="s">
        <v>1569</v>
      </c>
      <c r="P499" s="130" t="s">
        <v>1570</v>
      </c>
      <c r="Q499" s="130" t="s">
        <v>1127</v>
      </c>
      <c r="R499" s="130" t="s">
        <v>1191</v>
      </c>
      <c r="S499" s="130" t="s">
        <v>1191</v>
      </c>
      <c r="T499" s="130" t="s">
        <v>1321</v>
      </c>
      <c r="U499" s="130">
        <v>200</v>
      </c>
      <c r="V499" s="131">
        <v>0</v>
      </c>
      <c r="W499" s="131">
        <v>200</v>
      </c>
      <c r="X499" s="131">
        <v>0</v>
      </c>
      <c r="Y499" s="131">
        <v>200</v>
      </c>
      <c r="Z499" s="131">
        <v>0</v>
      </c>
      <c r="AA499" s="131">
        <v>200</v>
      </c>
      <c r="AB499" s="131">
        <v>0</v>
      </c>
      <c r="AC499" s="131">
        <v>200</v>
      </c>
      <c r="AD499" s="131">
        <v>0</v>
      </c>
      <c r="AE499" s="132">
        <v>200</v>
      </c>
    </row>
    <row r="500" spans="1:31" x14ac:dyDescent="0.2">
      <c r="A500" s="133">
        <v>85</v>
      </c>
      <c r="B500" s="133" t="s">
        <v>1564</v>
      </c>
      <c r="C500" s="133" t="s">
        <v>1199</v>
      </c>
      <c r="D500" s="133" t="s">
        <v>1565</v>
      </c>
      <c r="E500" s="133" t="s">
        <v>1201</v>
      </c>
      <c r="F500" s="133" t="s">
        <v>1117</v>
      </c>
      <c r="G500" s="133" t="s">
        <v>1202</v>
      </c>
      <c r="H500" s="133" t="s">
        <v>1203</v>
      </c>
      <c r="I500" s="130" t="s">
        <v>1209</v>
      </c>
      <c r="J500" s="130" t="s">
        <v>1210</v>
      </c>
      <c r="K500" s="130" t="s">
        <v>1274</v>
      </c>
      <c r="L500" s="130" t="s">
        <v>1566</v>
      </c>
      <c r="M500" s="130" t="s">
        <v>1567</v>
      </c>
      <c r="N500" s="130" t="s">
        <v>1568</v>
      </c>
      <c r="O500" s="130" t="s">
        <v>1569</v>
      </c>
      <c r="P500" s="130" t="s">
        <v>1570</v>
      </c>
      <c r="Q500" s="130" t="s">
        <v>1127</v>
      </c>
      <c r="R500" s="130" t="s">
        <v>1191</v>
      </c>
      <c r="S500" s="130" t="s">
        <v>1191</v>
      </c>
      <c r="T500" s="130" t="s">
        <v>1321</v>
      </c>
      <c r="U500" s="130">
        <v>6000</v>
      </c>
      <c r="V500" s="131">
        <v>0</v>
      </c>
      <c r="W500" s="131">
        <v>6000</v>
      </c>
      <c r="X500" s="131">
        <v>0</v>
      </c>
      <c r="Y500" s="131">
        <v>6000</v>
      </c>
      <c r="Z500" s="131">
        <v>0</v>
      </c>
      <c r="AA500" s="131">
        <v>6000</v>
      </c>
      <c r="AB500" s="131">
        <v>0</v>
      </c>
      <c r="AC500" s="131">
        <v>6000</v>
      </c>
      <c r="AD500" s="131">
        <v>0</v>
      </c>
      <c r="AE500" s="132">
        <v>6000</v>
      </c>
    </row>
    <row r="501" spans="1:31" x14ac:dyDescent="0.2">
      <c r="A501" s="133">
        <v>85</v>
      </c>
      <c r="B501" s="133" t="s">
        <v>1564</v>
      </c>
      <c r="C501" s="133" t="s">
        <v>1199</v>
      </c>
      <c r="D501" s="133" t="s">
        <v>1565</v>
      </c>
      <c r="E501" s="133" t="s">
        <v>1201</v>
      </c>
      <c r="F501" s="133" t="s">
        <v>1117</v>
      </c>
      <c r="G501" s="133" t="s">
        <v>1202</v>
      </c>
      <c r="H501" s="133" t="s">
        <v>1203</v>
      </c>
      <c r="I501" s="130" t="s">
        <v>1309</v>
      </c>
      <c r="J501" s="130" t="s">
        <v>1310</v>
      </c>
      <c r="K501" s="130" t="s">
        <v>1310</v>
      </c>
      <c r="L501" s="130" t="s">
        <v>1566</v>
      </c>
      <c r="M501" s="130" t="s">
        <v>1567</v>
      </c>
      <c r="N501" s="130" t="s">
        <v>1568</v>
      </c>
      <c r="O501" s="130" t="s">
        <v>1569</v>
      </c>
      <c r="P501" s="130" t="s">
        <v>1570</v>
      </c>
      <c r="Q501" s="130" t="s">
        <v>1127</v>
      </c>
      <c r="R501" s="130" t="s">
        <v>1191</v>
      </c>
      <c r="S501" s="130" t="s">
        <v>1191</v>
      </c>
      <c r="T501" s="130" t="s">
        <v>1321</v>
      </c>
      <c r="U501" s="130">
        <v>55000</v>
      </c>
      <c r="V501" s="131">
        <v>34000</v>
      </c>
      <c r="W501" s="131">
        <v>89000</v>
      </c>
      <c r="X501" s="131">
        <v>58000</v>
      </c>
      <c r="Y501" s="131">
        <v>31000</v>
      </c>
      <c r="Z501" s="131">
        <v>56500</v>
      </c>
      <c r="AA501" s="131">
        <v>32500</v>
      </c>
      <c r="AB501" s="131">
        <v>56500</v>
      </c>
      <c r="AC501" s="131">
        <v>32500</v>
      </c>
      <c r="AD501" s="131">
        <v>32000</v>
      </c>
      <c r="AE501" s="132">
        <v>57000</v>
      </c>
    </row>
    <row r="502" spans="1:31" x14ac:dyDescent="0.2">
      <c r="A502" s="130">
        <v>86</v>
      </c>
      <c r="B502" s="130" t="s">
        <v>1564</v>
      </c>
      <c r="C502" s="130" t="s">
        <v>1199</v>
      </c>
      <c r="D502" s="130" t="s">
        <v>1565</v>
      </c>
      <c r="E502" s="130" t="s">
        <v>1201</v>
      </c>
      <c r="F502" s="130" t="s">
        <v>1117</v>
      </c>
      <c r="G502" s="130" t="s">
        <v>1276</v>
      </c>
      <c r="H502" s="130" t="s">
        <v>1277</v>
      </c>
      <c r="I502" s="130" t="s">
        <v>1285</v>
      </c>
      <c r="J502" s="130" t="s">
        <v>1286</v>
      </c>
      <c r="K502" s="130" t="s">
        <v>1287</v>
      </c>
      <c r="L502" s="130" t="s">
        <v>1566</v>
      </c>
      <c r="M502" s="130" t="s">
        <v>1567</v>
      </c>
      <c r="N502" s="130" t="s">
        <v>1568</v>
      </c>
      <c r="O502" s="130" t="s">
        <v>1569</v>
      </c>
      <c r="P502" s="130" t="s">
        <v>1570</v>
      </c>
      <c r="Q502" s="130" t="s">
        <v>1127</v>
      </c>
      <c r="R502" s="130" t="s">
        <v>1191</v>
      </c>
      <c r="S502" s="130" t="s">
        <v>1583</v>
      </c>
      <c r="T502" s="130" t="s">
        <v>1321</v>
      </c>
      <c r="U502" s="130">
        <v>180374</v>
      </c>
      <c r="V502" s="131">
        <v>13200</v>
      </c>
      <c r="W502" s="131">
        <v>193574</v>
      </c>
      <c r="X502" s="131">
        <v>193574</v>
      </c>
      <c r="Y502" s="131">
        <v>0</v>
      </c>
      <c r="Z502" s="131">
        <v>193574</v>
      </c>
      <c r="AA502" s="131">
        <v>0</v>
      </c>
      <c r="AB502" s="131">
        <v>64828.509999999995</v>
      </c>
      <c r="AC502" s="131">
        <v>128745.49</v>
      </c>
      <c r="AD502" s="131">
        <v>64828.509999999995</v>
      </c>
      <c r="AE502" s="132">
        <v>128745.49</v>
      </c>
    </row>
    <row r="503" spans="1:31" x14ac:dyDescent="0.2">
      <c r="A503" s="133">
        <v>86</v>
      </c>
      <c r="B503" s="133" t="s">
        <v>1564</v>
      </c>
      <c r="C503" s="133" t="s">
        <v>1199</v>
      </c>
      <c r="D503" s="133" t="s">
        <v>1565</v>
      </c>
      <c r="E503" s="133" t="s">
        <v>1201</v>
      </c>
      <c r="F503" s="133" t="s">
        <v>1117</v>
      </c>
      <c r="G503" s="133" t="s">
        <v>1276</v>
      </c>
      <c r="H503" s="133" t="s">
        <v>1277</v>
      </c>
      <c r="I503" s="130" t="s">
        <v>1288</v>
      </c>
      <c r="J503" s="130" t="s">
        <v>1289</v>
      </c>
      <c r="K503" s="130" t="s">
        <v>1292</v>
      </c>
      <c r="L503" s="130" t="s">
        <v>1566</v>
      </c>
      <c r="M503" s="130" t="s">
        <v>1567</v>
      </c>
      <c r="N503" s="130" t="s">
        <v>1568</v>
      </c>
      <c r="O503" s="130" t="s">
        <v>1569</v>
      </c>
      <c r="P503" s="130" t="s">
        <v>1570</v>
      </c>
      <c r="Q503" s="130" t="s">
        <v>1127</v>
      </c>
      <c r="R503" s="130" t="s">
        <v>1191</v>
      </c>
      <c r="S503" s="130" t="s">
        <v>1583</v>
      </c>
      <c r="T503" s="130" t="s">
        <v>1321</v>
      </c>
      <c r="U503" s="130">
        <v>6600</v>
      </c>
      <c r="V503" s="131">
        <v>0</v>
      </c>
      <c r="W503" s="131">
        <v>6600</v>
      </c>
      <c r="X503" s="131">
        <v>6600</v>
      </c>
      <c r="Y503" s="131">
        <v>0</v>
      </c>
      <c r="Z503" s="131">
        <v>6600</v>
      </c>
      <c r="AA503" s="131">
        <v>0</v>
      </c>
      <c r="AB503" s="131">
        <v>0</v>
      </c>
      <c r="AC503" s="131">
        <v>6600</v>
      </c>
      <c r="AD503" s="131">
        <v>0</v>
      </c>
      <c r="AE503" s="132">
        <v>6600</v>
      </c>
    </row>
    <row r="504" spans="1:31" x14ac:dyDescent="0.2">
      <c r="A504" s="133">
        <v>86</v>
      </c>
      <c r="B504" s="133" t="s">
        <v>1564</v>
      </c>
      <c r="C504" s="133" t="s">
        <v>1199</v>
      </c>
      <c r="D504" s="133" t="s">
        <v>1565</v>
      </c>
      <c r="E504" s="133" t="s">
        <v>1201</v>
      </c>
      <c r="F504" s="133" t="s">
        <v>1117</v>
      </c>
      <c r="G504" s="133" t="s">
        <v>1276</v>
      </c>
      <c r="H504" s="130" t="s">
        <v>1293</v>
      </c>
      <c r="I504" s="130" t="s">
        <v>1294</v>
      </c>
      <c r="J504" s="130" t="s">
        <v>1295</v>
      </c>
      <c r="K504" s="130" t="s">
        <v>1296</v>
      </c>
      <c r="L504" s="130" t="s">
        <v>1566</v>
      </c>
      <c r="M504" s="130" t="s">
        <v>1567</v>
      </c>
      <c r="N504" s="130" t="s">
        <v>1568</v>
      </c>
      <c r="O504" s="130" t="s">
        <v>1569</v>
      </c>
      <c r="P504" s="130" t="s">
        <v>1570</v>
      </c>
      <c r="Q504" s="130" t="s">
        <v>1127</v>
      </c>
      <c r="R504" s="130" t="s">
        <v>1191</v>
      </c>
      <c r="S504" s="130" t="s">
        <v>1583</v>
      </c>
      <c r="T504" s="130" t="s">
        <v>1321</v>
      </c>
      <c r="U504" s="130">
        <v>2385</v>
      </c>
      <c r="V504" s="131">
        <v>0</v>
      </c>
      <c r="W504" s="131">
        <v>2385</v>
      </c>
      <c r="X504" s="131">
        <v>2355.1999999999998</v>
      </c>
      <c r="Y504" s="131">
        <v>29.800000000000182</v>
      </c>
      <c r="Z504" s="131">
        <v>2355.1999999999998</v>
      </c>
      <c r="AA504" s="131">
        <v>29.800000000000182</v>
      </c>
      <c r="AB504" s="131">
        <v>2355.1999999999998</v>
      </c>
      <c r="AC504" s="131">
        <v>29.800000000000182</v>
      </c>
      <c r="AD504" s="131">
        <v>0</v>
      </c>
      <c r="AE504" s="132">
        <v>2385</v>
      </c>
    </row>
    <row r="505" spans="1:31" x14ac:dyDescent="0.2">
      <c r="A505" s="133">
        <v>86</v>
      </c>
      <c r="B505" s="133" t="s">
        <v>1564</v>
      </c>
      <c r="C505" s="133" t="s">
        <v>1199</v>
      </c>
      <c r="D505" s="133" t="s">
        <v>1565</v>
      </c>
      <c r="E505" s="133" t="s">
        <v>1201</v>
      </c>
      <c r="F505" s="133" t="s">
        <v>1117</v>
      </c>
      <c r="G505" s="133" t="s">
        <v>1276</v>
      </c>
      <c r="H505" s="130" t="s">
        <v>1297</v>
      </c>
      <c r="I505" s="130" t="s">
        <v>1298</v>
      </c>
      <c r="J505" s="130" t="s">
        <v>1298</v>
      </c>
      <c r="K505" s="130" t="s">
        <v>1300</v>
      </c>
      <c r="L505" s="130" t="s">
        <v>1566</v>
      </c>
      <c r="M505" s="130" t="s">
        <v>1567</v>
      </c>
      <c r="N505" s="130" t="s">
        <v>1568</v>
      </c>
      <c r="O505" s="130" t="s">
        <v>1569</v>
      </c>
      <c r="P505" s="130" t="s">
        <v>1570</v>
      </c>
      <c r="Q505" s="130" t="s">
        <v>1127</v>
      </c>
      <c r="R505" s="130" t="s">
        <v>1191</v>
      </c>
      <c r="S505" s="130" t="s">
        <v>1583</v>
      </c>
      <c r="T505" s="130" t="s">
        <v>1321</v>
      </c>
      <c r="U505" s="130">
        <v>14452</v>
      </c>
      <c r="V505" s="131">
        <v>2970</v>
      </c>
      <c r="W505" s="131">
        <v>17422</v>
      </c>
      <c r="X505" s="131">
        <v>17422</v>
      </c>
      <c r="Y505" s="131">
        <v>0</v>
      </c>
      <c r="Z505" s="131">
        <v>17422</v>
      </c>
      <c r="AA505" s="131">
        <v>0</v>
      </c>
      <c r="AB505" s="131">
        <v>5870</v>
      </c>
      <c r="AC505" s="131">
        <v>11552</v>
      </c>
      <c r="AD505" s="131">
        <v>5870</v>
      </c>
      <c r="AE505" s="132">
        <v>11552</v>
      </c>
    </row>
    <row r="506" spans="1:31" x14ac:dyDescent="0.2">
      <c r="A506" s="133">
        <v>86</v>
      </c>
      <c r="B506" s="133" t="s">
        <v>1564</v>
      </c>
      <c r="C506" s="133" t="s">
        <v>1199</v>
      </c>
      <c r="D506" s="133" t="s">
        <v>1565</v>
      </c>
      <c r="E506" s="133" t="s">
        <v>1201</v>
      </c>
      <c r="F506" s="133" t="s">
        <v>1117</v>
      </c>
      <c r="G506" s="130" t="s">
        <v>1233</v>
      </c>
      <c r="H506" s="130" t="s">
        <v>1234</v>
      </c>
      <c r="I506" s="130" t="s">
        <v>1235</v>
      </c>
      <c r="J506" s="130" t="s">
        <v>1571</v>
      </c>
      <c r="K506" s="130" t="s">
        <v>1572</v>
      </c>
      <c r="L506" s="130" t="s">
        <v>1566</v>
      </c>
      <c r="M506" s="130" t="s">
        <v>1567</v>
      </c>
      <c r="N506" s="130" t="s">
        <v>1568</v>
      </c>
      <c r="O506" s="130" t="s">
        <v>1569</v>
      </c>
      <c r="P506" s="130" t="s">
        <v>1570</v>
      </c>
      <c r="Q506" s="130" t="s">
        <v>1127</v>
      </c>
      <c r="R506" s="130" t="s">
        <v>1191</v>
      </c>
      <c r="S506" s="130" t="s">
        <v>1583</v>
      </c>
      <c r="T506" s="130" t="s">
        <v>1321</v>
      </c>
      <c r="U506" s="130">
        <v>207331</v>
      </c>
      <c r="V506" s="131">
        <v>0</v>
      </c>
      <c r="W506" s="131">
        <v>207331</v>
      </c>
      <c r="X506" s="131">
        <v>106631.5</v>
      </c>
      <c r="Y506" s="131">
        <v>100699.5</v>
      </c>
      <c r="Z506" s="131">
        <v>106631.5</v>
      </c>
      <c r="AA506" s="131">
        <v>100699.5</v>
      </c>
      <c r="AB506" s="131">
        <v>99914.5</v>
      </c>
      <c r="AC506" s="131">
        <v>107416.5</v>
      </c>
      <c r="AD506" s="131">
        <v>53661.9</v>
      </c>
      <c r="AE506" s="132">
        <v>153669.1</v>
      </c>
    </row>
    <row r="507" spans="1:31" x14ac:dyDescent="0.2">
      <c r="A507" s="133">
        <v>86</v>
      </c>
      <c r="B507" s="133" t="s">
        <v>1564</v>
      </c>
      <c r="C507" s="133" t="s">
        <v>1199</v>
      </c>
      <c r="D507" s="133" t="s">
        <v>1565</v>
      </c>
      <c r="E507" s="133" t="s">
        <v>1201</v>
      </c>
      <c r="F507" s="133" t="s">
        <v>1117</v>
      </c>
      <c r="G507" s="130" t="s">
        <v>1202</v>
      </c>
      <c r="H507" s="130" t="s">
        <v>1216</v>
      </c>
      <c r="I507" s="130" t="s">
        <v>1301</v>
      </c>
      <c r="J507" s="130" t="s">
        <v>1301</v>
      </c>
      <c r="K507" s="130" t="s">
        <v>1302</v>
      </c>
      <c r="L507" s="130" t="s">
        <v>1566</v>
      </c>
      <c r="M507" s="130" t="s">
        <v>1567</v>
      </c>
      <c r="N507" s="130" t="s">
        <v>1568</v>
      </c>
      <c r="O507" s="130" t="s">
        <v>1569</v>
      </c>
      <c r="P507" s="130" t="s">
        <v>1570</v>
      </c>
      <c r="Q507" s="130" t="s">
        <v>1127</v>
      </c>
      <c r="R507" s="130" t="s">
        <v>1191</v>
      </c>
      <c r="S507" s="130" t="s">
        <v>1583</v>
      </c>
      <c r="T507" s="130" t="s">
        <v>1321</v>
      </c>
      <c r="U507" s="130">
        <v>57954</v>
      </c>
      <c r="V507" s="131">
        <v>-11000</v>
      </c>
      <c r="W507" s="131">
        <v>46954</v>
      </c>
      <c r="X507" s="131">
        <v>26745</v>
      </c>
      <c r="Y507" s="131">
        <v>20209</v>
      </c>
      <c r="Z507" s="131">
        <v>26745</v>
      </c>
      <c r="AA507" s="131">
        <v>20209</v>
      </c>
      <c r="AB507" s="131">
        <v>26745</v>
      </c>
      <c r="AC507" s="131">
        <v>20209</v>
      </c>
      <c r="AD507" s="131">
        <v>10764</v>
      </c>
      <c r="AE507" s="132">
        <v>36190</v>
      </c>
    </row>
    <row r="508" spans="1:31" x14ac:dyDescent="0.2">
      <c r="A508" s="133">
        <v>86</v>
      </c>
      <c r="B508" s="133" t="s">
        <v>1564</v>
      </c>
      <c r="C508" s="133" t="s">
        <v>1199</v>
      </c>
      <c r="D508" s="133" t="s">
        <v>1565</v>
      </c>
      <c r="E508" s="133" t="s">
        <v>1201</v>
      </c>
      <c r="F508" s="133" t="s">
        <v>1117</v>
      </c>
      <c r="G508" s="133" t="s">
        <v>1202</v>
      </c>
      <c r="H508" s="133" t="s">
        <v>1216</v>
      </c>
      <c r="I508" s="130" t="s">
        <v>1239</v>
      </c>
      <c r="J508" s="130" t="s">
        <v>1240</v>
      </c>
      <c r="K508" s="130" t="s">
        <v>1241</v>
      </c>
      <c r="L508" s="130" t="s">
        <v>1566</v>
      </c>
      <c r="M508" s="130" t="s">
        <v>1567</v>
      </c>
      <c r="N508" s="130" t="s">
        <v>1568</v>
      </c>
      <c r="O508" s="130" t="s">
        <v>1569</v>
      </c>
      <c r="P508" s="130" t="s">
        <v>1570</v>
      </c>
      <c r="Q508" s="130" t="s">
        <v>1127</v>
      </c>
      <c r="R508" s="130" t="s">
        <v>1191</v>
      </c>
      <c r="S508" s="130" t="s">
        <v>1583</v>
      </c>
      <c r="T508" s="130" t="s">
        <v>1321</v>
      </c>
      <c r="U508" s="130">
        <v>250</v>
      </c>
      <c r="V508" s="131">
        <v>0</v>
      </c>
      <c r="W508" s="131">
        <v>250</v>
      </c>
      <c r="X508" s="131">
        <v>0</v>
      </c>
      <c r="Y508" s="131">
        <v>250</v>
      </c>
      <c r="Z508" s="131">
        <v>0</v>
      </c>
      <c r="AA508" s="131">
        <v>250</v>
      </c>
      <c r="AB508" s="131">
        <v>0</v>
      </c>
      <c r="AC508" s="131">
        <v>250</v>
      </c>
      <c r="AD508" s="131">
        <v>0</v>
      </c>
      <c r="AE508" s="132">
        <v>250</v>
      </c>
    </row>
    <row r="509" spans="1:31" x14ac:dyDescent="0.2">
      <c r="A509" s="133">
        <v>86</v>
      </c>
      <c r="B509" s="133" t="s">
        <v>1564</v>
      </c>
      <c r="C509" s="133" t="s">
        <v>1199</v>
      </c>
      <c r="D509" s="133" t="s">
        <v>1565</v>
      </c>
      <c r="E509" s="133" t="s">
        <v>1201</v>
      </c>
      <c r="F509" s="133" t="s">
        <v>1117</v>
      </c>
      <c r="G509" s="133" t="s">
        <v>1202</v>
      </c>
      <c r="H509" s="133" t="s">
        <v>1216</v>
      </c>
      <c r="I509" s="130" t="s">
        <v>1217</v>
      </c>
      <c r="J509" s="130" t="s">
        <v>1218</v>
      </c>
      <c r="K509" s="130" t="s">
        <v>1219</v>
      </c>
      <c r="L509" s="130" t="s">
        <v>1566</v>
      </c>
      <c r="M509" s="130" t="s">
        <v>1567</v>
      </c>
      <c r="N509" s="130" t="s">
        <v>1568</v>
      </c>
      <c r="O509" s="130" t="s">
        <v>1569</v>
      </c>
      <c r="P509" s="130" t="s">
        <v>1570</v>
      </c>
      <c r="Q509" s="130" t="s">
        <v>1127</v>
      </c>
      <c r="R509" s="130" t="s">
        <v>1191</v>
      </c>
      <c r="S509" s="130" t="s">
        <v>1583</v>
      </c>
      <c r="T509" s="130" t="s">
        <v>1321</v>
      </c>
      <c r="U509" s="130">
        <v>67770</v>
      </c>
      <c r="V509" s="131">
        <v>-40000</v>
      </c>
      <c r="W509" s="131">
        <v>27770</v>
      </c>
      <c r="X509" s="131">
        <v>15844</v>
      </c>
      <c r="Y509" s="131">
        <v>11926</v>
      </c>
      <c r="Z509" s="131">
        <v>15844</v>
      </c>
      <c r="AA509" s="131">
        <v>11926</v>
      </c>
      <c r="AB509" s="131">
        <v>6160</v>
      </c>
      <c r="AC509" s="131">
        <v>21610</v>
      </c>
      <c r="AD509" s="131">
        <v>6160</v>
      </c>
      <c r="AE509" s="132">
        <v>21610</v>
      </c>
    </row>
    <row r="510" spans="1:31" x14ac:dyDescent="0.2">
      <c r="A510" s="133">
        <v>86</v>
      </c>
      <c r="B510" s="133" t="s">
        <v>1564</v>
      </c>
      <c r="C510" s="133" t="s">
        <v>1199</v>
      </c>
      <c r="D510" s="133" t="s">
        <v>1565</v>
      </c>
      <c r="E510" s="133" t="s">
        <v>1201</v>
      </c>
      <c r="F510" s="133" t="s">
        <v>1117</v>
      </c>
      <c r="G510" s="133" t="s">
        <v>1202</v>
      </c>
      <c r="H510" s="133" t="s">
        <v>1216</v>
      </c>
      <c r="I510" s="133" t="s">
        <v>1217</v>
      </c>
      <c r="J510" s="133" t="s">
        <v>1218</v>
      </c>
      <c r="K510" s="130" t="s">
        <v>1573</v>
      </c>
      <c r="L510" s="130" t="s">
        <v>1566</v>
      </c>
      <c r="M510" s="130" t="s">
        <v>1567</v>
      </c>
      <c r="N510" s="130" t="s">
        <v>1568</v>
      </c>
      <c r="O510" s="130" t="s">
        <v>1569</v>
      </c>
      <c r="P510" s="130" t="s">
        <v>1570</v>
      </c>
      <c r="Q510" s="130" t="s">
        <v>1127</v>
      </c>
      <c r="R510" s="130" t="s">
        <v>1191</v>
      </c>
      <c r="S510" s="130" t="s">
        <v>1583</v>
      </c>
      <c r="T510" s="130" t="s">
        <v>1321</v>
      </c>
      <c r="U510" s="130">
        <v>3195</v>
      </c>
      <c r="V510" s="131">
        <v>-1000</v>
      </c>
      <c r="W510" s="131">
        <v>2195</v>
      </c>
      <c r="X510" s="131">
        <v>0</v>
      </c>
      <c r="Y510" s="131">
        <v>2195</v>
      </c>
      <c r="Z510" s="131">
        <v>0</v>
      </c>
      <c r="AA510" s="131">
        <v>2195</v>
      </c>
      <c r="AB510" s="131">
        <v>0</v>
      </c>
      <c r="AC510" s="131">
        <v>2195</v>
      </c>
      <c r="AD510" s="131">
        <v>0</v>
      </c>
      <c r="AE510" s="132">
        <v>2195</v>
      </c>
    </row>
    <row r="511" spans="1:31" x14ac:dyDescent="0.2">
      <c r="A511" s="133">
        <v>86</v>
      </c>
      <c r="B511" s="133" t="s">
        <v>1564</v>
      </c>
      <c r="C511" s="133" t="s">
        <v>1199</v>
      </c>
      <c r="D511" s="133" t="s">
        <v>1565</v>
      </c>
      <c r="E511" s="133" t="s">
        <v>1201</v>
      </c>
      <c r="F511" s="133" t="s">
        <v>1117</v>
      </c>
      <c r="G511" s="133" t="s">
        <v>1202</v>
      </c>
      <c r="H511" s="133" t="s">
        <v>1216</v>
      </c>
      <c r="I511" s="133" t="s">
        <v>1217</v>
      </c>
      <c r="J511" s="133" t="s">
        <v>1218</v>
      </c>
      <c r="K511" s="130" t="s">
        <v>1574</v>
      </c>
      <c r="L511" s="130" t="s">
        <v>1566</v>
      </c>
      <c r="M511" s="130" t="s">
        <v>1567</v>
      </c>
      <c r="N511" s="130" t="s">
        <v>1568</v>
      </c>
      <c r="O511" s="130" t="s">
        <v>1569</v>
      </c>
      <c r="P511" s="130" t="s">
        <v>1570</v>
      </c>
      <c r="Q511" s="130" t="s">
        <v>1127</v>
      </c>
      <c r="R511" s="130" t="s">
        <v>1191</v>
      </c>
      <c r="S511" s="130" t="s">
        <v>1583</v>
      </c>
      <c r="T511" s="130" t="s">
        <v>1321</v>
      </c>
      <c r="U511" s="130">
        <v>22140</v>
      </c>
      <c r="V511" s="131">
        <v>-13000</v>
      </c>
      <c r="W511" s="131">
        <v>9140</v>
      </c>
      <c r="X511" s="131">
        <v>3985</v>
      </c>
      <c r="Y511" s="131">
        <v>5155</v>
      </c>
      <c r="Z511" s="131">
        <v>3985</v>
      </c>
      <c r="AA511" s="131">
        <v>5155</v>
      </c>
      <c r="AB511" s="131">
        <v>3985</v>
      </c>
      <c r="AC511" s="131">
        <v>5155</v>
      </c>
      <c r="AD511" s="131">
        <v>3985</v>
      </c>
      <c r="AE511" s="132">
        <v>5155</v>
      </c>
    </row>
    <row r="512" spans="1:31" x14ac:dyDescent="0.2">
      <c r="A512" s="133">
        <v>86</v>
      </c>
      <c r="B512" s="133" t="s">
        <v>1564</v>
      </c>
      <c r="C512" s="133" t="s">
        <v>1199</v>
      </c>
      <c r="D512" s="133" t="s">
        <v>1565</v>
      </c>
      <c r="E512" s="133" t="s">
        <v>1201</v>
      </c>
      <c r="F512" s="133" t="s">
        <v>1117</v>
      </c>
      <c r="G512" s="133" t="s">
        <v>1202</v>
      </c>
      <c r="H512" s="133" t="s">
        <v>1216</v>
      </c>
      <c r="I512" s="130" t="s">
        <v>1242</v>
      </c>
      <c r="J512" s="130" t="s">
        <v>1243</v>
      </c>
      <c r="K512" s="130" t="s">
        <v>1303</v>
      </c>
      <c r="L512" s="130" t="s">
        <v>1566</v>
      </c>
      <c r="M512" s="130" t="s">
        <v>1567</v>
      </c>
      <c r="N512" s="130" t="s">
        <v>1568</v>
      </c>
      <c r="O512" s="130" t="s">
        <v>1569</v>
      </c>
      <c r="P512" s="130" t="s">
        <v>1570</v>
      </c>
      <c r="Q512" s="130" t="s">
        <v>1127</v>
      </c>
      <c r="R512" s="130" t="s">
        <v>1191</v>
      </c>
      <c r="S512" s="130" t="s">
        <v>1583</v>
      </c>
      <c r="T512" s="130" t="s">
        <v>1321</v>
      </c>
      <c r="U512" s="130">
        <v>4800</v>
      </c>
      <c r="V512" s="131">
        <v>0</v>
      </c>
      <c r="W512" s="131">
        <v>4800</v>
      </c>
      <c r="X512" s="131">
        <v>3483</v>
      </c>
      <c r="Y512" s="131">
        <v>1317</v>
      </c>
      <c r="Z512" s="131">
        <v>3483</v>
      </c>
      <c r="AA512" s="131">
        <v>1317</v>
      </c>
      <c r="AB512" s="131">
        <v>3483</v>
      </c>
      <c r="AC512" s="131">
        <v>1317</v>
      </c>
      <c r="AD512" s="131">
        <v>0</v>
      </c>
      <c r="AE512" s="132">
        <v>4800</v>
      </c>
    </row>
    <row r="513" spans="1:31" x14ac:dyDescent="0.2">
      <c r="A513" s="133">
        <v>86</v>
      </c>
      <c r="B513" s="133" t="s">
        <v>1564</v>
      </c>
      <c r="C513" s="133" t="s">
        <v>1199</v>
      </c>
      <c r="D513" s="133" t="s">
        <v>1565</v>
      </c>
      <c r="E513" s="133" t="s">
        <v>1201</v>
      </c>
      <c r="F513" s="133" t="s">
        <v>1117</v>
      </c>
      <c r="G513" s="133" t="s">
        <v>1202</v>
      </c>
      <c r="H513" s="133" t="s">
        <v>1216</v>
      </c>
      <c r="I513" s="133" t="s">
        <v>1242</v>
      </c>
      <c r="J513" s="133" t="s">
        <v>1243</v>
      </c>
      <c r="K513" s="130" t="s">
        <v>1520</v>
      </c>
      <c r="L513" s="130" t="s">
        <v>1566</v>
      </c>
      <c r="M513" s="130" t="s">
        <v>1567</v>
      </c>
      <c r="N513" s="130" t="s">
        <v>1568</v>
      </c>
      <c r="O513" s="130" t="s">
        <v>1569</v>
      </c>
      <c r="P513" s="130" t="s">
        <v>1570</v>
      </c>
      <c r="Q513" s="130" t="s">
        <v>1127</v>
      </c>
      <c r="R513" s="130" t="s">
        <v>1191</v>
      </c>
      <c r="S513" s="130" t="s">
        <v>1583</v>
      </c>
      <c r="T513" s="130" t="s">
        <v>1321</v>
      </c>
      <c r="U513" s="130">
        <v>10800</v>
      </c>
      <c r="V513" s="131">
        <v>-1000</v>
      </c>
      <c r="W513" s="131">
        <v>9800</v>
      </c>
      <c r="X513" s="131">
        <v>5850</v>
      </c>
      <c r="Y513" s="131">
        <v>3950</v>
      </c>
      <c r="Z513" s="131">
        <v>5850</v>
      </c>
      <c r="AA513" s="131">
        <v>3950</v>
      </c>
      <c r="AB513" s="131">
        <v>5850</v>
      </c>
      <c r="AC513" s="131">
        <v>3950</v>
      </c>
      <c r="AD513" s="131">
        <v>0</v>
      </c>
      <c r="AE513" s="132">
        <v>9800</v>
      </c>
    </row>
    <row r="514" spans="1:31" x14ac:dyDescent="0.2">
      <c r="A514" s="133">
        <v>86</v>
      </c>
      <c r="B514" s="133" t="s">
        <v>1564</v>
      </c>
      <c r="C514" s="133" t="s">
        <v>1199</v>
      </c>
      <c r="D514" s="133" t="s">
        <v>1565</v>
      </c>
      <c r="E514" s="133" t="s">
        <v>1201</v>
      </c>
      <c r="F514" s="133" t="s">
        <v>1117</v>
      </c>
      <c r="G514" s="133" t="s">
        <v>1202</v>
      </c>
      <c r="H514" s="133" t="s">
        <v>1216</v>
      </c>
      <c r="I514" s="133" t="s">
        <v>1242</v>
      </c>
      <c r="J514" s="133" t="s">
        <v>1243</v>
      </c>
      <c r="K514" s="130" t="s">
        <v>1244</v>
      </c>
      <c r="L514" s="130" t="s">
        <v>1566</v>
      </c>
      <c r="M514" s="130" t="s">
        <v>1567</v>
      </c>
      <c r="N514" s="130" t="s">
        <v>1568</v>
      </c>
      <c r="O514" s="130" t="s">
        <v>1569</v>
      </c>
      <c r="P514" s="130" t="s">
        <v>1570</v>
      </c>
      <c r="Q514" s="130" t="s">
        <v>1127</v>
      </c>
      <c r="R514" s="130" t="s">
        <v>1191</v>
      </c>
      <c r="S514" s="130" t="s">
        <v>1583</v>
      </c>
      <c r="T514" s="130" t="s">
        <v>1321</v>
      </c>
      <c r="U514" s="130">
        <v>500</v>
      </c>
      <c r="V514" s="131">
        <v>0</v>
      </c>
      <c r="W514" s="131">
        <v>500</v>
      </c>
      <c r="X514" s="131">
        <v>0</v>
      </c>
      <c r="Y514" s="131">
        <v>500</v>
      </c>
      <c r="Z514" s="131">
        <v>0</v>
      </c>
      <c r="AA514" s="131">
        <v>500</v>
      </c>
      <c r="AB514" s="131">
        <v>0</v>
      </c>
      <c r="AC514" s="131">
        <v>500</v>
      </c>
      <c r="AD514" s="131">
        <v>0</v>
      </c>
      <c r="AE514" s="132">
        <v>500</v>
      </c>
    </row>
    <row r="515" spans="1:31" x14ac:dyDescent="0.2">
      <c r="A515" s="133">
        <v>86</v>
      </c>
      <c r="B515" s="133" t="s">
        <v>1564</v>
      </c>
      <c r="C515" s="133" t="s">
        <v>1199</v>
      </c>
      <c r="D515" s="133" t="s">
        <v>1565</v>
      </c>
      <c r="E515" s="133" t="s">
        <v>1201</v>
      </c>
      <c r="F515" s="133" t="s">
        <v>1117</v>
      </c>
      <c r="G515" s="133" t="s">
        <v>1202</v>
      </c>
      <c r="H515" s="133" t="s">
        <v>1216</v>
      </c>
      <c r="I515" s="130" t="s">
        <v>1222</v>
      </c>
      <c r="J515" s="130" t="s">
        <v>1304</v>
      </c>
      <c r="K515" s="130" t="s">
        <v>1248</v>
      </c>
      <c r="L515" s="130" t="s">
        <v>1566</v>
      </c>
      <c r="M515" s="130" t="s">
        <v>1567</v>
      </c>
      <c r="N515" s="130" t="s">
        <v>1568</v>
      </c>
      <c r="O515" s="130" t="s">
        <v>1569</v>
      </c>
      <c r="P515" s="130" t="s">
        <v>1570</v>
      </c>
      <c r="Q515" s="130" t="s">
        <v>1127</v>
      </c>
      <c r="R515" s="130" t="s">
        <v>1191</v>
      </c>
      <c r="S515" s="130" t="s">
        <v>1583</v>
      </c>
      <c r="T515" s="130" t="s">
        <v>1321</v>
      </c>
      <c r="U515" s="130">
        <v>4700</v>
      </c>
      <c r="V515" s="131">
        <v>-1500</v>
      </c>
      <c r="W515" s="131">
        <v>3200</v>
      </c>
      <c r="X515" s="131">
        <v>0</v>
      </c>
      <c r="Y515" s="131">
        <v>3200</v>
      </c>
      <c r="Z515" s="131">
        <v>0</v>
      </c>
      <c r="AA515" s="131">
        <v>3200</v>
      </c>
      <c r="AB515" s="131">
        <v>0</v>
      </c>
      <c r="AC515" s="131">
        <v>3200</v>
      </c>
      <c r="AD515" s="131">
        <v>0</v>
      </c>
      <c r="AE515" s="132">
        <v>3200</v>
      </c>
    </row>
    <row r="516" spans="1:31" x14ac:dyDescent="0.2">
      <c r="A516" s="133">
        <v>86</v>
      </c>
      <c r="B516" s="133" t="s">
        <v>1564</v>
      </c>
      <c r="C516" s="133" t="s">
        <v>1199</v>
      </c>
      <c r="D516" s="133" t="s">
        <v>1565</v>
      </c>
      <c r="E516" s="133" t="s">
        <v>1201</v>
      </c>
      <c r="F516" s="133" t="s">
        <v>1117</v>
      </c>
      <c r="G516" s="133" t="s">
        <v>1202</v>
      </c>
      <c r="H516" s="133" t="s">
        <v>1216</v>
      </c>
      <c r="I516" s="133" t="s">
        <v>1222</v>
      </c>
      <c r="J516" s="133" t="s">
        <v>1304</v>
      </c>
      <c r="K516" s="130" t="s">
        <v>1305</v>
      </c>
      <c r="L516" s="130" t="s">
        <v>1566</v>
      </c>
      <c r="M516" s="130" t="s">
        <v>1567</v>
      </c>
      <c r="N516" s="130" t="s">
        <v>1568</v>
      </c>
      <c r="O516" s="130" t="s">
        <v>1569</v>
      </c>
      <c r="P516" s="130" t="s">
        <v>1570</v>
      </c>
      <c r="Q516" s="130" t="s">
        <v>1127</v>
      </c>
      <c r="R516" s="130" t="s">
        <v>1191</v>
      </c>
      <c r="S516" s="130" t="s">
        <v>1583</v>
      </c>
      <c r="T516" s="130" t="s">
        <v>1321</v>
      </c>
      <c r="U516" s="130">
        <v>6082</v>
      </c>
      <c r="V516" s="131">
        <v>0</v>
      </c>
      <c r="W516" s="131">
        <v>6082</v>
      </c>
      <c r="X516" s="131">
        <v>4649.5</v>
      </c>
      <c r="Y516" s="131">
        <v>1432.5</v>
      </c>
      <c r="Z516" s="131">
        <v>4649.5</v>
      </c>
      <c r="AA516" s="131">
        <v>1432.5</v>
      </c>
      <c r="AB516" s="131">
        <v>4649.5</v>
      </c>
      <c r="AC516" s="131">
        <v>1432.5</v>
      </c>
      <c r="AD516" s="131">
        <v>4649.5</v>
      </c>
      <c r="AE516" s="132">
        <v>1432.5</v>
      </c>
    </row>
    <row r="517" spans="1:31" x14ac:dyDescent="0.2">
      <c r="A517" s="133">
        <v>86</v>
      </c>
      <c r="B517" s="133" t="s">
        <v>1564</v>
      </c>
      <c r="C517" s="133" t="s">
        <v>1199</v>
      </c>
      <c r="D517" s="133" t="s">
        <v>1565</v>
      </c>
      <c r="E517" s="133" t="s">
        <v>1201</v>
      </c>
      <c r="F517" s="133" t="s">
        <v>1117</v>
      </c>
      <c r="G517" s="133" t="s">
        <v>1202</v>
      </c>
      <c r="H517" s="133" t="s">
        <v>1216</v>
      </c>
      <c r="I517" s="133" t="s">
        <v>1222</v>
      </c>
      <c r="J517" s="130" t="s">
        <v>1245</v>
      </c>
      <c r="K517" s="130" t="s">
        <v>1246</v>
      </c>
      <c r="L517" s="130" t="s">
        <v>1566</v>
      </c>
      <c r="M517" s="130" t="s">
        <v>1567</v>
      </c>
      <c r="N517" s="130" t="s">
        <v>1568</v>
      </c>
      <c r="O517" s="130" t="s">
        <v>1569</v>
      </c>
      <c r="P517" s="130" t="s">
        <v>1570</v>
      </c>
      <c r="Q517" s="130" t="s">
        <v>1127</v>
      </c>
      <c r="R517" s="130" t="s">
        <v>1191</v>
      </c>
      <c r="S517" s="130" t="s">
        <v>1583</v>
      </c>
      <c r="T517" s="130" t="s">
        <v>1321</v>
      </c>
      <c r="U517" s="130">
        <v>9876</v>
      </c>
      <c r="V517" s="131">
        <v>0</v>
      </c>
      <c r="W517" s="131">
        <v>9876</v>
      </c>
      <c r="X517" s="131">
        <v>9020</v>
      </c>
      <c r="Y517" s="131">
        <v>856</v>
      </c>
      <c r="Z517" s="131">
        <v>9020</v>
      </c>
      <c r="AA517" s="131">
        <v>856</v>
      </c>
      <c r="AB517" s="131">
        <v>9020</v>
      </c>
      <c r="AC517" s="131">
        <v>856</v>
      </c>
      <c r="AD517" s="131">
        <v>9020</v>
      </c>
      <c r="AE517" s="132">
        <v>856</v>
      </c>
    </row>
    <row r="518" spans="1:31" x14ac:dyDescent="0.2">
      <c r="A518" s="133">
        <v>86</v>
      </c>
      <c r="B518" s="133" t="s">
        <v>1564</v>
      </c>
      <c r="C518" s="133" t="s">
        <v>1199</v>
      </c>
      <c r="D518" s="133" t="s">
        <v>1565</v>
      </c>
      <c r="E518" s="133" t="s">
        <v>1201</v>
      </c>
      <c r="F518" s="133" t="s">
        <v>1117</v>
      </c>
      <c r="G518" s="133" t="s">
        <v>1202</v>
      </c>
      <c r="H518" s="133" t="s">
        <v>1216</v>
      </c>
      <c r="I518" s="133" t="s">
        <v>1222</v>
      </c>
      <c r="J518" s="133" t="s">
        <v>1245</v>
      </c>
      <c r="K518" s="130" t="s">
        <v>1575</v>
      </c>
      <c r="L518" s="130" t="s">
        <v>1566</v>
      </c>
      <c r="M518" s="130" t="s">
        <v>1567</v>
      </c>
      <c r="N518" s="130" t="s">
        <v>1568</v>
      </c>
      <c r="O518" s="130" t="s">
        <v>1569</v>
      </c>
      <c r="P518" s="130" t="s">
        <v>1570</v>
      </c>
      <c r="Q518" s="130" t="s">
        <v>1127</v>
      </c>
      <c r="R518" s="130" t="s">
        <v>1191</v>
      </c>
      <c r="S518" s="130" t="s">
        <v>1583</v>
      </c>
      <c r="T518" s="130" t="s">
        <v>1321</v>
      </c>
      <c r="U518" s="130">
        <v>11456</v>
      </c>
      <c r="V518" s="131">
        <v>-3000</v>
      </c>
      <c r="W518" s="131">
        <v>8456</v>
      </c>
      <c r="X518" s="131">
        <v>4305.5</v>
      </c>
      <c r="Y518" s="131">
        <v>4150.5</v>
      </c>
      <c r="Z518" s="131">
        <v>4305.5</v>
      </c>
      <c r="AA518" s="131">
        <v>4150.5</v>
      </c>
      <c r="AB518" s="131">
        <v>4305.5</v>
      </c>
      <c r="AC518" s="131">
        <v>4150.5</v>
      </c>
      <c r="AD518" s="131">
        <v>4305.5</v>
      </c>
      <c r="AE518" s="132">
        <v>4150.5</v>
      </c>
    </row>
    <row r="519" spans="1:31" x14ac:dyDescent="0.2">
      <c r="A519" s="133">
        <v>86</v>
      </c>
      <c r="B519" s="133" t="s">
        <v>1564</v>
      </c>
      <c r="C519" s="133" t="s">
        <v>1199</v>
      </c>
      <c r="D519" s="133" t="s">
        <v>1565</v>
      </c>
      <c r="E519" s="133" t="s">
        <v>1201</v>
      </c>
      <c r="F519" s="133" t="s">
        <v>1117</v>
      </c>
      <c r="G519" s="133" t="s">
        <v>1202</v>
      </c>
      <c r="H519" s="133" t="s">
        <v>1216</v>
      </c>
      <c r="I519" s="133" t="s">
        <v>1222</v>
      </c>
      <c r="J519" s="130" t="s">
        <v>1230</v>
      </c>
      <c r="K519" s="130" t="s">
        <v>1231</v>
      </c>
      <c r="L519" s="130" t="s">
        <v>1566</v>
      </c>
      <c r="M519" s="130" t="s">
        <v>1567</v>
      </c>
      <c r="N519" s="130" t="s">
        <v>1568</v>
      </c>
      <c r="O519" s="130" t="s">
        <v>1569</v>
      </c>
      <c r="P519" s="130" t="s">
        <v>1570</v>
      </c>
      <c r="Q519" s="130" t="s">
        <v>1127</v>
      </c>
      <c r="R519" s="130" t="s">
        <v>1191</v>
      </c>
      <c r="S519" s="130" t="s">
        <v>1583</v>
      </c>
      <c r="T519" s="130" t="s">
        <v>1321</v>
      </c>
      <c r="U519" s="130">
        <v>1000</v>
      </c>
      <c r="V519" s="131">
        <v>0</v>
      </c>
      <c r="W519" s="131">
        <v>1000</v>
      </c>
      <c r="X519" s="131">
        <v>0</v>
      </c>
      <c r="Y519" s="131">
        <v>1000</v>
      </c>
      <c r="Z519" s="131">
        <v>0</v>
      </c>
      <c r="AA519" s="131">
        <v>1000</v>
      </c>
      <c r="AB519" s="131">
        <v>0</v>
      </c>
      <c r="AC519" s="131">
        <v>1000</v>
      </c>
      <c r="AD519" s="131">
        <v>0</v>
      </c>
      <c r="AE519" s="132">
        <v>1000</v>
      </c>
    </row>
    <row r="520" spans="1:31" x14ac:dyDescent="0.2">
      <c r="A520" s="133">
        <v>86</v>
      </c>
      <c r="B520" s="133" t="s">
        <v>1564</v>
      </c>
      <c r="C520" s="133" t="s">
        <v>1199</v>
      </c>
      <c r="D520" s="133" t="s">
        <v>1565</v>
      </c>
      <c r="E520" s="133" t="s">
        <v>1201</v>
      </c>
      <c r="F520" s="133" t="s">
        <v>1117</v>
      </c>
      <c r="G520" s="133" t="s">
        <v>1202</v>
      </c>
      <c r="H520" s="133" t="s">
        <v>1216</v>
      </c>
      <c r="I520" s="133" t="s">
        <v>1222</v>
      </c>
      <c r="J520" s="130" t="s">
        <v>1223</v>
      </c>
      <c r="K520" s="130" t="s">
        <v>1223</v>
      </c>
      <c r="L520" s="130" t="s">
        <v>1566</v>
      </c>
      <c r="M520" s="130" t="s">
        <v>1567</v>
      </c>
      <c r="N520" s="130" t="s">
        <v>1568</v>
      </c>
      <c r="O520" s="130" t="s">
        <v>1569</v>
      </c>
      <c r="P520" s="130" t="s">
        <v>1570</v>
      </c>
      <c r="Q520" s="130" t="s">
        <v>1127</v>
      </c>
      <c r="R520" s="130" t="s">
        <v>1191</v>
      </c>
      <c r="S520" s="130" t="s">
        <v>1583</v>
      </c>
      <c r="T520" s="130" t="s">
        <v>1321</v>
      </c>
      <c r="U520" s="130">
        <v>810</v>
      </c>
      <c r="V520" s="131">
        <v>0</v>
      </c>
      <c r="W520" s="131">
        <v>810</v>
      </c>
      <c r="X520" s="131">
        <v>0</v>
      </c>
      <c r="Y520" s="131">
        <v>810</v>
      </c>
      <c r="Z520" s="131">
        <v>0</v>
      </c>
      <c r="AA520" s="131">
        <v>810</v>
      </c>
      <c r="AB520" s="131">
        <v>0</v>
      </c>
      <c r="AC520" s="131">
        <v>810</v>
      </c>
      <c r="AD520" s="131">
        <v>0</v>
      </c>
      <c r="AE520" s="132">
        <v>810</v>
      </c>
    </row>
    <row r="521" spans="1:31" x14ac:dyDescent="0.2">
      <c r="A521" s="133">
        <v>86</v>
      </c>
      <c r="B521" s="133" t="s">
        <v>1564</v>
      </c>
      <c r="C521" s="133" t="s">
        <v>1199</v>
      </c>
      <c r="D521" s="133" t="s">
        <v>1565</v>
      </c>
      <c r="E521" s="133" t="s">
        <v>1201</v>
      </c>
      <c r="F521" s="133" t="s">
        <v>1117</v>
      </c>
      <c r="G521" s="133" t="s">
        <v>1202</v>
      </c>
      <c r="H521" s="133" t="s">
        <v>1216</v>
      </c>
      <c r="I521" s="130" t="s">
        <v>1247</v>
      </c>
      <c r="J521" s="130" t="s">
        <v>1248</v>
      </c>
      <c r="K521" s="130" t="s">
        <v>1249</v>
      </c>
      <c r="L521" s="130" t="s">
        <v>1566</v>
      </c>
      <c r="M521" s="130" t="s">
        <v>1567</v>
      </c>
      <c r="N521" s="130" t="s">
        <v>1568</v>
      </c>
      <c r="O521" s="130" t="s">
        <v>1569</v>
      </c>
      <c r="P521" s="130" t="s">
        <v>1570</v>
      </c>
      <c r="Q521" s="130" t="s">
        <v>1127</v>
      </c>
      <c r="R521" s="130" t="s">
        <v>1191</v>
      </c>
      <c r="S521" s="130" t="s">
        <v>1583</v>
      </c>
      <c r="T521" s="130" t="s">
        <v>1321</v>
      </c>
      <c r="U521" s="130">
        <v>500</v>
      </c>
      <c r="V521" s="131">
        <v>1300</v>
      </c>
      <c r="W521" s="131">
        <v>1800</v>
      </c>
      <c r="X521" s="131">
        <v>0</v>
      </c>
      <c r="Y521" s="131">
        <v>1800</v>
      </c>
      <c r="Z521" s="131">
        <v>0</v>
      </c>
      <c r="AA521" s="131">
        <v>1800</v>
      </c>
      <c r="AB521" s="131">
        <v>0</v>
      </c>
      <c r="AC521" s="131">
        <v>1800</v>
      </c>
      <c r="AD521" s="131">
        <v>0</v>
      </c>
      <c r="AE521" s="132">
        <v>1800</v>
      </c>
    </row>
    <row r="522" spans="1:31" x14ac:dyDescent="0.2">
      <c r="A522" s="133">
        <v>86</v>
      </c>
      <c r="B522" s="133" t="s">
        <v>1564</v>
      </c>
      <c r="C522" s="133" t="s">
        <v>1199</v>
      </c>
      <c r="D522" s="133" t="s">
        <v>1565</v>
      </c>
      <c r="E522" s="133" t="s">
        <v>1201</v>
      </c>
      <c r="F522" s="133" t="s">
        <v>1117</v>
      </c>
      <c r="G522" s="133" t="s">
        <v>1202</v>
      </c>
      <c r="H522" s="133" t="s">
        <v>1216</v>
      </c>
      <c r="I522" s="130" t="s">
        <v>1523</v>
      </c>
      <c r="J522" s="130" t="s">
        <v>1524</v>
      </c>
      <c r="K522" s="130" t="s">
        <v>1524</v>
      </c>
      <c r="L522" s="130" t="s">
        <v>1566</v>
      </c>
      <c r="M522" s="130" t="s">
        <v>1567</v>
      </c>
      <c r="N522" s="130" t="s">
        <v>1568</v>
      </c>
      <c r="O522" s="130" t="s">
        <v>1569</v>
      </c>
      <c r="P522" s="130" t="s">
        <v>1570</v>
      </c>
      <c r="Q522" s="130" t="s">
        <v>1127</v>
      </c>
      <c r="R522" s="130" t="s">
        <v>1191</v>
      </c>
      <c r="S522" s="130" t="s">
        <v>1583</v>
      </c>
      <c r="T522" s="130" t="s">
        <v>1321</v>
      </c>
      <c r="U522" s="130">
        <v>7574</v>
      </c>
      <c r="V522" s="131">
        <v>-4500</v>
      </c>
      <c r="W522" s="131">
        <v>3074</v>
      </c>
      <c r="X522" s="131">
        <v>880</v>
      </c>
      <c r="Y522" s="131">
        <v>2194</v>
      </c>
      <c r="Z522" s="131">
        <v>880</v>
      </c>
      <c r="AA522" s="131">
        <v>2194</v>
      </c>
      <c r="AB522" s="131">
        <v>880</v>
      </c>
      <c r="AC522" s="131">
        <v>2194</v>
      </c>
      <c r="AD522" s="131">
        <v>880</v>
      </c>
      <c r="AE522" s="132">
        <v>2194</v>
      </c>
    </row>
    <row r="523" spans="1:31" x14ac:dyDescent="0.2">
      <c r="A523" s="133">
        <v>86</v>
      </c>
      <c r="B523" s="133" t="s">
        <v>1564</v>
      </c>
      <c r="C523" s="133" t="s">
        <v>1199</v>
      </c>
      <c r="D523" s="133" t="s">
        <v>1565</v>
      </c>
      <c r="E523" s="133" t="s">
        <v>1201</v>
      </c>
      <c r="F523" s="133" t="s">
        <v>1117</v>
      </c>
      <c r="G523" s="133" t="s">
        <v>1202</v>
      </c>
      <c r="H523" s="133" t="s">
        <v>1216</v>
      </c>
      <c r="I523" s="130" t="s">
        <v>1525</v>
      </c>
      <c r="J523" s="130" t="s">
        <v>1526</v>
      </c>
      <c r="K523" s="130" t="s">
        <v>1527</v>
      </c>
      <c r="L523" s="130" t="s">
        <v>1566</v>
      </c>
      <c r="M523" s="130" t="s">
        <v>1567</v>
      </c>
      <c r="N523" s="130" t="s">
        <v>1568</v>
      </c>
      <c r="O523" s="130" t="s">
        <v>1569</v>
      </c>
      <c r="P523" s="130" t="s">
        <v>1570</v>
      </c>
      <c r="Q523" s="130" t="s">
        <v>1127</v>
      </c>
      <c r="R523" s="130" t="s">
        <v>1191</v>
      </c>
      <c r="S523" s="130" t="s">
        <v>1583</v>
      </c>
      <c r="T523" s="130" t="s">
        <v>1321</v>
      </c>
      <c r="U523" s="130">
        <v>22458</v>
      </c>
      <c r="V523" s="131">
        <v>0</v>
      </c>
      <c r="W523" s="131">
        <v>22458</v>
      </c>
      <c r="X523" s="131">
        <v>5957</v>
      </c>
      <c r="Y523" s="131">
        <v>16501</v>
      </c>
      <c r="Z523" s="131">
        <v>5957</v>
      </c>
      <c r="AA523" s="131">
        <v>16501</v>
      </c>
      <c r="AB523" s="131">
        <v>3480</v>
      </c>
      <c r="AC523" s="131">
        <v>18978</v>
      </c>
      <c r="AD523" s="131">
        <v>3480</v>
      </c>
      <c r="AE523" s="132">
        <v>18978</v>
      </c>
    </row>
    <row r="524" spans="1:31" x14ac:dyDescent="0.2">
      <c r="A524" s="133">
        <v>86</v>
      </c>
      <c r="B524" s="133" t="s">
        <v>1564</v>
      </c>
      <c r="C524" s="133" t="s">
        <v>1199</v>
      </c>
      <c r="D524" s="133" t="s">
        <v>1565</v>
      </c>
      <c r="E524" s="133" t="s">
        <v>1201</v>
      </c>
      <c r="F524" s="133" t="s">
        <v>1117</v>
      </c>
      <c r="G524" s="133" t="s">
        <v>1202</v>
      </c>
      <c r="H524" s="133" t="s">
        <v>1216</v>
      </c>
      <c r="I524" s="133" t="s">
        <v>1525</v>
      </c>
      <c r="J524" s="130" t="s">
        <v>1576</v>
      </c>
      <c r="K524" s="130" t="s">
        <v>1577</v>
      </c>
      <c r="L524" s="130" t="s">
        <v>1566</v>
      </c>
      <c r="M524" s="130" t="s">
        <v>1567</v>
      </c>
      <c r="N524" s="130" t="s">
        <v>1568</v>
      </c>
      <c r="O524" s="130" t="s">
        <v>1569</v>
      </c>
      <c r="P524" s="130" t="s">
        <v>1570</v>
      </c>
      <c r="Q524" s="130" t="s">
        <v>1127</v>
      </c>
      <c r="R524" s="130" t="s">
        <v>1191</v>
      </c>
      <c r="S524" s="130" t="s">
        <v>1583</v>
      </c>
      <c r="T524" s="130" t="s">
        <v>1321</v>
      </c>
      <c r="U524" s="130">
        <v>7847</v>
      </c>
      <c r="V524" s="131">
        <v>0</v>
      </c>
      <c r="W524" s="131">
        <v>7847</v>
      </c>
      <c r="X524" s="131">
        <v>0</v>
      </c>
      <c r="Y524" s="131">
        <v>7847</v>
      </c>
      <c r="Z524" s="131">
        <v>0</v>
      </c>
      <c r="AA524" s="131">
        <v>7847</v>
      </c>
      <c r="AB524" s="131">
        <v>0</v>
      </c>
      <c r="AC524" s="131">
        <v>7847</v>
      </c>
      <c r="AD524" s="131">
        <v>0</v>
      </c>
      <c r="AE524" s="132">
        <v>7847</v>
      </c>
    </row>
    <row r="525" spans="1:31" x14ac:dyDescent="0.2">
      <c r="A525" s="133">
        <v>86</v>
      </c>
      <c r="B525" s="133" t="s">
        <v>1564</v>
      </c>
      <c r="C525" s="133" t="s">
        <v>1199</v>
      </c>
      <c r="D525" s="133" t="s">
        <v>1565</v>
      </c>
      <c r="E525" s="133" t="s">
        <v>1201</v>
      </c>
      <c r="F525" s="133" t="s">
        <v>1117</v>
      </c>
      <c r="G525" s="133" t="s">
        <v>1202</v>
      </c>
      <c r="H525" s="133" t="s">
        <v>1216</v>
      </c>
      <c r="I525" s="130" t="s">
        <v>1578</v>
      </c>
      <c r="J525" s="130" t="s">
        <v>1579</v>
      </c>
      <c r="K525" s="130" t="s">
        <v>1580</v>
      </c>
      <c r="L525" s="130" t="s">
        <v>1566</v>
      </c>
      <c r="M525" s="130" t="s">
        <v>1567</v>
      </c>
      <c r="N525" s="130" t="s">
        <v>1568</v>
      </c>
      <c r="O525" s="130" t="s">
        <v>1569</v>
      </c>
      <c r="P525" s="130" t="s">
        <v>1570</v>
      </c>
      <c r="Q525" s="130" t="s">
        <v>1127</v>
      </c>
      <c r="R525" s="130" t="s">
        <v>1191</v>
      </c>
      <c r="S525" s="130" t="s">
        <v>1583</v>
      </c>
      <c r="T525" s="130" t="s">
        <v>1321</v>
      </c>
      <c r="U525" s="130">
        <v>7252</v>
      </c>
      <c r="V525" s="131">
        <v>-5000</v>
      </c>
      <c r="W525" s="131">
        <v>2252</v>
      </c>
      <c r="X525" s="131">
        <v>0</v>
      </c>
      <c r="Y525" s="131">
        <v>2252</v>
      </c>
      <c r="Z525" s="131">
        <v>0</v>
      </c>
      <c r="AA525" s="131">
        <v>2252</v>
      </c>
      <c r="AB525" s="131">
        <v>0</v>
      </c>
      <c r="AC525" s="131">
        <v>2252</v>
      </c>
      <c r="AD525" s="131">
        <v>0</v>
      </c>
      <c r="AE525" s="132">
        <v>2252</v>
      </c>
    </row>
    <row r="526" spans="1:31" x14ac:dyDescent="0.2">
      <c r="A526" s="133">
        <v>86</v>
      </c>
      <c r="B526" s="133" t="s">
        <v>1564</v>
      </c>
      <c r="C526" s="133" t="s">
        <v>1199</v>
      </c>
      <c r="D526" s="133" t="s">
        <v>1565</v>
      </c>
      <c r="E526" s="133" t="s">
        <v>1201</v>
      </c>
      <c r="F526" s="133" t="s">
        <v>1117</v>
      </c>
      <c r="G526" s="133" t="s">
        <v>1202</v>
      </c>
      <c r="H526" s="133" t="s">
        <v>1216</v>
      </c>
      <c r="I526" s="130" t="s">
        <v>1252</v>
      </c>
      <c r="J526" s="130" t="s">
        <v>1253</v>
      </c>
      <c r="K526" s="130" t="s">
        <v>1581</v>
      </c>
      <c r="L526" s="130" t="s">
        <v>1566</v>
      </c>
      <c r="M526" s="130" t="s">
        <v>1567</v>
      </c>
      <c r="N526" s="130" t="s">
        <v>1568</v>
      </c>
      <c r="O526" s="130" t="s">
        <v>1569</v>
      </c>
      <c r="P526" s="130" t="s">
        <v>1570</v>
      </c>
      <c r="Q526" s="130" t="s">
        <v>1127</v>
      </c>
      <c r="R526" s="130" t="s">
        <v>1191</v>
      </c>
      <c r="S526" s="130" t="s">
        <v>1583</v>
      </c>
      <c r="T526" s="130" t="s">
        <v>1321</v>
      </c>
      <c r="U526" s="130">
        <v>1182</v>
      </c>
      <c r="V526" s="131">
        <v>0</v>
      </c>
      <c r="W526" s="131">
        <v>1182</v>
      </c>
      <c r="X526" s="131">
        <v>0</v>
      </c>
      <c r="Y526" s="131">
        <v>1182</v>
      </c>
      <c r="Z526" s="131">
        <v>0</v>
      </c>
      <c r="AA526" s="131">
        <v>1182</v>
      </c>
      <c r="AB526" s="131">
        <v>0</v>
      </c>
      <c r="AC526" s="131">
        <v>1182</v>
      </c>
      <c r="AD526" s="131">
        <v>0</v>
      </c>
      <c r="AE526" s="132">
        <v>1182</v>
      </c>
    </row>
    <row r="527" spans="1:31" x14ac:dyDescent="0.2">
      <c r="A527" s="133">
        <v>86</v>
      </c>
      <c r="B527" s="133" t="s">
        <v>1564</v>
      </c>
      <c r="C527" s="133" t="s">
        <v>1199</v>
      </c>
      <c r="D527" s="133" t="s">
        <v>1565</v>
      </c>
      <c r="E527" s="133" t="s">
        <v>1201</v>
      </c>
      <c r="F527" s="133" t="s">
        <v>1117</v>
      </c>
      <c r="G527" s="133" t="s">
        <v>1202</v>
      </c>
      <c r="H527" s="133" t="s">
        <v>1216</v>
      </c>
      <c r="I527" s="133" t="s">
        <v>1252</v>
      </c>
      <c r="J527" s="133" t="s">
        <v>1253</v>
      </c>
      <c r="K527" s="130" t="s">
        <v>1528</v>
      </c>
      <c r="L527" s="130" t="s">
        <v>1566</v>
      </c>
      <c r="M527" s="130" t="s">
        <v>1567</v>
      </c>
      <c r="N527" s="130" t="s">
        <v>1568</v>
      </c>
      <c r="O527" s="130" t="s">
        <v>1569</v>
      </c>
      <c r="P527" s="130" t="s">
        <v>1570</v>
      </c>
      <c r="Q527" s="130" t="s">
        <v>1127</v>
      </c>
      <c r="R527" s="130" t="s">
        <v>1191</v>
      </c>
      <c r="S527" s="130" t="s">
        <v>1583</v>
      </c>
      <c r="T527" s="130" t="s">
        <v>1321</v>
      </c>
      <c r="U527" s="130">
        <v>953</v>
      </c>
      <c r="V527" s="131">
        <v>0</v>
      </c>
      <c r="W527" s="131">
        <v>953</v>
      </c>
      <c r="X527" s="131">
        <v>0</v>
      </c>
      <c r="Y527" s="131">
        <v>953</v>
      </c>
      <c r="Z527" s="131">
        <v>0</v>
      </c>
      <c r="AA527" s="131">
        <v>953</v>
      </c>
      <c r="AB527" s="131">
        <v>0</v>
      </c>
      <c r="AC527" s="131">
        <v>953</v>
      </c>
      <c r="AD527" s="131">
        <v>0</v>
      </c>
      <c r="AE527" s="132">
        <v>953</v>
      </c>
    </row>
    <row r="528" spans="1:31" x14ac:dyDescent="0.2">
      <c r="A528" s="133">
        <v>86</v>
      </c>
      <c r="B528" s="133" t="s">
        <v>1564</v>
      </c>
      <c r="C528" s="133" t="s">
        <v>1199</v>
      </c>
      <c r="D528" s="133" t="s">
        <v>1565</v>
      </c>
      <c r="E528" s="133" t="s">
        <v>1201</v>
      </c>
      <c r="F528" s="133" t="s">
        <v>1117</v>
      </c>
      <c r="G528" s="133" t="s">
        <v>1202</v>
      </c>
      <c r="H528" s="133" t="s">
        <v>1216</v>
      </c>
      <c r="I528" s="133" t="s">
        <v>1252</v>
      </c>
      <c r="J528" s="133" t="s">
        <v>1253</v>
      </c>
      <c r="K528" s="130" t="s">
        <v>1254</v>
      </c>
      <c r="L528" s="130" t="s">
        <v>1566</v>
      </c>
      <c r="M528" s="130" t="s">
        <v>1567</v>
      </c>
      <c r="N528" s="130" t="s">
        <v>1568</v>
      </c>
      <c r="O528" s="130" t="s">
        <v>1569</v>
      </c>
      <c r="P528" s="130" t="s">
        <v>1570</v>
      </c>
      <c r="Q528" s="130" t="s">
        <v>1127</v>
      </c>
      <c r="R528" s="130" t="s">
        <v>1191</v>
      </c>
      <c r="S528" s="130" t="s">
        <v>1583</v>
      </c>
      <c r="T528" s="130" t="s">
        <v>1321</v>
      </c>
      <c r="U528" s="130">
        <v>1200</v>
      </c>
      <c r="V528" s="131">
        <v>0</v>
      </c>
      <c r="W528" s="131">
        <v>1200</v>
      </c>
      <c r="X528" s="131">
        <v>0</v>
      </c>
      <c r="Y528" s="131">
        <v>1200</v>
      </c>
      <c r="Z528" s="131">
        <v>0</v>
      </c>
      <c r="AA528" s="131">
        <v>1200</v>
      </c>
      <c r="AB528" s="131">
        <v>0</v>
      </c>
      <c r="AC528" s="131">
        <v>1200</v>
      </c>
      <c r="AD528" s="131">
        <v>0</v>
      </c>
      <c r="AE528" s="132">
        <v>1200</v>
      </c>
    </row>
    <row r="529" spans="1:31" x14ac:dyDescent="0.2">
      <c r="A529" s="133">
        <v>86</v>
      </c>
      <c r="B529" s="133" t="s">
        <v>1564</v>
      </c>
      <c r="C529" s="133" t="s">
        <v>1199</v>
      </c>
      <c r="D529" s="133" t="s">
        <v>1565</v>
      </c>
      <c r="E529" s="133" t="s">
        <v>1201</v>
      </c>
      <c r="F529" s="133" t="s">
        <v>1117</v>
      </c>
      <c r="G529" s="133" t="s">
        <v>1202</v>
      </c>
      <c r="H529" s="130" t="s">
        <v>1203</v>
      </c>
      <c r="I529" s="130" t="s">
        <v>1204</v>
      </c>
      <c r="J529" s="130" t="s">
        <v>1205</v>
      </c>
      <c r="K529" s="130" t="s">
        <v>1255</v>
      </c>
      <c r="L529" s="130" t="s">
        <v>1566</v>
      </c>
      <c r="M529" s="130" t="s">
        <v>1567</v>
      </c>
      <c r="N529" s="130" t="s">
        <v>1568</v>
      </c>
      <c r="O529" s="130" t="s">
        <v>1569</v>
      </c>
      <c r="P529" s="130" t="s">
        <v>1570</v>
      </c>
      <c r="Q529" s="130" t="s">
        <v>1127</v>
      </c>
      <c r="R529" s="130" t="s">
        <v>1191</v>
      </c>
      <c r="S529" s="130" t="s">
        <v>1583</v>
      </c>
      <c r="T529" s="130" t="s">
        <v>1321</v>
      </c>
      <c r="U529" s="130">
        <v>3000</v>
      </c>
      <c r="V529" s="131">
        <v>0</v>
      </c>
      <c r="W529" s="131">
        <v>3000</v>
      </c>
      <c r="X529" s="131">
        <v>0</v>
      </c>
      <c r="Y529" s="131">
        <v>3000</v>
      </c>
      <c r="Z529" s="131">
        <v>0</v>
      </c>
      <c r="AA529" s="131">
        <v>3000</v>
      </c>
      <c r="AB529" s="131">
        <v>0</v>
      </c>
      <c r="AC529" s="131">
        <v>3000</v>
      </c>
      <c r="AD529" s="131">
        <v>0</v>
      </c>
      <c r="AE529" s="132">
        <v>3000</v>
      </c>
    </row>
    <row r="530" spans="1:31" x14ac:dyDescent="0.2">
      <c r="A530" s="133">
        <v>86</v>
      </c>
      <c r="B530" s="133" t="s">
        <v>1564</v>
      </c>
      <c r="C530" s="133" t="s">
        <v>1199</v>
      </c>
      <c r="D530" s="133" t="s">
        <v>1565</v>
      </c>
      <c r="E530" s="133" t="s">
        <v>1201</v>
      </c>
      <c r="F530" s="133" t="s">
        <v>1117</v>
      </c>
      <c r="G530" s="133" t="s">
        <v>1202</v>
      </c>
      <c r="H530" s="133" t="s">
        <v>1203</v>
      </c>
      <c r="I530" s="133" t="s">
        <v>1204</v>
      </c>
      <c r="J530" s="133" t="s">
        <v>1205</v>
      </c>
      <c r="K530" s="130" t="s">
        <v>1256</v>
      </c>
      <c r="L530" s="130" t="s">
        <v>1566</v>
      </c>
      <c r="M530" s="130" t="s">
        <v>1567</v>
      </c>
      <c r="N530" s="130" t="s">
        <v>1568</v>
      </c>
      <c r="O530" s="130" t="s">
        <v>1569</v>
      </c>
      <c r="P530" s="130" t="s">
        <v>1570</v>
      </c>
      <c r="Q530" s="130" t="s">
        <v>1127</v>
      </c>
      <c r="R530" s="130" t="s">
        <v>1191</v>
      </c>
      <c r="S530" s="130" t="s">
        <v>1583</v>
      </c>
      <c r="T530" s="130" t="s">
        <v>1321</v>
      </c>
      <c r="U530" s="130">
        <v>1280</v>
      </c>
      <c r="V530" s="131">
        <v>0</v>
      </c>
      <c r="W530" s="131">
        <v>1280</v>
      </c>
      <c r="X530" s="131">
        <v>0</v>
      </c>
      <c r="Y530" s="131">
        <v>1280</v>
      </c>
      <c r="Z530" s="131">
        <v>0</v>
      </c>
      <c r="AA530" s="131">
        <v>1280</v>
      </c>
      <c r="AB530" s="131">
        <v>0</v>
      </c>
      <c r="AC530" s="131">
        <v>1280</v>
      </c>
      <c r="AD530" s="131">
        <v>0</v>
      </c>
      <c r="AE530" s="132">
        <v>1280</v>
      </c>
    </row>
    <row r="531" spans="1:31" x14ac:dyDescent="0.2">
      <c r="A531" s="133">
        <v>86</v>
      </c>
      <c r="B531" s="133" t="s">
        <v>1564</v>
      </c>
      <c r="C531" s="133" t="s">
        <v>1199</v>
      </c>
      <c r="D531" s="133" t="s">
        <v>1565</v>
      </c>
      <c r="E531" s="133" t="s">
        <v>1201</v>
      </c>
      <c r="F531" s="133" t="s">
        <v>1117</v>
      </c>
      <c r="G531" s="133" t="s">
        <v>1202</v>
      </c>
      <c r="H531" s="133" t="s">
        <v>1203</v>
      </c>
      <c r="I531" s="133" t="s">
        <v>1204</v>
      </c>
      <c r="J531" s="133" t="s">
        <v>1205</v>
      </c>
      <c r="K531" s="130" t="s">
        <v>1206</v>
      </c>
      <c r="L531" s="130" t="s">
        <v>1566</v>
      </c>
      <c r="M531" s="130" t="s">
        <v>1567</v>
      </c>
      <c r="N531" s="130" t="s">
        <v>1568</v>
      </c>
      <c r="O531" s="130" t="s">
        <v>1569</v>
      </c>
      <c r="P531" s="130" t="s">
        <v>1570</v>
      </c>
      <c r="Q531" s="130" t="s">
        <v>1127</v>
      </c>
      <c r="R531" s="130" t="s">
        <v>1191</v>
      </c>
      <c r="S531" s="130" t="s">
        <v>1583</v>
      </c>
      <c r="T531" s="130" t="s">
        <v>1321</v>
      </c>
      <c r="U531" s="130">
        <v>600</v>
      </c>
      <c r="V531" s="131">
        <v>0</v>
      </c>
      <c r="W531" s="131">
        <v>600</v>
      </c>
      <c r="X531" s="131">
        <v>0</v>
      </c>
      <c r="Y531" s="131">
        <v>600</v>
      </c>
      <c r="Z531" s="131">
        <v>0</v>
      </c>
      <c r="AA531" s="131">
        <v>600</v>
      </c>
      <c r="AB531" s="131">
        <v>0</v>
      </c>
      <c r="AC531" s="131">
        <v>600</v>
      </c>
      <c r="AD531" s="131">
        <v>0</v>
      </c>
      <c r="AE531" s="132">
        <v>600</v>
      </c>
    </row>
    <row r="532" spans="1:31" x14ac:dyDescent="0.2">
      <c r="A532" s="133">
        <v>86</v>
      </c>
      <c r="B532" s="133" t="s">
        <v>1564</v>
      </c>
      <c r="C532" s="133" t="s">
        <v>1199</v>
      </c>
      <c r="D532" s="133" t="s">
        <v>1565</v>
      </c>
      <c r="E532" s="133" t="s">
        <v>1201</v>
      </c>
      <c r="F532" s="133" t="s">
        <v>1117</v>
      </c>
      <c r="G532" s="133" t="s">
        <v>1202</v>
      </c>
      <c r="H532" s="133" t="s">
        <v>1203</v>
      </c>
      <c r="I532" s="130" t="s">
        <v>1224</v>
      </c>
      <c r="J532" s="130" t="s">
        <v>1257</v>
      </c>
      <c r="K532" s="130" t="s">
        <v>1258</v>
      </c>
      <c r="L532" s="130" t="s">
        <v>1566</v>
      </c>
      <c r="M532" s="130" t="s">
        <v>1567</v>
      </c>
      <c r="N532" s="130" t="s">
        <v>1568</v>
      </c>
      <c r="O532" s="130" t="s">
        <v>1569</v>
      </c>
      <c r="P532" s="130" t="s">
        <v>1570</v>
      </c>
      <c r="Q532" s="130" t="s">
        <v>1127</v>
      </c>
      <c r="R532" s="130" t="s">
        <v>1191</v>
      </c>
      <c r="S532" s="130" t="s">
        <v>1583</v>
      </c>
      <c r="T532" s="130" t="s">
        <v>1321</v>
      </c>
      <c r="U532" s="130">
        <v>10482</v>
      </c>
      <c r="V532" s="131">
        <v>0</v>
      </c>
      <c r="W532" s="131">
        <v>10482</v>
      </c>
      <c r="X532" s="131">
        <v>7000</v>
      </c>
      <c r="Y532" s="131">
        <v>3482</v>
      </c>
      <c r="Z532" s="131">
        <v>3651.9</v>
      </c>
      <c r="AA532" s="131">
        <v>6830.1</v>
      </c>
      <c r="AB532" s="131">
        <v>3651.8999999999996</v>
      </c>
      <c r="AC532" s="131">
        <v>6830.1</v>
      </c>
      <c r="AD532" s="131">
        <v>3651.8999999999996</v>
      </c>
      <c r="AE532" s="132">
        <v>6830.1</v>
      </c>
    </row>
    <row r="533" spans="1:31" x14ac:dyDescent="0.2">
      <c r="A533" s="133">
        <v>86</v>
      </c>
      <c r="B533" s="133" t="s">
        <v>1564</v>
      </c>
      <c r="C533" s="133" t="s">
        <v>1199</v>
      </c>
      <c r="D533" s="133" t="s">
        <v>1565</v>
      </c>
      <c r="E533" s="133" t="s">
        <v>1201</v>
      </c>
      <c r="F533" s="133" t="s">
        <v>1117</v>
      </c>
      <c r="G533" s="133" t="s">
        <v>1202</v>
      </c>
      <c r="H533" s="133" t="s">
        <v>1203</v>
      </c>
      <c r="I533" s="133" t="s">
        <v>1224</v>
      </c>
      <c r="J533" s="133" t="s">
        <v>1257</v>
      </c>
      <c r="K533" s="130" t="s">
        <v>1259</v>
      </c>
      <c r="L533" s="130" t="s">
        <v>1566</v>
      </c>
      <c r="M533" s="130" t="s">
        <v>1567</v>
      </c>
      <c r="N533" s="130" t="s">
        <v>1568</v>
      </c>
      <c r="O533" s="130" t="s">
        <v>1569</v>
      </c>
      <c r="P533" s="130" t="s">
        <v>1570</v>
      </c>
      <c r="Q533" s="130" t="s">
        <v>1127</v>
      </c>
      <c r="R533" s="130" t="s">
        <v>1191</v>
      </c>
      <c r="S533" s="130" t="s">
        <v>1583</v>
      </c>
      <c r="T533" s="130" t="s">
        <v>1321</v>
      </c>
      <c r="U533" s="130">
        <v>2825</v>
      </c>
      <c r="V533" s="131">
        <v>0</v>
      </c>
      <c r="W533" s="131">
        <v>2825</v>
      </c>
      <c r="X533" s="131">
        <v>2100</v>
      </c>
      <c r="Y533" s="131">
        <v>725</v>
      </c>
      <c r="Z533" s="131">
        <v>800</v>
      </c>
      <c r="AA533" s="131">
        <v>2025</v>
      </c>
      <c r="AB533" s="131">
        <v>800</v>
      </c>
      <c r="AC533" s="131">
        <v>2025</v>
      </c>
      <c r="AD533" s="131">
        <v>800</v>
      </c>
      <c r="AE533" s="132">
        <v>2025</v>
      </c>
    </row>
    <row r="534" spans="1:31" x14ac:dyDescent="0.2">
      <c r="A534" s="133">
        <v>86</v>
      </c>
      <c r="B534" s="133" t="s">
        <v>1564</v>
      </c>
      <c r="C534" s="133" t="s">
        <v>1199</v>
      </c>
      <c r="D534" s="133" t="s">
        <v>1565</v>
      </c>
      <c r="E534" s="133" t="s">
        <v>1201</v>
      </c>
      <c r="F534" s="133" t="s">
        <v>1117</v>
      </c>
      <c r="G534" s="133" t="s">
        <v>1202</v>
      </c>
      <c r="H534" s="133" t="s">
        <v>1203</v>
      </c>
      <c r="I534" s="133" t="s">
        <v>1224</v>
      </c>
      <c r="J534" s="130" t="s">
        <v>1529</v>
      </c>
      <c r="K534" s="130" t="s">
        <v>1530</v>
      </c>
      <c r="L534" s="130" t="s">
        <v>1566</v>
      </c>
      <c r="M534" s="130" t="s">
        <v>1567</v>
      </c>
      <c r="N534" s="130" t="s">
        <v>1568</v>
      </c>
      <c r="O534" s="130" t="s">
        <v>1569</v>
      </c>
      <c r="P534" s="130" t="s">
        <v>1570</v>
      </c>
      <c r="Q534" s="130" t="s">
        <v>1127</v>
      </c>
      <c r="R534" s="130" t="s">
        <v>1191</v>
      </c>
      <c r="S534" s="130" t="s">
        <v>1583</v>
      </c>
      <c r="T534" s="130" t="s">
        <v>1321</v>
      </c>
      <c r="U534" s="130">
        <v>504</v>
      </c>
      <c r="V534" s="131">
        <v>0</v>
      </c>
      <c r="W534" s="131">
        <v>504</v>
      </c>
      <c r="X534" s="131">
        <v>0</v>
      </c>
      <c r="Y534" s="131">
        <v>504</v>
      </c>
      <c r="Z534" s="131">
        <v>0</v>
      </c>
      <c r="AA534" s="131">
        <v>504</v>
      </c>
      <c r="AB534" s="131">
        <v>0</v>
      </c>
      <c r="AC534" s="131">
        <v>504</v>
      </c>
      <c r="AD534" s="131">
        <v>0</v>
      </c>
      <c r="AE534" s="132">
        <v>504</v>
      </c>
    </row>
    <row r="535" spans="1:31" x14ac:dyDescent="0.2">
      <c r="A535" s="133">
        <v>86</v>
      </c>
      <c r="B535" s="133" t="s">
        <v>1564</v>
      </c>
      <c r="C535" s="133" t="s">
        <v>1199</v>
      </c>
      <c r="D535" s="133" t="s">
        <v>1565</v>
      </c>
      <c r="E535" s="133" t="s">
        <v>1201</v>
      </c>
      <c r="F535" s="133" t="s">
        <v>1117</v>
      </c>
      <c r="G535" s="133" t="s">
        <v>1202</v>
      </c>
      <c r="H535" s="133" t="s">
        <v>1203</v>
      </c>
      <c r="I535" s="133" t="s">
        <v>1224</v>
      </c>
      <c r="J535" s="133" t="s">
        <v>1529</v>
      </c>
      <c r="K535" s="130" t="s">
        <v>1531</v>
      </c>
      <c r="L535" s="130" t="s">
        <v>1566</v>
      </c>
      <c r="M535" s="130" t="s">
        <v>1567</v>
      </c>
      <c r="N535" s="130" t="s">
        <v>1568</v>
      </c>
      <c r="O535" s="130" t="s">
        <v>1569</v>
      </c>
      <c r="P535" s="130" t="s">
        <v>1570</v>
      </c>
      <c r="Q535" s="130" t="s">
        <v>1127</v>
      </c>
      <c r="R535" s="130" t="s">
        <v>1191</v>
      </c>
      <c r="S535" s="130" t="s">
        <v>1583</v>
      </c>
      <c r="T535" s="130" t="s">
        <v>1321</v>
      </c>
      <c r="U535" s="130">
        <v>1416</v>
      </c>
      <c r="V535" s="131">
        <v>0</v>
      </c>
      <c r="W535" s="131">
        <v>1416</v>
      </c>
      <c r="X535" s="131">
        <v>0</v>
      </c>
      <c r="Y535" s="131">
        <v>1416</v>
      </c>
      <c r="Z535" s="131">
        <v>0</v>
      </c>
      <c r="AA535" s="131">
        <v>1416</v>
      </c>
      <c r="AB535" s="131">
        <v>0</v>
      </c>
      <c r="AC535" s="131">
        <v>1416</v>
      </c>
      <c r="AD535" s="131">
        <v>0</v>
      </c>
      <c r="AE535" s="132">
        <v>1416</v>
      </c>
    </row>
    <row r="536" spans="1:31" x14ac:dyDescent="0.2">
      <c r="A536" s="133">
        <v>86</v>
      </c>
      <c r="B536" s="133" t="s">
        <v>1564</v>
      </c>
      <c r="C536" s="133" t="s">
        <v>1199</v>
      </c>
      <c r="D536" s="133" t="s">
        <v>1565</v>
      </c>
      <c r="E536" s="133" t="s">
        <v>1201</v>
      </c>
      <c r="F536" s="133" t="s">
        <v>1117</v>
      </c>
      <c r="G536" s="133" t="s">
        <v>1202</v>
      </c>
      <c r="H536" s="133" t="s">
        <v>1203</v>
      </c>
      <c r="I536" s="133" t="s">
        <v>1224</v>
      </c>
      <c r="J536" s="130" t="s">
        <v>1306</v>
      </c>
      <c r="K536" s="130" t="s">
        <v>1307</v>
      </c>
      <c r="L536" s="130" t="s">
        <v>1566</v>
      </c>
      <c r="M536" s="130" t="s">
        <v>1567</v>
      </c>
      <c r="N536" s="130" t="s">
        <v>1568</v>
      </c>
      <c r="O536" s="130" t="s">
        <v>1569</v>
      </c>
      <c r="P536" s="130" t="s">
        <v>1570</v>
      </c>
      <c r="Q536" s="130" t="s">
        <v>1127</v>
      </c>
      <c r="R536" s="130" t="s">
        <v>1191</v>
      </c>
      <c r="S536" s="130" t="s">
        <v>1583</v>
      </c>
      <c r="T536" s="130" t="s">
        <v>1321</v>
      </c>
      <c r="U536" s="130">
        <v>1200</v>
      </c>
      <c r="V536" s="131">
        <v>0</v>
      </c>
      <c r="W536" s="131">
        <v>1200</v>
      </c>
      <c r="X536" s="131">
        <v>0</v>
      </c>
      <c r="Y536" s="131">
        <v>1200</v>
      </c>
      <c r="Z536" s="131">
        <v>0</v>
      </c>
      <c r="AA536" s="131">
        <v>1200</v>
      </c>
      <c r="AB536" s="131">
        <v>0</v>
      </c>
      <c r="AC536" s="131">
        <v>1200</v>
      </c>
      <c r="AD536" s="131">
        <v>0</v>
      </c>
      <c r="AE536" s="132">
        <v>1200</v>
      </c>
    </row>
    <row r="537" spans="1:31" x14ac:dyDescent="0.2">
      <c r="A537" s="133">
        <v>86</v>
      </c>
      <c r="B537" s="133" t="s">
        <v>1564</v>
      </c>
      <c r="C537" s="133" t="s">
        <v>1199</v>
      </c>
      <c r="D537" s="133" t="s">
        <v>1565</v>
      </c>
      <c r="E537" s="133" t="s">
        <v>1201</v>
      </c>
      <c r="F537" s="133" t="s">
        <v>1117</v>
      </c>
      <c r="G537" s="133" t="s">
        <v>1202</v>
      </c>
      <c r="H537" s="133" t="s">
        <v>1203</v>
      </c>
      <c r="I537" s="130" t="s">
        <v>1315</v>
      </c>
      <c r="J537" s="130" t="s">
        <v>1316</v>
      </c>
      <c r="K537" s="130" t="s">
        <v>1582</v>
      </c>
      <c r="L537" s="130" t="s">
        <v>1566</v>
      </c>
      <c r="M537" s="130" t="s">
        <v>1567</v>
      </c>
      <c r="N537" s="130" t="s">
        <v>1568</v>
      </c>
      <c r="O537" s="130" t="s">
        <v>1569</v>
      </c>
      <c r="P537" s="130" t="s">
        <v>1570</v>
      </c>
      <c r="Q537" s="130" t="s">
        <v>1127</v>
      </c>
      <c r="R537" s="130" t="s">
        <v>1191</v>
      </c>
      <c r="S537" s="130" t="s">
        <v>1583</v>
      </c>
      <c r="T537" s="130" t="s">
        <v>1321</v>
      </c>
      <c r="U537" s="130">
        <v>3000</v>
      </c>
      <c r="V537" s="131">
        <v>-1300</v>
      </c>
      <c r="W537" s="131">
        <v>1700</v>
      </c>
      <c r="X537" s="131">
        <v>0</v>
      </c>
      <c r="Y537" s="131">
        <v>1700</v>
      </c>
      <c r="Z537" s="131">
        <v>0</v>
      </c>
      <c r="AA537" s="131">
        <v>1700</v>
      </c>
      <c r="AB537" s="131">
        <v>0</v>
      </c>
      <c r="AC537" s="131">
        <v>1700</v>
      </c>
      <c r="AD537" s="131">
        <v>0</v>
      </c>
      <c r="AE537" s="132">
        <v>1700</v>
      </c>
    </row>
    <row r="538" spans="1:31" x14ac:dyDescent="0.2">
      <c r="A538" s="133">
        <v>86</v>
      </c>
      <c r="B538" s="133" t="s">
        <v>1564</v>
      </c>
      <c r="C538" s="133" t="s">
        <v>1199</v>
      </c>
      <c r="D538" s="133" t="s">
        <v>1565</v>
      </c>
      <c r="E538" s="133" t="s">
        <v>1201</v>
      </c>
      <c r="F538" s="133" t="s">
        <v>1117</v>
      </c>
      <c r="G538" s="133" t="s">
        <v>1202</v>
      </c>
      <c r="H538" s="133" t="s">
        <v>1203</v>
      </c>
      <c r="I538" s="130" t="s">
        <v>1269</v>
      </c>
      <c r="J538" s="130" t="s">
        <v>1270</v>
      </c>
      <c r="K538" s="130" t="s">
        <v>1272</v>
      </c>
      <c r="L538" s="130" t="s">
        <v>1566</v>
      </c>
      <c r="M538" s="130" t="s">
        <v>1567</v>
      </c>
      <c r="N538" s="130" t="s">
        <v>1568</v>
      </c>
      <c r="O538" s="130" t="s">
        <v>1569</v>
      </c>
      <c r="P538" s="130" t="s">
        <v>1570</v>
      </c>
      <c r="Q538" s="130" t="s">
        <v>1127</v>
      </c>
      <c r="R538" s="130" t="s">
        <v>1191</v>
      </c>
      <c r="S538" s="130" t="s">
        <v>1583</v>
      </c>
      <c r="T538" s="130" t="s">
        <v>1321</v>
      </c>
      <c r="U538" s="130">
        <v>100</v>
      </c>
      <c r="V538" s="131">
        <v>0</v>
      </c>
      <c r="W538" s="131">
        <v>100</v>
      </c>
      <c r="X538" s="131">
        <v>0</v>
      </c>
      <c r="Y538" s="131">
        <v>100</v>
      </c>
      <c r="Z538" s="131">
        <v>0</v>
      </c>
      <c r="AA538" s="131">
        <v>100</v>
      </c>
      <c r="AB538" s="131">
        <v>0</v>
      </c>
      <c r="AC538" s="131">
        <v>100</v>
      </c>
      <c r="AD538" s="131">
        <v>0</v>
      </c>
      <c r="AE538" s="132">
        <v>100</v>
      </c>
    </row>
    <row r="539" spans="1:31" x14ac:dyDescent="0.2">
      <c r="A539" s="133">
        <v>86</v>
      </c>
      <c r="B539" s="133" t="s">
        <v>1564</v>
      </c>
      <c r="C539" s="133" t="s">
        <v>1199</v>
      </c>
      <c r="D539" s="133" t="s">
        <v>1565</v>
      </c>
      <c r="E539" s="133" t="s">
        <v>1201</v>
      </c>
      <c r="F539" s="133" t="s">
        <v>1117</v>
      </c>
      <c r="G539" s="133" t="s">
        <v>1202</v>
      </c>
      <c r="H539" s="133" t="s">
        <v>1203</v>
      </c>
      <c r="I539" s="130" t="s">
        <v>1209</v>
      </c>
      <c r="J539" s="130" t="s">
        <v>1210</v>
      </c>
      <c r="K539" s="130" t="s">
        <v>1274</v>
      </c>
      <c r="L539" s="130" t="s">
        <v>1566</v>
      </c>
      <c r="M539" s="130" t="s">
        <v>1567</v>
      </c>
      <c r="N539" s="130" t="s">
        <v>1568</v>
      </c>
      <c r="O539" s="130" t="s">
        <v>1569</v>
      </c>
      <c r="P539" s="130" t="s">
        <v>1570</v>
      </c>
      <c r="Q539" s="130" t="s">
        <v>1127</v>
      </c>
      <c r="R539" s="130" t="s">
        <v>1191</v>
      </c>
      <c r="S539" s="130" t="s">
        <v>1583</v>
      </c>
      <c r="T539" s="130" t="s">
        <v>1321</v>
      </c>
      <c r="U539" s="130">
        <v>60000</v>
      </c>
      <c r="V539" s="131">
        <v>0</v>
      </c>
      <c r="W539" s="131">
        <v>60000</v>
      </c>
      <c r="X539" s="131">
        <v>47150</v>
      </c>
      <c r="Y539" s="131">
        <v>12850</v>
      </c>
      <c r="Z539" s="131">
        <v>47150</v>
      </c>
      <c r="AA539" s="131">
        <v>12850</v>
      </c>
      <c r="AB539" s="131">
        <v>47150</v>
      </c>
      <c r="AC539" s="131">
        <v>12850</v>
      </c>
      <c r="AD539" s="131">
        <v>42050</v>
      </c>
      <c r="AE539" s="132">
        <v>17950</v>
      </c>
    </row>
    <row r="540" spans="1:31" x14ac:dyDescent="0.2">
      <c r="A540" s="133">
        <v>86</v>
      </c>
      <c r="B540" s="133" t="s">
        <v>1564</v>
      </c>
      <c r="C540" s="133" t="s">
        <v>1199</v>
      </c>
      <c r="D540" s="133" t="s">
        <v>1565</v>
      </c>
      <c r="E540" s="133" t="s">
        <v>1201</v>
      </c>
      <c r="F540" s="133" t="s">
        <v>1117</v>
      </c>
      <c r="G540" s="133" t="s">
        <v>1202</v>
      </c>
      <c r="H540" s="133" t="s">
        <v>1203</v>
      </c>
      <c r="I540" s="130" t="s">
        <v>1309</v>
      </c>
      <c r="J540" s="130" t="s">
        <v>1310</v>
      </c>
      <c r="K540" s="130" t="s">
        <v>1310</v>
      </c>
      <c r="L540" s="130" t="s">
        <v>1566</v>
      </c>
      <c r="M540" s="130" t="s">
        <v>1567</v>
      </c>
      <c r="N540" s="130" t="s">
        <v>1568</v>
      </c>
      <c r="O540" s="130" t="s">
        <v>1569</v>
      </c>
      <c r="P540" s="130" t="s">
        <v>1570</v>
      </c>
      <c r="Q540" s="130" t="s">
        <v>1127</v>
      </c>
      <c r="R540" s="130" t="s">
        <v>1191</v>
      </c>
      <c r="S540" s="130" t="s">
        <v>1583</v>
      </c>
      <c r="T540" s="130" t="s">
        <v>1321</v>
      </c>
      <c r="U540" s="130">
        <v>0</v>
      </c>
      <c r="V540" s="131">
        <v>80000</v>
      </c>
      <c r="W540" s="131">
        <v>80000</v>
      </c>
      <c r="X540" s="131">
        <v>41200</v>
      </c>
      <c r="Y540" s="131">
        <v>38800</v>
      </c>
      <c r="Z540" s="131">
        <v>41200</v>
      </c>
      <c r="AA540" s="131">
        <v>38800</v>
      </c>
      <c r="AB540" s="131">
        <v>41200</v>
      </c>
      <c r="AC540" s="131">
        <v>38800</v>
      </c>
      <c r="AD540" s="131">
        <v>17900</v>
      </c>
      <c r="AE540" s="132">
        <v>62100</v>
      </c>
    </row>
    <row r="541" spans="1:31" x14ac:dyDescent="0.2">
      <c r="A541" s="130">
        <v>87</v>
      </c>
      <c r="B541" s="130" t="s">
        <v>135</v>
      </c>
      <c r="C541" s="130" t="s">
        <v>1114</v>
      </c>
      <c r="D541" s="130" t="s">
        <v>1584</v>
      </c>
      <c r="E541" s="130" t="s">
        <v>1116</v>
      </c>
      <c r="F541" s="130" t="s">
        <v>1117</v>
      </c>
      <c r="G541" s="130" t="s">
        <v>1118</v>
      </c>
      <c r="H541" s="130" t="s">
        <v>1119</v>
      </c>
      <c r="I541" s="130" t="s">
        <v>1169</v>
      </c>
      <c r="J541" s="130" t="s">
        <v>1195</v>
      </c>
      <c r="K541" s="130" t="s">
        <v>1585</v>
      </c>
      <c r="L541" s="130" t="s">
        <v>1586</v>
      </c>
      <c r="M541" s="130" t="s">
        <v>1587</v>
      </c>
      <c r="N541" s="130" t="s">
        <v>1588</v>
      </c>
      <c r="O541" s="130" t="s">
        <v>1589</v>
      </c>
      <c r="P541" s="130" t="s">
        <v>1590</v>
      </c>
      <c r="Q541" s="130" t="s">
        <v>1127</v>
      </c>
      <c r="R541" s="130" t="s">
        <v>1472</v>
      </c>
      <c r="S541" s="130" t="s">
        <v>1591</v>
      </c>
      <c r="T541" s="130" t="s">
        <v>1176</v>
      </c>
      <c r="U541" s="130">
        <v>0</v>
      </c>
      <c r="V541" s="131">
        <v>240000</v>
      </c>
      <c r="W541" s="131">
        <v>240000</v>
      </c>
      <c r="X541" s="131">
        <v>240000</v>
      </c>
      <c r="Y541" s="131">
        <v>0</v>
      </c>
      <c r="Z541" s="131">
        <v>240000</v>
      </c>
      <c r="AA541" s="131">
        <v>0</v>
      </c>
      <c r="AB541" s="131">
        <v>221943.86000000002</v>
      </c>
      <c r="AC541" s="131">
        <v>18056.139999999985</v>
      </c>
      <c r="AD541" s="131">
        <v>221943.86000000002</v>
      </c>
      <c r="AE541" s="132">
        <v>18056.139999999985</v>
      </c>
    </row>
    <row r="542" spans="1:31" x14ac:dyDescent="0.2">
      <c r="A542" s="133">
        <v>87</v>
      </c>
      <c r="B542" s="133" t="s">
        <v>135</v>
      </c>
      <c r="C542" s="133" t="s">
        <v>1114</v>
      </c>
      <c r="D542" s="133" t="s">
        <v>1584</v>
      </c>
      <c r="E542" s="133" t="s">
        <v>1116</v>
      </c>
      <c r="F542" s="133" t="s">
        <v>1117</v>
      </c>
      <c r="G542" s="133" t="s">
        <v>1118</v>
      </c>
      <c r="H542" s="133" t="s">
        <v>1119</v>
      </c>
      <c r="I542" s="133" t="s">
        <v>1169</v>
      </c>
      <c r="J542" s="133" t="s">
        <v>1195</v>
      </c>
      <c r="K542" s="130" t="s">
        <v>1592</v>
      </c>
      <c r="L542" s="130" t="s">
        <v>1586</v>
      </c>
      <c r="M542" s="130" t="s">
        <v>1587</v>
      </c>
      <c r="N542" s="130" t="s">
        <v>1588</v>
      </c>
      <c r="O542" s="130" t="s">
        <v>1589</v>
      </c>
      <c r="P542" s="130" t="s">
        <v>1590</v>
      </c>
      <c r="Q542" s="130" t="s">
        <v>1127</v>
      </c>
      <c r="R542" s="130" t="s">
        <v>1472</v>
      </c>
      <c r="S542" s="130" t="s">
        <v>1591</v>
      </c>
      <c r="T542" s="130" t="s">
        <v>1176</v>
      </c>
      <c r="U542" s="130">
        <v>1404195</v>
      </c>
      <c r="V542" s="131">
        <v>-1275000</v>
      </c>
      <c r="W542" s="131">
        <v>129195</v>
      </c>
      <c r="X542" s="131">
        <v>103058.6</v>
      </c>
      <c r="Y542" s="131">
        <v>26136.399999999994</v>
      </c>
      <c r="Z542" s="131">
        <v>103058.6</v>
      </c>
      <c r="AA542" s="131">
        <v>26136.399999999994</v>
      </c>
      <c r="AB542" s="131">
        <v>103058.6</v>
      </c>
      <c r="AC542" s="131">
        <v>26136.399999999994</v>
      </c>
      <c r="AD542" s="131">
        <v>67296.600000000006</v>
      </c>
      <c r="AE542" s="132">
        <v>61898.399999999994</v>
      </c>
    </row>
    <row r="543" spans="1:31" x14ac:dyDescent="0.2">
      <c r="A543" s="133">
        <v>87</v>
      </c>
      <c r="B543" s="133" t="s">
        <v>135</v>
      </c>
      <c r="C543" s="133" t="s">
        <v>1114</v>
      </c>
      <c r="D543" s="133" t="s">
        <v>1584</v>
      </c>
      <c r="E543" s="133" t="s">
        <v>1116</v>
      </c>
      <c r="F543" s="133" t="s">
        <v>1117</v>
      </c>
      <c r="G543" s="133" t="s">
        <v>1118</v>
      </c>
      <c r="H543" s="133" t="s">
        <v>1119</v>
      </c>
      <c r="I543" s="133" t="s">
        <v>1169</v>
      </c>
      <c r="J543" s="133" t="s">
        <v>1195</v>
      </c>
      <c r="K543" s="130" t="s">
        <v>1593</v>
      </c>
      <c r="L543" s="130" t="s">
        <v>1586</v>
      </c>
      <c r="M543" s="130" t="s">
        <v>1587</v>
      </c>
      <c r="N543" s="130" t="s">
        <v>1588</v>
      </c>
      <c r="O543" s="130" t="s">
        <v>1589</v>
      </c>
      <c r="P543" s="130" t="s">
        <v>1590</v>
      </c>
      <c r="Q543" s="130" t="s">
        <v>1127</v>
      </c>
      <c r="R543" s="130" t="s">
        <v>1472</v>
      </c>
      <c r="S543" s="130" t="s">
        <v>1591</v>
      </c>
      <c r="T543" s="130" t="s">
        <v>1176</v>
      </c>
      <c r="U543" s="130">
        <v>0</v>
      </c>
      <c r="V543" s="131">
        <v>890000</v>
      </c>
      <c r="W543" s="131">
        <v>890000</v>
      </c>
      <c r="X543" s="131">
        <v>572859</v>
      </c>
      <c r="Y543" s="131">
        <v>317141</v>
      </c>
      <c r="Z543" s="131">
        <v>456640.5</v>
      </c>
      <c r="AA543" s="131">
        <v>433359.5</v>
      </c>
      <c r="AB543" s="131">
        <v>456640.5</v>
      </c>
      <c r="AC543" s="131">
        <v>433359.5</v>
      </c>
      <c r="AD543" s="131">
        <v>393948.5</v>
      </c>
      <c r="AE543" s="132">
        <v>496051.5</v>
      </c>
    </row>
    <row r="544" spans="1:31" x14ac:dyDescent="0.2">
      <c r="A544" s="133">
        <v>87</v>
      </c>
      <c r="B544" s="133" t="s">
        <v>135</v>
      </c>
      <c r="C544" s="133" t="s">
        <v>1114</v>
      </c>
      <c r="D544" s="133" t="s">
        <v>1584</v>
      </c>
      <c r="E544" s="133" t="s">
        <v>1116</v>
      </c>
      <c r="F544" s="133" t="s">
        <v>1117</v>
      </c>
      <c r="G544" s="133" t="s">
        <v>1118</v>
      </c>
      <c r="H544" s="130" t="s">
        <v>1133</v>
      </c>
      <c r="I544" s="130" t="s">
        <v>1134</v>
      </c>
      <c r="J544" s="130" t="s">
        <v>1135</v>
      </c>
      <c r="K544" s="130" t="s">
        <v>1178</v>
      </c>
      <c r="L544" s="130" t="s">
        <v>1586</v>
      </c>
      <c r="M544" s="130" t="s">
        <v>1587</v>
      </c>
      <c r="N544" s="130" t="s">
        <v>1588</v>
      </c>
      <c r="O544" s="130" t="s">
        <v>1589</v>
      </c>
      <c r="P544" s="130" t="s">
        <v>1590</v>
      </c>
      <c r="Q544" s="130" t="s">
        <v>1127</v>
      </c>
      <c r="R544" s="130" t="s">
        <v>1472</v>
      </c>
      <c r="S544" s="130" t="s">
        <v>1591</v>
      </c>
      <c r="T544" s="130" t="s">
        <v>1176</v>
      </c>
      <c r="U544" s="130">
        <v>0</v>
      </c>
      <c r="V544" s="131">
        <v>78000</v>
      </c>
      <c r="W544" s="131">
        <v>78000</v>
      </c>
      <c r="X544" s="131">
        <v>78000</v>
      </c>
      <c r="Y544" s="131">
        <v>0</v>
      </c>
      <c r="Z544" s="131">
        <v>78000</v>
      </c>
      <c r="AA544" s="131">
        <v>0</v>
      </c>
      <c r="AB544" s="131">
        <v>70074.33</v>
      </c>
      <c r="AC544" s="131">
        <v>7925.6699999999983</v>
      </c>
      <c r="AD544" s="131">
        <v>70074.33</v>
      </c>
      <c r="AE544" s="132">
        <v>7925.6699999999983</v>
      </c>
    </row>
    <row r="545" spans="1:31" x14ac:dyDescent="0.2">
      <c r="A545" s="133">
        <v>87</v>
      </c>
      <c r="B545" s="133" t="s">
        <v>135</v>
      </c>
      <c r="C545" s="133" t="s">
        <v>1114</v>
      </c>
      <c r="D545" s="133" t="s">
        <v>1584</v>
      </c>
      <c r="E545" s="133" t="s">
        <v>1116</v>
      </c>
      <c r="F545" s="133" t="s">
        <v>1117</v>
      </c>
      <c r="G545" s="133" t="s">
        <v>1118</v>
      </c>
      <c r="H545" s="133" t="s">
        <v>1133</v>
      </c>
      <c r="I545" s="133" t="s">
        <v>1134</v>
      </c>
      <c r="J545" s="133" t="s">
        <v>1135</v>
      </c>
      <c r="K545" s="130" t="s">
        <v>1179</v>
      </c>
      <c r="L545" s="130" t="s">
        <v>1586</v>
      </c>
      <c r="M545" s="130" t="s">
        <v>1587</v>
      </c>
      <c r="N545" s="130" t="s">
        <v>1588</v>
      </c>
      <c r="O545" s="130" t="s">
        <v>1589</v>
      </c>
      <c r="P545" s="130" t="s">
        <v>1590</v>
      </c>
      <c r="Q545" s="130" t="s">
        <v>1127</v>
      </c>
      <c r="R545" s="130" t="s">
        <v>1472</v>
      </c>
      <c r="S545" s="130" t="s">
        <v>1591</v>
      </c>
      <c r="T545" s="130" t="s">
        <v>1176</v>
      </c>
      <c r="U545" s="130">
        <v>0</v>
      </c>
      <c r="V545" s="131">
        <v>42000</v>
      </c>
      <c r="W545" s="131">
        <v>42000</v>
      </c>
      <c r="X545" s="131">
        <v>28561</v>
      </c>
      <c r="Y545" s="131">
        <v>13439</v>
      </c>
      <c r="Z545" s="131">
        <v>21482.5</v>
      </c>
      <c r="AA545" s="131">
        <v>20517.5</v>
      </c>
      <c r="AB545" s="131">
        <v>21482.5</v>
      </c>
      <c r="AC545" s="131">
        <v>20517.5</v>
      </c>
      <c r="AD545" s="131">
        <v>5521.5</v>
      </c>
      <c r="AE545" s="132">
        <v>36478.5</v>
      </c>
    </row>
    <row r="546" spans="1:31" x14ac:dyDescent="0.2">
      <c r="A546" s="133">
        <v>87</v>
      </c>
      <c r="B546" s="133" t="s">
        <v>135</v>
      </c>
      <c r="C546" s="133" t="s">
        <v>1114</v>
      </c>
      <c r="D546" s="133" t="s">
        <v>1584</v>
      </c>
      <c r="E546" s="133" t="s">
        <v>1116</v>
      </c>
      <c r="F546" s="133" t="s">
        <v>1117</v>
      </c>
      <c r="G546" s="133" t="s">
        <v>1118</v>
      </c>
      <c r="H546" s="133" t="s">
        <v>1133</v>
      </c>
      <c r="I546" s="133" t="s">
        <v>1134</v>
      </c>
      <c r="J546" s="133" t="s">
        <v>1135</v>
      </c>
      <c r="K546" s="130" t="s">
        <v>1144</v>
      </c>
      <c r="L546" s="130" t="s">
        <v>1586</v>
      </c>
      <c r="M546" s="130" t="s">
        <v>1587</v>
      </c>
      <c r="N546" s="130" t="s">
        <v>1588</v>
      </c>
      <c r="O546" s="130" t="s">
        <v>1589</v>
      </c>
      <c r="P546" s="130" t="s">
        <v>1590</v>
      </c>
      <c r="Q546" s="130" t="s">
        <v>1127</v>
      </c>
      <c r="R546" s="130" t="s">
        <v>1472</v>
      </c>
      <c r="S546" s="130" t="s">
        <v>1591</v>
      </c>
      <c r="T546" s="130" t="s">
        <v>1176</v>
      </c>
      <c r="U546" s="130">
        <v>0</v>
      </c>
      <c r="V546" s="131">
        <v>25000</v>
      </c>
      <c r="W546" s="131">
        <v>25000</v>
      </c>
      <c r="X546" s="131">
        <v>18300</v>
      </c>
      <c r="Y546" s="131">
        <v>6700</v>
      </c>
      <c r="Z546" s="131">
        <v>18300</v>
      </c>
      <c r="AA546" s="131">
        <v>6700</v>
      </c>
      <c r="AB546" s="131">
        <v>18300</v>
      </c>
      <c r="AC546" s="131">
        <v>6700</v>
      </c>
      <c r="AD546" s="131">
        <v>1500</v>
      </c>
      <c r="AE546" s="132">
        <v>23500</v>
      </c>
    </row>
    <row r="547" spans="1:31" x14ac:dyDescent="0.2">
      <c r="A547" s="130">
        <v>88</v>
      </c>
      <c r="B547" s="130" t="s">
        <v>1594</v>
      </c>
      <c r="C547" s="130" t="s">
        <v>1114</v>
      </c>
      <c r="D547" s="130" t="s">
        <v>1584</v>
      </c>
      <c r="E547" s="130" t="s">
        <v>1116</v>
      </c>
      <c r="F547" s="130" t="s">
        <v>1117</v>
      </c>
      <c r="G547" s="130" t="s">
        <v>1118</v>
      </c>
      <c r="H547" s="130" t="s">
        <v>1133</v>
      </c>
      <c r="I547" s="130" t="s">
        <v>1134</v>
      </c>
      <c r="J547" s="130" t="s">
        <v>1135</v>
      </c>
      <c r="K547" s="130" t="s">
        <v>1179</v>
      </c>
      <c r="L547" s="130" t="s">
        <v>1595</v>
      </c>
      <c r="M547" s="130" t="s">
        <v>1587</v>
      </c>
      <c r="N547" s="130" t="s">
        <v>1588</v>
      </c>
      <c r="O547" s="130" t="s">
        <v>1589</v>
      </c>
      <c r="P547" s="130" t="s">
        <v>1590</v>
      </c>
      <c r="Q547" s="130" t="s">
        <v>1127</v>
      </c>
      <c r="R547" s="130" t="s">
        <v>1472</v>
      </c>
      <c r="S547" s="130" t="s">
        <v>1157</v>
      </c>
      <c r="T547" s="130" t="s">
        <v>1142</v>
      </c>
      <c r="U547" s="130">
        <v>7600000</v>
      </c>
      <c r="V547" s="131">
        <v>-7600000</v>
      </c>
      <c r="W547" s="131">
        <v>0</v>
      </c>
      <c r="X547" s="131">
        <v>0</v>
      </c>
      <c r="Y547" s="131">
        <v>0</v>
      </c>
      <c r="Z547" s="131">
        <v>0</v>
      </c>
      <c r="AA547" s="131">
        <v>0</v>
      </c>
      <c r="AB547" s="131">
        <v>0</v>
      </c>
      <c r="AC547" s="131">
        <v>0</v>
      </c>
      <c r="AD547" s="131">
        <v>0</v>
      </c>
      <c r="AE547" s="132">
        <v>0</v>
      </c>
    </row>
    <row r="548" spans="1:31" x14ac:dyDescent="0.2">
      <c r="A548" s="130">
        <v>89</v>
      </c>
      <c r="B548" s="130" t="s">
        <v>1596</v>
      </c>
      <c r="C548" s="130" t="s">
        <v>1114</v>
      </c>
      <c r="D548" s="130" t="s">
        <v>1584</v>
      </c>
      <c r="E548" s="130" t="s">
        <v>1116</v>
      </c>
      <c r="F548" s="130" t="s">
        <v>1117</v>
      </c>
      <c r="G548" s="130" t="s">
        <v>1118</v>
      </c>
      <c r="H548" s="130" t="s">
        <v>1119</v>
      </c>
      <c r="I548" s="130" t="s">
        <v>1169</v>
      </c>
      <c r="J548" s="130" t="s">
        <v>1195</v>
      </c>
      <c r="K548" s="130" t="s">
        <v>1196</v>
      </c>
      <c r="L548" s="130" t="s">
        <v>1597</v>
      </c>
      <c r="M548" s="130" t="s">
        <v>1587</v>
      </c>
      <c r="N548" s="130" t="s">
        <v>1588</v>
      </c>
      <c r="O548" s="130" t="s">
        <v>1589</v>
      </c>
      <c r="P548" s="130" t="s">
        <v>1590</v>
      </c>
      <c r="Q548" s="130" t="s">
        <v>1127</v>
      </c>
      <c r="R548" s="130" t="s">
        <v>1191</v>
      </c>
      <c r="S548" s="130" t="s">
        <v>1191</v>
      </c>
      <c r="T548" s="130" t="s">
        <v>1176</v>
      </c>
      <c r="U548" s="130">
        <v>3778561</v>
      </c>
      <c r="V548" s="131">
        <v>-3778561</v>
      </c>
      <c r="W548" s="131">
        <v>0</v>
      </c>
      <c r="X548" s="131">
        <v>0</v>
      </c>
      <c r="Y548" s="131">
        <v>0</v>
      </c>
      <c r="Z548" s="131">
        <v>0</v>
      </c>
      <c r="AA548" s="131">
        <v>0</v>
      </c>
      <c r="AB548" s="131">
        <v>0</v>
      </c>
      <c r="AC548" s="131">
        <v>0</v>
      </c>
      <c r="AD548" s="131">
        <v>0</v>
      </c>
      <c r="AE548" s="132">
        <v>0</v>
      </c>
    </row>
    <row r="549" spans="1:31" x14ac:dyDescent="0.2">
      <c r="A549" s="130">
        <v>90</v>
      </c>
      <c r="B549" s="130" t="s">
        <v>136</v>
      </c>
      <c r="C549" s="130" t="s">
        <v>1114</v>
      </c>
      <c r="D549" s="130" t="s">
        <v>1598</v>
      </c>
      <c r="E549" s="130" t="s">
        <v>1116</v>
      </c>
      <c r="F549" s="130" t="s">
        <v>1117</v>
      </c>
      <c r="G549" s="130" t="s">
        <v>1118</v>
      </c>
      <c r="H549" s="130" t="s">
        <v>1119</v>
      </c>
      <c r="I549" s="130" t="s">
        <v>1169</v>
      </c>
      <c r="J549" s="130" t="s">
        <v>1195</v>
      </c>
      <c r="K549" s="130" t="s">
        <v>1196</v>
      </c>
      <c r="L549" s="130" t="s">
        <v>1599</v>
      </c>
      <c r="M549" s="130" t="s">
        <v>1587</v>
      </c>
      <c r="N549" s="130" t="s">
        <v>1588</v>
      </c>
      <c r="O549" s="130" t="s">
        <v>1589</v>
      </c>
      <c r="P549" s="130" t="s">
        <v>1590</v>
      </c>
      <c r="Q549" s="130" t="s">
        <v>1127</v>
      </c>
      <c r="R549" s="130" t="s">
        <v>1448</v>
      </c>
      <c r="S549" s="130" t="s">
        <v>1600</v>
      </c>
      <c r="T549" s="130" t="s">
        <v>1176</v>
      </c>
      <c r="U549" s="130">
        <v>4800690</v>
      </c>
      <c r="V549" s="131">
        <v>-4800690</v>
      </c>
      <c r="W549" s="131">
        <v>0</v>
      </c>
      <c r="X549" s="131">
        <v>0</v>
      </c>
      <c r="Y549" s="131">
        <v>0</v>
      </c>
      <c r="Z549" s="131">
        <v>0</v>
      </c>
      <c r="AA549" s="131">
        <v>0</v>
      </c>
      <c r="AB549" s="131">
        <v>0</v>
      </c>
      <c r="AC549" s="131">
        <v>0</v>
      </c>
      <c r="AD549" s="131">
        <v>0</v>
      </c>
      <c r="AE549" s="132">
        <v>0</v>
      </c>
    </row>
    <row r="550" spans="1:31" x14ac:dyDescent="0.2">
      <c r="A550" s="133">
        <v>90</v>
      </c>
      <c r="B550" s="133" t="s">
        <v>136</v>
      </c>
      <c r="C550" s="133" t="s">
        <v>1114</v>
      </c>
      <c r="D550" s="133" t="s">
        <v>1598</v>
      </c>
      <c r="E550" s="133" t="s">
        <v>1116</v>
      </c>
      <c r="F550" s="133" t="s">
        <v>1117</v>
      </c>
      <c r="G550" s="133" t="s">
        <v>1118</v>
      </c>
      <c r="H550" s="133" t="s">
        <v>1119</v>
      </c>
      <c r="I550" s="133" t="s">
        <v>1169</v>
      </c>
      <c r="J550" s="133" t="s">
        <v>1195</v>
      </c>
      <c r="K550" s="130" t="s">
        <v>1585</v>
      </c>
      <c r="L550" s="130" t="s">
        <v>1599</v>
      </c>
      <c r="M550" s="130" t="s">
        <v>1587</v>
      </c>
      <c r="N550" s="130" t="s">
        <v>1588</v>
      </c>
      <c r="O550" s="130" t="s">
        <v>1589</v>
      </c>
      <c r="P550" s="130" t="s">
        <v>1590</v>
      </c>
      <c r="Q550" s="130" t="s">
        <v>1127</v>
      </c>
      <c r="R550" s="130" t="s">
        <v>1448</v>
      </c>
      <c r="S550" s="130" t="s">
        <v>1600</v>
      </c>
      <c r="T550" s="130" t="s">
        <v>1176</v>
      </c>
      <c r="U550" s="130">
        <v>0</v>
      </c>
      <c r="V550" s="131">
        <v>71754</v>
      </c>
      <c r="W550" s="131">
        <v>71754</v>
      </c>
      <c r="X550" s="131">
        <v>71754</v>
      </c>
      <c r="Y550" s="131">
        <v>0</v>
      </c>
      <c r="Z550" s="131">
        <v>71754</v>
      </c>
      <c r="AA550" s="131">
        <v>0</v>
      </c>
      <c r="AB550" s="131">
        <v>23434.35</v>
      </c>
      <c r="AC550" s="131">
        <v>48319.65</v>
      </c>
      <c r="AD550" s="131">
        <v>23434.35</v>
      </c>
      <c r="AE550" s="132">
        <v>48319.65</v>
      </c>
    </row>
    <row r="551" spans="1:31" x14ac:dyDescent="0.2">
      <c r="A551" s="133">
        <v>90</v>
      </c>
      <c r="B551" s="133" t="s">
        <v>136</v>
      </c>
      <c r="C551" s="133" t="s">
        <v>1114</v>
      </c>
      <c r="D551" s="133" t="s">
        <v>1598</v>
      </c>
      <c r="E551" s="133" t="s">
        <v>1116</v>
      </c>
      <c r="F551" s="133" t="s">
        <v>1117</v>
      </c>
      <c r="G551" s="133" t="s">
        <v>1118</v>
      </c>
      <c r="H551" s="133" t="s">
        <v>1119</v>
      </c>
      <c r="I551" s="133" t="s">
        <v>1169</v>
      </c>
      <c r="J551" s="133" t="s">
        <v>1195</v>
      </c>
      <c r="K551" s="130" t="s">
        <v>1592</v>
      </c>
      <c r="L551" s="130" t="s">
        <v>1599</v>
      </c>
      <c r="M551" s="130" t="s">
        <v>1587</v>
      </c>
      <c r="N551" s="130" t="s">
        <v>1588</v>
      </c>
      <c r="O551" s="130" t="s">
        <v>1589</v>
      </c>
      <c r="P551" s="130" t="s">
        <v>1590</v>
      </c>
      <c r="Q551" s="130" t="s">
        <v>1127</v>
      </c>
      <c r="R551" s="130" t="s">
        <v>1448</v>
      </c>
      <c r="S551" s="130" t="s">
        <v>1600</v>
      </c>
      <c r="T551" s="130" t="s">
        <v>1176</v>
      </c>
      <c r="U551" s="130">
        <v>0</v>
      </c>
      <c r="V551" s="131">
        <v>106402</v>
      </c>
      <c r="W551" s="131">
        <v>106402</v>
      </c>
      <c r="X551" s="131">
        <v>96401.59</v>
      </c>
      <c r="Y551" s="131">
        <v>10000.410000000003</v>
      </c>
      <c r="Z551" s="131">
        <v>0</v>
      </c>
      <c r="AA551" s="131">
        <v>106402</v>
      </c>
      <c r="AB551" s="131">
        <v>0</v>
      </c>
      <c r="AC551" s="131">
        <v>106402</v>
      </c>
      <c r="AD551" s="131">
        <v>0</v>
      </c>
      <c r="AE551" s="132">
        <v>106402</v>
      </c>
    </row>
    <row r="552" spans="1:31" x14ac:dyDescent="0.2">
      <c r="A552" s="133">
        <v>90</v>
      </c>
      <c r="B552" s="133" t="s">
        <v>136</v>
      </c>
      <c r="C552" s="133" t="s">
        <v>1114</v>
      </c>
      <c r="D552" s="133" t="s">
        <v>1598</v>
      </c>
      <c r="E552" s="133" t="s">
        <v>1116</v>
      </c>
      <c r="F552" s="133" t="s">
        <v>1117</v>
      </c>
      <c r="G552" s="133" t="s">
        <v>1118</v>
      </c>
      <c r="H552" s="133" t="s">
        <v>1119</v>
      </c>
      <c r="I552" s="133" t="s">
        <v>1169</v>
      </c>
      <c r="J552" s="133" t="s">
        <v>1195</v>
      </c>
      <c r="K552" s="130" t="s">
        <v>1593</v>
      </c>
      <c r="L552" s="130" t="s">
        <v>1599</v>
      </c>
      <c r="M552" s="130" t="s">
        <v>1587</v>
      </c>
      <c r="N552" s="130" t="s">
        <v>1588</v>
      </c>
      <c r="O552" s="130" t="s">
        <v>1589</v>
      </c>
      <c r="P552" s="130" t="s">
        <v>1590</v>
      </c>
      <c r="Q552" s="130" t="s">
        <v>1127</v>
      </c>
      <c r="R552" s="130" t="s">
        <v>1448</v>
      </c>
      <c r="S552" s="130" t="s">
        <v>1600</v>
      </c>
      <c r="T552" s="130" t="s">
        <v>1176</v>
      </c>
      <c r="U552" s="130">
        <v>0</v>
      </c>
      <c r="V552" s="131">
        <v>180000</v>
      </c>
      <c r="W552" s="131">
        <v>180000</v>
      </c>
      <c r="X552" s="131">
        <v>107345</v>
      </c>
      <c r="Y552" s="131">
        <v>72655</v>
      </c>
      <c r="Z552" s="131">
        <v>107345</v>
      </c>
      <c r="AA552" s="131">
        <v>72655</v>
      </c>
      <c r="AB552" s="131">
        <v>107345</v>
      </c>
      <c r="AC552" s="131">
        <v>72655</v>
      </c>
      <c r="AD552" s="131">
        <v>0</v>
      </c>
      <c r="AE552" s="132">
        <v>180000</v>
      </c>
    </row>
    <row r="553" spans="1:31" x14ac:dyDescent="0.2">
      <c r="A553" s="133">
        <v>90</v>
      </c>
      <c r="B553" s="133" t="s">
        <v>136</v>
      </c>
      <c r="C553" s="133" t="s">
        <v>1114</v>
      </c>
      <c r="D553" s="133" t="s">
        <v>1598</v>
      </c>
      <c r="E553" s="133" t="s">
        <v>1116</v>
      </c>
      <c r="F553" s="133" t="s">
        <v>1117</v>
      </c>
      <c r="G553" s="133" t="s">
        <v>1118</v>
      </c>
      <c r="H553" s="130" t="s">
        <v>1149</v>
      </c>
      <c r="I553" s="130" t="s">
        <v>1182</v>
      </c>
      <c r="J553" s="130" t="s">
        <v>1183</v>
      </c>
      <c r="K553" s="130" t="s">
        <v>1184</v>
      </c>
      <c r="L553" s="130" t="s">
        <v>1599</v>
      </c>
      <c r="M553" s="130" t="s">
        <v>1587</v>
      </c>
      <c r="N553" s="130" t="s">
        <v>1588</v>
      </c>
      <c r="O553" s="130" t="s">
        <v>1589</v>
      </c>
      <c r="P553" s="130" t="s">
        <v>1590</v>
      </c>
      <c r="Q553" s="130" t="s">
        <v>1127</v>
      </c>
      <c r="R553" s="130" t="s">
        <v>1448</v>
      </c>
      <c r="S553" s="130" t="s">
        <v>1600</v>
      </c>
      <c r="T553" s="130" t="s">
        <v>1176</v>
      </c>
      <c r="U553" s="130">
        <v>0</v>
      </c>
      <c r="V553" s="131">
        <v>101695</v>
      </c>
      <c r="W553" s="131">
        <v>101695</v>
      </c>
      <c r="X553" s="131">
        <v>0</v>
      </c>
      <c r="Y553" s="131">
        <v>101695</v>
      </c>
      <c r="Z553" s="131">
        <v>0</v>
      </c>
      <c r="AA553" s="131">
        <v>101695</v>
      </c>
      <c r="AB553" s="131">
        <v>0</v>
      </c>
      <c r="AC553" s="131">
        <v>101695</v>
      </c>
      <c r="AD553" s="131">
        <v>0</v>
      </c>
      <c r="AE553" s="132">
        <v>101695</v>
      </c>
    </row>
    <row r="554" spans="1:31" x14ac:dyDescent="0.2">
      <c r="A554" s="133">
        <v>90</v>
      </c>
      <c r="B554" s="133" t="s">
        <v>136</v>
      </c>
      <c r="C554" s="133" t="s">
        <v>1114</v>
      </c>
      <c r="D554" s="133" t="s">
        <v>1598</v>
      </c>
      <c r="E554" s="133" t="s">
        <v>1116</v>
      </c>
      <c r="F554" s="133" t="s">
        <v>1117</v>
      </c>
      <c r="G554" s="133" t="s">
        <v>1118</v>
      </c>
      <c r="H554" s="130" t="s">
        <v>1133</v>
      </c>
      <c r="I554" s="130" t="s">
        <v>1134</v>
      </c>
      <c r="J554" s="130" t="s">
        <v>1166</v>
      </c>
      <c r="K554" s="130" t="s">
        <v>1167</v>
      </c>
      <c r="L554" s="130" t="s">
        <v>1599</v>
      </c>
      <c r="M554" s="130" t="s">
        <v>1587</v>
      </c>
      <c r="N554" s="130" t="s">
        <v>1588</v>
      </c>
      <c r="O554" s="130" t="s">
        <v>1589</v>
      </c>
      <c r="P554" s="130" t="s">
        <v>1590</v>
      </c>
      <c r="Q554" s="130" t="s">
        <v>1127</v>
      </c>
      <c r="R554" s="130" t="s">
        <v>1448</v>
      </c>
      <c r="S554" s="130" t="s">
        <v>1600</v>
      </c>
      <c r="T554" s="130" t="s">
        <v>1176</v>
      </c>
      <c r="U554" s="130">
        <v>0</v>
      </c>
      <c r="V554" s="131">
        <v>0</v>
      </c>
      <c r="W554" s="131">
        <v>0</v>
      </c>
      <c r="X554" s="131">
        <v>0</v>
      </c>
      <c r="Y554" s="131">
        <v>0</v>
      </c>
      <c r="Z554" s="131">
        <v>0</v>
      </c>
      <c r="AA554" s="131">
        <v>0</v>
      </c>
      <c r="AB554" s="131">
        <v>0</v>
      </c>
      <c r="AC554" s="131">
        <v>0</v>
      </c>
      <c r="AD554" s="131">
        <v>0</v>
      </c>
      <c r="AE554" s="132">
        <v>0</v>
      </c>
    </row>
    <row r="555" spans="1:31" x14ac:dyDescent="0.2">
      <c r="A555" s="133">
        <v>90</v>
      </c>
      <c r="B555" s="133" t="s">
        <v>136</v>
      </c>
      <c r="C555" s="133" t="s">
        <v>1114</v>
      </c>
      <c r="D555" s="133" t="s">
        <v>1598</v>
      </c>
      <c r="E555" s="133" t="s">
        <v>1116</v>
      </c>
      <c r="F555" s="133" t="s">
        <v>1117</v>
      </c>
      <c r="G555" s="133" t="s">
        <v>1118</v>
      </c>
      <c r="H555" s="133" t="s">
        <v>1133</v>
      </c>
      <c r="I555" s="133" t="s">
        <v>1134</v>
      </c>
      <c r="J555" s="130" t="s">
        <v>1135</v>
      </c>
      <c r="K555" s="130" t="s">
        <v>1178</v>
      </c>
      <c r="L555" s="130" t="s">
        <v>1599</v>
      </c>
      <c r="M555" s="130" t="s">
        <v>1587</v>
      </c>
      <c r="N555" s="130" t="s">
        <v>1588</v>
      </c>
      <c r="O555" s="130" t="s">
        <v>1589</v>
      </c>
      <c r="P555" s="130" t="s">
        <v>1590</v>
      </c>
      <c r="Q555" s="130" t="s">
        <v>1127</v>
      </c>
      <c r="R555" s="130" t="s">
        <v>1448</v>
      </c>
      <c r="S555" s="130" t="s">
        <v>1600</v>
      </c>
      <c r="T555" s="130" t="s">
        <v>1176</v>
      </c>
      <c r="U555" s="130">
        <v>0</v>
      </c>
      <c r="V555" s="131">
        <v>0</v>
      </c>
      <c r="W555" s="131">
        <v>0</v>
      </c>
      <c r="X555" s="131">
        <v>0</v>
      </c>
      <c r="Y555" s="131">
        <v>0</v>
      </c>
      <c r="Z555" s="131">
        <v>0</v>
      </c>
      <c r="AA555" s="131">
        <v>0</v>
      </c>
      <c r="AB555" s="131">
        <v>0</v>
      </c>
      <c r="AC555" s="131">
        <v>0</v>
      </c>
      <c r="AD555" s="131">
        <v>0</v>
      </c>
      <c r="AE555" s="132">
        <v>0</v>
      </c>
    </row>
    <row r="556" spans="1:31" x14ac:dyDescent="0.2">
      <c r="A556" s="133">
        <v>90</v>
      </c>
      <c r="B556" s="133" t="s">
        <v>136</v>
      </c>
      <c r="C556" s="133" t="s">
        <v>1114</v>
      </c>
      <c r="D556" s="133" t="s">
        <v>1598</v>
      </c>
      <c r="E556" s="133" t="s">
        <v>1116</v>
      </c>
      <c r="F556" s="133" t="s">
        <v>1117</v>
      </c>
      <c r="G556" s="133" t="s">
        <v>1118</v>
      </c>
      <c r="H556" s="133" t="s">
        <v>1133</v>
      </c>
      <c r="I556" s="133" t="s">
        <v>1134</v>
      </c>
      <c r="J556" s="133" t="s">
        <v>1135</v>
      </c>
      <c r="K556" s="130" t="s">
        <v>1179</v>
      </c>
      <c r="L556" s="130" t="s">
        <v>1599</v>
      </c>
      <c r="M556" s="130" t="s">
        <v>1587</v>
      </c>
      <c r="N556" s="130" t="s">
        <v>1588</v>
      </c>
      <c r="O556" s="130" t="s">
        <v>1589</v>
      </c>
      <c r="P556" s="130" t="s">
        <v>1590</v>
      </c>
      <c r="Q556" s="130" t="s">
        <v>1127</v>
      </c>
      <c r="R556" s="130" t="s">
        <v>1448</v>
      </c>
      <c r="S556" s="130" t="s">
        <v>1600</v>
      </c>
      <c r="T556" s="130" t="s">
        <v>1176</v>
      </c>
      <c r="U556" s="130">
        <v>0</v>
      </c>
      <c r="V556" s="131">
        <v>0</v>
      </c>
      <c r="W556" s="131">
        <v>0</v>
      </c>
      <c r="X556" s="131">
        <v>0</v>
      </c>
      <c r="Y556" s="131">
        <v>0</v>
      </c>
      <c r="Z556" s="131">
        <v>0</v>
      </c>
      <c r="AA556" s="131">
        <v>0</v>
      </c>
      <c r="AB556" s="131">
        <v>0</v>
      </c>
      <c r="AC556" s="131">
        <v>0</v>
      </c>
      <c r="AD556" s="131">
        <v>0</v>
      </c>
      <c r="AE556" s="132">
        <v>0</v>
      </c>
    </row>
    <row r="557" spans="1:31" x14ac:dyDescent="0.2">
      <c r="A557" s="133">
        <v>90</v>
      </c>
      <c r="B557" s="133" t="s">
        <v>136</v>
      </c>
      <c r="C557" s="133" t="s">
        <v>1114</v>
      </c>
      <c r="D557" s="133" t="s">
        <v>1598</v>
      </c>
      <c r="E557" s="133" t="s">
        <v>1116</v>
      </c>
      <c r="F557" s="133" t="s">
        <v>1117</v>
      </c>
      <c r="G557" s="133" t="s">
        <v>1118</v>
      </c>
      <c r="H557" s="133" t="s">
        <v>1133</v>
      </c>
      <c r="I557" s="133" t="s">
        <v>1134</v>
      </c>
      <c r="J557" s="133" t="s">
        <v>1135</v>
      </c>
      <c r="K557" s="130" t="s">
        <v>1144</v>
      </c>
      <c r="L557" s="130" t="s">
        <v>1599</v>
      </c>
      <c r="M557" s="130" t="s">
        <v>1587</v>
      </c>
      <c r="N557" s="130" t="s">
        <v>1588</v>
      </c>
      <c r="O557" s="130" t="s">
        <v>1589</v>
      </c>
      <c r="P557" s="130" t="s">
        <v>1590</v>
      </c>
      <c r="Q557" s="130" t="s">
        <v>1127</v>
      </c>
      <c r="R557" s="130" t="s">
        <v>1448</v>
      </c>
      <c r="S557" s="130" t="s">
        <v>1600</v>
      </c>
      <c r="T557" s="130" t="s">
        <v>1176</v>
      </c>
      <c r="U557" s="130">
        <v>0</v>
      </c>
      <c r="V557" s="131">
        <v>0</v>
      </c>
      <c r="W557" s="131">
        <v>0</v>
      </c>
      <c r="X557" s="131">
        <v>0</v>
      </c>
      <c r="Y557" s="131">
        <v>0</v>
      </c>
      <c r="Z557" s="131">
        <v>0</v>
      </c>
      <c r="AA557" s="131">
        <v>0</v>
      </c>
      <c r="AB557" s="131">
        <v>0</v>
      </c>
      <c r="AC557" s="131">
        <v>0</v>
      </c>
      <c r="AD557" s="131">
        <v>0</v>
      </c>
      <c r="AE557" s="132">
        <v>0</v>
      </c>
    </row>
    <row r="558" spans="1:31" x14ac:dyDescent="0.2">
      <c r="A558" s="130">
        <v>91</v>
      </c>
      <c r="B558" s="130" t="s">
        <v>1601</v>
      </c>
      <c r="C558" s="130" t="s">
        <v>1114</v>
      </c>
      <c r="D558" s="130" t="s">
        <v>1602</v>
      </c>
      <c r="E558" s="130" t="s">
        <v>1116</v>
      </c>
      <c r="F558" s="130" t="s">
        <v>1117</v>
      </c>
      <c r="G558" s="130" t="s">
        <v>1118</v>
      </c>
      <c r="H558" s="130" t="s">
        <v>1119</v>
      </c>
      <c r="I558" s="130" t="s">
        <v>1169</v>
      </c>
      <c r="J558" s="130" t="s">
        <v>1195</v>
      </c>
      <c r="K558" s="130" t="s">
        <v>1196</v>
      </c>
      <c r="L558" s="130" t="s">
        <v>1603</v>
      </c>
      <c r="M558" s="130" t="s">
        <v>1587</v>
      </c>
      <c r="N558" s="130" t="s">
        <v>1588</v>
      </c>
      <c r="O558" s="130" t="s">
        <v>1589</v>
      </c>
      <c r="P558" s="130" t="s">
        <v>1604</v>
      </c>
      <c r="Q558" s="130" t="s">
        <v>1127</v>
      </c>
      <c r="R558" s="130" t="s">
        <v>1140</v>
      </c>
      <c r="S558" s="130" t="s">
        <v>1605</v>
      </c>
      <c r="T558" s="130" t="s">
        <v>1176</v>
      </c>
      <c r="U558" s="130">
        <v>100000</v>
      </c>
      <c r="V558" s="131">
        <v>-100000</v>
      </c>
      <c r="W558" s="131">
        <v>0</v>
      </c>
      <c r="X558" s="131">
        <v>0</v>
      </c>
      <c r="Y558" s="131">
        <v>0</v>
      </c>
      <c r="Z558" s="131">
        <v>0</v>
      </c>
      <c r="AA558" s="131">
        <v>0</v>
      </c>
      <c r="AB558" s="131">
        <v>0</v>
      </c>
      <c r="AC558" s="131">
        <v>0</v>
      </c>
      <c r="AD558" s="131">
        <v>0</v>
      </c>
      <c r="AE558" s="132">
        <v>0</v>
      </c>
    </row>
    <row r="559" spans="1:31" x14ac:dyDescent="0.2">
      <c r="A559" s="133">
        <v>91</v>
      </c>
      <c r="B559" s="133" t="s">
        <v>1601</v>
      </c>
      <c r="C559" s="133" t="s">
        <v>1114</v>
      </c>
      <c r="D559" s="133" t="s">
        <v>1602</v>
      </c>
      <c r="E559" s="133" t="s">
        <v>1116</v>
      </c>
      <c r="F559" s="133" t="s">
        <v>1117</v>
      </c>
      <c r="G559" s="133" t="s">
        <v>1118</v>
      </c>
      <c r="H559" s="130" t="s">
        <v>1133</v>
      </c>
      <c r="I559" s="130" t="s">
        <v>1134</v>
      </c>
      <c r="J559" s="130" t="s">
        <v>1166</v>
      </c>
      <c r="K559" s="130" t="s">
        <v>1167</v>
      </c>
      <c r="L559" s="130" t="s">
        <v>1603</v>
      </c>
      <c r="M559" s="130" t="s">
        <v>1587</v>
      </c>
      <c r="N559" s="130" t="s">
        <v>1588</v>
      </c>
      <c r="O559" s="130" t="s">
        <v>1589</v>
      </c>
      <c r="P559" s="130" t="s">
        <v>1604</v>
      </c>
      <c r="Q559" s="130" t="s">
        <v>1127</v>
      </c>
      <c r="R559" s="130" t="s">
        <v>1140</v>
      </c>
      <c r="S559" s="130" t="s">
        <v>1605</v>
      </c>
      <c r="T559" s="130" t="s">
        <v>1176</v>
      </c>
      <c r="U559" s="130">
        <v>0</v>
      </c>
      <c r="V559" s="131">
        <v>350198</v>
      </c>
      <c r="W559" s="131">
        <v>350198</v>
      </c>
      <c r="X559" s="131">
        <v>287570</v>
      </c>
      <c r="Y559" s="131">
        <v>62628</v>
      </c>
      <c r="Z559" s="131">
        <v>287570</v>
      </c>
      <c r="AA559" s="131">
        <v>62628</v>
      </c>
      <c r="AB559" s="131">
        <v>235912.29</v>
      </c>
      <c r="AC559" s="131">
        <v>114285.70999999999</v>
      </c>
      <c r="AD559" s="131">
        <v>141342.29</v>
      </c>
      <c r="AE559" s="132">
        <v>208855.71</v>
      </c>
    </row>
    <row r="560" spans="1:31" x14ac:dyDescent="0.2">
      <c r="A560" s="130">
        <v>92</v>
      </c>
      <c r="B560" s="130" t="s">
        <v>1606</v>
      </c>
      <c r="C560" s="130" t="s">
        <v>1114</v>
      </c>
      <c r="D560" s="130" t="s">
        <v>1584</v>
      </c>
      <c r="E560" s="130" t="s">
        <v>1143</v>
      </c>
      <c r="F560" s="130" t="s">
        <v>1117</v>
      </c>
      <c r="G560" s="130" t="s">
        <v>1118</v>
      </c>
      <c r="H560" s="130" t="s">
        <v>1119</v>
      </c>
      <c r="I560" s="130" t="s">
        <v>1169</v>
      </c>
      <c r="J560" s="130" t="s">
        <v>1195</v>
      </c>
      <c r="K560" s="130" t="s">
        <v>1196</v>
      </c>
      <c r="L560" s="130" t="s">
        <v>1607</v>
      </c>
      <c r="M560" s="130" t="s">
        <v>1587</v>
      </c>
      <c r="N560" s="130" t="s">
        <v>1588</v>
      </c>
      <c r="O560" s="130" t="s">
        <v>1589</v>
      </c>
      <c r="P560" s="130" t="s">
        <v>1604</v>
      </c>
      <c r="Q560" s="130" t="s">
        <v>1127</v>
      </c>
      <c r="R560" s="130" t="s">
        <v>1191</v>
      </c>
      <c r="S560" s="130" t="s">
        <v>1538</v>
      </c>
      <c r="T560" s="130" t="s">
        <v>1176</v>
      </c>
      <c r="U560" s="130">
        <v>2596051</v>
      </c>
      <c r="V560" s="131">
        <v>-2596051</v>
      </c>
      <c r="W560" s="131">
        <v>0</v>
      </c>
      <c r="X560" s="131">
        <v>0</v>
      </c>
      <c r="Y560" s="131">
        <v>0</v>
      </c>
      <c r="Z560" s="131">
        <v>0</v>
      </c>
      <c r="AA560" s="131">
        <v>0</v>
      </c>
      <c r="AB560" s="131">
        <v>0</v>
      </c>
      <c r="AC560" s="131">
        <v>0</v>
      </c>
      <c r="AD560" s="131">
        <v>0</v>
      </c>
      <c r="AE560" s="132">
        <v>0</v>
      </c>
    </row>
    <row r="561" spans="1:31" x14ac:dyDescent="0.2">
      <c r="A561" s="133">
        <v>92</v>
      </c>
      <c r="B561" s="133" t="s">
        <v>1606</v>
      </c>
      <c r="C561" s="133" t="s">
        <v>1114</v>
      </c>
      <c r="D561" s="133" t="s">
        <v>1584</v>
      </c>
      <c r="E561" s="133" t="s">
        <v>1143</v>
      </c>
      <c r="F561" s="133" t="s">
        <v>1117</v>
      </c>
      <c r="G561" s="133" t="s">
        <v>1118</v>
      </c>
      <c r="H561" s="133" t="s">
        <v>1119</v>
      </c>
      <c r="I561" s="133" t="s">
        <v>1169</v>
      </c>
      <c r="J561" s="133" t="s">
        <v>1195</v>
      </c>
      <c r="K561" s="130" t="s">
        <v>1585</v>
      </c>
      <c r="L561" s="130" t="s">
        <v>1607</v>
      </c>
      <c r="M561" s="130" t="s">
        <v>1587</v>
      </c>
      <c r="N561" s="130" t="s">
        <v>1588</v>
      </c>
      <c r="O561" s="130" t="s">
        <v>1589</v>
      </c>
      <c r="P561" s="130" t="s">
        <v>1604</v>
      </c>
      <c r="Q561" s="130" t="s">
        <v>1127</v>
      </c>
      <c r="R561" s="130" t="s">
        <v>1191</v>
      </c>
      <c r="S561" s="130" t="s">
        <v>1538</v>
      </c>
      <c r="T561" s="130" t="s">
        <v>1176</v>
      </c>
      <c r="U561" s="130">
        <v>0</v>
      </c>
      <c r="V561" s="131">
        <v>508500</v>
      </c>
      <c r="W561" s="131">
        <v>508500</v>
      </c>
      <c r="X561" s="131">
        <v>507550.82</v>
      </c>
      <c r="Y561" s="131">
        <v>949.17999999999302</v>
      </c>
      <c r="Z561" s="131">
        <v>507550.82</v>
      </c>
      <c r="AA561" s="131">
        <v>949.17999999999302</v>
      </c>
      <c r="AB561" s="131">
        <v>442954.92999999993</v>
      </c>
      <c r="AC561" s="131">
        <v>65545.070000000065</v>
      </c>
      <c r="AD561" s="131">
        <v>439485.32999999996</v>
      </c>
      <c r="AE561" s="132">
        <v>69014.670000000042</v>
      </c>
    </row>
    <row r="562" spans="1:31" x14ac:dyDescent="0.2">
      <c r="A562" s="133">
        <v>92</v>
      </c>
      <c r="B562" s="133" t="s">
        <v>1606</v>
      </c>
      <c r="C562" s="133" t="s">
        <v>1114</v>
      </c>
      <c r="D562" s="133" t="s">
        <v>1584</v>
      </c>
      <c r="E562" s="133" t="s">
        <v>1143</v>
      </c>
      <c r="F562" s="133" t="s">
        <v>1117</v>
      </c>
      <c r="G562" s="133" t="s">
        <v>1118</v>
      </c>
      <c r="H562" s="133" t="s">
        <v>1119</v>
      </c>
      <c r="I562" s="133" t="s">
        <v>1169</v>
      </c>
      <c r="J562" s="133" t="s">
        <v>1195</v>
      </c>
      <c r="K562" s="130" t="s">
        <v>1592</v>
      </c>
      <c r="L562" s="130" t="s">
        <v>1607</v>
      </c>
      <c r="M562" s="130" t="s">
        <v>1587</v>
      </c>
      <c r="N562" s="130" t="s">
        <v>1588</v>
      </c>
      <c r="O562" s="130" t="s">
        <v>1589</v>
      </c>
      <c r="P562" s="130" t="s">
        <v>1604</v>
      </c>
      <c r="Q562" s="130" t="s">
        <v>1127</v>
      </c>
      <c r="R562" s="130" t="s">
        <v>1191</v>
      </c>
      <c r="S562" s="130" t="s">
        <v>1538</v>
      </c>
      <c r="T562" s="130" t="s">
        <v>1176</v>
      </c>
      <c r="U562" s="130">
        <v>0</v>
      </c>
      <c r="V562" s="131">
        <v>170526</v>
      </c>
      <c r="W562" s="131">
        <v>170526</v>
      </c>
      <c r="X562" s="131">
        <v>170525.45</v>
      </c>
      <c r="Y562" s="131">
        <v>0.54999999998835847</v>
      </c>
      <c r="Z562" s="131">
        <v>156285.42000000001</v>
      </c>
      <c r="AA562" s="131">
        <v>14240.579999999987</v>
      </c>
      <c r="AB562" s="131">
        <v>156285.41999999998</v>
      </c>
      <c r="AC562" s="131">
        <v>14240.580000000016</v>
      </c>
      <c r="AD562" s="131">
        <v>154590</v>
      </c>
      <c r="AE562" s="132">
        <v>15936</v>
      </c>
    </row>
    <row r="563" spans="1:31" x14ac:dyDescent="0.2">
      <c r="A563" s="133">
        <v>92</v>
      </c>
      <c r="B563" s="133" t="s">
        <v>1606</v>
      </c>
      <c r="C563" s="133" t="s">
        <v>1114</v>
      </c>
      <c r="D563" s="133" t="s">
        <v>1584</v>
      </c>
      <c r="E563" s="133" t="s">
        <v>1143</v>
      </c>
      <c r="F563" s="133" t="s">
        <v>1117</v>
      </c>
      <c r="G563" s="133" t="s">
        <v>1118</v>
      </c>
      <c r="H563" s="133" t="s">
        <v>1119</v>
      </c>
      <c r="I563" s="133" t="s">
        <v>1169</v>
      </c>
      <c r="J563" s="133" t="s">
        <v>1195</v>
      </c>
      <c r="K563" s="130" t="s">
        <v>1593</v>
      </c>
      <c r="L563" s="130" t="s">
        <v>1607</v>
      </c>
      <c r="M563" s="130" t="s">
        <v>1587</v>
      </c>
      <c r="N563" s="130" t="s">
        <v>1588</v>
      </c>
      <c r="O563" s="130" t="s">
        <v>1589</v>
      </c>
      <c r="P563" s="130" t="s">
        <v>1604</v>
      </c>
      <c r="Q563" s="130" t="s">
        <v>1127</v>
      </c>
      <c r="R563" s="130" t="s">
        <v>1191</v>
      </c>
      <c r="S563" s="130" t="s">
        <v>1538</v>
      </c>
      <c r="T563" s="130" t="s">
        <v>1176</v>
      </c>
      <c r="U563" s="130">
        <v>0</v>
      </c>
      <c r="V563" s="131">
        <v>420504</v>
      </c>
      <c r="W563" s="131">
        <v>420504</v>
      </c>
      <c r="X563" s="131">
        <v>420503.99</v>
      </c>
      <c r="Y563" s="131">
        <v>1.0000000009313226E-2</v>
      </c>
      <c r="Z563" s="131">
        <v>420503.99</v>
      </c>
      <c r="AA563" s="131">
        <v>1.0000000009313226E-2</v>
      </c>
      <c r="AB563" s="131">
        <v>420503.99</v>
      </c>
      <c r="AC563" s="131">
        <v>1.0000000009313226E-2</v>
      </c>
      <c r="AD563" s="131">
        <v>392143.99</v>
      </c>
      <c r="AE563" s="132">
        <v>28360.010000000009</v>
      </c>
    </row>
    <row r="564" spans="1:31" x14ac:dyDescent="0.2">
      <c r="A564" s="133">
        <v>92</v>
      </c>
      <c r="B564" s="133" t="s">
        <v>1606</v>
      </c>
      <c r="C564" s="133" t="s">
        <v>1114</v>
      </c>
      <c r="D564" s="133" t="s">
        <v>1584</v>
      </c>
      <c r="E564" s="133" t="s">
        <v>1143</v>
      </c>
      <c r="F564" s="133" t="s">
        <v>1117</v>
      </c>
      <c r="G564" s="133" t="s">
        <v>1118</v>
      </c>
      <c r="H564" s="130" t="s">
        <v>1133</v>
      </c>
      <c r="I564" s="130" t="s">
        <v>1134</v>
      </c>
      <c r="J564" s="130" t="s">
        <v>1135</v>
      </c>
      <c r="K564" s="130" t="s">
        <v>1178</v>
      </c>
      <c r="L564" s="130" t="s">
        <v>1607</v>
      </c>
      <c r="M564" s="130" t="s">
        <v>1587</v>
      </c>
      <c r="N564" s="130" t="s">
        <v>1588</v>
      </c>
      <c r="O564" s="130" t="s">
        <v>1589</v>
      </c>
      <c r="P564" s="130" t="s">
        <v>1604</v>
      </c>
      <c r="Q564" s="130" t="s">
        <v>1127</v>
      </c>
      <c r="R564" s="130" t="s">
        <v>1191</v>
      </c>
      <c r="S564" s="130" t="s">
        <v>1538</v>
      </c>
      <c r="T564" s="130" t="s">
        <v>1176</v>
      </c>
      <c r="U564" s="130">
        <v>0</v>
      </c>
      <c r="V564" s="131">
        <v>150000</v>
      </c>
      <c r="W564" s="131">
        <v>150000</v>
      </c>
      <c r="X564" s="131">
        <v>133000</v>
      </c>
      <c r="Y564" s="131">
        <v>17000</v>
      </c>
      <c r="Z564" s="131">
        <v>133000</v>
      </c>
      <c r="AA564" s="131">
        <v>17000</v>
      </c>
      <c r="AB564" s="131">
        <v>61832.2</v>
      </c>
      <c r="AC564" s="131">
        <v>88167.8</v>
      </c>
      <c r="AD564" s="131">
        <v>61832.2</v>
      </c>
      <c r="AE564" s="132">
        <v>88167.8</v>
      </c>
    </row>
    <row r="565" spans="1:31" x14ac:dyDescent="0.2">
      <c r="A565" s="133">
        <v>92</v>
      </c>
      <c r="B565" s="133" t="s">
        <v>1606</v>
      </c>
      <c r="C565" s="133" t="s">
        <v>1114</v>
      </c>
      <c r="D565" s="133" t="s">
        <v>1584</v>
      </c>
      <c r="E565" s="133" t="s">
        <v>1143</v>
      </c>
      <c r="F565" s="133" t="s">
        <v>1117</v>
      </c>
      <c r="G565" s="133" t="s">
        <v>1118</v>
      </c>
      <c r="H565" s="133" t="s">
        <v>1133</v>
      </c>
      <c r="I565" s="133" t="s">
        <v>1134</v>
      </c>
      <c r="J565" s="133" t="s">
        <v>1135</v>
      </c>
      <c r="K565" s="130" t="s">
        <v>1179</v>
      </c>
      <c r="L565" s="130" t="s">
        <v>1607</v>
      </c>
      <c r="M565" s="130" t="s">
        <v>1587</v>
      </c>
      <c r="N565" s="130" t="s">
        <v>1588</v>
      </c>
      <c r="O565" s="130" t="s">
        <v>1589</v>
      </c>
      <c r="P565" s="130" t="s">
        <v>1604</v>
      </c>
      <c r="Q565" s="130" t="s">
        <v>1127</v>
      </c>
      <c r="R565" s="130" t="s">
        <v>1191</v>
      </c>
      <c r="S565" s="130" t="s">
        <v>1538</v>
      </c>
      <c r="T565" s="130" t="s">
        <v>1176</v>
      </c>
      <c r="U565" s="130">
        <v>0</v>
      </c>
      <c r="V565" s="131">
        <v>19919</v>
      </c>
      <c r="W565" s="131">
        <v>19919</v>
      </c>
      <c r="X565" s="131">
        <v>12980</v>
      </c>
      <c r="Y565" s="131">
        <v>6939</v>
      </c>
      <c r="Z565" s="131">
        <v>12980</v>
      </c>
      <c r="AA565" s="131">
        <v>6939</v>
      </c>
      <c r="AB565" s="131">
        <v>12980</v>
      </c>
      <c r="AC565" s="131">
        <v>6939</v>
      </c>
      <c r="AD565" s="131">
        <v>10025.200000000001</v>
      </c>
      <c r="AE565" s="132">
        <v>9893.7999999999993</v>
      </c>
    </row>
    <row r="566" spans="1:31" x14ac:dyDescent="0.2">
      <c r="A566" s="133">
        <v>92</v>
      </c>
      <c r="B566" s="133" t="s">
        <v>1606</v>
      </c>
      <c r="C566" s="133" t="s">
        <v>1114</v>
      </c>
      <c r="D566" s="133" t="s">
        <v>1584</v>
      </c>
      <c r="E566" s="133" t="s">
        <v>1143</v>
      </c>
      <c r="F566" s="133" t="s">
        <v>1117</v>
      </c>
      <c r="G566" s="133" t="s">
        <v>1118</v>
      </c>
      <c r="H566" s="133" t="s">
        <v>1133</v>
      </c>
      <c r="I566" s="133" t="s">
        <v>1134</v>
      </c>
      <c r="J566" s="133" t="s">
        <v>1135</v>
      </c>
      <c r="K566" s="130" t="s">
        <v>1144</v>
      </c>
      <c r="L566" s="130" t="s">
        <v>1607</v>
      </c>
      <c r="M566" s="130" t="s">
        <v>1587</v>
      </c>
      <c r="N566" s="130" t="s">
        <v>1588</v>
      </c>
      <c r="O566" s="130" t="s">
        <v>1589</v>
      </c>
      <c r="P566" s="130" t="s">
        <v>1604</v>
      </c>
      <c r="Q566" s="130" t="s">
        <v>1127</v>
      </c>
      <c r="R566" s="130" t="s">
        <v>1191</v>
      </c>
      <c r="S566" s="130" t="s">
        <v>1538</v>
      </c>
      <c r="T566" s="130" t="s">
        <v>1176</v>
      </c>
      <c r="U566" s="130">
        <v>0</v>
      </c>
      <c r="V566" s="131">
        <v>17100</v>
      </c>
      <c r="W566" s="131">
        <v>17100</v>
      </c>
      <c r="X566" s="131">
        <v>13270</v>
      </c>
      <c r="Y566" s="131">
        <v>3830</v>
      </c>
      <c r="Z566" s="131">
        <v>13270</v>
      </c>
      <c r="AA566" s="131">
        <v>3830</v>
      </c>
      <c r="AB566" s="131">
        <v>13270</v>
      </c>
      <c r="AC566" s="131">
        <v>3830</v>
      </c>
      <c r="AD566" s="131">
        <v>10708</v>
      </c>
      <c r="AE566" s="132">
        <v>6392</v>
      </c>
    </row>
    <row r="567" spans="1:31" x14ac:dyDescent="0.2">
      <c r="A567" s="130">
        <v>93</v>
      </c>
      <c r="B567" s="130" t="s">
        <v>1608</v>
      </c>
      <c r="C567" s="130" t="s">
        <v>1114</v>
      </c>
      <c r="D567" s="130" t="s">
        <v>1584</v>
      </c>
      <c r="E567" s="130" t="s">
        <v>1116</v>
      </c>
      <c r="F567" s="130" t="s">
        <v>1117</v>
      </c>
      <c r="G567" s="130" t="s">
        <v>1118</v>
      </c>
      <c r="H567" s="130" t="s">
        <v>1119</v>
      </c>
      <c r="I567" s="130" t="s">
        <v>1169</v>
      </c>
      <c r="J567" s="130" t="s">
        <v>1195</v>
      </c>
      <c r="K567" s="130" t="s">
        <v>1196</v>
      </c>
      <c r="L567" s="130" t="s">
        <v>1609</v>
      </c>
      <c r="M567" s="130" t="s">
        <v>1587</v>
      </c>
      <c r="N567" s="130" t="s">
        <v>1588</v>
      </c>
      <c r="O567" s="130" t="s">
        <v>1589</v>
      </c>
      <c r="P567" s="130" t="s">
        <v>1590</v>
      </c>
      <c r="Q567" s="130" t="s">
        <v>1127</v>
      </c>
      <c r="R567" s="130" t="s">
        <v>1175</v>
      </c>
      <c r="S567" s="130" t="s">
        <v>1157</v>
      </c>
      <c r="T567" s="130" t="s">
        <v>1176</v>
      </c>
      <c r="U567" s="130">
        <v>100000</v>
      </c>
      <c r="V567" s="131">
        <v>-100000</v>
      </c>
      <c r="W567" s="131">
        <v>0</v>
      </c>
      <c r="X567" s="131">
        <v>0</v>
      </c>
      <c r="Y567" s="131">
        <v>0</v>
      </c>
      <c r="Z567" s="131">
        <v>0</v>
      </c>
      <c r="AA567" s="131">
        <v>0</v>
      </c>
      <c r="AB567" s="131">
        <v>0</v>
      </c>
      <c r="AC567" s="131">
        <v>0</v>
      </c>
      <c r="AD567" s="131">
        <v>0</v>
      </c>
      <c r="AE567" s="132">
        <v>0</v>
      </c>
    </row>
    <row r="568" spans="1:31" x14ac:dyDescent="0.2">
      <c r="A568" s="130">
        <v>94</v>
      </c>
      <c r="B568" s="130" t="s">
        <v>137</v>
      </c>
      <c r="C568" s="130" t="s">
        <v>1114</v>
      </c>
      <c r="D568" s="130" t="s">
        <v>1584</v>
      </c>
      <c r="E568" s="130" t="s">
        <v>1116</v>
      </c>
      <c r="F568" s="130" t="s">
        <v>1117</v>
      </c>
      <c r="G568" s="130" t="s">
        <v>1118</v>
      </c>
      <c r="H568" s="130" t="s">
        <v>1119</v>
      </c>
      <c r="I568" s="130" t="s">
        <v>1169</v>
      </c>
      <c r="J568" s="130" t="s">
        <v>1195</v>
      </c>
      <c r="K568" s="130" t="s">
        <v>1196</v>
      </c>
      <c r="L568" s="130" t="s">
        <v>1610</v>
      </c>
      <c r="M568" s="130" t="s">
        <v>1587</v>
      </c>
      <c r="N568" s="130" t="s">
        <v>1588</v>
      </c>
      <c r="O568" s="130" t="s">
        <v>1589</v>
      </c>
      <c r="P568" s="130" t="s">
        <v>1590</v>
      </c>
      <c r="Q568" s="130" t="s">
        <v>1127</v>
      </c>
      <c r="R568" s="130" t="s">
        <v>1187</v>
      </c>
      <c r="S568" s="130" t="s">
        <v>1611</v>
      </c>
      <c r="T568" s="130" t="s">
        <v>1176</v>
      </c>
      <c r="U568" s="130">
        <v>1732548</v>
      </c>
      <c r="V568" s="131">
        <v>-1465864</v>
      </c>
      <c r="W568" s="131">
        <v>266684</v>
      </c>
      <c r="X568" s="131">
        <v>0</v>
      </c>
      <c r="Y568" s="131">
        <v>266684</v>
      </c>
      <c r="Z568" s="131">
        <v>0</v>
      </c>
      <c r="AA568" s="131">
        <v>266684</v>
      </c>
      <c r="AB568" s="131">
        <v>0</v>
      </c>
      <c r="AC568" s="131">
        <v>266684</v>
      </c>
      <c r="AD568" s="131">
        <v>0</v>
      </c>
      <c r="AE568" s="132">
        <v>266684</v>
      </c>
    </row>
    <row r="569" spans="1:31" x14ac:dyDescent="0.2">
      <c r="A569" s="130">
        <v>95</v>
      </c>
      <c r="B569" s="130" t="s">
        <v>138</v>
      </c>
      <c r="C569" s="130" t="s">
        <v>1114</v>
      </c>
      <c r="D569" s="130" t="s">
        <v>1584</v>
      </c>
      <c r="E569" s="130" t="s">
        <v>1116</v>
      </c>
      <c r="F569" s="130" t="s">
        <v>1117</v>
      </c>
      <c r="G569" s="130" t="s">
        <v>1118</v>
      </c>
      <c r="H569" s="130" t="s">
        <v>1119</v>
      </c>
      <c r="I569" s="130" t="s">
        <v>1169</v>
      </c>
      <c r="J569" s="130" t="s">
        <v>1195</v>
      </c>
      <c r="K569" s="130" t="s">
        <v>1196</v>
      </c>
      <c r="L569" s="130" t="s">
        <v>1612</v>
      </c>
      <c r="M569" s="130" t="s">
        <v>1587</v>
      </c>
      <c r="N569" s="130" t="s">
        <v>1588</v>
      </c>
      <c r="O569" s="130" t="s">
        <v>1589</v>
      </c>
      <c r="P569" s="130" t="s">
        <v>1604</v>
      </c>
      <c r="Q569" s="130" t="s">
        <v>1127</v>
      </c>
      <c r="R569" s="130" t="s">
        <v>1187</v>
      </c>
      <c r="S569" s="130" t="s">
        <v>1613</v>
      </c>
      <c r="T569" s="130" t="s">
        <v>1176</v>
      </c>
      <c r="U569" s="130">
        <v>9922902</v>
      </c>
      <c r="V569" s="131">
        <v>-9922902</v>
      </c>
      <c r="W569" s="131">
        <v>0</v>
      </c>
      <c r="X569" s="131">
        <v>0</v>
      </c>
      <c r="Y569" s="131">
        <v>0</v>
      </c>
      <c r="Z569" s="131">
        <v>0</v>
      </c>
      <c r="AA569" s="131">
        <v>0</v>
      </c>
      <c r="AB569" s="131">
        <v>0</v>
      </c>
      <c r="AC569" s="131">
        <v>0</v>
      </c>
      <c r="AD569" s="131">
        <v>0</v>
      </c>
      <c r="AE569" s="132">
        <v>0</v>
      </c>
    </row>
    <row r="570" spans="1:31" x14ac:dyDescent="0.2">
      <c r="A570" s="133">
        <v>95</v>
      </c>
      <c r="B570" s="133" t="s">
        <v>138</v>
      </c>
      <c r="C570" s="133" t="s">
        <v>1114</v>
      </c>
      <c r="D570" s="133" t="s">
        <v>1584</v>
      </c>
      <c r="E570" s="133" t="s">
        <v>1116</v>
      </c>
      <c r="F570" s="133" t="s">
        <v>1117</v>
      </c>
      <c r="G570" s="133" t="s">
        <v>1118</v>
      </c>
      <c r="H570" s="133" t="s">
        <v>1119</v>
      </c>
      <c r="I570" s="133" t="s">
        <v>1169</v>
      </c>
      <c r="J570" s="133" t="s">
        <v>1195</v>
      </c>
      <c r="K570" s="130" t="s">
        <v>1585</v>
      </c>
      <c r="L570" s="130" t="s">
        <v>1612</v>
      </c>
      <c r="M570" s="130" t="s">
        <v>1587</v>
      </c>
      <c r="N570" s="130" t="s">
        <v>1588</v>
      </c>
      <c r="O570" s="130" t="s">
        <v>1589</v>
      </c>
      <c r="P570" s="130" t="s">
        <v>1604</v>
      </c>
      <c r="Q570" s="130" t="s">
        <v>1127</v>
      </c>
      <c r="R570" s="130" t="s">
        <v>1187</v>
      </c>
      <c r="S570" s="130" t="s">
        <v>1613</v>
      </c>
      <c r="T570" s="130" t="s">
        <v>1176</v>
      </c>
      <c r="U570" s="130">
        <v>0</v>
      </c>
      <c r="V570" s="131">
        <v>2471236</v>
      </c>
      <c r="W570" s="131">
        <v>2471236</v>
      </c>
      <c r="X570" s="131">
        <v>2471236</v>
      </c>
      <c r="Y570" s="131">
        <v>0</v>
      </c>
      <c r="Z570" s="131">
        <v>2471236</v>
      </c>
      <c r="AA570" s="131">
        <v>0</v>
      </c>
      <c r="AB570" s="131">
        <v>2337531.8600000003</v>
      </c>
      <c r="AC570" s="131">
        <v>133704.13999999966</v>
      </c>
      <c r="AD570" s="131">
        <v>2337531.8600000003</v>
      </c>
      <c r="AE570" s="132">
        <v>133704.13999999966</v>
      </c>
    </row>
    <row r="571" spans="1:31" x14ac:dyDescent="0.2">
      <c r="A571" s="133">
        <v>95</v>
      </c>
      <c r="B571" s="133" t="s">
        <v>138</v>
      </c>
      <c r="C571" s="133" t="s">
        <v>1114</v>
      </c>
      <c r="D571" s="133" t="s">
        <v>1584</v>
      </c>
      <c r="E571" s="133" t="s">
        <v>1116</v>
      </c>
      <c r="F571" s="133" t="s">
        <v>1117</v>
      </c>
      <c r="G571" s="133" t="s">
        <v>1118</v>
      </c>
      <c r="H571" s="133" t="s">
        <v>1119</v>
      </c>
      <c r="I571" s="133" t="s">
        <v>1169</v>
      </c>
      <c r="J571" s="133" t="s">
        <v>1195</v>
      </c>
      <c r="K571" s="130" t="s">
        <v>1592</v>
      </c>
      <c r="L571" s="130" t="s">
        <v>1612</v>
      </c>
      <c r="M571" s="130" t="s">
        <v>1587</v>
      </c>
      <c r="N571" s="130" t="s">
        <v>1588</v>
      </c>
      <c r="O571" s="130" t="s">
        <v>1589</v>
      </c>
      <c r="P571" s="130" t="s">
        <v>1604</v>
      </c>
      <c r="Q571" s="130" t="s">
        <v>1127</v>
      </c>
      <c r="R571" s="130" t="s">
        <v>1187</v>
      </c>
      <c r="S571" s="130" t="s">
        <v>1613</v>
      </c>
      <c r="T571" s="130" t="s">
        <v>1176</v>
      </c>
      <c r="U571" s="130">
        <v>0</v>
      </c>
      <c r="V571" s="131">
        <v>7138431</v>
      </c>
      <c r="W571" s="131">
        <v>7138431</v>
      </c>
      <c r="X571" s="131">
        <v>6855842</v>
      </c>
      <c r="Y571" s="131">
        <v>282589</v>
      </c>
      <c r="Z571" s="131">
        <v>6836110.6900000004</v>
      </c>
      <c r="AA571" s="131">
        <v>302320.30999999959</v>
      </c>
      <c r="AB571" s="131">
        <v>4263251.1899999995</v>
      </c>
      <c r="AC571" s="131">
        <v>2875179.8100000005</v>
      </c>
      <c r="AD571" s="131">
        <v>2699158.6</v>
      </c>
      <c r="AE571" s="132">
        <v>4439272.4000000004</v>
      </c>
    </row>
    <row r="572" spans="1:31" x14ac:dyDescent="0.2">
      <c r="A572" s="133">
        <v>95</v>
      </c>
      <c r="B572" s="133" t="s">
        <v>138</v>
      </c>
      <c r="C572" s="133" t="s">
        <v>1114</v>
      </c>
      <c r="D572" s="133" t="s">
        <v>1584</v>
      </c>
      <c r="E572" s="133" t="s">
        <v>1116</v>
      </c>
      <c r="F572" s="133" t="s">
        <v>1117</v>
      </c>
      <c r="G572" s="133" t="s">
        <v>1118</v>
      </c>
      <c r="H572" s="133" t="s">
        <v>1119</v>
      </c>
      <c r="I572" s="133" t="s">
        <v>1169</v>
      </c>
      <c r="J572" s="133" t="s">
        <v>1195</v>
      </c>
      <c r="K572" s="130" t="s">
        <v>1593</v>
      </c>
      <c r="L572" s="130" t="s">
        <v>1612</v>
      </c>
      <c r="M572" s="130" t="s">
        <v>1587</v>
      </c>
      <c r="N572" s="130" t="s">
        <v>1588</v>
      </c>
      <c r="O572" s="130" t="s">
        <v>1589</v>
      </c>
      <c r="P572" s="130" t="s">
        <v>1604</v>
      </c>
      <c r="Q572" s="130" t="s">
        <v>1127</v>
      </c>
      <c r="R572" s="130" t="s">
        <v>1187</v>
      </c>
      <c r="S572" s="130" t="s">
        <v>1613</v>
      </c>
      <c r="T572" s="130" t="s">
        <v>1176</v>
      </c>
      <c r="U572" s="130">
        <v>0</v>
      </c>
      <c r="V572" s="131">
        <v>4137567</v>
      </c>
      <c r="W572" s="131">
        <v>4137567</v>
      </c>
      <c r="X572" s="131">
        <v>3784675.79</v>
      </c>
      <c r="Y572" s="131">
        <v>352891.20999999996</v>
      </c>
      <c r="Z572" s="131">
        <v>3784675.79</v>
      </c>
      <c r="AA572" s="131">
        <v>352891.20999999996</v>
      </c>
      <c r="AB572" s="131">
        <v>3784675.79</v>
      </c>
      <c r="AC572" s="131">
        <v>352891.20999999996</v>
      </c>
      <c r="AD572" s="131">
        <v>3369989.87</v>
      </c>
      <c r="AE572" s="132">
        <v>767577.12999999989</v>
      </c>
    </row>
    <row r="573" spans="1:31" x14ac:dyDescent="0.2">
      <c r="A573" s="133">
        <v>95</v>
      </c>
      <c r="B573" s="133" t="s">
        <v>138</v>
      </c>
      <c r="C573" s="133" t="s">
        <v>1114</v>
      </c>
      <c r="D573" s="133" t="s">
        <v>1584</v>
      </c>
      <c r="E573" s="133" t="s">
        <v>1116</v>
      </c>
      <c r="F573" s="133" t="s">
        <v>1117</v>
      </c>
      <c r="G573" s="133" t="s">
        <v>1118</v>
      </c>
      <c r="H573" s="130" t="s">
        <v>1133</v>
      </c>
      <c r="I573" s="130" t="s">
        <v>1134</v>
      </c>
      <c r="J573" s="130" t="s">
        <v>1135</v>
      </c>
      <c r="K573" s="130" t="s">
        <v>1178</v>
      </c>
      <c r="L573" s="130" t="s">
        <v>1612</v>
      </c>
      <c r="M573" s="130" t="s">
        <v>1587</v>
      </c>
      <c r="N573" s="130" t="s">
        <v>1588</v>
      </c>
      <c r="O573" s="130" t="s">
        <v>1589</v>
      </c>
      <c r="P573" s="130" t="s">
        <v>1604</v>
      </c>
      <c r="Q573" s="130" t="s">
        <v>1127</v>
      </c>
      <c r="R573" s="130" t="s">
        <v>1187</v>
      </c>
      <c r="S573" s="130" t="s">
        <v>1613</v>
      </c>
      <c r="T573" s="130" t="s">
        <v>1176</v>
      </c>
      <c r="U573" s="130">
        <v>0</v>
      </c>
      <c r="V573" s="131">
        <v>151000</v>
      </c>
      <c r="W573" s="131">
        <v>151000</v>
      </c>
      <c r="X573" s="131">
        <v>151000</v>
      </c>
      <c r="Y573" s="131">
        <v>0</v>
      </c>
      <c r="Z573" s="131">
        <v>151000</v>
      </c>
      <c r="AA573" s="131">
        <v>0</v>
      </c>
      <c r="AB573" s="131">
        <v>130053.76000000001</v>
      </c>
      <c r="AC573" s="131">
        <v>20946.239999999991</v>
      </c>
      <c r="AD573" s="131">
        <v>130053.76000000001</v>
      </c>
      <c r="AE573" s="132">
        <v>20946.239999999991</v>
      </c>
    </row>
    <row r="574" spans="1:31" x14ac:dyDescent="0.2">
      <c r="A574" s="133">
        <v>95</v>
      </c>
      <c r="B574" s="133" t="s">
        <v>138</v>
      </c>
      <c r="C574" s="133" t="s">
        <v>1114</v>
      </c>
      <c r="D574" s="133" t="s">
        <v>1584</v>
      </c>
      <c r="E574" s="133" t="s">
        <v>1116</v>
      </c>
      <c r="F574" s="133" t="s">
        <v>1117</v>
      </c>
      <c r="G574" s="133" t="s">
        <v>1118</v>
      </c>
      <c r="H574" s="133" t="s">
        <v>1133</v>
      </c>
      <c r="I574" s="133" t="s">
        <v>1134</v>
      </c>
      <c r="J574" s="133" t="s">
        <v>1135</v>
      </c>
      <c r="K574" s="130" t="s">
        <v>1179</v>
      </c>
      <c r="L574" s="130" t="s">
        <v>1612</v>
      </c>
      <c r="M574" s="130" t="s">
        <v>1587</v>
      </c>
      <c r="N574" s="130" t="s">
        <v>1588</v>
      </c>
      <c r="O574" s="130" t="s">
        <v>1589</v>
      </c>
      <c r="P574" s="130" t="s">
        <v>1604</v>
      </c>
      <c r="Q574" s="130" t="s">
        <v>1127</v>
      </c>
      <c r="R574" s="130" t="s">
        <v>1187</v>
      </c>
      <c r="S574" s="130" t="s">
        <v>1613</v>
      </c>
      <c r="T574" s="130" t="s">
        <v>1176</v>
      </c>
      <c r="U574" s="130">
        <v>0</v>
      </c>
      <c r="V574" s="131">
        <v>53000</v>
      </c>
      <c r="W574" s="131">
        <v>53000</v>
      </c>
      <c r="X574" s="131">
        <v>27776</v>
      </c>
      <c r="Y574" s="131">
        <v>25224</v>
      </c>
      <c r="Z574" s="131">
        <v>27776</v>
      </c>
      <c r="AA574" s="131">
        <v>25224</v>
      </c>
      <c r="AB574" s="131">
        <v>27776</v>
      </c>
      <c r="AC574" s="131">
        <v>25224</v>
      </c>
      <c r="AD574" s="131">
        <v>7856</v>
      </c>
      <c r="AE574" s="132">
        <v>45144</v>
      </c>
    </row>
    <row r="575" spans="1:31" x14ac:dyDescent="0.2">
      <c r="A575" s="133">
        <v>95</v>
      </c>
      <c r="B575" s="133" t="s">
        <v>138</v>
      </c>
      <c r="C575" s="133" t="s">
        <v>1114</v>
      </c>
      <c r="D575" s="133" t="s">
        <v>1584</v>
      </c>
      <c r="E575" s="133" t="s">
        <v>1116</v>
      </c>
      <c r="F575" s="133" t="s">
        <v>1117</v>
      </c>
      <c r="G575" s="133" t="s">
        <v>1118</v>
      </c>
      <c r="H575" s="133" t="s">
        <v>1133</v>
      </c>
      <c r="I575" s="133" t="s">
        <v>1134</v>
      </c>
      <c r="J575" s="133" t="s">
        <v>1135</v>
      </c>
      <c r="K575" s="130" t="s">
        <v>1144</v>
      </c>
      <c r="L575" s="130" t="s">
        <v>1612</v>
      </c>
      <c r="M575" s="130" t="s">
        <v>1587</v>
      </c>
      <c r="N575" s="130" t="s">
        <v>1588</v>
      </c>
      <c r="O575" s="130" t="s">
        <v>1589</v>
      </c>
      <c r="P575" s="130" t="s">
        <v>1604</v>
      </c>
      <c r="Q575" s="130" t="s">
        <v>1127</v>
      </c>
      <c r="R575" s="130" t="s">
        <v>1187</v>
      </c>
      <c r="S575" s="130" t="s">
        <v>1613</v>
      </c>
      <c r="T575" s="130" t="s">
        <v>1176</v>
      </c>
      <c r="U575" s="130">
        <v>0</v>
      </c>
      <c r="V575" s="131">
        <v>45000</v>
      </c>
      <c r="W575" s="131">
        <v>45000</v>
      </c>
      <c r="X575" s="131">
        <v>44232</v>
      </c>
      <c r="Y575" s="131">
        <v>768</v>
      </c>
      <c r="Z575" s="131">
        <v>44232</v>
      </c>
      <c r="AA575" s="131">
        <v>768</v>
      </c>
      <c r="AB575" s="131">
        <v>44232</v>
      </c>
      <c r="AC575" s="131">
        <v>768</v>
      </c>
      <c r="AD575" s="131">
        <v>12700</v>
      </c>
      <c r="AE575" s="132">
        <v>32300</v>
      </c>
    </row>
    <row r="576" spans="1:31" x14ac:dyDescent="0.2">
      <c r="A576" s="130">
        <v>96</v>
      </c>
      <c r="B576" s="130" t="s">
        <v>1614</v>
      </c>
      <c r="C576" s="130" t="s">
        <v>1114</v>
      </c>
      <c r="D576" s="130" t="s">
        <v>1615</v>
      </c>
      <c r="E576" s="130" t="s">
        <v>1116</v>
      </c>
      <c r="F576" s="130" t="s">
        <v>1117</v>
      </c>
      <c r="G576" s="130" t="s">
        <v>1118</v>
      </c>
      <c r="H576" s="130" t="s">
        <v>1119</v>
      </c>
      <c r="I576" s="130" t="s">
        <v>1169</v>
      </c>
      <c r="J576" s="130" t="s">
        <v>1195</v>
      </c>
      <c r="K576" s="130" t="s">
        <v>1196</v>
      </c>
      <c r="L576" s="130" t="s">
        <v>1616</v>
      </c>
      <c r="M576" s="130" t="s">
        <v>1587</v>
      </c>
      <c r="N576" s="130" t="s">
        <v>1588</v>
      </c>
      <c r="O576" s="130" t="s">
        <v>1589</v>
      </c>
      <c r="P576" s="130" t="s">
        <v>1604</v>
      </c>
      <c r="Q576" s="130" t="s">
        <v>1127</v>
      </c>
      <c r="R576" s="130" t="s">
        <v>1187</v>
      </c>
      <c r="S576" s="130" t="s">
        <v>1427</v>
      </c>
      <c r="T576" s="130" t="s">
        <v>1158</v>
      </c>
      <c r="U576" s="130">
        <v>0</v>
      </c>
      <c r="V576" s="131">
        <v>0</v>
      </c>
      <c r="W576" s="131">
        <v>0</v>
      </c>
      <c r="X576" s="131">
        <v>0</v>
      </c>
      <c r="Y576" s="131">
        <v>0</v>
      </c>
      <c r="Z576" s="131">
        <v>0</v>
      </c>
      <c r="AA576" s="131">
        <v>0</v>
      </c>
      <c r="AB576" s="131">
        <v>0</v>
      </c>
      <c r="AC576" s="131">
        <v>0</v>
      </c>
      <c r="AD576" s="131">
        <v>0</v>
      </c>
      <c r="AE576" s="132">
        <v>0</v>
      </c>
    </row>
    <row r="577" spans="1:31" x14ac:dyDescent="0.2">
      <c r="A577" s="133">
        <v>96</v>
      </c>
      <c r="B577" s="133" t="s">
        <v>1614</v>
      </c>
      <c r="C577" s="133" t="s">
        <v>1114</v>
      </c>
      <c r="D577" s="133" t="s">
        <v>1615</v>
      </c>
      <c r="E577" s="133" t="s">
        <v>1116</v>
      </c>
      <c r="F577" s="133" t="s">
        <v>1117</v>
      </c>
      <c r="G577" s="133" t="s">
        <v>1118</v>
      </c>
      <c r="H577" s="133" t="s">
        <v>1119</v>
      </c>
      <c r="I577" s="133" t="s">
        <v>1169</v>
      </c>
      <c r="J577" s="133" t="s">
        <v>1195</v>
      </c>
      <c r="K577" s="130" t="s">
        <v>1592</v>
      </c>
      <c r="L577" s="130" t="s">
        <v>1616</v>
      </c>
      <c r="M577" s="130" t="s">
        <v>1587</v>
      </c>
      <c r="N577" s="130" t="s">
        <v>1588</v>
      </c>
      <c r="O577" s="130" t="s">
        <v>1589</v>
      </c>
      <c r="P577" s="130" t="s">
        <v>1604</v>
      </c>
      <c r="Q577" s="130" t="s">
        <v>1127</v>
      </c>
      <c r="R577" s="130" t="s">
        <v>1187</v>
      </c>
      <c r="S577" s="130" t="s">
        <v>1427</v>
      </c>
      <c r="T577" s="130" t="s">
        <v>1158</v>
      </c>
      <c r="U577" s="130">
        <v>774665</v>
      </c>
      <c r="V577" s="131">
        <v>-563139</v>
      </c>
      <c r="W577" s="131">
        <v>211526</v>
      </c>
      <c r="X577" s="131">
        <v>9450</v>
      </c>
      <c r="Y577" s="131">
        <v>202076</v>
      </c>
      <c r="Z577" s="131">
        <v>0</v>
      </c>
      <c r="AA577" s="131">
        <v>211526</v>
      </c>
      <c r="AB577" s="131">
        <v>0</v>
      </c>
      <c r="AC577" s="131">
        <v>211526</v>
      </c>
      <c r="AD577" s="131">
        <v>0</v>
      </c>
      <c r="AE577" s="132">
        <v>211526</v>
      </c>
    </row>
    <row r="578" spans="1:31" x14ac:dyDescent="0.2">
      <c r="A578" s="133">
        <v>96</v>
      </c>
      <c r="B578" s="133" t="s">
        <v>1614</v>
      </c>
      <c r="C578" s="133" t="s">
        <v>1114</v>
      </c>
      <c r="D578" s="133" t="s">
        <v>1615</v>
      </c>
      <c r="E578" s="133" t="s">
        <v>1116</v>
      </c>
      <c r="F578" s="133" t="s">
        <v>1117</v>
      </c>
      <c r="G578" s="133" t="s">
        <v>1118</v>
      </c>
      <c r="H578" s="130" t="s">
        <v>1149</v>
      </c>
      <c r="I578" s="130" t="s">
        <v>1182</v>
      </c>
      <c r="J578" s="130" t="s">
        <v>1347</v>
      </c>
      <c r="K578" s="130" t="s">
        <v>1348</v>
      </c>
      <c r="L578" s="130" t="s">
        <v>1616</v>
      </c>
      <c r="M578" s="130" t="s">
        <v>1587</v>
      </c>
      <c r="N578" s="130" t="s">
        <v>1588</v>
      </c>
      <c r="O578" s="130" t="s">
        <v>1589</v>
      </c>
      <c r="P578" s="130" t="s">
        <v>1604</v>
      </c>
      <c r="Q578" s="130" t="s">
        <v>1127</v>
      </c>
      <c r="R578" s="130" t="s">
        <v>1187</v>
      </c>
      <c r="S578" s="130" t="s">
        <v>1427</v>
      </c>
      <c r="T578" s="130" t="s">
        <v>1158</v>
      </c>
      <c r="U578" s="130">
        <v>0</v>
      </c>
      <c r="V578" s="131">
        <v>0</v>
      </c>
      <c r="W578" s="131">
        <v>0</v>
      </c>
      <c r="X578" s="131">
        <v>0</v>
      </c>
      <c r="Y578" s="131">
        <v>0</v>
      </c>
      <c r="Z578" s="131">
        <v>0</v>
      </c>
      <c r="AA578" s="131">
        <v>0</v>
      </c>
      <c r="AB578" s="131">
        <v>0</v>
      </c>
      <c r="AC578" s="131">
        <v>0</v>
      </c>
      <c r="AD578" s="131">
        <v>0</v>
      </c>
      <c r="AE578" s="132">
        <v>0</v>
      </c>
    </row>
    <row r="579" spans="1:31" x14ac:dyDescent="0.2">
      <c r="A579" s="133">
        <v>96</v>
      </c>
      <c r="B579" s="133" t="s">
        <v>1614</v>
      </c>
      <c r="C579" s="133" t="s">
        <v>1114</v>
      </c>
      <c r="D579" s="133" t="s">
        <v>1615</v>
      </c>
      <c r="E579" s="133" t="s">
        <v>1116</v>
      </c>
      <c r="F579" s="133" t="s">
        <v>1117</v>
      </c>
      <c r="G579" s="133" t="s">
        <v>1118</v>
      </c>
      <c r="H579" s="130" t="s">
        <v>1133</v>
      </c>
      <c r="I579" s="130" t="s">
        <v>1134</v>
      </c>
      <c r="J579" s="130" t="s">
        <v>1135</v>
      </c>
      <c r="K579" s="130" t="s">
        <v>1178</v>
      </c>
      <c r="L579" s="130" t="s">
        <v>1616</v>
      </c>
      <c r="M579" s="130" t="s">
        <v>1587</v>
      </c>
      <c r="N579" s="130" t="s">
        <v>1588</v>
      </c>
      <c r="O579" s="130" t="s">
        <v>1589</v>
      </c>
      <c r="P579" s="130" t="s">
        <v>1604</v>
      </c>
      <c r="Q579" s="130" t="s">
        <v>1127</v>
      </c>
      <c r="R579" s="130" t="s">
        <v>1187</v>
      </c>
      <c r="S579" s="130" t="s">
        <v>1427</v>
      </c>
      <c r="T579" s="130" t="s">
        <v>1158</v>
      </c>
      <c r="U579" s="130">
        <v>0</v>
      </c>
      <c r="V579" s="131">
        <v>46480</v>
      </c>
      <c r="W579" s="131">
        <v>46480</v>
      </c>
      <c r="X579" s="131">
        <v>38480</v>
      </c>
      <c r="Y579" s="131">
        <v>8000</v>
      </c>
      <c r="Z579" s="131">
        <v>38480</v>
      </c>
      <c r="AA579" s="131">
        <v>8000</v>
      </c>
      <c r="AB579" s="131">
        <v>38195.660000000003</v>
      </c>
      <c r="AC579" s="131">
        <v>8284.3399999999965</v>
      </c>
      <c r="AD579" s="131">
        <v>38195.660000000003</v>
      </c>
      <c r="AE579" s="132">
        <v>8284.3399999999965</v>
      </c>
    </row>
    <row r="580" spans="1:31" x14ac:dyDescent="0.2">
      <c r="A580" s="133">
        <v>96</v>
      </c>
      <c r="B580" s="133" t="s">
        <v>1614</v>
      </c>
      <c r="C580" s="133" t="s">
        <v>1114</v>
      </c>
      <c r="D580" s="133" t="s">
        <v>1615</v>
      </c>
      <c r="E580" s="133" t="s">
        <v>1116</v>
      </c>
      <c r="F580" s="133" t="s">
        <v>1117</v>
      </c>
      <c r="G580" s="133" t="s">
        <v>1118</v>
      </c>
      <c r="H580" s="133" t="s">
        <v>1133</v>
      </c>
      <c r="I580" s="133" t="s">
        <v>1134</v>
      </c>
      <c r="J580" s="133" t="s">
        <v>1135</v>
      </c>
      <c r="K580" s="130" t="s">
        <v>1179</v>
      </c>
      <c r="L580" s="130" t="s">
        <v>1616</v>
      </c>
      <c r="M580" s="130" t="s">
        <v>1587</v>
      </c>
      <c r="N580" s="130" t="s">
        <v>1588</v>
      </c>
      <c r="O580" s="130" t="s">
        <v>1589</v>
      </c>
      <c r="P580" s="130" t="s">
        <v>1604</v>
      </c>
      <c r="Q580" s="130" t="s">
        <v>1127</v>
      </c>
      <c r="R580" s="130" t="s">
        <v>1187</v>
      </c>
      <c r="S580" s="130" t="s">
        <v>1427</v>
      </c>
      <c r="T580" s="130" t="s">
        <v>1158</v>
      </c>
      <c r="U580" s="130">
        <v>0</v>
      </c>
      <c r="V580" s="131">
        <v>10559</v>
      </c>
      <c r="W580" s="131">
        <v>10559</v>
      </c>
      <c r="X580" s="131">
        <v>4809.5</v>
      </c>
      <c r="Y580" s="131">
        <v>5749.5</v>
      </c>
      <c r="Z580" s="131">
        <v>4809.5</v>
      </c>
      <c r="AA580" s="131">
        <v>5749.5</v>
      </c>
      <c r="AB580" s="131">
        <v>4809.5</v>
      </c>
      <c r="AC580" s="131">
        <v>5749.5</v>
      </c>
      <c r="AD580" s="131">
        <v>4809.5</v>
      </c>
      <c r="AE580" s="132">
        <v>5749.5</v>
      </c>
    </row>
    <row r="581" spans="1:31" x14ac:dyDescent="0.2">
      <c r="A581" s="133">
        <v>96</v>
      </c>
      <c r="B581" s="133" t="s">
        <v>1614</v>
      </c>
      <c r="C581" s="133" t="s">
        <v>1114</v>
      </c>
      <c r="D581" s="133" t="s">
        <v>1615</v>
      </c>
      <c r="E581" s="133" t="s">
        <v>1116</v>
      </c>
      <c r="F581" s="133" t="s">
        <v>1117</v>
      </c>
      <c r="G581" s="133" t="s">
        <v>1118</v>
      </c>
      <c r="H581" s="133" t="s">
        <v>1133</v>
      </c>
      <c r="I581" s="133" t="s">
        <v>1134</v>
      </c>
      <c r="J581" s="133" t="s">
        <v>1135</v>
      </c>
      <c r="K581" s="130" t="s">
        <v>1144</v>
      </c>
      <c r="L581" s="130" t="s">
        <v>1616</v>
      </c>
      <c r="M581" s="130" t="s">
        <v>1587</v>
      </c>
      <c r="N581" s="130" t="s">
        <v>1588</v>
      </c>
      <c r="O581" s="130" t="s">
        <v>1589</v>
      </c>
      <c r="P581" s="130" t="s">
        <v>1604</v>
      </c>
      <c r="Q581" s="130" t="s">
        <v>1127</v>
      </c>
      <c r="R581" s="130" t="s">
        <v>1187</v>
      </c>
      <c r="S581" s="130" t="s">
        <v>1427</v>
      </c>
      <c r="T581" s="130" t="s">
        <v>1158</v>
      </c>
      <c r="U581" s="130">
        <v>0</v>
      </c>
      <c r="V581" s="131">
        <v>6100</v>
      </c>
      <c r="W581" s="131">
        <v>6100</v>
      </c>
      <c r="X581" s="131">
        <v>6100</v>
      </c>
      <c r="Y581" s="131">
        <v>0</v>
      </c>
      <c r="Z581" s="131">
        <v>6100</v>
      </c>
      <c r="AA581" s="131">
        <v>0</v>
      </c>
      <c r="AB581" s="131">
        <v>6100</v>
      </c>
      <c r="AC581" s="131">
        <v>0</v>
      </c>
      <c r="AD581" s="131">
        <v>0</v>
      </c>
      <c r="AE581" s="132">
        <v>6100</v>
      </c>
    </row>
    <row r="582" spans="1:31" x14ac:dyDescent="0.2">
      <c r="A582" s="130">
        <v>97</v>
      </c>
      <c r="B582" s="130" t="s">
        <v>1617</v>
      </c>
      <c r="C582" s="130" t="s">
        <v>1114</v>
      </c>
      <c r="D582" s="130" t="s">
        <v>1584</v>
      </c>
      <c r="E582" s="130" t="s">
        <v>1116</v>
      </c>
      <c r="F582" s="130" t="s">
        <v>1117</v>
      </c>
      <c r="G582" s="130" t="s">
        <v>1118</v>
      </c>
      <c r="H582" s="130" t="s">
        <v>1119</v>
      </c>
      <c r="I582" s="130" t="s">
        <v>1169</v>
      </c>
      <c r="J582" s="130" t="s">
        <v>1195</v>
      </c>
      <c r="K582" s="130" t="s">
        <v>1196</v>
      </c>
      <c r="L582" s="130" t="s">
        <v>1618</v>
      </c>
      <c r="M582" s="130" t="s">
        <v>1587</v>
      </c>
      <c r="N582" s="130" t="s">
        <v>1588</v>
      </c>
      <c r="O582" s="130" t="s">
        <v>1589</v>
      </c>
      <c r="P582" s="130" t="s">
        <v>1590</v>
      </c>
      <c r="Q582" s="130" t="s">
        <v>1127</v>
      </c>
      <c r="R582" s="130" t="s">
        <v>1191</v>
      </c>
      <c r="S582" s="130" t="s">
        <v>1192</v>
      </c>
      <c r="T582" s="130" t="s">
        <v>1176</v>
      </c>
      <c r="U582" s="130">
        <v>1023926</v>
      </c>
      <c r="V582" s="131">
        <v>-1023926</v>
      </c>
      <c r="W582" s="131">
        <v>0</v>
      </c>
      <c r="X582" s="131">
        <v>0</v>
      </c>
      <c r="Y582" s="131">
        <v>0</v>
      </c>
      <c r="Z582" s="131">
        <v>0</v>
      </c>
      <c r="AA582" s="131">
        <v>0</v>
      </c>
      <c r="AB582" s="131">
        <v>0</v>
      </c>
      <c r="AC582" s="131">
        <v>0</v>
      </c>
      <c r="AD582" s="131">
        <v>0</v>
      </c>
      <c r="AE582" s="132">
        <v>0</v>
      </c>
    </row>
    <row r="583" spans="1:31" x14ac:dyDescent="0.2">
      <c r="A583" s="130">
        <v>98</v>
      </c>
      <c r="B583" s="130" t="s">
        <v>139</v>
      </c>
      <c r="C583" s="130" t="s">
        <v>1114</v>
      </c>
      <c r="D583" s="130" t="s">
        <v>1584</v>
      </c>
      <c r="E583" s="130" t="s">
        <v>1116</v>
      </c>
      <c r="F583" s="130" t="s">
        <v>1117</v>
      </c>
      <c r="G583" s="130" t="s">
        <v>1118</v>
      </c>
      <c r="H583" s="130" t="s">
        <v>1119</v>
      </c>
      <c r="I583" s="130" t="s">
        <v>1169</v>
      </c>
      <c r="J583" s="130" t="s">
        <v>1195</v>
      </c>
      <c r="K583" s="130" t="s">
        <v>1196</v>
      </c>
      <c r="L583" s="130" t="s">
        <v>1619</v>
      </c>
      <c r="M583" s="130" t="s">
        <v>1587</v>
      </c>
      <c r="N583" s="130" t="s">
        <v>1588</v>
      </c>
      <c r="O583" s="130" t="s">
        <v>1589</v>
      </c>
      <c r="P583" s="130" t="s">
        <v>1590</v>
      </c>
      <c r="Q583" s="130" t="s">
        <v>1127</v>
      </c>
      <c r="R583" s="130" t="s">
        <v>1409</v>
      </c>
      <c r="S583" s="130" t="s">
        <v>1431</v>
      </c>
      <c r="T583" s="130" t="s">
        <v>1176</v>
      </c>
      <c r="U583" s="130">
        <v>4289351</v>
      </c>
      <c r="V583" s="131">
        <v>-4289351</v>
      </c>
      <c r="W583" s="131">
        <v>0</v>
      </c>
      <c r="X583" s="131">
        <v>0</v>
      </c>
      <c r="Y583" s="131">
        <v>0</v>
      </c>
      <c r="Z583" s="131">
        <v>0</v>
      </c>
      <c r="AA583" s="131">
        <v>0</v>
      </c>
      <c r="AB583" s="131">
        <v>0</v>
      </c>
      <c r="AC583" s="131">
        <v>0</v>
      </c>
      <c r="AD583" s="131">
        <v>0</v>
      </c>
      <c r="AE583" s="132">
        <v>0</v>
      </c>
    </row>
    <row r="584" spans="1:31" x14ac:dyDescent="0.2">
      <c r="A584" s="133">
        <v>98</v>
      </c>
      <c r="B584" s="133" t="s">
        <v>139</v>
      </c>
      <c r="C584" s="133" t="s">
        <v>1114</v>
      </c>
      <c r="D584" s="133" t="s">
        <v>1584</v>
      </c>
      <c r="E584" s="133" t="s">
        <v>1116</v>
      </c>
      <c r="F584" s="133" t="s">
        <v>1117</v>
      </c>
      <c r="G584" s="133" t="s">
        <v>1118</v>
      </c>
      <c r="H584" s="133" t="s">
        <v>1119</v>
      </c>
      <c r="I584" s="133" t="s">
        <v>1169</v>
      </c>
      <c r="J584" s="133" t="s">
        <v>1195</v>
      </c>
      <c r="K584" s="130" t="s">
        <v>1585</v>
      </c>
      <c r="L584" s="130" t="s">
        <v>1619</v>
      </c>
      <c r="M584" s="130" t="s">
        <v>1587</v>
      </c>
      <c r="N584" s="130" t="s">
        <v>1588</v>
      </c>
      <c r="O584" s="130" t="s">
        <v>1589</v>
      </c>
      <c r="P584" s="130" t="s">
        <v>1590</v>
      </c>
      <c r="Q584" s="130" t="s">
        <v>1127</v>
      </c>
      <c r="R584" s="130" t="s">
        <v>1409</v>
      </c>
      <c r="S584" s="130" t="s">
        <v>1431</v>
      </c>
      <c r="T584" s="130" t="s">
        <v>1176</v>
      </c>
      <c r="U584" s="130">
        <v>0</v>
      </c>
      <c r="V584" s="131">
        <v>1676037</v>
      </c>
      <c r="W584" s="131">
        <v>1676037</v>
      </c>
      <c r="X584" s="131">
        <v>1674478.6</v>
      </c>
      <c r="Y584" s="131">
        <v>1558.3999999999069</v>
      </c>
      <c r="Z584" s="131">
        <v>1674478.6</v>
      </c>
      <c r="AA584" s="131">
        <v>1558.3999999999069</v>
      </c>
      <c r="AB584" s="131">
        <v>1673241.8199999998</v>
      </c>
      <c r="AC584" s="131">
        <v>2795.1800000001676</v>
      </c>
      <c r="AD584" s="131">
        <v>1673241.8199999998</v>
      </c>
      <c r="AE584" s="132">
        <v>2795.1800000001676</v>
      </c>
    </row>
    <row r="585" spans="1:31" x14ac:dyDescent="0.2">
      <c r="A585" s="133">
        <v>98</v>
      </c>
      <c r="B585" s="133" t="s">
        <v>139</v>
      </c>
      <c r="C585" s="133" t="s">
        <v>1114</v>
      </c>
      <c r="D585" s="133" t="s">
        <v>1584</v>
      </c>
      <c r="E585" s="133" t="s">
        <v>1116</v>
      </c>
      <c r="F585" s="133" t="s">
        <v>1117</v>
      </c>
      <c r="G585" s="133" t="s">
        <v>1118</v>
      </c>
      <c r="H585" s="133" t="s">
        <v>1119</v>
      </c>
      <c r="I585" s="133" t="s">
        <v>1169</v>
      </c>
      <c r="J585" s="133" t="s">
        <v>1195</v>
      </c>
      <c r="K585" s="130" t="s">
        <v>1592</v>
      </c>
      <c r="L585" s="130" t="s">
        <v>1619</v>
      </c>
      <c r="M585" s="130" t="s">
        <v>1587</v>
      </c>
      <c r="N585" s="130" t="s">
        <v>1588</v>
      </c>
      <c r="O585" s="130" t="s">
        <v>1589</v>
      </c>
      <c r="P585" s="130" t="s">
        <v>1590</v>
      </c>
      <c r="Q585" s="130" t="s">
        <v>1127</v>
      </c>
      <c r="R585" s="130" t="s">
        <v>1409</v>
      </c>
      <c r="S585" s="130" t="s">
        <v>1431</v>
      </c>
      <c r="T585" s="130" t="s">
        <v>1176</v>
      </c>
      <c r="U585" s="130">
        <v>0</v>
      </c>
      <c r="V585" s="131">
        <v>4372086</v>
      </c>
      <c r="W585" s="131">
        <v>4372086</v>
      </c>
      <c r="X585" s="131">
        <v>4372085.95</v>
      </c>
      <c r="Y585" s="131">
        <v>4.9999999813735485E-2</v>
      </c>
      <c r="Z585" s="131">
        <v>4360674.45</v>
      </c>
      <c r="AA585" s="131">
        <v>11411.549999999814</v>
      </c>
      <c r="AB585" s="131">
        <v>2925473.3</v>
      </c>
      <c r="AC585" s="131">
        <v>1446612.7000000002</v>
      </c>
      <c r="AD585" s="131">
        <v>1378557</v>
      </c>
      <c r="AE585" s="132">
        <v>2993529</v>
      </c>
    </row>
    <row r="586" spans="1:31" x14ac:dyDescent="0.2">
      <c r="A586" s="133">
        <v>98</v>
      </c>
      <c r="B586" s="133" t="s">
        <v>139</v>
      </c>
      <c r="C586" s="133" t="s">
        <v>1114</v>
      </c>
      <c r="D586" s="133" t="s">
        <v>1584</v>
      </c>
      <c r="E586" s="133" t="s">
        <v>1116</v>
      </c>
      <c r="F586" s="133" t="s">
        <v>1117</v>
      </c>
      <c r="G586" s="133" t="s">
        <v>1118</v>
      </c>
      <c r="H586" s="133" t="s">
        <v>1119</v>
      </c>
      <c r="I586" s="133" t="s">
        <v>1169</v>
      </c>
      <c r="J586" s="133" t="s">
        <v>1195</v>
      </c>
      <c r="K586" s="130" t="s">
        <v>1593</v>
      </c>
      <c r="L586" s="130" t="s">
        <v>1619</v>
      </c>
      <c r="M586" s="130" t="s">
        <v>1587</v>
      </c>
      <c r="N586" s="130" t="s">
        <v>1588</v>
      </c>
      <c r="O586" s="130" t="s">
        <v>1589</v>
      </c>
      <c r="P586" s="130" t="s">
        <v>1590</v>
      </c>
      <c r="Q586" s="130" t="s">
        <v>1127</v>
      </c>
      <c r="R586" s="130" t="s">
        <v>1409</v>
      </c>
      <c r="S586" s="130" t="s">
        <v>1431</v>
      </c>
      <c r="T586" s="130" t="s">
        <v>1176</v>
      </c>
      <c r="U586" s="130">
        <v>0</v>
      </c>
      <c r="V586" s="131">
        <v>622624</v>
      </c>
      <c r="W586" s="131">
        <v>622624</v>
      </c>
      <c r="X586" s="131">
        <v>618933.69999999995</v>
      </c>
      <c r="Y586" s="131">
        <v>3690.3000000000466</v>
      </c>
      <c r="Z586" s="131">
        <v>616933.69999999995</v>
      </c>
      <c r="AA586" s="131">
        <v>5690.3000000000466</v>
      </c>
      <c r="AB586" s="131">
        <v>142733.70000000001</v>
      </c>
      <c r="AC586" s="131">
        <v>479890.3</v>
      </c>
      <c r="AD586" s="131">
        <v>58898.7</v>
      </c>
      <c r="AE586" s="132">
        <v>563725.30000000005</v>
      </c>
    </row>
    <row r="587" spans="1:31" x14ac:dyDescent="0.2">
      <c r="A587" s="133">
        <v>98</v>
      </c>
      <c r="B587" s="133" t="s">
        <v>139</v>
      </c>
      <c r="C587" s="133" t="s">
        <v>1114</v>
      </c>
      <c r="D587" s="133" t="s">
        <v>1584</v>
      </c>
      <c r="E587" s="133" t="s">
        <v>1116</v>
      </c>
      <c r="F587" s="133" t="s">
        <v>1117</v>
      </c>
      <c r="G587" s="133" t="s">
        <v>1118</v>
      </c>
      <c r="H587" s="130" t="s">
        <v>1133</v>
      </c>
      <c r="I587" s="130" t="s">
        <v>1134</v>
      </c>
      <c r="J587" s="130" t="s">
        <v>1135</v>
      </c>
      <c r="K587" s="130" t="s">
        <v>1178</v>
      </c>
      <c r="L587" s="130" t="s">
        <v>1619</v>
      </c>
      <c r="M587" s="130" t="s">
        <v>1587</v>
      </c>
      <c r="N587" s="130" t="s">
        <v>1588</v>
      </c>
      <c r="O587" s="130" t="s">
        <v>1589</v>
      </c>
      <c r="P587" s="130" t="s">
        <v>1590</v>
      </c>
      <c r="Q587" s="130" t="s">
        <v>1127</v>
      </c>
      <c r="R587" s="130" t="s">
        <v>1409</v>
      </c>
      <c r="S587" s="130" t="s">
        <v>1431</v>
      </c>
      <c r="T587" s="130" t="s">
        <v>1176</v>
      </c>
      <c r="U587" s="130">
        <v>0</v>
      </c>
      <c r="V587" s="131">
        <v>129000</v>
      </c>
      <c r="W587" s="131">
        <v>129000</v>
      </c>
      <c r="X587" s="131">
        <v>129000</v>
      </c>
      <c r="Y587" s="131">
        <v>0</v>
      </c>
      <c r="Z587" s="131">
        <v>129000</v>
      </c>
      <c r="AA587" s="131">
        <v>0</v>
      </c>
      <c r="AB587" s="131">
        <v>123998.59</v>
      </c>
      <c r="AC587" s="131">
        <v>5001.4100000000035</v>
      </c>
      <c r="AD587" s="131">
        <v>123998.59</v>
      </c>
      <c r="AE587" s="132">
        <v>5001.4100000000035</v>
      </c>
    </row>
    <row r="588" spans="1:31" x14ac:dyDescent="0.2">
      <c r="A588" s="133">
        <v>98</v>
      </c>
      <c r="B588" s="133" t="s">
        <v>139</v>
      </c>
      <c r="C588" s="133" t="s">
        <v>1114</v>
      </c>
      <c r="D588" s="133" t="s">
        <v>1584</v>
      </c>
      <c r="E588" s="133" t="s">
        <v>1116</v>
      </c>
      <c r="F588" s="133" t="s">
        <v>1117</v>
      </c>
      <c r="G588" s="133" t="s">
        <v>1118</v>
      </c>
      <c r="H588" s="133" t="s">
        <v>1133</v>
      </c>
      <c r="I588" s="133" t="s">
        <v>1134</v>
      </c>
      <c r="J588" s="133" t="s">
        <v>1135</v>
      </c>
      <c r="K588" s="130" t="s">
        <v>1179</v>
      </c>
      <c r="L588" s="130" t="s">
        <v>1619</v>
      </c>
      <c r="M588" s="130" t="s">
        <v>1587</v>
      </c>
      <c r="N588" s="130" t="s">
        <v>1588</v>
      </c>
      <c r="O588" s="130" t="s">
        <v>1589</v>
      </c>
      <c r="P588" s="130" t="s">
        <v>1590</v>
      </c>
      <c r="Q588" s="130" t="s">
        <v>1127</v>
      </c>
      <c r="R588" s="130" t="s">
        <v>1409</v>
      </c>
      <c r="S588" s="130" t="s">
        <v>1431</v>
      </c>
      <c r="T588" s="130" t="s">
        <v>1176</v>
      </c>
      <c r="U588" s="130">
        <v>0</v>
      </c>
      <c r="V588" s="131">
        <v>45000</v>
      </c>
      <c r="W588" s="131">
        <v>45000</v>
      </c>
      <c r="X588" s="131">
        <v>26622</v>
      </c>
      <c r="Y588" s="131">
        <v>18378</v>
      </c>
      <c r="Z588" s="131">
        <v>26622</v>
      </c>
      <c r="AA588" s="131">
        <v>18378</v>
      </c>
      <c r="AB588" s="131">
        <v>26622</v>
      </c>
      <c r="AC588" s="131">
        <v>18378</v>
      </c>
      <c r="AD588" s="131">
        <v>5568</v>
      </c>
      <c r="AE588" s="132">
        <v>39432</v>
      </c>
    </row>
    <row r="589" spans="1:31" x14ac:dyDescent="0.2">
      <c r="A589" s="133">
        <v>98</v>
      </c>
      <c r="B589" s="133" t="s">
        <v>139</v>
      </c>
      <c r="C589" s="133" t="s">
        <v>1114</v>
      </c>
      <c r="D589" s="133" t="s">
        <v>1584</v>
      </c>
      <c r="E589" s="133" t="s">
        <v>1116</v>
      </c>
      <c r="F589" s="133" t="s">
        <v>1117</v>
      </c>
      <c r="G589" s="133" t="s">
        <v>1118</v>
      </c>
      <c r="H589" s="133" t="s">
        <v>1133</v>
      </c>
      <c r="I589" s="133" t="s">
        <v>1134</v>
      </c>
      <c r="J589" s="133" t="s">
        <v>1135</v>
      </c>
      <c r="K589" s="130" t="s">
        <v>1144</v>
      </c>
      <c r="L589" s="130" t="s">
        <v>1619</v>
      </c>
      <c r="M589" s="130" t="s">
        <v>1587</v>
      </c>
      <c r="N589" s="130" t="s">
        <v>1588</v>
      </c>
      <c r="O589" s="130" t="s">
        <v>1589</v>
      </c>
      <c r="P589" s="130" t="s">
        <v>1590</v>
      </c>
      <c r="Q589" s="130" t="s">
        <v>1127</v>
      </c>
      <c r="R589" s="130" t="s">
        <v>1409</v>
      </c>
      <c r="S589" s="130" t="s">
        <v>1431</v>
      </c>
      <c r="T589" s="130" t="s">
        <v>1176</v>
      </c>
      <c r="U589" s="130">
        <v>0</v>
      </c>
      <c r="V589" s="131">
        <v>57306</v>
      </c>
      <c r="W589" s="131">
        <v>57306</v>
      </c>
      <c r="X589" s="131">
        <v>44940</v>
      </c>
      <c r="Y589" s="131">
        <v>12366</v>
      </c>
      <c r="Z589" s="131">
        <v>44940</v>
      </c>
      <c r="AA589" s="131">
        <v>12366</v>
      </c>
      <c r="AB589" s="131">
        <v>44940</v>
      </c>
      <c r="AC589" s="131">
        <v>12366</v>
      </c>
      <c r="AD589" s="131">
        <v>21000</v>
      </c>
      <c r="AE589" s="132">
        <v>36306</v>
      </c>
    </row>
    <row r="590" spans="1:31" x14ac:dyDescent="0.2">
      <c r="A590" s="130">
        <v>99</v>
      </c>
      <c r="B590" s="130" t="s">
        <v>1620</v>
      </c>
      <c r="C590" s="130" t="s">
        <v>1114</v>
      </c>
      <c r="D590" s="130" t="s">
        <v>1621</v>
      </c>
      <c r="E590" s="130" t="s">
        <v>1116</v>
      </c>
      <c r="F590" s="130" t="s">
        <v>1117</v>
      </c>
      <c r="G590" s="130" t="s">
        <v>1118</v>
      </c>
      <c r="H590" s="130" t="s">
        <v>1119</v>
      </c>
      <c r="I590" s="130" t="s">
        <v>1169</v>
      </c>
      <c r="J590" s="130" t="s">
        <v>1195</v>
      </c>
      <c r="K590" s="130" t="s">
        <v>1196</v>
      </c>
      <c r="L590" s="130" t="s">
        <v>1622</v>
      </c>
      <c r="M590" s="130" t="s">
        <v>1587</v>
      </c>
      <c r="N590" s="130" t="s">
        <v>1588</v>
      </c>
      <c r="O590" s="130" t="s">
        <v>1589</v>
      </c>
      <c r="P590" s="130" t="s">
        <v>1604</v>
      </c>
      <c r="Q590" s="130" t="s">
        <v>1127</v>
      </c>
      <c r="R590" s="130" t="s">
        <v>1128</v>
      </c>
      <c r="S590" s="130" t="s">
        <v>1376</v>
      </c>
      <c r="T590" s="130" t="s">
        <v>1176</v>
      </c>
      <c r="U590" s="130">
        <v>3545977</v>
      </c>
      <c r="V590" s="131">
        <v>-3545977</v>
      </c>
      <c r="W590" s="131">
        <v>0</v>
      </c>
      <c r="X590" s="131">
        <v>0</v>
      </c>
      <c r="Y590" s="131">
        <v>0</v>
      </c>
      <c r="Z590" s="131">
        <v>0</v>
      </c>
      <c r="AA590" s="131">
        <v>0</v>
      </c>
      <c r="AB590" s="131">
        <v>0</v>
      </c>
      <c r="AC590" s="131">
        <v>0</v>
      </c>
      <c r="AD590" s="131">
        <v>0</v>
      </c>
      <c r="AE590" s="132">
        <v>0</v>
      </c>
    </row>
    <row r="591" spans="1:31" x14ac:dyDescent="0.2">
      <c r="A591" s="133">
        <v>99</v>
      </c>
      <c r="B591" s="133" t="s">
        <v>1620</v>
      </c>
      <c r="C591" s="133" t="s">
        <v>1114</v>
      </c>
      <c r="D591" s="133" t="s">
        <v>1621</v>
      </c>
      <c r="E591" s="133" t="s">
        <v>1116</v>
      </c>
      <c r="F591" s="133" t="s">
        <v>1117</v>
      </c>
      <c r="G591" s="133" t="s">
        <v>1118</v>
      </c>
      <c r="H591" s="133" t="s">
        <v>1119</v>
      </c>
      <c r="I591" s="133" t="s">
        <v>1169</v>
      </c>
      <c r="J591" s="133" t="s">
        <v>1195</v>
      </c>
      <c r="K591" s="130" t="s">
        <v>1585</v>
      </c>
      <c r="L591" s="130" t="s">
        <v>1622</v>
      </c>
      <c r="M591" s="130" t="s">
        <v>1587</v>
      </c>
      <c r="N591" s="130" t="s">
        <v>1588</v>
      </c>
      <c r="O591" s="130" t="s">
        <v>1589</v>
      </c>
      <c r="P591" s="130" t="s">
        <v>1604</v>
      </c>
      <c r="Q591" s="130" t="s">
        <v>1127</v>
      </c>
      <c r="R591" s="130" t="s">
        <v>1128</v>
      </c>
      <c r="S591" s="130" t="s">
        <v>1376</v>
      </c>
      <c r="T591" s="130" t="s">
        <v>1176</v>
      </c>
      <c r="U591" s="130">
        <v>0</v>
      </c>
      <c r="V591" s="131">
        <v>700000</v>
      </c>
      <c r="W591" s="131">
        <v>700000</v>
      </c>
      <c r="X591" s="131">
        <v>700000</v>
      </c>
      <c r="Y591" s="131">
        <v>0</v>
      </c>
      <c r="Z591" s="131">
        <v>700000</v>
      </c>
      <c r="AA591" s="131">
        <v>0</v>
      </c>
      <c r="AB591" s="131">
        <v>548596.0199999999</v>
      </c>
      <c r="AC591" s="131">
        <v>151403.9800000001</v>
      </c>
      <c r="AD591" s="131">
        <v>513914.63000000006</v>
      </c>
      <c r="AE591" s="132">
        <v>186085.36999999994</v>
      </c>
    </row>
    <row r="592" spans="1:31" x14ac:dyDescent="0.2">
      <c r="A592" s="133">
        <v>99</v>
      </c>
      <c r="B592" s="133" t="s">
        <v>1620</v>
      </c>
      <c r="C592" s="133" t="s">
        <v>1114</v>
      </c>
      <c r="D592" s="133" t="s">
        <v>1621</v>
      </c>
      <c r="E592" s="133" t="s">
        <v>1116</v>
      </c>
      <c r="F592" s="133" t="s">
        <v>1117</v>
      </c>
      <c r="G592" s="133" t="s">
        <v>1118</v>
      </c>
      <c r="H592" s="133" t="s">
        <v>1119</v>
      </c>
      <c r="I592" s="133" t="s">
        <v>1169</v>
      </c>
      <c r="J592" s="133" t="s">
        <v>1195</v>
      </c>
      <c r="K592" s="130" t="s">
        <v>1592</v>
      </c>
      <c r="L592" s="130" t="s">
        <v>1622</v>
      </c>
      <c r="M592" s="130" t="s">
        <v>1587</v>
      </c>
      <c r="N592" s="130" t="s">
        <v>1588</v>
      </c>
      <c r="O592" s="130" t="s">
        <v>1589</v>
      </c>
      <c r="P592" s="130" t="s">
        <v>1604</v>
      </c>
      <c r="Q592" s="130" t="s">
        <v>1127</v>
      </c>
      <c r="R592" s="130" t="s">
        <v>1128</v>
      </c>
      <c r="S592" s="130" t="s">
        <v>1376</v>
      </c>
      <c r="T592" s="130" t="s">
        <v>1176</v>
      </c>
      <c r="U592" s="130">
        <v>0</v>
      </c>
      <c r="V592" s="131">
        <v>1543788</v>
      </c>
      <c r="W592" s="131">
        <v>1543788</v>
      </c>
      <c r="X592" s="131">
        <v>1543787.92</v>
      </c>
      <c r="Y592" s="131">
        <v>8.0000000074505806E-2</v>
      </c>
      <c r="Z592" s="131">
        <v>1537592.92</v>
      </c>
      <c r="AA592" s="131">
        <v>6195.0800000000745</v>
      </c>
      <c r="AB592" s="131">
        <v>539230.42000000004</v>
      </c>
      <c r="AC592" s="131">
        <v>1004557.58</v>
      </c>
      <c r="AD592" s="131">
        <v>495385.42000000004</v>
      </c>
      <c r="AE592" s="132">
        <v>1048402.58</v>
      </c>
    </row>
    <row r="593" spans="1:31" x14ac:dyDescent="0.2">
      <c r="A593" s="133">
        <v>99</v>
      </c>
      <c r="B593" s="133" t="s">
        <v>1620</v>
      </c>
      <c r="C593" s="133" t="s">
        <v>1114</v>
      </c>
      <c r="D593" s="133" t="s">
        <v>1621</v>
      </c>
      <c r="E593" s="133" t="s">
        <v>1116</v>
      </c>
      <c r="F593" s="133" t="s">
        <v>1117</v>
      </c>
      <c r="G593" s="133" t="s">
        <v>1118</v>
      </c>
      <c r="H593" s="133" t="s">
        <v>1119</v>
      </c>
      <c r="I593" s="133" t="s">
        <v>1169</v>
      </c>
      <c r="J593" s="133" t="s">
        <v>1195</v>
      </c>
      <c r="K593" s="130" t="s">
        <v>1593</v>
      </c>
      <c r="L593" s="130" t="s">
        <v>1622</v>
      </c>
      <c r="M593" s="130" t="s">
        <v>1587</v>
      </c>
      <c r="N593" s="130" t="s">
        <v>1588</v>
      </c>
      <c r="O593" s="130" t="s">
        <v>1589</v>
      </c>
      <c r="P593" s="130" t="s">
        <v>1604</v>
      </c>
      <c r="Q593" s="130" t="s">
        <v>1127</v>
      </c>
      <c r="R593" s="130" t="s">
        <v>1128</v>
      </c>
      <c r="S593" s="130" t="s">
        <v>1376</v>
      </c>
      <c r="T593" s="130" t="s">
        <v>1176</v>
      </c>
      <c r="U593" s="130">
        <v>0</v>
      </c>
      <c r="V593" s="131">
        <v>159045</v>
      </c>
      <c r="W593" s="131">
        <v>159045</v>
      </c>
      <c r="X593" s="131">
        <v>159044.65</v>
      </c>
      <c r="Y593" s="131">
        <v>0.35000000000582077</v>
      </c>
      <c r="Z593" s="131">
        <v>159044.65</v>
      </c>
      <c r="AA593" s="131">
        <v>0.35000000000582077</v>
      </c>
      <c r="AB593" s="131">
        <v>159044.65</v>
      </c>
      <c r="AC593" s="131">
        <v>0.35000000000582077</v>
      </c>
      <c r="AD593" s="131">
        <v>155693.75</v>
      </c>
      <c r="AE593" s="132">
        <v>3351.25</v>
      </c>
    </row>
    <row r="594" spans="1:31" x14ac:dyDescent="0.2">
      <c r="A594" s="133">
        <v>99</v>
      </c>
      <c r="B594" s="133" t="s">
        <v>1620</v>
      </c>
      <c r="C594" s="133" t="s">
        <v>1114</v>
      </c>
      <c r="D594" s="133" t="s">
        <v>1621</v>
      </c>
      <c r="E594" s="133" t="s">
        <v>1116</v>
      </c>
      <c r="F594" s="133" t="s">
        <v>1117</v>
      </c>
      <c r="G594" s="133" t="s">
        <v>1118</v>
      </c>
      <c r="H594" s="130" t="s">
        <v>1133</v>
      </c>
      <c r="I594" s="130" t="s">
        <v>1134</v>
      </c>
      <c r="J594" s="130" t="s">
        <v>1135</v>
      </c>
      <c r="K594" s="130" t="s">
        <v>1178</v>
      </c>
      <c r="L594" s="130" t="s">
        <v>1622</v>
      </c>
      <c r="M594" s="130" t="s">
        <v>1587</v>
      </c>
      <c r="N594" s="130" t="s">
        <v>1588</v>
      </c>
      <c r="O594" s="130" t="s">
        <v>1589</v>
      </c>
      <c r="P594" s="130" t="s">
        <v>1604</v>
      </c>
      <c r="Q594" s="130" t="s">
        <v>1127</v>
      </c>
      <c r="R594" s="130" t="s">
        <v>1128</v>
      </c>
      <c r="S594" s="130" t="s">
        <v>1376</v>
      </c>
      <c r="T594" s="130" t="s">
        <v>1176</v>
      </c>
      <c r="U594" s="130">
        <v>0</v>
      </c>
      <c r="V594" s="131">
        <v>55000</v>
      </c>
      <c r="W594" s="131">
        <v>55000</v>
      </c>
      <c r="X594" s="131">
        <v>55000</v>
      </c>
      <c r="Y594" s="131">
        <v>0</v>
      </c>
      <c r="Z594" s="131">
        <v>55000</v>
      </c>
      <c r="AA594" s="131">
        <v>0</v>
      </c>
      <c r="AB594" s="131">
        <v>38894.289999999994</v>
      </c>
      <c r="AC594" s="131">
        <v>16105.710000000006</v>
      </c>
      <c r="AD594" s="131">
        <v>38894.289999999994</v>
      </c>
      <c r="AE594" s="132">
        <v>16105.710000000006</v>
      </c>
    </row>
    <row r="595" spans="1:31" x14ac:dyDescent="0.2">
      <c r="A595" s="133">
        <v>99</v>
      </c>
      <c r="B595" s="133" t="s">
        <v>1620</v>
      </c>
      <c r="C595" s="133" t="s">
        <v>1114</v>
      </c>
      <c r="D595" s="133" t="s">
        <v>1621</v>
      </c>
      <c r="E595" s="133" t="s">
        <v>1116</v>
      </c>
      <c r="F595" s="133" t="s">
        <v>1117</v>
      </c>
      <c r="G595" s="133" t="s">
        <v>1118</v>
      </c>
      <c r="H595" s="133" t="s">
        <v>1133</v>
      </c>
      <c r="I595" s="133" t="s">
        <v>1134</v>
      </c>
      <c r="J595" s="133" t="s">
        <v>1135</v>
      </c>
      <c r="K595" s="130" t="s">
        <v>1179</v>
      </c>
      <c r="L595" s="130" t="s">
        <v>1622</v>
      </c>
      <c r="M595" s="130" t="s">
        <v>1587</v>
      </c>
      <c r="N595" s="130" t="s">
        <v>1588</v>
      </c>
      <c r="O595" s="130" t="s">
        <v>1589</v>
      </c>
      <c r="P595" s="130" t="s">
        <v>1604</v>
      </c>
      <c r="Q595" s="130" t="s">
        <v>1127</v>
      </c>
      <c r="R595" s="130" t="s">
        <v>1128</v>
      </c>
      <c r="S595" s="130" t="s">
        <v>1376</v>
      </c>
      <c r="T595" s="130" t="s">
        <v>1176</v>
      </c>
      <c r="U595" s="130">
        <v>0</v>
      </c>
      <c r="V595" s="131">
        <v>280</v>
      </c>
      <c r="W595" s="131">
        <v>280</v>
      </c>
      <c r="X595" s="131">
        <v>280</v>
      </c>
      <c r="Y595" s="131">
        <v>0</v>
      </c>
      <c r="Z595" s="131">
        <v>211.93</v>
      </c>
      <c r="AA595" s="131">
        <v>68.069999999999993</v>
      </c>
      <c r="AB595" s="131">
        <v>211.93</v>
      </c>
      <c r="AC595" s="131">
        <v>68.069999999999993</v>
      </c>
      <c r="AD595" s="131">
        <v>0</v>
      </c>
      <c r="AE595" s="132">
        <v>280</v>
      </c>
    </row>
    <row r="596" spans="1:31" x14ac:dyDescent="0.2">
      <c r="A596" s="133">
        <v>99</v>
      </c>
      <c r="B596" s="133" t="s">
        <v>1620</v>
      </c>
      <c r="C596" s="133" t="s">
        <v>1114</v>
      </c>
      <c r="D596" s="133" t="s">
        <v>1621</v>
      </c>
      <c r="E596" s="133" t="s">
        <v>1116</v>
      </c>
      <c r="F596" s="133" t="s">
        <v>1117</v>
      </c>
      <c r="G596" s="133" t="s">
        <v>1118</v>
      </c>
      <c r="H596" s="133" t="s">
        <v>1133</v>
      </c>
      <c r="I596" s="133" t="s">
        <v>1134</v>
      </c>
      <c r="J596" s="133" t="s">
        <v>1135</v>
      </c>
      <c r="K596" s="130" t="s">
        <v>1144</v>
      </c>
      <c r="L596" s="130" t="s">
        <v>1622</v>
      </c>
      <c r="M596" s="130" t="s">
        <v>1587</v>
      </c>
      <c r="N596" s="130" t="s">
        <v>1588</v>
      </c>
      <c r="O596" s="130" t="s">
        <v>1589</v>
      </c>
      <c r="P596" s="130" t="s">
        <v>1604</v>
      </c>
      <c r="Q596" s="130" t="s">
        <v>1127</v>
      </c>
      <c r="R596" s="130" t="s">
        <v>1128</v>
      </c>
      <c r="S596" s="130" t="s">
        <v>1376</v>
      </c>
      <c r="T596" s="130" t="s">
        <v>1176</v>
      </c>
      <c r="U596" s="130">
        <v>0</v>
      </c>
      <c r="V596" s="131">
        <v>12632</v>
      </c>
      <c r="W596" s="131">
        <v>12632</v>
      </c>
      <c r="X596" s="131">
        <v>0</v>
      </c>
      <c r="Y596" s="131">
        <v>12632</v>
      </c>
      <c r="Z596" s="131">
        <v>0</v>
      </c>
      <c r="AA596" s="131">
        <v>12632</v>
      </c>
      <c r="AB596" s="131">
        <v>0</v>
      </c>
      <c r="AC596" s="131">
        <v>12632</v>
      </c>
      <c r="AD596" s="131">
        <v>0</v>
      </c>
      <c r="AE596" s="132">
        <v>12632</v>
      </c>
    </row>
    <row r="597" spans="1:31" x14ac:dyDescent="0.2">
      <c r="A597" s="130">
        <v>100</v>
      </c>
      <c r="B597" s="130" t="s">
        <v>1623</v>
      </c>
      <c r="C597" s="130" t="s">
        <v>1114</v>
      </c>
      <c r="D597" s="130" t="s">
        <v>1584</v>
      </c>
      <c r="E597" s="130" t="s">
        <v>1116</v>
      </c>
      <c r="F597" s="130" t="s">
        <v>1117</v>
      </c>
      <c r="G597" s="130" t="s">
        <v>1118</v>
      </c>
      <c r="H597" s="130" t="s">
        <v>1119</v>
      </c>
      <c r="I597" s="130" t="s">
        <v>1169</v>
      </c>
      <c r="J597" s="130" t="s">
        <v>1195</v>
      </c>
      <c r="K597" s="130" t="s">
        <v>1196</v>
      </c>
      <c r="L597" s="130" t="s">
        <v>1624</v>
      </c>
      <c r="M597" s="130" t="s">
        <v>1587</v>
      </c>
      <c r="N597" s="130" t="s">
        <v>1588</v>
      </c>
      <c r="O597" s="130" t="s">
        <v>1589</v>
      </c>
      <c r="P597" s="130" t="s">
        <v>1590</v>
      </c>
      <c r="Q597" s="130" t="s">
        <v>1127</v>
      </c>
      <c r="R597" s="130" t="s">
        <v>1191</v>
      </c>
      <c r="S597" s="130" t="s">
        <v>1157</v>
      </c>
      <c r="T597" s="130" t="s">
        <v>1176</v>
      </c>
      <c r="U597" s="130">
        <v>7946662</v>
      </c>
      <c r="V597" s="131">
        <v>0</v>
      </c>
      <c r="W597" s="131">
        <v>7946662</v>
      </c>
      <c r="X597" s="131">
        <v>0</v>
      </c>
      <c r="Y597" s="131">
        <v>7946662</v>
      </c>
      <c r="Z597" s="131">
        <v>0</v>
      </c>
      <c r="AA597" s="131">
        <v>7946662</v>
      </c>
      <c r="AB597" s="131">
        <v>0</v>
      </c>
      <c r="AC597" s="131">
        <v>7946662</v>
      </c>
      <c r="AD597" s="131">
        <v>0</v>
      </c>
      <c r="AE597" s="132">
        <v>7946662</v>
      </c>
    </row>
    <row r="598" spans="1:31" x14ac:dyDescent="0.2">
      <c r="A598" s="130">
        <v>101</v>
      </c>
      <c r="B598" s="130" t="s">
        <v>140</v>
      </c>
      <c r="C598" s="130" t="s">
        <v>1114</v>
      </c>
      <c r="D598" s="130" t="s">
        <v>1584</v>
      </c>
      <c r="E598" s="130" t="s">
        <v>1201</v>
      </c>
      <c r="F598" s="130" t="s">
        <v>1117</v>
      </c>
      <c r="G598" s="130" t="s">
        <v>1118</v>
      </c>
      <c r="H598" s="130" t="s">
        <v>1119</v>
      </c>
      <c r="I598" s="130" t="s">
        <v>1169</v>
      </c>
      <c r="J598" s="130" t="s">
        <v>1195</v>
      </c>
      <c r="K598" s="130" t="s">
        <v>1196</v>
      </c>
      <c r="L598" s="130" t="s">
        <v>1625</v>
      </c>
      <c r="M598" s="130" t="s">
        <v>1587</v>
      </c>
      <c r="N598" s="130" t="s">
        <v>1588</v>
      </c>
      <c r="O598" s="130" t="s">
        <v>1589</v>
      </c>
      <c r="P598" s="130" t="s">
        <v>1590</v>
      </c>
      <c r="Q598" s="130" t="s">
        <v>1127</v>
      </c>
      <c r="R598" s="130" t="s">
        <v>1448</v>
      </c>
      <c r="S598" s="130" t="s">
        <v>1626</v>
      </c>
      <c r="T598" s="130" t="s">
        <v>1176</v>
      </c>
      <c r="U598" s="130">
        <v>850000</v>
      </c>
      <c r="V598" s="131">
        <v>-78270</v>
      </c>
      <c r="W598" s="131">
        <v>771730</v>
      </c>
      <c r="X598" s="131">
        <v>0</v>
      </c>
      <c r="Y598" s="131">
        <v>771730</v>
      </c>
      <c r="Z598" s="131">
        <v>0</v>
      </c>
      <c r="AA598" s="131">
        <v>771730</v>
      </c>
      <c r="AB598" s="131">
        <v>0</v>
      </c>
      <c r="AC598" s="131">
        <v>771730</v>
      </c>
      <c r="AD598" s="131">
        <v>0</v>
      </c>
      <c r="AE598" s="132">
        <v>771730</v>
      </c>
    </row>
    <row r="599" spans="1:31" x14ac:dyDescent="0.2">
      <c r="A599" s="133">
        <v>101</v>
      </c>
      <c r="B599" s="133" t="s">
        <v>140</v>
      </c>
      <c r="C599" s="133" t="s">
        <v>1114</v>
      </c>
      <c r="D599" s="133" t="s">
        <v>1584</v>
      </c>
      <c r="E599" s="133" t="s">
        <v>1201</v>
      </c>
      <c r="F599" s="133" t="s">
        <v>1117</v>
      </c>
      <c r="G599" s="133" t="s">
        <v>1118</v>
      </c>
      <c r="H599" s="130" t="s">
        <v>1133</v>
      </c>
      <c r="I599" s="130" t="s">
        <v>1134</v>
      </c>
      <c r="J599" s="130" t="s">
        <v>1135</v>
      </c>
      <c r="K599" s="130" t="s">
        <v>1178</v>
      </c>
      <c r="L599" s="130" t="s">
        <v>1625</v>
      </c>
      <c r="M599" s="130" t="s">
        <v>1587</v>
      </c>
      <c r="N599" s="130" t="s">
        <v>1588</v>
      </c>
      <c r="O599" s="130" t="s">
        <v>1589</v>
      </c>
      <c r="P599" s="130" t="s">
        <v>1590</v>
      </c>
      <c r="Q599" s="130" t="s">
        <v>1127</v>
      </c>
      <c r="R599" s="130" t="s">
        <v>1448</v>
      </c>
      <c r="S599" s="130" t="s">
        <v>1626</v>
      </c>
      <c r="T599" s="130" t="s">
        <v>1176</v>
      </c>
      <c r="U599" s="130">
        <v>0</v>
      </c>
      <c r="V599" s="131">
        <v>60850</v>
      </c>
      <c r="W599" s="131">
        <v>60850</v>
      </c>
      <c r="X599" s="131">
        <v>60850</v>
      </c>
      <c r="Y599" s="131">
        <v>0</v>
      </c>
      <c r="Z599" s="131">
        <v>60850</v>
      </c>
      <c r="AA599" s="131">
        <v>0</v>
      </c>
      <c r="AB599" s="131">
        <v>60822.95</v>
      </c>
      <c r="AC599" s="131">
        <v>27.05000000000291</v>
      </c>
      <c r="AD599" s="131">
        <v>60822.95</v>
      </c>
      <c r="AE599" s="132">
        <v>27.05000000000291</v>
      </c>
    </row>
    <row r="600" spans="1:31" x14ac:dyDescent="0.2">
      <c r="A600" s="133">
        <v>101</v>
      </c>
      <c r="B600" s="133" t="s">
        <v>140</v>
      </c>
      <c r="C600" s="133" t="s">
        <v>1114</v>
      </c>
      <c r="D600" s="133" t="s">
        <v>1584</v>
      </c>
      <c r="E600" s="133" t="s">
        <v>1201</v>
      </c>
      <c r="F600" s="133" t="s">
        <v>1117</v>
      </c>
      <c r="G600" s="133" t="s">
        <v>1118</v>
      </c>
      <c r="H600" s="133" t="s">
        <v>1133</v>
      </c>
      <c r="I600" s="133" t="s">
        <v>1134</v>
      </c>
      <c r="J600" s="133" t="s">
        <v>1135</v>
      </c>
      <c r="K600" s="130" t="s">
        <v>1179</v>
      </c>
      <c r="L600" s="130" t="s">
        <v>1625</v>
      </c>
      <c r="M600" s="130" t="s">
        <v>1587</v>
      </c>
      <c r="N600" s="130" t="s">
        <v>1588</v>
      </c>
      <c r="O600" s="130" t="s">
        <v>1589</v>
      </c>
      <c r="P600" s="130" t="s">
        <v>1590</v>
      </c>
      <c r="Q600" s="130" t="s">
        <v>1127</v>
      </c>
      <c r="R600" s="130" t="s">
        <v>1448</v>
      </c>
      <c r="S600" s="130" t="s">
        <v>1626</v>
      </c>
      <c r="T600" s="130" t="s">
        <v>1176</v>
      </c>
      <c r="U600" s="130">
        <v>0</v>
      </c>
      <c r="V600" s="131">
        <v>2866</v>
      </c>
      <c r="W600" s="131">
        <v>2866</v>
      </c>
      <c r="X600" s="131">
        <v>2242.8000000000002</v>
      </c>
      <c r="Y600" s="131">
        <v>623.19999999999982</v>
      </c>
      <c r="Z600" s="131">
        <v>2242.8000000000002</v>
      </c>
      <c r="AA600" s="131">
        <v>623.19999999999982</v>
      </c>
      <c r="AB600" s="131">
        <v>2242.8000000000002</v>
      </c>
      <c r="AC600" s="131">
        <v>623.19999999999982</v>
      </c>
      <c r="AD600" s="131">
        <v>0</v>
      </c>
      <c r="AE600" s="132">
        <v>2866</v>
      </c>
    </row>
    <row r="601" spans="1:31" x14ac:dyDescent="0.2">
      <c r="A601" s="133">
        <v>101</v>
      </c>
      <c r="B601" s="133" t="s">
        <v>140</v>
      </c>
      <c r="C601" s="133" t="s">
        <v>1114</v>
      </c>
      <c r="D601" s="133" t="s">
        <v>1584</v>
      </c>
      <c r="E601" s="133" t="s">
        <v>1201</v>
      </c>
      <c r="F601" s="133" t="s">
        <v>1117</v>
      </c>
      <c r="G601" s="133" t="s">
        <v>1118</v>
      </c>
      <c r="H601" s="133" t="s">
        <v>1133</v>
      </c>
      <c r="I601" s="133" t="s">
        <v>1134</v>
      </c>
      <c r="J601" s="133" t="s">
        <v>1135</v>
      </c>
      <c r="K601" s="130" t="s">
        <v>1144</v>
      </c>
      <c r="L601" s="130" t="s">
        <v>1625</v>
      </c>
      <c r="M601" s="130" t="s">
        <v>1587</v>
      </c>
      <c r="N601" s="130" t="s">
        <v>1588</v>
      </c>
      <c r="O601" s="130" t="s">
        <v>1589</v>
      </c>
      <c r="P601" s="130" t="s">
        <v>1590</v>
      </c>
      <c r="Q601" s="130" t="s">
        <v>1127</v>
      </c>
      <c r="R601" s="130" t="s">
        <v>1448</v>
      </c>
      <c r="S601" s="130" t="s">
        <v>1626</v>
      </c>
      <c r="T601" s="130" t="s">
        <v>1176</v>
      </c>
      <c r="U601" s="130">
        <v>0</v>
      </c>
      <c r="V601" s="131">
        <v>2200</v>
      </c>
      <c r="W601" s="131">
        <v>2200</v>
      </c>
      <c r="X601" s="131">
        <v>0</v>
      </c>
      <c r="Y601" s="131">
        <v>2200</v>
      </c>
      <c r="Z601" s="131">
        <v>0</v>
      </c>
      <c r="AA601" s="131">
        <v>2200</v>
      </c>
      <c r="AB601" s="131">
        <v>0</v>
      </c>
      <c r="AC601" s="131">
        <v>2200</v>
      </c>
      <c r="AD601" s="131">
        <v>0</v>
      </c>
      <c r="AE601" s="132">
        <v>2200</v>
      </c>
    </row>
    <row r="602" spans="1:31" x14ac:dyDescent="0.2">
      <c r="A602" s="133">
        <v>101</v>
      </c>
      <c r="B602" s="133" t="s">
        <v>140</v>
      </c>
      <c r="C602" s="133" t="s">
        <v>1114</v>
      </c>
      <c r="D602" s="133" t="s">
        <v>1584</v>
      </c>
      <c r="E602" s="133" t="s">
        <v>1201</v>
      </c>
      <c r="F602" s="133" t="s">
        <v>1117</v>
      </c>
      <c r="G602" s="133" t="s">
        <v>1118</v>
      </c>
      <c r="H602" s="133" t="s">
        <v>1133</v>
      </c>
      <c r="I602" s="133" t="s">
        <v>1134</v>
      </c>
      <c r="J602" s="133" t="s">
        <v>1135</v>
      </c>
      <c r="K602" s="130" t="s">
        <v>1136</v>
      </c>
      <c r="L602" s="130" t="s">
        <v>1625</v>
      </c>
      <c r="M602" s="130" t="s">
        <v>1587</v>
      </c>
      <c r="N602" s="130" t="s">
        <v>1588</v>
      </c>
      <c r="O602" s="130" t="s">
        <v>1589</v>
      </c>
      <c r="P602" s="130" t="s">
        <v>1590</v>
      </c>
      <c r="Q602" s="130" t="s">
        <v>1127</v>
      </c>
      <c r="R602" s="130" t="s">
        <v>1448</v>
      </c>
      <c r="S602" s="130" t="s">
        <v>1626</v>
      </c>
      <c r="T602" s="130" t="s">
        <v>1176</v>
      </c>
      <c r="U602" s="130">
        <v>0</v>
      </c>
      <c r="V602" s="131">
        <v>12354</v>
      </c>
      <c r="W602" s="131">
        <v>12354</v>
      </c>
      <c r="X602" s="131">
        <v>12354</v>
      </c>
      <c r="Y602" s="131">
        <v>0</v>
      </c>
      <c r="Z602" s="131">
        <v>12321.28</v>
      </c>
      <c r="AA602" s="131">
        <v>32.719999999999345</v>
      </c>
      <c r="AB602" s="131">
        <v>12321.28</v>
      </c>
      <c r="AC602" s="131">
        <v>32.719999999999345</v>
      </c>
      <c r="AD602" s="131">
        <v>12321.28</v>
      </c>
      <c r="AE602" s="132">
        <v>32.719999999999345</v>
      </c>
    </row>
    <row r="603" spans="1:31" x14ac:dyDescent="0.2">
      <c r="A603" s="133">
        <v>101</v>
      </c>
      <c r="B603" s="133" t="s">
        <v>140</v>
      </c>
      <c r="C603" s="133" t="s">
        <v>1114</v>
      </c>
      <c r="D603" s="133" t="s">
        <v>1584</v>
      </c>
      <c r="E603" s="130" t="s">
        <v>1116</v>
      </c>
      <c r="F603" s="130" t="s">
        <v>1117</v>
      </c>
      <c r="G603" s="130" t="s">
        <v>1118</v>
      </c>
      <c r="H603" s="130" t="s">
        <v>1119</v>
      </c>
      <c r="I603" s="130" t="s">
        <v>1169</v>
      </c>
      <c r="J603" s="130" t="s">
        <v>1195</v>
      </c>
      <c r="K603" s="130" t="s">
        <v>1196</v>
      </c>
      <c r="L603" s="130" t="s">
        <v>1625</v>
      </c>
      <c r="M603" s="130" t="s">
        <v>1587</v>
      </c>
      <c r="N603" s="130" t="s">
        <v>1588</v>
      </c>
      <c r="O603" s="130" t="s">
        <v>1589</v>
      </c>
      <c r="P603" s="130" t="s">
        <v>1590</v>
      </c>
      <c r="Q603" s="130" t="s">
        <v>1127</v>
      </c>
      <c r="R603" s="130" t="s">
        <v>1448</v>
      </c>
      <c r="S603" s="130" t="s">
        <v>1626</v>
      </c>
      <c r="T603" s="130" t="s">
        <v>1176</v>
      </c>
      <c r="U603" s="130">
        <v>200000</v>
      </c>
      <c r="V603" s="131">
        <v>0</v>
      </c>
      <c r="W603" s="131">
        <v>200000</v>
      </c>
      <c r="X603" s="131">
        <v>0</v>
      </c>
      <c r="Y603" s="131">
        <v>200000</v>
      </c>
      <c r="Z603" s="131">
        <v>0</v>
      </c>
      <c r="AA603" s="131">
        <v>200000</v>
      </c>
      <c r="AB603" s="131">
        <v>0</v>
      </c>
      <c r="AC603" s="131">
        <v>200000</v>
      </c>
      <c r="AD603" s="131">
        <v>0</v>
      </c>
      <c r="AE603" s="132">
        <v>200000</v>
      </c>
    </row>
    <row r="604" spans="1:31" x14ac:dyDescent="0.2">
      <c r="A604" s="130">
        <v>102</v>
      </c>
      <c r="B604" s="130" t="s">
        <v>1627</v>
      </c>
      <c r="C604" s="130" t="s">
        <v>1114</v>
      </c>
      <c r="D604" s="130" t="s">
        <v>1584</v>
      </c>
      <c r="E604" s="130" t="s">
        <v>1116</v>
      </c>
      <c r="F604" s="130" t="s">
        <v>1117</v>
      </c>
      <c r="G604" s="130" t="s">
        <v>1118</v>
      </c>
      <c r="H604" s="130" t="s">
        <v>1119</v>
      </c>
      <c r="I604" s="130" t="s">
        <v>1169</v>
      </c>
      <c r="J604" s="130" t="s">
        <v>1195</v>
      </c>
      <c r="K604" s="130" t="s">
        <v>1196</v>
      </c>
      <c r="L604" s="130" t="s">
        <v>1628</v>
      </c>
      <c r="M604" s="130" t="s">
        <v>1587</v>
      </c>
      <c r="N604" s="130" t="s">
        <v>1588</v>
      </c>
      <c r="O604" s="130" t="s">
        <v>1589</v>
      </c>
      <c r="P604" s="130" t="s">
        <v>1604</v>
      </c>
      <c r="Q604" s="130" t="s">
        <v>1127</v>
      </c>
      <c r="R604" s="130" t="s">
        <v>1472</v>
      </c>
      <c r="S604" s="130" t="s">
        <v>1157</v>
      </c>
      <c r="T604" s="130" t="s">
        <v>1176</v>
      </c>
      <c r="U604" s="130">
        <v>1000000</v>
      </c>
      <c r="V604" s="131">
        <v>-1000000</v>
      </c>
      <c r="W604" s="131">
        <v>0</v>
      </c>
      <c r="X604" s="131">
        <v>0</v>
      </c>
      <c r="Y604" s="131">
        <v>0</v>
      </c>
      <c r="Z604" s="131">
        <v>0</v>
      </c>
      <c r="AA604" s="131">
        <v>0</v>
      </c>
      <c r="AB604" s="131">
        <v>0</v>
      </c>
      <c r="AC604" s="131">
        <v>0</v>
      </c>
      <c r="AD604" s="131">
        <v>0</v>
      </c>
      <c r="AE604" s="132">
        <v>0</v>
      </c>
    </row>
    <row r="605" spans="1:31" x14ac:dyDescent="0.2">
      <c r="A605" s="130">
        <v>103</v>
      </c>
      <c r="B605" s="130" t="s">
        <v>141</v>
      </c>
      <c r="C605" s="130" t="s">
        <v>1114</v>
      </c>
      <c r="D605" s="130" t="s">
        <v>1584</v>
      </c>
      <c r="E605" s="130" t="s">
        <v>1143</v>
      </c>
      <c r="F605" s="130" t="s">
        <v>1117</v>
      </c>
      <c r="G605" s="130" t="s">
        <v>1118</v>
      </c>
      <c r="H605" s="130" t="s">
        <v>1119</v>
      </c>
      <c r="I605" s="130" t="s">
        <v>1169</v>
      </c>
      <c r="J605" s="130" t="s">
        <v>1195</v>
      </c>
      <c r="K605" s="130" t="s">
        <v>1196</v>
      </c>
      <c r="L605" s="130" t="s">
        <v>1629</v>
      </c>
      <c r="M605" s="130" t="s">
        <v>1587</v>
      </c>
      <c r="N605" s="130" t="s">
        <v>1588</v>
      </c>
      <c r="O605" s="130" t="s">
        <v>1589</v>
      </c>
      <c r="P605" s="130" t="s">
        <v>1590</v>
      </c>
      <c r="Q605" s="130" t="s">
        <v>1127</v>
      </c>
      <c r="R605" s="130" t="s">
        <v>1175</v>
      </c>
      <c r="S605" s="130" t="s">
        <v>1157</v>
      </c>
      <c r="T605" s="130" t="s">
        <v>1176</v>
      </c>
      <c r="U605" s="130">
        <v>12491498</v>
      </c>
      <c r="V605" s="131">
        <v>-12491498</v>
      </c>
      <c r="W605" s="131">
        <v>0</v>
      </c>
      <c r="X605" s="131">
        <v>0</v>
      </c>
      <c r="Y605" s="131">
        <v>0</v>
      </c>
      <c r="Z605" s="131">
        <v>0</v>
      </c>
      <c r="AA605" s="131">
        <v>0</v>
      </c>
      <c r="AB605" s="131">
        <v>0</v>
      </c>
      <c r="AC605" s="131">
        <v>0</v>
      </c>
      <c r="AD605" s="131">
        <v>0</v>
      </c>
      <c r="AE605" s="132">
        <v>0</v>
      </c>
    </row>
    <row r="606" spans="1:31" x14ac:dyDescent="0.2">
      <c r="A606" s="133">
        <v>103</v>
      </c>
      <c r="B606" s="133" t="s">
        <v>141</v>
      </c>
      <c r="C606" s="133" t="s">
        <v>1114</v>
      </c>
      <c r="D606" s="133" t="s">
        <v>1584</v>
      </c>
      <c r="E606" s="133" t="s">
        <v>1143</v>
      </c>
      <c r="F606" s="133" t="s">
        <v>1117</v>
      </c>
      <c r="G606" s="133" t="s">
        <v>1118</v>
      </c>
      <c r="H606" s="133" t="s">
        <v>1119</v>
      </c>
      <c r="I606" s="133" t="s">
        <v>1169</v>
      </c>
      <c r="J606" s="133" t="s">
        <v>1195</v>
      </c>
      <c r="K606" s="130" t="s">
        <v>1585</v>
      </c>
      <c r="L606" s="130" t="s">
        <v>1629</v>
      </c>
      <c r="M606" s="130" t="s">
        <v>1587</v>
      </c>
      <c r="N606" s="130" t="s">
        <v>1588</v>
      </c>
      <c r="O606" s="130" t="s">
        <v>1589</v>
      </c>
      <c r="P606" s="130" t="s">
        <v>1590</v>
      </c>
      <c r="Q606" s="130" t="s">
        <v>1127</v>
      </c>
      <c r="R606" s="130" t="s">
        <v>1175</v>
      </c>
      <c r="S606" s="130" t="s">
        <v>1157</v>
      </c>
      <c r="T606" s="130" t="s">
        <v>1176</v>
      </c>
      <c r="U606" s="130">
        <v>0</v>
      </c>
      <c r="V606" s="131">
        <v>1811207</v>
      </c>
      <c r="W606" s="131">
        <v>1811207</v>
      </c>
      <c r="X606" s="131">
        <v>1811207</v>
      </c>
      <c r="Y606" s="131">
        <v>0</v>
      </c>
      <c r="Z606" s="131">
        <v>1811207</v>
      </c>
      <c r="AA606" s="131">
        <v>0</v>
      </c>
      <c r="AB606" s="131">
        <v>1798495.4</v>
      </c>
      <c r="AC606" s="131">
        <v>12711.600000000093</v>
      </c>
      <c r="AD606" s="131">
        <v>1755770.05</v>
      </c>
      <c r="AE606" s="132">
        <v>55436.949999999953</v>
      </c>
    </row>
    <row r="607" spans="1:31" x14ac:dyDescent="0.2">
      <c r="A607" s="133">
        <v>103</v>
      </c>
      <c r="B607" s="133" t="s">
        <v>141</v>
      </c>
      <c r="C607" s="133" t="s">
        <v>1114</v>
      </c>
      <c r="D607" s="133" t="s">
        <v>1584</v>
      </c>
      <c r="E607" s="133" t="s">
        <v>1143</v>
      </c>
      <c r="F607" s="133" t="s">
        <v>1117</v>
      </c>
      <c r="G607" s="133" t="s">
        <v>1118</v>
      </c>
      <c r="H607" s="133" t="s">
        <v>1119</v>
      </c>
      <c r="I607" s="133" t="s">
        <v>1169</v>
      </c>
      <c r="J607" s="133" t="s">
        <v>1195</v>
      </c>
      <c r="K607" s="130" t="s">
        <v>1592</v>
      </c>
      <c r="L607" s="130" t="s">
        <v>1629</v>
      </c>
      <c r="M607" s="130" t="s">
        <v>1587</v>
      </c>
      <c r="N607" s="130" t="s">
        <v>1588</v>
      </c>
      <c r="O607" s="130" t="s">
        <v>1589</v>
      </c>
      <c r="P607" s="130" t="s">
        <v>1590</v>
      </c>
      <c r="Q607" s="130" t="s">
        <v>1127</v>
      </c>
      <c r="R607" s="130" t="s">
        <v>1175</v>
      </c>
      <c r="S607" s="130" t="s">
        <v>1157</v>
      </c>
      <c r="T607" s="130" t="s">
        <v>1176</v>
      </c>
      <c r="U607" s="130">
        <v>0</v>
      </c>
      <c r="V607" s="131">
        <v>8605123</v>
      </c>
      <c r="W607" s="131">
        <v>8605123</v>
      </c>
      <c r="X607" s="131">
        <v>7447594.7800000003</v>
      </c>
      <c r="Y607" s="131">
        <v>1157528.2199999997</v>
      </c>
      <c r="Z607" s="131">
        <v>4736565.9800000004</v>
      </c>
      <c r="AA607" s="131">
        <v>3868557.0199999996</v>
      </c>
      <c r="AB607" s="131">
        <v>3323558.11</v>
      </c>
      <c r="AC607" s="131">
        <v>5281564.8900000006</v>
      </c>
      <c r="AD607" s="131">
        <v>3110719.86</v>
      </c>
      <c r="AE607" s="132">
        <v>5494403.1400000006</v>
      </c>
    </row>
    <row r="608" spans="1:31" x14ac:dyDescent="0.2">
      <c r="A608" s="133">
        <v>103</v>
      </c>
      <c r="B608" s="133" t="s">
        <v>141</v>
      </c>
      <c r="C608" s="133" t="s">
        <v>1114</v>
      </c>
      <c r="D608" s="133" t="s">
        <v>1584</v>
      </c>
      <c r="E608" s="133" t="s">
        <v>1143</v>
      </c>
      <c r="F608" s="133" t="s">
        <v>1117</v>
      </c>
      <c r="G608" s="133" t="s">
        <v>1118</v>
      </c>
      <c r="H608" s="133" t="s">
        <v>1119</v>
      </c>
      <c r="I608" s="133" t="s">
        <v>1169</v>
      </c>
      <c r="J608" s="133" t="s">
        <v>1195</v>
      </c>
      <c r="K608" s="130" t="s">
        <v>1593</v>
      </c>
      <c r="L608" s="130" t="s">
        <v>1629</v>
      </c>
      <c r="M608" s="130" t="s">
        <v>1587</v>
      </c>
      <c r="N608" s="130" t="s">
        <v>1588</v>
      </c>
      <c r="O608" s="130" t="s">
        <v>1589</v>
      </c>
      <c r="P608" s="130" t="s">
        <v>1590</v>
      </c>
      <c r="Q608" s="130" t="s">
        <v>1127</v>
      </c>
      <c r="R608" s="130" t="s">
        <v>1175</v>
      </c>
      <c r="S608" s="130" t="s">
        <v>1157</v>
      </c>
      <c r="T608" s="130" t="s">
        <v>1176</v>
      </c>
      <c r="U608" s="130">
        <v>0</v>
      </c>
      <c r="V608" s="131">
        <v>1791168</v>
      </c>
      <c r="W608" s="131">
        <v>1791168</v>
      </c>
      <c r="X608" s="131">
        <v>1605508.58</v>
      </c>
      <c r="Y608" s="131">
        <v>185659.41999999993</v>
      </c>
      <c r="Z608" s="131">
        <v>1605508.54</v>
      </c>
      <c r="AA608" s="131">
        <v>185659.45999999996</v>
      </c>
      <c r="AB608" s="131">
        <v>1605508.54</v>
      </c>
      <c r="AC608" s="131">
        <v>185659.45999999996</v>
      </c>
      <c r="AD608" s="131">
        <v>1241426.54</v>
      </c>
      <c r="AE608" s="132">
        <v>549741.46</v>
      </c>
    </row>
    <row r="609" spans="1:31" x14ac:dyDescent="0.2">
      <c r="A609" s="133">
        <v>103</v>
      </c>
      <c r="B609" s="133" t="s">
        <v>141</v>
      </c>
      <c r="C609" s="133" t="s">
        <v>1114</v>
      </c>
      <c r="D609" s="133" t="s">
        <v>1584</v>
      </c>
      <c r="E609" s="133" t="s">
        <v>1143</v>
      </c>
      <c r="F609" s="133" t="s">
        <v>1117</v>
      </c>
      <c r="G609" s="133" t="s">
        <v>1118</v>
      </c>
      <c r="H609" s="130" t="s">
        <v>1133</v>
      </c>
      <c r="I609" s="130" t="s">
        <v>1134</v>
      </c>
      <c r="J609" s="130" t="s">
        <v>1135</v>
      </c>
      <c r="K609" s="130" t="s">
        <v>1178</v>
      </c>
      <c r="L609" s="130" t="s">
        <v>1629</v>
      </c>
      <c r="M609" s="130" t="s">
        <v>1587</v>
      </c>
      <c r="N609" s="130" t="s">
        <v>1588</v>
      </c>
      <c r="O609" s="130" t="s">
        <v>1589</v>
      </c>
      <c r="P609" s="130" t="s">
        <v>1590</v>
      </c>
      <c r="Q609" s="130" t="s">
        <v>1127</v>
      </c>
      <c r="R609" s="130" t="s">
        <v>1175</v>
      </c>
      <c r="S609" s="130" t="s">
        <v>1157</v>
      </c>
      <c r="T609" s="130" t="s">
        <v>1176</v>
      </c>
      <c r="U609" s="130">
        <v>0</v>
      </c>
      <c r="V609" s="131">
        <v>164000</v>
      </c>
      <c r="W609" s="131">
        <v>164000</v>
      </c>
      <c r="X609" s="131">
        <v>134000</v>
      </c>
      <c r="Y609" s="131">
        <v>30000</v>
      </c>
      <c r="Z609" s="131">
        <v>134000</v>
      </c>
      <c r="AA609" s="131">
        <v>30000</v>
      </c>
      <c r="AB609" s="131">
        <v>104618.94</v>
      </c>
      <c r="AC609" s="131">
        <v>59381.06</v>
      </c>
      <c r="AD609" s="131">
        <v>104618.94</v>
      </c>
      <c r="AE609" s="132">
        <v>59381.06</v>
      </c>
    </row>
    <row r="610" spans="1:31" x14ac:dyDescent="0.2">
      <c r="A610" s="133">
        <v>103</v>
      </c>
      <c r="B610" s="133" t="s">
        <v>141</v>
      </c>
      <c r="C610" s="133" t="s">
        <v>1114</v>
      </c>
      <c r="D610" s="133" t="s">
        <v>1584</v>
      </c>
      <c r="E610" s="133" t="s">
        <v>1143</v>
      </c>
      <c r="F610" s="133" t="s">
        <v>1117</v>
      </c>
      <c r="G610" s="133" t="s">
        <v>1118</v>
      </c>
      <c r="H610" s="133" t="s">
        <v>1133</v>
      </c>
      <c r="I610" s="133" t="s">
        <v>1134</v>
      </c>
      <c r="J610" s="133" t="s">
        <v>1135</v>
      </c>
      <c r="K610" s="130" t="s">
        <v>1179</v>
      </c>
      <c r="L610" s="130" t="s">
        <v>1629</v>
      </c>
      <c r="M610" s="130" t="s">
        <v>1587</v>
      </c>
      <c r="N610" s="130" t="s">
        <v>1588</v>
      </c>
      <c r="O610" s="130" t="s">
        <v>1589</v>
      </c>
      <c r="P610" s="130" t="s">
        <v>1590</v>
      </c>
      <c r="Q610" s="130" t="s">
        <v>1127</v>
      </c>
      <c r="R610" s="130" t="s">
        <v>1175</v>
      </c>
      <c r="S610" s="130" t="s">
        <v>1157</v>
      </c>
      <c r="T610" s="130" t="s">
        <v>1176</v>
      </c>
      <c r="U610" s="130">
        <v>0</v>
      </c>
      <c r="V610" s="131">
        <v>30000</v>
      </c>
      <c r="W610" s="131">
        <v>30000</v>
      </c>
      <c r="X610" s="131">
        <v>22974</v>
      </c>
      <c r="Y610" s="131">
        <v>7026</v>
      </c>
      <c r="Z610" s="131">
        <v>22733.96</v>
      </c>
      <c r="AA610" s="131">
        <v>7266.0400000000009</v>
      </c>
      <c r="AB610" s="131">
        <v>22226.959999999999</v>
      </c>
      <c r="AC610" s="131">
        <v>7773.0400000000009</v>
      </c>
      <c r="AD610" s="131">
        <v>14573</v>
      </c>
      <c r="AE610" s="132">
        <v>15427</v>
      </c>
    </row>
    <row r="611" spans="1:31" x14ac:dyDescent="0.2">
      <c r="A611" s="133">
        <v>103</v>
      </c>
      <c r="B611" s="133" t="s">
        <v>141</v>
      </c>
      <c r="C611" s="133" t="s">
        <v>1114</v>
      </c>
      <c r="D611" s="133" t="s">
        <v>1584</v>
      </c>
      <c r="E611" s="133" t="s">
        <v>1143</v>
      </c>
      <c r="F611" s="133" t="s">
        <v>1117</v>
      </c>
      <c r="G611" s="133" t="s">
        <v>1118</v>
      </c>
      <c r="H611" s="133" t="s">
        <v>1133</v>
      </c>
      <c r="I611" s="133" t="s">
        <v>1134</v>
      </c>
      <c r="J611" s="133" t="s">
        <v>1135</v>
      </c>
      <c r="K611" s="130" t="s">
        <v>1144</v>
      </c>
      <c r="L611" s="130" t="s">
        <v>1629</v>
      </c>
      <c r="M611" s="130" t="s">
        <v>1587</v>
      </c>
      <c r="N611" s="130" t="s">
        <v>1588</v>
      </c>
      <c r="O611" s="130" t="s">
        <v>1589</v>
      </c>
      <c r="P611" s="130" t="s">
        <v>1590</v>
      </c>
      <c r="Q611" s="130" t="s">
        <v>1127</v>
      </c>
      <c r="R611" s="130" t="s">
        <v>1175</v>
      </c>
      <c r="S611" s="130" t="s">
        <v>1157</v>
      </c>
      <c r="T611" s="130" t="s">
        <v>1176</v>
      </c>
      <c r="U611" s="130">
        <v>0</v>
      </c>
      <c r="V611" s="131">
        <v>90000</v>
      </c>
      <c r="W611" s="131">
        <v>90000</v>
      </c>
      <c r="X611" s="131">
        <v>60872.5</v>
      </c>
      <c r="Y611" s="131">
        <v>29127.5</v>
      </c>
      <c r="Z611" s="131">
        <v>60872.5</v>
      </c>
      <c r="AA611" s="131">
        <v>29127.5</v>
      </c>
      <c r="AB611" s="131">
        <v>60872.5</v>
      </c>
      <c r="AC611" s="131">
        <v>29127.5</v>
      </c>
      <c r="AD611" s="131">
        <v>11667</v>
      </c>
      <c r="AE611" s="132">
        <v>78333</v>
      </c>
    </row>
    <row r="612" spans="1:31" x14ac:dyDescent="0.2">
      <c r="A612" s="130">
        <v>104</v>
      </c>
      <c r="B612" s="130" t="s">
        <v>142</v>
      </c>
      <c r="C612" s="130" t="s">
        <v>1114</v>
      </c>
      <c r="D612" s="130" t="s">
        <v>1598</v>
      </c>
      <c r="E612" s="130" t="s">
        <v>1116</v>
      </c>
      <c r="F612" s="130" t="s">
        <v>1117</v>
      </c>
      <c r="G612" s="130" t="s">
        <v>1118</v>
      </c>
      <c r="H612" s="130" t="s">
        <v>1119</v>
      </c>
      <c r="I612" s="130" t="s">
        <v>1169</v>
      </c>
      <c r="J612" s="130" t="s">
        <v>1195</v>
      </c>
      <c r="K612" s="130" t="s">
        <v>1585</v>
      </c>
      <c r="L612" s="130" t="s">
        <v>1630</v>
      </c>
      <c r="M612" s="130" t="s">
        <v>1587</v>
      </c>
      <c r="N612" s="130" t="s">
        <v>1588</v>
      </c>
      <c r="O612" s="130" t="s">
        <v>1589</v>
      </c>
      <c r="P612" s="130" t="s">
        <v>1590</v>
      </c>
      <c r="Q612" s="130" t="s">
        <v>1127</v>
      </c>
      <c r="R612" s="130" t="s">
        <v>1472</v>
      </c>
      <c r="S612" s="130" t="s">
        <v>1157</v>
      </c>
      <c r="T612" s="130" t="s">
        <v>1176</v>
      </c>
      <c r="U612" s="130">
        <v>0</v>
      </c>
      <c r="V612" s="131">
        <v>25000</v>
      </c>
      <c r="W612" s="131">
        <v>25000</v>
      </c>
      <c r="X612" s="131">
        <v>25000</v>
      </c>
      <c r="Y612" s="131">
        <v>0</v>
      </c>
      <c r="Z612" s="131">
        <v>25000</v>
      </c>
      <c r="AA612" s="131">
        <v>0</v>
      </c>
      <c r="AB612" s="131">
        <v>18564.23</v>
      </c>
      <c r="AC612" s="131">
        <v>6435.77</v>
      </c>
      <c r="AD612" s="131">
        <v>18564.23</v>
      </c>
      <c r="AE612" s="132">
        <v>6435.77</v>
      </c>
    </row>
    <row r="613" spans="1:31" x14ac:dyDescent="0.2">
      <c r="A613" s="133">
        <v>104</v>
      </c>
      <c r="B613" s="133" t="s">
        <v>142</v>
      </c>
      <c r="C613" s="133" t="s">
        <v>1114</v>
      </c>
      <c r="D613" s="133" t="s">
        <v>1598</v>
      </c>
      <c r="E613" s="133" t="s">
        <v>1116</v>
      </c>
      <c r="F613" s="133" t="s">
        <v>1117</v>
      </c>
      <c r="G613" s="133" t="s">
        <v>1118</v>
      </c>
      <c r="H613" s="133" t="s">
        <v>1119</v>
      </c>
      <c r="I613" s="133" t="s">
        <v>1169</v>
      </c>
      <c r="J613" s="133" t="s">
        <v>1195</v>
      </c>
      <c r="K613" s="130" t="s">
        <v>1592</v>
      </c>
      <c r="L613" s="130" t="s">
        <v>1630</v>
      </c>
      <c r="M613" s="130" t="s">
        <v>1587</v>
      </c>
      <c r="N613" s="130" t="s">
        <v>1588</v>
      </c>
      <c r="O613" s="130" t="s">
        <v>1589</v>
      </c>
      <c r="P613" s="130" t="s">
        <v>1590</v>
      </c>
      <c r="Q613" s="130" t="s">
        <v>1127</v>
      </c>
      <c r="R613" s="130" t="s">
        <v>1472</v>
      </c>
      <c r="S613" s="130" t="s">
        <v>1157</v>
      </c>
      <c r="T613" s="130" t="s">
        <v>1176</v>
      </c>
      <c r="U613" s="130">
        <v>1200000</v>
      </c>
      <c r="V613" s="131">
        <v>-1024000</v>
      </c>
      <c r="W613" s="131">
        <v>176000</v>
      </c>
      <c r="X613" s="131">
        <v>19000</v>
      </c>
      <c r="Y613" s="131">
        <v>157000</v>
      </c>
      <c r="Z613" s="131">
        <v>19000</v>
      </c>
      <c r="AA613" s="131">
        <v>157000</v>
      </c>
      <c r="AB613" s="131">
        <v>19000</v>
      </c>
      <c r="AC613" s="131">
        <v>157000</v>
      </c>
      <c r="AD613" s="131">
        <v>0</v>
      </c>
      <c r="AE613" s="132">
        <v>176000</v>
      </c>
    </row>
    <row r="614" spans="1:31" x14ac:dyDescent="0.2">
      <c r="A614" s="133">
        <v>104</v>
      </c>
      <c r="B614" s="133" t="s">
        <v>142</v>
      </c>
      <c r="C614" s="133" t="s">
        <v>1114</v>
      </c>
      <c r="D614" s="133" t="s">
        <v>1598</v>
      </c>
      <c r="E614" s="133" t="s">
        <v>1116</v>
      </c>
      <c r="F614" s="133" t="s">
        <v>1117</v>
      </c>
      <c r="G614" s="133" t="s">
        <v>1118</v>
      </c>
      <c r="H614" s="133" t="s">
        <v>1119</v>
      </c>
      <c r="I614" s="133" t="s">
        <v>1169</v>
      </c>
      <c r="J614" s="133" t="s">
        <v>1195</v>
      </c>
      <c r="K614" s="130" t="s">
        <v>1593</v>
      </c>
      <c r="L614" s="130" t="s">
        <v>1630</v>
      </c>
      <c r="M614" s="130" t="s">
        <v>1587</v>
      </c>
      <c r="N614" s="130" t="s">
        <v>1588</v>
      </c>
      <c r="O614" s="130" t="s">
        <v>1589</v>
      </c>
      <c r="P614" s="130" t="s">
        <v>1590</v>
      </c>
      <c r="Q614" s="130" t="s">
        <v>1127</v>
      </c>
      <c r="R614" s="130" t="s">
        <v>1472</v>
      </c>
      <c r="S614" s="130" t="s">
        <v>1157</v>
      </c>
      <c r="T614" s="130" t="s">
        <v>1176</v>
      </c>
      <c r="U614" s="130">
        <v>0</v>
      </c>
      <c r="V614" s="131">
        <v>985000</v>
      </c>
      <c r="W614" s="131">
        <v>985000</v>
      </c>
      <c r="X614" s="131">
        <v>75637.03</v>
      </c>
      <c r="Y614" s="131">
        <v>909362.97</v>
      </c>
      <c r="Z614" s="131">
        <v>73637.03</v>
      </c>
      <c r="AA614" s="131">
        <v>911362.97</v>
      </c>
      <c r="AB614" s="131">
        <v>73637.03</v>
      </c>
      <c r="AC614" s="131">
        <v>911362.97</v>
      </c>
      <c r="AD614" s="131">
        <v>73637.03</v>
      </c>
      <c r="AE614" s="132">
        <v>911362.97</v>
      </c>
    </row>
    <row r="615" spans="1:31" x14ac:dyDescent="0.2">
      <c r="A615" s="133">
        <v>104</v>
      </c>
      <c r="B615" s="133" t="s">
        <v>142</v>
      </c>
      <c r="C615" s="133" t="s">
        <v>1114</v>
      </c>
      <c r="D615" s="133" t="s">
        <v>1598</v>
      </c>
      <c r="E615" s="133" t="s">
        <v>1116</v>
      </c>
      <c r="F615" s="133" t="s">
        <v>1117</v>
      </c>
      <c r="G615" s="133" t="s">
        <v>1118</v>
      </c>
      <c r="H615" s="130" t="s">
        <v>1133</v>
      </c>
      <c r="I615" s="130" t="s">
        <v>1134</v>
      </c>
      <c r="J615" s="130" t="s">
        <v>1135</v>
      </c>
      <c r="K615" s="130" t="s">
        <v>1178</v>
      </c>
      <c r="L615" s="130" t="s">
        <v>1630</v>
      </c>
      <c r="M615" s="130" t="s">
        <v>1587</v>
      </c>
      <c r="N615" s="130" t="s">
        <v>1588</v>
      </c>
      <c r="O615" s="130" t="s">
        <v>1589</v>
      </c>
      <c r="P615" s="130" t="s">
        <v>1590</v>
      </c>
      <c r="Q615" s="130" t="s">
        <v>1127</v>
      </c>
      <c r="R615" s="130" t="s">
        <v>1472</v>
      </c>
      <c r="S615" s="130" t="s">
        <v>1157</v>
      </c>
      <c r="T615" s="130" t="s">
        <v>1176</v>
      </c>
      <c r="U615" s="130">
        <v>0</v>
      </c>
      <c r="V615" s="131">
        <v>14000</v>
      </c>
      <c r="W615" s="131">
        <v>14000</v>
      </c>
      <c r="X615" s="131">
        <v>0</v>
      </c>
      <c r="Y615" s="131">
        <v>14000</v>
      </c>
      <c r="Z615" s="131">
        <v>0</v>
      </c>
      <c r="AA615" s="131">
        <v>14000</v>
      </c>
      <c r="AB615" s="131">
        <v>0</v>
      </c>
      <c r="AC615" s="131">
        <v>14000</v>
      </c>
      <c r="AD615" s="131">
        <v>0</v>
      </c>
      <c r="AE615" s="132">
        <v>14000</v>
      </c>
    </row>
    <row r="616" spans="1:31" x14ac:dyDescent="0.2">
      <c r="A616" s="133">
        <v>104</v>
      </c>
      <c r="B616" s="133" t="s">
        <v>142</v>
      </c>
      <c r="C616" s="133" t="s">
        <v>1114</v>
      </c>
      <c r="D616" s="133" t="s">
        <v>1598</v>
      </c>
      <c r="E616" s="130" t="s">
        <v>1143</v>
      </c>
      <c r="F616" s="130" t="s">
        <v>1117</v>
      </c>
      <c r="G616" s="130" t="s">
        <v>1118</v>
      </c>
      <c r="H616" s="130" t="s">
        <v>1119</v>
      </c>
      <c r="I616" s="130" t="s">
        <v>1169</v>
      </c>
      <c r="J616" s="130" t="s">
        <v>1195</v>
      </c>
      <c r="K616" s="130" t="s">
        <v>1593</v>
      </c>
      <c r="L616" s="130" t="s">
        <v>1630</v>
      </c>
      <c r="M616" s="130" t="s">
        <v>1587</v>
      </c>
      <c r="N616" s="130" t="s">
        <v>1588</v>
      </c>
      <c r="O616" s="130" t="s">
        <v>1589</v>
      </c>
      <c r="P616" s="130" t="s">
        <v>1590</v>
      </c>
      <c r="Q616" s="130" t="s">
        <v>1127</v>
      </c>
      <c r="R616" s="130" t="s">
        <v>1472</v>
      </c>
      <c r="S616" s="130" t="s">
        <v>1157</v>
      </c>
      <c r="T616" s="130" t="s">
        <v>1176</v>
      </c>
      <c r="U616" s="130">
        <v>0</v>
      </c>
      <c r="V616" s="131">
        <v>0</v>
      </c>
      <c r="W616" s="131">
        <v>0</v>
      </c>
      <c r="X616" s="131">
        <v>0</v>
      </c>
      <c r="Y616" s="131">
        <v>0</v>
      </c>
      <c r="Z616" s="131">
        <v>0</v>
      </c>
      <c r="AA616" s="131">
        <v>0</v>
      </c>
      <c r="AB616" s="131">
        <v>0</v>
      </c>
      <c r="AC616" s="131">
        <v>0</v>
      </c>
      <c r="AD616" s="131">
        <v>0</v>
      </c>
      <c r="AE616" s="132">
        <v>0</v>
      </c>
    </row>
    <row r="617" spans="1:31" x14ac:dyDescent="0.2">
      <c r="A617" s="130">
        <v>105</v>
      </c>
      <c r="B617" s="130" t="s">
        <v>1631</v>
      </c>
      <c r="C617" s="130" t="s">
        <v>1114</v>
      </c>
      <c r="D617" s="130" t="s">
        <v>1602</v>
      </c>
      <c r="E617" s="130" t="s">
        <v>1116</v>
      </c>
      <c r="F617" s="130" t="s">
        <v>1117</v>
      </c>
      <c r="G617" s="130" t="s">
        <v>1118</v>
      </c>
      <c r="H617" s="130" t="s">
        <v>1119</v>
      </c>
      <c r="I617" s="130" t="s">
        <v>1169</v>
      </c>
      <c r="J617" s="130" t="s">
        <v>1195</v>
      </c>
      <c r="K617" s="130" t="s">
        <v>1196</v>
      </c>
      <c r="L617" s="130" t="s">
        <v>1632</v>
      </c>
      <c r="M617" s="130" t="s">
        <v>1587</v>
      </c>
      <c r="N617" s="130" t="s">
        <v>1588</v>
      </c>
      <c r="O617" s="130" t="s">
        <v>1589</v>
      </c>
      <c r="P617" s="130" t="s">
        <v>1604</v>
      </c>
      <c r="Q617" s="130" t="s">
        <v>1127</v>
      </c>
      <c r="R617" s="130" t="s">
        <v>1413</v>
      </c>
      <c r="S617" s="130" t="s">
        <v>1414</v>
      </c>
      <c r="T617" s="130" t="s">
        <v>1176</v>
      </c>
      <c r="U617" s="130">
        <v>2071511</v>
      </c>
      <c r="V617" s="131">
        <v>-2071511</v>
      </c>
      <c r="W617" s="131">
        <v>0</v>
      </c>
      <c r="X617" s="131">
        <v>0</v>
      </c>
      <c r="Y617" s="131">
        <v>0</v>
      </c>
      <c r="Z617" s="131">
        <v>0</v>
      </c>
      <c r="AA617" s="131">
        <v>0</v>
      </c>
      <c r="AB617" s="131">
        <v>0</v>
      </c>
      <c r="AC617" s="131">
        <v>0</v>
      </c>
      <c r="AD617" s="131">
        <v>0</v>
      </c>
      <c r="AE617" s="132">
        <v>0</v>
      </c>
    </row>
    <row r="618" spans="1:31" x14ac:dyDescent="0.2">
      <c r="A618" s="133">
        <v>105</v>
      </c>
      <c r="B618" s="133" t="s">
        <v>1631</v>
      </c>
      <c r="C618" s="133" t="s">
        <v>1114</v>
      </c>
      <c r="D618" s="133" t="s">
        <v>1602</v>
      </c>
      <c r="E618" s="133" t="s">
        <v>1116</v>
      </c>
      <c r="F618" s="133" t="s">
        <v>1117</v>
      </c>
      <c r="G618" s="133" t="s">
        <v>1118</v>
      </c>
      <c r="H618" s="133" t="s">
        <v>1119</v>
      </c>
      <c r="I618" s="133" t="s">
        <v>1169</v>
      </c>
      <c r="J618" s="133" t="s">
        <v>1195</v>
      </c>
      <c r="K618" s="130" t="s">
        <v>1585</v>
      </c>
      <c r="L618" s="130" t="s">
        <v>1632</v>
      </c>
      <c r="M618" s="130" t="s">
        <v>1587</v>
      </c>
      <c r="N618" s="130" t="s">
        <v>1588</v>
      </c>
      <c r="O618" s="130" t="s">
        <v>1589</v>
      </c>
      <c r="P618" s="130" t="s">
        <v>1604</v>
      </c>
      <c r="Q618" s="130" t="s">
        <v>1127</v>
      </c>
      <c r="R618" s="130" t="s">
        <v>1413</v>
      </c>
      <c r="S618" s="130" t="s">
        <v>1414</v>
      </c>
      <c r="T618" s="130" t="s">
        <v>1176</v>
      </c>
      <c r="U618" s="130">
        <v>0</v>
      </c>
      <c r="V618" s="131">
        <v>641267</v>
      </c>
      <c r="W618" s="131">
        <v>641267</v>
      </c>
      <c r="X618" s="131">
        <v>641267</v>
      </c>
      <c r="Y618" s="131">
        <v>0</v>
      </c>
      <c r="Z618" s="131">
        <v>641267</v>
      </c>
      <c r="AA618" s="131">
        <v>0</v>
      </c>
      <c r="AB618" s="131">
        <v>568611.4</v>
      </c>
      <c r="AC618" s="131">
        <v>72655.599999999977</v>
      </c>
      <c r="AD618" s="131">
        <v>568611.4</v>
      </c>
      <c r="AE618" s="132">
        <v>72655.599999999977</v>
      </c>
    </row>
    <row r="619" spans="1:31" x14ac:dyDescent="0.2">
      <c r="A619" s="133">
        <v>105</v>
      </c>
      <c r="B619" s="133" t="s">
        <v>1631</v>
      </c>
      <c r="C619" s="133" t="s">
        <v>1114</v>
      </c>
      <c r="D619" s="133" t="s">
        <v>1602</v>
      </c>
      <c r="E619" s="133" t="s">
        <v>1116</v>
      </c>
      <c r="F619" s="133" t="s">
        <v>1117</v>
      </c>
      <c r="G619" s="133" t="s">
        <v>1118</v>
      </c>
      <c r="H619" s="133" t="s">
        <v>1119</v>
      </c>
      <c r="I619" s="133" t="s">
        <v>1169</v>
      </c>
      <c r="J619" s="133" t="s">
        <v>1195</v>
      </c>
      <c r="K619" s="130" t="s">
        <v>1592</v>
      </c>
      <c r="L619" s="130" t="s">
        <v>1632</v>
      </c>
      <c r="M619" s="130" t="s">
        <v>1587</v>
      </c>
      <c r="N619" s="130" t="s">
        <v>1588</v>
      </c>
      <c r="O619" s="130" t="s">
        <v>1589</v>
      </c>
      <c r="P619" s="130" t="s">
        <v>1604</v>
      </c>
      <c r="Q619" s="130" t="s">
        <v>1127</v>
      </c>
      <c r="R619" s="130" t="s">
        <v>1413</v>
      </c>
      <c r="S619" s="130" t="s">
        <v>1414</v>
      </c>
      <c r="T619" s="130" t="s">
        <v>1176</v>
      </c>
      <c r="U619" s="130">
        <v>0</v>
      </c>
      <c r="V619" s="131">
        <v>1008500</v>
      </c>
      <c r="W619" s="131">
        <v>1008500</v>
      </c>
      <c r="X619" s="131">
        <v>960369.72</v>
      </c>
      <c r="Y619" s="131">
        <v>48130.280000000028</v>
      </c>
      <c r="Z619" s="131">
        <v>830713.03</v>
      </c>
      <c r="AA619" s="131">
        <v>177786.96999999997</v>
      </c>
      <c r="AB619" s="131">
        <v>693144.03</v>
      </c>
      <c r="AC619" s="131">
        <v>315355.96999999997</v>
      </c>
      <c r="AD619" s="131">
        <v>345403.92</v>
      </c>
      <c r="AE619" s="132">
        <v>663096.08000000007</v>
      </c>
    </row>
    <row r="620" spans="1:31" x14ac:dyDescent="0.2">
      <c r="A620" s="133">
        <v>105</v>
      </c>
      <c r="B620" s="133" t="s">
        <v>1631</v>
      </c>
      <c r="C620" s="133" t="s">
        <v>1114</v>
      </c>
      <c r="D620" s="133" t="s">
        <v>1602</v>
      </c>
      <c r="E620" s="133" t="s">
        <v>1116</v>
      </c>
      <c r="F620" s="133" t="s">
        <v>1117</v>
      </c>
      <c r="G620" s="133" t="s">
        <v>1118</v>
      </c>
      <c r="H620" s="133" t="s">
        <v>1119</v>
      </c>
      <c r="I620" s="133" t="s">
        <v>1169</v>
      </c>
      <c r="J620" s="133" t="s">
        <v>1195</v>
      </c>
      <c r="K620" s="130" t="s">
        <v>1593</v>
      </c>
      <c r="L620" s="130" t="s">
        <v>1632</v>
      </c>
      <c r="M620" s="130" t="s">
        <v>1587</v>
      </c>
      <c r="N620" s="130" t="s">
        <v>1588</v>
      </c>
      <c r="O620" s="130" t="s">
        <v>1589</v>
      </c>
      <c r="P620" s="130" t="s">
        <v>1604</v>
      </c>
      <c r="Q620" s="130" t="s">
        <v>1127</v>
      </c>
      <c r="R620" s="130" t="s">
        <v>1413</v>
      </c>
      <c r="S620" s="130" t="s">
        <v>1414</v>
      </c>
      <c r="T620" s="130" t="s">
        <v>1176</v>
      </c>
      <c r="U620" s="130">
        <v>0</v>
      </c>
      <c r="V620" s="131">
        <v>1205863</v>
      </c>
      <c r="W620" s="131">
        <v>1205863</v>
      </c>
      <c r="X620" s="131">
        <v>967425.6</v>
      </c>
      <c r="Y620" s="131">
        <v>238437.40000000002</v>
      </c>
      <c r="Z620" s="131">
        <v>967425.6</v>
      </c>
      <c r="AA620" s="131">
        <v>238437.40000000002</v>
      </c>
      <c r="AB620" s="131">
        <v>967425.6</v>
      </c>
      <c r="AC620" s="131">
        <v>238437.40000000002</v>
      </c>
      <c r="AD620" s="131">
        <v>776492.28</v>
      </c>
      <c r="AE620" s="132">
        <v>429370.72</v>
      </c>
    </row>
    <row r="621" spans="1:31" x14ac:dyDescent="0.2">
      <c r="A621" s="133">
        <v>105</v>
      </c>
      <c r="B621" s="133" t="s">
        <v>1631</v>
      </c>
      <c r="C621" s="133" t="s">
        <v>1114</v>
      </c>
      <c r="D621" s="133" t="s">
        <v>1602</v>
      </c>
      <c r="E621" s="133" t="s">
        <v>1116</v>
      </c>
      <c r="F621" s="133" t="s">
        <v>1117</v>
      </c>
      <c r="G621" s="133" t="s">
        <v>1118</v>
      </c>
      <c r="H621" s="130" t="s">
        <v>1149</v>
      </c>
      <c r="I621" s="130" t="s">
        <v>1182</v>
      </c>
      <c r="J621" s="130" t="s">
        <v>1347</v>
      </c>
      <c r="K621" s="130" t="s">
        <v>1348</v>
      </c>
      <c r="L621" s="130" t="s">
        <v>1632</v>
      </c>
      <c r="M621" s="130" t="s">
        <v>1587</v>
      </c>
      <c r="N621" s="130" t="s">
        <v>1588</v>
      </c>
      <c r="O621" s="130" t="s">
        <v>1589</v>
      </c>
      <c r="P621" s="130" t="s">
        <v>1604</v>
      </c>
      <c r="Q621" s="130" t="s">
        <v>1127</v>
      </c>
      <c r="R621" s="130" t="s">
        <v>1413</v>
      </c>
      <c r="S621" s="130" t="s">
        <v>1414</v>
      </c>
      <c r="T621" s="130" t="s">
        <v>1176</v>
      </c>
      <c r="U621" s="130">
        <v>0</v>
      </c>
      <c r="V621" s="131">
        <v>2511</v>
      </c>
      <c r="W621" s="131">
        <v>2511</v>
      </c>
      <c r="X621" s="131">
        <v>1170</v>
      </c>
      <c r="Y621" s="131">
        <v>1341</v>
      </c>
      <c r="Z621" s="131">
        <v>1170</v>
      </c>
      <c r="AA621" s="131">
        <v>1341</v>
      </c>
      <c r="AB621" s="131">
        <v>1170</v>
      </c>
      <c r="AC621" s="131">
        <v>1341</v>
      </c>
      <c r="AD621" s="131">
        <v>1170</v>
      </c>
      <c r="AE621" s="132">
        <v>1341</v>
      </c>
    </row>
    <row r="622" spans="1:31" x14ac:dyDescent="0.2">
      <c r="A622" s="133">
        <v>105</v>
      </c>
      <c r="B622" s="133" t="s">
        <v>1631</v>
      </c>
      <c r="C622" s="133" t="s">
        <v>1114</v>
      </c>
      <c r="D622" s="133" t="s">
        <v>1602</v>
      </c>
      <c r="E622" s="133" t="s">
        <v>1116</v>
      </c>
      <c r="F622" s="133" t="s">
        <v>1117</v>
      </c>
      <c r="G622" s="133" t="s">
        <v>1118</v>
      </c>
      <c r="H622" s="130" t="s">
        <v>1133</v>
      </c>
      <c r="I622" s="130" t="s">
        <v>1134</v>
      </c>
      <c r="J622" s="130" t="s">
        <v>1135</v>
      </c>
      <c r="K622" s="130" t="s">
        <v>1178</v>
      </c>
      <c r="L622" s="130" t="s">
        <v>1632</v>
      </c>
      <c r="M622" s="130" t="s">
        <v>1587</v>
      </c>
      <c r="N622" s="130" t="s">
        <v>1588</v>
      </c>
      <c r="O622" s="130" t="s">
        <v>1589</v>
      </c>
      <c r="P622" s="130" t="s">
        <v>1604</v>
      </c>
      <c r="Q622" s="130" t="s">
        <v>1127</v>
      </c>
      <c r="R622" s="130" t="s">
        <v>1413</v>
      </c>
      <c r="S622" s="130" t="s">
        <v>1414</v>
      </c>
      <c r="T622" s="130" t="s">
        <v>1176</v>
      </c>
      <c r="U622" s="130">
        <v>0</v>
      </c>
      <c r="V622" s="131">
        <v>187000</v>
      </c>
      <c r="W622" s="131">
        <v>187000</v>
      </c>
      <c r="X622" s="131">
        <v>187000</v>
      </c>
      <c r="Y622" s="131">
        <v>0</v>
      </c>
      <c r="Z622" s="131">
        <v>187000</v>
      </c>
      <c r="AA622" s="131">
        <v>0</v>
      </c>
      <c r="AB622" s="131">
        <v>135936.88999999998</v>
      </c>
      <c r="AC622" s="131">
        <v>51063.110000000015</v>
      </c>
      <c r="AD622" s="131">
        <v>135936.88999999998</v>
      </c>
      <c r="AE622" s="132">
        <v>51063.110000000015</v>
      </c>
    </row>
    <row r="623" spans="1:31" x14ac:dyDescent="0.2">
      <c r="A623" s="133">
        <v>105</v>
      </c>
      <c r="B623" s="133" t="s">
        <v>1631</v>
      </c>
      <c r="C623" s="133" t="s">
        <v>1114</v>
      </c>
      <c r="D623" s="133" t="s">
        <v>1602</v>
      </c>
      <c r="E623" s="133" t="s">
        <v>1116</v>
      </c>
      <c r="F623" s="133" t="s">
        <v>1117</v>
      </c>
      <c r="G623" s="133" t="s">
        <v>1118</v>
      </c>
      <c r="H623" s="133" t="s">
        <v>1133</v>
      </c>
      <c r="I623" s="133" t="s">
        <v>1134</v>
      </c>
      <c r="J623" s="133" t="s">
        <v>1135</v>
      </c>
      <c r="K623" s="130" t="s">
        <v>1144</v>
      </c>
      <c r="L623" s="130" t="s">
        <v>1632</v>
      </c>
      <c r="M623" s="130" t="s">
        <v>1587</v>
      </c>
      <c r="N623" s="130" t="s">
        <v>1588</v>
      </c>
      <c r="O623" s="130" t="s">
        <v>1589</v>
      </c>
      <c r="P623" s="130" t="s">
        <v>1604</v>
      </c>
      <c r="Q623" s="130" t="s">
        <v>1127</v>
      </c>
      <c r="R623" s="130" t="s">
        <v>1413</v>
      </c>
      <c r="S623" s="130" t="s">
        <v>1414</v>
      </c>
      <c r="T623" s="130" t="s">
        <v>1176</v>
      </c>
      <c r="U623" s="130">
        <v>0</v>
      </c>
      <c r="V623" s="131">
        <v>26370</v>
      </c>
      <c r="W623" s="131">
        <v>26370</v>
      </c>
      <c r="X623" s="131">
        <v>15120</v>
      </c>
      <c r="Y623" s="131">
        <v>11250</v>
      </c>
      <c r="Z623" s="131">
        <v>15120</v>
      </c>
      <c r="AA623" s="131">
        <v>11250</v>
      </c>
      <c r="AB623" s="131">
        <v>15120</v>
      </c>
      <c r="AC623" s="131">
        <v>11250</v>
      </c>
      <c r="AD623" s="131">
        <v>7920</v>
      </c>
      <c r="AE623" s="132">
        <v>18450</v>
      </c>
    </row>
    <row r="624" spans="1:31" x14ac:dyDescent="0.2">
      <c r="A624" s="133">
        <v>105</v>
      </c>
      <c r="B624" s="133" t="s">
        <v>1631</v>
      </c>
      <c r="C624" s="133" t="s">
        <v>1114</v>
      </c>
      <c r="D624" s="133" t="s">
        <v>1602</v>
      </c>
      <c r="E624" s="130" t="s">
        <v>1143</v>
      </c>
      <c r="F624" s="130" t="s">
        <v>1117</v>
      </c>
      <c r="G624" s="130" t="s">
        <v>1118</v>
      </c>
      <c r="H624" s="130" t="s">
        <v>1119</v>
      </c>
      <c r="I624" s="130" t="s">
        <v>1169</v>
      </c>
      <c r="J624" s="130" t="s">
        <v>1195</v>
      </c>
      <c r="K624" s="130" t="s">
        <v>1593</v>
      </c>
      <c r="L624" s="130" t="s">
        <v>1632</v>
      </c>
      <c r="M624" s="130" t="s">
        <v>1587</v>
      </c>
      <c r="N624" s="130" t="s">
        <v>1588</v>
      </c>
      <c r="O624" s="130" t="s">
        <v>1589</v>
      </c>
      <c r="P624" s="130" t="s">
        <v>1604</v>
      </c>
      <c r="Q624" s="130" t="s">
        <v>1127</v>
      </c>
      <c r="R624" s="130" t="s">
        <v>1413</v>
      </c>
      <c r="S624" s="130" t="s">
        <v>1414</v>
      </c>
      <c r="T624" s="130" t="s">
        <v>1176</v>
      </c>
      <c r="U624" s="130">
        <v>0</v>
      </c>
      <c r="V624" s="131">
        <v>0</v>
      </c>
      <c r="W624" s="131">
        <v>0</v>
      </c>
      <c r="X624" s="131">
        <v>0</v>
      </c>
      <c r="Y624" s="131">
        <v>0</v>
      </c>
      <c r="Z624" s="131">
        <v>0</v>
      </c>
      <c r="AA624" s="131">
        <v>0</v>
      </c>
      <c r="AB624" s="131">
        <v>0</v>
      </c>
      <c r="AC624" s="131">
        <v>0</v>
      </c>
      <c r="AD624" s="131">
        <v>0</v>
      </c>
      <c r="AE624" s="132">
        <v>0</v>
      </c>
    </row>
    <row r="625" spans="1:31" x14ac:dyDescent="0.2">
      <c r="A625" s="130">
        <v>106</v>
      </c>
      <c r="B625" s="130" t="s">
        <v>1633</v>
      </c>
      <c r="C625" s="130" t="s">
        <v>1114</v>
      </c>
      <c r="D625" s="130" t="s">
        <v>1602</v>
      </c>
      <c r="E625" s="130" t="s">
        <v>1116</v>
      </c>
      <c r="F625" s="130" t="s">
        <v>1117</v>
      </c>
      <c r="G625" s="130" t="s">
        <v>1118</v>
      </c>
      <c r="H625" s="130" t="s">
        <v>1119</v>
      </c>
      <c r="I625" s="130" t="s">
        <v>1169</v>
      </c>
      <c r="J625" s="130" t="s">
        <v>1195</v>
      </c>
      <c r="K625" s="130" t="s">
        <v>1196</v>
      </c>
      <c r="L625" s="130" t="s">
        <v>1634</v>
      </c>
      <c r="M625" s="130" t="s">
        <v>1587</v>
      </c>
      <c r="N625" s="130" t="s">
        <v>1588</v>
      </c>
      <c r="O625" s="130" t="s">
        <v>1589</v>
      </c>
      <c r="P625" s="130" t="s">
        <v>1604</v>
      </c>
      <c r="Q625" s="130" t="s">
        <v>1127</v>
      </c>
      <c r="R625" s="130" t="s">
        <v>1413</v>
      </c>
      <c r="S625" s="130" t="s">
        <v>1414</v>
      </c>
      <c r="T625" s="130" t="s">
        <v>1176</v>
      </c>
      <c r="U625" s="130">
        <v>2422294</v>
      </c>
      <c r="V625" s="131">
        <v>-2422294</v>
      </c>
      <c r="W625" s="131">
        <v>0</v>
      </c>
      <c r="X625" s="131">
        <v>0</v>
      </c>
      <c r="Y625" s="131">
        <v>0</v>
      </c>
      <c r="Z625" s="131">
        <v>0</v>
      </c>
      <c r="AA625" s="131">
        <v>0</v>
      </c>
      <c r="AB625" s="131">
        <v>0</v>
      </c>
      <c r="AC625" s="131">
        <v>0</v>
      </c>
      <c r="AD625" s="131">
        <v>0</v>
      </c>
      <c r="AE625" s="132">
        <v>0</v>
      </c>
    </row>
    <row r="626" spans="1:31" x14ac:dyDescent="0.2">
      <c r="A626" s="133">
        <v>106</v>
      </c>
      <c r="B626" s="133" t="s">
        <v>1633</v>
      </c>
      <c r="C626" s="133" t="s">
        <v>1114</v>
      </c>
      <c r="D626" s="133" t="s">
        <v>1602</v>
      </c>
      <c r="E626" s="133" t="s">
        <v>1116</v>
      </c>
      <c r="F626" s="133" t="s">
        <v>1117</v>
      </c>
      <c r="G626" s="133" t="s">
        <v>1118</v>
      </c>
      <c r="H626" s="133" t="s">
        <v>1119</v>
      </c>
      <c r="I626" s="133" t="s">
        <v>1169</v>
      </c>
      <c r="J626" s="133" t="s">
        <v>1195</v>
      </c>
      <c r="K626" s="130" t="s">
        <v>1585</v>
      </c>
      <c r="L626" s="130" t="s">
        <v>1634</v>
      </c>
      <c r="M626" s="130" t="s">
        <v>1587</v>
      </c>
      <c r="N626" s="130" t="s">
        <v>1588</v>
      </c>
      <c r="O626" s="130" t="s">
        <v>1589</v>
      </c>
      <c r="P626" s="130" t="s">
        <v>1604</v>
      </c>
      <c r="Q626" s="130" t="s">
        <v>1127</v>
      </c>
      <c r="R626" s="130" t="s">
        <v>1413</v>
      </c>
      <c r="S626" s="130" t="s">
        <v>1414</v>
      </c>
      <c r="T626" s="130" t="s">
        <v>1176</v>
      </c>
      <c r="U626" s="130">
        <v>0</v>
      </c>
      <c r="V626" s="131">
        <v>986153</v>
      </c>
      <c r="W626" s="131">
        <v>986153</v>
      </c>
      <c r="X626" s="131">
        <v>986153</v>
      </c>
      <c r="Y626" s="131">
        <v>0</v>
      </c>
      <c r="Z626" s="131">
        <v>986153</v>
      </c>
      <c r="AA626" s="131">
        <v>0</v>
      </c>
      <c r="AB626" s="131">
        <v>903928.15999999992</v>
      </c>
      <c r="AC626" s="131">
        <v>82224.840000000084</v>
      </c>
      <c r="AD626" s="131">
        <v>903928.15999999992</v>
      </c>
      <c r="AE626" s="132">
        <v>82224.840000000084</v>
      </c>
    </row>
    <row r="627" spans="1:31" x14ac:dyDescent="0.2">
      <c r="A627" s="133">
        <v>106</v>
      </c>
      <c r="B627" s="133" t="s">
        <v>1633</v>
      </c>
      <c r="C627" s="133" t="s">
        <v>1114</v>
      </c>
      <c r="D627" s="133" t="s">
        <v>1602</v>
      </c>
      <c r="E627" s="133" t="s">
        <v>1116</v>
      </c>
      <c r="F627" s="133" t="s">
        <v>1117</v>
      </c>
      <c r="G627" s="133" t="s">
        <v>1118</v>
      </c>
      <c r="H627" s="133" t="s">
        <v>1119</v>
      </c>
      <c r="I627" s="133" t="s">
        <v>1169</v>
      </c>
      <c r="J627" s="133" t="s">
        <v>1195</v>
      </c>
      <c r="K627" s="130" t="s">
        <v>1592</v>
      </c>
      <c r="L627" s="130" t="s">
        <v>1634</v>
      </c>
      <c r="M627" s="130" t="s">
        <v>1587</v>
      </c>
      <c r="N627" s="130" t="s">
        <v>1588</v>
      </c>
      <c r="O627" s="130" t="s">
        <v>1589</v>
      </c>
      <c r="P627" s="130" t="s">
        <v>1604</v>
      </c>
      <c r="Q627" s="130" t="s">
        <v>1127</v>
      </c>
      <c r="R627" s="130" t="s">
        <v>1413</v>
      </c>
      <c r="S627" s="130" t="s">
        <v>1414</v>
      </c>
      <c r="T627" s="130" t="s">
        <v>1176</v>
      </c>
      <c r="U627" s="130">
        <v>0</v>
      </c>
      <c r="V627" s="131">
        <v>3023605</v>
      </c>
      <c r="W627" s="131">
        <v>3023605</v>
      </c>
      <c r="X627" s="131">
        <v>2841808.88</v>
      </c>
      <c r="Y627" s="131">
        <v>181796.12000000011</v>
      </c>
      <c r="Z627" s="131">
        <v>2841808.88</v>
      </c>
      <c r="AA627" s="131">
        <v>181796.12000000011</v>
      </c>
      <c r="AB627" s="131">
        <v>2841808.8800000004</v>
      </c>
      <c r="AC627" s="131">
        <v>181796.11999999965</v>
      </c>
      <c r="AD627" s="131">
        <v>2468503.8800000004</v>
      </c>
      <c r="AE627" s="132">
        <v>555101.11999999965</v>
      </c>
    </row>
    <row r="628" spans="1:31" x14ac:dyDescent="0.2">
      <c r="A628" s="133">
        <v>106</v>
      </c>
      <c r="B628" s="133" t="s">
        <v>1633</v>
      </c>
      <c r="C628" s="133" t="s">
        <v>1114</v>
      </c>
      <c r="D628" s="133" t="s">
        <v>1602</v>
      </c>
      <c r="E628" s="133" t="s">
        <v>1116</v>
      </c>
      <c r="F628" s="133" t="s">
        <v>1117</v>
      </c>
      <c r="G628" s="133" t="s">
        <v>1118</v>
      </c>
      <c r="H628" s="133" t="s">
        <v>1119</v>
      </c>
      <c r="I628" s="133" t="s">
        <v>1169</v>
      </c>
      <c r="J628" s="133" t="s">
        <v>1195</v>
      </c>
      <c r="K628" s="130" t="s">
        <v>1593</v>
      </c>
      <c r="L628" s="130" t="s">
        <v>1634</v>
      </c>
      <c r="M628" s="130" t="s">
        <v>1587</v>
      </c>
      <c r="N628" s="130" t="s">
        <v>1588</v>
      </c>
      <c r="O628" s="130" t="s">
        <v>1589</v>
      </c>
      <c r="P628" s="130" t="s">
        <v>1604</v>
      </c>
      <c r="Q628" s="130" t="s">
        <v>1127</v>
      </c>
      <c r="R628" s="130" t="s">
        <v>1413</v>
      </c>
      <c r="S628" s="130" t="s">
        <v>1414</v>
      </c>
      <c r="T628" s="130" t="s">
        <v>1176</v>
      </c>
      <c r="U628" s="130">
        <v>0</v>
      </c>
      <c r="V628" s="131">
        <v>1475885</v>
      </c>
      <c r="W628" s="131">
        <v>1475885</v>
      </c>
      <c r="X628" s="131">
        <v>1284988.73</v>
      </c>
      <c r="Y628" s="131">
        <v>190896.27000000002</v>
      </c>
      <c r="Z628" s="131">
        <v>1284988.73</v>
      </c>
      <c r="AA628" s="131">
        <v>190896.27000000002</v>
      </c>
      <c r="AB628" s="131">
        <v>1284988.7300000002</v>
      </c>
      <c r="AC628" s="131">
        <v>190896.26999999979</v>
      </c>
      <c r="AD628" s="131">
        <v>1129846.77</v>
      </c>
      <c r="AE628" s="132">
        <v>346038.23</v>
      </c>
    </row>
    <row r="629" spans="1:31" x14ac:dyDescent="0.2">
      <c r="A629" s="133">
        <v>106</v>
      </c>
      <c r="B629" s="133" t="s">
        <v>1633</v>
      </c>
      <c r="C629" s="133" t="s">
        <v>1114</v>
      </c>
      <c r="D629" s="133" t="s">
        <v>1602</v>
      </c>
      <c r="E629" s="133" t="s">
        <v>1116</v>
      </c>
      <c r="F629" s="133" t="s">
        <v>1117</v>
      </c>
      <c r="G629" s="133" t="s">
        <v>1118</v>
      </c>
      <c r="H629" s="130" t="s">
        <v>1149</v>
      </c>
      <c r="I629" s="130" t="s">
        <v>1182</v>
      </c>
      <c r="J629" s="130" t="s">
        <v>1347</v>
      </c>
      <c r="K629" s="130" t="s">
        <v>1348</v>
      </c>
      <c r="L629" s="130" t="s">
        <v>1634</v>
      </c>
      <c r="M629" s="130" t="s">
        <v>1587</v>
      </c>
      <c r="N629" s="130" t="s">
        <v>1588</v>
      </c>
      <c r="O629" s="130" t="s">
        <v>1589</v>
      </c>
      <c r="P629" s="130" t="s">
        <v>1604</v>
      </c>
      <c r="Q629" s="130" t="s">
        <v>1127</v>
      </c>
      <c r="R629" s="130" t="s">
        <v>1413</v>
      </c>
      <c r="S629" s="130" t="s">
        <v>1414</v>
      </c>
      <c r="T629" s="130" t="s">
        <v>1176</v>
      </c>
      <c r="U629" s="130">
        <v>0</v>
      </c>
      <c r="V629" s="131">
        <v>13381</v>
      </c>
      <c r="W629" s="131">
        <v>13381</v>
      </c>
      <c r="X629" s="131">
        <v>0</v>
      </c>
      <c r="Y629" s="131">
        <v>13381</v>
      </c>
      <c r="Z629" s="131">
        <v>0</v>
      </c>
      <c r="AA629" s="131">
        <v>13381</v>
      </c>
      <c r="AB629" s="131">
        <v>0</v>
      </c>
      <c r="AC629" s="131">
        <v>13381</v>
      </c>
      <c r="AD629" s="131">
        <v>0</v>
      </c>
      <c r="AE629" s="132">
        <v>13381</v>
      </c>
    </row>
    <row r="630" spans="1:31" x14ac:dyDescent="0.2">
      <c r="A630" s="133">
        <v>106</v>
      </c>
      <c r="B630" s="133" t="s">
        <v>1633</v>
      </c>
      <c r="C630" s="133" t="s">
        <v>1114</v>
      </c>
      <c r="D630" s="133" t="s">
        <v>1602</v>
      </c>
      <c r="E630" s="133" t="s">
        <v>1116</v>
      </c>
      <c r="F630" s="133" t="s">
        <v>1117</v>
      </c>
      <c r="G630" s="133" t="s">
        <v>1118</v>
      </c>
      <c r="H630" s="130" t="s">
        <v>1133</v>
      </c>
      <c r="I630" s="130" t="s">
        <v>1134</v>
      </c>
      <c r="J630" s="130" t="s">
        <v>1135</v>
      </c>
      <c r="K630" s="130" t="s">
        <v>1178</v>
      </c>
      <c r="L630" s="130" t="s">
        <v>1634</v>
      </c>
      <c r="M630" s="130" t="s">
        <v>1587</v>
      </c>
      <c r="N630" s="130" t="s">
        <v>1588</v>
      </c>
      <c r="O630" s="130" t="s">
        <v>1589</v>
      </c>
      <c r="P630" s="130" t="s">
        <v>1604</v>
      </c>
      <c r="Q630" s="130" t="s">
        <v>1127</v>
      </c>
      <c r="R630" s="130" t="s">
        <v>1413</v>
      </c>
      <c r="S630" s="130" t="s">
        <v>1414</v>
      </c>
      <c r="T630" s="130" t="s">
        <v>1176</v>
      </c>
      <c r="U630" s="130">
        <v>0</v>
      </c>
      <c r="V630" s="131">
        <v>270000</v>
      </c>
      <c r="W630" s="131">
        <v>270000</v>
      </c>
      <c r="X630" s="131">
        <v>270000</v>
      </c>
      <c r="Y630" s="131">
        <v>0</v>
      </c>
      <c r="Z630" s="131">
        <v>270000</v>
      </c>
      <c r="AA630" s="131">
        <v>0</v>
      </c>
      <c r="AB630" s="131">
        <v>123766.82</v>
      </c>
      <c r="AC630" s="131">
        <v>146233.18</v>
      </c>
      <c r="AD630" s="131">
        <v>123766.82</v>
      </c>
      <c r="AE630" s="132">
        <v>146233.18</v>
      </c>
    </row>
    <row r="631" spans="1:31" x14ac:dyDescent="0.2">
      <c r="A631" s="133">
        <v>106</v>
      </c>
      <c r="B631" s="133" t="s">
        <v>1633</v>
      </c>
      <c r="C631" s="133" t="s">
        <v>1114</v>
      </c>
      <c r="D631" s="133" t="s">
        <v>1602</v>
      </c>
      <c r="E631" s="133" t="s">
        <v>1116</v>
      </c>
      <c r="F631" s="133" t="s">
        <v>1117</v>
      </c>
      <c r="G631" s="133" t="s">
        <v>1118</v>
      </c>
      <c r="H631" s="133" t="s">
        <v>1133</v>
      </c>
      <c r="I631" s="133" t="s">
        <v>1134</v>
      </c>
      <c r="J631" s="133" t="s">
        <v>1135</v>
      </c>
      <c r="K631" s="130" t="s">
        <v>1179</v>
      </c>
      <c r="L631" s="130" t="s">
        <v>1634</v>
      </c>
      <c r="M631" s="130" t="s">
        <v>1587</v>
      </c>
      <c r="N631" s="130" t="s">
        <v>1588</v>
      </c>
      <c r="O631" s="130" t="s">
        <v>1589</v>
      </c>
      <c r="P631" s="130" t="s">
        <v>1604</v>
      </c>
      <c r="Q631" s="130" t="s">
        <v>1127</v>
      </c>
      <c r="R631" s="130" t="s">
        <v>1413</v>
      </c>
      <c r="S631" s="130" t="s">
        <v>1414</v>
      </c>
      <c r="T631" s="130" t="s">
        <v>1176</v>
      </c>
      <c r="U631" s="130">
        <v>0</v>
      </c>
      <c r="V631" s="131">
        <v>8650</v>
      </c>
      <c r="W631" s="131">
        <v>8650</v>
      </c>
      <c r="X631" s="131">
        <v>7642</v>
      </c>
      <c r="Y631" s="131">
        <v>1008</v>
      </c>
      <c r="Z631" s="131">
        <v>7642</v>
      </c>
      <c r="AA631" s="131">
        <v>1008</v>
      </c>
      <c r="AB631" s="131">
        <v>7642</v>
      </c>
      <c r="AC631" s="131">
        <v>1008</v>
      </c>
      <c r="AD631" s="131">
        <v>7642</v>
      </c>
      <c r="AE631" s="132">
        <v>1008</v>
      </c>
    </row>
    <row r="632" spans="1:31" x14ac:dyDescent="0.2">
      <c r="A632" s="133">
        <v>106</v>
      </c>
      <c r="B632" s="133" t="s">
        <v>1633</v>
      </c>
      <c r="C632" s="133" t="s">
        <v>1114</v>
      </c>
      <c r="D632" s="133" t="s">
        <v>1602</v>
      </c>
      <c r="E632" s="133" t="s">
        <v>1116</v>
      </c>
      <c r="F632" s="133" t="s">
        <v>1117</v>
      </c>
      <c r="G632" s="133" t="s">
        <v>1118</v>
      </c>
      <c r="H632" s="133" t="s">
        <v>1133</v>
      </c>
      <c r="I632" s="133" t="s">
        <v>1134</v>
      </c>
      <c r="J632" s="133" t="s">
        <v>1135</v>
      </c>
      <c r="K632" s="130" t="s">
        <v>1144</v>
      </c>
      <c r="L632" s="130" t="s">
        <v>1634</v>
      </c>
      <c r="M632" s="130" t="s">
        <v>1587</v>
      </c>
      <c r="N632" s="130" t="s">
        <v>1588</v>
      </c>
      <c r="O632" s="130" t="s">
        <v>1589</v>
      </c>
      <c r="P632" s="130" t="s">
        <v>1604</v>
      </c>
      <c r="Q632" s="130" t="s">
        <v>1127</v>
      </c>
      <c r="R632" s="130" t="s">
        <v>1413</v>
      </c>
      <c r="S632" s="130" t="s">
        <v>1414</v>
      </c>
      <c r="T632" s="130" t="s">
        <v>1176</v>
      </c>
      <c r="U632" s="130">
        <v>0</v>
      </c>
      <c r="V632" s="131">
        <v>41350</v>
      </c>
      <c r="W632" s="131">
        <v>41350</v>
      </c>
      <c r="X632" s="131">
        <v>40339</v>
      </c>
      <c r="Y632" s="131">
        <v>1011</v>
      </c>
      <c r="Z632" s="131">
        <v>40339</v>
      </c>
      <c r="AA632" s="131">
        <v>1011</v>
      </c>
      <c r="AB632" s="131">
        <v>40339</v>
      </c>
      <c r="AC632" s="131">
        <v>1011</v>
      </c>
      <c r="AD632" s="131">
        <v>38414</v>
      </c>
      <c r="AE632" s="132">
        <v>2936</v>
      </c>
    </row>
    <row r="633" spans="1:31" x14ac:dyDescent="0.2">
      <c r="A633" s="130">
        <v>107</v>
      </c>
      <c r="B633" s="130" t="s">
        <v>1059</v>
      </c>
      <c r="C633" s="130" t="s">
        <v>1114</v>
      </c>
      <c r="D633" s="130" t="s">
        <v>1602</v>
      </c>
      <c r="E633" s="130" t="s">
        <v>1116</v>
      </c>
      <c r="F633" s="130" t="s">
        <v>1117</v>
      </c>
      <c r="G633" s="130" t="s">
        <v>1118</v>
      </c>
      <c r="H633" s="130" t="s">
        <v>1119</v>
      </c>
      <c r="I633" s="130" t="s">
        <v>1169</v>
      </c>
      <c r="J633" s="130" t="s">
        <v>1195</v>
      </c>
      <c r="K633" s="130" t="s">
        <v>1196</v>
      </c>
      <c r="L633" s="130" t="s">
        <v>1635</v>
      </c>
      <c r="M633" s="130" t="s">
        <v>1587</v>
      </c>
      <c r="N633" s="130" t="s">
        <v>1588</v>
      </c>
      <c r="O633" s="130" t="s">
        <v>1589</v>
      </c>
      <c r="P633" s="130" t="s">
        <v>1604</v>
      </c>
      <c r="Q633" s="130" t="s">
        <v>1127</v>
      </c>
      <c r="R633" s="130" t="s">
        <v>1380</v>
      </c>
      <c r="S633" s="130" t="s">
        <v>1481</v>
      </c>
      <c r="T633" s="130" t="s">
        <v>1176</v>
      </c>
      <c r="U633" s="130">
        <v>10000000</v>
      </c>
      <c r="V633" s="131">
        <v>13944416</v>
      </c>
      <c r="W633" s="131">
        <v>23944416</v>
      </c>
      <c r="X633" s="131">
        <v>23944416</v>
      </c>
      <c r="Y633" s="131">
        <v>0</v>
      </c>
      <c r="Z633" s="131">
        <v>23944416</v>
      </c>
      <c r="AA633" s="131">
        <v>0</v>
      </c>
      <c r="AB633" s="131">
        <v>6394442.0599999996</v>
      </c>
      <c r="AC633" s="131">
        <v>17549973.940000001</v>
      </c>
      <c r="AD633" s="131">
        <v>6394442.0599999996</v>
      </c>
      <c r="AE633" s="132">
        <v>17549973.940000001</v>
      </c>
    </row>
    <row r="634" spans="1:31" x14ac:dyDescent="0.2">
      <c r="A634" s="133">
        <v>107</v>
      </c>
      <c r="B634" s="133" t="s">
        <v>1059</v>
      </c>
      <c r="C634" s="133" t="s">
        <v>1114</v>
      </c>
      <c r="D634" s="133" t="s">
        <v>1602</v>
      </c>
      <c r="E634" s="133" t="s">
        <v>1116</v>
      </c>
      <c r="F634" s="133" t="s">
        <v>1117</v>
      </c>
      <c r="G634" s="133" t="s">
        <v>1118</v>
      </c>
      <c r="H634" s="130" t="s">
        <v>1133</v>
      </c>
      <c r="I634" s="130" t="s">
        <v>1134</v>
      </c>
      <c r="J634" s="130" t="s">
        <v>1135</v>
      </c>
      <c r="K634" s="130" t="s">
        <v>1178</v>
      </c>
      <c r="L634" s="130" t="s">
        <v>1635</v>
      </c>
      <c r="M634" s="130" t="s">
        <v>1587</v>
      </c>
      <c r="N634" s="130" t="s">
        <v>1588</v>
      </c>
      <c r="O634" s="130" t="s">
        <v>1589</v>
      </c>
      <c r="P634" s="130" t="s">
        <v>1604</v>
      </c>
      <c r="Q634" s="130" t="s">
        <v>1127</v>
      </c>
      <c r="R634" s="130" t="s">
        <v>1380</v>
      </c>
      <c r="S634" s="130" t="s">
        <v>1481</v>
      </c>
      <c r="T634" s="130" t="s">
        <v>1176</v>
      </c>
      <c r="U634" s="130">
        <v>0</v>
      </c>
      <c r="V634" s="131">
        <v>485815</v>
      </c>
      <c r="W634" s="131">
        <v>485815</v>
      </c>
      <c r="X634" s="131">
        <v>469897</v>
      </c>
      <c r="Y634" s="131">
        <v>15918</v>
      </c>
      <c r="Z634" s="131">
        <v>416897</v>
      </c>
      <c r="AA634" s="131">
        <v>68918</v>
      </c>
      <c r="AB634" s="131">
        <v>69478.61</v>
      </c>
      <c r="AC634" s="131">
        <v>416336.39</v>
      </c>
      <c r="AD634" s="131">
        <v>69478.61</v>
      </c>
      <c r="AE634" s="132">
        <v>416336.39</v>
      </c>
    </row>
    <row r="635" spans="1:31" x14ac:dyDescent="0.2">
      <c r="A635" s="133">
        <v>107</v>
      </c>
      <c r="B635" s="133" t="s">
        <v>1059</v>
      </c>
      <c r="C635" s="133" t="s">
        <v>1114</v>
      </c>
      <c r="D635" s="133" t="s">
        <v>1602</v>
      </c>
      <c r="E635" s="133" t="s">
        <v>1116</v>
      </c>
      <c r="F635" s="133" t="s">
        <v>1117</v>
      </c>
      <c r="G635" s="133" t="s">
        <v>1118</v>
      </c>
      <c r="H635" s="133" t="s">
        <v>1133</v>
      </c>
      <c r="I635" s="133" t="s">
        <v>1134</v>
      </c>
      <c r="J635" s="133" t="s">
        <v>1135</v>
      </c>
      <c r="K635" s="130" t="s">
        <v>1179</v>
      </c>
      <c r="L635" s="130" t="s">
        <v>1635</v>
      </c>
      <c r="M635" s="130" t="s">
        <v>1587</v>
      </c>
      <c r="N635" s="130" t="s">
        <v>1588</v>
      </c>
      <c r="O635" s="130" t="s">
        <v>1589</v>
      </c>
      <c r="P635" s="130" t="s">
        <v>1604</v>
      </c>
      <c r="Q635" s="130" t="s">
        <v>1127</v>
      </c>
      <c r="R635" s="130" t="s">
        <v>1380</v>
      </c>
      <c r="S635" s="130" t="s">
        <v>1481</v>
      </c>
      <c r="T635" s="130" t="s">
        <v>1176</v>
      </c>
      <c r="U635" s="130">
        <v>0</v>
      </c>
      <c r="V635" s="131">
        <v>13567</v>
      </c>
      <c r="W635" s="131">
        <v>13567</v>
      </c>
      <c r="X635" s="131">
        <v>13448.4</v>
      </c>
      <c r="Y635" s="131">
        <v>118.60000000000036</v>
      </c>
      <c r="Z635" s="131">
        <v>13448.4</v>
      </c>
      <c r="AA635" s="131">
        <v>118.60000000000036</v>
      </c>
      <c r="AB635" s="131">
        <v>13448.4</v>
      </c>
      <c r="AC635" s="131">
        <v>118.60000000000036</v>
      </c>
      <c r="AD635" s="131">
        <v>5118</v>
      </c>
      <c r="AE635" s="132">
        <v>8449</v>
      </c>
    </row>
    <row r="636" spans="1:31" x14ac:dyDescent="0.2">
      <c r="A636" s="133">
        <v>107</v>
      </c>
      <c r="B636" s="133" t="s">
        <v>1059</v>
      </c>
      <c r="C636" s="133" t="s">
        <v>1114</v>
      </c>
      <c r="D636" s="133" t="s">
        <v>1602</v>
      </c>
      <c r="E636" s="133" t="s">
        <v>1116</v>
      </c>
      <c r="F636" s="133" t="s">
        <v>1117</v>
      </c>
      <c r="G636" s="133" t="s">
        <v>1118</v>
      </c>
      <c r="H636" s="133" t="s">
        <v>1133</v>
      </c>
      <c r="I636" s="133" t="s">
        <v>1134</v>
      </c>
      <c r="J636" s="133" t="s">
        <v>1135</v>
      </c>
      <c r="K636" s="130" t="s">
        <v>1144</v>
      </c>
      <c r="L636" s="130" t="s">
        <v>1635</v>
      </c>
      <c r="M636" s="130" t="s">
        <v>1587</v>
      </c>
      <c r="N636" s="130" t="s">
        <v>1588</v>
      </c>
      <c r="O636" s="130" t="s">
        <v>1589</v>
      </c>
      <c r="P636" s="130" t="s">
        <v>1604</v>
      </c>
      <c r="Q636" s="130" t="s">
        <v>1127</v>
      </c>
      <c r="R636" s="130" t="s">
        <v>1380</v>
      </c>
      <c r="S636" s="130" t="s">
        <v>1481</v>
      </c>
      <c r="T636" s="130" t="s">
        <v>1176</v>
      </c>
      <c r="U636" s="130">
        <v>0</v>
      </c>
      <c r="V636" s="131">
        <v>3139083</v>
      </c>
      <c r="W636" s="131">
        <v>3139083</v>
      </c>
      <c r="X636" s="131">
        <v>3130687.38</v>
      </c>
      <c r="Y636" s="131">
        <v>8395.6200000001118</v>
      </c>
      <c r="Z636" s="131">
        <v>16222.5</v>
      </c>
      <c r="AA636" s="131">
        <v>3122860.5</v>
      </c>
      <c r="AB636" s="131">
        <v>16222.5</v>
      </c>
      <c r="AC636" s="131">
        <v>3122860.5</v>
      </c>
      <c r="AD636" s="131">
        <v>3500</v>
      </c>
      <c r="AE636" s="132">
        <v>3135583</v>
      </c>
    </row>
    <row r="637" spans="1:31" x14ac:dyDescent="0.2">
      <c r="A637" s="130">
        <v>108</v>
      </c>
      <c r="B637" s="130" t="s">
        <v>1636</v>
      </c>
      <c r="C637" s="130" t="s">
        <v>1114</v>
      </c>
      <c r="D637" s="130" t="s">
        <v>1598</v>
      </c>
      <c r="E637" s="130" t="s">
        <v>1116</v>
      </c>
      <c r="F637" s="130" t="s">
        <v>1117</v>
      </c>
      <c r="G637" s="130" t="s">
        <v>1118</v>
      </c>
      <c r="H637" s="130" t="s">
        <v>1119</v>
      </c>
      <c r="I637" s="130" t="s">
        <v>1169</v>
      </c>
      <c r="J637" s="130" t="s">
        <v>1195</v>
      </c>
      <c r="K637" s="130" t="s">
        <v>1196</v>
      </c>
      <c r="L637" s="130" t="s">
        <v>1637</v>
      </c>
      <c r="M637" s="130" t="s">
        <v>1587</v>
      </c>
      <c r="N637" s="130" t="s">
        <v>1588</v>
      </c>
      <c r="O637" s="130" t="s">
        <v>1589</v>
      </c>
      <c r="P637" s="130" t="s">
        <v>1590</v>
      </c>
      <c r="Q637" s="130" t="s">
        <v>1127</v>
      </c>
      <c r="R637" s="130" t="s">
        <v>1409</v>
      </c>
      <c r="S637" s="130" t="s">
        <v>1638</v>
      </c>
      <c r="T637" s="130" t="s">
        <v>1176</v>
      </c>
      <c r="U637" s="130">
        <v>800000</v>
      </c>
      <c r="V637" s="131">
        <v>-800000</v>
      </c>
      <c r="W637" s="131">
        <v>0</v>
      </c>
      <c r="X637" s="131">
        <v>0</v>
      </c>
      <c r="Y637" s="131">
        <v>0</v>
      </c>
      <c r="Z637" s="131">
        <v>0</v>
      </c>
      <c r="AA637" s="131">
        <v>0</v>
      </c>
      <c r="AB637" s="131">
        <v>0</v>
      </c>
      <c r="AC637" s="131">
        <v>0</v>
      </c>
      <c r="AD637" s="131">
        <v>0</v>
      </c>
      <c r="AE637" s="132">
        <v>0</v>
      </c>
    </row>
    <row r="638" spans="1:31" x14ac:dyDescent="0.2">
      <c r="A638" s="130">
        <v>109</v>
      </c>
      <c r="B638" s="130" t="s">
        <v>1057</v>
      </c>
      <c r="C638" s="130" t="s">
        <v>1114</v>
      </c>
      <c r="D638" s="130" t="s">
        <v>1621</v>
      </c>
      <c r="E638" s="130" t="s">
        <v>1116</v>
      </c>
      <c r="F638" s="130" t="s">
        <v>1117</v>
      </c>
      <c r="G638" s="130" t="s">
        <v>1118</v>
      </c>
      <c r="H638" s="130" t="s">
        <v>1119</v>
      </c>
      <c r="I638" s="130" t="s">
        <v>1169</v>
      </c>
      <c r="J638" s="130" t="s">
        <v>1195</v>
      </c>
      <c r="K638" s="130" t="s">
        <v>1196</v>
      </c>
      <c r="L638" s="130" t="s">
        <v>1639</v>
      </c>
      <c r="M638" s="130" t="s">
        <v>1587</v>
      </c>
      <c r="N638" s="130" t="s">
        <v>1588</v>
      </c>
      <c r="O638" s="130" t="s">
        <v>1589</v>
      </c>
      <c r="P638" s="130" t="s">
        <v>1604</v>
      </c>
      <c r="Q638" s="130" t="s">
        <v>1127</v>
      </c>
      <c r="R638" s="130" t="s">
        <v>1128</v>
      </c>
      <c r="S638" s="130" t="s">
        <v>1129</v>
      </c>
      <c r="T638" s="130" t="s">
        <v>1176</v>
      </c>
      <c r="U638" s="130">
        <v>4000000</v>
      </c>
      <c r="V638" s="131">
        <v>1936229</v>
      </c>
      <c r="W638" s="131">
        <v>5936229</v>
      </c>
      <c r="X638" s="131">
        <v>3936230</v>
      </c>
      <c r="Y638" s="131">
        <v>1999999</v>
      </c>
      <c r="Z638" s="131">
        <v>0</v>
      </c>
      <c r="AA638" s="131">
        <v>5936229</v>
      </c>
      <c r="AB638" s="131">
        <v>0</v>
      </c>
      <c r="AC638" s="131">
        <v>5936229</v>
      </c>
      <c r="AD638" s="131">
        <v>0</v>
      </c>
      <c r="AE638" s="132">
        <v>5936229</v>
      </c>
    </row>
    <row r="639" spans="1:31" x14ac:dyDescent="0.2">
      <c r="A639" s="133">
        <v>109</v>
      </c>
      <c r="B639" s="133" t="s">
        <v>1057</v>
      </c>
      <c r="C639" s="133" t="s">
        <v>1114</v>
      </c>
      <c r="D639" s="133" t="s">
        <v>1621</v>
      </c>
      <c r="E639" s="133" t="s">
        <v>1116</v>
      </c>
      <c r="F639" s="133" t="s">
        <v>1117</v>
      </c>
      <c r="G639" s="133" t="s">
        <v>1118</v>
      </c>
      <c r="H639" s="130" t="s">
        <v>1133</v>
      </c>
      <c r="I639" s="130" t="s">
        <v>1134</v>
      </c>
      <c r="J639" s="130" t="s">
        <v>1166</v>
      </c>
      <c r="K639" s="130" t="s">
        <v>1167</v>
      </c>
      <c r="L639" s="130" t="s">
        <v>1639</v>
      </c>
      <c r="M639" s="130" t="s">
        <v>1587</v>
      </c>
      <c r="N639" s="130" t="s">
        <v>1588</v>
      </c>
      <c r="O639" s="130" t="s">
        <v>1589</v>
      </c>
      <c r="P639" s="130" t="s">
        <v>1604</v>
      </c>
      <c r="Q639" s="130" t="s">
        <v>1127</v>
      </c>
      <c r="R639" s="130" t="s">
        <v>1128</v>
      </c>
      <c r="S639" s="130" t="s">
        <v>1129</v>
      </c>
      <c r="T639" s="130" t="s">
        <v>1176</v>
      </c>
      <c r="U639" s="130">
        <v>0</v>
      </c>
      <c r="V639" s="131">
        <v>21102</v>
      </c>
      <c r="W639" s="131">
        <v>21102</v>
      </c>
      <c r="X639" s="131">
        <v>12600</v>
      </c>
      <c r="Y639" s="131">
        <v>8502</v>
      </c>
      <c r="Z639" s="131">
        <v>0</v>
      </c>
      <c r="AA639" s="131">
        <v>21102</v>
      </c>
      <c r="AB639" s="131">
        <v>0</v>
      </c>
      <c r="AC639" s="131">
        <v>21102</v>
      </c>
      <c r="AD639" s="131">
        <v>0</v>
      </c>
      <c r="AE639" s="132">
        <v>21102</v>
      </c>
    </row>
    <row r="640" spans="1:31" x14ac:dyDescent="0.2">
      <c r="A640" s="133">
        <v>109</v>
      </c>
      <c r="B640" s="133" t="s">
        <v>1057</v>
      </c>
      <c r="C640" s="133" t="s">
        <v>1114</v>
      </c>
      <c r="D640" s="133" t="s">
        <v>1621</v>
      </c>
      <c r="E640" s="133" t="s">
        <v>1116</v>
      </c>
      <c r="F640" s="133" t="s">
        <v>1117</v>
      </c>
      <c r="G640" s="133" t="s">
        <v>1118</v>
      </c>
      <c r="H640" s="133" t="s">
        <v>1133</v>
      </c>
      <c r="I640" s="133" t="s">
        <v>1134</v>
      </c>
      <c r="J640" s="130" t="s">
        <v>1135</v>
      </c>
      <c r="K640" s="130" t="s">
        <v>1144</v>
      </c>
      <c r="L640" s="130" t="s">
        <v>1639</v>
      </c>
      <c r="M640" s="130" t="s">
        <v>1587</v>
      </c>
      <c r="N640" s="130" t="s">
        <v>1588</v>
      </c>
      <c r="O640" s="130" t="s">
        <v>1589</v>
      </c>
      <c r="P640" s="130" t="s">
        <v>1604</v>
      </c>
      <c r="Q640" s="130" t="s">
        <v>1127</v>
      </c>
      <c r="R640" s="130" t="s">
        <v>1128</v>
      </c>
      <c r="S640" s="130" t="s">
        <v>1129</v>
      </c>
      <c r="T640" s="130" t="s">
        <v>1176</v>
      </c>
      <c r="U640" s="130">
        <v>0</v>
      </c>
      <c r="V640" s="131">
        <v>42669</v>
      </c>
      <c r="W640" s="131">
        <v>42669</v>
      </c>
      <c r="X640" s="131">
        <v>42669</v>
      </c>
      <c r="Y640" s="131">
        <v>0</v>
      </c>
      <c r="Z640" s="131">
        <v>0</v>
      </c>
      <c r="AA640" s="131">
        <v>42669</v>
      </c>
      <c r="AB640" s="131">
        <v>0</v>
      </c>
      <c r="AC640" s="131">
        <v>42669</v>
      </c>
      <c r="AD640" s="131">
        <v>0</v>
      </c>
      <c r="AE640" s="132">
        <v>42669</v>
      </c>
    </row>
    <row r="641" spans="1:31" x14ac:dyDescent="0.2">
      <c r="A641" s="130">
        <v>110</v>
      </c>
      <c r="B641" s="130" t="s">
        <v>144</v>
      </c>
      <c r="C641" s="130" t="s">
        <v>1114</v>
      </c>
      <c r="D641" s="130" t="s">
        <v>1584</v>
      </c>
      <c r="E641" s="130" t="s">
        <v>1116</v>
      </c>
      <c r="F641" s="130" t="s">
        <v>1117</v>
      </c>
      <c r="G641" s="130" t="s">
        <v>1118</v>
      </c>
      <c r="H641" s="130" t="s">
        <v>1119</v>
      </c>
      <c r="I641" s="130" t="s">
        <v>1169</v>
      </c>
      <c r="J641" s="130" t="s">
        <v>1195</v>
      </c>
      <c r="K641" s="130" t="s">
        <v>1585</v>
      </c>
      <c r="L641" s="130" t="s">
        <v>1640</v>
      </c>
      <c r="M641" s="130" t="s">
        <v>1587</v>
      </c>
      <c r="N641" s="130" t="s">
        <v>1588</v>
      </c>
      <c r="O641" s="130" t="s">
        <v>1589</v>
      </c>
      <c r="P641" s="130" t="s">
        <v>1604</v>
      </c>
      <c r="Q641" s="130" t="s">
        <v>1127</v>
      </c>
      <c r="R641" s="130" t="s">
        <v>1434</v>
      </c>
      <c r="S641" s="130" t="s">
        <v>1435</v>
      </c>
      <c r="T641" s="130" t="s">
        <v>1176</v>
      </c>
      <c r="U641" s="130">
        <v>0</v>
      </c>
      <c r="V641" s="131">
        <v>80000</v>
      </c>
      <c r="W641" s="131">
        <v>80000</v>
      </c>
      <c r="X641" s="131">
        <v>80000</v>
      </c>
      <c r="Y641" s="131">
        <v>0</v>
      </c>
      <c r="Z641" s="131">
        <v>80000</v>
      </c>
      <c r="AA641" s="131">
        <v>0</v>
      </c>
      <c r="AB641" s="131">
        <v>0</v>
      </c>
      <c r="AC641" s="131">
        <v>80000</v>
      </c>
      <c r="AD641" s="131">
        <v>0</v>
      </c>
      <c r="AE641" s="132">
        <v>80000</v>
      </c>
    </row>
    <row r="642" spans="1:31" x14ac:dyDescent="0.2">
      <c r="A642" s="133">
        <v>110</v>
      </c>
      <c r="B642" s="133" t="s">
        <v>144</v>
      </c>
      <c r="C642" s="133" t="s">
        <v>1114</v>
      </c>
      <c r="D642" s="133" t="s">
        <v>1584</v>
      </c>
      <c r="E642" s="133" t="s">
        <v>1116</v>
      </c>
      <c r="F642" s="133" t="s">
        <v>1117</v>
      </c>
      <c r="G642" s="133" t="s">
        <v>1118</v>
      </c>
      <c r="H642" s="133" t="s">
        <v>1119</v>
      </c>
      <c r="I642" s="133" t="s">
        <v>1169</v>
      </c>
      <c r="J642" s="133" t="s">
        <v>1195</v>
      </c>
      <c r="K642" s="130" t="s">
        <v>1592</v>
      </c>
      <c r="L642" s="130" t="s">
        <v>1640</v>
      </c>
      <c r="M642" s="130" t="s">
        <v>1587</v>
      </c>
      <c r="N642" s="130" t="s">
        <v>1588</v>
      </c>
      <c r="O642" s="130" t="s">
        <v>1589</v>
      </c>
      <c r="P642" s="130" t="s">
        <v>1604</v>
      </c>
      <c r="Q642" s="130" t="s">
        <v>1127</v>
      </c>
      <c r="R642" s="130" t="s">
        <v>1434</v>
      </c>
      <c r="S642" s="130" t="s">
        <v>1435</v>
      </c>
      <c r="T642" s="130" t="s">
        <v>1176</v>
      </c>
      <c r="U642" s="130">
        <v>0</v>
      </c>
      <c r="V642" s="131">
        <v>1630567</v>
      </c>
      <c r="W642" s="131">
        <v>1630567</v>
      </c>
      <c r="X642" s="131">
        <v>1618465.36</v>
      </c>
      <c r="Y642" s="131">
        <v>12101.639999999898</v>
      </c>
      <c r="Z642" s="131">
        <v>511319.86</v>
      </c>
      <c r="AA642" s="131">
        <v>1119247.1400000001</v>
      </c>
      <c r="AB642" s="131">
        <v>440349.86000000004</v>
      </c>
      <c r="AC642" s="131">
        <v>1190217.1399999999</v>
      </c>
      <c r="AD642" s="131">
        <v>301325.65999999997</v>
      </c>
      <c r="AE642" s="132">
        <v>1329241.3400000001</v>
      </c>
    </row>
    <row r="643" spans="1:31" x14ac:dyDescent="0.2">
      <c r="A643" s="133">
        <v>110</v>
      </c>
      <c r="B643" s="133" t="s">
        <v>144</v>
      </c>
      <c r="C643" s="133" t="s">
        <v>1114</v>
      </c>
      <c r="D643" s="133" t="s">
        <v>1584</v>
      </c>
      <c r="E643" s="133" t="s">
        <v>1116</v>
      </c>
      <c r="F643" s="133" t="s">
        <v>1117</v>
      </c>
      <c r="G643" s="133" t="s">
        <v>1118</v>
      </c>
      <c r="H643" s="133" t="s">
        <v>1119</v>
      </c>
      <c r="I643" s="133" t="s">
        <v>1169</v>
      </c>
      <c r="J643" s="133" t="s">
        <v>1195</v>
      </c>
      <c r="K643" s="130" t="s">
        <v>1593</v>
      </c>
      <c r="L643" s="130" t="s">
        <v>1640</v>
      </c>
      <c r="M643" s="130" t="s">
        <v>1587</v>
      </c>
      <c r="N643" s="130" t="s">
        <v>1588</v>
      </c>
      <c r="O643" s="130" t="s">
        <v>1589</v>
      </c>
      <c r="P643" s="130" t="s">
        <v>1604</v>
      </c>
      <c r="Q643" s="130" t="s">
        <v>1127</v>
      </c>
      <c r="R643" s="130" t="s">
        <v>1434</v>
      </c>
      <c r="S643" s="130" t="s">
        <v>1435</v>
      </c>
      <c r="T643" s="130" t="s">
        <v>1176</v>
      </c>
      <c r="U643" s="130">
        <v>0</v>
      </c>
      <c r="V643" s="131">
        <v>4964076</v>
      </c>
      <c r="W643" s="131">
        <v>4964076</v>
      </c>
      <c r="X643" s="131">
        <v>4366524.26</v>
      </c>
      <c r="Y643" s="131">
        <v>597551.74000000022</v>
      </c>
      <c r="Z643" s="131">
        <v>2639984.2599999998</v>
      </c>
      <c r="AA643" s="131">
        <v>2324091.7400000002</v>
      </c>
      <c r="AB643" s="131">
        <v>2639984.2599999998</v>
      </c>
      <c r="AC643" s="131">
        <v>2324091.7400000002</v>
      </c>
      <c r="AD643" s="131">
        <v>2563551.29</v>
      </c>
      <c r="AE643" s="132">
        <v>2400524.71</v>
      </c>
    </row>
    <row r="644" spans="1:31" x14ac:dyDescent="0.2">
      <c r="A644" s="133">
        <v>110</v>
      </c>
      <c r="B644" s="133" t="s">
        <v>144</v>
      </c>
      <c r="C644" s="133" t="s">
        <v>1114</v>
      </c>
      <c r="D644" s="133" t="s">
        <v>1584</v>
      </c>
      <c r="E644" s="133" t="s">
        <v>1116</v>
      </c>
      <c r="F644" s="133" t="s">
        <v>1117</v>
      </c>
      <c r="G644" s="133" t="s">
        <v>1118</v>
      </c>
      <c r="H644" s="130" t="s">
        <v>1133</v>
      </c>
      <c r="I644" s="130" t="s">
        <v>1134</v>
      </c>
      <c r="J644" s="130" t="s">
        <v>1135</v>
      </c>
      <c r="K644" s="130" t="s">
        <v>1178</v>
      </c>
      <c r="L644" s="130" t="s">
        <v>1640</v>
      </c>
      <c r="M644" s="130" t="s">
        <v>1587</v>
      </c>
      <c r="N644" s="130" t="s">
        <v>1588</v>
      </c>
      <c r="O644" s="130" t="s">
        <v>1589</v>
      </c>
      <c r="P644" s="130" t="s">
        <v>1604</v>
      </c>
      <c r="Q644" s="130" t="s">
        <v>1127</v>
      </c>
      <c r="R644" s="130" t="s">
        <v>1434</v>
      </c>
      <c r="S644" s="130" t="s">
        <v>1435</v>
      </c>
      <c r="T644" s="130" t="s">
        <v>1176</v>
      </c>
      <c r="U644" s="130">
        <v>0</v>
      </c>
      <c r="V644" s="131">
        <v>170000</v>
      </c>
      <c r="W644" s="131">
        <v>170000</v>
      </c>
      <c r="X644" s="131">
        <v>100000</v>
      </c>
      <c r="Y644" s="131">
        <v>70000</v>
      </c>
      <c r="Z644" s="131">
        <v>0</v>
      </c>
      <c r="AA644" s="131">
        <v>170000</v>
      </c>
      <c r="AB644" s="131">
        <v>0</v>
      </c>
      <c r="AC644" s="131">
        <v>170000</v>
      </c>
      <c r="AD644" s="131">
        <v>0</v>
      </c>
      <c r="AE644" s="132">
        <v>170000</v>
      </c>
    </row>
    <row r="645" spans="1:31" x14ac:dyDescent="0.2">
      <c r="A645" s="133">
        <v>110</v>
      </c>
      <c r="B645" s="133" t="s">
        <v>144</v>
      </c>
      <c r="C645" s="133" t="s">
        <v>1114</v>
      </c>
      <c r="D645" s="133" t="s">
        <v>1584</v>
      </c>
      <c r="E645" s="133" t="s">
        <v>1116</v>
      </c>
      <c r="F645" s="133" t="s">
        <v>1117</v>
      </c>
      <c r="G645" s="133" t="s">
        <v>1118</v>
      </c>
      <c r="H645" s="133" t="s">
        <v>1133</v>
      </c>
      <c r="I645" s="133" t="s">
        <v>1134</v>
      </c>
      <c r="J645" s="133" t="s">
        <v>1135</v>
      </c>
      <c r="K645" s="130" t="s">
        <v>1179</v>
      </c>
      <c r="L645" s="130" t="s">
        <v>1640</v>
      </c>
      <c r="M645" s="130" t="s">
        <v>1587</v>
      </c>
      <c r="N645" s="130" t="s">
        <v>1588</v>
      </c>
      <c r="O645" s="130" t="s">
        <v>1589</v>
      </c>
      <c r="P645" s="130" t="s">
        <v>1604</v>
      </c>
      <c r="Q645" s="130" t="s">
        <v>1127</v>
      </c>
      <c r="R645" s="130" t="s">
        <v>1434</v>
      </c>
      <c r="S645" s="130" t="s">
        <v>1435</v>
      </c>
      <c r="T645" s="130" t="s">
        <v>1176</v>
      </c>
      <c r="U645" s="130">
        <v>0</v>
      </c>
      <c r="V645" s="131">
        <v>23000</v>
      </c>
      <c r="W645" s="131">
        <v>23000</v>
      </c>
      <c r="X645" s="131">
        <v>0</v>
      </c>
      <c r="Y645" s="131">
        <v>23000</v>
      </c>
      <c r="Z645" s="131">
        <v>0</v>
      </c>
      <c r="AA645" s="131">
        <v>23000</v>
      </c>
      <c r="AB645" s="131">
        <v>0</v>
      </c>
      <c r="AC645" s="131">
        <v>23000</v>
      </c>
      <c r="AD645" s="131">
        <v>0</v>
      </c>
      <c r="AE645" s="132">
        <v>23000</v>
      </c>
    </row>
    <row r="646" spans="1:31" x14ac:dyDescent="0.2">
      <c r="A646" s="133">
        <v>110</v>
      </c>
      <c r="B646" s="133" t="s">
        <v>144</v>
      </c>
      <c r="C646" s="133" t="s">
        <v>1114</v>
      </c>
      <c r="D646" s="133" t="s">
        <v>1584</v>
      </c>
      <c r="E646" s="133" t="s">
        <v>1116</v>
      </c>
      <c r="F646" s="133" t="s">
        <v>1117</v>
      </c>
      <c r="G646" s="133" t="s">
        <v>1118</v>
      </c>
      <c r="H646" s="133" t="s">
        <v>1133</v>
      </c>
      <c r="I646" s="133" t="s">
        <v>1134</v>
      </c>
      <c r="J646" s="133" t="s">
        <v>1135</v>
      </c>
      <c r="K646" s="130" t="s">
        <v>1144</v>
      </c>
      <c r="L646" s="130" t="s">
        <v>1640</v>
      </c>
      <c r="M646" s="130" t="s">
        <v>1587</v>
      </c>
      <c r="N646" s="130" t="s">
        <v>1588</v>
      </c>
      <c r="O646" s="130" t="s">
        <v>1589</v>
      </c>
      <c r="P646" s="130" t="s">
        <v>1604</v>
      </c>
      <c r="Q646" s="130" t="s">
        <v>1127</v>
      </c>
      <c r="R646" s="130" t="s">
        <v>1434</v>
      </c>
      <c r="S646" s="130" t="s">
        <v>1435</v>
      </c>
      <c r="T646" s="130" t="s">
        <v>1176</v>
      </c>
      <c r="U646" s="130">
        <v>0</v>
      </c>
      <c r="V646" s="131">
        <v>50000</v>
      </c>
      <c r="W646" s="131">
        <v>50000</v>
      </c>
      <c r="X646" s="131">
        <v>37850</v>
      </c>
      <c r="Y646" s="131">
        <v>12150</v>
      </c>
      <c r="Z646" s="131">
        <v>37850</v>
      </c>
      <c r="AA646" s="131">
        <v>12150</v>
      </c>
      <c r="AB646" s="131">
        <v>37850</v>
      </c>
      <c r="AC646" s="131">
        <v>12150</v>
      </c>
      <c r="AD646" s="131">
        <v>0</v>
      </c>
      <c r="AE646" s="132">
        <v>50000</v>
      </c>
    </row>
    <row r="647" spans="1:31" x14ac:dyDescent="0.2">
      <c r="A647" s="133">
        <v>110</v>
      </c>
      <c r="B647" s="133" t="s">
        <v>144</v>
      </c>
      <c r="C647" s="133" t="s">
        <v>1114</v>
      </c>
      <c r="D647" s="133" t="s">
        <v>1584</v>
      </c>
      <c r="E647" s="130" t="s">
        <v>1143</v>
      </c>
      <c r="F647" s="130" t="s">
        <v>1117</v>
      </c>
      <c r="G647" s="130" t="s">
        <v>1118</v>
      </c>
      <c r="H647" s="130" t="s">
        <v>1119</v>
      </c>
      <c r="I647" s="130" t="s">
        <v>1169</v>
      </c>
      <c r="J647" s="130" t="s">
        <v>1195</v>
      </c>
      <c r="K647" s="130" t="s">
        <v>1196</v>
      </c>
      <c r="L647" s="130" t="s">
        <v>1640</v>
      </c>
      <c r="M647" s="130" t="s">
        <v>1587</v>
      </c>
      <c r="N647" s="130" t="s">
        <v>1588</v>
      </c>
      <c r="O647" s="130" t="s">
        <v>1589</v>
      </c>
      <c r="P647" s="130" t="s">
        <v>1604</v>
      </c>
      <c r="Q647" s="130" t="s">
        <v>1127</v>
      </c>
      <c r="R647" s="130" t="s">
        <v>1434</v>
      </c>
      <c r="S647" s="130" t="s">
        <v>1435</v>
      </c>
      <c r="T647" s="130" t="s">
        <v>1176</v>
      </c>
      <c r="U647" s="130">
        <v>15500800</v>
      </c>
      <c r="V647" s="131">
        <v>-15500800</v>
      </c>
      <c r="W647" s="131">
        <v>0</v>
      </c>
      <c r="X647" s="131">
        <v>0</v>
      </c>
      <c r="Y647" s="131">
        <v>0</v>
      </c>
      <c r="Z647" s="131">
        <v>0</v>
      </c>
      <c r="AA647" s="131">
        <v>0</v>
      </c>
      <c r="AB647" s="131">
        <v>0</v>
      </c>
      <c r="AC647" s="131">
        <v>0</v>
      </c>
      <c r="AD647" s="131">
        <v>0</v>
      </c>
      <c r="AE647" s="132">
        <v>0</v>
      </c>
    </row>
    <row r="648" spans="1:31" x14ac:dyDescent="0.2">
      <c r="A648" s="133">
        <v>110</v>
      </c>
      <c r="B648" s="133" t="s">
        <v>144</v>
      </c>
      <c r="C648" s="133" t="s">
        <v>1114</v>
      </c>
      <c r="D648" s="133" t="s">
        <v>1584</v>
      </c>
      <c r="E648" s="133" t="s">
        <v>1143</v>
      </c>
      <c r="F648" s="133" t="s">
        <v>1117</v>
      </c>
      <c r="G648" s="133" t="s">
        <v>1118</v>
      </c>
      <c r="H648" s="133" t="s">
        <v>1119</v>
      </c>
      <c r="I648" s="133" t="s">
        <v>1169</v>
      </c>
      <c r="J648" s="133" t="s">
        <v>1195</v>
      </c>
      <c r="K648" s="130" t="s">
        <v>1585</v>
      </c>
      <c r="L648" s="130" t="s">
        <v>1640</v>
      </c>
      <c r="M648" s="130" t="s">
        <v>1587</v>
      </c>
      <c r="N648" s="130" t="s">
        <v>1588</v>
      </c>
      <c r="O648" s="130" t="s">
        <v>1589</v>
      </c>
      <c r="P648" s="130" t="s">
        <v>1604</v>
      </c>
      <c r="Q648" s="130" t="s">
        <v>1127</v>
      </c>
      <c r="R648" s="130" t="s">
        <v>1434</v>
      </c>
      <c r="S648" s="130" t="s">
        <v>1435</v>
      </c>
      <c r="T648" s="130" t="s">
        <v>1176</v>
      </c>
      <c r="U648" s="130">
        <v>0</v>
      </c>
      <c r="V648" s="131">
        <v>2414516</v>
      </c>
      <c r="W648" s="131">
        <v>2414516</v>
      </c>
      <c r="X648" s="131">
        <v>2414516</v>
      </c>
      <c r="Y648" s="131">
        <v>0</v>
      </c>
      <c r="Z648" s="131">
        <v>2414516</v>
      </c>
      <c r="AA648" s="131">
        <v>0</v>
      </c>
      <c r="AB648" s="131">
        <v>2394740.79</v>
      </c>
      <c r="AC648" s="131">
        <v>19775.209999999963</v>
      </c>
      <c r="AD648" s="131">
        <v>2299939.69</v>
      </c>
      <c r="AE648" s="132">
        <v>114576.31000000006</v>
      </c>
    </row>
    <row r="649" spans="1:31" x14ac:dyDescent="0.2">
      <c r="A649" s="133">
        <v>110</v>
      </c>
      <c r="B649" s="133" t="s">
        <v>144</v>
      </c>
      <c r="C649" s="133" t="s">
        <v>1114</v>
      </c>
      <c r="D649" s="133" t="s">
        <v>1584</v>
      </c>
      <c r="E649" s="133" t="s">
        <v>1143</v>
      </c>
      <c r="F649" s="133" t="s">
        <v>1117</v>
      </c>
      <c r="G649" s="133" t="s">
        <v>1118</v>
      </c>
      <c r="H649" s="133" t="s">
        <v>1119</v>
      </c>
      <c r="I649" s="133" t="s">
        <v>1169</v>
      </c>
      <c r="J649" s="133" t="s">
        <v>1195</v>
      </c>
      <c r="K649" s="130" t="s">
        <v>1592</v>
      </c>
      <c r="L649" s="130" t="s">
        <v>1640</v>
      </c>
      <c r="M649" s="130" t="s">
        <v>1587</v>
      </c>
      <c r="N649" s="130" t="s">
        <v>1588</v>
      </c>
      <c r="O649" s="130" t="s">
        <v>1589</v>
      </c>
      <c r="P649" s="130" t="s">
        <v>1604</v>
      </c>
      <c r="Q649" s="130" t="s">
        <v>1127</v>
      </c>
      <c r="R649" s="130" t="s">
        <v>1434</v>
      </c>
      <c r="S649" s="130" t="s">
        <v>1435</v>
      </c>
      <c r="T649" s="130" t="s">
        <v>1176</v>
      </c>
      <c r="U649" s="130">
        <v>0</v>
      </c>
      <c r="V649" s="131">
        <v>8971259</v>
      </c>
      <c r="W649" s="131">
        <v>8971259</v>
      </c>
      <c r="X649" s="131">
        <v>8971258.6799999997</v>
      </c>
      <c r="Y649" s="131">
        <v>0.32000000029802322</v>
      </c>
      <c r="Z649" s="131">
        <v>4207612.0599999996</v>
      </c>
      <c r="AA649" s="131">
        <v>4763646.9400000004</v>
      </c>
      <c r="AB649" s="131">
        <v>3139294.06</v>
      </c>
      <c r="AC649" s="131">
        <v>5831964.9399999995</v>
      </c>
      <c r="AD649" s="131">
        <v>2659694.0099999998</v>
      </c>
      <c r="AE649" s="132">
        <v>6311564.9900000002</v>
      </c>
    </row>
    <row r="650" spans="1:31" x14ac:dyDescent="0.2">
      <c r="A650" s="133">
        <v>110</v>
      </c>
      <c r="B650" s="133" t="s">
        <v>144</v>
      </c>
      <c r="C650" s="133" t="s">
        <v>1114</v>
      </c>
      <c r="D650" s="133" t="s">
        <v>1584</v>
      </c>
      <c r="E650" s="133" t="s">
        <v>1143</v>
      </c>
      <c r="F650" s="133" t="s">
        <v>1117</v>
      </c>
      <c r="G650" s="133" t="s">
        <v>1118</v>
      </c>
      <c r="H650" s="133" t="s">
        <v>1119</v>
      </c>
      <c r="I650" s="133" t="s">
        <v>1169</v>
      </c>
      <c r="J650" s="133" t="s">
        <v>1195</v>
      </c>
      <c r="K650" s="130" t="s">
        <v>1593</v>
      </c>
      <c r="L650" s="130" t="s">
        <v>1640</v>
      </c>
      <c r="M650" s="130" t="s">
        <v>1587</v>
      </c>
      <c r="N650" s="130" t="s">
        <v>1588</v>
      </c>
      <c r="O650" s="130" t="s">
        <v>1589</v>
      </c>
      <c r="P650" s="130" t="s">
        <v>1604</v>
      </c>
      <c r="Q650" s="130" t="s">
        <v>1127</v>
      </c>
      <c r="R650" s="130" t="s">
        <v>1434</v>
      </c>
      <c r="S650" s="130" t="s">
        <v>1435</v>
      </c>
      <c r="T650" s="130" t="s">
        <v>1176</v>
      </c>
      <c r="U650" s="130">
        <v>0</v>
      </c>
      <c r="V650" s="131">
        <v>5194699</v>
      </c>
      <c r="W650" s="131">
        <v>5194699</v>
      </c>
      <c r="X650" s="131">
        <v>5161040.63</v>
      </c>
      <c r="Y650" s="131">
        <v>33658.370000000112</v>
      </c>
      <c r="Z650" s="131">
        <v>2598932.13</v>
      </c>
      <c r="AA650" s="131">
        <v>2595766.87</v>
      </c>
      <c r="AB650" s="131">
        <v>2598932.13</v>
      </c>
      <c r="AC650" s="131">
        <v>2595766.87</v>
      </c>
      <c r="AD650" s="131">
        <v>1804038.24</v>
      </c>
      <c r="AE650" s="132">
        <v>3390660.76</v>
      </c>
    </row>
    <row r="651" spans="1:31" x14ac:dyDescent="0.2">
      <c r="A651" s="133">
        <v>110</v>
      </c>
      <c r="B651" s="133" t="s">
        <v>144</v>
      </c>
      <c r="C651" s="133" t="s">
        <v>1114</v>
      </c>
      <c r="D651" s="133" t="s">
        <v>1584</v>
      </c>
      <c r="E651" s="133" t="s">
        <v>1143</v>
      </c>
      <c r="F651" s="133" t="s">
        <v>1117</v>
      </c>
      <c r="G651" s="133" t="s">
        <v>1118</v>
      </c>
      <c r="H651" s="130" t="s">
        <v>1133</v>
      </c>
      <c r="I651" s="130" t="s">
        <v>1134</v>
      </c>
      <c r="J651" s="130" t="s">
        <v>1135</v>
      </c>
      <c r="K651" s="130" t="s">
        <v>1178</v>
      </c>
      <c r="L651" s="130" t="s">
        <v>1640</v>
      </c>
      <c r="M651" s="130" t="s">
        <v>1587</v>
      </c>
      <c r="N651" s="130" t="s">
        <v>1588</v>
      </c>
      <c r="O651" s="130" t="s">
        <v>1589</v>
      </c>
      <c r="P651" s="130" t="s">
        <v>1604</v>
      </c>
      <c r="Q651" s="130" t="s">
        <v>1127</v>
      </c>
      <c r="R651" s="130" t="s">
        <v>1434</v>
      </c>
      <c r="S651" s="130" t="s">
        <v>1435</v>
      </c>
      <c r="T651" s="130" t="s">
        <v>1176</v>
      </c>
      <c r="U651" s="130">
        <v>0</v>
      </c>
      <c r="V651" s="131">
        <v>145000</v>
      </c>
      <c r="W651" s="131">
        <v>145000</v>
      </c>
      <c r="X651" s="131">
        <v>145000</v>
      </c>
      <c r="Y651" s="131">
        <v>0</v>
      </c>
      <c r="Z651" s="131">
        <v>145000</v>
      </c>
      <c r="AA651" s="131">
        <v>0</v>
      </c>
      <c r="AB651" s="131">
        <v>119684.33000000002</v>
      </c>
      <c r="AC651" s="131">
        <v>25315.669999999984</v>
      </c>
      <c r="AD651" s="131">
        <v>119684.33000000002</v>
      </c>
      <c r="AE651" s="132">
        <v>25315.669999999984</v>
      </c>
    </row>
    <row r="652" spans="1:31" x14ac:dyDescent="0.2">
      <c r="A652" s="133">
        <v>110</v>
      </c>
      <c r="B652" s="133" t="s">
        <v>144</v>
      </c>
      <c r="C652" s="133" t="s">
        <v>1114</v>
      </c>
      <c r="D652" s="133" t="s">
        <v>1584</v>
      </c>
      <c r="E652" s="133" t="s">
        <v>1143</v>
      </c>
      <c r="F652" s="133" t="s">
        <v>1117</v>
      </c>
      <c r="G652" s="133" t="s">
        <v>1118</v>
      </c>
      <c r="H652" s="133" t="s">
        <v>1133</v>
      </c>
      <c r="I652" s="133" t="s">
        <v>1134</v>
      </c>
      <c r="J652" s="133" t="s">
        <v>1135</v>
      </c>
      <c r="K652" s="130" t="s">
        <v>1179</v>
      </c>
      <c r="L652" s="130" t="s">
        <v>1640</v>
      </c>
      <c r="M652" s="130" t="s">
        <v>1587</v>
      </c>
      <c r="N652" s="130" t="s">
        <v>1588</v>
      </c>
      <c r="O652" s="130" t="s">
        <v>1589</v>
      </c>
      <c r="P652" s="130" t="s">
        <v>1604</v>
      </c>
      <c r="Q652" s="130" t="s">
        <v>1127</v>
      </c>
      <c r="R652" s="130" t="s">
        <v>1434</v>
      </c>
      <c r="S652" s="130" t="s">
        <v>1435</v>
      </c>
      <c r="T652" s="130" t="s">
        <v>1176</v>
      </c>
      <c r="U652" s="130">
        <v>0</v>
      </c>
      <c r="V652" s="131">
        <v>43804</v>
      </c>
      <c r="W652" s="131">
        <v>43804</v>
      </c>
      <c r="X652" s="131">
        <v>43804</v>
      </c>
      <c r="Y652" s="131">
        <v>0</v>
      </c>
      <c r="Z652" s="131">
        <v>43804</v>
      </c>
      <c r="AA652" s="131">
        <v>0</v>
      </c>
      <c r="AB652" s="131">
        <v>43804</v>
      </c>
      <c r="AC652" s="131">
        <v>0</v>
      </c>
      <c r="AD652" s="131">
        <v>6544</v>
      </c>
      <c r="AE652" s="132">
        <v>37260</v>
      </c>
    </row>
    <row r="653" spans="1:31" x14ac:dyDescent="0.2">
      <c r="A653" s="133">
        <v>110</v>
      </c>
      <c r="B653" s="133" t="s">
        <v>144</v>
      </c>
      <c r="C653" s="133" t="s">
        <v>1114</v>
      </c>
      <c r="D653" s="133" t="s">
        <v>1584</v>
      </c>
      <c r="E653" s="133" t="s">
        <v>1143</v>
      </c>
      <c r="F653" s="133" t="s">
        <v>1117</v>
      </c>
      <c r="G653" s="133" t="s">
        <v>1118</v>
      </c>
      <c r="H653" s="133" t="s">
        <v>1133</v>
      </c>
      <c r="I653" s="133" t="s">
        <v>1134</v>
      </c>
      <c r="J653" s="133" t="s">
        <v>1135</v>
      </c>
      <c r="K653" s="130" t="s">
        <v>1144</v>
      </c>
      <c r="L653" s="130" t="s">
        <v>1640</v>
      </c>
      <c r="M653" s="130" t="s">
        <v>1587</v>
      </c>
      <c r="N653" s="130" t="s">
        <v>1588</v>
      </c>
      <c r="O653" s="130" t="s">
        <v>1589</v>
      </c>
      <c r="P653" s="130" t="s">
        <v>1604</v>
      </c>
      <c r="Q653" s="130" t="s">
        <v>1127</v>
      </c>
      <c r="R653" s="130" t="s">
        <v>1434</v>
      </c>
      <c r="S653" s="130" t="s">
        <v>1435</v>
      </c>
      <c r="T653" s="130" t="s">
        <v>1176</v>
      </c>
      <c r="U653" s="130">
        <v>0</v>
      </c>
      <c r="V653" s="131">
        <v>41024</v>
      </c>
      <c r="W653" s="131">
        <v>41024</v>
      </c>
      <c r="X653" s="131">
        <v>41024</v>
      </c>
      <c r="Y653" s="131">
        <v>0</v>
      </c>
      <c r="Z653" s="131">
        <v>41024</v>
      </c>
      <c r="AA653" s="131">
        <v>0</v>
      </c>
      <c r="AB653" s="131">
        <v>41024</v>
      </c>
      <c r="AC653" s="131">
        <v>0</v>
      </c>
      <c r="AD653" s="131">
        <v>41024</v>
      </c>
      <c r="AE653" s="132">
        <v>0</v>
      </c>
    </row>
    <row r="654" spans="1:31" x14ac:dyDescent="0.2">
      <c r="A654" s="130">
        <v>111</v>
      </c>
      <c r="B654" s="130" t="s">
        <v>1641</v>
      </c>
      <c r="C654" s="130" t="s">
        <v>1114</v>
      </c>
      <c r="D654" s="130" t="s">
        <v>1621</v>
      </c>
      <c r="E654" s="130" t="s">
        <v>1116</v>
      </c>
      <c r="F654" s="130" t="s">
        <v>1117</v>
      </c>
      <c r="G654" s="130" t="s">
        <v>1118</v>
      </c>
      <c r="H654" s="130" t="s">
        <v>1119</v>
      </c>
      <c r="I654" s="130" t="s">
        <v>1169</v>
      </c>
      <c r="J654" s="130" t="s">
        <v>1195</v>
      </c>
      <c r="K654" s="130" t="s">
        <v>1196</v>
      </c>
      <c r="L654" s="130" t="s">
        <v>1642</v>
      </c>
      <c r="M654" s="130" t="s">
        <v>1587</v>
      </c>
      <c r="N654" s="130" t="s">
        <v>1588</v>
      </c>
      <c r="O654" s="130" t="s">
        <v>1589</v>
      </c>
      <c r="P654" s="130" t="s">
        <v>1604</v>
      </c>
      <c r="Q654" s="130" t="s">
        <v>1127</v>
      </c>
      <c r="R654" s="130" t="s">
        <v>1140</v>
      </c>
      <c r="S654" s="130" t="s">
        <v>1157</v>
      </c>
      <c r="T654" s="130" t="s">
        <v>1176</v>
      </c>
      <c r="U654" s="130">
        <v>2800000</v>
      </c>
      <c r="V654" s="131">
        <v>-2754392</v>
      </c>
      <c r="W654" s="131">
        <v>45608</v>
      </c>
      <c r="X654" s="131">
        <v>0</v>
      </c>
      <c r="Y654" s="131">
        <v>45608</v>
      </c>
      <c r="Z654" s="131">
        <v>0</v>
      </c>
      <c r="AA654" s="131">
        <v>45608</v>
      </c>
      <c r="AB654" s="131">
        <v>0</v>
      </c>
      <c r="AC654" s="131">
        <v>45608</v>
      </c>
      <c r="AD654" s="131">
        <v>0</v>
      </c>
      <c r="AE654" s="132">
        <v>45608</v>
      </c>
    </row>
    <row r="655" spans="1:31" x14ac:dyDescent="0.2">
      <c r="A655" s="133">
        <v>111</v>
      </c>
      <c r="B655" s="133" t="s">
        <v>1641</v>
      </c>
      <c r="C655" s="133" t="s">
        <v>1114</v>
      </c>
      <c r="D655" s="133" t="s">
        <v>1621</v>
      </c>
      <c r="E655" s="133" t="s">
        <v>1116</v>
      </c>
      <c r="F655" s="133" t="s">
        <v>1117</v>
      </c>
      <c r="G655" s="133" t="s">
        <v>1118</v>
      </c>
      <c r="H655" s="130" t="s">
        <v>1133</v>
      </c>
      <c r="I655" s="130" t="s">
        <v>1134</v>
      </c>
      <c r="J655" s="130" t="s">
        <v>1166</v>
      </c>
      <c r="K655" s="130" t="s">
        <v>1167</v>
      </c>
      <c r="L655" s="130" t="s">
        <v>1642</v>
      </c>
      <c r="M655" s="130" t="s">
        <v>1587</v>
      </c>
      <c r="N655" s="130" t="s">
        <v>1588</v>
      </c>
      <c r="O655" s="130" t="s">
        <v>1589</v>
      </c>
      <c r="P655" s="130" t="s">
        <v>1604</v>
      </c>
      <c r="Q655" s="130" t="s">
        <v>1127</v>
      </c>
      <c r="R655" s="130" t="s">
        <v>1140</v>
      </c>
      <c r="S655" s="130" t="s">
        <v>1157</v>
      </c>
      <c r="T655" s="130" t="s">
        <v>1176</v>
      </c>
      <c r="U655" s="130">
        <v>0</v>
      </c>
      <c r="V655" s="131">
        <v>151216</v>
      </c>
      <c r="W655" s="131">
        <v>151216</v>
      </c>
      <c r="X655" s="131">
        <v>40000</v>
      </c>
      <c r="Y655" s="131">
        <v>111216</v>
      </c>
      <c r="Z655" s="131">
        <v>0</v>
      </c>
      <c r="AA655" s="131">
        <v>151216</v>
      </c>
      <c r="AB655" s="131">
        <v>0</v>
      </c>
      <c r="AC655" s="131">
        <v>151216</v>
      </c>
      <c r="AD655" s="131">
        <v>0</v>
      </c>
      <c r="AE655" s="132">
        <v>151216</v>
      </c>
    </row>
    <row r="656" spans="1:31" x14ac:dyDescent="0.2">
      <c r="A656" s="130">
        <v>112</v>
      </c>
      <c r="B656" s="130" t="s">
        <v>146</v>
      </c>
      <c r="C656" s="130" t="s">
        <v>1114</v>
      </c>
      <c r="D656" s="130" t="s">
        <v>1584</v>
      </c>
      <c r="E656" s="130" t="s">
        <v>1116</v>
      </c>
      <c r="F656" s="130" t="s">
        <v>1117</v>
      </c>
      <c r="G656" s="130" t="s">
        <v>1118</v>
      </c>
      <c r="H656" s="130" t="s">
        <v>1119</v>
      </c>
      <c r="I656" s="130" t="s">
        <v>1169</v>
      </c>
      <c r="J656" s="130" t="s">
        <v>1195</v>
      </c>
      <c r="K656" s="130" t="s">
        <v>1196</v>
      </c>
      <c r="L656" s="130" t="s">
        <v>1643</v>
      </c>
      <c r="M656" s="130" t="s">
        <v>1587</v>
      </c>
      <c r="N656" s="130" t="s">
        <v>1588</v>
      </c>
      <c r="O656" s="130" t="s">
        <v>1589</v>
      </c>
      <c r="P656" s="130" t="s">
        <v>1590</v>
      </c>
      <c r="Q656" s="130" t="s">
        <v>1127</v>
      </c>
      <c r="R656" s="130" t="s">
        <v>1409</v>
      </c>
      <c r="S656" s="130" t="s">
        <v>1460</v>
      </c>
      <c r="T656" s="130" t="s">
        <v>1176</v>
      </c>
      <c r="U656" s="130">
        <v>5406629</v>
      </c>
      <c r="V656" s="131">
        <v>-5213845</v>
      </c>
      <c r="W656" s="131">
        <v>192784</v>
      </c>
      <c r="X656" s="131">
        <v>0</v>
      </c>
      <c r="Y656" s="131">
        <v>192784</v>
      </c>
      <c r="Z656" s="131">
        <v>0</v>
      </c>
      <c r="AA656" s="131">
        <v>192784</v>
      </c>
      <c r="AB656" s="131">
        <v>0</v>
      </c>
      <c r="AC656" s="131">
        <v>192784</v>
      </c>
      <c r="AD656" s="131">
        <v>0</v>
      </c>
      <c r="AE656" s="132">
        <v>192784</v>
      </c>
    </row>
    <row r="657" spans="1:31" x14ac:dyDescent="0.2">
      <c r="A657" s="133">
        <v>112</v>
      </c>
      <c r="B657" s="133" t="s">
        <v>146</v>
      </c>
      <c r="C657" s="133" t="s">
        <v>1114</v>
      </c>
      <c r="D657" s="133" t="s">
        <v>1584</v>
      </c>
      <c r="E657" s="133" t="s">
        <v>1116</v>
      </c>
      <c r="F657" s="133" t="s">
        <v>1117</v>
      </c>
      <c r="G657" s="133" t="s">
        <v>1118</v>
      </c>
      <c r="H657" s="133" t="s">
        <v>1119</v>
      </c>
      <c r="I657" s="133" t="s">
        <v>1169</v>
      </c>
      <c r="J657" s="133" t="s">
        <v>1195</v>
      </c>
      <c r="K657" s="130" t="s">
        <v>1585</v>
      </c>
      <c r="L657" s="130" t="s">
        <v>1643</v>
      </c>
      <c r="M657" s="130" t="s">
        <v>1587</v>
      </c>
      <c r="N657" s="130" t="s">
        <v>1588</v>
      </c>
      <c r="O657" s="130" t="s">
        <v>1589</v>
      </c>
      <c r="P657" s="130" t="s">
        <v>1590</v>
      </c>
      <c r="Q657" s="130" t="s">
        <v>1127</v>
      </c>
      <c r="R657" s="130" t="s">
        <v>1409</v>
      </c>
      <c r="S657" s="130" t="s">
        <v>1460</v>
      </c>
      <c r="T657" s="130" t="s">
        <v>1176</v>
      </c>
      <c r="U657" s="130">
        <v>0</v>
      </c>
      <c r="V657" s="131">
        <v>523522</v>
      </c>
      <c r="W657" s="131">
        <v>523522</v>
      </c>
      <c r="X657" s="131">
        <v>523522</v>
      </c>
      <c r="Y657" s="131">
        <v>0</v>
      </c>
      <c r="Z657" s="131">
        <v>523522</v>
      </c>
      <c r="AA657" s="131">
        <v>0</v>
      </c>
      <c r="AB657" s="131">
        <v>448784.42</v>
      </c>
      <c r="AC657" s="131">
        <v>74737.580000000016</v>
      </c>
      <c r="AD657" s="131">
        <v>446668.02999999997</v>
      </c>
      <c r="AE657" s="132">
        <v>76853.97000000003</v>
      </c>
    </row>
    <row r="658" spans="1:31" x14ac:dyDescent="0.2">
      <c r="A658" s="133">
        <v>112</v>
      </c>
      <c r="B658" s="133" t="s">
        <v>146</v>
      </c>
      <c r="C658" s="133" t="s">
        <v>1114</v>
      </c>
      <c r="D658" s="133" t="s">
        <v>1584</v>
      </c>
      <c r="E658" s="133" t="s">
        <v>1116</v>
      </c>
      <c r="F658" s="133" t="s">
        <v>1117</v>
      </c>
      <c r="G658" s="133" t="s">
        <v>1118</v>
      </c>
      <c r="H658" s="133" t="s">
        <v>1119</v>
      </c>
      <c r="I658" s="133" t="s">
        <v>1169</v>
      </c>
      <c r="J658" s="133" t="s">
        <v>1195</v>
      </c>
      <c r="K658" s="130" t="s">
        <v>1592</v>
      </c>
      <c r="L658" s="130" t="s">
        <v>1643</v>
      </c>
      <c r="M658" s="130" t="s">
        <v>1587</v>
      </c>
      <c r="N658" s="130" t="s">
        <v>1588</v>
      </c>
      <c r="O658" s="130" t="s">
        <v>1589</v>
      </c>
      <c r="P658" s="130" t="s">
        <v>1590</v>
      </c>
      <c r="Q658" s="130" t="s">
        <v>1127</v>
      </c>
      <c r="R658" s="130" t="s">
        <v>1409</v>
      </c>
      <c r="S658" s="130" t="s">
        <v>1460</v>
      </c>
      <c r="T658" s="130" t="s">
        <v>1176</v>
      </c>
      <c r="U658" s="130">
        <v>0</v>
      </c>
      <c r="V658" s="131">
        <v>1880828</v>
      </c>
      <c r="W658" s="131">
        <v>1880828</v>
      </c>
      <c r="X658" s="131">
        <v>1880827.4</v>
      </c>
      <c r="Y658" s="131">
        <v>0.60000000009313226</v>
      </c>
      <c r="Z658" s="131">
        <v>1880827.4</v>
      </c>
      <c r="AA658" s="131">
        <v>0.60000000009313226</v>
      </c>
      <c r="AB658" s="131">
        <v>1880827.4</v>
      </c>
      <c r="AC658" s="131">
        <v>0.60000000009313226</v>
      </c>
      <c r="AD658" s="131">
        <v>1880827.4</v>
      </c>
      <c r="AE658" s="132">
        <v>0.60000000009313226</v>
      </c>
    </row>
    <row r="659" spans="1:31" x14ac:dyDescent="0.2">
      <c r="A659" s="133">
        <v>112</v>
      </c>
      <c r="B659" s="133" t="s">
        <v>146</v>
      </c>
      <c r="C659" s="133" t="s">
        <v>1114</v>
      </c>
      <c r="D659" s="133" t="s">
        <v>1584</v>
      </c>
      <c r="E659" s="133" t="s">
        <v>1116</v>
      </c>
      <c r="F659" s="133" t="s">
        <v>1117</v>
      </c>
      <c r="G659" s="133" t="s">
        <v>1118</v>
      </c>
      <c r="H659" s="133" t="s">
        <v>1119</v>
      </c>
      <c r="I659" s="133" t="s">
        <v>1169</v>
      </c>
      <c r="J659" s="133" t="s">
        <v>1195</v>
      </c>
      <c r="K659" s="130" t="s">
        <v>1593</v>
      </c>
      <c r="L659" s="130" t="s">
        <v>1643</v>
      </c>
      <c r="M659" s="130" t="s">
        <v>1587</v>
      </c>
      <c r="N659" s="130" t="s">
        <v>1588</v>
      </c>
      <c r="O659" s="130" t="s">
        <v>1589</v>
      </c>
      <c r="P659" s="130" t="s">
        <v>1590</v>
      </c>
      <c r="Q659" s="130" t="s">
        <v>1127</v>
      </c>
      <c r="R659" s="130" t="s">
        <v>1409</v>
      </c>
      <c r="S659" s="130" t="s">
        <v>1460</v>
      </c>
      <c r="T659" s="130" t="s">
        <v>1176</v>
      </c>
      <c r="U659" s="130">
        <v>0</v>
      </c>
      <c r="V659" s="131">
        <v>875323</v>
      </c>
      <c r="W659" s="131">
        <v>875323</v>
      </c>
      <c r="X659" s="131">
        <v>773462.1</v>
      </c>
      <c r="Y659" s="131">
        <v>101860.90000000002</v>
      </c>
      <c r="Z659" s="131">
        <v>773462.1</v>
      </c>
      <c r="AA659" s="131">
        <v>101860.90000000002</v>
      </c>
      <c r="AB659" s="131">
        <v>773462.1</v>
      </c>
      <c r="AC659" s="131">
        <v>101860.90000000002</v>
      </c>
      <c r="AD659" s="131">
        <v>737662.1</v>
      </c>
      <c r="AE659" s="132">
        <v>137660.90000000002</v>
      </c>
    </row>
    <row r="660" spans="1:31" x14ac:dyDescent="0.2">
      <c r="A660" s="133">
        <v>112</v>
      </c>
      <c r="B660" s="133" t="s">
        <v>146</v>
      </c>
      <c r="C660" s="133" t="s">
        <v>1114</v>
      </c>
      <c r="D660" s="133" t="s">
        <v>1584</v>
      </c>
      <c r="E660" s="133" t="s">
        <v>1116</v>
      </c>
      <c r="F660" s="133" t="s">
        <v>1117</v>
      </c>
      <c r="G660" s="133" t="s">
        <v>1118</v>
      </c>
      <c r="H660" s="130" t="s">
        <v>1133</v>
      </c>
      <c r="I660" s="130" t="s">
        <v>1134</v>
      </c>
      <c r="J660" s="130" t="s">
        <v>1135</v>
      </c>
      <c r="K660" s="130" t="s">
        <v>1178</v>
      </c>
      <c r="L660" s="130" t="s">
        <v>1643</v>
      </c>
      <c r="M660" s="130" t="s">
        <v>1587</v>
      </c>
      <c r="N660" s="130" t="s">
        <v>1588</v>
      </c>
      <c r="O660" s="130" t="s">
        <v>1589</v>
      </c>
      <c r="P660" s="130" t="s">
        <v>1590</v>
      </c>
      <c r="Q660" s="130" t="s">
        <v>1127</v>
      </c>
      <c r="R660" s="130" t="s">
        <v>1409</v>
      </c>
      <c r="S660" s="130" t="s">
        <v>1460</v>
      </c>
      <c r="T660" s="130" t="s">
        <v>1176</v>
      </c>
      <c r="U660" s="130">
        <v>0</v>
      </c>
      <c r="V660" s="131">
        <v>92000</v>
      </c>
      <c r="W660" s="131">
        <v>92000</v>
      </c>
      <c r="X660" s="131">
        <v>92000</v>
      </c>
      <c r="Y660" s="131">
        <v>0</v>
      </c>
      <c r="Z660" s="131">
        <v>92000</v>
      </c>
      <c r="AA660" s="131">
        <v>0</v>
      </c>
      <c r="AB660" s="131">
        <v>63028.83</v>
      </c>
      <c r="AC660" s="131">
        <v>28971.17</v>
      </c>
      <c r="AD660" s="131">
        <v>63028.83</v>
      </c>
      <c r="AE660" s="132">
        <v>28971.17</v>
      </c>
    </row>
    <row r="661" spans="1:31" x14ac:dyDescent="0.2">
      <c r="A661" s="133">
        <v>112</v>
      </c>
      <c r="B661" s="133" t="s">
        <v>146</v>
      </c>
      <c r="C661" s="133" t="s">
        <v>1114</v>
      </c>
      <c r="D661" s="133" t="s">
        <v>1584</v>
      </c>
      <c r="E661" s="133" t="s">
        <v>1116</v>
      </c>
      <c r="F661" s="133" t="s">
        <v>1117</v>
      </c>
      <c r="G661" s="133" t="s">
        <v>1118</v>
      </c>
      <c r="H661" s="133" t="s">
        <v>1133</v>
      </c>
      <c r="I661" s="133" t="s">
        <v>1134</v>
      </c>
      <c r="J661" s="133" t="s">
        <v>1135</v>
      </c>
      <c r="K661" s="130" t="s">
        <v>1179</v>
      </c>
      <c r="L661" s="130" t="s">
        <v>1643</v>
      </c>
      <c r="M661" s="130" t="s">
        <v>1587</v>
      </c>
      <c r="N661" s="130" t="s">
        <v>1588</v>
      </c>
      <c r="O661" s="130" t="s">
        <v>1589</v>
      </c>
      <c r="P661" s="130" t="s">
        <v>1590</v>
      </c>
      <c r="Q661" s="130" t="s">
        <v>1127</v>
      </c>
      <c r="R661" s="130" t="s">
        <v>1409</v>
      </c>
      <c r="S661" s="130" t="s">
        <v>1460</v>
      </c>
      <c r="T661" s="130" t="s">
        <v>1176</v>
      </c>
      <c r="U661" s="130">
        <v>0</v>
      </c>
      <c r="V661" s="131">
        <v>10000</v>
      </c>
      <c r="W661" s="131">
        <v>10000</v>
      </c>
      <c r="X661" s="131">
        <v>0</v>
      </c>
      <c r="Y661" s="131">
        <v>10000</v>
      </c>
      <c r="Z661" s="131">
        <v>0</v>
      </c>
      <c r="AA661" s="131">
        <v>10000</v>
      </c>
      <c r="AB661" s="131">
        <v>0</v>
      </c>
      <c r="AC661" s="131">
        <v>10000</v>
      </c>
      <c r="AD661" s="131">
        <v>0</v>
      </c>
      <c r="AE661" s="132">
        <v>10000</v>
      </c>
    </row>
    <row r="662" spans="1:31" x14ac:dyDescent="0.2">
      <c r="A662" s="133">
        <v>112</v>
      </c>
      <c r="B662" s="133" t="s">
        <v>146</v>
      </c>
      <c r="C662" s="133" t="s">
        <v>1114</v>
      </c>
      <c r="D662" s="133" t="s">
        <v>1584</v>
      </c>
      <c r="E662" s="133" t="s">
        <v>1116</v>
      </c>
      <c r="F662" s="133" t="s">
        <v>1117</v>
      </c>
      <c r="G662" s="133" t="s">
        <v>1118</v>
      </c>
      <c r="H662" s="133" t="s">
        <v>1133</v>
      </c>
      <c r="I662" s="133" t="s">
        <v>1134</v>
      </c>
      <c r="J662" s="133" t="s">
        <v>1135</v>
      </c>
      <c r="K662" s="130" t="s">
        <v>1144</v>
      </c>
      <c r="L662" s="130" t="s">
        <v>1643</v>
      </c>
      <c r="M662" s="130" t="s">
        <v>1587</v>
      </c>
      <c r="N662" s="130" t="s">
        <v>1588</v>
      </c>
      <c r="O662" s="130" t="s">
        <v>1589</v>
      </c>
      <c r="P662" s="130" t="s">
        <v>1590</v>
      </c>
      <c r="Q662" s="130" t="s">
        <v>1127</v>
      </c>
      <c r="R662" s="130" t="s">
        <v>1409</v>
      </c>
      <c r="S662" s="130" t="s">
        <v>1460</v>
      </c>
      <c r="T662" s="130" t="s">
        <v>1176</v>
      </c>
      <c r="U662" s="130">
        <v>0</v>
      </c>
      <c r="V662" s="131">
        <v>28000</v>
      </c>
      <c r="W662" s="131">
        <v>28000</v>
      </c>
      <c r="X662" s="131">
        <v>20000</v>
      </c>
      <c r="Y662" s="131">
        <v>8000</v>
      </c>
      <c r="Z662" s="131">
        <v>20000</v>
      </c>
      <c r="AA662" s="131">
        <v>8000</v>
      </c>
      <c r="AB662" s="131">
        <v>20000</v>
      </c>
      <c r="AC662" s="131">
        <v>8000</v>
      </c>
      <c r="AD662" s="131">
        <v>0</v>
      </c>
      <c r="AE662" s="132">
        <v>28000</v>
      </c>
    </row>
    <row r="663" spans="1:31" x14ac:dyDescent="0.2">
      <c r="A663" s="130">
        <v>113</v>
      </c>
      <c r="B663" s="130" t="s">
        <v>1644</v>
      </c>
      <c r="C663" s="130" t="s">
        <v>1114</v>
      </c>
      <c r="D663" s="130" t="s">
        <v>1645</v>
      </c>
      <c r="E663" s="130" t="s">
        <v>1116</v>
      </c>
      <c r="F663" s="130" t="s">
        <v>1117</v>
      </c>
      <c r="G663" s="130" t="s">
        <v>1118</v>
      </c>
      <c r="H663" s="130" t="s">
        <v>1119</v>
      </c>
      <c r="I663" s="130" t="s">
        <v>1169</v>
      </c>
      <c r="J663" s="130" t="s">
        <v>1195</v>
      </c>
      <c r="K663" s="130" t="s">
        <v>1592</v>
      </c>
      <c r="L663" s="130" t="s">
        <v>1646</v>
      </c>
      <c r="M663" s="130" t="s">
        <v>1587</v>
      </c>
      <c r="N663" s="130" t="s">
        <v>1588</v>
      </c>
      <c r="O663" s="130" t="s">
        <v>1589</v>
      </c>
      <c r="P663" s="130" t="s">
        <v>1604</v>
      </c>
      <c r="Q663" s="130" t="s">
        <v>1127</v>
      </c>
      <c r="R663" s="130" t="s">
        <v>1175</v>
      </c>
      <c r="S663" s="130" t="s">
        <v>1401</v>
      </c>
      <c r="T663" s="130" t="s">
        <v>1647</v>
      </c>
      <c r="U663" s="130">
        <v>228677</v>
      </c>
      <c r="V663" s="131">
        <v>-48414</v>
      </c>
      <c r="W663" s="131">
        <v>180263</v>
      </c>
      <c r="X663" s="131">
        <v>0</v>
      </c>
      <c r="Y663" s="131">
        <v>180263</v>
      </c>
      <c r="Z663" s="131">
        <v>0</v>
      </c>
      <c r="AA663" s="131">
        <v>180263</v>
      </c>
      <c r="AB663" s="131">
        <v>0</v>
      </c>
      <c r="AC663" s="131">
        <v>180263</v>
      </c>
      <c r="AD663" s="131">
        <v>0</v>
      </c>
      <c r="AE663" s="132">
        <v>180263</v>
      </c>
    </row>
    <row r="664" spans="1:31" x14ac:dyDescent="0.2">
      <c r="A664" s="133">
        <v>113</v>
      </c>
      <c r="B664" s="133" t="s">
        <v>1644</v>
      </c>
      <c r="C664" s="133" t="s">
        <v>1114</v>
      </c>
      <c r="D664" s="133" t="s">
        <v>1645</v>
      </c>
      <c r="E664" s="133" t="s">
        <v>1116</v>
      </c>
      <c r="F664" s="133" t="s">
        <v>1117</v>
      </c>
      <c r="G664" s="133" t="s">
        <v>1118</v>
      </c>
      <c r="H664" s="133" t="s">
        <v>1119</v>
      </c>
      <c r="I664" s="133" t="s">
        <v>1169</v>
      </c>
      <c r="J664" s="133" t="s">
        <v>1195</v>
      </c>
      <c r="K664" s="130" t="s">
        <v>1593</v>
      </c>
      <c r="L664" s="130" t="s">
        <v>1646</v>
      </c>
      <c r="M664" s="130" t="s">
        <v>1587</v>
      </c>
      <c r="N664" s="130" t="s">
        <v>1588</v>
      </c>
      <c r="O664" s="130" t="s">
        <v>1589</v>
      </c>
      <c r="P664" s="130" t="s">
        <v>1604</v>
      </c>
      <c r="Q664" s="130" t="s">
        <v>1127</v>
      </c>
      <c r="R664" s="130" t="s">
        <v>1175</v>
      </c>
      <c r="S664" s="130" t="s">
        <v>1401</v>
      </c>
      <c r="T664" s="130" t="s">
        <v>1647</v>
      </c>
      <c r="U664" s="130">
        <v>0</v>
      </c>
      <c r="V664" s="131">
        <v>1770</v>
      </c>
      <c r="W664" s="131">
        <v>1770</v>
      </c>
      <c r="X664" s="131">
        <v>0</v>
      </c>
      <c r="Y664" s="131">
        <v>1770</v>
      </c>
      <c r="Z664" s="131">
        <v>0</v>
      </c>
      <c r="AA664" s="131">
        <v>1770</v>
      </c>
      <c r="AB664" s="131">
        <v>0</v>
      </c>
      <c r="AC664" s="131">
        <v>1770</v>
      </c>
      <c r="AD664" s="131">
        <v>0</v>
      </c>
      <c r="AE664" s="132">
        <v>1770</v>
      </c>
    </row>
    <row r="665" spans="1:31" x14ac:dyDescent="0.2">
      <c r="A665" s="133">
        <v>113</v>
      </c>
      <c r="B665" s="133" t="s">
        <v>1644</v>
      </c>
      <c r="C665" s="133" t="s">
        <v>1114</v>
      </c>
      <c r="D665" s="133" t="s">
        <v>1645</v>
      </c>
      <c r="E665" s="133" t="s">
        <v>1116</v>
      </c>
      <c r="F665" s="133" t="s">
        <v>1117</v>
      </c>
      <c r="G665" s="133" t="s">
        <v>1118</v>
      </c>
      <c r="H665" s="130" t="s">
        <v>1133</v>
      </c>
      <c r="I665" s="130" t="s">
        <v>1134</v>
      </c>
      <c r="J665" s="130" t="s">
        <v>1135</v>
      </c>
      <c r="K665" s="130" t="s">
        <v>1178</v>
      </c>
      <c r="L665" s="130" t="s">
        <v>1646</v>
      </c>
      <c r="M665" s="130" t="s">
        <v>1587</v>
      </c>
      <c r="N665" s="130" t="s">
        <v>1588</v>
      </c>
      <c r="O665" s="130" t="s">
        <v>1589</v>
      </c>
      <c r="P665" s="130" t="s">
        <v>1604</v>
      </c>
      <c r="Q665" s="130" t="s">
        <v>1127</v>
      </c>
      <c r="R665" s="130" t="s">
        <v>1175</v>
      </c>
      <c r="S665" s="130" t="s">
        <v>1401</v>
      </c>
      <c r="T665" s="130" t="s">
        <v>1647</v>
      </c>
      <c r="U665" s="130">
        <v>0</v>
      </c>
      <c r="V665" s="131">
        <v>39078</v>
      </c>
      <c r="W665" s="131">
        <v>39078</v>
      </c>
      <c r="X665" s="131">
        <v>39078</v>
      </c>
      <c r="Y665" s="131">
        <v>0</v>
      </c>
      <c r="Z665" s="131">
        <v>39078</v>
      </c>
      <c r="AA665" s="131">
        <v>0</v>
      </c>
      <c r="AB665" s="131">
        <v>39074.539999999994</v>
      </c>
      <c r="AC665" s="131">
        <v>3.4600000000064028</v>
      </c>
      <c r="AD665" s="131">
        <v>39074.539999999994</v>
      </c>
      <c r="AE665" s="132">
        <v>3.4600000000064028</v>
      </c>
    </row>
    <row r="666" spans="1:31" x14ac:dyDescent="0.2">
      <c r="A666" s="133">
        <v>113</v>
      </c>
      <c r="B666" s="133" t="s">
        <v>1644</v>
      </c>
      <c r="C666" s="133" t="s">
        <v>1114</v>
      </c>
      <c r="D666" s="133" t="s">
        <v>1645</v>
      </c>
      <c r="E666" s="133" t="s">
        <v>1116</v>
      </c>
      <c r="F666" s="133" t="s">
        <v>1117</v>
      </c>
      <c r="G666" s="133" t="s">
        <v>1118</v>
      </c>
      <c r="H666" s="133" t="s">
        <v>1133</v>
      </c>
      <c r="I666" s="133" t="s">
        <v>1134</v>
      </c>
      <c r="J666" s="133" t="s">
        <v>1135</v>
      </c>
      <c r="K666" s="130" t="s">
        <v>1179</v>
      </c>
      <c r="L666" s="130" t="s">
        <v>1646</v>
      </c>
      <c r="M666" s="130" t="s">
        <v>1587</v>
      </c>
      <c r="N666" s="130" t="s">
        <v>1588</v>
      </c>
      <c r="O666" s="130" t="s">
        <v>1589</v>
      </c>
      <c r="P666" s="130" t="s">
        <v>1604</v>
      </c>
      <c r="Q666" s="130" t="s">
        <v>1127</v>
      </c>
      <c r="R666" s="130" t="s">
        <v>1175</v>
      </c>
      <c r="S666" s="130" t="s">
        <v>1401</v>
      </c>
      <c r="T666" s="130" t="s">
        <v>1647</v>
      </c>
      <c r="U666" s="130">
        <v>0</v>
      </c>
      <c r="V666" s="131">
        <v>3566</v>
      </c>
      <c r="W666" s="131">
        <v>3566</v>
      </c>
      <c r="X666" s="131">
        <v>3543.68</v>
      </c>
      <c r="Y666" s="131">
        <v>22.320000000000164</v>
      </c>
      <c r="Z666" s="131">
        <v>3390.34</v>
      </c>
      <c r="AA666" s="131">
        <v>175.65999999999985</v>
      </c>
      <c r="AB666" s="131">
        <v>3390.34</v>
      </c>
      <c r="AC666" s="131">
        <v>175.65999999999985</v>
      </c>
      <c r="AD666" s="131">
        <v>2863.6800000000003</v>
      </c>
      <c r="AE666" s="132">
        <v>702.31999999999971</v>
      </c>
    </row>
    <row r="667" spans="1:31" x14ac:dyDescent="0.2">
      <c r="A667" s="133">
        <v>113</v>
      </c>
      <c r="B667" s="133" t="s">
        <v>1644</v>
      </c>
      <c r="C667" s="133" t="s">
        <v>1114</v>
      </c>
      <c r="D667" s="133" t="s">
        <v>1645</v>
      </c>
      <c r="E667" s="133" t="s">
        <v>1116</v>
      </c>
      <c r="F667" s="133" t="s">
        <v>1117</v>
      </c>
      <c r="G667" s="133" t="s">
        <v>1118</v>
      </c>
      <c r="H667" s="133" t="s">
        <v>1133</v>
      </c>
      <c r="I667" s="133" t="s">
        <v>1134</v>
      </c>
      <c r="J667" s="133" t="s">
        <v>1135</v>
      </c>
      <c r="K667" s="130" t="s">
        <v>1144</v>
      </c>
      <c r="L667" s="130" t="s">
        <v>1646</v>
      </c>
      <c r="M667" s="130" t="s">
        <v>1587</v>
      </c>
      <c r="N667" s="130" t="s">
        <v>1588</v>
      </c>
      <c r="O667" s="130" t="s">
        <v>1589</v>
      </c>
      <c r="P667" s="130" t="s">
        <v>1604</v>
      </c>
      <c r="Q667" s="130" t="s">
        <v>1127</v>
      </c>
      <c r="R667" s="130" t="s">
        <v>1175</v>
      </c>
      <c r="S667" s="130" t="s">
        <v>1401</v>
      </c>
      <c r="T667" s="130" t="s">
        <v>1647</v>
      </c>
      <c r="U667" s="130">
        <v>0</v>
      </c>
      <c r="V667" s="131">
        <v>4000</v>
      </c>
      <c r="W667" s="131">
        <v>4000</v>
      </c>
      <c r="X667" s="131">
        <v>4000</v>
      </c>
      <c r="Y667" s="131">
        <v>0</v>
      </c>
      <c r="Z667" s="131">
        <v>4000</v>
      </c>
      <c r="AA667" s="131">
        <v>0</v>
      </c>
      <c r="AB667" s="131">
        <v>4000</v>
      </c>
      <c r="AC667" s="131">
        <v>0</v>
      </c>
      <c r="AD667" s="131">
        <v>4000</v>
      </c>
      <c r="AE667" s="132">
        <v>0</v>
      </c>
    </row>
    <row r="668" spans="1:31" x14ac:dyDescent="0.2">
      <c r="A668" s="130">
        <v>114</v>
      </c>
      <c r="B668" s="130" t="s">
        <v>1648</v>
      </c>
      <c r="C668" s="130" t="s">
        <v>1114</v>
      </c>
      <c r="D668" s="130" t="s">
        <v>1602</v>
      </c>
      <c r="E668" s="130" t="s">
        <v>1116</v>
      </c>
      <c r="F668" s="130" t="s">
        <v>1117</v>
      </c>
      <c r="G668" s="130" t="s">
        <v>1118</v>
      </c>
      <c r="H668" s="130" t="s">
        <v>1119</v>
      </c>
      <c r="I668" s="130" t="s">
        <v>1169</v>
      </c>
      <c r="J668" s="130" t="s">
        <v>1195</v>
      </c>
      <c r="K668" s="130" t="s">
        <v>1196</v>
      </c>
      <c r="L668" s="130" t="s">
        <v>1649</v>
      </c>
      <c r="M668" s="130" t="s">
        <v>1587</v>
      </c>
      <c r="N668" s="130" t="s">
        <v>1588</v>
      </c>
      <c r="O668" s="130" t="s">
        <v>1589</v>
      </c>
      <c r="P668" s="130" t="s">
        <v>1604</v>
      </c>
      <c r="Q668" s="130" t="s">
        <v>1127</v>
      </c>
      <c r="R668" s="130" t="s">
        <v>1191</v>
      </c>
      <c r="S668" s="130" t="s">
        <v>1191</v>
      </c>
      <c r="T668" s="130" t="s">
        <v>1176</v>
      </c>
      <c r="U668" s="130">
        <v>1293646</v>
      </c>
      <c r="V668" s="131">
        <v>-1038089</v>
      </c>
      <c r="W668" s="131">
        <v>255557</v>
      </c>
      <c r="X668" s="131">
        <v>0</v>
      </c>
      <c r="Y668" s="131">
        <v>255557</v>
      </c>
      <c r="Z668" s="131">
        <v>0</v>
      </c>
      <c r="AA668" s="131">
        <v>255557</v>
      </c>
      <c r="AB668" s="131">
        <v>0</v>
      </c>
      <c r="AC668" s="131">
        <v>255557</v>
      </c>
      <c r="AD668" s="131">
        <v>0</v>
      </c>
      <c r="AE668" s="132">
        <v>255557</v>
      </c>
    </row>
    <row r="669" spans="1:31" x14ac:dyDescent="0.2">
      <c r="A669" s="133">
        <v>114</v>
      </c>
      <c r="B669" s="133" t="s">
        <v>1648</v>
      </c>
      <c r="C669" s="133" t="s">
        <v>1114</v>
      </c>
      <c r="D669" s="133" t="s">
        <v>1602</v>
      </c>
      <c r="E669" s="133" t="s">
        <v>1116</v>
      </c>
      <c r="F669" s="133" t="s">
        <v>1117</v>
      </c>
      <c r="G669" s="133" t="s">
        <v>1118</v>
      </c>
      <c r="H669" s="133" t="s">
        <v>1119</v>
      </c>
      <c r="I669" s="133" t="s">
        <v>1169</v>
      </c>
      <c r="J669" s="133" t="s">
        <v>1195</v>
      </c>
      <c r="K669" s="130" t="s">
        <v>1585</v>
      </c>
      <c r="L669" s="130" t="s">
        <v>1649</v>
      </c>
      <c r="M669" s="130" t="s">
        <v>1587</v>
      </c>
      <c r="N669" s="130" t="s">
        <v>1588</v>
      </c>
      <c r="O669" s="130" t="s">
        <v>1589</v>
      </c>
      <c r="P669" s="130" t="s">
        <v>1604</v>
      </c>
      <c r="Q669" s="130" t="s">
        <v>1127</v>
      </c>
      <c r="R669" s="130" t="s">
        <v>1191</v>
      </c>
      <c r="S669" s="130" t="s">
        <v>1191</v>
      </c>
      <c r="T669" s="130" t="s">
        <v>1176</v>
      </c>
      <c r="U669" s="130">
        <v>0</v>
      </c>
      <c r="V669" s="131">
        <v>247900</v>
      </c>
      <c r="W669" s="131">
        <v>247900</v>
      </c>
      <c r="X669" s="131">
        <v>247900</v>
      </c>
      <c r="Y669" s="131">
        <v>0</v>
      </c>
      <c r="Z669" s="131">
        <v>247900</v>
      </c>
      <c r="AA669" s="131">
        <v>0</v>
      </c>
      <c r="AB669" s="131">
        <v>247137.08</v>
      </c>
      <c r="AC669" s="131">
        <v>762.92000000001281</v>
      </c>
      <c r="AD669" s="131">
        <v>247137.08</v>
      </c>
      <c r="AE669" s="132">
        <v>762.92000000001281</v>
      </c>
    </row>
    <row r="670" spans="1:31" x14ac:dyDescent="0.2">
      <c r="A670" s="133">
        <v>114</v>
      </c>
      <c r="B670" s="133" t="s">
        <v>1648</v>
      </c>
      <c r="C670" s="133" t="s">
        <v>1114</v>
      </c>
      <c r="D670" s="133" t="s">
        <v>1602</v>
      </c>
      <c r="E670" s="133" t="s">
        <v>1116</v>
      </c>
      <c r="F670" s="133" t="s">
        <v>1117</v>
      </c>
      <c r="G670" s="133" t="s">
        <v>1118</v>
      </c>
      <c r="H670" s="133" t="s">
        <v>1119</v>
      </c>
      <c r="I670" s="133" t="s">
        <v>1169</v>
      </c>
      <c r="J670" s="133" t="s">
        <v>1195</v>
      </c>
      <c r="K670" s="130" t="s">
        <v>1592</v>
      </c>
      <c r="L670" s="130" t="s">
        <v>1649</v>
      </c>
      <c r="M670" s="130" t="s">
        <v>1587</v>
      </c>
      <c r="N670" s="130" t="s">
        <v>1588</v>
      </c>
      <c r="O670" s="130" t="s">
        <v>1589</v>
      </c>
      <c r="P670" s="130" t="s">
        <v>1604</v>
      </c>
      <c r="Q670" s="130" t="s">
        <v>1127</v>
      </c>
      <c r="R670" s="130" t="s">
        <v>1191</v>
      </c>
      <c r="S670" s="130" t="s">
        <v>1191</v>
      </c>
      <c r="T670" s="130" t="s">
        <v>1176</v>
      </c>
      <c r="U670" s="130">
        <v>0</v>
      </c>
      <c r="V670" s="131">
        <v>572390</v>
      </c>
      <c r="W670" s="131">
        <v>572390</v>
      </c>
      <c r="X670" s="131">
        <v>555904.4</v>
      </c>
      <c r="Y670" s="131">
        <v>16485.599999999977</v>
      </c>
      <c r="Z670" s="131">
        <v>555904.4</v>
      </c>
      <c r="AA670" s="131">
        <v>16485.599999999977</v>
      </c>
      <c r="AB670" s="131">
        <v>555904.4</v>
      </c>
      <c r="AC670" s="131">
        <v>16485.599999999977</v>
      </c>
      <c r="AD670" s="131">
        <v>555904.4</v>
      </c>
      <c r="AE670" s="132">
        <v>16485.599999999977</v>
      </c>
    </row>
    <row r="671" spans="1:31" x14ac:dyDescent="0.2">
      <c r="A671" s="133">
        <v>114</v>
      </c>
      <c r="B671" s="133" t="s">
        <v>1648</v>
      </c>
      <c r="C671" s="133" t="s">
        <v>1114</v>
      </c>
      <c r="D671" s="133" t="s">
        <v>1602</v>
      </c>
      <c r="E671" s="133" t="s">
        <v>1116</v>
      </c>
      <c r="F671" s="133" t="s">
        <v>1117</v>
      </c>
      <c r="G671" s="133" t="s">
        <v>1118</v>
      </c>
      <c r="H671" s="133" t="s">
        <v>1119</v>
      </c>
      <c r="I671" s="133" t="s">
        <v>1169</v>
      </c>
      <c r="J671" s="133" t="s">
        <v>1195</v>
      </c>
      <c r="K671" s="130" t="s">
        <v>1593</v>
      </c>
      <c r="L671" s="130" t="s">
        <v>1649</v>
      </c>
      <c r="M671" s="130" t="s">
        <v>1587</v>
      </c>
      <c r="N671" s="130" t="s">
        <v>1588</v>
      </c>
      <c r="O671" s="130" t="s">
        <v>1589</v>
      </c>
      <c r="P671" s="130" t="s">
        <v>1604</v>
      </c>
      <c r="Q671" s="130" t="s">
        <v>1127</v>
      </c>
      <c r="R671" s="130" t="s">
        <v>1191</v>
      </c>
      <c r="S671" s="130" t="s">
        <v>1191</v>
      </c>
      <c r="T671" s="130" t="s">
        <v>1176</v>
      </c>
      <c r="U671" s="130">
        <v>0</v>
      </c>
      <c r="V671" s="131">
        <v>8081</v>
      </c>
      <c r="W671" s="131">
        <v>8081</v>
      </c>
      <c r="X671" s="131">
        <v>6000</v>
      </c>
      <c r="Y671" s="131">
        <v>2081</v>
      </c>
      <c r="Z671" s="131">
        <v>6000</v>
      </c>
      <c r="AA671" s="131">
        <v>2081</v>
      </c>
      <c r="AB671" s="131">
        <v>6000</v>
      </c>
      <c r="AC671" s="131">
        <v>2081</v>
      </c>
      <c r="AD671" s="131">
        <v>6000</v>
      </c>
      <c r="AE671" s="132">
        <v>2081</v>
      </c>
    </row>
    <row r="672" spans="1:31" x14ac:dyDescent="0.2">
      <c r="A672" s="133">
        <v>114</v>
      </c>
      <c r="B672" s="133" t="s">
        <v>1648</v>
      </c>
      <c r="C672" s="133" t="s">
        <v>1114</v>
      </c>
      <c r="D672" s="133" t="s">
        <v>1602</v>
      </c>
      <c r="E672" s="133" t="s">
        <v>1116</v>
      </c>
      <c r="F672" s="133" t="s">
        <v>1117</v>
      </c>
      <c r="G672" s="133" t="s">
        <v>1118</v>
      </c>
      <c r="H672" s="130" t="s">
        <v>1133</v>
      </c>
      <c r="I672" s="130" t="s">
        <v>1134</v>
      </c>
      <c r="J672" s="130" t="s">
        <v>1135</v>
      </c>
      <c r="K672" s="130" t="s">
        <v>1178</v>
      </c>
      <c r="L672" s="130" t="s">
        <v>1649</v>
      </c>
      <c r="M672" s="130" t="s">
        <v>1587</v>
      </c>
      <c r="N672" s="130" t="s">
        <v>1588</v>
      </c>
      <c r="O672" s="130" t="s">
        <v>1589</v>
      </c>
      <c r="P672" s="130" t="s">
        <v>1604</v>
      </c>
      <c r="Q672" s="130" t="s">
        <v>1127</v>
      </c>
      <c r="R672" s="130" t="s">
        <v>1191</v>
      </c>
      <c r="S672" s="130" t="s">
        <v>1191</v>
      </c>
      <c r="T672" s="130" t="s">
        <v>1176</v>
      </c>
      <c r="U672" s="130">
        <v>0</v>
      </c>
      <c r="V672" s="131">
        <v>93652</v>
      </c>
      <c r="W672" s="131">
        <v>93652</v>
      </c>
      <c r="X672" s="131">
        <v>80103.820000000007</v>
      </c>
      <c r="Y672" s="131">
        <v>13548.179999999993</v>
      </c>
      <c r="Z672" s="131">
        <v>70103.820000000007</v>
      </c>
      <c r="AA672" s="131">
        <v>23548.179999999993</v>
      </c>
      <c r="AB672" s="131">
        <v>57787.29</v>
      </c>
      <c r="AC672" s="131">
        <v>35864.71</v>
      </c>
      <c r="AD672" s="131">
        <v>57787.29</v>
      </c>
      <c r="AE672" s="132">
        <v>35864.71</v>
      </c>
    </row>
    <row r="673" spans="1:31" x14ac:dyDescent="0.2">
      <c r="A673" s="133">
        <v>114</v>
      </c>
      <c r="B673" s="133" t="s">
        <v>1648</v>
      </c>
      <c r="C673" s="133" t="s">
        <v>1114</v>
      </c>
      <c r="D673" s="133" t="s">
        <v>1602</v>
      </c>
      <c r="E673" s="133" t="s">
        <v>1116</v>
      </c>
      <c r="F673" s="133" t="s">
        <v>1117</v>
      </c>
      <c r="G673" s="133" t="s">
        <v>1118</v>
      </c>
      <c r="H673" s="133" t="s">
        <v>1133</v>
      </c>
      <c r="I673" s="133" t="s">
        <v>1134</v>
      </c>
      <c r="J673" s="133" t="s">
        <v>1135</v>
      </c>
      <c r="K673" s="130" t="s">
        <v>1179</v>
      </c>
      <c r="L673" s="130" t="s">
        <v>1649</v>
      </c>
      <c r="M673" s="130" t="s">
        <v>1587</v>
      </c>
      <c r="N673" s="130" t="s">
        <v>1588</v>
      </c>
      <c r="O673" s="130" t="s">
        <v>1589</v>
      </c>
      <c r="P673" s="130" t="s">
        <v>1604</v>
      </c>
      <c r="Q673" s="130" t="s">
        <v>1127</v>
      </c>
      <c r="R673" s="130" t="s">
        <v>1191</v>
      </c>
      <c r="S673" s="130" t="s">
        <v>1191</v>
      </c>
      <c r="T673" s="130" t="s">
        <v>1176</v>
      </c>
      <c r="U673" s="130">
        <v>0</v>
      </c>
      <c r="V673" s="131">
        <v>10638</v>
      </c>
      <c r="W673" s="131">
        <v>10638</v>
      </c>
      <c r="X673" s="131">
        <v>0</v>
      </c>
      <c r="Y673" s="131">
        <v>10638</v>
      </c>
      <c r="Z673" s="131">
        <v>0</v>
      </c>
      <c r="AA673" s="131">
        <v>10638</v>
      </c>
      <c r="AB673" s="131">
        <v>0</v>
      </c>
      <c r="AC673" s="131">
        <v>10638</v>
      </c>
      <c r="AD673" s="131">
        <v>0</v>
      </c>
      <c r="AE673" s="132">
        <v>10638</v>
      </c>
    </row>
    <row r="674" spans="1:31" x14ac:dyDescent="0.2">
      <c r="A674" s="133">
        <v>114</v>
      </c>
      <c r="B674" s="133" t="s">
        <v>1648</v>
      </c>
      <c r="C674" s="133" t="s">
        <v>1114</v>
      </c>
      <c r="D674" s="133" t="s">
        <v>1602</v>
      </c>
      <c r="E674" s="133" t="s">
        <v>1116</v>
      </c>
      <c r="F674" s="133" t="s">
        <v>1117</v>
      </c>
      <c r="G674" s="133" t="s">
        <v>1118</v>
      </c>
      <c r="H674" s="133" t="s">
        <v>1133</v>
      </c>
      <c r="I674" s="133" t="s">
        <v>1134</v>
      </c>
      <c r="J674" s="133" t="s">
        <v>1135</v>
      </c>
      <c r="K674" s="130" t="s">
        <v>1144</v>
      </c>
      <c r="L674" s="130" t="s">
        <v>1649</v>
      </c>
      <c r="M674" s="130" t="s">
        <v>1587</v>
      </c>
      <c r="N674" s="130" t="s">
        <v>1588</v>
      </c>
      <c r="O674" s="130" t="s">
        <v>1589</v>
      </c>
      <c r="P674" s="130" t="s">
        <v>1604</v>
      </c>
      <c r="Q674" s="130" t="s">
        <v>1127</v>
      </c>
      <c r="R674" s="130" t="s">
        <v>1191</v>
      </c>
      <c r="S674" s="130" t="s">
        <v>1191</v>
      </c>
      <c r="T674" s="130" t="s">
        <v>1176</v>
      </c>
      <c r="U674" s="130">
        <v>0</v>
      </c>
      <c r="V674" s="131">
        <v>2500</v>
      </c>
      <c r="W674" s="131">
        <v>2500</v>
      </c>
      <c r="X674" s="131">
        <v>0</v>
      </c>
      <c r="Y674" s="131">
        <v>2500</v>
      </c>
      <c r="Z674" s="131">
        <v>0</v>
      </c>
      <c r="AA674" s="131">
        <v>2500</v>
      </c>
      <c r="AB674" s="131">
        <v>0</v>
      </c>
      <c r="AC674" s="131">
        <v>2500</v>
      </c>
      <c r="AD674" s="131">
        <v>0</v>
      </c>
      <c r="AE674" s="132">
        <v>2500</v>
      </c>
    </row>
    <row r="675" spans="1:31" x14ac:dyDescent="0.2">
      <c r="A675" s="130">
        <v>115</v>
      </c>
      <c r="B675" s="130" t="s">
        <v>1650</v>
      </c>
      <c r="C675" s="130" t="s">
        <v>1114</v>
      </c>
      <c r="D675" s="130" t="s">
        <v>1584</v>
      </c>
      <c r="E675" s="130" t="s">
        <v>1116</v>
      </c>
      <c r="F675" s="130" t="s">
        <v>1117</v>
      </c>
      <c r="G675" s="130" t="s">
        <v>1118</v>
      </c>
      <c r="H675" s="130" t="s">
        <v>1119</v>
      </c>
      <c r="I675" s="130" t="s">
        <v>1169</v>
      </c>
      <c r="J675" s="130" t="s">
        <v>1195</v>
      </c>
      <c r="K675" s="130" t="s">
        <v>1196</v>
      </c>
      <c r="L675" s="130" t="s">
        <v>1651</v>
      </c>
      <c r="M675" s="130" t="s">
        <v>1587</v>
      </c>
      <c r="N675" s="130" t="s">
        <v>1588</v>
      </c>
      <c r="O675" s="130" t="s">
        <v>1589</v>
      </c>
      <c r="P675" s="130" t="s">
        <v>1590</v>
      </c>
      <c r="Q675" s="130" t="s">
        <v>1127</v>
      </c>
      <c r="R675" s="130" t="s">
        <v>1175</v>
      </c>
      <c r="S675" s="130" t="s">
        <v>1652</v>
      </c>
      <c r="T675" s="130" t="s">
        <v>1176</v>
      </c>
      <c r="U675" s="130">
        <v>100000</v>
      </c>
      <c r="V675" s="131">
        <v>-100000</v>
      </c>
      <c r="W675" s="131">
        <v>0</v>
      </c>
      <c r="X675" s="131">
        <v>0</v>
      </c>
      <c r="Y675" s="131">
        <v>0</v>
      </c>
      <c r="Z675" s="131">
        <v>0</v>
      </c>
      <c r="AA675" s="131">
        <v>0</v>
      </c>
      <c r="AB675" s="131">
        <v>0</v>
      </c>
      <c r="AC675" s="131">
        <v>0</v>
      </c>
      <c r="AD675" s="131">
        <v>0</v>
      </c>
      <c r="AE675" s="132">
        <v>0</v>
      </c>
    </row>
    <row r="676" spans="1:31" x14ac:dyDescent="0.2">
      <c r="A676" s="133">
        <v>115</v>
      </c>
      <c r="B676" s="133" t="s">
        <v>1650</v>
      </c>
      <c r="C676" s="133" t="s">
        <v>1114</v>
      </c>
      <c r="D676" s="133" t="s">
        <v>1584</v>
      </c>
      <c r="E676" s="133" t="s">
        <v>1116</v>
      </c>
      <c r="F676" s="133" t="s">
        <v>1117</v>
      </c>
      <c r="G676" s="133" t="s">
        <v>1118</v>
      </c>
      <c r="H676" s="130" t="s">
        <v>1133</v>
      </c>
      <c r="I676" s="130" t="s">
        <v>1134</v>
      </c>
      <c r="J676" s="130" t="s">
        <v>1166</v>
      </c>
      <c r="K676" s="130" t="s">
        <v>1167</v>
      </c>
      <c r="L676" s="130" t="s">
        <v>1651</v>
      </c>
      <c r="M676" s="130" t="s">
        <v>1587</v>
      </c>
      <c r="N676" s="130" t="s">
        <v>1588</v>
      </c>
      <c r="O676" s="130" t="s">
        <v>1589</v>
      </c>
      <c r="P676" s="130" t="s">
        <v>1590</v>
      </c>
      <c r="Q676" s="130" t="s">
        <v>1127</v>
      </c>
      <c r="R676" s="130" t="s">
        <v>1175</v>
      </c>
      <c r="S676" s="130" t="s">
        <v>1652</v>
      </c>
      <c r="T676" s="130" t="s">
        <v>1176</v>
      </c>
      <c r="U676" s="130">
        <v>0</v>
      </c>
      <c r="V676" s="131">
        <v>100000</v>
      </c>
      <c r="W676" s="131">
        <v>100000</v>
      </c>
      <c r="X676" s="131">
        <v>60000</v>
      </c>
      <c r="Y676" s="131">
        <v>40000</v>
      </c>
      <c r="Z676" s="131">
        <v>0</v>
      </c>
      <c r="AA676" s="131">
        <v>100000</v>
      </c>
      <c r="AB676" s="131">
        <v>0</v>
      </c>
      <c r="AC676" s="131">
        <v>100000</v>
      </c>
      <c r="AD676" s="131">
        <v>0</v>
      </c>
      <c r="AE676" s="132">
        <v>100000</v>
      </c>
    </row>
    <row r="677" spans="1:31" x14ac:dyDescent="0.2">
      <c r="A677" s="130">
        <v>116</v>
      </c>
      <c r="B677" s="130" t="s">
        <v>1653</v>
      </c>
      <c r="C677" s="130" t="s">
        <v>1114</v>
      </c>
      <c r="D677" s="130" t="s">
        <v>1584</v>
      </c>
      <c r="E677" s="130" t="s">
        <v>1116</v>
      </c>
      <c r="F677" s="130" t="s">
        <v>1117</v>
      </c>
      <c r="G677" s="130" t="s">
        <v>1118</v>
      </c>
      <c r="H677" s="130" t="s">
        <v>1119</v>
      </c>
      <c r="I677" s="130" t="s">
        <v>1169</v>
      </c>
      <c r="J677" s="130" t="s">
        <v>1195</v>
      </c>
      <c r="K677" s="130" t="s">
        <v>1196</v>
      </c>
      <c r="L677" s="130" t="s">
        <v>1654</v>
      </c>
      <c r="M677" s="130" t="s">
        <v>1587</v>
      </c>
      <c r="N677" s="130" t="s">
        <v>1588</v>
      </c>
      <c r="O677" s="130" t="s">
        <v>1589</v>
      </c>
      <c r="P677" s="130" t="s">
        <v>1590</v>
      </c>
      <c r="Q677" s="130" t="s">
        <v>1127</v>
      </c>
      <c r="R677" s="130" t="s">
        <v>1175</v>
      </c>
      <c r="S677" s="130" t="s">
        <v>1157</v>
      </c>
      <c r="T677" s="130" t="s">
        <v>1176</v>
      </c>
      <c r="U677" s="130">
        <v>800000</v>
      </c>
      <c r="V677" s="131">
        <v>-800000</v>
      </c>
      <c r="W677" s="131">
        <v>0</v>
      </c>
      <c r="X677" s="131">
        <v>0</v>
      </c>
      <c r="Y677" s="131">
        <v>0</v>
      </c>
      <c r="Z677" s="131">
        <v>0</v>
      </c>
      <c r="AA677" s="131">
        <v>0</v>
      </c>
      <c r="AB677" s="131">
        <v>0</v>
      </c>
      <c r="AC677" s="131">
        <v>0</v>
      </c>
      <c r="AD677" s="131">
        <v>0</v>
      </c>
      <c r="AE677" s="132">
        <v>0</v>
      </c>
    </row>
    <row r="678" spans="1:31" x14ac:dyDescent="0.2">
      <c r="A678" s="133">
        <v>116</v>
      </c>
      <c r="B678" s="133" t="s">
        <v>1653</v>
      </c>
      <c r="C678" s="133" t="s">
        <v>1114</v>
      </c>
      <c r="D678" s="133" t="s">
        <v>1584</v>
      </c>
      <c r="E678" s="133" t="s">
        <v>1116</v>
      </c>
      <c r="F678" s="133" t="s">
        <v>1117</v>
      </c>
      <c r="G678" s="133" t="s">
        <v>1118</v>
      </c>
      <c r="H678" s="133" t="s">
        <v>1119</v>
      </c>
      <c r="I678" s="133" t="s">
        <v>1169</v>
      </c>
      <c r="J678" s="133" t="s">
        <v>1195</v>
      </c>
      <c r="K678" s="130" t="s">
        <v>1585</v>
      </c>
      <c r="L678" s="130" t="s">
        <v>1654</v>
      </c>
      <c r="M678" s="130" t="s">
        <v>1587</v>
      </c>
      <c r="N678" s="130" t="s">
        <v>1588</v>
      </c>
      <c r="O678" s="130" t="s">
        <v>1589</v>
      </c>
      <c r="P678" s="130" t="s">
        <v>1590</v>
      </c>
      <c r="Q678" s="130" t="s">
        <v>1127</v>
      </c>
      <c r="R678" s="130" t="s">
        <v>1175</v>
      </c>
      <c r="S678" s="130" t="s">
        <v>1157</v>
      </c>
      <c r="T678" s="130" t="s">
        <v>1176</v>
      </c>
      <c r="U678" s="130">
        <v>0</v>
      </c>
      <c r="V678" s="131">
        <v>400000</v>
      </c>
      <c r="W678" s="131">
        <v>400000</v>
      </c>
      <c r="X678" s="131">
        <v>400000</v>
      </c>
      <c r="Y678" s="131">
        <v>0</v>
      </c>
      <c r="Z678" s="131">
        <v>400000</v>
      </c>
      <c r="AA678" s="131">
        <v>0</v>
      </c>
      <c r="AB678" s="131">
        <v>53581.22</v>
      </c>
      <c r="AC678" s="131">
        <v>346418.78</v>
      </c>
      <c r="AD678" s="131">
        <v>53581.22</v>
      </c>
      <c r="AE678" s="132">
        <v>346418.78</v>
      </c>
    </row>
    <row r="679" spans="1:31" x14ac:dyDescent="0.2">
      <c r="A679" s="133">
        <v>116</v>
      </c>
      <c r="B679" s="133" t="s">
        <v>1653</v>
      </c>
      <c r="C679" s="133" t="s">
        <v>1114</v>
      </c>
      <c r="D679" s="133" t="s">
        <v>1584</v>
      </c>
      <c r="E679" s="133" t="s">
        <v>1116</v>
      </c>
      <c r="F679" s="133" t="s">
        <v>1117</v>
      </c>
      <c r="G679" s="133" t="s">
        <v>1118</v>
      </c>
      <c r="H679" s="133" t="s">
        <v>1119</v>
      </c>
      <c r="I679" s="133" t="s">
        <v>1169</v>
      </c>
      <c r="J679" s="133" t="s">
        <v>1195</v>
      </c>
      <c r="K679" s="130" t="s">
        <v>1592</v>
      </c>
      <c r="L679" s="130" t="s">
        <v>1654</v>
      </c>
      <c r="M679" s="130" t="s">
        <v>1587</v>
      </c>
      <c r="N679" s="130" t="s">
        <v>1588</v>
      </c>
      <c r="O679" s="130" t="s">
        <v>1589</v>
      </c>
      <c r="P679" s="130" t="s">
        <v>1590</v>
      </c>
      <c r="Q679" s="130" t="s">
        <v>1127</v>
      </c>
      <c r="R679" s="130" t="s">
        <v>1175</v>
      </c>
      <c r="S679" s="130" t="s">
        <v>1157</v>
      </c>
      <c r="T679" s="130" t="s">
        <v>1176</v>
      </c>
      <c r="U679" s="130">
        <v>0</v>
      </c>
      <c r="V679" s="131">
        <v>2100000</v>
      </c>
      <c r="W679" s="131">
        <v>2100000</v>
      </c>
      <c r="X679" s="131">
        <v>2059014.71</v>
      </c>
      <c r="Y679" s="131">
        <v>40985.290000000037</v>
      </c>
      <c r="Z679" s="131">
        <v>451420.21</v>
      </c>
      <c r="AA679" s="131">
        <v>1648579.79</v>
      </c>
      <c r="AB679" s="131">
        <v>451420.21</v>
      </c>
      <c r="AC679" s="131">
        <v>1648579.79</v>
      </c>
      <c r="AD679" s="131">
        <v>142914</v>
      </c>
      <c r="AE679" s="132">
        <v>1957086</v>
      </c>
    </row>
    <row r="680" spans="1:31" x14ac:dyDescent="0.2">
      <c r="A680" s="133">
        <v>116</v>
      </c>
      <c r="B680" s="133" t="s">
        <v>1653</v>
      </c>
      <c r="C680" s="133" t="s">
        <v>1114</v>
      </c>
      <c r="D680" s="133" t="s">
        <v>1584</v>
      </c>
      <c r="E680" s="133" t="s">
        <v>1116</v>
      </c>
      <c r="F680" s="133" t="s">
        <v>1117</v>
      </c>
      <c r="G680" s="133" t="s">
        <v>1118</v>
      </c>
      <c r="H680" s="133" t="s">
        <v>1119</v>
      </c>
      <c r="I680" s="133" t="s">
        <v>1169</v>
      </c>
      <c r="J680" s="133" t="s">
        <v>1195</v>
      </c>
      <c r="K680" s="130" t="s">
        <v>1593</v>
      </c>
      <c r="L680" s="130" t="s">
        <v>1654</v>
      </c>
      <c r="M680" s="130" t="s">
        <v>1587</v>
      </c>
      <c r="N680" s="130" t="s">
        <v>1588</v>
      </c>
      <c r="O680" s="130" t="s">
        <v>1589</v>
      </c>
      <c r="P680" s="130" t="s">
        <v>1590</v>
      </c>
      <c r="Q680" s="130" t="s">
        <v>1127</v>
      </c>
      <c r="R680" s="130" t="s">
        <v>1175</v>
      </c>
      <c r="S680" s="130" t="s">
        <v>1157</v>
      </c>
      <c r="T680" s="130" t="s">
        <v>1176</v>
      </c>
      <c r="U680" s="130">
        <v>0</v>
      </c>
      <c r="V680" s="131">
        <v>1650000</v>
      </c>
      <c r="W680" s="131">
        <v>1650000</v>
      </c>
      <c r="X680" s="131">
        <v>1524900.67</v>
      </c>
      <c r="Y680" s="131">
        <v>125099.33000000007</v>
      </c>
      <c r="Z680" s="131">
        <v>265734</v>
      </c>
      <c r="AA680" s="131">
        <v>1384266</v>
      </c>
      <c r="AB680" s="131">
        <v>265734</v>
      </c>
      <c r="AC680" s="131">
        <v>1384266</v>
      </c>
      <c r="AD680" s="131">
        <v>0</v>
      </c>
      <c r="AE680" s="132">
        <v>1650000</v>
      </c>
    </row>
    <row r="681" spans="1:31" x14ac:dyDescent="0.2">
      <c r="A681" s="133">
        <v>116</v>
      </c>
      <c r="B681" s="133" t="s">
        <v>1653</v>
      </c>
      <c r="C681" s="133" t="s">
        <v>1114</v>
      </c>
      <c r="D681" s="133" t="s">
        <v>1584</v>
      </c>
      <c r="E681" s="133" t="s">
        <v>1116</v>
      </c>
      <c r="F681" s="133" t="s">
        <v>1117</v>
      </c>
      <c r="G681" s="133" t="s">
        <v>1118</v>
      </c>
      <c r="H681" s="130" t="s">
        <v>1133</v>
      </c>
      <c r="I681" s="130" t="s">
        <v>1134</v>
      </c>
      <c r="J681" s="130" t="s">
        <v>1166</v>
      </c>
      <c r="K681" s="130" t="s">
        <v>1167</v>
      </c>
      <c r="L681" s="130" t="s">
        <v>1654</v>
      </c>
      <c r="M681" s="130" t="s">
        <v>1587</v>
      </c>
      <c r="N681" s="130" t="s">
        <v>1588</v>
      </c>
      <c r="O681" s="130" t="s">
        <v>1589</v>
      </c>
      <c r="P681" s="130" t="s">
        <v>1590</v>
      </c>
      <c r="Q681" s="130" t="s">
        <v>1127</v>
      </c>
      <c r="R681" s="130" t="s">
        <v>1175</v>
      </c>
      <c r="S681" s="130" t="s">
        <v>1157</v>
      </c>
      <c r="T681" s="130" t="s">
        <v>1176</v>
      </c>
      <c r="U681" s="130">
        <v>0</v>
      </c>
      <c r="V681" s="131">
        <v>235585</v>
      </c>
      <c r="W681" s="131">
        <v>235585</v>
      </c>
      <c r="X681" s="131">
        <v>131720.46</v>
      </c>
      <c r="Y681" s="131">
        <v>103864.54000000001</v>
      </c>
      <c r="Z681" s="131">
        <v>131720.46</v>
      </c>
      <c r="AA681" s="131">
        <v>103864.54000000001</v>
      </c>
      <c r="AB681" s="131">
        <v>131720.46</v>
      </c>
      <c r="AC681" s="131">
        <v>103864.54000000001</v>
      </c>
      <c r="AD681" s="131">
        <v>131720.46</v>
      </c>
      <c r="AE681" s="132">
        <v>103864.54000000001</v>
      </c>
    </row>
    <row r="682" spans="1:31" x14ac:dyDescent="0.2">
      <c r="A682" s="133">
        <v>116</v>
      </c>
      <c r="B682" s="133" t="s">
        <v>1653</v>
      </c>
      <c r="C682" s="133" t="s">
        <v>1114</v>
      </c>
      <c r="D682" s="133" t="s">
        <v>1584</v>
      </c>
      <c r="E682" s="133" t="s">
        <v>1116</v>
      </c>
      <c r="F682" s="133" t="s">
        <v>1117</v>
      </c>
      <c r="G682" s="133" t="s">
        <v>1118</v>
      </c>
      <c r="H682" s="133" t="s">
        <v>1133</v>
      </c>
      <c r="I682" s="133" t="s">
        <v>1134</v>
      </c>
      <c r="J682" s="130" t="s">
        <v>1135</v>
      </c>
      <c r="K682" s="130" t="s">
        <v>1178</v>
      </c>
      <c r="L682" s="130" t="s">
        <v>1654</v>
      </c>
      <c r="M682" s="130" t="s">
        <v>1587</v>
      </c>
      <c r="N682" s="130" t="s">
        <v>1588</v>
      </c>
      <c r="O682" s="130" t="s">
        <v>1589</v>
      </c>
      <c r="P682" s="130" t="s">
        <v>1590</v>
      </c>
      <c r="Q682" s="130" t="s">
        <v>1127</v>
      </c>
      <c r="R682" s="130" t="s">
        <v>1175</v>
      </c>
      <c r="S682" s="130" t="s">
        <v>1157</v>
      </c>
      <c r="T682" s="130" t="s">
        <v>1176</v>
      </c>
      <c r="U682" s="130">
        <v>0</v>
      </c>
      <c r="V682" s="131">
        <v>195450</v>
      </c>
      <c r="W682" s="131">
        <v>195450</v>
      </c>
      <c r="X682" s="131">
        <v>100000</v>
      </c>
      <c r="Y682" s="131">
        <v>95450</v>
      </c>
      <c r="Z682" s="131">
        <v>100000</v>
      </c>
      <c r="AA682" s="131">
        <v>95450</v>
      </c>
      <c r="AB682" s="131">
        <v>16004.62</v>
      </c>
      <c r="AC682" s="131">
        <v>179445.38</v>
      </c>
      <c r="AD682" s="131">
        <v>16004.62</v>
      </c>
      <c r="AE682" s="132">
        <v>179445.38</v>
      </c>
    </row>
    <row r="683" spans="1:31" x14ac:dyDescent="0.2">
      <c r="A683" s="133">
        <v>116</v>
      </c>
      <c r="B683" s="133" t="s">
        <v>1653</v>
      </c>
      <c r="C683" s="133" t="s">
        <v>1114</v>
      </c>
      <c r="D683" s="133" t="s">
        <v>1584</v>
      </c>
      <c r="E683" s="133" t="s">
        <v>1116</v>
      </c>
      <c r="F683" s="133" t="s">
        <v>1117</v>
      </c>
      <c r="G683" s="133" t="s">
        <v>1118</v>
      </c>
      <c r="H683" s="133" t="s">
        <v>1133</v>
      </c>
      <c r="I683" s="133" t="s">
        <v>1134</v>
      </c>
      <c r="J683" s="133" t="s">
        <v>1135</v>
      </c>
      <c r="K683" s="130" t="s">
        <v>1179</v>
      </c>
      <c r="L683" s="130" t="s">
        <v>1654</v>
      </c>
      <c r="M683" s="130" t="s">
        <v>1587</v>
      </c>
      <c r="N683" s="130" t="s">
        <v>1588</v>
      </c>
      <c r="O683" s="130" t="s">
        <v>1589</v>
      </c>
      <c r="P683" s="130" t="s">
        <v>1590</v>
      </c>
      <c r="Q683" s="130" t="s">
        <v>1127</v>
      </c>
      <c r="R683" s="130" t="s">
        <v>1175</v>
      </c>
      <c r="S683" s="130" t="s">
        <v>1157</v>
      </c>
      <c r="T683" s="130" t="s">
        <v>1176</v>
      </c>
      <c r="U683" s="130">
        <v>0</v>
      </c>
      <c r="V683" s="131">
        <v>28455</v>
      </c>
      <c r="W683" s="131">
        <v>28455</v>
      </c>
      <c r="X683" s="131">
        <v>23631.75</v>
      </c>
      <c r="Y683" s="131">
        <v>4823.25</v>
      </c>
      <c r="Z683" s="131">
        <v>23631.75</v>
      </c>
      <c r="AA683" s="131">
        <v>4823.25</v>
      </c>
      <c r="AB683" s="131">
        <v>23631.75</v>
      </c>
      <c r="AC683" s="131">
        <v>4823.25</v>
      </c>
      <c r="AD683" s="131">
        <v>7852.2</v>
      </c>
      <c r="AE683" s="132">
        <v>20602.8</v>
      </c>
    </row>
    <row r="684" spans="1:31" x14ac:dyDescent="0.2">
      <c r="A684" s="133">
        <v>116</v>
      </c>
      <c r="B684" s="133" t="s">
        <v>1653</v>
      </c>
      <c r="C684" s="133" t="s">
        <v>1114</v>
      </c>
      <c r="D684" s="133" t="s">
        <v>1584</v>
      </c>
      <c r="E684" s="133" t="s">
        <v>1116</v>
      </c>
      <c r="F684" s="133" t="s">
        <v>1117</v>
      </c>
      <c r="G684" s="133" t="s">
        <v>1118</v>
      </c>
      <c r="H684" s="133" t="s">
        <v>1133</v>
      </c>
      <c r="I684" s="133" t="s">
        <v>1134</v>
      </c>
      <c r="J684" s="133" t="s">
        <v>1135</v>
      </c>
      <c r="K684" s="130" t="s">
        <v>1144</v>
      </c>
      <c r="L684" s="130" t="s">
        <v>1654</v>
      </c>
      <c r="M684" s="130" t="s">
        <v>1587</v>
      </c>
      <c r="N684" s="130" t="s">
        <v>1588</v>
      </c>
      <c r="O684" s="130" t="s">
        <v>1589</v>
      </c>
      <c r="P684" s="130" t="s">
        <v>1590</v>
      </c>
      <c r="Q684" s="130" t="s">
        <v>1127</v>
      </c>
      <c r="R684" s="130" t="s">
        <v>1175</v>
      </c>
      <c r="S684" s="130" t="s">
        <v>1157</v>
      </c>
      <c r="T684" s="130" t="s">
        <v>1176</v>
      </c>
      <c r="U684" s="130">
        <v>0</v>
      </c>
      <c r="V684" s="131">
        <v>20612</v>
      </c>
      <c r="W684" s="131">
        <v>20612</v>
      </c>
      <c r="X684" s="131">
        <v>19425</v>
      </c>
      <c r="Y684" s="131">
        <v>1187</v>
      </c>
      <c r="Z684" s="131">
        <v>19425</v>
      </c>
      <c r="AA684" s="131">
        <v>1187</v>
      </c>
      <c r="AB684" s="131">
        <v>19425</v>
      </c>
      <c r="AC684" s="131">
        <v>1187</v>
      </c>
      <c r="AD684" s="131">
        <v>0</v>
      </c>
      <c r="AE684" s="132">
        <v>20612</v>
      </c>
    </row>
    <row r="685" spans="1:31" x14ac:dyDescent="0.2">
      <c r="A685" s="130">
        <v>117</v>
      </c>
      <c r="B685" s="130" t="s">
        <v>1655</v>
      </c>
      <c r="C685" s="130" t="s">
        <v>1114</v>
      </c>
      <c r="D685" s="130" t="s">
        <v>1584</v>
      </c>
      <c r="E685" s="130" t="s">
        <v>1116</v>
      </c>
      <c r="F685" s="130" t="s">
        <v>1117</v>
      </c>
      <c r="G685" s="130" t="s">
        <v>1118</v>
      </c>
      <c r="H685" s="130" t="s">
        <v>1119</v>
      </c>
      <c r="I685" s="130" t="s">
        <v>1169</v>
      </c>
      <c r="J685" s="130" t="s">
        <v>1195</v>
      </c>
      <c r="K685" s="130" t="s">
        <v>1196</v>
      </c>
      <c r="L685" s="130" t="s">
        <v>1656</v>
      </c>
      <c r="M685" s="130" t="s">
        <v>1587</v>
      </c>
      <c r="N685" s="130" t="s">
        <v>1588</v>
      </c>
      <c r="O685" s="130" t="s">
        <v>1589</v>
      </c>
      <c r="P685" s="130" t="s">
        <v>1590</v>
      </c>
      <c r="Q685" s="130" t="s">
        <v>1127</v>
      </c>
      <c r="R685" s="130" t="s">
        <v>1413</v>
      </c>
      <c r="S685" s="130" t="s">
        <v>1157</v>
      </c>
      <c r="T685" s="130" t="s">
        <v>1176</v>
      </c>
      <c r="U685" s="130">
        <v>850000</v>
      </c>
      <c r="V685" s="131">
        <v>-850000</v>
      </c>
      <c r="W685" s="131">
        <v>0</v>
      </c>
      <c r="X685" s="131">
        <v>0</v>
      </c>
      <c r="Y685" s="131">
        <v>0</v>
      </c>
      <c r="Z685" s="131">
        <v>0</v>
      </c>
      <c r="AA685" s="131">
        <v>0</v>
      </c>
      <c r="AB685" s="131">
        <v>0</v>
      </c>
      <c r="AC685" s="131">
        <v>0</v>
      </c>
      <c r="AD685" s="131">
        <v>0</v>
      </c>
      <c r="AE685" s="132">
        <v>0</v>
      </c>
    </row>
    <row r="686" spans="1:31" x14ac:dyDescent="0.2">
      <c r="A686" s="133">
        <v>117</v>
      </c>
      <c r="B686" s="133" t="s">
        <v>1655</v>
      </c>
      <c r="C686" s="133" t="s">
        <v>1114</v>
      </c>
      <c r="D686" s="133" t="s">
        <v>1584</v>
      </c>
      <c r="E686" s="133" t="s">
        <v>1116</v>
      </c>
      <c r="F686" s="133" t="s">
        <v>1117</v>
      </c>
      <c r="G686" s="133" t="s">
        <v>1118</v>
      </c>
      <c r="H686" s="130" t="s">
        <v>1133</v>
      </c>
      <c r="I686" s="130" t="s">
        <v>1134</v>
      </c>
      <c r="J686" s="130" t="s">
        <v>1166</v>
      </c>
      <c r="K686" s="130" t="s">
        <v>1167</v>
      </c>
      <c r="L686" s="130" t="s">
        <v>1656</v>
      </c>
      <c r="M686" s="130" t="s">
        <v>1587</v>
      </c>
      <c r="N686" s="130" t="s">
        <v>1588</v>
      </c>
      <c r="O686" s="130" t="s">
        <v>1589</v>
      </c>
      <c r="P686" s="130" t="s">
        <v>1590</v>
      </c>
      <c r="Q686" s="130" t="s">
        <v>1127</v>
      </c>
      <c r="R686" s="130" t="s">
        <v>1413</v>
      </c>
      <c r="S686" s="130" t="s">
        <v>1157</v>
      </c>
      <c r="T686" s="130" t="s">
        <v>1176</v>
      </c>
      <c r="U686" s="130">
        <v>0</v>
      </c>
      <c r="V686" s="131">
        <v>391951</v>
      </c>
      <c r="W686" s="131">
        <v>391951</v>
      </c>
      <c r="X686" s="131">
        <v>130000</v>
      </c>
      <c r="Y686" s="131">
        <v>261951</v>
      </c>
      <c r="Z686" s="131">
        <v>0</v>
      </c>
      <c r="AA686" s="131">
        <v>391951</v>
      </c>
      <c r="AB686" s="131">
        <v>0</v>
      </c>
      <c r="AC686" s="131">
        <v>391951</v>
      </c>
      <c r="AD686" s="131">
        <v>0</v>
      </c>
      <c r="AE686" s="132">
        <v>391951</v>
      </c>
    </row>
    <row r="687" spans="1:31" x14ac:dyDescent="0.2">
      <c r="A687" s="130">
        <v>118</v>
      </c>
      <c r="B687" s="130" t="s">
        <v>1657</v>
      </c>
      <c r="C687" s="130" t="s">
        <v>1114</v>
      </c>
      <c r="D687" s="130" t="s">
        <v>1584</v>
      </c>
      <c r="E687" s="130" t="s">
        <v>1116</v>
      </c>
      <c r="F687" s="130" t="s">
        <v>1117</v>
      </c>
      <c r="G687" s="130" t="s">
        <v>1118</v>
      </c>
      <c r="H687" s="130" t="s">
        <v>1119</v>
      </c>
      <c r="I687" s="130" t="s">
        <v>1169</v>
      </c>
      <c r="J687" s="130" t="s">
        <v>1195</v>
      </c>
      <c r="K687" s="130" t="s">
        <v>1196</v>
      </c>
      <c r="L687" s="130" t="s">
        <v>1658</v>
      </c>
      <c r="M687" s="130" t="s">
        <v>1587</v>
      </c>
      <c r="N687" s="130" t="s">
        <v>1588</v>
      </c>
      <c r="O687" s="130" t="s">
        <v>1589</v>
      </c>
      <c r="P687" s="130" t="s">
        <v>1590</v>
      </c>
      <c r="Q687" s="130" t="s">
        <v>1127</v>
      </c>
      <c r="R687" s="130" t="s">
        <v>1187</v>
      </c>
      <c r="S687" s="130" t="s">
        <v>1659</v>
      </c>
      <c r="T687" s="130" t="s">
        <v>1176</v>
      </c>
      <c r="U687" s="130">
        <v>800000</v>
      </c>
      <c r="V687" s="131">
        <v>-800000</v>
      </c>
      <c r="W687" s="131">
        <v>0</v>
      </c>
      <c r="X687" s="131">
        <v>0</v>
      </c>
      <c r="Y687" s="131">
        <v>0</v>
      </c>
      <c r="Z687" s="131">
        <v>0</v>
      </c>
      <c r="AA687" s="131">
        <v>0</v>
      </c>
      <c r="AB687" s="131">
        <v>0</v>
      </c>
      <c r="AC687" s="131">
        <v>0</v>
      </c>
      <c r="AD687" s="131">
        <v>0</v>
      </c>
      <c r="AE687" s="132">
        <v>0</v>
      </c>
    </row>
    <row r="688" spans="1:31" x14ac:dyDescent="0.2">
      <c r="A688" s="130">
        <v>119</v>
      </c>
      <c r="B688" s="130" t="s">
        <v>1660</v>
      </c>
      <c r="C688" s="130" t="s">
        <v>1114</v>
      </c>
      <c r="D688" s="130" t="s">
        <v>1584</v>
      </c>
      <c r="E688" s="130" t="s">
        <v>1116</v>
      </c>
      <c r="F688" s="130" t="s">
        <v>1117</v>
      </c>
      <c r="G688" s="130" t="s">
        <v>1118</v>
      </c>
      <c r="H688" s="130" t="s">
        <v>1119</v>
      </c>
      <c r="I688" s="130" t="s">
        <v>1169</v>
      </c>
      <c r="J688" s="130" t="s">
        <v>1195</v>
      </c>
      <c r="K688" s="130" t="s">
        <v>1196</v>
      </c>
      <c r="L688" s="130" t="s">
        <v>1661</v>
      </c>
      <c r="M688" s="130" t="s">
        <v>1587</v>
      </c>
      <c r="N688" s="130" t="s">
        <v>1588</v>
      </c>
      <c r="O688" s="130" t="s">
        <v>1589</v>
      </c>
      <c r="P688" s="130" t="s">
        <v>1590</v>
      </c>
      <c r="Q688" s="130" t="s">
        <v>1127</v>
      </c>
      <c r="R688" s="130" t="s">
        <v>1175</v>
      </c>
      <c r="S688" s="130" t="s">
        <v>1662</v>
      </c>
      <c r="T688" s="130" t="s">
        <v>1176</v>
      </c>
      <c r="U688" s="130">
        <v>2466235</v>
      </c>
      <c r="V688" s="131">
        <v>-2466235</v>
      </c>
      <c r="W688" s="131">
        <v>0</v>
      </c>
      <c r="X688" s="131">
        <v>0</v>
      </c>
      <c r="Y688" s="131">
        <v>0</v>
      </c>
      <c r="Z688" s="131">
        <v>0</v>
      </c>
      <c r="AA688" s="131">
        <v>0</v>
      </c>
      <c r="AB688" s="131">
        <v>0</v>
      </c>
      <c r="AC688" s="131">
        <v>0</v>
      </c>
      <c r="AD688" s="131">
        <v>0</v>
      </c>
      <c r="AE688" s="132">
        <v>0</v>
      </c>
    </row>
    <row r="689" spans="1:31" x14ac:dyDescent="0.2">
      <c r="A689" s="133">
        <v>119</v>
      </c>
      <c r="B689" s="133" t="s">
        <v>1660</v>
      </c>
      <c r="C689" s="133" t="s">
        <v>1114</v>
      </c>
      <c r="D689" s="133" t="s">
        <v>1584</v>
      </c>
      <c r="E689" s="133" t="s">
        <v>1116</v>
      </c>
      <c r="F689" s="133" t="s">
        <v>1117</v>
      </c>
      <c r="G689" s="133" t="s">
        <v>1118</v>
      </c>
      <c r="H689" s="133" t="s">
        <v>1119</v>
      </c>
      <c r="I689" s="133" t="s">
        <v>1169</v>
      </c>
      <c r="J689" s="133" t="s">
        <v>1195</v>
      </c>
      <c r="K689" s="130" t="s">
        <v>1585</v>
      </c>
      <c r="L689" s="130" t="s">
        <v>1661</v>
      </c>
      <c r="M689" s="130" t="s">
        <v>1587</v>
      </c>
      <c r="N689" s="130" t="s">
        <v>1588</v>
      </c>
      <c r="O689" s="130" t="s">
        <v>1589</v>
      </c>
      <c r="P689" s="130" t="s">
        <v>1590</v>
      </c>
      <c r="Q689" s="130" t="s">
        <v>1127</v>
      </c>
      <c r="R689" s="130" t="s">
        <v>1175</v>
      </c>
      <c r="S689" s="130" t="s">
        <v>1662</v>
      </c>
      <c r="T689" s="130" t="s">
        <v>1176</v>
      </c>
      <c r="U689" s="130">
        <v>0</v>
      </c>
      <c r="V689" s="131">
        <v>610500</v>
      </c>
      <c r="W689" s="131">
        <v>610500</v>
      </c>
      <c r="X689" s="131">
        <v>610500</v>
      </c>
      <c r="Y689" s="131">
        <v>0</v>
      </c>
      <c r="Z689" s="131">
        <v>610500</v>
      </c>
      <c r="AA689" s="131">
        <v>0</v>
      </c>
      <c r="AB689" s="131">
        <v>425149.28</v>
      </c>
      <c r="AC689" s="131">
        <v>185350.71999999997</v>
      </c>
      <c r="AD689" s="131">
        <v>425149.28</v>
      </c>
      <c r="AE689" s="132">
        <v>185350.71999999997</v>
      </c>
    </row>
    <row r="690" spans="1:31" x14ac:dyDescent="0.2">
      <c r="A690" s="133">
        <v>119</v>
      </c>
      <c r="B690" s="133" t="s">
        <v>1660</v>
      </c>
      <c r="C690" s="133" t="s">
        <v>1114</v>
      </c>
      <c r="D690" s="133" t="s">
        <v>1584</v>
      </c>
      <c r="E690" s="133" t="s">
        <v>1116</v>
      </c>
      <c r="F690" s="133" t="s">
        <v>1117</v>
      </c>
      <c r="G690" s="133" t="s">
        <v>1118</v>
      </c>
      <c r="H690" s="133" t="s">
        <v>1119</v>
      </c>
      <c r="I690" s="133" t="s">
        <v>1169</v>
      </c>
      <c r="J690" s="133" t="s">
        <v>1195</v>
      </c>
      <c r="K690" s="130" t="s">
        <v>1592</v>
      </c>
      <c r="L690" s="130" t="s">
        <v>1661</v>
      </c>
      <c r="M690" s="130" t="s">
        <v>1587</v>
      </c>
      <c r="N690" s="130" t="s">
        <v>1588</v>
      </c>
      <c r="O690" s="130" t="s">
        <v>1589</v>
      </c>
      <c r="P690" s="130" t="s">
        <v>1590</v>
      </c>
      <c r="Q690" s="130" t="s">
        <v>1127</v>
      </c>
      <c r="R690" s="130" t="s">
        <v>1175</v>
      </c>
      <c r="S690" s="130" t="s">
        <v>1662</v>
      </c>
      <c r="T690" s="130" t="s">
        <v>1176</v>
      </c>
      <c r="U690" s="130">
        <v>0</v>
      </c>
      <c r="V690" s="131">
        <v>2247705</v>
      </c>
      <c r="W690" s="131">
        <v>2247705</v>
      </c>
      <c r="X690" s="131">
        <v>1742940.15</v>
      </c>
      <c r="Y690" s="131">
        <v>504764.85000000009</v>
      </c>
      <c r="Z690" s="131">
        <v>1590695.93</v>
      </c>
      <c r="AA690" s="131">
        <v>657009.07000000007</v>
      </c>
      <c r="AB690" s="131">
        <v>915487.24</v>
      </c>
      <c r="AC690" s="131">
        <v>1332217.76</v>
      </c>
      <c r="AD690" s="131">
        <v>681029.24</v>
      </c>
      <c r="AE690" s="132">
        <v>1566675.76</v>
      </c>
    </row>
    <row r="691" spans="1:31" x14ac:dyDescent="0.2">
      <c r="A691" s="133">
        <v>119</v>
      </c>
      <c r="B691" s="133" t="s">
        <v>1660</v>
      </c>
      <c r="C691" s="133" t="s">
        <v>1114</v>
      </c>
      <c r="D691" s="133" t="s">
        <v>1584</v>
      </c>
      <c r="E691" s="133" t="s">
        <v>1116</v>
      </c>
      <c r="F691" s="133" t="s">
        <v>1117</v>
      </c>
      <c r="G691" s="133" t="s">
        <v>1118</v>
      </c>
      <c r="H691" s="133" t="s">
        <v>1119</v>
      </c>
      <c r="I691" s="133" t="s">
        <v>1169</v>
      </c>
      <c r="J691" s="133" t="s">
        <v>1195</v>
      </c>
      <c r="K691" s="130" t="s">
        <v>1593</v>
      </c>
      <c r="L691" s="130" t="s">
        <v>1661</v>
      </c>
      <c r="M691" s="130" t="s">
        <v>1587</v>
      </c>
      <c r="N691" s="130" t="s">
        <v>1588</v>
      </c>
      <c r="O691" s="130" t="s">
        <v>1589</v>
      </c>
      <c r="P691" s="130" t="s">
        <v>1590</v>
      </c>
      <c r="Q691" s="130" t="s">
        <v>1127</v>
      </c>
      <c r="R691" s="130" t="s">
        <v>1175</v>
      </c>
      <c r="S691" s="130" t="s">
        <v>1662</v>
      </c>
      <c r="T691" s="130" t="s">
        <v>1176</v>
      </c>
      <c r="U691" s="130">
        <v>0</v>
      </c>
      <c r="V691" s="131">
        <v>1431530</v>
      </c>
      <c r="W691" s="131">
        <v>1431530</v>
      </c>
      <c r="X691" s="131">
        <v>1221694.3799999999</v>
      </c>
      <c r="Y691" s="131">
        <v>209835.62000000011</v>
      </c>
      <c r="Z691" s="131">
        <v>287412.05</v>
      </c>
      <c r="AA691" s="131">
        <v>1144117.95</v>
      </c>
      <c r="AB691" s="131">
        <v>241502.05</v>
      </c>
      <c r="AC691" s="131">
        <v>1190027.95</v>
      </c>
      <c r="AD691" s="131">
        <v>63476.9</v>
      </c>
      <c r="AE691" s="132">
        <v>1368053.1</v>
      </c>
    </row>
    <row r="692" spans="1:31" x14ac:dyDescent="0.2">
      <c r="A692" s="133">
        <v>119</v>
      </c>
      <c r="B692" s="133" t="s">
        <v>1660</v>
      </c>
      <c r="C692" s="133" t="s">
        <v>1114</v>
      </c>
      <c r="D692" s="133" t="s">
        <v>1584</v>
      </c>
      <c r="E692" s="133" t="s">
        <v>1116</v>
      </c>
      <c r="F692" s="133" t="s">
        <v>1117</v>
      </c>
      <c r="G692" s="133" t="s">
        <v>1118</v>
      </c>
      <c r="H692" s="130" t="s">
        <v>1133</v>
      </c>
      <c r="I692" s="130" t="s">
        <v>1134</v>
      </c>
      <c r="J692" s="130" t="s">
        <v>1135</v>
      </c>
      <c r="K692" s="130" t="s">
        <v>1178</v>
      </c>
      <c r="L692" s="130" t="s">
        <v>1661</v>
      </c>
      <c r="M692" s="130" t="s">
        <v>1587</v>
      </c>
      <c r="N692" s="130" t="s">
        <v>1588</v>
      </c>
      <c r="O692" s="130" t="s">
        <v>1589</v>
      </c>
      <c r="P692" s="130" t="s">
        <v>1590</v>
      </c>
      <c r="Q692" s="130" t="s">
        <v>1127</v>
      </c>
      <c r="R692" s="130" t="s">
        <v>1175</v>
      </c>
      <c r="S692" s="130" t="s">
        <v>1662</v>
      </c>
      <c r="T692" s="130" t="s">
        <v>1176</v>
      </c>
      <c r="U692" s="130">
        <v>0</v>
      </c>
      <c r="V692" s="131">
        <v>208671</v>
      </c>
      <c r="W692" s="131">
        <v>208671</v>
      </c>
      <c r="X692" s="131">
        <v>166900</v>
      </c>
      <c r="Y692" s="131">
        <v>41771</v>
      </c>
      <c r="Z692" s="131">
        <v>166900</v>
      </c>
      <c r="AA692" s="131">
        <v>41771</v>
      </c>
      <c r="AB692" s="131">
        <v>39062.740000000005</v>
      </c>
      <c r="AC692" s="131">
        <v>169608.26</v>
      </c>
      <c r="AD692" s="131">
        <v>39062.740000000005</v>
      </c>
      <c r="AE692" s="132">
        <v>169608.26</v>
      </c>
    </row>
    <row r="693" spans="1:31" x14ac:dyDescent="0.2">
      <c r="A693" s="130">
        <v>120</v>
      </c>
      <c r="B693" s="130" t="s">
        <v>1663</v>
      </c>
      <c r="C693" s="130" t="s">
        <v>1114</v>
      </c>
      <c r="D693" s="130" t="s">
        <v>1598</v>
      </c>
      <c r="E693" s="130" t="s">
        <v>1116</v>
      </c>
      <c r="F693" s="130" t="s">
        <v>1117</v>
      </c>
      <c r="G693" s="130" t="s">
        <v>1118</v>
      </c>
      <c r="H693" s="130" t="s">
        <v>1119</v>
      </c>
      <c r="I693" s="130" t="s">
        <v>1169</v>
      </c>
      <c r="J693" s="130" t="s">
        <v>1195</v>
      </c>
      <c r="K693" s="130" t="s">
        <v>1196</v>
      </c>
      <c r="L693" s="130" t="s">
        <v>1664</v>
      </c>
      <c r="M693" s="130" t="s">
        <v>1587</v>
      </c>
      <c r="N693" s="130" t="s">
        <v>1588</v>
      </c>
      <c r="O693" s="130" t="s">
        <v>1589</v>
      </c>
      <c r="P693" s="130" t="s">
        <v>1590</v>
      </c>
      <c r="Q693" s="130" t="s">
        <v>1127</v>
      </c>
      <c r="R693" s="130" t="s">
        <v>1380</v>
      </c>
      <c r="S693" s="130" t="s">
        <v>1157</v>
      </c>
      <c r="T693" s="130" t="s">
        <v>1176</v>
      </c>
      <c r="U693" s="130">
        <v>800000</v>
      </c>
      <c r="V693" s="131">
        <v>-800000</v>
      </c>
      <c r="W693" s="131">
        <v>0</v>
      </c>
      <c r="X693" s="131">
        <v>0</v>
      </c>
      <c r="Y693" s="131">
        <v>0</v>
      </c>
      <c r="Z693" s="131">
        <v>0</v>
      </c>
      <c r="AA693" s="131">
        <v>0</v>
      </c>
      <c r="AB693" s="131">
        <v>0</v>
      </c>
      <c r="AC693" s="131">
        <v>0</v>
      </c>
      <c r="AD693" s="131">
        <v>0</v>
      </c>
      <c r="AE693" s="132">
        <v>0</v>
      </c>
    </row>
    <row r="694" spans="1:31" x14ac:dyDescent="0.2">
      <c r="A694" s="133">
        <v>120</v>
      </c>
      <c r="B694" s="133" t="s">
        <v>1663</v>
      </c>
      <c r="C694" s="133" t="s">
        <v>1114</v>
      </c>
      <c r="D694" s="133" t="s">
        <v>1598</v>
      </c>
      <c r="E694" s="133" t="s">
        <v>1116</v>
      </c>
      <c r="F694" s="133" t="s">
        <v>1117</v>
      </c>
      <c r="G694" s="133" t="s">
        <v>1118</v>
      </c>
      <c r="H694" s="130" t="s">
        <v>1133</v>
      </c>
      <c r="I694" s="130" t="s">
        <v>1134</v>
      </c>
      <c r="J694" s="130" t="s">
        <v>1166</v>
      </c>
      <c r="K694" s="130" t="s">
        <v>1167</v>
      </c>
      <c r="L694" s="130" t="s">
        <v>1664</v>
      </c>
      <c r="M694" s="130" t="s">
        <v>1587</v>
      </c>
      <c r="N694" s="130" t="s">
        <v>1588</v>
      </c>
      <c r="O694" s="130" t="s">
        <v>1589</v>
      </c>
      <c r="P694" s="130" t="s">
        <v>1590</v>
      </c>
      <c r="Q694" s="130" t="s">
        <v>1127</v>
      </c>
      <c r="R694" s="130" t="s">
        <v>1380</v>
      </c>
      <c r="S694" s="130" t="s">
        <v>1157</v>
      </c>
      <c r="T694" s="130" t="s">
        <v>1176</v>
      </c>
      <c r="U694" s="130">
        <v>0</v>
      </c>
      <c r="V694" s="131">
        <v>171047</v>
      </c>
      <c r="W694" s="131">
        <v>171047</v>
      </c>
      <c r="X694" s="131">
        <v>171047</v>
      </c>
      <c r="Y694" s="131">
        <v>0</v>
      </c>
      <c r="Z694" s="131">
        <v>171047</v>
      </c>
      <c r="AA694" s="131">
        <v>0</v>
      </c>
      <c r="AB694" s="131">
        <v>83790.899999999994</v>
      </c>
      <c r="AC694" s="131">
        <v>87256.1</v>
      </c>
      <c r="AD694" s="131">
        <v>64570.400000000001</v>
      </c>
      <c r="AE694" s="132">
        <v>106476.6</v>
      </c>
    </row>
    <row r="695" spans="1:31" x14ac:dyDescent="0.2">
      <c r="A695" s="130">
        <v>121</v>
      </c>
      <c r="B695" s="130" t="s">
        <v>1665</v>
      </c>
      <c r="C695" s="130" t="s">
        <v>1114</v>
      </c>
      <c r="D695" s="130" t="s">
        <v>1584</v>
      </c>
      <c r="E695" s="130" t="s">
        <v>1116</v>
      </c>
      <c r="F695" s="130" t="s">
        <v>1117</v>
      </c>
      <c r="G695" s="130" t="s">
        <v>1118</v>
      </c>
      <c r="H695" s="130" t="s">
        <v>1119</v>
      </c>
      <c r="I695" s="130" t="s">
        <v>1169</v>
      </c>
      <c r="J695" s="130" t="s">
        <v>1195</v>
      </c>
      <c r="K695" s="130" t="s">
        <v>1196</v>
      </c>
      <c r="L695" s="130" t="s">
        <v>1666</v>
      </c>
      <c r="M695" s="130" t="s">
        <v>1587</v>
      </c>
      <c r="N695" s="130" t="s">
        <v>1588</v>
      </c>
      <c r="O695" s="130" t="s">
        <v>1589</v>
      </c>
      <c r="P695" s="130" t="s">
        <v>1590</v>
      </c>
      <c r="Q695" s="130" t="s">
        <v>1127</v>
      </c>
      <c r="R695" s="130" t="s">
        <v>1434</v>
      </c>
      <c r="S695" s="130" t="s">
        <v>1157</v>
      </c>
      <c r="T695" s="130" t="s">
        <v>1176</v>
      </c>
      <c r="U695" s="130">
        <v>800000</v>
      </c>
      <c r="V695" s="131">
        <v>-100000</v>
      </c>
      <c r="W695" s="131">
        <v>700000</v>
      </c>
      <c r="X695" s="131">
        <v>0</v>
      </c>
      <c r="Y695" s="131">
        <v>700000</v>
      </c>
      <c r="Z695" s="131">
        <v>0</v>
      </c>
      <c r="AA695" s="131">
        <v>700000</v>
      </c>
      <c r="AB695" s="131">
        <v>0</v>
      </c>
      <c r="AC695" s="131">
        <v>700000</v>
      </c>
      <c r="AD695" s="131">
        <v>0</v>
      </c>
      <c r="AE695" s="132">
        <v>700000</v>
      </c>
    </row>
    <row r="696" spans="1:31" x14ac:dyDescent="0.2">
      <c r="A696" s="133">
        <v>121</v>
      </c>
      <c r="B696" s="133" t="s">
        <v>1665</v>
      </c>
      <c r="C696" s="133" t="s">
        <v>1114</v>
      </c>
      <c r="D696" s="133" t="s">
        <v>1584</v>
      </c>
      <c r="E696" s="133" t="s">
        <v>1116</v>
      </c>
      <c r="F696" s="133" t="s">
        <v>1117</v>
      </c>
      <c r="G696" s="133" t="s">
        <v>1118</v>
      </c>
      <c r="H696" s="133" t="s">
        <v>1119</v>
      </c>
      <c r="I696" s="133" t="s">
        <v>1169</v>
      </c>
      <c r="J696" s="133" t="s">
        <v>1195</v>
      </c>
      <c r="K696" s="130" t="s">
        <v>1585</v>
      </c>
      <c r="L696" s="130" t="s">
        <v>1666</v>
      </c>
      <c r="M696" s="130" t="s">
        <v>1587</v>
      </c>
      <c r="N696" s="130" t="s">
        <v>1588</v>
      </c>
      <c r="O696" s="130" t="s">
        <v>1589</v>
      </c>
      <c r="P696" s="130" t="s">
        <v>1590</v>
      </c>
      <c r="Q696" s="130" t="s">
        <v>1127</v>
      </c>
      <c r="R696" s="130" t="s">
        <v>1434</v>
      </c>
      <c r="S696" s="130" t="s">
        <v>1157</v>
      </c>
      <c r="T696" s="130" t="s">
        <v>1176</v>
      </c>
      <c r="U696" s="130">
        <v>0</v>
      </c>
      <c r="V696" s="131">
        <v>0</v>
      </c>
      <c r="W696" s="131">
        <v>0</v>
      </c>
      <c r="X696" s="131">
        <v>0</v>
      </c>
      <c r="Y696" s="131">
        <v>0</v>
      </c>
      <c r="Z696" s="131">
        <v>0</v>
      </c>
      <c r="AA696" s="131">
        <v>0</v>
      </c>
      <c r="AB696" s="131">
        <v>0</v>
      </c>
      <c r="AC696" s="131">
        <v>0</v>
      </c>
      <c r="AD696" s="131">
        <v>0</v>
      </c>
      <c r="AE696" s="132">
        <v>0</v>
      </c>
    </row>
    <row r="697" spans="1:31" x14ac:dyDescent="0.2">
      <c r="A697" s="133">
        <v>121</v>
      </c>
      <c r="B697" s="133" t="s">
        <v>1665</v>
      </c>
      <c r="C697" s="133" t="s">
        <v>1114</v>
      </c>
      <c r="D697" s="133" t="s">
        <v>1584</v>
      </c>
      <c r="E697" s="133" t="s">
        <v>1116</v>
      </c>
      <c r="F697" s="133" t="s">
        <v>1117</v>
      </c>
      <c r="G697" s="133" t="s">
        <v>1118</v>
      </c>
      <c r="H697" s="133" t="s">
        <v>1119</v>
      </c>
      <c r="I697" s="133" t="s">
        <v>1169</v>
      </c>
      <c r="J697" s="133" t="s">
        <v>1195</v>
      </c>
      <c r="K697" s="130" t="s">
        <v>1592</v>
      </c>
      <c r="L697" s="130" t="s">
        <v>1666</v>
      </c>
      <c r="M697" s="130" t="s">
        <v>1587</v>
      </c>
      <c r="N697" s="130" t="s">
        <v>1588</v>
      </c>
      <c r="O697" s="130" t="s">
        <v>1589</v>
      </c>
      <c r="P697" s="130" t="s">
        <v>1590</v>
      </c>
      <c r="Q697" s="130" t="s">
        <v>1127</v>
      </c>
      <c r="R697" s="130" t="s">
        <v>1434</v>
      </c>
      <c r="S697" s="130" t="s">
        <v>1157</v>
      </c>
      <c r="T697" s="130" t="s">
        <v>1176</v>
      </c>
      <c r="U697" s="130">
        <v>0</v>
      </c>
      <c r="V697" s="131">
        <v>3608286</v>
      </c>
      <c r="W697" s="131">
        <v>3608286</v>
      </c>
      <c r="X697" s="131">
        <v>0</v>
      </c>
      <c r="Y697" s="131">
        <v>3608286</v>
      </c>
      <c r="Z697" s="131">
        <v>0</v>
      </c>
      <c r="AA697" s="131">
        <v>3608286</v>
      </c>
      <c r="AB697" s="131">
        <v>0</v>
      </c>
      <c r="AC697" s="131">
        <v>3608286</v>
      </c>
      <c r="AD697" s="131">
        <v>0</v>
      </c>
      <c r="AE697" s="132">
        <v>3608286</v>
      </c>
    </row>
    <row r="698" spans="1:31" x14ac:dyDescent="0.2">
      <c r="A698" s="133">
        <v>121</v>
      </c>
      <c r="B698" s="133" t="s">
        <v>1665</v>
      </c>
      <c r="C698" s="133" t="s">
        <v>1114</v>
      </c>
      <c r="D698" s="133" t="s">
        <v>1584</v>
      </c>
      <c r="E698" s="133" t="s">
        <v>1116</v>
      </c>
      <c r="F698" s="133" t="s">
        <v>1117</v>
      </c>
      <c r="G698" s="133" t="s">
        <v>1118</v>
      </c>
      <c r="H698" s="133" t="s">
        <v>1119</v>
      </c>
      <c r="I698" s="133" t="s">
        <v>1169</v>
      </c>
      <c r="J698" s="133" t="s">
        <v>1195</v>
      </c>
      <c r="K698" s="130" t="s">
        <v>1593</v>
      </c>
      <c r="L698" s="130" t="s">
        <v>1666</v>
      </c>
      <c r="M698" s="130" t="s">
        <v>1587</v>
      </c>
      <c r="N698" s="130" t="s">
        <v>1588</v>
      </c>
      <c r="O698" s="130" t="s">
        <v>1589</v>
      </c>
      <c r="P698" s="130" t="s">
        <v>1590</v>
      </c>
      <c r="Q698" s="130" t="s">
        <v>1127</v>
      </c>
      <c r="R698" s="130" t="s">
        <v>1434</v>
      </c>
      <c r="S698" s="130" t="s">
        <v>1157</v>
      </c>
      <c r="T698" s="130" t="s">
        <v>1176</v>
      </c>
      <c r="U698" s="130">
        <v>0</v>
      </c>
      <c r="V698" s="131">
        <v>0</v>
      </c>
      <c r="W698" s="131">
        <v>0</v>
      </c>
      <c r="X698" s="131">
        <v>0</v>
      </c>
      <c r="Y698" s="131">
        <v>0</v>
      </c>
      <c r="Z698" s="131">
        <v>0</v>
      </c>
      <c r="AA698" s="131">
        <v>0</v>
      </c>
      <c r="AB698" s="131">
        <v>0</v>
      </c>
      <c r="AC698" s="131">
        <v>0</v>
      </c>
      <c r="AD698" s="131">
        <v>0</v>
      </c>
      <c r="AE698" s="132">
        <v>0</v>
      </c>
    </row>
    <row r="699" spans="1:31" x14ac:dyDescent="0.2">
      <c r="A699" s="133">
        <v>121</v>
      </c>
      <c r="B699" s="133" t="s">
        <v>1665</v>
      </c>
      <c r="C699" s="133" t="s">
        <v>1114</v>
      </c>
      <c r="D699" s="133" t="s">
        <v>1584</v>
      </c>
      <c r="E699" s="133" t="s">
        <v>1116</v>
      </c>
      <c r="F699" s="133" t="s">
        <v>1117</v>
      </c>
      <c r="G699" s="133" t="s">
        <v>1118</v>
      </c>
      <c r="H699" s="130" t="s">
        <v>1133</v>
      </c>
      <c r="I699" s="130" t="s">
        <v>1134</v>
      </c>
      <c r="J699" s="130" t="s">
        <v>1166</v>
      </c>
      <c r="K699" s="130" t="s">
        <v>1167</v>
      </c>
      <c r="L699" s="130" t="s">
        <v>1666</v>
      </c>
      <c r="M699" s="130" t="s">
        <v>1587</v>
      </c>
      <c r="N699" s="130" t="s">
        <v>1588</v>
      </c>
      <c r="O699" s="130" t="s">
        <v>1589</v>
      </c>
      <c r="P699" s="130" t="s">
        <v>1590</v>
      </c>
      <c r="Q699" s="130" t="s">
        <v>1127</v>
      </c>
      <c r="R699" s="130" t="s">
        <v>1434</v>
      </c>
      <c r="S699" s="130" t="s">
        <v>1157</v>
      </c>
      <c r="T699" s="130" t="s">
        <v>1176</v>
      </c>
      <c r="U699" s="130">
        <v>0</v>
      </c>
      <c r="V699" s="131">
        <v>100000</v>
      </c>
      <c r="W699" s="131">
        <v>100000</v>
      </c>
      <c r="X699" s="131">
        <v>0</v>
      </c>
      <c r="Y699" s="131">
        <v>100000</v>
      </c>
      <c r="Z699" s="131">
        <v>0</v>
      </c>
      <c r="AA699" s="131">
        <v>100000</v>
      </c>
      <c r="AB699" s="131">
        <v>0</v>
      </c>
      <c r="AC699" s="131">
        <v>100000</v>
      </c>
      <c r="AD699" s="131">
        <v>0</v>
      </c>
      <c r="AE699" s="132">
        <v>100000</v>
      </c>
    </row>
    <row r="700" spans="1:31" x14ac:dyDescent="0.2">
      <c r="A700" s="133">
        <v>121</v>
      </c>
      <c r="B700" s="133" t="s">
        <v>1665</v>
      </c>
      <c r="C700" s="133" t="s">
        <v>1114</v>
      </c>
      <c r="D700" s="133" t="s">
        <v>1584</v>
      </c>
      <c r="E700" s="133" t="s">
        <v>1116</v>
      </c>
      <c r="F700" s="133" t="s">
        <v>1117</v>
      </c>
      <c r="G700" s="133" t="s">
        <v>1118</v>
      </c>
      <c r="H700" s="133" t="s">
        <v>1133</v>
      </c>
      <c r="I700" s="133" t="s">
        <v>1134</v>
      </c>
      <c r="J700" s="130" t="s">
        <v>1135</v>
      </c>
      <c r="K700" s="130" t="s">
        <v>1178</v>
      </c>
      <c r="L700" s="130" t="s">
        <v>1666</v>
      </c>
      <c r="M700" s="130" t="s">
        <v>1587</v>
      </c>
      <c r="N700" s="130" t="s">
        <v>1588</v>
      </c>
      <c r="O700" s="130" t="s">
        <v>1589</v>
      </c>
      <c r="P700" s="130" t="s">
        <v>1590</v>
      </c>
      <c r="Q700" s="130" t="s">
        <v>1127</v>
      </c>
      <c r="R700" s="130" t="s">
        <v>1434</v>
      </c>
      <c r="S700" s="130" t="s">
        <v>1157</v>
      </c>
      <c r="T700" s="130" t="s">
        <v>1176</v>
      </c>
      <c r="U700" s="130">
        <v>0</v>
      </c>
      <c r="V700" s="131">
        <v>0</v>
      </c>
      <c r="W700" s="131">
        <v>0</v>
      </c>
      <c r="X700" s="131">
        <v>0</v>
      </c>
      <c r="Y700" s="131">
        <v>0</v>
      </c>
      <c r="Z700" s="131">
        <v>0</v>
      </c>
      <c r="AA700" s="131">
        <v>0</v>
      </c>
      <c r="AB700" s="131">
        <v>0</v>
      </c>
      <c r="AC700" s="131">
        <v>0</v>
      </c>
      <c r="AD700" s="131">
        <v>0</v>
      </c>
      <c r="AE700" s="132">
        <v>0</v>
      </c>
    </row>
    <row r="701" spans="1:31" x14ac:dyDescent="0.2">
      <c r="A701" s="133">
        <v>121</v>
      </c>
      <c r="B701" s="133" t="s">
        <v>1665</v>
      </c>
      <c r="C701" s="133" t="s">
        <v>1114</v>
      </c>
      <c r="D701" s="133" t="s">
        <v>1584</v>
      </c>
      <c r="E701" s="133" t="s">
        <v>1116</v>
      </c>
      <c r="F701" s="133" t="s">
        <v>1117</v>
      </c>
      <c r="G701" s="133" t="s">
        <v>1118</v>
      </c>
      <c r="H701" s="133" t="s">
        <v>1133</v>
      </c>
      <c r="I701" s="133" t="s">
        <v>1134</v>
      </c>
      <c r="J701" s="133" t="s">
        <v>1135</v>
      </c>
      <c r="K701" s="130" t="s">
        <v>1179</v>
      </c>
      <c r="L701" s="130" t="s">
        <v>1666</v>
      </c>
      <c r="M701" s="130" t="s">
        <v>1587</v>
      </c>
      <c r="N701" s="130" t="s">
        <v>1588</v>
      </c>
      <c r="O701" s="130" t="s">
        <v>1589</v>
      </c>
      <c r="P701" s="130" t="s">
        <v>1590</v>
      </c>
      <c r="Q701" s="130" t="s">
        <v>1127</v>
      </c>
      <c r="R701" s="130" t="s">
        <v>1434</v>
      </c>
      <c r="S701" s="130" t="s">
        <v>1157</v>
      </c>
      <c r="T701" s="130" t="s">
        <v>1176</v>
      </c>
      <c r="U701" s="130">
        <v>0</v>
      </c>
      <c r="V701" s="131">
        <v>0</v>
      </c>
      <c r="W701" s="131">
        <v>0</v>
      </c>
      <c r="X701" s="131">
        <v>0</v>
      </c>
      <c r="Y701" s="131">
        <v>0</v>
      </c>
      <c r="Z701" s="131">
        <v>0</v>
      </c>
      <c r="AA701" s="131">
        <v>0</v>
      </c>
      <c r="AB701" s="131">
        <v>0</v>
      </c>
      <c r="AC701" s="131">
        <v>0</v>
      </c>
      <c r="AD701" s="131">
        <v>0</v>
      </c>
      <c r="AE701" s="132">
        <v>0</v>
      </c>
    </row>
    <row r="702" spans="1:31" x14ac:dyDescent="0.2">
      <c r="A702" s="133">
        <v>121</v>
      </c>
      <c r="B702" s="133" t="s">
        <v>1665</v>
      </c>
      <c r="C702" s="133" t="s">
        <v>1114</v>
      </c>
      <c r="D702" s="133" t="s">
        <v>1584</v>
      </c>
      <c r="E702" s="133" t="s">
        <v>1116</v>
      </c>
      <c r="F702" s="133" t="s">
        <v>1117</v>
      </c>
      <c r="G702" s="133" t="s">
        <v>1118</v>
      </c>
      <c r="H702" s="133" t="s">
        <v>1133</v>
      </c>
      <c r="I702" s="133" t="s">
        <v>1134</v>
      </c>
      <c r="J702" s="133" t="s">
        <v>1135</v>
      </c>
      <c r="K702" s="130" t="s">
        <v>1144</v>
      </c>
      <c r="L702" s="130" t="s">
        <v>1666</v>
      </c>
      <c r="M702" s="130" t="s">
        <v>1587</v>
      </c>
      <c r="N702" s="130" t="s">
        <v>1588</v>
      </c>
      <c r="O702" s="130" t="s">
        <v>1589</v>
      </c>
      <c r="P702" s="130" t="s">
        <v>1590</v>
      </c>
      <c r="Q702" s="130" t="s">
        <v>1127</v>
      </c>
      <c r="R702" s="130" t="s">
        <v>1434</v>
      </c>
      <c r="S702" s="130" t="s">
        <v>1157</v>
      </c>
      <c r="T702" s="130" t="s">
        <v>1176</v>
      </c>
      <c r="U702" s="130">
        <v>0</v>
      </c>
      <c r="V702" s="131">
        <v>0</v>
      </c>
      <c r="W702" s="131">
        <v>0</v>
      </c>
      <c r="X702" s="131">
        <v>0</v>
      </c>
      <c r="Y702" s="131">
        <v>0</v>
      </c>
      <c r="Z702" s="131">
        <v>0</v>
      </c>
      <c r="AA702" s="131">
        <v>0</v>
      </c>
      <c r="AB702" s="131">
        <v>0</v>
      </c>
      <c r="AC702" s="131">
        <v>0</v>
      </c>
      <c r="AD702" s="131">
        <v>0</v>
      </c>
      <c r="AE702" s="132">
        <v>0</v>
      </c>
    </row>
    <row r="703" spans="1:31" x14ac:dyDescent="0.2">
      <c r="A703" s="130">
        <v>122</v>
      </c>
      <c r="B703" s="130" t="s">
        <v>1667</v>
      </c>
      <c r="C703" s="130" t="s">
        <v>1114</v>
      </c>
      <c r="D703" s="130" t="s">
        <v>1598</v>
      </c>
      <c r="E703" s="130" t="s">
        <v>1116</v>
      </c>
      <c r="F703" s="130" t="s">
        <v>1117</v>
      </c>
      <c r="G703" s="130" t="s">
        <v>1118</v>
      </c>
      <c r="H703" s="130" t="s">
        <v>1119</v>
      </c>
      <c r="I703" s="130" t="s">
        <v>1169</v>
      </c>
      <c r="J703" s="130" t="s">
        <v>1195</v>
      </c>
      <c r="K703" s="130" t="s">
        <v>1196</v>
      </c>
      <c r="L703" s="130" t="s">
        <v>1668</v>
      </c>
      <c r="M703" s="130" t="s">
        <v>1587</v>
      </c>
      <c r="N703" s="130" t="s">
        <v>1588</v>
      </c>
      <c r="O703" s="130" t="s">
        <v>1589</v>
      </c>
      <c r="P703" s="130" t="s">
        <v>1590</v>
      </c>
      <c r="Q703" s="130" t="s">
        <v>1127</v>
      </c>
      <c r="R703" s="130" t="s">
        <v>1175</v>
      </c>
      <c r="S703" s="130" t="s">
        <v>1157</v>
      </c>
      <c r="T703" s="130" t="s">
        <v>1176</v>
      </c>
      <c r="U703" s="130">
        <v>800000</v>
      </c>
      <c r="V703" s="131">
        <v>-800000</v>
      </c>
      <c r="W703" s="131">
        <v>0</v>
      </c>
      <c r="X703" s="131">
        <v>0</v>
      </c>
      <c r="Y703" s="131">
        <v>0</v>
      </c>
      <c r="Z703" s="131">
        <v>0</v>
      </c>
      <c r="AA703" s="131">
        <v>0</v>
      </c>
      <c r="AB703" s="131">
        <v>0</v>
      </c>
      <c r="AC703" s="131">
        <v>0</v>
      </c>
      <c r="AD703" s="131">
        <v>0</v>
      </c>
      <c r="AE703" s="132">
        <v>0</v>
      </c>
    </row>
    <row r="704" spans="1:31" x14ac:dyDescent="0.2">
      <c r="A704" s="133">
        <v>122</v>
      </c>
      <c r="B704" s="133" t="s">
        <v>1667</v>
      </c>
      <c r="C704" s="133" t="s">
        <v>1114</v>
      </c>
      <c r="D704" s="133" t="s">
        <v>1598</v>
      </c>
      <c r="E704" s="133" t="s">
        <v>1116</v>
      </c>
      <c r="F704" s="133" t="s">
        <v>1117</v>
      </c>
      <c r="G704" s="133" t="s">
        <v>1118</v>
      </c>
      <c r="H704" s="130" t="s">
        <v>1133</v>
      </c>
      <c r="I704" s="130" t="s">
        <v>1134</v>
      </c>
      <c r="J704" s="130" t="s">
        <v>1166</v>
      </c>
      <c r="K704" s="130" t="s">
        <v>1167</v>
      </c>
      <c r="L704" s="130" t="s">
        <v>1668</v>
      </c>
      <c r="M704" s="130" t="s">
        <v>1587</v>
      </c>
      <c r="N704" s="130" t="s">
        <v>1588</v>
      </c>
      <c r="O704" s="130" t="s">
        <v>1589</v>
      </c>
      <c r="P704" s="130" t="s">
        <v>1590</v>
      </c>
      <c r="Q704" s="130" t="s">
        <v>1127</v>
      </c>
      <c r="R704" s="130" t="s">
        <v>1175</v>
      </c>
      <c r="S704" s="130" t="s">
        <v>1157</v>
      </c>
      <c r="T704" s="130" t="s">
        <v>1176</v>
      </c>
      <c r="U704" s="130">
        <v>0</v>
      </c>
      <c r="V704" s="131">
        <v>528334</v>
      </c>
      <c r="W704" s="131">
        <v>528334</v>
      </c>
      <c r="X704" s="131">
        <v>447460</v>
      </c>
      <c r="Y704" s="131">
        <v>80874</v>
      </c>
      <c r="Z704" s="131">
        <v>447460</v>
      </c>
      <c r="AA704" s="131">
        <v>80874</v>
      </c>
      <c r="AB704" s="131">
        <v>411707.44999999995</v>
      </c>
      <c r="AC704" s="131">
        <v>116626.55000000005</v>
      </c>
      <c r="AD704" s="131">
        <v>257747.45</v>
      </c>
      <c r="AE704" s="132">
        <v>270586.55</v>
      </c>
    </row>
    <row r="705" spans="1:31" x14ac:dyDescent="0.2">
      <c r="A705" s="130">
        <v>123</v>
      </c>
      <c r="B705" s="130" t="s">
        <v>1669</v>
      </c>
      <c r="C705" s="130" t="s">
        <v>1114</v>
      </c>
      <c r="D705" s="130" t="s">
        <v>1602</v>
      </c>
      <c r="E705" s="130" t="s">
        <v>1116</v>
      </c>
      <c r="F705" s="130" t="s">
        <v>1117</v>
      </c>
      <c r="G705" s="130" t="s">
        <v>1118</v>
      </c>
      <c r="H705" s="130" t="s">
        <v>1119</v>
      </c>
      <c r="I705" s="130" t="s">
        <v>1169</v>
      </c>
      <c r="J705" s="130" t="s">
        <v>1195</v>
      </c>
      <c r="K705" s="130" t="s">
        <v>1196</v>
      </c>
      <c r="L705" s="130" t="s">
        <v>1670</v>
      </c>
      <c r="M705" s="130" t="s">
        <v>1587</v>
      </c>
      <c r="N705" s="130" t="s">
        <v>1588</v>
      </c>
      <c r="O705" s="130" t="s">
        <v>1589</v>
      </c>
      <c r="P705" s="130" t="s">
        <v>1604</v>
      </c>
      <c r="Q705" s="130" t="s">
        <v>1127</v>
      </c>
      <c r="R705" s="130" t="s">
        <v>1175</v>
      </c>
      <c r="S705" s="130" t="s">
        <v>1157</v>
      </c>
      <c r="T705" s="130" t="s">
        <v>1176</v>
      </c>
      <c r="U705" s="130">
        <v>2500000</v>
      </c>
      <c r="V705" s="131">
        <v>-2500000</v>
      </c>
      <c r="W705" s="131">
        <v>0</v>
      </c>
      <c r="X705" s="131">
        <v>0</v>
      </c>
      <c r="Y705" s="131">
        <v>0</v>
      </c>
      <c r="Z705" s="131">
        <v>0</v>
      </c>
      <c r="AA705" s="131">
        <v>0</v>
      </c>
      <c r="AB705" s="131">
        <v>0</v>
      </c>
      <c r="AC705" s="131">
        <v>0</v>
      </c>
      <c r="AD705" s="131">
        <v>0</v>
      </c>
      <c r="AE705" s="132">
        <v>0</v>
      </c>
    </row>
    <row r="706" spans="1:31" x14ac:dyDescent="0.2">
      <c r="A706" s="133">
        <v>123</v>
      </c>
      <c r="B706" s="133" t="s">
        <v>1669</v>
      </c>
      <c r="C706" s="133" t="s">
        <v>1114</v>
      </c>
      <c r="D706" s="133" t="s">
        <v>1602</v>
      </c>
      <c r="E706" s="133" t="s">
        <v>1116</v>
      </c>
      <c r="F706" s="133" t="s">
        <v>1117</v>
      </c>
      <c r="G706" s="133" t="s">
        <v>1118</v>
      </c>
      <c r="H706" s="133" t="s">
        <v>1119</v>
      </c>
      <c r="I706" s="133" t="s">
        <v>1169</v>
      </c>
      <c r="J706" s="133" t="s">
        <v>1195</v>
      </c>
      <c r="K706" s="130" t="s">
        <v>1585</v>
      </c>
      <c r="L706" s="130" t="s">
        <v>1670</v>
      </c>
      <c r="M706" s="130" t="s">
        <v>1587</v>
      </c>
      <c r="N706" s="130" t="s">
        <v>1588</v>
      </c>
      <c r="O706" s="130" t="s">
        <v>1589</v>
      </c>
      <c r="P706" s="130" t="s">
        <v>1604</v>
      </c>
      <c r="Q706" s="130" t="s">
        <v>1127</v>
      </c>
      <c r="R706" s="130" t="s">
        <v>1175</v>
      </c>
      <c r="S706" s="130" t="s">
        <v>1157</v>
      </c>
      <c r="T706" s="130" t="s">
        <v>1176</v>
      </c>
      <c r="U706" s="130">
        <v>0</v>
      </c>
      <c r="V706" s="131">
        <v>600000</v>
      </c>
      <c r="W706" s="131">
        <v>600000</v>
      </c>
      <c r="X706" s="131">
        <v>400000</v>
      </c>
      <c r="Y706" s="131">
        <v>200000</v>
      </c>
      <c r="Z706" s="131">
        <v>400000</v>
      </c>
      <c r="AA706" s="131">
        <v>200000</v>
      </c>
      <c r="AB706" s="131">
        <v>176935.72</v>
      </c>
      <c r="AC706" s="131">
        <v>423064.28</v>
      </c>
      <c r="AD706" s="131">
        <v>176935.72</v>
      </c>
      <c r="AE706" s="132">
        <v>423064.28</v>
      </c>
    </row>
    <row r="707" spans="1:31" x14ac:dyDescent="0.2">
      <c r="A707" s="133">
        <v>123</v>
      </c>
      <c r="B707" s="133" t="s">
        <v>1669</v>
      </c>
      <c r="C707" s="133" t="s">
        <v>1114</v>
      </c>
      <c r="D707" s="133" t="s">
        <v>1602</v>
      </c>
      <c r="E707" s="133" t="s">
        <v>1116</v>
      </c>
      <c r="F707" s="133" t="s">
        <v>1117</v>
      </c>
      <c r="G707" s="133" t="s">
        <v>1118</v>
      </c>
      <c r="H707" s="133" t="s">
        <v>1119</v>
      </c>
      <c r="I707" s="133" t="s">
        <v>1169</v>
      </c>
      <c r="J707" s="133" t="s">
        <v>1195</v>
      </c>
      <c r="K707" s="130" t="s">
        <v>1592</v>
      </c>
      <c r="L707" s="130" t="s">
        <v>1670</v>
      </c>
      <c r="M707" s="130" t="s">
        <v>1587</v>
      </c>
      <c r="N707" s="130" t="s">
        <v>1588</v>
      </c>
      <c r="O707" s="130" t="s">
        <v>1589</v>
      </c>
      <c r="P707" s="130" t="s">
        <v>1604</v>
      </c>
      <c r="Q707" s="130" t="s">
        <v>1127</v>
      </c>
      <c r="R707" s="130" t="s">
        <v>1175</v>
      </c>
      <c r="S707" s="130" t="s">
        <v>1157</v>
      </c>
      <c r="T707" s="130" t="s">
        <v>1176</v>
      </c>
      <c r="U707" s="130">
        <v>0</v>
      </c>
      <c r="V707" s="131">
        <v>1983765</v>
      </c>
      <c r="W707" s="131">
        <v>1983765</v>
      </c>
      <c r="X707" s="131">
        <v>1170364.58</v>
      </c>
      <c r="Y707" s="131">
        <v>813400.41999999993</v>
      </c>
      <c r="Z707" s="131">
        <v>1169164.58</v>
      </c>
      <c r="AA707" s="131">
        <v>814600.41999999993</v>
      </c>
      <c r="AB707" s="131">
        <v>876113.38</v>
      </c>
      <c r="AC707" s="131">
        <v>1107651.6200000001</v>
      </c>
      <c r="AD707" s="131">
        <v>876113.38</v>
      </c>
      <c r="AE707" s="132">
        <v>1107651.6200000001</v>
      </c>
    </row>
    <row r="708" spans="1:31" x14ac:dyDescent="0.2">
      <c r="A708" s="133">
        <v>123</v>
      </c>
      <c r="B708" s="133" t="s">
        <v>1669</v>
      </c>
      <c r="C708" s="133" t="s">
        <v>1114</v>
      </c>
      <c r="D708" s="133" t="s">
        <v>1602</v>
      </c>
      <c r="E708" s="133" t="s">
        <v>1116</v>
      </c>
      <c r="F708" s="133" t="s">
        <v>1117</v>
      </c>
      <c r="G708" s="133" t="s">
        <v>1118</v>
      </c>
      <c r="H708" s="133" t="s">
        <v>1119</v>
      </c>
      <c r="I708" s="133" t="s">
        <v>1169</v>
      </c>
      <c r="J708" s="133" t="s">
        <v>1195</v>
      </c>
      <c r="K708" s="130" t="s">
        <v>1593</v>
      </c>
      <c r="L708" s="130" t="s">
        <v>1670</v>
      </c>
      <c r="M708" s="130" t="s">
        <v>1587</v>
      </c>
      <c r="N708" s="130" t="s">
        <v>1588</v>
      </c>
      <c r="O708" s="130" t="s">
        <v>1589</v>
      </c>
      <c r="P708" s="130" t="s">
        <v>1604</v>
      </c>
      <c r="Q708" s="130" t="s">
        <v>1127</v>
      </c>
      <c r="R708" s="130" t="s">
        <v>1175</v>
      </c>
      <c r="S708" s="130" t="s">
        <v>1157</v>
      </c>
      <c r="T708" s="130" t="s">
        <v>1176</v>
      </c>
      <c r="U708" s="130">
        <v>0</v>
      </c>
      <c r="V708" s="131">
        <v>1644950</v>
      </c>
      <c r="W708" s="131">
        <v>1644950</v>
      </c>
      <c r="X708" s="131">
        <v>1446027.98</v>
      </c>
      <c r="Y708" s="131">
        <v>198922.02000000002</v>
      </c>
      <c r="Z708" s="131">
        <v>465568.8</v>
      </c>
      <c r="AA708" s="131">
        <v>1179381.2</v>
      </c>
      <c r="AB708" s="131">
        <v>465568.8</v>
      </c>
      <c r="AC708" s="131">
        <v>1179381.2</v>
      </c>
      <c r="AD708" s="131">
        <v>77482.8</v>
      </c>
      <c r="AE708" s="132">
        <v>1567467.2</v>
      </c>
    </row>
    <row r="709" spans="1:31" x14ac:dyDescent="0.2">
      <c r="A709" s="133">
        <v>123</v>
      </c>
      <c r="B709" s="133" t="s">
        <v>1669</v>
      </c>
      <c r="C709" s="133" t="s">
        <v>1114</v>
      </c>
      <c r="D709" s="133" t="s">
        <v>1602</v>
      </c>
      <c r="E709" s="133" t="s">
        <v>1116</v>
      </c>
      <c r="F709" s="133" t="s">
        <v>1117</v>
      </c>
      <c r="G709" s="133" t="s">
        <v>1118</v>
      </c>
      <c r="H709" s="130" t="s">
        <v>1149</v>
      </c>
      <c r="I709" s="130" t="s">
        <v>1182</v>
      </c>
      <c r="J709" s="130" t="s">
        <v>1377</v>
      </c>
      <c r="K709" s="130" t="s">
        <v>1378</v>
      </c>
      <c r="L709" s="130" t="s">
        <v>1670</v>
      </c>
      <c r="M709" s="130" t="s">
        <v>1587</v>
      </c>
      <c r="N709" s="130" t="s">
        <v>1588</v>
      </c>
      <c r="O709" s="130" t="s">
        <v>1589</v>
      </c>
      <c r="P709" s="130" t="s">
        <v>1604</v>
      </c>
      <c r="Q709" s="130" t="s">
        <v>1127</v>
      </c>
      <c r="R709" s="130" t="s">
        <v>1175</v>
      </c>
      <c r="S709" s="130" t="s">
        <v>1157</v>
      </c>
      <c r="T709" s="130" t="s">
        <v>1176</v>
      </c>
      <c r="U709" s="130">
        <v>0</v>
      </c>
      <c r="V709" s="131">
        <v>90000</v>
      </c>
      <c r="W709" s="131">
        <v>90000</v>
      </c>
      <c r="X709" s="131">
        <v>31007.200000000001</v>
      </c>
      <c r="Y709" s="131">
        <v>58992.800000000003</v>
      </c>
      <c r="Z709" s="131">
        <v>31007.200000000001</v>
      </c>
      <c r="AA709" s="131">
        <v>58992.800000000003</v>
      </c>
      <c r="AB709" s="131">
        <v>31007.200000000001</v>
      </c>
      <c r="AC709" s="131">
        <v>58992.800000000003</v>
      </c>
      <c r="AD709" s="131">
        <v>31007.200000000001</v>
      </c>
      <c r="AE709" s="132">
        <v>58992.800000000003</v>
      </c>
    </row>
    <row r="710" spans="1:31" x14ac:dyDescent="0.2">
      <c r="A710" s="133">
        <v>123</v>
      </c>
      <c r="B710" s="133" t="s">
        <v>1669</v>
      </c>
      <c r="C710" s="133" t="s">
        <v>1114</v>
      </c>
      <c r="D710" s="133" t="s">
        <v>1602</v>
      </c>
      <c r="E710" s="133" t="s">
        <v>1116</v>
      </c>
      <c r="F710" s="133" t="s">
        <v>1117</v>
      </c>
      <c r="G710" s="133" t="s">
        <v>1118</v>
      </c>
      <c r="H710" s="130" t="s">
        <v>1133</v>
      </c>
      <c r="I710" s="130" t="s">
        <v>1134</v>
      </c>
      <c r="J710" s="130" t="s">
        <v>1135</v>
      </c>
      <c r="K710" s="130" t="s">
        <v>1178</v>
      </c>
      <c r="L710" s="130" t="s">
        <v>1670</v>
      </c>
      <c r="M710" s="130" t="s">
        <v>1587</v>
      </c>
      <c r="N710" s="130" t="s">
        <v>1588</v>
      </c>
      <c r="O710" s="130" t="s">
        <v>1589</v>
      </c>
      <c r="P710" s="130" t="s">
        <v>1604</v>
      </c>
      <c r="Q710" s="130" t="s">
        <v>1127</v>
      </c>
      <c r="R710" s="130" t="s">
        <v>1175</v>
      </c>
      <c r="S710" s="130" t="s">
        <v>1157</v>
      </c>
      <c r="T710" s="130" t="s">
        <v>1176</v>
      </c>
      <c r="U710" s="130">
        <v>0</v>
      </c>
      <c r="V710" s="131">
        <v>165000</v>
      </c>
      <c r="W710" s="131">
        <v>165000</v>
      </c>
      <c r="X710" s="131">
        <v>165000</v>
      </c>
      <c r="Y710" s="131">
        <v>0</v>
      </c>
      <c r="Z710" s="131">
        <v>65000</v>
      </c>
      <c r="AA710" s="131">
        <v>100000</v>
      </c>
      <c r="AB710" s="131">
        <v>25245.85</v>
      </c>
      <c r="AC710" s="131">
        <v>139754.15</v>
      </c>
      <c r="AD710" s="131">
        <v>25245.85</v>
      </c>
      <c r="AE710" s="132">
        <v>139754.15</v>
      </c>
    </row>
    <row r="711" spans="1:31" x14ac:dyDescent="0.2">
      <c r="A711" s="133">
        <v>123</v>
      </c>
      <c r="B711" s="133" t="s">
        <v>1669</v>
      </c>
      <c r="C711" s="133" t="s">
        <v>1114</v>
      </c>
      <c r="D711" s="133" t="s">
        <v>1602</v>
      </c>
      <c r="E711" s="133" t="s">
        <v>1116</v>
      </c>
      <c r="F711" s="133" t="s">
        <v>1117</v>
      </c>
      <c r="G711" s="133" t="s">
        <v>1118</v>
      </c>
      <c r="H711" s="133" t="s">
        <v>1133</v>
      </c>
      <c r="I711" s="133" t="s">
        <v>1134</v>
      </c>
      <c r="J711" s="133" t="s">
        <v>1135</v>
      </c>
      <c r="K711" s="130" t="s">
        <v>1179</v>
      </c>
      <c r="L711" s="130" t="s">
        <v>1670</v>
      </c>
      <c r="M711" s="130" t="s">
        <v>1587</v>
      </c>
      <c r="N711" s="130" t="s">
        <v>1588</v>
      </c>
      <c r="O711" s="130" t="s">
        <v>1589</v>
      </c>
      <c r="P711" s="130" t="s">
        <v>1604</v>
      </c>
      <c r="Q711" s="130" t="s">
        <v>1127</v>
      </c>
      <c r="R711" s="130" t="s">
        <v>1175</v>
      </c>
      <c r="S711" s="130" t="s">
        <v>1157</v>
      </c>
      <c r="T711" s="130" t="s">
        <v>1176</v>
      </c>
      <c r="U711" s="130">
        <v>0</v>
      </c>
      <c r="V711" s="131">
        <v>5024</v>
      </c>
      <c r="W711" s="131">
        <v>5024</v>
      </c>
      <c r="X711" s="131">
        <v>0</v>
      </c>
      <c r="Y711" s="131">
        <v>5024</v>
      </c>
      <c r="Z711" s="131">
        <v>0</v>
      </c>
      <c r="AA711" s="131">
        <v>5024</v>
      </c>
      <c r="AB711" s="131">
        <v>0</v>
      </c>
      <c r="AC711" s="131">
        <v>5024</v>
      </c>
      <c r="AD711" s="131">
        <v>0</v>
      </c>
      <c r="AE711" s="132">
        <v>5024</v>
      </c>
    </row>
    <row r="712" spans="1:31" x14ac:dyDescent="0.2">
      <c r="A712" s="133">
        <v>123</v>
      </c>
      <c r="B712" s="133" t="s">
        <v>1669</v>
      </c>
      <c r="C712" s="133" t="s">
        <v>1114</v>
      </c>
      <c r="D712" s="133" t="s">
        <v>1602</v>
      </c>
      <c r="E712" s="133" t="s">
        <v>1116</v>
      </c>
      <c r="F712" s="133" t="s">
        <v>1117</v>
      </c>
      <c r="G712" s="133" t="s">
        <v>1118</v>
      </c>
      <c r="H712" s="133" t="s">
        <v>1133</v>
      </c>
      <c r="I712" s="133" t="s">
        <v>1134</v>
      </c>
      <c r="J712" s="133" t="s">
        <v>1135</v>
      </c>
      <c r="K712" s="130" t="s">
        <v>1144</v>
      </c>
      <c r="L712" s="130" t="s">
        <v>1670</v>
      </c>
      <c r="M712" s="130" t="s">
        <v>1587</v>
      </c>
      <c r="N712" s="130" t="s">
        <v>1588</v>
      </c>
      <c r="O712" s="130" t="s">
        <v>1589</v>
      </c>
      <c r="P712" s="130" t="s">
        <v>1604</v>
      </c>
      <c r="Q712" s="130" t="s">
        <v>1127</v>
      </c>
      <c r="R712" s="130" t="s">
        <v>1175</v>
      </c>
      <c r="S712" s="130" t="s">
        <v>1157</v>
      </c>
      <c r="T712" s="130" t="s">
        <v>1176</v>
      </c>
      <c r="U712" s="130">
        <v>0</v>
      </c>
      <c r="V712" s="131">
        <v>28135</v>
      </c>
      <c r="W712" s="131">
        <v>28135</v>
      </c>
      <c r="X712" s="131">
        <v>0</v>
      </c>
      <c r="Y712" s="131">
        <v>28135</v>
      </c>
      <c r="Z712" s="131">
        <v>0</v>
      </c>
      <c r="AA712" s="131">
        <v>28135</v>
      </c>
      <c r="AB712" s="131">
        <v>0</v>
      </c>
      <c r="AC712" s="131">
        <v>28135</v>
      </c>
      <c r="AD712" s="131">
        <v>0</v>
      </c>
      <c r="AE712" s="132">
        <v>28135</v>
      </c>
    </row>
    <row r="713" spans="1:31" x14ac:dyDescent="0.2">
      <c r="A713" s="130">
        <v>124</v>
      </c>
      <c r="B713" s="130" t="s">
        <v>1075</v>
      </c>
      <c r="C713" s="130" t="s">
        <v>1114</v>
      </c>
      <c r="D713" s="130" t="s">
        <v>1584</v>
      </c>
      <c r="E713" s="130" t="s">
        <v>1116</v>
      </c>
      <c r="F713" s="130" t="s">
        <v>1117</v>
      </c>
      <c r="G713" s="130" t="s">
        <v>1118</v>
      </c>
      <c r="H713" s="130" t="s">
        <v>1119</v>
      </c>
      <c r="I713" s="130" t="s">
        <v>1169</v>
      </c>
      <c r="J713" s="130" t="s">
        <v>1195</v>
      </c>
      <c r="K713" s="130" t="s">
        <v>1196</v>
      </c>
      <c r="L713" s="130" t="s">
        <v>1671</v>
      </c>
      <c r="M713" s="130" t="s">
        <v>1587</v>
      </c>
      <c r="N713" s="130" t="s">
        <v>1588</v>
      </c>
      <c r="O713" s="130" t="s">
        <v>1589</v>
      </c>
      <c r="P713" s="130" t="s">
        <v>1590</v>
      </c>
      <c r="Q713" s="130" t="s">
        <v>1127</v>
      </c>
      <c r="R713" s="130" t="s">
        <v>1413</v>
      </c>
      <c r="S713" s="130" t="s">
        <v>1157</v>
      </c>
      <c r="T713" s="130" t="s">
        <v>1176</v>
      </c>
      <c r="U713" s="130">
        <v>2800000</v>
      </c>
      <c r="V713" s="131">
        <v>-2800000</v>
      </c>
      <c r="W713" s="131">
        <v>0</v>
      </c>
      <c r="X713" s="131">
        <v>0</v>
      </c>
      <c r="Y713" s="131">
        <v>0</v>
      </c>
      <c r="Z713" s="131">
        <v>0</v>
      </c>
      <c r="AA713" s="131">
        <v>0</v>
      </c>
      <c r="AB713" s="131">
        <v>0</v>
      </c>
      <c r="AC713" s="131">
        <v>0</v>
      </c>
      <c r="AD713" s="131">
        <v>0</v>
      </c>
      <c r="AE713" s="132">
        <v>0</v>
      </c>
    </row>
    <row r="714" spans="1:31" x14ac:dyDescent="0.2">
      <c r="A714" s="133">
        <v>124</v>
      </c>
      <c r="B714" s="133" t="s">
        <v>1075</v>
      </c>
      <c r="C714" s="133" t="s">
        <v>1114</v>
      </c>
      <c r="D714" s="133" t="s">
        <v>1584</v>
      </c>
      <c r="E714" s="133" t="s">
        <v>1116</v>
      </c>
      <c r="F714" s="133" t="s">
        <v>1117</v>
      </c>
      <c r="G714" s="133" t="s">
        <v>1118</v>
      </c>
      <c r="H714" s="133" t="s">
        <v>1119</v>
      </c>
      <c r="I714" s="133" t="s">
        <v>1169</v>
      </c>
      <c r="J714" s="133" t="s">
        <v>1195</v>
      </c>
      <c r="K714" s="130" t="s">
        <v>1585</v>
      </c>
      <c r="L714" s="130" t="s">
        <v>1671</v>
      </c>
      <c r="M714" s="130" t="s">
        <v>1587</v>
      </c>
      <c r="N714" s="130" t="s">
        <v>1588</v>
      </c>
      <c r="O714" s="130" t="s">
        <v>1589</v>
      </c>
      <c r="P714" s="130" t="s">
        <v>1590</v>
      </c>
      <c r="Q714" s="130" t="s">
        <v>1127</v>
      </c>
      <c r="R714" s="130" t="s">
        <v>1413</v>
      </c>
      <c r="S714" s="130" t="s">
        <v>1157</v>
      </c>
      <c r="T714" s="130" t="s">
        <v>1176</v>
      </c>
      <c r="U714" s="130">
        <v>0</v>
      </c>
      <c r="V714" s="131">
        <v>210000</v>
      </c>
      <c r="W714" s="131">
        <v>210000</v>
      </c>
      <c r="X714" s="131">
        <v>210000</v>
      </c>
      <c r="Y714" s="131">
        <v>0</v>
      </c>
      <c r="Z714" s="131">
        <v>210000</v>
      </c>
      <c r="AA714" s="131">
        <v>0</v>
      </c>
      <c r="AB714" s="131">
        <v>11788.43</v>
      </c>
      <c r="AC714" s="131">
        <v>198211.57</v>
      </c>
      <c r="AD714" s="131">
        <v>11788.43</v>
      </c>
      <c r="AE714" s="132">
        <v>198211.57</v>
      </c>
    </row>
    <row r="715" spans="1:31" x14ac:dyDescent="0.2">
      <c r="A715" s="133">
        <v>124</v>
      </c>
      <c r="B715" s="133" t="s">
        <v>1075</v>
      </c>
      <c r="C715" s="133" t="s">
        <v>1114</v>
      </c>
      <c r="D715" s="133" t="s">
        <v>1584</v>
      </c>
      <c r="E715" s="133" t="s">
        <v>1116</v>
      </c>
      <c r="F715" s="133" t="s">
        <v>1117</v>
      </c>
      <c r="G715" s="133" t="s">
        <v>1118</v>
      </c>
      <c r="H715" s="133" t="s">
        <v>1119</v>
      </c>
      <c r="I715" s="133" t="s">
        <v>1169</v>
      </c>
      <c r="J715" s="133" t="s">
        <v>1195</v>
      </c>
      <c r="K715" s="130" t="s">
        <v>1592</v>
      </c>
      <c r="L715" s="130" t="s">
        <v>1671</v>
      </c>
      <c r="M715" s="130" t="s">
        <v>1587</v>
      </c>
      <c r="N715" s="130" t="s">
        <v>1588</v>
      </c>
      <c r="O715" s="130" t="s">
        <v>1589</v>
      </c>
      <c r="P715" s="130" t="s">
        <v>1590</v>
      </c>
      <c r="Q715" s="130" t="s">
        <v>1127</v>
      </c>
      <c r="R715" s="130" t="s">
        <v>1413</v>
      </c>
      <c r="S715" s="130" t="s">
        <v>1157</v>
      </c>
      <c r="T715" s="130" t="s">
        <v>1176</v>
      </c>
      <c r="U715" s="130">
        <v>0</v>
      </c>
      <c r="V715" s="131">
        <v>2225398</v>
      </c>
      <c r="W715" s="131">
        <v>2225398</v>
      </c>
      <c r="X715" s="131">
        <v>2025291.61</v>
      </c>
      <c r="Y715" s="131">
        <v>200106.3899999999</v>
      </c>
      <c r="Z715" s="131">
        <v>722564.58</v>
      </c>
      <c r="AA715" s="131">
        <v>1502833.42</v>
      </c>
      <c r="AB715" s="131">
        <v>658440.58000000007</v>
      </c>
      <c r="AC715" s="131">
        <v>1566957.42</v>
      </c>
      <c r="AD715" s="131">
        <v>386976.58</v>
      </c>
      <c r="AE715" s="132">
        <v>1838421.42</v>
      </c>
    </row>
    <row r="716" spans="1:31" x14ac:dyDescent="0.2">
      <c r="A716" s="133">
        <v>124</v>
      </c>
      <c r="B716" s="133" t="s">
        <v>1075</v>
      </c>
      <c r="C716" s="133" t="s">
        <v>1114</v>
      </c>
      <c r="D716" s="133" t="s">
        <v>1584</v>
      </c>
      <c r="E716" s="133" t="s">
        <v>1116</v>
      </c>
      <c r="F716" s="133" t="s">
        <v>1117</v>
      </c>
      <c r="G716" s="133" t="s">
        <v>1118</v>
      </c>
      <c r="H716" s="133" t="s">
        <v>1119</v>
      </c>
      <c r="I716" s="133" t="s">
        <v>1169</v>
      </c>
      <c r="J716" s="133" t="s">
        <v>1195</v>
      </c>
      <c r="K716" s="130" t="s">
        <v>1593</v>
      </c>
      <c r="L716" s="130" t="s">
        <v>1671</v>
      </c>
      <c r="M716" s="130" t="s">
        <v>1587</v>
      </c>
      <c r="N716" s="130" t="s">
        <v>1588</v>
      </c>
      <c r="O716" s="130" t="s">
        <v>1589</v>
      </c>
      <c r="P716" s="130" t="s">
        <v>1590</v>
      </c>
      <c r="Q716" s="130" t="s">
        <v>1127</v>
      </c>
      <c r="R716" s="130" t="s">
        <v>1413</v>
      </c>
      <c r="S716" s="130" t="s">
        <v>1157</v>
      </c>
      <c r="T716" s="130" t="s">
        <v>1176</v>
      </c>
      <c r="U716" s="130">
        <v>0</v>
      </c>
      <c r="V716" s="131">
        <v>2092266</v>
      </c>
      <c r="W716" s="131">
        <v>2092266</v>
      </c>
      <c r="X716" s="131">
        <v>2083756.7</v>
      </c>
      <c r="Y716" s="131">
        <v>8509.3000000000466</v>
      </c>
      <c r="Z716" s="131">
        <v>152714.70000000001</v>
      </c>
      <c r="AA716" s="131">
        <v>1939551.3</v>
      </c>
      <c r="AB716" s="131">
        <v>152714.70000000001</v>
      </c>
      <c r="AC716" s="131">
        <v>1939551.3</v>
      </c>
      <c r="AD716" s="131">
        <v>0</v>
      </c>
      <c r="AE716" s="132">
        <v>2092266</v>
      </c>
    </row>
    <row r="717" spans="1:31" x14ac:dyDescent="0.2">
      <c r="A717" s="133">
        <v>124</v>
      </c>
      <c r="B717" s="133" t="s">
        <v>1075</v>
      </c>
      <c r="C717" s="133" t="s">
        <v>1114</v>
      </c>
      <c r="D717" s="133" t="s">
        <v>1584</v>
      </c>
      <c r="E717" s="133" t="s">
        <v>1116</v>
      </c>
      <c r="F717" s="133" t="s">
        <v>1117</v>
      </c>
      <c r="G717" s="133" t="s">
        <v>1118</v>
      </c>
      <c r="H717" s="130" t="s">
        <v>1149</v>
      </c>
      <c r="I717" s="130" t="s">
        <v>1182</v>
      </c>
      <c r="J717" s="130" t="s">
        <v>1347</v>
      </c>
      <c r="K717" s="130" t="s">
        <v>1348</v>
      </c>
      <c r="L717" s="130" t="s">
        <v>1671</v>
      </c>
      <c r="M717" s="130" t="s">
        <v>1587</v>
      </c>
      <c r="N717" s="130" t="s">
        <v>1588</v>
      </c>
      <c r="O717" s="130" t="s">
        <v>1589</v>
      </c>
      <c r="P717" s="130" t="s">
        <v>1590</v>
      </c>
      <c r="Q717" s="130" t="s">
        <v>1127</v>
      </c>
      <c r="R717" s="130" t="s">
        <v>1413</v>
      </c>
      <c r="S717" s="130" t="s">
        <v>1157</v>
      </c>
      <c r="T717" s="130" t="s">
        <v>1176</v>
      </c>
      <c r="U717" s="130">
        <v>0</v>
      </c>
      <c r="V717" s="131">
        <v>5298</v>
      </c>
      <c r="W717" s="131">
        <v>5298</v>
      </c>
      <c r="X717" s="131">
        <v>5298</v>
      </c>
      <c r="Y717" s="131">
        <v>0</v>
      </c>
      <c r="Z717" s="131">
        <v>5298</v>
      </c>
      <c r="AA717" s="131">
        <v>0</v>
      </c>
      <c r="AB717" s="131">
        <v>5298</v>
      </c>
      <c r="AC717" s="131">
        <v>0</v>
      </c>
      <c r="AD717" s="131">
        <v>5298</v>
      </c>
      <c r="AE717" s="132">
        <v>0</v>
      </c>
    </row>
    <row r="718" spans="1:31" x14ac:dyDescent="0.2">
      <c r="A718" s="133">
        <v>124</v>
      </c>
      <c r="B718" s="133" t="s">
        <v>1075</v>
      </c>
      <c r="C718" s="133" t="s">
        <v>1114</v>
      </c>
      <c r="D718" s="133" t="s">
        <v>1584</v>
      </c>
      <c r="E718" s="133" t="s">
        <v>1116</v>
      </c>
      <c r="F718" s="133" t="s">
        <v>1117</v>
      </c>
      <c r="G718" s="133" t="s">
        <v>1118</v>
      </c>
      <c r="H718" s="130" t="s">
        <v>1133</v>
      </c>
      <c r="I718" s="130" t="s">
        <v>1134</v>
      </c>
      <c r="J718" s="130" t="s">
        <v>1166</v>
      </c>
      <c r="K718" s="130" t="s">
        <v>1167</v>
      </c>
      <c r="L718" s="130" t="s">
        <v>1671</v>
      </c>
      <c r="M718" s="130" t="s">
        <v>1587</v>
      </c>
      <c r="N718" s="130" t="s">
        <v>1588</v>
      </c>
      <c r="O718" s="130" t="s">
        <v>1589</v>
      </c>
      <c r="P718" s="130" t="s">
        <v>1590</v>
      </c>
      <c r="Q718" s="130" t="s">
        <v>1127</v>
      </c>
      <c r="R718" s="130" t="s">
        <v>1413</v>
      </c>
      <c r="S718" s="130" t="s">
        <v>1157</v>
      </c>
      <c r="T718" s="130" t="s">
        <v>1176</v>
      </c>
      <c r="U718" s="130">
        <v>0</v>
      </c>
      <c r="V718" s="131">
        <v>200000</v>
      </c>
      <c r="W718" s="131">
        <v>200000</v>
      </c>
      <c r="X718" s="131">
        <v>200000</v>
      </c>
      <c r="Y718" s="131">
        <v>0</v>
      </c>
      <c r="Z718" s="131">
        <v>200000</v>
      </c>
      <c r="AA718" s="131">
        <v>0</v>
      </c>
      <c r="AB718" s="131">
        <v>199439.35999999999</v>
      </c>
      <c r="AC718" s="131">
        <v>560.64000000001397</v>
      </c>
      <c r="AD718" s="131">
        <v>179439.35999999999</v>
      </c>
      <c r="AE718" s="132">
        <v>20560.640000000014</v>
      </c>
    </row>
    <row r="719" spans="1:31" x14ac:dyDescent="0.2">
      <c r="A719" s="133">
        <v>124</v>
      </c>
      <c r="B719" s="133" t="s">
        <v>1075</v>
      </c>
      <c r="C719" s="133" t="s">
        <v>1114</v>
      </c>
      <c r="D719" s="133" t="s">
        <v>1584</v>
      </c>
      <c r="E719" s="133" t="s">
        <v>1116</v>
      </c>
      <c r="F719" s="133" t="s">
        <v>1117</v>
      </c>
      <c r="G719" s="133" t="s">
        <v>1118</v>
      </c>
      <c r="H719" s="133" t="s">
        <v>1133</v>
      </c>
      <c r="I719" s="133" t="s">
        <v>1134</v>
      </c>
      <c r="J719" s="130" t="s">
        <v>1135</v>
      </c>
      <c r="K719" s="130" t="s">
        <v>1178</v>
      </c>
      <c r="L719" s="130" t="s">
        <v>1671</v>
      </c>
      <c r="M719" s="130" t="s">
        <v>1587</v>
      </c>
      <c r="N719" s="130" t="s">
        <v>1588</v>
      </c>
      <c r="O719" s="130" t="s">
        <v>1589</v>
      </c>
      <c r="P719" s="130" t="s">
        <v>1590</v>
      </c>
      <c r="Q719" s="130" t="s">
        <v>1127</v>
      </c>
      <c r="R719" s="130" t="s">
        <v>1413</v>
      </c>
      <c r="S719" s="130" t="s">
        <v>1157</v>
      </c>
      <c r="T719" s="130" t="s">
        <v>1176</v>
      </c>
      <c r="U719" s="130">
        <v>0</v>
      </c>
      <c r="V719" s="131">
        <v>110000</v>
      </c>
      <c r="W719" s="131">
        <v>110000</v>
      </c>
      <c r="X719" s="131">
        <v>110000</v>
      </c>
      <c r="Y719" s="131">
        <v>0</v>
      </c>
      <c r="Z719" s="131">
        <v>110000</v>
      </c>
      <c r="AA719" s="131">
        <v>0</v>
      </c>
      <c r="AB719" s="131">
        <v>12921.1</v>
      </c>
      <c r="AC719" s="131">
        <v>97078.9</v>
      </c>
      <c r="AD719" s="131">
        <v>12921.1</v>
      </c>
      <c r="AE719" s="132">
        <v>97078.9</v>
      </c>
    </row>
    <row r="720" spans="1:31" x14ac:dyDescent="0.2">
      <c r="A720" s="133">
        <v>124</v>
      </c>
      <c r="B720" s="133" t="s">
        <v>1075</v>
      </c>
      <c r="C720" s="133" t="s">
        <v>1114</v>
      </c>
      <c r="D720" s="133" t="s">
        <v>1584</v>
      </c>
      <c r="E720" s="133" t="s">
        <v>1116</v>
      </c>
      <c r="F720" s="133" t="s">
        <v>1117</v>
      </c>
      <c r="G720" s="133" t="s">
        <v>1118</v>
      </c>
      <c r="H720" s="133" t="s">
        <v>1133</v>
      </c>
      <c r="I720" s="133" t="s">
        <v>1134</v>
      </c>
      <c r="J720" s="133" t="s">
        <v>1135</v>
      </c>
      <c r="K720" s="130" t="s">
        <v>1179</v>
      </c>
      <c r="L720" s="130" t="s">
        <v>1671</v>
      </c>
      <c r="M720" s="130" t="s">
        <v>1587</v>
      </c>
      <c r="N720" s="130" t="s">
        <v>1588</v>
      </c>
      <c r="O720" s="130" t="s">
        <v>1589</v>
      </c>
      <c r="P720" s="130" t="s">
        <v>1590</v>
      </c>
      <c r="Q720" s="130" t="s">
        <v>1127</v>
      </c>
      <c r="R720" s="130" t="s">
        <v>1413</v>
      </c>
      <c r="S720" s="130" t="s">
        <v>1157</v>
      </c>
      <c r="T720" s="130" t="s">
        <v>1176</v>
      </c>
      <c r="U720" s="130">
        <v>0</v>
      </c>
      <c r="V720" s="131">
        <v>65143</v>
      </c>
      <c r="W720" s="131">
        <v>65143</v>
      </c>
      <c r="X720" s="131">
        <v>21581.5</v>
      </c>
      <c r="Y720" s="131">
        <v>43561.5</v>
      </c>
      <c r="Z720" s="131">
        <v>21581.5</v>
      </c>
      <c r="AA720" s="131">
        <v>43561.5</v>
      </c>
      <c r="AB720" s="131">
        <v>0</v>
      </c>
      <c r="AC720" s="131">
        <v>65143</v>
      </c>
      <c r="AD720" s="131">
        <v>0</v>
      </c>
      <c r="AE720" s="132">
        <v>65143</v>
      </c>
    </row>
    <row r="721" spans="1:31" x14ac:dyDescent="0.2">
      <c r="A721" s="133">
        <v>124</v>
      </c>
      <c r="B721" s="133" t="s">
        <v>1075</v>
      </c>
      <c r="C721" s="133" t="s">
        <v>1114</v>
      </c>
      <c r="D721" s="133" t="s">
        <v>1584</v>
      </c>
      <c r="E721" s="133" t="s">
        <v>1116</v>
      </c>
      <c r="F721" s="133" t="s">
        <v>1117</v>
      </c>
      <c r="G721" s="133" t="s">
        <v>1118</v>
      </c>
      <c r="H721" s="133" t="s">
        <v>1133</v>
      </c>
      <c r="I721" s="133" t="s">
        <v>1134</v>
      </c>
      <c r="J721" s="133" t="s">
        <v>1135</v>
      </c>
      <c r="K721" s="130" t="s">
        <v>1144</v>
      </c>
      <c r="L721" s="130" t="s">
        <v>1671</v>
      </c>
      <c r="M721" s="130" t="s">
        <v>1587</v>
      </c>
      <c r="N721" s="130" t="s">
        <v>1588</v>
      </c>
      <c r="O721" s="130" t="s">
        <v>1589</v>
      </c>
      <c r="P721" s="130" t="s">
        <v>1590</v>
      </c>
      <c r="Q721" s="130" t="s">
        <v>1127</v>
      </c>
      <c r="R721" s="130" t="s">
        <v>1413</v>
      </c>
      <c r="S721" s="130" t="s">
        <v>1157</v>
      </c>
      <c r="T721" s="130" t="s">
        <v>1176</v>
      </c>
      <c r="U721" s="130">
        <v>0</v>
      </c>
      <c r="V721" s="131">
        <v>93475</v>
      </c>
      <c r="W721" s="131">
        <v>93475</v>
      </c>
      <c r="X721" s="131">
        <v>49810</v>
      </c>
      <c r="Y721" s="131">
        <v>43665</v>
      </c>
      <c r="Z721" s="131">
        <v>49810</v>
      </c>
      <c r="AA721" s="131">
        <v>43665</v>
      </c>
      <c r="AB721" s="131">
        <v>5950</v>
      </c>
      <c r="AC721" s="131">
        <v>87525</v>
      </c>
      <c r="AD721" s="131">
        <v>0</v>
      </c>
      <c r="AE721" s="132">
        <v>93475</v>
      </c>
    </row>
    <row r="722" spans="1:31" x14ac:dyDescent="0.2">
      <c r="A722" s="130">
        <v>125</v>
      </c>
      <c r="B722" s="130" t="s">
        <v>1672</v>
      </c>
      <c r="C722" s="130" t="s">
        <v>1114</v>
      </c>
      <c r="D722" s="130" t="s">
        <v>1584</v>
      </c>
      <c r="E722" s="130" t="s">
        <v>1116</v>
      </c>
      <c r="F722" s="130" t="s">
        <v>1117</v>
      </c>
      <c r="G722" s="130" t="s">
        <v>1118</v>
      </c>
      <c r="H722" s="130" t="s">
        <v>1119</v>
      </c>
      <c r="I722" s="130" t="s">
        <v>1169</v>
      </c>
      <c r="J722" s="130" t="s">
        <v>1195</v>
      </c>
      <c r="K722" s="130" t="s">
        <v>1196</v>
      </c>
      <c r="L722" s="130" t="s">
        <v>1673</v>
      </c>
      <c r="M722" s="130" t="s">
        <v>1587</v>
      </c>
      <c r="N722" s="130" t="s">
        <v>1588</v>
      </c>
      <c r="O722" s="130" t="s">
        <v>1589</v>
      </c>
      <c r="P722" s="130" t="s">
        <v>1590</v>
      </c>
      <c r="Q722" s="130" t="s">
        <v>1127</v>
      </c>
      <c r="R722" s="130" t="s">
        <v>1175</v>
      </c>
      <c r="S722" s="130" t="s">
        <v>1157</v>
      </c>
      <c r="T722" s="130" t="s">
        <v>1176</v>
      </c>
      <c r="U722" s="130">
        <v>800000</v>
      </c>
      <c r="V722" s="131">
        <v>-800000</v>
      </c>
      <c r="W722" s="131">
        <v>0</v>
      </c>
      <c r="X722" s="131">
        <v>0</v>
      </c>
      <c r="Y722" s="131">
        <v>0</v>
      </c>
      <c r="Z722" s="131">
        <v>0</v>
      </c>
      <c r="AA722" s="131">
        <v>0</v>
      </c>
      <c r="AB722" s="131">
        <v>0</v>
      </c>
      <c r="AC722" s="131">
        <v>0</v>
      </c>
      <c r="AD722" s="131">
        <v>0</v>
      </c>
      <c r="AE722" s="132">
        <v>0</v>
      </c>
    </row>
    <row r="723" spans="1:31" x14ac:dyDescent="0.2">
      <c r="A723" s="133">
        <v>125</v>
      </c>
      <c r="B723" s="133" t="s">
        <v>1672</v>
      </c>
      <c r="C723" s="133" t="s">
        <v>1114</v>
      </c>
      <c r="D723" s="133" t="s">
        <v>1584</v>
      </c>
      <c r="E723" s="133" t="s">
        <v>1116</v>
      </c>
      <c r="F723" s="133" t="s">
        <v>1117</v>
      </c>
      <c r="G723" s="133" t="s">
        <v>1118</v>
      </c>
      <c r="H723" s="130" t="s">
        <v>1133</v>
      </c>
      <c r="I723" s="130" t="s">
        <v>1134</v>
      </c>
      <c r="J723" s="130" t="s">
        <v>1166</v>
      </c>
      <c r="K723" s="130" t="s">
        <v>1167</v>
      </c>
      <c r="L723" s="130" t="s">
        <v>1673</v>
      </c>
      <c r="M723" s="130" t="s">
        <v>1587</v>
      </c>
      <c r="N723" s="130" t="s">
        <v>1588</v>
      </c>
      <c r="O723" s="130" t="s">
        <v>1589</v>
      </c>
      <c r="P723" s="130" t="s">
        <v>1590</v>
      </c>
      <c r="Q723" s="130" t="s">
        <v>1127</v>
      </c>
      <c r="R723" s="130" t="s">
        <v>1175</v>
      </c>
      <c r="S723" s="130" t="s">
        <v>1157</v>
      </c>
      <c r="T723" s="130" t="s">
        <v>1176</v>
      </c>
      <c r="U723" s="130">
        <v>0</v>
      </c>
      <c r="V723" s="131">
        <v>174368</v>
      </c>
      <c r="W723" s="131">
        <v>174368</v>
      </c>
      <c r="X723" s="131">
        <v>135114</v>
      </c>
      <c r="Y723" s="131">
        <v>39254</v>
      </c>
      <c r="Z723" s="131">
        <v>135114</v>
      </c>
      <c r="AA723" s="131">
        <v>39254</v>
      </c>
      <c r="AB723" s="131">
        <v>118687.86</v>
      </c>
      <c r="AC723" s="131">
        <v>55680.14</v>
      </c>
      <c r="AD723" s="131">
        <v>97687.86</v>
      </c>
      <c r="AE723" s="132">
        <v>76680.14</v>
      </c>
    </row>
    <row r="724" spans="1:31" x14ac:dyDescent="0.2">
      <c r="A724" s="130">
        <v>126</v>
      </c>
      <c r="B724" s="130" t="s">
        <v>1674</v>
      </c>
      <c r="C724" s="130" t="s">
        <v>1114</v>
      </c>
      <c r="D724" s="130" t="s">
        <v>1602</v>
      </c>
      <c r="E724" s="130" t="s">
        <v>1116</v>
      </c>
      <c r="F724" s="130" t="s">
        <v>1117</v>
      </c>
      <c r="G724" s="130" t="s">
        <v>1118</v>
      </c>
      <c r="H724" s="130" t="s">
        <v>1119</v>
      </c>
      <c r="I724" s="130" t="s">
        <v>1169</v>
      </c>
      <c r="J724" s="130" t="s">
        <v>1195</v>
      </c>
      <c r="K724" s="130" t="s">
        <v>1196</v>
      </c>
      <c r="L724" s="130" t="s">
        <v>1675</v>
      </c>
      <c r="M724" s="130" t="s">
        <v>1587</v>
      </c>
      <c r="N724" s="130" t="s">
        <v>1588</v>
      </c>
      <c r="O724" s="130" t="s">
        <v>1589</v>
      </c>
      <c r="P724" s="130" t="s">
        <v>1604</v>
      </c>
      <c r="Q724" s="130" t="s">
        <v>1127</v>
      </c>
      <c r="R724" s="130" t="s">
        <v>1417</v>
      </c>
      <c r="S724" s="130" t="s">
        <v>1157</v>
      </c>
      <c r="T724" s="130" t="s">
        <v>1176</v>
      </c>
      <c r="U724" s="130">
        <v>800000</v>
      </c>
      <c r="V724" s="131">
        <v>-800000</v>
      </c>
      <c r="W724" s="131">
        <v>0</v>
      </c>
      <c r="X724" s="131">
        <v>0</v>
      </c>
      <c r="Y724" s="131">
        <v>0</v>
      </c>
      <c r="Z724" s="131">
        <v>0</v>
      </c>
      <c r="AA724" s="131">
        <v>0</v>
      </c>
      <c r="AB724" s="131">
        <v>0</v>
      </c>
      <c r="AC724" s="131">
        <v>0</v>
      </c>
      <c r="AD724" s="131">
        <v>0</v>
      </c>
      <c r="AE724" s="132">
        <v>0</v>
      </c>
    </row>
    <row r="725" spans="1:31" x14ac:dyDescent="0.2">
      <c r="A725" s="133">
        <v>126</v>
      </c>
      <c r="B725" s="133" t="s">
        <v>1674</v>
      </c>
      <c r="C725" s="133" t="s">
        <v>1114</v>
      </c>
      <c r="D725" s="133" t="s">
        <v>1602</v>
      </c>
      <c r="E725" s="133" t="s">
        <v>1116</v>
      </c>
      <c r="F725" s="133" t="s">
        <v>1117</v>
      </c>
      <c r="G725" s="133" t="s">
        <v>1118</v>
      </c>
      <c r="H725" s="130" t="s">
        <v>1133</v>
      </c>
      <c r="I725" s="130" t="s">
        <v>1134</v>
      </c>
      <c r="J725" s="130" t="s">
        <v>1166</v>
      </c>
      <c r="K725" s="130" t="s">
        <v>1167</v>
      </c>
      <c r="L725" s="130" t="s">
        <v>1675</v>
      </c>
      <c r="M725" s="130" t="s">
        <v>1587</v>
      </c>
      <c r="N725" s="130" t="s">
        <v>1588</v>
      </c>
      <c r="O725" s="130" t="s">
        <v>1589</v>
      </c>
      <c r="P725" s="130" t="s">
        <v>1604</v>
      </c>
      <c r="Q725" s="130" t="s">
        <v>1127</v>
      </c>
      <c r="R725" s="130" t="s">
        <v>1417</v>
      </c>
      <c r="S725" s="130" t="s">
        <v>1157</v>
      </c>
      <c r="T725" s="130" t="s">
        <v>1176</v>
      </c>
      <c r="U725" s="130">
        <v>0</v>
      </c>
      <c r="V725" s="131">
        <v>520686</v>
      </c>
      <c r="W725" s="131">
        <v>520686</v>
      </c>
      <c r="X725" s="131">
        <v>519986</v>
      </c>
      <c r="Y725" s="131">
        <v>700</v>
      </c>
      <c r="Z725" s="131">
        <v>519986</v>
      </c>
      <c r="AA725" s="131">
        <v>700</v>
      </c>
      <c r="AB725" s="131">
        <v>436477.41</v>
      </c>
      <c r="AC725" s="131">
        <v>84208.590000000026</v>
      </c>
      <c r="AD725" s="131">
        <v>232987.41000000003</v>
      </c>
      <c r="AE725" s="132">
        <v>287698.58999999997</v>
      </c>
    </row>
    <row r="726" spans="1:31" x14ac:dyDescent="0.2">
      <c r="A726" s="130">
        <v>127</v>
      </c>
      <c r="B726" s="130" t="s">
        <v>1676</v>
      </c>
      <c r="C726" s="130" t="s">
        <v>1114</v>
      </c>
      <c r="D726" s="130" t="s">
        <v>1584</v>
      </c>
      <c r="E726" s="130" t="s">
        <v>1116</v>
      </c>
      <c r="F726" s="130" t="s">
        <v>1117</v>
      </c>
      <c r="G726" s="130" t="s">
        <v>1118</v>
      </c>
      <c r="H726" s="130" t="s">
        <v>1119</v>
      </c>
      <c r="I726" s="130" t="s">
        <v>1120</v>
      </c>
      <c r="J726" s="130" t="s">
        <v>1121</v>
      </c>
      <c r="K726" s="130" t="s">
        <v>1122</v>
      </c>
      <c r="L726" s="130" t="s">
        <v>1677</v>
      </c>
      <c r="M726" s="130" t="s">
        <v>1587</v>
      </c>
      <c r="N726" s="130" t="s">
        <v>1588</v>
      </c>
      <c r="O726" s="130" t="s">
        <v>1589</v>
      </c>
      <c r="P726" s="130" t="s">
        <v>1590</v>
      </c>
      <c r="Q726" s="130" t="s">
        <v>1127</v>
      </c>
      <c r="R726" s="130" t="s">
        <v>1128</v>
      </c>
      <c r="S726" s="130" t="s">
        <v>1157</v>
      </c>
      <c r="T726" s="130" t="s">
        <v>1176</v>
      </c>
      <c r="U726" s="130">
        <v>0</v>
      </c>
      <c r="V726" s="131">
        <v>0</v>
      </c>
      <c r="W726" s="131">
        <v>0</v>
      </c>
      <c r="X726" s="131">
        <v>0</v>
      </c>
      <c r="Y726" s="131">
        <v>0</v>
      </c>
      <c r="Z726" s="131">
        <v>0</v>
      </c>
      <c r="AA726" s="131">
        <v>0</v>
      </c>
      <c r="AB726" s="131">
        <v>0</v>
      </c>
      <c r="AC726" s="131">
        <v>0</v>
      </c>
      <c r="AD726" s="131">
        <v>0</v>
      </c>
      <c r="AE726" s="132">
        <v>0</v>
      </c>
    </row>
    <row r="727" spans="1:31" x14ac:dyDescent="0.2">
      <c r="A727" s="133">
        <v>127</v>
      </c>
      <c r="B727" s="133" t="s">
        <v>1676</v>
      </c>
      <c r="C727" s="133" t="s">
        <v>1114</v>
      </c>
      <c r="D727" s="133" t="s">
        <v>1584</v>
      </c>
      <c r="E727" s="133" t="s">
        <v>1116</v>
      </c>
      <c r="F727" s="133" t="s">
        <v>1117</v>
      </c>
      <c r="G727" s="133" t="s">
        <v>1118</v>
      </c>
      <c r="H727" s="133" t="s">
        <v>1119</v>
      </c>
      <c r="I727" s="130" t="s">
        <v>1169</v>
      </c>
      <c r="J727" s="130" t="s">
        <v>1195</v>
      </c>
      <c r="K727" s="130" t="s">
        <v>1196</v>
      </c>
      <c r="L727" s="130" t="s">
        <v>1677</v>
      </c>
      <c r="M727" s="130" t="s">
        <v>1587</v>
      </c>
      <c r="N727" s="130" t="s">
        <v>1588</v>
      </c>
      <c r="O727" s="130" t="s">
        <v>1589</v>
      </c>
      <c r="P727" s="130" t="s">
        <v>1590</v>
      </c>
      <c r="Q727" s="130" t="s">
        <v>1127</v>
      </c>
      <c r="R727" s="130" t="s">
        <v>1128</v>
      </c>
      <c r="S727" s="130" t="s">
        <v>1157</v>
      </c>
      <c r="T727" s="130" t="s">
        <v>1176</v>
      </c>
      <c r="U727" s="130">
        <v>5156000</v>
      </c>
      <c r="V727" s="131">
        <v>-5156000</v>
      </c>
      <c r="W727" s="131">
        <v>0</v>
      </c>
      <c r="X727" s="131">
        <v>0</v>
      </c>
      <c r="Y727" s="131">
        <v>0</v>
      </c>
      <c r="Z727" s="131">
        <v>0</v>
      </c>
      <c r="AA727" s="131">
        <v>0</v>
      </c>
      <c r="AB727" s="131">
        <v>0</v>
      </c>
      <c r="AC727" s="131">
        <v>0</v>
      </c>
      <c r="AD727" s="131">
        <v>0</v>
      </c>
      <c r="AE727" s="132">
        <v>0</v>
      </c>
    </row>
    <row r="728" spans="1:31" x14ac:dyDescent="0.2">
      <c r="A728" s="133">
        <v>127</v>
      </c>
      <c r="B728" s="133" t="s">
        <v>1676</v>
      </c>
      <c r="C728" s="133" t="s">
        <v>1114</v>
      </c>
      <c r="D728" s="133" t="s">
        <v>1584</v>
      </c>
      <c r="E728" s="133" t="s">
        <v>1116</v>
      </c>
      <c r="F728" s="133" t="s">
        <v>1117</v>
      </c>
      <c r="G728" s="133" t="s">
        <v>1118</v>
      </c>
      <c r="H728" s="130" t="s">
        <v>1133</v>
      </c>
      <c r="I728" s="130" t="s">
        <v>1134</v>
      </c>
      <c r="J728" s="130" t="s">
        <v>1166</v>
      </c>
      <c r="K728" s="130" t="s">
        <v>1167</v>
      </c>
      <c r="L728" s="130" t="s">
        <v>1677</v>
      </c>
      <c r="M728" s="130" t="s">
        <v>1587</v>
      </c>
      <c r="N728" s="130" t="s">
        <v>1588</v>
      </c>
      <c r="O728" s="130" t="s">
        <v>1589</v>
      </c>
      <c r="P728" s="130" t="s">
        <v>1590</v>
      </c>
      <c r="Q728" s="130" t="s">
        <v>1127</v>
      </c>
      <c r="R728" s="130" t="s">
        <v>1128</v>
      </c>
      <c r="S728" s="130" t="s">
        <v>1157</v>
      </c>
      <c r="T728" s="130" t="s">
        <v>1176</v>
      </c>
      <c r="U728" s="130">
        <v>0</v>
      </c>
      <c r="V728" s="131">
        <v>157636</v>
      </c>
      <c r="W728" s="131">
        <v>157636</v>
      </c>
      <c r="X728" s="131">
        <v>157636</v>
      </c>
      <c r="Y728" s="131">
        <v>0</v>
      </c>
      <c r="Z728" s="131">
        <v>157636</v>
      </c>
      <c r="AA728" s="131">
        <v>0</v>
      </c>
      <c r="AB728" s="131">
        <v>136413.5</v>
      </c>
      <c r="AC728" s="131">
        <v>21222.5</v>
      </c>
      <c r="AD728" s="131">
        <v>136413.5</v>
      </c>
      <c r="AE728" s="132">
        <v>21222.5</v>
      </c>
    </row>
    <row r="729" spans="1:31" x14ac:dyDescent="0.2">
      <c r="A729" s="130">
        <v>128</v>
      </c>
      <c r="B729" s="130" t="s">
        <v>1678</v>
      </c>
      <c r="C729" s="130" t="s">
        <v>1114</v>
      </c>
      <c r="D729" s="130" t="s">
        <v>1584</v>
      </c>
      <c r="E729" s="130" t="s">
        <v>1116</v>
      </c>
      <c r="F729" s="130" t="s">
        <v>1117</v>
      </c>
      <c r="G729" s="130" t="s">
        <v>1118</v>
      </c>
      <c r="H729" s="130" t="s">
        <v>1119</v>
      </c>
      <c r="I729" s="130" t="s">
        <v>1169</v>
      </c>
      <c r="J729" s="130" t="s">
        <v>1195</v>
      </c>
      <c r="K729" s="130" t="s">
        <v>1196</v>
      </c>
      <c r="L729" s="130" t="s">
        <v>1679</v>
      </c>
      <c r="M729" s="130" t="s">
        <v>1587</v>
      </c>
      <c r="N729" s="130" t="s">
        <v>1588</v>
      </c>
      <c r="O729" s="130" t="s">
        <v>1589</v>
      </c>
      <c r="P729" s="130" t="s">
        <v>1590</v>
      </c>
      <c r="Q729" s="130" t="s">
        <v>1127</v>
      </c>
      <c r="R729" s="130" t="s">
        <v>1175</v>
      </c>
      <c r="S729" s="130" t="s">
        <v>1455</v>
      </c>
      <c r="T729" s="130" t="s">
        <v>1176</v>
      </c>
      <c r="U729" s="130">
        <v>16501</v>
      </c>
      <c r="V729" s="131">
        <v>-16501</v>
      </c>
      <c r="W729" s="131">
        <v>0</v>
      </c>
      <c r="X729" s="131">
        <v>0</v>
      </c>
      <c r="Y729" s="131">
        <v>0</v>
      </c>
      <c r="Z729" s="131">
        <v>0</v>
      </c>
      <c r="AA729" s="131">
        <v>0</v>
      </c>
      <c r="AB729" s="131">
        <v>0</v>
      </c>
      <c r="AC729" s="131">
        <v>0</v>
      </c>
      <c r="AD729" s="131">
        <v>0</v>
      </c>
      <c r="AE729" s="132">
        <v>0</v>
      </c>
    </row>
    <row r="730" spans="1:31" x14ac:dyDescent="0.2">
      <c r="A730" s="133">
        <v>128</v>
      </c>
      <c r="B730" s="133" t="s">
        <v>1678</v>
      </c>
      <c r="C730" s="133" t="s">
        <v>1114</v>
      </c>
      <c r="D730" s="133" t="s">
        <v>1584</v>
      </c>
      <c r="E730" s="133" t="s">
        <v>1116</v>
      </c>
      <c r="F730" s="133" t="s">
        <v>1117</v>
      </c>
      <c r="G730" s="133" t="s">
        <v>1118</v>
      </c>
      <c r="H730" s="133" t="s">
        <v>1119</v>
      </c>
      <c r="I730" s="133" t="s">
        <v>1169</v>
      </c>
      <c r="J730" s="133" t="s">
        <v>1195</v>
      </c>
      <c r="K730" s="130" t="s">
        <v>1585</v>
      </c>
      <c r="L730" s="130" t="s">
        <v>1679</v>
      </c>
      <c r="M730" s="130" t="s">
        <v>1587</v>
      </c>
      <c r="N730" s="130" t="s">
        <v>1588</v>
      </c>
      <c r="O730" s="130" t="s">
        <v>1589</v>
      </c>
      <c r="P730" s="130" t="s">
        <v>1590</v>
      </c>
      <c r="Q730" s="130" t="s">
        <v>1127</v>
      </c>
      <c r="R730" s="130" t="s">
        <v>1175</v>
      </c>
      <c r="S730" s="130" t="s">
        <v>1455</v>
      </c>
      <c r="T730" s="130" t="s">
        <v>1176</v>
      </c>
      <c r="U730" s="130">
        <v>0</v>
      </c>
      <c r="V730" s="131">
        <v>664055</v>
      </c>
      <c r="W730" s="131">
        <v>664055</v>
      </c>
      <c r="X730" s="131">
        <v>664055</v>
      </c>
      <c r="Y730" s="131">
        <v>0</v>
      </c>
      <c r="Z730" s="131">
        <v>664055</v>
      </c>
      <c r="AA730" s="131">
        <v>0</v>
      </c>
      <c r="AB730" s="131">
        <v>661694.47</v>
      </c>
      <c r="AC730" s="131">
        <v>2360.5300000000279</v>
      </c>
      <c r="AD730" s="131">
        <v>661694.47</v>
      </c>
      <c r="AE730" s="132">
        <v>2360.5300000000279</v>
      </c>
    </row>
    <row r="731" spans="1:31" x14ac:dyDescent="0.2">
      <c r="A731" s="133">
        <v>128</v>
      </c>
      <c r="B731" s="133" t="s">
        <v>1678</v>
      </c>
      <c r="C731" s="133" t="s">
        <v>1114</v>
      </c>
      <c r="D731" s="133" t="s">
        <v>1584</v>
      </c>
      <c r="E731" s="133" t="s">
        <v>1116</v>
      </c>
      <c r="F731" s="133" t="s">
        <v>1117</v>
      </c>
      <c r="G731" s="133" t="s">
        <v>1118</v>
      </c>
      <c r="H731" s="133" t="s">
        <v>1119</v>
      </c>
      <c r="I731" s="133" t="s">
        <v>1169</v>
      </c>
      <c r="J731" s="133" t="s">
        <v>1195</v>
      </c>
      <c r="K731" s="130" t="s">
        <v>1592</v>
      </c>
      <c r="L731" s="130" t="s">
        <v>1679</v>
      </c>
      <c r="M731" s="130" t="s">
        <v>1587</v>
      </c>
      <c r="N731" s="130" t="s">
        <v>1588</v>
      </c>
      <c r="O731" s="130" t="s">
        <v>1589</v>
      </c>
      <c r="P731" s="130" t="s">
        <v>1590</v>
      </c>
      <c r="Q731" s="130" t="s">
        <v>1127</v>
      </c>
      <c r="R731" s="130" t="s">
        <v>1175</v>
      </c>
      <c r="S731" s="130" t="s">
        <v>1455</v>
      </c>
      <c r="T731" s="130" t="s">
        <v>1176</v>
      </c>
      <c r="U731" s="130">
        <v>0</v>
      </c>
      <c r="V731" s="131">
        <v>1625483</v>
      </c>
      <c r="W731" s="131">
        <v>1625483</v>
      </c>
      <c r="X731" s="131">
        <v>1605129.01</v>
      </c>
      <c r="Y731" s="131">
        <v>20353.989999999991</v>
      </c>
      <c r="Z731" s="131">
        <v>1044379.21</v>
      </c>
      <c r="AA731" s="131">
        <v>581103.79</v>
      </c>
      <c r="AB731" s="131">
        <v>1044379.2100000001</v>
      </c>
      <c r="AC731" s="131">
        <v>581103.78999999992</v>
      </c>
      <c r="AD731" s="131">
        <v>338094.83999999997</v>
      </c>
      <c r="AE731" s="132">
        <v>1287388.1600000001</v>
      </c>
    </row>
    <row r="732" spans="1:31" x14ac:dyDescent="0.2">
      <c r="A732" s="133">
        <v>128</v>
      </c>
      <c r="B732" s="133" t="s">
        <v>1678</v>
      </c>
      <c r="C732" s="133" t="s">
        <v>1114</v>
      </c>
      <c r="D732" s="133" t="s">
        <v>1584</v>
      </c>
      <c r="E732" s="133" t="s">
        <v>1116</v>
      </c>
      <c r="F732" s="133" t="s">
        <v>1117</v>
      </c>
      <c r="G732" s="133" t="s">
        <v>1118</v>
      </c>
      <c r="H732" s="133" t="s">
        <v>1119</v>
      </c>
      <c r="I732" s="133" t="s">
        <v>1169</v>
      </c>
      <c r="J732" s="133" t="s">
        <v>1195</v>
      </c>
      <c r="K732" s="130" t="s">
        <v>1593</v>
      </c>
      <c r="L732" s="130" t="s">
        <v>1679</v>
      </c>
      <c r="M732" s="130" t="s">
        <v>1587</v>
      </c>
      <c r="N732" s="130" t="s">
        <v>1588</v>
      </c>
      <c r="O732" s="130" t="s">
        <v>1589</v>
      </c>
      <c r="P732" s="130" t="s">
        <v>1590</v>
      </c>
      <c r="Q732" s="130" t="s">
        <v>1127</v>
      </c>
      <c r="R732" s="130" t="s">
        <v>1175</v>
      </c>
      <c r="S732" s="130" t="s">
        <v>1455</v>
      </c>
      <c r="T732" s="130" t="s">
        <v>1176</v>
      </c>
      <c r="U732" s="130">
        <v>0</v>
      </c>
      <c r="V732" s="131">
        <v>965528</v>
      </c>
      <c r="W732" s="131">
        <v>965528</v>
      </c>
      <c r="X732" s="131">
        <v>795200.33</v>
      </c>
      <c r="Y732" s="131">
        <v>170327.67000000004</v>
      </c>
      <c r="Z732" s="131">
        <v>755150.33</v>
      </c>
      <c r="AA732" s="131">
        <v>210377.67000000004</v>
      </c>
      <c r="AB732" s="131">
        <v>755150.33000000007</v>
      </c>
      <c r="AC732" s="131">
        <v>210377.66999999993</v>
      </c>
      <c r="AD732" s="131">
        <v>643395.33000000007</v>
      </c>
      <c r="AE732" s="132">
        <v>322132.66999999993</v>
      </c>
    </row>
    <row r="733" spans="1:31" x14ac:dyDescent="0.2">
      <c r="A733" s="133">
        <v>128</v>
      </c>
      <c r="B733" s="133" t="s">
        <v>1678</v>
      </c>
      <c r="C733" s="133" t="s">
        <v>1114</v>
      </c>
      <c r="D733" s="133" t="s">
        <v>1584</v>
      </c>
      <c r="E733" s="133" t="s">
        <v>1116</v>
      </c>
      <c r="F733" s="133" t="s">
        <v>1117</v>
      </c>
      <c r="G733" s="133" t="s">
        <v>1118</v>
      </c>
      <c r="H733" s="130" t="s">
        <v>1133</v>
      </c>
      <c r="I733" s="130" t="s">
        <v>1134</v>
      </c>
      <c r="J733" s="130" t="s">
        <v>1135</v>
      </c>
      <c r="K733" s="130" t="s">
        <v>1178</v>
      </c>
      <c r="L733" s="130" t="s">
        <v>1679</v>
      </c>
      <c r="M733" s="130" t="s">
        <v>1587</v>
      </c>
      <c r="N733" s="130" t="s">
        <v>1588</v>
      </c>
      <c r="O733" s="130" t="s">
        <v>1589</v>
      </c>
      <c r="P733" s="130" t="s">
        <v>1590</v>
      </c>
      <c r="Q733" s="130" t="s">
        <v>1127</v>
      </c>
      <c r="R733" s="130" t="s">
        <v>1175</v>
      </c>
      <c r="S733" s="130" t="s">
        <v>1455</v>
      </c>
      <c r="T733" s="130" t="s">
        <v>1176</v>
      </c>
      <c r="U733" s="130">
        <v>0</v>
      </c>
      <c r="V733" s="131">
        <v>192233</v>
      </c>
      <c r="W733" s="131">
        <v>192233</v>
      </c>
      <c r="X733" s="131">
        <v>112000</v>
      </c>
      <c r="Y733" s="131">
        <v>80233</v>
      </c>
      <c r="Z733" s="131">
        <v>112000</v>
      </c>
      <c r="AA733" s="131">
        <v>80233</v>
      </c>
      <c r="AB733" s="131">
        <v>94787.87</v>
      </c>
      <c r="AC733" s="131">
        <v>97445.13</v>
      </c>
      <c r="AD733" s="131">
        <v>94787.87</v>
      </c>
      <c r="AE733" s="132">
        <v>97445.13</v>
      </c>
    </row>
    <row r="734" spans="1:31" x14ac:dyDescent="0.2">
      <c r="A734" s="133">
        <v>128</v>
      </c>
      <c r="B734" s="133" t="s">
        <v>1678</v>
      </c>
      <c r="C734" s="133" t="s">
        <v>1114</v>
      </c>
      <c r="D734" s="133" t="s">
        <v>1584</v>
      </c>
      <c r="E734" s="133" t="s">
        <v>1116</v>
      </c>
      <c r="F734" s="133" t="s">
        <v>1117</v>
      </c>
      <c r="G734" s="133" t="s">
        <v>1118</v>
      </c>
      <c r="H734" s="133" t="s">
        <v>1133</v>
      </c>
      <c r="I734" s="133" t="s">
        <v>1134</v>
      </c>
      <c r="J734" s="133" t="s">
        <v>1135</v>
      </c>
      <c r="K734" s="130" t="s">
        <v>1179</v>
      </c>
      <c r="L734" s="130" t="s">
        <v>1679</v>
      </c>
      <c r="M734" s="130" t="s">
        <v>1587</v>
      </c>
      <c r="N734" s="130" t="s">
        <v>1588</v>
      </c>
      <c r="O734" s="130" t="s">
        <v>1589</v>
      </c>
      <c r="P734" s="130" t="s">
        <v>1590</v>
      </c>
      <c r="Q734" s="130" t="s">
        <v>1127</v>
      </c>
      <c r="R734" s="130" t="s">
        <v>1175</v>
      </c>
      <c r="S734" s="130" t="s">
        <v>1455</v>
      </c>
      <c r="T734" s="130" t="s">
        <v>1176</v>
      </c>
      <c r="U734" s="130">
        <v>0</v>
      </c>
      <c r="V734" s="131">
        <v>27712</v>
      </c>
      <c r="W734" s="131">
        <v>27712</v>
      </c>
      <c r="X734" s="131">
        <v>10942.4</v>
      </c>
      <c r="Y734" s="131">
        <v>16769.599999999999</v>
      </c>
      <c r="Z734" s="131">
        <v>10942.4</v>
      </c>
      <c r="AA734" s="131">
        <v>16769.599999999999</v>
      </c>
      <c r="AB734" s="131">
        <v>10942.4</v>
      </c>
      <c r="AC734" s="131">
        <v>16769.599999999999</v>
      </c>
      <c r="AD734" s="131">
        <v>8552</v>
      </c>
      <c r="AE734" s="132">
        <v>19160</v>
      </c>
    </row>
    <row r="735" spans="1:31" x14ac:dyDescent="0.2">
      <c r="A735" s="133">
        <v>128</v>
      </c>
      <c r="B735" s="133" t="s">
        <v>1678</v>
      </c>
      <c r="C735" s="133" t="s">
        <v>1114</v>
      </c>
      <c r="D735" s="133" t="s">
        <v>1584</v>
      </c>
      <c r="E735" s="133" t="s">
        <v>1116</v>
      </c>
      <c r="F735" s="133" t="s">
        <v>1117</v>
      </c>
      <c r="G735" s="133" t="s">
        <v>1118</v>
      </c>
      <c r="H735" s="133" t="s">
        <v>1133</v>
      </c>
      <c r="I735" s="133" t="s">
        <v>1134</v>
      </c>
      <c r="J735" s="133" t="s">
        <v>1135</v>
      </c>
      <c r="K735" s="130" t="s">
        <v>1144</v>
      </c>
      <c r="L735" s="130" t="s">
        <v>1679</v>
      </c>
      <c r="M735" s="130" t="s">
        <v>1587</v>
      </c>
      <c r="N735" s="130" t="s">
        <v>1588</v>
      </c>
      <c r="O735" s="130" t="s">
        <v>1589</v>
      </c>
      <c r="P735" s="130" t="s">
        <v>1590</v>
      </c>
      <c r="Q735" s="130" t="s">
        <v>1127</v>
      </c>
      <c r="R735" s="130" t="s">
        <v>1175</v>
      </c>
      <c r="S735" s="130" t="s">
        <v>1455</v>
      </c>
      <c r="T735" s="130" t="s">
        <v>1176</v>
      </c>
      <c r="U735" s="130">
        <v>0</v>
      </c>
      <c r="V735" s="131">
        <v>31950</v>
      </c>
      <c r="W735" s="131">
        <v>31950</v>
      </c>
      <c r="X735" s="131">
        <v>12340</v>
      </c>
      <c r="Y735" s="131">
        <v>19610</v>
      </c>
      <c r="Z735" s="131">
        <v>12340</v>
      </c>
      <c r="AA735" s="131">
        <v>19610</v>
      </c>
      <c r="AB735" s="131">
        <v>12340</v>
      </c>
      <c r="AC735" s="131">
        <v>19610</v>
      </c>
      <c r="AD735" s="131">
        <v>8290</v>
      </c>
      <c r="AE735" s="132">
        <v>23660</v>
      </c>
    </row>
    <row r="736" spans="1:31" x14ac:dyDescent="0.2">
      <c r="A736" s="130">
        <v>129</v>
      </c>
      <c r="B736" s="130" t="s">
        <v>1680</v>
      </c>
      <c r="C736" s="130" t="s">
        <v>1114</v>
      </c>
      <c r="D736" s="130" t="s">
        <v>1584</v>
      </c>
      <c r="E736" s="130" t="s">
        <v>1116</v>
      </c>
      <c r="F736" s="130" t="s">
        <v>1117</v>
      </c>
      <c r="G736" s="130" t="s">
        <v>1118</v>
      </c>
      <c r="H736" s="130" t="s">
        <v>1119</v>
      </c>
      <c r="I736" s="130" t="s">
        <v>1169</v>
      </c>
      <c r="J736" s="130" t="s">
        <v>1195</v>
      </c>
      <c r="K736" s="130" t="s">
        <v>1196</v>
      </c>
      <c r="L736" s="130" t="s">
        <v>1681</v>
      </c>
      <c r="M736" s="130" t="s">
        <v>1587</v>
      </c>
      <c r="N736" s="130" t="s">
        <v>1588</v>
      </c>
      <c r="O736" s="130" t="s">
        <v>1589</v>
      </c>
      <c r="P736" s="130" t="s">
        <v>1590</v>
      </c>
      <c r="Q736" s="130" t="s">
        <v>1127</v>
      </c>
      <c r="R736" s="130" t="s">
        <v>1128</v>
      </c>
      <c r="S736" s="130" t="s">
        <v>1157</v>
      </c>
      <c r="T736" s="130" t="s">
        <v>1158</v>
      </c>
      <c r="U736" s="130">
        <v>800000</v>
      </c>
      <c r="V736" s="131">
        <v>-800000</v>
      </c>
      <c r="W736" s="131">
        <v>0</v>
      </c>
      <c r="X736" s="131">
        <v>0</v>
      </c>
      <c r="Y736" s="131">
        <v>0</v>
      </c>
      <c r="Z736" s="131">
        <v>0</v>
      </c>
      <c r="AA736" s="131">
        <v>0</v>
      </c>
      <c r="AB736" s="131">
        <v>0</v>
      </c>
      <c r="AC736" s="131">
        <v>0</v>
      </c>
      <c r="AD736" s="131">
        <v>0</v>
      </c>
      <c r="AE736" s="132">
        <v>0</v>
      </c>
    </row>
    <row r="737" spans="1:31" x14ac:dyDescent="0.2">
      <c r="A737" s="133">
        <v>129</v>
      </c>
      <c r="B737" s="133" t="s">
        <v>1680</v>
      </c>
      <c r="C737" s="133" t="s">
        <v>1114</v>
      </c>
      <c r="D737" s="133" t="s">
        <v>1584</v>
      </c>
      <c r="E737" s="133" t="s">
        <v>1116</v>
      </c>
      <c r="F737" s="133" t="s">
        <v>1117</v>
      </c>
      <c r="G737" s="133" t="s">
        <v>1118</v>
      </c>
      <c r="H737" s="130" t="s">
        <v>1133</v>
      </c>
      <c r="I737" s="130" t="s">
        <v>1134</v>
      </c>
      <c r="J737" s="130" t="s">
        <v>1166</v>
      </c>
      <c r="K737" s="130" t="s">
        <v>1167</v>
      </c>
      <c r="L737" s="130" t="s">
        <v>1681</v>
      </c>
      <c r="M737" s="130" t="s">
        <v>1587</v>
      </c>
      <c r="N737" s="130" t="s">
        <v>1588</v>
      </c>
      <c r="O737" s="130" t="s">
        <v>1589</v>
      </c>
      <c r="P737" s="130" t="s">
        <v>1590</v>
      </c>
      <c r="Q737" s="130" t="s">
        <v>1127</v>
      </c>
      <c r="R737" s="130" t="s">
        <v>1128</v>
      </c>
      <c r="S737" s="130" t="s">
        <v>1157</v>
      </c>
      <c r="T737" s="130" t="s">
        <v>1158</v>
      </c>
      <c r="U737" s="130">
        <v>0</v>
      </c>
      <c r="V737" s="131">
        <v>230847</v>
      </c>
      <c r="W737" s="131">
        <v>230847</v>
      </c>
      <c r="X737" s="131">
        <v>230847</v>
      </c>
      <c r="Y737" s="131">
        <v>0</v>
      </c>
      <c r="Z737" s="131">
        <v>230847</v>
      </c>
      <c r="AA737" s="131">
        <v>0</v>
      </c>
      <c r="AB737" s="131">
        <v>178478.6</v>
      </c>
      <c r="AC737" s="131">
        <v>52368.399999999994</v>
      </c>
      <c r="AD737" s="131">
        <v>115142.6</v>
      </c>
      <c r="AE737" s="132">
        <v>115704.4</v>
      </c>
    </row>
    <row r="738" spans="1:31" x14ac:dyDescent="0.2">
      <c r="A738" s="130">
        <v>130</v>
      </c>
      <c r="B738" s="130" t="s">
        <v>1682</v>
      </c>
      <c r="C738" s="130" t="s">
        <v>1114</v>
      </c>
      <c r="D738" s="130" t="s">
        <v>1584</v>
      </c>
      <c r="E738" s="130" t="s">
        <v>1116</v>
      </c>
      <c r="F738" s="130" t="s">
        <v>1117</v>
      </c>
      <c r="G738" s="130" t="s">
        <v>1118</v>
      </c>
      <c r="H738" s="130" t="s">
        <v>1119</v>
      </c>
      <c r="I738" s="130" t="s">
        <v>1169</v>
      </c>
      <c r="J738" s="130" t="s">
        <v>1195</v>
      </c>
      <c r="K738" s="130" t="s">
        <v>1196</v>
      </c>
      <c r="L738" s="130" t="s">
        <v>1683</v>
      </c>
      <c r="M738" s="130" t="s">
        <v>1587</v>
      </c>
      <c r="N738" s="130" t="s">
        <v>1588</v>
      </c>
      <c r="O738" s="130" t="s">
        <v>1589</v>
      </c>
      <c r="P738" s="130" t="s">
        <v>1590</v>
      </c>
      <c r="Q738" s="130" t="s">
        <v>1127</v>
      </c>
      <c r="R738" s="130" t="s">
        <v>1409</v>
      </c>
      <c r="S738" s="130" t="s">
        <v>1157</v>
      </c>
      <c r="T738" s="130" t="s">
        <v>1158</v>
      </c>
      <c r="U738" s="130">
        <v>800000</v>
      </c>
      <c r="V738" s="131">
        <v>-800000</v>
      </c>
      <c r="W738" s="131">
        <v>0</v>
      </c>
      <c r="X738" s="131">
        <v>0</v>
      </c>
      <c r="Y738" s="131">
        <v>0</v>
      </c>
      <c r="Z738" s="131">
        <v>0</v>
      </c>
      <c r="AA738" s="131">
        <v>0</v>
      </c>
      <c r="AB738" s="131">
        <v>0</v>
      </c>
      <c r="AC738" s="131">
        <v>0</v>
      </c>
      <c r="AD738" s="131">
        <v>0</v>
      </c>
      <c r="AE738" s="132">
        <v>0</v>
      </c>
    </row>
    <row r="739" spans="1:31" x14ac:dyDescent="0.2">
      <c r="A739" s="133">
        <v>130</v>
      </c>
      <c r="B739" s="133" t="s">
        <v>1682</v>
      </c>
      <c r="C739" s="133" t="s">
        <v>1114</v>
      </c>
      <c r="D739" s="133" t="s">
        <v>1584</v>
      </c>
      <c r="E739" s="133" t="s">
        <v>1116</v>
      </c>
      <c r="F739" s="133" t="s">
        <v>1117</v>
      </c>
      <c r="G739" s="133" t="s">
        <v>1118</v>
      </c>
      <c r="H739" s="130" t="s">
        <v>1133</v>
      </c>
      <c r="I739" s="130" t="s">
        <v>1134</v>
      </c>
      <c r="J739" s="130" t="s">
        <v>1166</v>
      </c>
      <c r="K739" s="130" t="s">
        <v>1167</v>
      </c>
      <c r="L739" s="130" t="s">
        <v>1683</v>
      </c>
      <c r="M739" s="130" t="s">
        <v>1587</v>
      </c>
      <c r="N739" s="130" t="s">
        <v>1588</v>
      </c>
      <c r="O739" s="130" t="s">
        <v>1589</v>
      </c>
      <c r="P739" s="130" t="s">
        <v>1590</v>
      </c>
      <c r="Q739" s="130" t="s">
        <v>1127</v>
      </c>
      <c r="R739" s="130" t="s">
        <v>1409</v>
      </c>
      <c r="S739" s="130" t="s">
        <v>1157</v>
      </c>
      <c r="T739" s="130" t="s">
        <v>1158</v>
      </c>
      <c r="U739" s="130">
        <v>0</v>
      </c>
      <c r="V739" s="131">
        <v>318062</v>
      </c>
      <c r="W739" s="131">
        <v>318062</v>
      </c>
      <c r="X739" s="131">
        <v>225147.4</v>
      </c>
      <c r="Y739" s="131">
        <v>92914.6</v>
      </c>
      <c r="Z739" s="131">
        <v>225147.4</v>
      </c>
      <c r="AA739" s="131">
        <v>92914.6</v>
      </c>
      <c r="AB739" s="131">
        <v>196585.68</v>
      </c>
      <c r="AC739" s="131">
        <v>121476.32</v>
      </c>
      <c r="AD739" s="131">
        <v>196585.68</v>
      </c>
      <c r="AE739" s="132">
        <v>121476.32</v>
      </c>
    </row>
    <row r="740" spans="1:31" x14ac:dyDescent="0.2">
      <c r="A740" s="130">
        <v>131</v>
      </c>
      <c r="B740" s="130" t="s">
        <v>1684</v>
      </c>
      <c r="C740" s="130" t="s">
        <v>1114</v>
      </c>
      <c r="D740" s="130" t="s">
        <v>1584</v>
      </c>
      <c r="E740" s="130" t="s">
        <v>1116</v>
      </c>
      <c r="F740" s="130" t="s">
        <v>1117</v>
      </c>
      <c r="G740" s="130" t="s">
        <v>1118</v>
      </c>
      <c r="H740" s="130" t="s">
        <v>1119</v>
      </c>
      <c r="I740" s="130" t="s">
        <v>1169</v>
      </c>
      <c r="J740" s="130" t="s">
        <v>1195</v>
      </c>
      <c r="K740" s="130" t="s">
        <v>1196</v>
      </c>
      <c r="L740" s="130" t="s">
        <v>1685</v>
      </c>
      <c r="M740" s="130" t="s">
        <v>1587</v>
      </c>
      <c r="N740" s="130" t="s">
        <v>1588</v>
      </c>
      <c r="O740" s="130" t="s">
        <v>1589</v>
      </c>
      <c r="P740" s="130" t="s">
        <v>1590</v>
      </c>
      <c r="Q740" s="130" t="s">
        <v>1127</v>
      </c>
      <c r="R740" s="130" t="s">
        <v>1472</v>
      </c>
      <c r="S740" s="130" t="s">
        <v>1686</v>
      </c>
      <c r="T740" s="130" t="s">
        <v>1158</v>
      </c>
      <c r="U740" s="130">
        <v>500000</v>
      </c>
      <c r="V740" s="131">
        <v>-500000</v>
      </c>
      <c r="W740" s="131">
        <v>0</v>
      </c>
      <c r="X740" s="131">
        <v>0</v>
      </c>
      <c r="Y740" s="131">
        <v>0</v>
      </c>
      <c r="Z740" s="131">
        <v>0</v>
      </c>
      <c r="AA740" s="131">
        <v>0</v>
      </c>
      <c r="AB740" s="131">
        <v>0</v>
      </c>
      <c r="AC740" s="131">
        <v>0</v>
      </c>
      <c r="AD740" s="131">
        <v>0</v>
      </c>
      <c r="AE740" s="132">
        <v>0</v>
      </c>
    </row>
    <row r="741" spans="1:31" x14ac:dyDescent="0.2">
      <c r="A741" s="133">
        <v>131</v>
      </c>
      <c r="B741" s="133" t="s">
        <v>1684</v>
      </c>
      <c r="C741" s="133" t="s">
        <v>1114</v>
      </c>
      <c r="D741" s="133" t="s">
        <v>1584</v>
      </c>
      <c r="E741" s="133" t="s">
        <v>1116</v>
      </c>
      <c r="F741" s="133" t="s">
        <v>1117</v>
      </c>
      <c r="G741" s="133" t="s">
        <v>1118</v>
      </c>
      <c r="H741" s="130" t="s">
        <v>1133</v>
      </c>
      <c r="I741" s="130" t="s">
        <v>1134</v>
      </c>
      <c r="J741" s="130" t="s">
        <v>1166</v>
      </c>
      <c r="K741" s="130" t="s">
        <v>1167</v>
      </c>
      <c r="L741" s="130" t="s">
        <v>1685</v>
      </c>
      <c r="M741" s="130" t="s">
        <v>1587</v>
      </c>
      <c r="N741" s="130" t="s">
        <v>1588</v>
      </c>
      <c r="O741" s="130" t="s">
        <v>1589</v>
      </c>
      <c r="P741" s="130" t="s">
        <v>1590</v>
      </c>
      <c r="Q741" s="130" t="s">
        <v>1127</v>
      </c>
      <c r="R741" s="130" t="s">
        <v>1472</v>
      </c>
      <c r="S741" s="130" t="s">
        <v>1686</v>
      </c>
      <c r="T741" s="130" t="s">
        <v>1158</v>
      </c>
      <c r="U741" s="130">
        <v>0</v>
      </c>
      <c r="V741" s="131">
        <v>239379</v>
      </c>
      <c r="W741" s="131">
        <v>239379</v>
      </c>
      <c r="X741" s="131">
        <v>176500</v>
      </c>
      <c r="Y741" s="131">
        <v>62879</v>
      </c>
      <c r="Z741" s="131">
        <v>176500</v>
      </c>
      <c r="AA741" s="131">
        <v>62879</v>
      </c>
      <c r="AB741" s="131">
        <v>96003.489999999991</v>
      </c>
      <c r="AC741" s="131">
        <v>143375.51</v>
      </c>
      <c r="AD741" s="131">
        <v>79503.489999999991</v>
      </c>
      <c r="AE741" s="132">
        <v>159875.51</v>
      </c>
    </row>
    <row r="742" spans="1:31" x14ac:dyDescent="0.2">
      <c r="A742" s="130">
        <v>132</v>
      </c>
      <c r="B742" s="130" t="s">
        <v>1687</v>
      </c>
      <c r="C742" s="130" t="s">
        <v>1114</v>
      </c>
      <c r="D742" s="130" t="s">
        <v>1584</v>
      </c>
      <c r="E742" s="130" t="s">
        <v>1116</v>
      </c>
      <c r="F742" s="130" t="s">
        <v>1117</v>
      </c>
      <c r="G742" s="130" t="s">
        <v>1118</v>
      </c>
      <c r="H742" s="130" t="s">
        <v>1119</v>
      </c>
      <c r="I742" s="130" t="s">
        <v>1169</v>
      </c>
      <c r="J742" s="130" t="s">
        <v>1195</v>
      </c>
      <c r="K742" s="130" t="s">
        <v>1196</v>
      </c>
      <c r="L742" s="130" t="s">
        <v>1688</v>
      </c>
      <c r="M742" s="130" t="s">
        <v>1587</v>
      </c>
      <c r="N742" s="130" t="s">
        <v>1588</v>
      </c>
      <c r="O742" s="130" t="s">
        <v>1589</v>
      </c>
      <c r="P742" s="130" t="s">
        <v>1590</v>
      </c>
      <c r="Q742" s="130" t="s">
        <v>1127</v>
      </c>
      <c r="R742" s="130" t="s">
        <v>1409</v>
      </c>
      <c r="S742" s="130" t="s">
        <v>1157</v>
      </c>
      <c r="T742" s="130" t="s">
        <v>1158</v>
      </c>
      <c r="U742" s="130">
        <v>800000</v>
      </c>
      <c r="V742" s="131">
        <v>-800000</v>
      </c>
      <c r="W742" s="131">
        <v>0</v>
      </c>
      <c r="X742" s="131">
        <v>0</v>
      </c>
      <c r="Y742" s="131">
        <v>0</v>
      </c>
      <c r="Z742" s="131">
        <v>0</v>
      </c>
      <c r="AA742" s="131">
        <v>0</v>
      </c>
      <c r="AB742" s="131">
        <v>0</v>
      </c>
      <c r="AC742" s="131">
        <v>0</v>
      </c>
      <c r="AD742" s="131">
        <v>0</v>
      </c>
      <c r="AE742" s="132">
        <v>0</v>
      </c>
    </row>
    <row r="743" spans="1:31" x14ac:dyDescent="0.2">
      <c r="A743" s="133">
        <v>132</v>
      </c>
      <c r="B743" s="133" t="s">
        <v>1687</v>
      </c>
      <c r="C743" s="133" t="s">
        <v>1114</v>
      </c>
      <c r="D743" s="133" t="s">
        <v>1584</v>
      </c>
      <c r="E743" s="133" t="s">
        <v>1116</v>
      </c>
      <c r="F743" s="133" t="s">
        <v>1117</v>
      </c>
      <c r="G743" s="133" t="s">
        <v>1118</v>
      </c>
      <c r="H743" s="130" t="s">
        <v>1133</v>
      </c>
      <c r="I743" s="130" t="s">
        <v>1134</v>
      </c>
      <c r="J743" s="130" t="s">
        <v>1166</v>
      </c>
      <c r="K743" s="130" t="s">
        <v>1167</v>
      </c>
      <c r="L743" s="130" t="s">
        <v>1688</v>
      </c>
      <c r="M743" s="130" t="s">
        <v>1587</v>
      </c>
      <c r="N743" s="130" t="s">
        <v>1588</v>
      </c>
      <c r="O743" s="130" t="s">
        <v>1589</v>
      </c>
      <c r="P743" s="130" t="s">
        <v>1590</v>
      </c>
      <c r="Q743" s="130" t="s">
        <v>1127</v>
      </c>
      <c r="R743" s="130" t="s">
        <v>1409</v>
      </c>
      <c r="S743" s="130" t="s">
        <v>1157</v>
      </c>
      <c r="T743" s="130" t="s">
        <v>1158</v>
      </c>
      <c r="U743" s="130">
        <v>0</v>
      </c>
      <c r="V743" s="131">
        <v>118786</v>
      </c>
      <c r="W743" s="131">
        <v>118786</v>
      </c>
      <c r="X743" s="131">
        <v>112400</v>
      </c>
      <c r="Y743" s="131">
        <v>6386</v>
      </c>
      <c r="Z743" s="131">
        <v>82400</v>
      </c>
      <c r="AA743" s="131">
        <v>36386</v>
      </c>
      <c r="AB743" s="131">
        <v>53197.43</v>
      </c>
      <c r="AC743" s="131">
        <v>65588.570000000007</v>
      </c>
      <c r="AD743" s="131">
        <v>20797.43</v>
      </c>
      <c r="AE743" s="132">
        <v>97988.57</v>
      </c>
    </row>
    <row r="744" spans="1:31" x14ac:dyDescent="0.2">
      <c r="A744" s="130">
        <v>133</v>
      </c>
      <c r="B744" s="130" t="s">
        <v>1689</v>
      </c>
      <c r="C744" s="130" t="s">
        <v>1114</v>
      </c>
      <c r="D744" s="130" t="s">
        <v>1584</v>
      </c>
      <c r="E744" s="130" t="s">
        <v>1116</v>
      </c>
      <c r="F744" s="130" t="s">
        <v>1117</v>
      </c>
      <c r="G744" s="130" t="s">
        <v>1118</v>
      </c>
      <c r="H744" s="130" t="s">
        <v>1119</v>
      </c>
      <c r="I744" s="130" t="s">
        <v>1169</v>
      </c>
      <c r="J744" s="130" t="s">
        <v>1195</v>
      </c>
      <c r="K744" s="130" t="s">
        <v>1196</v>
      </c>
      <c r="L744" s="130" t="s">
        <v>1690</v>
      </c>
      <c r="M744" s="130" t="s">
        <v>1587</v>
      </c>
      <c r="N744" s="130" t="s">
        <v>1588</v>
      </c>
      <c r="O744" s="130" t="s">
        <v>1589</v>
      </c>
      <c r="P744" s="130" t="s">
        <v>1590</v>
      </c>
      <c r="Q744" s="130" t="s">
        <v>1127</v>
      </c>
      <c r="R744" s="130" t="s">
        <v>1409</v>
      </c>
      <c r="S744" s="130" t="s">
        <v>1157</v>
      </c>
      <c r="T744" s="130" t="s">
        <v>1158</v>
      </c>
      <c r="U744" s="130">
        <v>583691</v>
      </c>
      <c r="V744" s="131">
        <v>-390879</v>
      </c>
      <c r="W744" s="131">
        <v>192812</v>
      </c>
      <c r="X744" s="131">
        <v>0</v>
      </c>
      <c r="Y744" s="131">
        <v>192812</v>
      </c>
      <c r="Z744" s="131">
        <v>0</v>
      </c>
      <c r="AA744" s="131">
        <v>192812</v>
      </c>
      <c r="AB744" s="131">
        <v>0</v>
      </c>
      <c r="AC744" s="131">
        <v>192812</v>
      </c>
      <c r="AD744" s="131">
        <v>0</v>
      </c>
      <c r="AE744" s="132">
        <v>192812</v>
      </c>
    </row>
    <row r="745" spans="1:31" x14ac:dyDescent="0.2">
      <c r="A745" s="133">
        <v>133</v>
      </c>
      <c r="B745" s="133" t="s">
        <v>1689</v>
      </c>
      <c r="C745" s="133" t="s">
        <v>1114</v>
      </c>
      <c r="D745" s="133" t="s">
        <v>1584</v>
      </c>
      <c r="E745" s="133" t="s">
        <v>1116</v>
      </c>
      <c r="F745" s="133" t="s">
        <v>1117</v>
      </c>
      <c r="G745" s="133" t="s">
        <v>1118</v>
      </c>
      <c r="H745" s="130" t="s">
        <v>1133</v>
      </c>
      <c r="I745" s="130" t="s">
        <v>1134</v>
      </c>
      <c r="J745" s="130" t="s">
        <v>1166</v>
      </c>
      <c r="K745" s="130" t="s">
        <v>1167</v>
      </c>
      <c r="L745" s="130" t="s">
        <v>1690</v>
      </c>
      <c r="M745" s="130" t="s">
        <v>1587</v>
      </c>
      <c r="N745" s="130" t="s">
        <v>1588</v>
      </c>
      <c r="O745" s="130" t="s">
        <v>1589</v>
      </c>
      <c r="P745" s="130" t="s">
        <v>1590</v>
      </c>
      <c r="Q745" s="130" t="s">
        <v>1127</v>
      </c>
      <c r="R745" s="130" t="s">
        <v>1409</v>
      </c>
      <c r="S745" s="130" t="s">
        <v>1157</v>
      </c>
      <c r="T745" s="130" t="s">
        <v>1158</v>
      </c>
      <c r="U745" s="130">
        <v>0</v>
      </c>
      <c r="V745" s="131">
        <v>141416</v>
      </c>
      <c r="W745" s="131">
        <v>141416</v>
      </c>
      <c r="X745" s="131">
        <v>120950</v>
      </c>
      <c r="Y745" s="131">
        <v>20466</v>
      </c>
      <c r="Z745" s="131">
        <v>100950</v>
      </c>
      <c r="AA745" s="131">
        <v>40466</v>
      </c>
      <c r="AB745" s="131">
        <v>91615.61</v>
      </c>
      <c r="AC745" s="131">
        <v>49800.39</v>
      </c>
      <c r="AD745" s="131">
        <v>91615.61</v>
      </c>
      <c r="AE745" s="132">
        <v>49800.39</v>
      </c>
    </row>
    <row r="746" spans="1:31" x14ac:dyDescent="0.2">
      <c r="A746" s="130">
        <v>134</v>
      </c>
      <c r="B746" s="130" t="s">
        <v>1691</v>
      </c>
      <c r="C746" s="130" t="s">
        <v>1114</v>
      </c>
      <c r="D746" s="130" t="s">
        <v>1584</v>
      </c>
      <c r="E746" s="130" t="s">
        <v>1116</v>
      </c>
      <c r="F746" s="130" t="s">
        <v>1117</v>
      </c>
      <c r="G746" s="130" t="s">
        <v>1118</v>
      </c>
      <c r="H746" s="130" t="s">
        <v>1119</v>
      </c>
      <c r="I746" s="130" t="s">
        <v>1169</v>
      </c>
      <c r="J746" s="130" t="s">
        <v>1195</v>
      </c>
      <c r="K746" s="130" t="s">
        <v>1196</v>
      </c>
      <c r="L746" s="130" t="s">
        <v>1692</v>
      </c>
      <c r="M746" s="130" t="s">
        <v>1587</v>
      </c>
      <c r="N746" s="130" t="s">
        <v>1588</v>
      </c>
      <c r="O746" s="130" t="s">
        <v>1589</v>
      </c>
      <c r="P746" s="130" t="s">
        <v>1590</v>
      </c>
      <c r="Q746" s="130" t="s">
        <v>1127</v>
      </c>
      <c r="R746" s="130" t="s">
        <v>1187</v>
      </c>
      <c r="S746" s="130" t="s">
        <v>1693</v>
      </c>
      <c r="T746" s="130" t="s">
        <v>1158</v>
      </c>
      <c r="U746" s="130">
        <v>800000</v>
      </c>
      <c r="V746" s="131">
        <v>-800000</v>
      </c>
      <c r="W746" s="131">
        <v>0</v>
      </c>
      <c r="X746" s="131">
        <v>0</v>
      </c>
      <c r="Y746" s="131">
        <v>0</v>
      </c>
      <c r="Z746" s="131">
        <v>0</v>
      </c>
      <c r="AA746" s="131">
        <v>0</v>
      </c>
      <c r="AB746" s="131">
        <v>0</v>
      </c>
      <c r="AC746" s="131">
        <v>0</v>
      </c>
      <c r="AD746" s="131">
        <v>0</v>
      </c>
      <c r="AE746" s="132">
        <v>0</v>
      </c>
    </row>
    <row r="747" spans="1:31" x14ac:dyDescent="0.2">
      <c r="A747" s="133">
        <v>134</v>
      </c>
      <c r="B747" s="133" t="s">
        <v>1691</v>
      </c>
      <c r="C747" s="133" t="s">
        <v>1114</v>
      </c>
      <c r="D747" s="133" t="s">
        <v>1584</v>
      </c>
      <c r="E747" s="133" t="s">
        <v>1116</v>
      </c>
      <c r="F747" s="133" t="s">
        <v>1117</v>
      </c>
      <c r="G747" s="133" t="s">
        <v>1118</v>
      </c>
      <c r="H747" s="130" t="s">
        <v>1133</v>
      </c>
      <c r="I747" s="130" t="s">
        <v>1134</v>
      </c>
      <c r="J747" s="130" t="s">
        <v>1166</v>
      </c>
      <c r="K747" s="130" t="s">
        <v>1167</v>
      </c>
      <c r="L747" s="130" t="s">
        <v>1692</v>
      </c>
      <c r="M747" s="130" t="s">
        <v>1587</v>
      </c>
      <c r="N747" s="130" t="s">
        <v>1588</v>
      </c>
      <c r="O747" s="130" t="s">
        <v>1589</v>
      </c>
      <c r="P747" s="130" t="s">
        <v>1590</v>
      </c>
      <c r="Q747" s="130" t="s">
        <v>1127</v>
      </c>
      <c r="R747" s="130" t="s">
        <v>1187</v>
      </c>
      <c r="S747" s="130" t="s">
        <v>1693</v>
      </c>
      <c r="T747" s="130" t="s">
        <v>1158</v>
      </c>
      <c r="U747" s="130">
        <v>0</v>
      </c>
      <c r="V747" s="131">
        <v>230550</v>
      </c>
      <c r="W747" s="131">
        <v>230550</v>
      </c>
      <c r="X747" s="131">
        <v>168870</v>
      </c>
      <c r="Y747" s="131">
        <v>61680</v>
      </c>
      <c r="Z747" s="131">
        <v>162545</v>
      </c>
      <c r="AA747" s="131">
        <v>68005</v>
      </c>
      <c r="AB747" s="131">
        <v>111422.39999999999</v>
      </c>
      <c r="AC747" s="131">
        <v>119127.6</v>
      </c>
      <c r="AD747" s="131">
        <v>111422.39999999999</v>
      </c>
      <c r="AE747" s="132">
        <v>119127.6</v>
      </c>
    </row>
    <row r="748" spans="1:31" x14ac:dyDescent="0.2">
      <c r="A748" s="130">
        <v>135</v>
      </c>
      <c r="B748" s="130" t="s">
        <v>1694</v>
      </c>
      <c r="C748" s="130" t="s">
        <v>1114</v>
      </c>
      <c r="D748" s="130" t="s">
        <v>1584</v>
      </c>
      <c r="E748" s="130" t="s">
        <v>1116</v>
      </c>
      <c r="F748" s="130" t="s">
        <v>1117</v>
      </c>
      <c r="G748" s="130" t="s">
        <v>1118</v>
      </c>
      <c r="H748" s="130" t="s">
        <v>1119</v>
      </c>
      <c r="I748" s="130" t="s">
        <v>1169</v>
      </c>
      <c r="J748" s="130" t="s">
        <v>1195</v>
      </c>
      <c r="K748" s="130" t="s">
        <v>1196</v>
      </c>
      <c r="L748" s="130" t="s">
        <v>1695</v>
      </c>
      <c r="M748" s="130" t="s">
        <v>1587</v>
      </c>
      <c r="N748" s="130" t="s">
        <v>1588</v>
      </c>
      <c r="O748" s="130" t="s">
        <v>1589</v>
      </c>
      <c r="P748" s="130" t="s">
        <v>1590</v>
      </c>
      <c r="Q748" s="130" t="s">
        <v>1127</v>
      </c>
      <c r="R748" s="130" t="s">
        <v>1409</v>
      </c>
      <c r="S748" s="130" t="s">
        <v>1157</v>
      </c>
      <c r="T748" s="130" t="s">
        <v>1130</v>
      </c>
      <c r="U748" s="130">
        <v>50000</v>
      </c>
      <c r="V748" s="131">
        <v>-50000</v>
      </c>
      <c r="W748" s="131">
        <v>0</v>
      </c>
      <c r="X748" s="131">
        <v>0</v>
      </c>
      <c r="Y748" s="131">
        <v>0</v>
      </c>
      <c r="Z748" s="131">
        <v>0</v>
      </c>
      <c r="AA748" s="131">
        <v>0</v>
      </c>
      <c r="AB748" s="131">
        <v>0</v>
      </c>
      <c r="AC748" s="131">
        <v>0</v>
      </c>
      <c r="AD748" s="131">
        <v>0</v>
      </c>
      <c r="AE748" s="132">
        <v>0</v>
      </c>
    </row>
    <row r="749" spans="1:31" x14ac:dyDescent="0.2">
      <c r="A749" s="133">
        <v>135</v>
      </c>
      <c r="B749" s="133" t="s">
        <v>1694</v>
      </c>
      <c r="C749" s="133" t="s">
        <v>1114</v>
      </c>
      <c r="D749" s="133" t="s">
        <v>1584</v>
      </c>
      <c r="E749" s="133" t="s">
        <v>1116</v>
      </c>
      <c r="F749" s="133" t="s">
        <v>1117</v>
      </c>
      <c r="G749" s="133" t="s">
        <v>1118</v>
      </c>
      <c r="H749" s="130" t="s">
        <v>1133</v>
      </c>
      <c r="I749" s="130" t="s">
        <v>1134</v>
      </c>
      <c r="J749" s="130" t="s">
        <v>1166</v>
      </c>
      <c r="K749" s="130" t="s">
        <v>1167</v>
      </c>
      <c r="L749" s="130" t="s">
        <v>1695</v>
      </c>
      <c r="M749" s="130" t="s">
        <v>1587</v>
      </c>
      <c r="N749" s="130" t="s">
        <v>1588</v>
      </c>
      <c r="O749" s="130" t="s">
        <v>1589</v>
      </c>
      <c r="P749" s="130" t="s">
        <v>1590</v>
      </c>
      <c r="Q749" s="130" t="s">
        <v>1127</v>
      </c>
      <c r="R749" s="130" t="s">
        <v>1409</v>
      </c>
      <c r="S749" s="130" t="s">
        <v>1157</v>
      </c>
      <c r="T749" s="130" t="s">
        <v>1130</v>
      </c>
      <c r="U749" s="130">
        <v>0</v>
      </c>
      <c r="V749" s="131">
        <v>350000</v>
      </c>
      <c r="W749" s="131">
        <v>350000</v>
      </c>
      <c r="X749" s="131">
        <v>349670</v>
      </c>
      <c r="Y749" s="131">
        <v>330</v>
      </c>
      <c r="Z749" s="131">
        <v>349670</v>
      </c>
      <c r="AA749" s="131">
        <v>330</v>
      </c>
      <c r="AB749" s="131">
        <v>344720.89</v>
      </c>
      <c r="AC749" s="131">
        <v>5279.109999999986</v>
      </c>
      <c r="AD749" s="131">
        <v>221080.89</v>
      </c>
      <c r="AE749" s="132">
        <v>128919.10999999999</v>
      </c>
    </row>
    <row r="750" spans="1:31" x14ac:dyDescent="0.2">
      <c r="A750" s="130">
        <v>136</v>
      </c>
      <c r="B750" s="130" t="s">
        <v>944</v>
      </c>
      <c r="C750" s="130" t="s">
        <v>1114</v>
      </c>
      <c r="D750" s="130" t="s">
        <v>1584</v>
      </c>
      <c r="E750" s="130" t="s">
        <v>1116</v>
      </c>
      <c r="F750" s="130" t="s">
        <v>1117</v>
      </c>
      <c r="G750" s="130" t="s">
        <v>1118</v>
      </c>
      <c r="H750" s="130" t="s">
        <v>1119</v>
      </c>
      <c r="I750" s="130" t="s">
        <v>1169</v>
      </c>
      <c r="J750" s="130" t="s">
        <v>1195</v>
      </c>
      <c r="K750" s="130" t="s">
        <v>1196</v>
      </c>
      <c r="L750" s="130" t="s">
        <v>1696</v>
      </c>
      <c r="M750" s="130" t="s">
        <v>1587</v>
      </c>
      <c r="N750" s="130" t="s">
        <v>1588</v>
      </c>
      <c r="O750" s="130" t="s">
        <v>1589</v>
      </c>
      <c r="P750" s="130" t="s">
        <v>1590</v>
      </c>
      <c r="Q750" s="130" t="s">
        <v>1127</v>
      </c>
      <c r="R750" s="130" t="s">
        <v>1380</v>
      </c>
      <c r="S750" s="130" t="s">
        <v>1157</v>
      </c>
      <c r="T750" s="130" t="s">
        <v>1176</v>
      </c>
      <c r="U750" s="130">
        <v>67202</v>
      </c>
      <c r="V750" s="131">
        <v>-67202</v>
      </c>
      <c r="W750" s="131">
        <v>0</v>
      </c>
      <c r="X750" s="131">
        <v>0</v>
      </c>
      <c r="Y750" s="131">
        <v>0</v>
      </c>
      <c r="Z750" s="131">
        <v>0</v>
      </c>
      <c r="AA750" s="131">
        <v>0</v>
      </c>
      <c r="AB750" s="131">
        <v>0</v>
      </c>
      <c r="AC750" s="131">
        <v>0</v>
      </c>
      <c r="AD750" s="131">
        <v>0</v>
      </c>
      <c r="AE750" s="132">
        <v>0</v>
      </c>
    </row>
    <row r="751" spans="1:31" x14ac:dyDescent="0.2">
      <c r="A751" s="133">
        <v>136</v>
      </c>
      <c r="B751" s="133" t="s">
        <v>944</v>
      </c>
      <c r="C751" s="133" t="s">
        <v>1114</v>
      </c>
      <c r="D751" s="133" t="s">
        <v>1584</v>
      </c>
      <c r="E751" s="133" t="s">
        <v>1116</v>
      </c>
      <c r="F751" s="133" t="s">
        <v>1117</v>
      </c>
      <c r="G751" s="133" t="s">
        <v>1118</v>
      </c>
      <c r="H751" s="130" t="s">
        <v>1133</v>
      </c>
      <c r="I751" s="130" t="s">
        <v>1134</v>
      </c>
      <c r="J751" s="130" t="s">
        <v>1166</v>
      </c>
      <c r="K751" s="130" t="s">
        <v>1167</v>
      </c>
      <c r="L751" s="130" t="s">
        <v>1696</v>
      </c>
      <c r="M751" s="130" t="s">
        <v>1587</v>
      </c>
      <c r="N751" s="130" t="s">
        <v>1588</v>
      </c>
      <c r="O751" s="130" t="s">
        <v>1589</v>
      </c>
      <c r="P751" s="130" t="s">
        <v>1590</v>
      </c>
      <c r="Q751" s="130" t="s">
        <v>1127</v>
      </c>
      <c r="R751" s="130" t="s">
        <v>1380</v>
      </c>
      <c r="S751" s="130" t="s">
        <v>1157</v>
      </c>
      <c r="T751" s="130" t="s">
        <v>1176</v>
      </c>
      <c r="U751" s="130">
        <v>0</v>
      </c>
      <c r="V751" s="131">
        <v>0</v>
      </c>
      <c r="W751" s="131">
        <v>0</v>
      </c>
      <c r="X751" s="131">
        <v>0</v>
      </c>
      <c r="Y751" s="131">
        <v>0</v>
      </c>
      <c r="Z751" s="131">
        <v>0</v>
      </c>
      <c r="AA751" s="131">
        <v>0</v>
      </c>
      <c r="AB751" s="131">
        <v>0</v>
      </c>
      <c r="AC751" s="131">
        <v>0</v>
      </c>
      <c r="AD751" s="131">
        <v>0</v>
      </c>
      <c r="AE751" s="132">
        <v>0</v>
      </c>
    </row>
    <row r="752" spans="1:31" x14ac:dyDescent="0.2">
      <c r="A752" s="130">
        <v>137</v>
      </c>
      <c r="B752" s="130" t="s">
        <v>1697</v>
      </c>
      <c r="C752" s="130" t="s">
        <v>1114</v>
      </c>
      <c r="D752" s="130" t="s">
        <v>1584</v>
      </c>
      <c r="E752" s="130" t="s">
        <v>1116</v>
      </c>
      <c r="F752" s="130" t="s">
        <v>1117</v>
      </c>
      <c r="G752" s="130" t="s">
        <v>1118</v>
      </c>
      <c r="H752" s="130" t="s">
        <v>1119</v>
      </c>
      <c r="I752" s="130" t="s">
        <v>1169</v>
      </c>
      <c r="J752" s="130" t="s">
        <v>1195</v>
      </c>
      <c r="K752" s="130" t="s">
        <v>1196</v>
      </c>
      <c r="L752" s="130" t="s">
        <v>1698</v>
      </c>
      <c r="M752" s="130" t="s">
        <v>1587</v>
      </c>
      <c r="N752" s="130" t="s">
        <v>1588</v>
      </c>
      <c r="O752" s="130" t="s">
        <v>1589</v>
      </c>
      <c r="P752" s="130" t="s">
        <v>1590</v>
      </c>
      <c r="Q752" s="130" t="s">
        <v>1127</v>
      </c>
      <c r="R752" s="130" t="s">
        <v>1448</v>
      </c>
      <c r="S752" s="130" t="s">
        <v>1487</v>
      </c>
      <c r="T752" s="130" t="s">
        <v>1176</v>
      </c>
      <c r="U752" s="130">
        <v>50000</v>
      </c>
      <c r="V752" s="131">
        <v>-50000</v>
      </c>
      <c r="W752" s="131">
        <v>0</v>
      </c>
      <c r="X752" s="131">
        <v>0</v>
      </c>
      <c r="Y752" s="131">
        <v>0</v>
      </c>
      <c r="Z752" s="131">
        <v>0</v>
      </c>
      <c r="AA752" s="131">
        <v>0</v>
      </c>
      <c r="AB752" s="131">
        <v>0</v>
      </c>
      <c r="AC752" s="131">
        <v>0</v>
      </c>
      <c r="AD752" s="131">
        <v>0</v>
      </c>
      <c r="AE752" s="132">
        <v>0</v>
      </c>
    </row>
    <row r="753" spans="1:31" x14ac:dyDescent="0.2">
      <c r="A753" s="133">
        <v>137</v>
      </c>
      <c r="B753" s="133" t="s">
        <v>1697</v>
      </c>
      <c r="C753" s="133" t="s">
        <v>1114</v>
      </c>
      <c r="D753" s="133" t="s">
        <v>1584</v>
      </c>
      <c r="E753" s="133" t="s">
        <v>1116</v>
      </c>
      <c r="F753" s="133" t="s">
        <v>1117</v>
      </c>
      <c r="G753" s="133" t="s">
        <v>1118</v>
      </c>
      <c r="H753" s="130" t="s">
        <v>1133</v>
      </c>
      <c r="I753" s="130" t="s">
        <v>1134</v>
      </c>
      <c r="J753" s="130" t="s">
        <v>1166</v>
      </c>
      <c r="K753" s="130" t="s">
        <v>1167</v>
      </c>
      <c r="L753" s="130" t="s">
        <v>1698</v>
      </c>
      <c r="M753" s="130" t="s">
        <v>1587</v>
      </c>
      <c r="N753" s="130" t="s">
        <v>1588</v>
      </c>
      <c r="O753" s="130" t="s">
        <v>1589</v>
      </c>
      <c r="P753" s="130" t="s">
        <v>1590</v>
      </c>
      <c r="Q753" s="130" t="s">
        <v>1127</v>
      </c>
      <c r="R753" s="130" t="s">
        <v>1448</v>
      </c>
      <c r="S753" s="130" t="s">
        <v>1487</v>
      </c>
      <c r="T753" s="130" t="s">
        <v>1176</v>
      </c>
      <c r="U753" s="130">
        <v>0</v>
      </c>
      <c r="V753" s="131">
        <v>350000</v>
      </c>
      <c r="W753" s="131">
        <v>350000</v>
      </c>
      <c r="X753" s="131">
        <v>349978.5</v>
      </c>
      <c r="Y753" s="131">
        <v>21.5</v>
      </c>
      <c r="Z753" s="131">
        <v>349978.5</v>
      </c>
      <c r="AA753" s="131">
        <v>21.5</v>
      </c>
      <c r="AB753" s="131">
        <v>282792.27</v>
      </c>
      <c r="AC753" s="131">
        <v>67207.729999999981</v>
      </c>
      <c r="AD753" s="131">
        <v>133412.87</v>
      </c>
      <c r="AE753" s="132">
        <v>216587.13</v>
      </c>
    </row>
    <row r="754" spans="1:31" x14ac:dyDescent="0.2">
      <c r="A754" s="130">
        <v>138</v>
      </c>
      <c r="B754" s="130" t="s">
        <v>945</v>
      </c>
      <c r="C754" s="130" t="s">
        <v>1114</v>
      </c>
      <c r="D754" s="130" t="s">
        <v>1584</v>
      </c>
      <c r="E754" s="130" t="s">
        <v>1116</v>
      </c>
      <c r="F754" s="130" t="s">
        <v>1117</v>
      </c>
      <c r="G754" s="130" t="s">
        <v>1118</v>
      </c>
      <c r="H754" s="130" t="s">
        <v>1119</v>
      </c>
      <c r="I754" s="130" t="s">
        <v>1169</v>
      </c>
      <c r="J754" s="130" t="s">
        <v>1195</v>
      </c>
      <c r="K754" s="130" t="s">
        <v>1196</v>
      </c>
      <c r="L754" s="130" t="s">
        <v>1699</v>
      </c>
      <c r="M754" s="130" t="s">
        <v>1587</v>
      </c>
      <c r="N754" s="130" t="s">
        <v>1588</v>
      </c>
      <c r="O754" s="130" t="s">
        <v>1589</v>
      </c>
      <c r="P754" s="130" t="s">
        <v>1590</v>
      </c>
      <c r="Q754" s="130" t="s">
        <v>1127</v>
      </c>
      <c r="R754" s="130" t="s">
        <v>1413</v>
      </c>
      <c r="S754" s="130" t="s">
        <v>1700</v>
      </c>
      <c r="T754" s="130" t="s">
        <v>1176</v>
      </c>
      <c r="U754" s="130">
        <v>50000</v>
      </c>
      <c r="V754" s="131">
        <v>-50000</v>
      </c>
      <c r="W754" s="131">
        <v>0</v>
      </c>
      <c r="X754" s="131">
        <v>0</v>
      </c>
      <c r="Y754" s="131">
        <v>0</v>
      </c>
      <c r="Z754" s="131">
        <v>0</v>
      </c>
      <c r="AA754" s="131">
        <v>0</v>
      </c>
      <c r="AB754" s="131">
        <v>0</v>
      </c>
      <c r="AC754" s="131">
        <v>0</v>
      </c>
      <c r="AD754" s="131">
        <v>0</v>
      </c>
      <c r="AE754" s="132">
        <v>0</v>
      </c>
    </row>
    <row r="755" spans="1:31" x14ac:dyDescent="0.2">
      <c r="A755" s="133">
        <v>138</v>
      </c>
      <c r="B755" s="133" t="s">
        <v>945</v>
      </c>
      <c r="C755" s="133" t="s">
        <v>1114</v>
      </c>
      <c r="D755" s="133" t="s">
        <v>1584</v>
      </c>
      <c r="E755" s="133" t="s">
        <v>1116</v>
      </c>
      <c r="F755" s="133" t="s">
        <v>1117</v>
      </c>
      <c r="G755" s="133" t="s">
        <v>1118</v>
      </c>
      <c r="H755" s="130" t="s">
        <v>1133</v>
      </c>
      <c r="I755" s="130" t="s">
        <v>1134</v>
      </c>
      <c r="J755" s="130" t="s">
        <v>1166</v>
      </c>
      <c r="K755" s="130" t="s">
        <v>1167</v>
      </c>
      <c r="L755" s="130" t="s">
        <v>1699</v>
      </c>
      <c r="M755" s="130" t="s">
        <v>1587</v>
      </c>
      <c r="N755" s="130" t="s">
        <v>1588</v>
      </c>
      <c r="O755" s="130" t="s">
        <v>1589</v>
      </c>
      <c r="P755" s="130" t="s">
        <v>1590</v>
      </c>
      <c r="Q755" s="130" t="s">
        <v>1127</v>
      </c>
      <c r="R755" s="130" t="s">
        <v>1413</v>
      </c>
      <c r="S755" s="130" t="s">
        <v>1700</v>
      </c>
      <c r="T755" s="130" t="s">
        <v>1176</v>
      </c>
      <c r="U755" s="130">
        <v>0</v>
      </c>
      <c r="V755" s="131">
        <v>50000</v>
      </c>
      <c r="W755" s="131">
        <v>50000</v>
      </c>
      <c r="X755" s="131">
        <v>50000</v>
      </c>
      <c r="Y755" s="131">
        <v>0</v>
      </c>
      <c r="Z755" s="131">
        <v>50000</v>
      </c>
      <c r="AA755" s="131">
        <v>0</v>
      </c>
      <c r="AB755" s="131">
        <v>50000</v>
      </c>
      <c r="AC755" s="131">
        <v>0</v>
      </c>
      <c r="AD755" s="131">
        <v>50000</v>
      </c>
      <c r="AE755" s="132">
        <v>0</v>
      </c>
    </row>
    <row r="756" spans="1:31" x14ac:dyDescent="0.2">
      <c r="A756" s="130">
        <v>139</v>
      </c>
      <c r="B756" s="130" t="s">
        <v>1701</v>
      </c>
      <c r="C756" s="130" t="s">
        <v>1114</v>
      </c>
      <c r="D756" s="130" t="s">
        <v>1584</v>
      </c>
      <c r="E756" s="130" t="s">
        <v>1116</v>
      </c>
      <c r="F756" s="130" t="s">
        <v>1117</v>
      </c>
      <c r="G756" s="130" t="s">
        <v>1118</v>
      </c>
      <c r="H756" s="130" t="s">
        <v>1119</v>
      </c>
      <c r="I756" s="130" t="s">
        <v>1169</v>
      </c>
      <c r="J756" s="130" t="s">
        <v>1195</v>
      </c>
      <c r="K756" s="130" t="s">
        <v>1196</v>
      </c>
      <c r="L756" s="130" t="s">
        <v>1702</v>
      </c>
      <c r="M756" s="130" t="s">
        <v>1587</v>
      </c>
      <c r="N756" s="130" t="s">
        <v>1588</v>
      </c>
      <c r="O756" s="130" t="s">
        <v>1589</v>
      </c>
      <c r="P756" s="130" t="s">
        <v>1590</v>
      </c>
      <c r="Q756" s="130" t="s">
        <v>1127</v>
      </c>
      <c r="R756" s="130" t="s">
        <v>1413</v>
      </c>
      <c r="S756" s="130" t="s">
        <v>1414</v>
      </c>
      <c r="T756" s="130" t="s">
        <v>1176</v>
      </c>
      <c r="U756" s="130">
        <v>50000</v>
      </c>
      <c r="V756" s="131">
        <v>-50000</v>
      </c>
      <c r="W756" s="131">
        <v>0</v>
      </c>
      <c r="X756" s="131">
        <v>0</v>
      </c>
      <c r="Y756" s="131">
        <v>0</v>
      </c>
      <c r="Z756" s="131">
        <v>0</v>
      </c>
      <c r="AA756" s="131">
        <v>0</v>
      </c>
      <c r="AB756" s="131">
        <v>0</v>
      </c>
      <c r="AC756" s="131">
        <v>0</v>
      </c>
      <c r="AD756" s="131">
        <v>0</v>
      </c>
      <c r="AE756" s="132">
        <v>0</v>
      </c>
    </row>
    <row r="757" spans="1:31" x14ac:dyDescent="0.2">
      <c r="A757" s="133">
        <v>139</v>
      </c>
      <c r="B757" s="133" t="s">
        <v>1701</v>
      </c>
      <c r="C757" s="133" t="s">
        <v>1114</v>
      </c>
      <c r="D757" s="133" t="s">
        <v>1584</v>
      </c>
      <c r="E757" s="133" t="s">
        <v>1116</v>
      </c>
      <c r="F757" s="133" t="s">
        <v>1117</v>
      </c>
      <c r="G757" s="133" t="s">
        <v>1118</v>
      </c>
      <c r="H757" s="130" t="s">
        <v>1133</v>
      </c>
      <c r="I757" s="130" t="s">
        <v>1134</v>
      </c>
      <c r="J757" s="130" t="s">
        <v>1166</v>
      </c>
      <c r="K757" s="130" t="s">
        <v>1167</v>
      </c>
      <c r="L757" s="130" t="s">
        <v>1702</v>
      </c>
      <c r="M757" s="130" t="s">
        <v>1587</v>
      </c>
      <c r="N757" s="130" t="s">
        <v>1588</v>
      </c>
      <c r="O757" s="130" t="s">
        <v>1589</v>
      </c>
      <c r="P757" s="130" t="s">
        <v>1590</v>
      </c>
      <c r="Q757" s="130" t="s">
        <v>1127</v>
      </c>
      <c r="R757" s="130" t="s">
        <v>1413</v>
      </c>
      <c r="S757" s="130" t="s">
        <v>1414</v>
      </c>
      <c r="T757" s="130" t="s">
        <v>1176</v>
      </c>
      <c r="U757" s="130">
        <v>0</v>
      </c>
      <c r="V757" s="131">
        <v>75173</v>
      </c>
      <c r="W757" s="131">
        <v>75173</v>
      </c>
      <c r="X757" s="131">
        <v>65000</v>
      </c>
      <c r="Y757" s="131">
        <v>10173</v>
      </c>
      <c r="Z757" s="131">
        <v>65000</v>
      </c>
      <c r="AA757" s="131">
        <v>10173</v>
      </c>
      <c r="AB757" s="131">
        <v>59170.239999999998</v>
      </c>
      <c r="AC757" s="131">
        <v>16002.760000000002</v>
      </c>
      <c r="AD757" s="131">
        <v>59170.239999999998</v>
      </c>
      <c r="AE757" s="132">
        <v>16002.760000000002</v>
      </c>
    </row>
    <row r="758" spans="1:31" x14ac:dyDescent="0.2">
      <c r="A758" s="130">
        <v>140</v>
      </c>
      <c r="B758" s="130" t="s">
        <v>1703</v>
      </c>
      <c r="C758" s="130" t="s">
        <v>1114</v>
      </c>
      <c r="D758" s="130" t="s">
        <v>1584</v>
      </c>
      <c r="E758" s="130" t="s">
        <v>1116</v>
      </c>
      <c r="F758" s="130" t="s">
        <v>1117</v>
      </c>
      <c r="G758" s="130" t="s">
        <v>1118</v>
      </c>
      <c r="H758" s="130" t="s">
        <v>1119</v>
      </c>
      <c r="I758" s="130" t="s">
        <v>1169</v>
      </c>
      <c r="J758" s="130" t="s">
        <v>1195</v>
      </c>
      <c r="K758" s="130" t="s">
        <v>1196</v>
      </c>
      <c r="L758" s="130" t="s">
        <v>1704</v>
      </c>
      <c r="M758" s="130" t="s">
        <v>1587</v>
      </c>
      <c r="N758" s="130" t="s">
        <v>1588</v>
      </c>
      <c r="O758" s="130" t="s">
        <v>1589</v>
      </c>
      <c r="P758" s="130" t="s">
        <v>1590</v>
      </c>
      <c r="Q758" s="130" t="s">
        <v>1127</v>
      </c>
      <c r="R758" s="130" t="s">
        <v>1448</v>
      </c>
      <c r="S758" s="130" t="s">
        <v>1157</v>
      </c>
      <c r="T758" s="130" t="s">
        <v>1158</v>
      </c>
      <c r="U758" s="130">
        <v>800000</v>
      </c>
      <c r="V758" s="131">
        <v>-800000</v>
      </c>
      <c r="W758" s="131">
        <v>0</v>
      </c>
      <c r="X758" s="131">
        <v>0</v>
      </c>
      <c r="Y758" s="131">
        <v>0</v>
      </c>
      <c r="Z758" s="131">
        <v>0</v>
      </c>
      <c r="AA758" s="131">
        <v>0</v>
      </c>
      <c r="AB758" s="131">
        <v>0</v>
      </c>
      <c r="AC758" s="131">
        <v>0</v>
      </c>
      <c r="AD758" s="131">
        <v>0</v>
      </c>
      <c r="AE758" s="132">
        <v>0</v>
      </c>
    </row>
    <row r="759" spans="1:31" x14ac:dyDescent="0.2">
      <c r="A759" s="133">
        <v>140</v>
      </c>
      <c r="B759" s="133" t="s">
        <v>1703</v>
      </c>
      <c r="C759" s="133" t="s">
        <v>1114</v>
      </c>
      <c r="D759" s="133" t="s">
        <v>1584</v>
      </c>
      <c r="E759" s="133" t="s">
        <v>1116</v>
      </c>
      <c r="F759" s="133" t="s">
        <v>1117</v>
      </c>
      <c r="G759" s="133" t="s">
        <v>1118</v>
      </c>
      <c r="H759" s="130" t="s">
        <v>1133</v>
      </c>
      <c r="I759" s="130" t="s">
        <v>1134</v>
      </c>
      <c r="J759" s="130" t="s">
        <v>1166</v>
      </c>
      <c r="K759" s="130" t="s">
        <v>1167</v>
      </c>
      <c r="L759" s="130" t="s">
        <v>1704</v>
      </c>
      <c r="M759" s="130" t="s">
        <v>1587</v>
      </c>
      <c r="N759" s="130" t="s">
        <v>1588</v>
      </c>
      <c r="O759" s="130" t="s">
        <v>1589</v>
      </c>
      <c r="P759" s="130" t="s">
        <v>1590</v>
      </c>
      <c r="Q759" s="130" t="s">
        <v>1127</v>
      </c>
      <c r="R759" s="130" t="s">
        <v>1448</v>
      </c>
      <c r="S759" s="130" t="s">
        <v>1157</v>
      </c>
      <c r="T759" s="130" t="s">
        <v>1158</v>
      </c>
      <c r="U759" s="130">
        <v>0</v>
      </c>
      <c r="V759" s="131">
        <v>0</v>
      </c>
      <c r="W759" s="131">
        <v>0</v>
      </c>
      <c r="X759" s="131">
        <v>0</v>
      </c>
      <c r="Y759" s="131">
        <v>0</v>
      </c>
      <c r="Z759" s="131">
        <v>0</v>
      </c>
      <c r="AA759" s="131">
        <v>0</v>
      </c>
      <c r="AB759" s="131">
        <v>0</v>
      </c>
      <c r="AC759" s="131">
        <v>0</v>
      </c>
      <c r="AD759" s="131">
        <v>0</v>
      </c>
      <c r="AE759" s="132">
        <v>0</v>
      </c>
    </row>
    <row r="760" spans="1:31" x14ac:dyDescent="0.2">
      <c r="A760" s="130">
        <v>141</v>
      </c>
      <c r="B760" s="130" t="s">
        <v>946</v>
      </c>
      <c r="C760" s="130" t="s">
        <v>1114</v>
      </c>
      <c r="D760" s="130" t="s">
        <v>1584</v>
      </c>
      <c r="E760" s="130" t="s">
        <v>1116</v>
      </c>
      <c r="F760" s="130" t="s">
        <v>1117</v>
      </c>
      <c r="G760" s="130" t="s">
        <v>1118</v>
      </c>
      <c r="H760" s="130" t="s">
        <v>1119</v>
      </c>
      <c r="I760" s="130" t="s">
        <v>1169</v>
      </c>
      <c r="J760" s="130" t="s">
        <v>1195</v>
      </c>
      <c r="K760" s="130" t="s">
        <v>1196</v>
      </c>
      <c r="L760" s="130" t="s">
        <v>1705</v>
      </c>
      <c r="M760" s="130" t="s">
        <v>1587</v>
      </c>
      <c r="N760" s="130" t="s">
        <v>1588</v>
      </c>
      <c r="O760" s="130" t="s">
        <v>1589</v>
      </c>
      <c r="P760" s="130" t="s">
        <v>1590</v>
      </c>
      <c r="Q760" s="130" t="s">
        <v>1127</v>
      </c>
      <c r="R760" s="130" t="s">
        <v>1140</v>
      </c>
      <c r="S760" s="130" t="s">
        <v>1157</v>
      </c>
      <c r="T760" s="130" t="s">
        <v>1176</v>
      </c>
      <c r="U760" s="130">
        <v>50000</v>
      </c>
      <c r="V760" s="131">
        <v>-50000</v>
      </c>
      <c r="W760" s="131">
        <v>0</v>
      </c>
      <c r="X760" s="131">
        <v>0</v>
      </c>
      <c r="Y760" s="131">
        <v>0</v>
      </c>
      <c r="Z760" s="131">
        <v>0</v>
      </c>
      <c r="AA760" s="131">
        <v>0</v>
      </c>
      <c r="AB760" s="131">
        <v>0</v>
      </c>
      <c r="AC760" s="131">
        <v>0</v>
      </c>
      <c r="AD760" s="131">
        <v>0</v>
      </c>
      <c r="AE760" s="132">
        <v>0</v>
      </c>
    </row>
    <row r="761" spans="1:31" x14ac:dyDescent="0.2">
      <c r="A761" s="133">
        <v>141</v>
      </c>
      <c r="B761" s="133" t="s">
        <v>946</v>
      </c>
      <c r="C761" s="133" t="s">
        <v>1114</v>
      </c>
      <c r="D761" s="133" t="s">
        <v>1584</v>
      </c>
      <c r="E761" s="133" t="s">
        <v>1116</v>
      </c>
      <c r="F761" s="133" t="s">
        <v>1117</v>
      </c>
      <c r="G761" s="133" t="s">
        <v>1118</v>
      </c>
      <c r="H761" s="130" t="s">
        <v>1133</v>
      </c>
      <c r="I761" s="130" t="s">
        <v>1134</v>
      </c>
      <c r="J761" s="130" t="s">
        <v>1166</v>
      </c>
      <c r="K761" s="130" t="s">
        <v>1167</v>
      </c>
      <c r="L761" s="130" t="s">
        <v>1705</v>
      </c>
      <c r="M761" s="130" t="s">
        <v>1587</v>
      </c>
      <c r="N761" s="130" t="s">
        <v>1588</v>
      </c>
      <c r="O761" s="130" t="s">
        <v>1589</v>
      </c>
      <c r="P761" s="130" t="s">
        <v>1590</v>
      </c>
      <c r="Q761" s="130" t="s">
        <v>1127</v>
      </c>
      <c r="R761" s="130" t="s">
        <v>1140</v>
      </c>
      <c r="S761" s="130" t="s">
        <v>1157</v>
      </c>
      <c r="T761" s="130" t="s">
        <v>1176</v>
      </c>
      <c r="U761" s="130">
        <v>0</v>
      </c>
      <c r="V761" s="131">
        <v>0</v>
      </c>
      <c r="W761" s="131">
        <v>0</v>
      </c>
      <c r="X761" s="131">
        <v>0</v>
      </c>
      <c r="Y761" s="131">
        <v>0</v>
      </c>
      <c r="Z761" s="131">
        <v>0</v>
      </c>
      <c r="AA761" s="131">
        <v>0</v>
      </c>
      <c r="AB761" s="131">
        <v>0</v>
      </c>
      <c r="AC761" s="131">
        <v>0</v>
      </c>
      <c r="AD761" s="131">
        <v>0</v>
      </c>
      <c r="AE761" s="132">
        <v>0</v>
      </c>
    </row>
    <row r="762" spans="1:31" x14ac:dyDescent="0.2">
      <c r="A762" s="130">
        <v>142</v>
      </c>
      <c r="B762" s="130" t="s">
        <v>1706</v>
      </c>
      <c r="C762" s="130" t="s">
        <v>1114</v>
      </c>
      <c r="D762" s="130" t="s">
        <v>1584</v>
      </c>
      <c r="E762" s="130" t="s">
        <v>1116</v>
      </c>
      <c r="F762" s="130" t="s">
        <v>1117</v>
      </c>
      <c r="G762" s="130" t="s">
        <v>1118</v>
      </c>
      <c r="H762" s="130" t="s">
        <v>1119</v>
      </c>
      <c r="I762" s="130" t="s">
        <v>1169</v>
      </c>
      <c r="J762" s="130" t="s">
        <v>1195</v>
      </c>
      <c r="K762" s="130" t="s">
        <v>1196</v>
      </c>
      <c r="L762" s="130" t="s">
        <v>1707</v>
      </c>
      <c r="M762" s="130" t="s">
        <v>1587</v>
      </c>
      <c r="N762" s="130" t="s">
        <v>1588</v>
      </c>
      <c r="O762" s="130" t="s">
        <v>1589</v>
      </c>
      <c r="P762" s="130" t="s">
        <v>1590</v>
      </c>
      <c r="Q762" s="130" t="s">
        <v>1127</v>
      </c>
      <c r="R762" s="130" t="s">
        <v>1413</v>
      </c>
      <c r="S762" s="130" t="s">
        <v>1157</v>
      </c>
      <c r="T762" s="130" t="s">
        <v>1176</v>
      </c>
      <c r="U762" s="130">
        <v>50000</v>
      </c>
      <c r="V762" s="131">
        <v>-50000</v>
      </c>
      <c r="W762" s="131">
        <v>0</v>
      </c>
      <c r="X762" s="131">
        <v>0</v>
      </c>
      <c r="Y762" s="131">
        <v>0</v>
      </c>
      <c r="Z762" s="131">
        <v>0</v>
      </c>
      <c r="AA762" s="131">
        <v>0</v>
      </c>
      <c r="AB762" s="131">
        <v>0</v>
      </c>
      <c r="AC762" s="131">
        <v>0</v>
      </c>
      <c r="AD762" s="131">
        <v>0</v>
      </c>
      <c r="AE762" s="132">
        <v>0</v>
      </c>
    </row>
    <row r="763" spans="1:31" x14ac:dyDescent="0.2">
      <c r="A763" s="133">
        <v>142</v>
      </c>
      <c r="B763" s="133" t="s">
        <v>1706</v>
      </c>
      <c r="C763" s="133" t="s">
        <v>1114</v>
      </c>
      <c r="D763" s="133" t="s">
        <v>1584</v>
      </c>
      <c r="E763" s="133" t="s">
        <v>1116</v>
      </c>
      <c r="F763" s="133" t="s">
        <v>1117</v>
      </c>
      <c r="G763" s="133" t="s">
        <v>1118</v>
      </c>
      <c r="H763" s="130" t="s">
        <v>1133</v>
      </c>
      <c r="I763" s="130" t="s">
        <v>1134</v>
      </c>
      <c r="J763" s="130" t="s">
        <v>1166</v>
      </c>
      <c r="K763" s="130" t="s">
        <v>1167</v>
      </c>
      <c r="L763" s="130" t="s">
        <v>1707</v>
      </c>
      <c r="M763" s="130" t="s">
        <v>1587</v>
      </c>
      <c r="N763" s="130" t="s">
        <v>1588</v>
      </c>
      <c r="O763" s="130" t="s">
        <v>1589</v>
      </c>
      <c r="P763" s="130" t="s">
        <v>1590</v>
      </c>
      <c r="Q763" s="130" t="s">
        <v>1127</v>
      </c>
      <c r="R763" s="130" t="s">
        <v>1413</v>
      </c>
      <c r="S763" s="130" t="s">
        <v>1157</v>
      </c>
      <c r="T763" s="130" t="s">
        <v>1176</v>
      </c>
      <c r="U763" s="130">
        <v>0</v>
      </c>
      <c r="V763" s="131">
        <v>330710</v>
      </c>
      <c r="W763" s="131">
        <v>330710</v>
      </c>
      <c r="X763" s="131">
        <v>269598.95</v>
      </c>
      <c r="Y763" s="131">
        <v>61111.049999999988</v>
      </c>
      <c r="Z763" s="131">
        <v>269598.95</v>
      </c>
      <c r="AA763" s="131">
        <v>61111.049999999988</v>
      </c>
      <c r="AB763" s="131">
        <v>135927.04999999999</v>
      </c>
      <c r="AC763" s="131">
        <v>194782.95</v>
      </c>
      <c r="AD763" s="131">
        <v>129361.09999999999</v>
      </c>
      <c r="AE763" s="132">
        <v>201348.90000000002</v>
      </c>
    </row>
    <row r="764" spans="1:31" x14ac:dyDescent="0.2">
      <c r="A764" s="133">
        <v>142</v>
      </c>
      <c r="B764" s="133" t="s">
        <v>1706</v>
      </c>
      <c r="C764" s="133" t="s">
        <v>1114</v>
      </c>
      <c r="D764" s="133" t="s">
        <v>1584</v>
      </c>
      <c r="E764" s="133" t="s">
        <v>1116</v>
      </c>
      <c r="F764" s="133" t="s">
        <v>1117</v>
      </c>
      <c r="G764" s="133" t="s">
        <v>1118</v>
      </c>
      <c r="H764" s="133" t="s">
        <v>1133</v>
      </c>
      <c r="I764" s="133" t="s">
        <v>1134</v>
      </c>
      <c r="J764" s="130" t="s">
        <v>1135</v>
      </c>
      <c r="K764" s="130" t="s">
        <v>1178</v>
      </c>
      <c r="L764" s="130" t="s">
        <v>1707</v>
      </c>
      <c r="M764" s="130" t="s">
        <v>1587</v>
      </c>
      <c r="N764" s="130" t="s">
        <v>1588</v>
      </c>
      <c r="O764" s="130" t="s">
        <v>1589</v>
      </c>
      <c r="P764" s="130" t="s">
        <v>1590</v>
      </c>
      <c r="Q764" s="130" t="s">
        <v>1127</v>
      </c>
      <c r="R764" s="130" t="s">
        <v>1413</v>
      </c>
      <c r="S764" s="130" t="s">
        <v>1157</v>
      </c>
      <c r="T764" s="130" t="s">
        <v>1176</v>
      </c>
      <c r="U764" s="130">
        <v>0</v>
      </c>
      <c r="V764" s="131">
        <v>0</v>
      </c>
      <c r="W764" s="131">
        <v>0</v>
      </c>
      <c r="X764" s="131">
        <v>0</v>
      </c>
      <c r="Y764" s="131">
        <v>0</v>
      </c>
      <c r="Z764" s="131">
        <v>0</v>
      </c>
      <c r="AA764" s="131">
        <v>0</v>
      </c>
      <c r="AB764" s="131">
        <v>0</v>
      </c>
      <c r="AC764" s="131">
        <v>0</v>
      </c>
      <c r="AD764" s="131">
        <v>0</v>
      </c>
      <c r="AE764" s="132">
        <v>0</v>
      </c>
    </row>
    <row r="765" spans="1:31" x14ac:dyDescent="0.2">
      <c r="A765" s="130">
        <v>143</v>
      </c>
      <c r="B765" s="130" t="s">
        <v>1708</v>
      </c>
      <c r="C765" s="130" t="s">
        <v>1114</v>
      </c>
      <c r="D765" s="130" t="s">
        <v>1584</v>
      </c>
      <c r="E765" s="130" t="s">
        <v>1116</v>
      </c>
      <c r="F765" s="130" t="s">
        <v>1117</v>
      </c>
      <c r="G765" s="130" t="s">
        <v>1118</v>
      </c>
      <c r="H765" s="130" t="s">
        <v>1119</v>
      </c>
      <c r="I765" s="130" t="s">
        <v>1169</v>
      </c>
      <c r="J765" s="130" t="s">
        <v>1170</v>
      </c>
      <c r="K765" s="130" t="s">
        <v>1122</v>
      </c>
      <c r="L765" s="130" t="s">
        <v>1709</v>
      </c>
      <c r="M765" s="130" t="s">
        <v>1587</v>
      </c>
      <c r="N765" s="130" t="s">
        <v>1588</v>
      </c>
      <c r="O765" s="130" t="s">
        <v>1589</v>
      </c>
      <c r="P765" s="130" t="s">
        <v>1590</v>
      </c>
      <c r="Q765" s="130" t="s">
        <v>1127</v>
      </c>
      <c r="R765" s="130" t="s">
        <v>1175</v>
      </c>
      <c r="S765" s="130" t="s">
        <v>1401</v>
      </c>
      <c r="T765" s="130" t="s">
        <v>1710</v>
      </c>
      <c r="U765" s="130">
        <v>50000</v>
      </c>
      <c r="V765" s="131">
        <v>-50000</v>
      </c>
      <c r="W765" s="131">
        <v>0</v>
      </c>
      <c r="X765" s="131">
        <v>0</v>
      </c>
      <c r="Y765" s="131">
        <v>0</v>
      </c>
      <c r="Z765" s="131">
        <v>0</v>
      </c>
      <c r="AA765" s="131">
        <v>0</v>
      </c>
      <c r="AB765" s="131">
        <v>0</v>
      </c>
      <c r="AC765" s="131">
        <v>0</v>
      </c>
      <c r="AD765" s="131">
        <v>0</v>
      </c>
      <c r="AE765" s="132">
        <v>0</v>
      </c>
    </row>
    <row r="766" spans="1:31" x14ac:dyDescent="0.2">
      <c r="A766" s="133">
        <v>143</v>
      </c>
      <c r="B766" s="133" t="s">
        <v>1708</v>
      </c>
      <c r="C766" s="133" t="s">
        <v>1114</v>
      </c>
      <c r="D766" s="133" t="s">
        <v>1584</v>
      </c>
      <c r="E766" s="133" t="s">
        <v>1116</v>
      </c>
      <c r="F766" s="133" t="s">
        <v>1117</v>
      </c>
      <c r="G766" s="133" t="s">
        <v>1118</v>
      </c>
      <c r="H766" s="130" t="s">
        <v>1133</v>
      </c>
      <c r="I766" s="130" t="s">
        <v>1134</v>
      </c>
      <c r="J766" s="130" t="s">
        <v>1166</v>
      </c>
      <c r="K766" s="130" t="s">
        <v>1167</v>
      </c>
      <c r="L766" s="130" t="s">
        <v>1709</v>
      </c>
      <c r="M766" s="130" t="s">
        <v>1587</v>
      </c>
      <c r="N766" s="130" t="s">
        <v>1588</v>
      </c>
      <c r="O766" s="130" t="s">
        <v>1589</v>
      </c>
      <c r="P766" s="130" t="s">
        <v>1590</v>
      </c>
      <c r="Q766" s="130" t="s">
        <v>1127</v>
      </c>
      <c r="R766" s="130" t="s">
        <v>1175</v>
      </c>
      <c r="S766" s="130" t="s">
        <v>1401</v>
      </c>
      <c r="T766" s="130" t="s">
        <v>1710</v>
      </c>
      <c r="U766" s="130">
        <v>0</v>
      </c>
      <c r="V766" s="131">
        <v>50000</v>
      </c>
      <c r="W766" s="131">
        <v>50000</v>
      </c>
      <c r="X766" s="131">
        <v>49980</v>
      </c>
      <c r="Y766" s="131">
        <v>20</v>
      </c>
      <c r="Z766" s="131">
        <v>49980</v>
      </c>
      <c r="AA766" s="131">
        <v>20</v>
      </c>
      <c r="AB766" s="131">
        <v>49974.770000000004</v>
      </c>
      <c r="AC766" s="131">
        <v>25.229999999995925</v>
      </c>
      <c r="AD766" s="131">
        <v>49974.770000000004</v>
      </c>
      <c r="AE766" s="132">
        <v>25.229999999995925</v>
      </c>
    </row>
    <row r="767" spans="1:31" x14ac:dyDescent="0.2">
      <c r="A767" s="130">
        <v>144</v>
      </c>
      <c r="B767" s="130" t="s">
        <v>1711</v>
      </c>
      <c r="C767" s="130" t="s">
        <v>1114</v>
      </c>
      <c r="D767" s="130" t="s">
        <v>1584</v>
      </c>
      <c r="E767" s="130" t="s">
        <v>1116</v>
      </c>
      <c r="F767" s="130" t="s">
        <v>1117</v>
      </c>
      <c r="G767" s="130" t="s">
        <v>1118</v>
      </c>
      <c r="H767" s="130" t="s">
        <v>1119</v>
      </c>
      <c r="I767" s="130" t="s">
        <v>1169</v>
      </c>
      <c r="J767" s="130" t="s">
        <v>1195</v>
      </c>
      <c r="K767" s="130" t="s">
        <v>1196</v>
      </c>
      <c r="L767" s="130" t="s">
        <v>1712</v>
      </c>
      <c r="M767" s="130" t="s">
        <v>1587</v>
      </c>
      <c r="N767" s="130" t="s">
        <v>1588</v>
      </c>
      <c r="O767" s="130" t="s">
        <v>1589</v>
      </c>
      <c r="P767" s="130" t="s">
        <v>1590</v>
      </c>
      <c r="Q767" s="130" t="s">
        <v>1127</v>
      </c>
      <c r="R767" s="130" t="s">
        <v>1434</v>
      </c>
      <c r="S767" s="130" t="s">
        <v>1435</v>
      </c>
      <c r="T767" s="130" t="s">
        <v>1176</v>
      </c>
      <c r="U767" s="130">
        <v>50000</v>
      </c>
      <c r="V767" s="131">
        <v>-50000</v>
      </c>
      <c r="W767" s="131">
        <v>0</v>
      </c>
      <c r="X767" s="131">
        <v>0</v>
      </c>
      <c r="Y767" s="131">
        <v>0</v>
      </c>
      <c r="Z767" s="131">
        <v>0</v>
      </c>
      <c r="AA767" s="131">
        <v>0</v>
      </c>
      <c r="AB767" s="131">
        <v>0</v>
      </c>
      <c r="AC767" s="131">
        <v>0</v>
      </c>
      <c r="AD767" s="131">
        <v>0</v>
      </c>
      <c r="AE767" s="132">
        <v>0</v>
      </c>
    </row>
    <row r="768" spans="1:31" x14ac:dyDescent="0.2">
      <c r="A768" s="133">
        <v>144</v>
      </c>
      <c r="B768" s="133" t="s">
        <v>1711</v>
      </c>
      <c r="C768" s="133" t="s">
        <v>1114</v>
      </c>
      <c r="D768" s="133" t="s">
        <v>1584</v>
      </c>
      <c r="E768" s="133" t="s">
        <v>1116</v>
      </c>
      <c r="F768" s="133" t="s">
        <v>1117</v>
      </c>
      <c r="G768" s="133" t="s">
        <v>1118</v>
      </c>
      <c r="H768" s="130" t="s">
        <v>1133</v>
      </c>
      <c r="I768" s="130" t="s">
        <v>1134</v>
      </c>
      <c r="J768" s="130" t="s">
        <v>1166</v>
      </c>
      <c r="K768" s="130" t="s">
        <v>1167</v>
      </c>
      <c r="L768" s="130" t="s">
        <v>1712</v>
      </c>
      <c r="M768" s="130" t="s">
        <v>1587</v>
      </c>
      <c r="N768" s="130" t="s">
        <v>1588</v>
      </c>
      <c r="O768" s="130" t="s">
        <v>1589</v>
      </c>
      <c r="P768" s="130" t="s">
        <v>1590</v>
      </c>
      <c r="Q768" s="130" t="s">
        <v>1127</v>
      </c>
      <c r="R768" s="130" t="s">
        <v>1434</v>
      </c>
      <c r="S768" s="130" t="s">
        <v>1435</v>
      </c>
      <c r="T768" s="130" t="s">
        <v>1176</v>
      </c>
      <c r="U768" s="130">
        <v>0</v>
      </c>
      <c r="V768" s="131">
        <v>278409</v>
      </c>
      <c r="W768" s="131">
        <v>278409</v>
      </c>
      <c r="X768" s="131">
        <v>244409</v>
      </c>
      <c r="Y768" s="131">
        <v>34000</v>
      </c>
      <c r="Z768" s="131">
        <v>244409</v>
      </c>
      <c r="AA768" s="131">
        <v>34000</v>
      </c>
      <c r="AB768" s="131">
        <v>200805.90000000002</v>
      </c>
      <c r="AC768" s="131">
        <v>77603.099999999977</v>
      </c>
      <c r="AD768" s="131">
        <v>168805.9</v>
      </c>
      <c r="AE768" s="132">
        <v>109603.1</v>
      </c>
    </row>
    <row r="769" spans="1:31" x14ac:dyDescent="0.2">
      <c r="A769" s="130">
        <v>145</v>
      </c>
      <c r="B769" s="130" t="s">
        <v>947</v>
      </c>
      <c r="C769" s="130" t="s">
        <v>1114</v>
      </c>
      <c r="D769" s="130" t="s">
        <v>1584</v>
      </c>
      <c r="E769" s="130" t="s">
        <v>1116</v>
      </c>
      <c r="F769" s="130" t="s">
        <v>1117</v>
      </c>
      <c r="G769" s="130" t="s">
        <v>1118</v>
      </c>
      <c r="H769" s="130" t="s">
        <v>1119</v>
      </c>
      <c r="I769" s="130" t="s">
        <v>1169</v>
      </c>
      <c r="J769" s="130" t="s">
        <v>1195</v>
      </c>
      <c r="K769" s="130" t="s">
        <v>1196</v>
      </c>
      <c r="L769" s="130" t="s">
        <v>1713</v>
      </c>
      <c r="M769" s="130" t="s">
        <v>1587</v>
      </c>
      <c r="N769" s="130" t="s">
        <v>1588</v>
      </c>
      <c r="O769" s="130" t="s">
        <v>1589</v>
      </c>
      <c r="P769" s="130" t="s">
        <v>1590</v>
      </c>
      <c r="Q769" s="130" t="s">
        <v>1127</v>
      </c>
      <c r="R769" s="130" t="s">
        <v>1413</v>
      </c>
      <c r="S769" s="130" t="s">
        <v>1157</v>
      </c>
      <c r="T769" s="130" t="s">
        <v>1130</v>
      </c>
      <c r="U769" s="130">
        <v>50000</v>
      </c>
      <c r="V769" s="131">
        <v>-50000</v>
      </c>
      <c r="W769" s="131">
        <v>0</v>
      </c>
      <c r="X769" s="131">
        <v>0</v>
      </c>
      <c r="Y769" s="131">
        <v>0</v>
      </c>
      <c r="Z769" s="131">
        <v>0</v>
      </c>
      <c r="AA769" s="131">
        <v>0</v>
      </c>
      <c r="AB769" s="131">
        <v>0</v>
      </c>
      <c r="AC769" s="131">
        <v>0</v>
      </c>
      <c r="AD769" s="131">
        <v>0</v>
      </c>
      <c r="AE769" s="132">
        <v>0</v>
      </c>
    </row>
    <row r="770" spans="1:31" x14ac:dyDescent="0.2">
      <c r="A770" s="133">
        <v>145</v>
      </c>
      <c r="B770" s="133" t="s">
        <v>947</v>
      </c>
      <c r="C770" s="133" t="s">
        <v>1114</v>
      </c>
      <c r="D770" s="133" t="s">
        <v>1584</v>
      </c>
      <c r="E770" s="133" t="s">
        <v>1116</v>
      </c>
      <c r="F770" s="133" t="s">
        <v>1117</v>
      </c>
      <c r="G770" s="133" t="s">
        <v>1118</v>
      </c>
      <c r="H770" s="130" t="s">
        <v>1133</v>
      </c>
      <c r="I770" s="130" t="s">
        <v>1134</v>
      </c>
      <c r="J770" s="130" t="s">
        <v>1166</v>
      </c>
      <c r="K770" s="130" t="s">
        <v>1167</v>
      </c>
      <c r="L770" s="130" t="s">
        <v>1713</v>
      </c>
      <c r="M770" s="130" t="s">
        <v>1587</v>
      </c>
      <c r="N770" s="130" t="s">
        <v>1588</v>
      </c>
      <c r="O770" s="130" t="s">
        <v>1589</v>
      </c>
      <c r="P770" s="130" t="s">
        <v>1590</v>
      </c>
      <c r="Q770" s="130" t="s">
        <v>1127</v>
      </c>
      <c r="R770" s="130" t="s">
        <v>1413</v>
      </c>
      <c r="S770" s="130" t="s">
        <v>1157</v>
      </c>
      <c r="T770" s="130" t="s">
        <v>1130</v>
      </c>
      <c r="U770" s="130">
        <v>0</v>
      </c>
      <c r="V770" s="131">
        <v>316902</v>
      </c>
      <c r="W770" s="131">
        <v>316902</v>
      </c>
      <c r="X770" s="131">
        <v>311414.59999999998</v>
      </c>
      <c r="Y770" s="131">
        <v>5487.4000000000233</v>
      </c>
      <c r="Z770" s="131">
        <v>311414.59999999998</v>
      </c>
      <c r="AA770" s="131">
        <v>5487.4000000000233</v>
      </c>
      <c r="AB770" s="131">
        <v>190328.88</v>
      </c>
      <c r="AC770" s="131">
        <v>126573.12</v>
      </c>
      <c r="AD770" s="131">
        <v>141734.28</v>
      </c>
      <c r="AE770" s="132">
        <v>175167.72</v>
      </c>
    </row>
    <row r="771" spans="1:31" x14ac:dyDescent="0.2">
      <c r="A771" s="130">
        <v>146</v>
      </c>
      <c r="B771" s="130" t="s">
        <v>1714</v>
      </c>
      <c r="C771" s="130" t="s">
        <v>1114</v>
      </c>
      <c r="D771" s="130" t="s">
        <v>1584</v>
      </c>
      <c r="E771" s="130" t="s">
        <v>1116</v>
      </c>
      <c r="F771" s="130" t="s">
        <v>1117</v>
      </c>
      <c r="G771" s="130" t="s">
        <v>1118</v>
      </c>
      <c r="H771" s="130" t="s">
        <v>1119</v>
      </c>
      <c r="I771" s="130" t="s">
        <v>1169</v>
      </c>
      <c r="J771" s="130" t="s">
        <v>1195</v>
      </c>
      <c r="K771" s="130" t="s">
        <v>1196</v>
      </c>
      <c r="L771" s="130" t="s">
        <v>1715</v>
      </c>
      <c r="M771" s="130" t="s">
        <v>1587</v>
      </c>
      <c r="N771" s="130" t="s">
        <v>1588</v>
      </c>
      <c r="O771" s="130" t="s">
        <v>1589</v>
      </c>
      <c r="P771" s="130" t="s">
        <v>1590</v>
      </c>
      <c r="Q771" s="130" t="s">
        <v>1127</v>
      </c>
      <c r="R771" s="130" t="s">
        <v>1409</v>
      </c>
      <c r="S771" s="130" t="s">
        <v>1460</v>
      </c>
      <c r="T771" s="130" t="s">
        <v>1176</v>
      </c>
      <c r="U771" s="130">
        <v>50000</v>
      </c>
      <c r="V771" s="131">
        <v>-50000</v>
      </c>
      <c r="W771" s="131">
        <v>0</v>
      </c>
      <c r="X771" s="131">
        <v>0</v>
      </c>
      <c r="Y771" s="131">
        <v>0</v>
      </c>
      <c r="Z771" s="131">
        <v>0</v>
      </c>
      <c r="AA771" s="131">
        <v>0</v>
      </c>
      <c r="AB771" s="131">
        <v>0</v>
      </c>
      <c r="AC771" s="131">
        <v>0</v>
      </c>
      <c r="AD771" s="131">
        <v>0</v>
      </c>
      <c r="AE771" s="132">
        <v>0</v>
      </c>
    </row>
    <row r="772" spans="1:31" x14ac:dyDescent="0.2">
      <c r="A772" s="133">
        <v>146</v>
      </c>
      <c r="B772" s="133" t="s">
        <v>1714</v>
      </c>
      <c r="C772" s="133" t="s">
        <v>1114</v>
      </c>
      <c r="D772" s="133" t="s">
        <v>1584</v>
      </c>
      <c r="E772" s="133" t="s">
        <v>1116</v>
      </c>
      <c r="F772" s="133" t="s">
        <v>1117</v>
      </c>
      <c r="G772" s="133" t="s">
        <v>1118</v>
      </c>
      <c r="H772" s="130" t="s">
        <v>1133</v>
      </c>
      <c r="I772" s="130" t="s">
        <v>1134</v>
      </c>
      <c r="J772" s="130" t="s">
        <v>1166</v>
      </c>
      <c r="K772" s="130" t="s">
        <v>1167</v>
      </c>
      <c r="L772" s="130" t="s">
        <v>1715</v>
      </c>
      <c r="M772" s="130" t="s">
        <v>1587</v>
      </c>
      <c r="N772" s="130" t="s">
        <v>1588</v>
      </c>
      <c r="O772" s="130" t="s">
        <v>1589</v>
      </c>
      <c r="P772" s="130" t="s">
        <v>1590</v>
      </c>
      <c r="Q772" s="130" t="s">
        <v>1127</v>
      </c>
      <c r="R772" s="130" t="s">
        <v>1409</v>
      </c>
      <c r="S772" s="130" t="s">
        <v>1460</v>
      </c>
      <c r="T772" s="130" t="s">
        <v>1176</v>
      </c>
      <c r="U772" s="130">
        <v>0</v>
      </c>
      <c r="V772" s="131">
        <v>159651</v>
      </c>
      <c r="W772" s="131">
        <v>159651</v>
      </c>
      <c r="X772" s="131">
        <v>115000</v>
      </c>
      <c r="Y772" s="131">
        <v>44651</v>
      </c>
      <c r="Z772" s="131">
        <v>75000</v>
      </c>
      <c r="AA772" s="131">
        <v>84651</v>
      </c>
      <c r="AB772" s="131">
        <v>75000</v>
      </c>
      <c r="AC772" s="131">
        <v>84651</v>
      </c>
      <c r="AD772" s="131">
        <v>0</v>
      </c>
      <c r="AE772" s="132">
        <v>159651</v>
      </c>
    </row>
    <row r="773" spans="1:31" x14ac:dyDescent="0.2">
      <c r="A773" s="130">
        <v>147</v>
      </c>
      <c r="B773" s="130" t="s">
        <v>1716</v>
      </c>
      <c r="C773" s="130" t="s">
        <v>1114</v>
      </c>
      <c r="D773" s="130" t="s">
        <v>1584</v>
      </c>
      <c r="E773" s="130" t="s">
        <v>1116</v>
      </c>
      <c r="F773" s="130" t="s">
        <v>1117</v>
      </c>
      <c r="G773" s="130" t="s">
        <v>1118</v>
      </c>
      <c r="H773" s="130" t="s">
        <v>1119</v>
      </c>
      <c r="I773" s="130" t="s">
        <v>1169</v>
      </c>
      <c r="J773" s="130" t="s">
        <v>1195</v>
      </c>
      <c r="K773" s="130" t="s">
        <v>1196</v>
      </c>
      <c r="L773" s="130" t="s">
        <v>1717</v>
      </c>
      <c r="M773" s="130" t="s">
        <v>1587</v>
      </c>
      <c r="N773" s="130" t="s">
        <v>1588</v>
      </c>
      <c r="O773" s="130" t="s">
        <v>1589</v>
      </c>
      <c r="P773" s="130" t="s">
        <v>1590</v>
      </c>
      <c r="Q773" s="130" t="s">
        <v>1127</v>
      </c>
      <c r="R773" s="130" t="s">
        <v>1187</v>
      </c>
      <c r="S773" s="130" t="s">
        <v>1157</v>
      </c>
      <c r="T773" s="130" t="s">
        <v>1176</v>
      </c>
      <c r="U773" s="130">
        <v>50000</v>
      </c>
      <c r="V773" s="131">
        <v>-50000</v>
      </c>
      <c r="W773" s="131">
        <v>0</v>
      </c>
      <c r="X773" s="131">
        <v>0</v>
      </c>
      <c r="Y773" s="131">
        <v>0</v>
      </c>
      <c r="Z773" s="131">
        <v>0</v>
      </c>
      <c r="AA773" s="131">
        <v>0</v>
      </c>
      <c r="AB773" s="131">
        <v>0</v>
      </c>
      <c r="AC773" s="131">
        <v>0</v>
      </c>
      <c r="AD773" s="131">
        <v>0</v>
      </c>
      <c r="AE773" s="132">
        <v>0</v>
      </c>
    </row>
    <row r="774" spans="1:31" x14ac:dyDescent="0.2">
      <c r="A774" s="133">
        <v>147</v>
      </c>
      <c r="B774" s="133" t="s">
        <v>1716</v>
      </c>
      <c r="C774" s="133" t="s">
        <v>1114</v>
      </c>
      <c r="D774" s="133" t="s">
        <v>1584</v>
      </c>
      <c r="E774" s="133" t="s">
        <v>1116</v>
      </c>
      <c r="F774" s="133" t="s">
        <v>1117</v>
      </c>
      <c r="G774" s="133" t="s">
        <v>1118</v>
      </c>
      <c r="H774" s="130" t="s">
        <v>1133</v>
      </c>
      <c r="I774" s="130" t="s">
        <v>1134</v>
      </c>
      <c r="J774" s="130" t="s">
        <v>1166</v>
      </c>
      <c r="K774" s="130" t="s">
        <v>1167</v>
      </c>
      <c r="L774" s="130" t="s">
        <v>1717</v>
      </c>
      <c r="M774" s="130" t="s">
        <v>1587</v>
      </c>
      <c r="N774" s="130" t="s">
        <v>1588</v>
      </c>
      <c r="O774" s="130" t="s">
        <v>1589</v>
      </c>
      <c r="P774" s="130" t="s">
        <v>1590</v>
      </c>
      <c r="Q774" s="130" t="s">
        <v>1127</v>
      </c>
      <c r="R774" s="130" t="s">
        <v>1187</v>
      </c>
      <c r="S774" s="130" t="s">
        <v>1157</v>
      </c>
      <c r="T774" s="130" t="s">
        <v>1176</v>
      </c>
      <c r="U774" s="130">
        <v>0</v>
      </c>
      <c r="V774" s="131">
        <v>612293</v>
      </c>
      <c r="W774" s="131">
        <v>612293</v>
      </c>
      <c r="X774" s="131">
        <v>604159</v>
      </c>
      <c r="Y774" s="131">
        <v>8134</v>
      </c>
      <c r="Z774" s="131">
        <v>604159</v>
      </c>
      <c r="AA774" s="131">
        <v>8134</v>
      </c>
      <c r="AB774" s="131">
        <v>325751.86</v>
      </c>
      <c r="AC774" s="131">
        <v>286541.14</v>
      </c>
      <c r="AD774" s="131">
        <v>248826.86000000002</v>
      </c>
      <c r="AE774" s="132">
        <v>363466.14</v>
      </c>
    </row>
    <row r="775" spans="1:31" x14ac:dyDescent="0.2">
      <c r="A775" s="130">
        <v>148</v>
      </c>
      <c r="B775" s="130" t="s">
        <v>949</v>
      </c>
      <c r="C775" s="130" t="s">
        <v>1114</v>
      </c>
      <c r="D775" s="130" t="s">
        <v>1584</v>
      </c>
      <c r="E775" s="130" t="s">
        <v>1116</v>
      </c>
      <c r="F775" s="130" t="s">
        <v>1117</v>
      </c>
      <c r="G775" s="130" t="s">
        <v>1118</v>
      </c>
      <c r="H775" s="130" t="s">
        <v>1119</v>
      </c>
      <c r="I775" s="130" t="s">
        <v>1169</v>
      </c>
      <c r="J775" s="130" t="s">
        <v>1195</v>
      </c>
      <c r="K775" s="130" t="s">
        <v>1196</v>
      </c>
      <c r="L775" s="130" t="s">
        <v>1718</v>
      </c>
      <c r="M775" s="130" t="s">
        <v>1587</v>
      </c>
      <c r="N775" s="130" t="s">
        <v>1588</v>
      </c>
      <c r="O775" s="130" t="s">
        <v>1589</v>
      </c>
      <c r="P775" s="130" t="s">
        <v>1590</v>
      </c>
      <c r="Q775" s="130" t="s">
        <v>1127</v>
      </c>
      <c r="R775" s="130" t="s">
        <v>1191</v>
      </c>
      <c r="S775" s="130" t="s">
        <v>1538</v>
      </c>
      <c r="T775" s="130" t="s">
        <v>1176</v>
      </c>
      <c r="U775" s="130">
        <v>50000</v>
      </c>
      <c r="V775" s="131">
        <v>-50000</v>
      </c>
      <c r="W775" s="131">
        <v>0</v>
      </c>
      <c r="X775" s="131">
        <v>0</v>
      </c>
      <c r="Y775" s="131">
        <v>0</v>
      </c>
      <c r="Z775" s="131">
        <v>0</v>
      </c>
      <c r="AA775" s="131">
        <v>0</v>
      </c>
      <c r="AB775" s="131">
        <v>0</v>
      </c>
      <c r="AC775" s="131">
        <v>0</v>
      </c>
      <c r="AD775" s="131">
        <v>0</v>
      </c>
      <c r="AE775" s="132">
        <v>0</v>
      </c>
    </row>
    <row r="776" spans="1:31" x14ac:dyDescent="0.2">
      <c r="A776" s="133">
        <v>148</v>
      </c>
      <c r="B776" s="133" t="s">
        <v>949</v>
      </c>
      <c r="C776" s="133" t="s">
        <v>1114</v>
      </c>
      <c r="D776" s="133" t="s">
        <v>1584</v>
      </c>
      <c r="E776" s="133" t="s">
        <v>1116</v>
      </c>
      <c r="F776" s="133" t="s">
        <v>1117</v>
      </c>
      <c r="G776" s="133" t="s">
        <v>1118</v>
      </c>
      <c r="H776" s="130" t="s">
        <v>1133</v>
      </c>
      <c r="I776" s="130" t="s">
        <v>1134</v>
      </c>
      <c r="J776" s="130" t="s">
        <v>1166</v>
      </c>
      <c r="K776" s="130" t="s">
        <v>1167</v>
      </c>
      <c r="L776" s="130" t="s">
        <v>1718</v>
      </c>
      <c r="M776" s="130" t="s">
        <v>1587</v>
      </c>
      <c r="N776" s="130" t="s">
        <v>1588</v>
      </c>
      <c r="O776" s="130" t="s">
        <v>1589</v>
      </c>
      <c r="P776" s="130" t="s">
        <v>1590</v>
      </c>
      <c r="Q776" s="130" t="s">
        <v>1127</v>
      </c>
      <c r="R776" s="130" t="s">
        <v>1191</v>
      </c>
      <c r="S776" s="130" t="s">
        <v>1538</v>
      </c>
      <c r="T776" s="130" t="s">
        <v>1176</v>
      </c>
      <c r="U776" s="130">
        <v>0</v>
      </c>
      <c r="V776" s="131">
        <v>0</v>
      </c>
      <c r="W776" s="131">
        <v>0</v>
      </c>
      <c r="X776" s="131">
        <v>0</v>
      </c>
      <c r="Y776" s="131">
        <v>0</v>
      </c>
      <c r="Z776" s="131">
        <v>0</v>
      </c>
      <c r="AA776" s="131">
        <v>0</v>
      </c>
      <c r="AB776" s="131">
        <v>0</v>
      </c>
      <c r="AC776" s="131">
        <v>0</v>
      </c>
      <c r="AD776" s="131">
        <v>0</v>
      </c>
      <c r="AE776" s="132">
        <v>0</v>
      </c>
    </row>
    <row r="777" spans="1:31" x14ac:dyDescent="0.2">
      <c r="A777" s="130">
        <v>149</v>
      </c>
      <c r="B777" s="130" t="s">
        <v>1719</v>
      </c>
      <c r="C777" s="130" t="s">
        <v>1114</v>
      </c>
      <c r="D777" s="130" t="s">
        <v>1584</v>
      </c>
      <c r="E777" s="130" t="s">
        <v>1116</v>
      </c>
      <c r="F777" s="130" t="s">
        <v>1117</v>
      </c>
      <c r="G777" s="130" t="s">
        <v>1118</v>
      </c>
      <c r="H777" s="130" t="s">
        <v>1119</v>
      </c>
      <c r="I777" s="130" t="s">
        <v>1169</v>
      </c>
      <c r="J777" s="130" t="s">
        <v>1195</v>
      </c>
      <c r="K777" s="130" t="s">
        <v>1196</v>
      </c>
      <c r="L777" s="130" t="s">
        <v>1720</v>
      </c>
      <c r="M777" s="130" t="s">
        <v>1587</v>
      </c>
      <c r="N777" s="130" t="s">
        <v>1588</v>
      </c>
      <c r="O777" s="130" t="s">
        <v>1589</v>
      </c>
      <c r="P777" s="130" t="s">
        <v>1590</v>
      </c>
      <c r="Q777" s="130" t="s">
        <v>1127</v>
      </c>
      <c r="R777" s="130" t="s">
        <v>1175</v>
      </c>
      <c r="S777" s="130" t="s">
        <v>1157</v>
      </c>
      <c r="T777" s="130" t="s">
        <v>1176</v>
      </c>
      <c r="U777" s="130">
        <v>50000</v>
      </c>
      <c r="V777" s="131">
        <v>-50000</v>
      </c>
      <c r="W777" s="131">
        <v>0</v>
      </c>
      <c r="X777" s="131">
        <v>0</v>
      </c>
      <c r="Y777" s="131">
        <v>0</v>
      </c>
      <c r="Z777" s="131">
        <v>0</v>
      </c>
      <c r="AA777" s="131">
        <v>0</v>
      </c>
      <c r="AB777" s="131">
        <v>0</v>
      </c>
      <c r="AC777" s="131">
        <v>0</v>
      </c>
      <c r="AD777" s="131">
        <v>0</v>
      </c>
      <c r="AE777" s="132">
        <v>0</v>
      </c>
    </row>
    <row r="778" spans="1:31" x14ac:dyDescent="0.2">
      <c r="A778" s="133">
        <v>149</v>
      </c>
      <c r="B778" s="133" t="s">
        <v>1719</v>
      </c>
      <c r="C778" s="133" t="s">
        <v>1114</v>
      </c>
      <c r="D778" s="133" t="s">
        <v>1584</v>
      </c>
      <c r="E778" s="133" t="s">
        <v>1116</v>
      </c>
      <c r="F778" s="133" t="s">
        <v>1117</v>
      </c>
      <c r="G778" s="133" t="s">
        <v>1118</v>
      </c>
      <c r="H778" s="130" t="s">
        <v>1133</v>
      </c>
      <c r="I778" s="130" t="s">
        <v>1134</v>
      </c>
      <c r="J778" s="130" t="s">
        <v>1166</v>
      </c>
      <c r="K778" s="130" t="s">
        <v>1167</v>
      </c>
      <c r="L778" s="130" t="s">
        <v>1720</v>
      </c>
      <c r="M778" s="130" t="s">
        <v>1587</v>
      </c>
      <c r="N778" s="130" t="s">
        <v>1588</v>
      </c>
      <c r="O778" s="130" t="s">
        <v>1589</v>
      </c>
      <c r="P778" s="130" t="s">
        <v>1590</v>
      </c>
      <c r="Q778" s="130" t="s">
        <v>1127</v>
      </c>
      <c r="R778" s="130" t="s">
        <v>1175</v>
      </c>
      <c r="S778" s="130" t="s">
        <v>1157</v>
      </c>
      <c r="T778" s="130" t="s">
        <v>1176</v>
      </c>
      <c r="U778" s="130">
        <v>0</v>
      </c>
      <c r="V778" s="131">
        <v>275790</v>
      </c>
      <c r="W778" s="131">
        <v>275790</v>
      </c>
      <c r="X778" s="131">
        <v>275790</v>
      </c>
      <c r="Y778" s="131">
        <v>0</v>
      </c>
      <c r="Z778" s="131">
        <v>140000</v>
      </c>
      <c r="AA778" s="131">
        <v>135790</v>
      </c>
      <c r="AB778" s="131">
        <v>121055.82</v>
      </c>
      <c r="AC778" s="131">
        <v>154734.18</v>
      </c>
      <c r="AD778" s="131">
        <v>121055.82</v>
      </c>
      <c r="AE778" s="132">
        <v>154734.18</v>
      </c>
    </row>
    <row r="779" spans="1:31" x14ac:dyDescent="0.2">
      <c r="A779" s="130">
        <v>150</v>
      </c>
      <c r="B779" s="130" t="s">
        <v>1721</v>
      </c>
      <c r="C779" s="130" t="s">
        <v>1114</v>
      </c>
      <c r="D779" s="130" t="s">
        <v>1584</v>
      </c>
      <c r="E779" s="130" t="s">
        <v>1116</v>
      </c>
      <c r="F779" s="130" t="s">
        <v>1117</v>
      </c>
      <c r="G779" s="130" t="s">
        <v>1118</v>
      </c>
      <c r="H779" s="130" t="s">
        <v>1119</v>
      </c>
      <c r="I779" s="130" t="s">
        <v>1169</v>
      </c>
      <c r="J779" s="130" t="s">
        <v>1195</v>
      </c>
      <c r="K779" s="130" t="s">
        <v>1196</v>
      </c>
      <c r="L779" s="130" t="s">
        <v>1722</v>
      </c>
      <c r="M779" s="130" t="s">
        <v>1587</v>
      </c>
      <c r="N779" s="130" t="s">
        <v>1588</v>
      </c>
      <c r="O779" s="130" t="s">
        <v>1589</v>
      </c>
      <c r="P779" s="130" t="s">
        <v>1590</v>
      </c>
      <c r="Q779" s="130" t="s">
        <v>1127</v>
      </c>
      <c r="R779" s="130" t="s">
        <v>1191</v>
      </c>
      <c r="S779" s="130" t="s">
        <v>1191</v>
      </c>
      <c r="T779" s="130" t="s">
        <v>1158</v>
      </c>
      <c r="U779" s="130">
        <v>800000</v>
      </c>
      <c r="V779" s="131">
        <v>-800000</v>
      </c>
      <c r="W779" s="131">
        <v>0</v>
      </c>
      <c r="X779" s="131">
        <v>0</v>
      </c>
      <c r="Y779" s="131">
        <v>0</v>
      </c>
      <c r="Z779" s="131">
        <v>0</v>
      </c>
      <c r="AA779" s="131">
        <v>0</v>
      </c>
      <c r="AB779" s="131">
        <v>0</v>
      </c>
      <c r="AC779" s="131">
        <v>0</v>
      </c>
      <c r="AD779" s="131">
        <v>0</v>
      </c>
      <c r="AE779" s="132">
        <v>0</v>
      </c>
    </row>
    <row r="780" spans="1:31" x14ac:dyDescent="0.2">
      <c r="A780" s="133">
        <v>150</v>
      </c>
      <c r="B780" s="133" t="s">
        <v>1721</v>
      </c>
      <c r="C780" s="133" t="s">
        <v>1114</v>
      </c>
      <c r="D780" s="133" t="s">
        <v>1584</v>
      </c>
      <c r="E780" s="133" t="s">
        <v>1116</v>
      </c>
      <c r="F780" s="133" t="s">
        <v>1117</v>
      </c>
      <c r="G780" s="133" t="s">
        <v>1118</v>
      </c>
      <c r="H780" s="130" t="s">
        <v>1133</v>
      </c>
      <c r="I780" s="130" t="s">
        <v>1134</v>
      </c>
      <c r="J780" s="130" t="s">
        <v>1166</v>
      </c>
      <c r="K780" s="130" t="s">
        <v>1167</v>
      </c>
      <c r="L780" s="130" t="s">
        <v>1722</v>
      </c>
      <c r="M780" s="130" t="s">
        <v>1587</v>
      </c>
      <c r="N780" s="130" t="s">
        <v>1588</v>
      </c>
      <c r="O780" s="130" t="s">
        <v>1589</v>
      </c>
      <c r="P780" s="130" t="s">
        <v>1590</v>
      </c>
      <c r="Q780" s="130" t="s">
        <v>1127</v>
      </c>
      <c r="R780" s="130" t="s">
        <v>1191</v>
      </c>
      <c r="S780" s="130" t="s">
        <v>1191</v>
      </c>
      <c r="T780" s="130" t="s">
        <v>1158</v>
      </c>
      <c r="U780" s="130">
        <v>0</v>
      </c>
      <c r="V780" s="131">
        <v>255799</v>
      </c>
      <c r="W780" s="131">
        <v>255799</v>
      </c>
      <c r="X780" s="131">
        <v>151630</v>
      </c>
      <c r="Y780" s="131">
        <v>104169</v>
      </c>
      <c r="Z780" s="131">
        <v>149200</v>
      </c>
      <c r="AA780" s="131">
        <v>106599</v>
      </c>
      <c r="AB780" s="131">
        <v>103333.62</v>
      </c>
      <c r="AC780" s="131">
        <v>152465.38</v>
      </c>
      <c r="AD780" s="131">
        <v>56008.51</v>
      </c>
      <c r="AE780" s="132">
        <v>199790.49</v>
      </c>
    </row>
    <row r="781" spans="1:31" x14ac:dyDescent="0.2">
      <c r="A781" s="130">
        <v>151</v>
      </c>
      <c r="B781" s="130" t="s">
        <v>1723</v>
      </c>
      <c r="C781" s="130" t="s">
        <v>1114</v>
      </c>
      <c r="D781" s="130" t="s">
        <v>1584</v>
      </c>
      <c r="E781" s="130" t="s">
        <v>1116</v>
      </c>
      <c r="F781" s="130" t="s">
        <v>1117</v>
      </c>
      <c r="G781" s="130" t="s">
        <v>1118</v>
      </c>
      <c r="H781" s="130" t="s">
        <v>1119</v>
      </c>
      <c r="I781" s="130" t="s">
        <v>1169</v>
      </c>
      <c r="J781" s="130" t="s">
        <v>1195</v>
      </c>
      <c r="K781" s="130" t="s">
        <v>1196</v>
      </c>
      <c r="L781" s="130" t="s">
        <v>1724</v>
      </c>
      <c r="M781" s="130" t="s">
        <v>1587</v>
      </c>
      <c r="N781" s="130" t="s">
        <v>1588</v>
      </c>
      <c r="O781" s="130" t="s">
        <v>1589</v>
      </c>
      <c r="P781" s="130" t="s">
        <v>1590</v>
      </c>
      <c r="Q781" s="130" t="s">
        <v>1127</v>
      </c>
      <c r="R781" s="130" t="s">
        <v>1417</v>
      </c>
      <c r="S781" s="130" t="s">
        <v>1725</v>
      </c>
      <c r="T781" s="130" t="s">
        <v>1176</v>
      </c>
      <c r="U781" s="130">
        <v>50000</v>
      </c>
      <c r="V781" s="131">
        <v>-50000</v>
      </c>
      <c r="W781" s="131">
        <v>0</v>
      </c>
      <c r="X781" s="131">
        <v>0</v>
      </c>
      <c r="Y781" s="131">
        <v>0</v>
      </c>
      <c r="Z781" s="131">
        <v>0</v>
      </c>
      <c r="AA781" s="131">
        <v>0</v>
      </c>
      <c r="AB781" s="131">
        <v>0</v>
      </c>
      <c r="AC781" s="131">
        <v>0</v>
      </c>
      <c r="AD781" s="131">
        <v>0</v>
      </c>
      <c r="AE781" s="132">
        <v>0</v>
      </c>
    </row>
    <row r="782" spans="1:31" x14ac:dyDescent="0.2">
      <c r="A782" s="133">
        <v>151</v>
      </c>
      <c r="B782" s="133" t="s">
        <v>1723</v>
      </c>
      <c r="C782" s="133" t="s">
        <v>1114</v>
      </c>
      <c r="D782" s="133" t="s">
        <v>1584</v>
      </c>
      <c r="E782" s="133" t="s">
        <v>1116</v>
      </c>
      <c r="F782" s="133" t="s">
        <v>1117</v>
      </c>
      <c r="G782" s="133" t="s">
        <v>1118</v>
      </c>
      <c r="H782" s="130" t="s">
        <v>1133</v>
      </c>
      <c r="I782" s="130" t="s">
        <v>1134</v>
      </c>
      <c r="J782" s="130" t="s">
        <v>1166</v>
      </c>
      <c r="K782" s="130" t="s">
        <v>1167</v>
      </c>
      <c r="L782" s="130" t="s">
        <v>1724</v>
      </c>
      <c r="M782" s="130" t="s">
        <v>1587</v>
      </c>
      <c r="N782" s="130" t="s">
        <v>1588</v>
      </c>
      <c r="O782" s="130" t="s">
        <v>1589</v>
      </c>
      <c r="P782" s="130" t="s">
        <v>1590</v>
      </c>
      <c r="Q782" s="130" t="s">
        <v>1127</v>
      </c>
      <c r="R782" s="130" t="s">
        <v>1417</v>
      </c>
      <c r="S782" s="130" t="s">
        <v>1725</v>
      </c>
      <c r="T782" s="130" t="s">
        <v>1176</v>
      </c>
      <c r="U782" s="130">
        <v>0</v>
      </c>
      <c r="V782" s="131">
        <v>222962</v>
      </c>
      <c r="W782" s="131">
        <v>222962</v>
      </c>
      <c r="X782" s="131">
        <v>193149.5</v>
      </c>
      <c r="Y782" s="131">
        <v>29812.5</v>
      </c>
      <c r="Z782" s="131">
        <v>193149.5</v>
      </c>
      <c r="AA782" s="131">
        <v>29812.5</v>
      </c>
      <c r="AB782" s="131">
        <v>178690.86</v>
      </c>
      <c r="AC782" s="131">
        <v>44271.140000000014</v>
      </c>
      <c r="AD782" s="131">
        <v>169035.34</v>
      </c>
      <c r="AE782" s="132">
        <v>53926.66</v>
      </c>
    </row>
    <row r="783" spans="1:31" x14ac:dyDescent="0.2">
      <c r="A783" s="130">
        <v>152</v>
      </c>
      <c r="B783" s="130" t="s">
        <v>1726</v>
      </c>
      <c r="C783" s="130" t="s">
        <v>1147</v>
      </c>
      <c r="D783" s="130" t="s">
        <v>1346</v>
      </c>
      <c r="E783" s="130" t="s">
        <v>1116</v>
      </c>
      <c r="F783" s="130" t="s">
        <v>1117</v>
      </c>
      <c r="G783" s="130" t="s">
        <v>1118</v>
      </c>
      <c r="H783" s="130" t="s">
        <v>1119</v>
      </c>
      <c r="I783" s="130" t="s">
        <v>1169</v>
      </c>
      <c r="J783" s="130" t="s">
        <v>1170</v>
      </c>
      <c r="K783" s="130" t="s">
        <v>1122</v>
      </c>
      <c r="L783" s="130" t="s">
        <v>1727</v>
      </c>
      <c r="M783" s="130" t="s">
        <v>1728</v>
      </c>
      <c r="N783" s="130" t="s">
        <v>148</v>
      </c>
      <c r="O783" s="130" t="s">
        <v>1729</v>
      </c>
      <c r="P783" s="130" t="s">
        <v>1730</v>
      </c>
      <c r="Q783" s="130" t="s">
        <v>1127</v>
      </c>
      <c r="R783" s="130" t="s">
        <v>1140</v>
      </c>
      <c r="S783" s="130" t="s">
        <v>1157</v>
      </c>
      <c r="T783" s="130" t="s">
        <v>1468</v>
      </c>
      <c r="U783" s="130">
        <v>2080646</v>
      </c>
      <c r="V783" s="131">
        <v>-1000000</v>
      </c>
      <c r="W783" s="131">
        <v>1080646</v>
      </c>
      <c r="X783" s="131">
        <v>0</v>
      </c>
      <c r="Y783" s="131">
        <v>1080646</v>
      </c>
      <c r="Z783" s="131">
        <v>0</v>
      </c>
      <c r="AA783" s="131">
        <v>1080646</v>
      </c>
      <c r="AB783" s="131">
        <v>0</v>
      </c>
      <c r="AC783" s="131">
        <v>1080646</v>
      </c>
      <c r="AD783" s="131">
        <v>0</v>
      </c>
      <c r="AE783" s="132">
        <v>1080646</v>
      </c>
    </row>
    <row r="784" spans="1:31" x14ac:dyDescent="0.2">
      <c r="A784" s="130">
        <v>153</v>
      </c>
      <c r="B784" s="130" t="s">
        <v>1731</v>
      </c>
      <c r="C784" s="130" t="s">
        <v>1114</v>
      </c>
      <c r="D784" s="130" t="s">
        <v>1168</v>
      </c>
      <c r="E784" s="130" t="s">
        <v>1116</v>
      </c>
      <c r="F784" s="130" t="s">
        <v>1117</v>
      </c>
      <c r="G784" s="130" t="s">
        <v>1118</v>
      </c>
      <c r="H784" s="130" t="s">
        <v>1119</v>
      </c>
      <c r="I784" s="130" t="s">
        <v>1169</v>
      </c>
      <c r="J784" s="130" t="s">
        <v>1170</v>
      </c>
      <c r="K784" s="130" t="s">
        <v>1122</v>
      </c>
      <c r="L784" s="130" t="s">
        <v>1732</v>
      </c>
      <c r="M784" s="130" t="s">
        <v>1728</v>
      </c>
      <c r="N784" s="130" t="s">
        <v>148</v>
      </c>
      <c r="O784" s="130" t="s">
        <v>1729</v>
      </c>
      <c r="P784" s="130" t="s">
        <v>1730</v>
      </c>
      <c r="Q784" s="130" t="s">
        <v>1127</v>
      </c>
      <c r="R784" s="130" t="s">
        <v>1128</v>
      </c>
      <c r="S784" s="130" t="s">
        <v>1129</v>
      </c>
      <c r="T784" s="130" t="s">
        <v>1176</v>
      </c>
      <c r="U784" s="130">
        <v>100000</v>
      </c>
      <c r="V784" s="131">
        <v>0</v>
      </c>
      <c r="W784" s="131">
        <v>100000</v>
      </c>
      <c r="X784" s="131">
        <v>0</v>
      </c>
      <c r="Y784" s="131">
        <v>100000</v>
      </c>
      <c r="Z784" s="131">
        <v>0</v>
      </c>
      <c r="AA784" s="131">
        <v>100000</v>
      </c>
      <c r="AB784" s="131">
        <v>0</v>
      </c>
      <c r="AC784" s="131">
        <v>100000</v>
      </c>
      <c r="AD784" s="131">
        <v>0</v>
      </c>
      <c r="AE784" s="132">
        <v>100000</v>
      </c>
    </row>
    <row r="785" spans="1:31" x14ac:dyDescent="0.2">
      <c r="A785" s="130">
        <v>154</v>
      </c>
      <c r="B785" s="130" t="s">
        <v>1733</v>
      </c>
      <c r="C785" s="130" t="s">
        <v>1147</v>
      </c>
      <c r="D785" s="130" t="s">
        <v>1346</v>
      </c>
      <c r="E785" s="130" t="s">
        <v>1116</v>
      </c>
      <c r="F785" s="130" t="s">
        <v>1117</v>
      </c>
      <c r="G785" s="130" t="s">
        <v>1118</v>
      </c>
      <c r="H785" s="130" t="s">
        <v>1159</v>
      </c>
      <c r="I785" s="130" t="s">
        <v>1160</v>
      </c>
      <c r="J785" s="130" t="s">
        <v>1163</v>
      </c>
      <c r="K785" s="130" t="s">
        <v>1165</v>
      </c>
      <c r="L785" s="130" t="s">
        <v>1734</v>
      </c>
      <c r="M785" s="130" t="s">
        <v>1728</v>
      </c>
      <c r="N785" s="130" t="s">
        <v>148</v>
      </c>
      <c r="O785" s="130" t="s">
        <v>1729</v>
      </c>
      <c r="P785" s="130" t="s">
        <v>1730</v>
      </c>
      <c r="Q785" s="130" t="s">
        <v>1127</v>
      </c>
      <c r="R785" s="130" t="s">
        <v>1409</v>
      </c>
      <c r="S785" s="130" t="s">
        <v>1157</v>
      </c>
      <c r="T785" s="130" t="s">
        <v>1158</v>
      </c>
      <c r="U785" s="130">
        <v>100000</v>
      </c>
      <c r="V785" s="131">
        <v>-100000</v>
      </c>
      <c r="W785" s="131">
        <v>0</v>
      </c>
      <c r="X785" s="131">
        <v>0</v>
      </c>
      <c r="Y785" s="131">
        <v>0</v>
      </c>
      <c r="Z785" s="131">
        <v>0</v>
      </c>
      <c r="AA785" s="131">
        <v>0</v>
      </c>
      <c r="AB785" s="131">
        <v>0</v>
      </c>
      <c r="AC785" s="131">
        <v>0</v>
      </c>
      <c r="AD785" s="131">
        <v>0</v>
      </c>
      <c r="AE785" s="132">
        <v>0</v>
      </c>
    </row>
    <row r="786" spans="1:31" x14ac:dyDescent="0.2">
      <c r="A786" s="133">
        <v>154</v>
      </c>
      <c r="B786" s="133" t="s">
        <v>1733</v>
      </c>
      <c r="C786" s="133" t="s">
        <v>1147</v>
      </c>
      <c r="D786" s="133" t="s">
        <v>1346</v>
      </c>
      <c r="E786" s="133" t="s">
        <v>1116</v>
      </c>
      <c r="F786" s="133" t="s">
        <v>1117</v>
      </c>
      <c r="G786" s="133" t="s">
        <v>1118</v>
      </c>
      <c r="H786" s="130" t="s">
        <v>1133</v>
      </c>
      <c r="I786" s="130" t="s">
        <v>1134</v>
      </c>
      <c r="J786" s="130" t="s">
        <v>1166</v>
      </c>
      <c r="K786" s="130" t="s">
        <v>1167</v>
      </c>
      <c r="L786" s="130" t="s">
        <v>1734</v>
      </c>
      <c r="M786" s="130" t="s">
        <v>1728</v>
      </c>
      <c r="N786" s="130" t="s">
        <v>148</v>
      </c>
      <c r="O786" s="130" t="s">
        <v>1729</v>
      </c>
      <c r="P786" s="130" t="s">
        <v>1730</v>
      </c>
      <c r="Q786" s="130" t="s">
        <v>1127</v>
      </c>
      <c r="R786" s="130" t="s">
        <v>1409</v>
      </c>
      <c r="S786" s="130" t="s">
        <v>1157</v>
      </c>
      <c r="T786" s="130" t="s">
        <v>1158</v>
      </c>
      <c r="U786" s="130">
        <v>0</v>
      </c>
      <c r="V786" s="131">
        <v>90586</v>
      </c>
      <c r="W786" s="131">
        <v>90586</v>
      </c>
      <c r="X786" s="131">
        <v>39850</v>
      </c>
      <c r="Y786" s="131">
        <v>50736</v>
      </c>
      <c r="Z786" s="131">
        <v>39850</v>
      </c>
      <c r="AA786" s="131">
        <v>50736</v>
      </c>
      <c r="AB786" s="131">
        <v>39850</v>
      </c>
      <c r="AC786" s="131">
        <v>50736</v>
      </c>
      <c r="AD786" s="131">
        <v>0</v>
      </c>
      <c r="AE786" s="132">
        <v>90586</v>
      </c>
    </row>
    <row r="787" spans="1:31" x14ac:dyDescent="0.2">
      <c r="A787" s="130">
        <v>155</v>
      </c>
      <c r="B787" s="130" t="s">
        <v>1735</v>
      </c>
      <c r="C787" s="130" t="s">
        <v>1114</v>
      </c>
      <c r="D787" s="130" t="s">
        <v>1554</v>
      </c>
      <c r="E787" s="130" t="s">
        <v>1116</v>
      </c>
      <c r="F787" s="130" t="s">
        <v>1117</v>
      </c>
      <c r="G787" s="130" t="s">
        <v>1118</v>
      </c>
      <c r="H787" s="130" t="s">
        <v>1119</v>
      </c>
      <c r="I787" s="130" t="s">
        <v>1120</v>
      </c>
      <c r="J787" s="130" t="s">
        <v>1121</v>
      </c>
      <c r="K787" s="130" t="s">
        <v>1122</v>
      </c>
      <c r="L787" s="130" t="s">
        <v>1736</v>
      </c>
      <c r="M787" s="130" t="s">
        <v>1737</v>
      </c>
      <c r="N787" s="130" t="s">
        <v>168</v>
      </c>
      <c r="O787" s="130" t="s">
        <v>1551</v>
      </c>
      <c r="P787" s="130" t="s">
        <v>1552</v>
      </c>
      <c r="Q787" s="130" t="s">
        <v>1127</v>
      </c>
      <c r="R787" s="130" t="s">
        <v>1187</v>
      </c>
      <c r="S787" s="130" t="s">
        <v>1659</v>
      </c>
      <c r="T787" s="130" t="s">
        <v>1130</v>
      </c>
      <c r="U787" s="130">
        <v>3500504</v>
      </c>
      <c r="V787" s="131">
        <v>-3500504</v>
      </c>
      <c r="W787" s="131">
        <v>0</v>
      </c>
      <c r="X787" s="131">
        <v>0</v>
      </c>
      <c r="Y787" s="131">
        <v>0</v>
      </c>
      <c r="Z787" s="131">
        <v>0</v>
      </c>
      <c r="AA787" s="131">
        <v>0</v>
      </c>
      <c r="AB787" s="131">
        <v>0</v>
      </c>
      <c r="AC787" s="131">
        <v>0</v>
      </c>
      <c r="AD787" s="131">
        <v>0</v>
      </c>
      <c r="AE787" s="132">
        <v>0</v>
      </c>
    </row>
    <row r="788" spans="1:31" x14ac:dyDescent="0.2">
      <c r="A788" s="133">
        <v>155</v>
      </c>
      <c r="B788" s="133" t="s">
        <v>1735</v>
      </c>
      <c r="C788" s="133" t="s">
        <v>1114</v>
      </c>
      <c r="D788" s="133" t="s">
        <v>1554</v>
      </c>
      <c r="E788" s="133" t="s">
        <v>1116</v>
      </c>
      <c r="F788" s="133" t="s">
        <v>1117</v>
      </c>
      <c r="G788" s="133" t="s">
        <v>1118</v>
      </c>
      <c r="H788" s="130" t="s">
        <v>1133</v>
      </c>
      <c r="I788" s="130" t="s">
        <v>1134</v>
      </c>
      <c r="J788" s="130" t="s">
        <v>1166</v>
      </c>
      <c r="K788" s="130" t="s">
        <v>1167</v>
      </c>
      <c r="L788" s="130" t="s">
        <v>1736</v>
      </c>
      <c r="M788" s="130" t="s">
        <v>1737</v>
      </c>
      <c r="N788" s="130" t="s">
        <v>168</v>
      </c>
      <c r="O788" s="130" t="s">
        <v>1551</v>
      </c>
      <c r="P788" s="130" t="s">
        <v>1552</v>
      </c>
      <c r="Q788" s="130" t="s">
        <v>1127</v>
      </c>
      <c r="R788" s="130" t="s">
        <v>1187</v>
      </c>
      <c r="S788" s="130" t="s">
        <v>1659</v>
      </c>
      <c r="T788" s="130" t="s">
        <v>1130</v>
      </c>
      <c r="U788" s="130">
        <v>0</v>
      </c>
      <c r="V788" s="131">
        <v>84111</v>
      </c>
      <c r="W788" s="131">
        <v>84111</v>
      </c>
      <c r="X788" s="131">
        <v>50000</v>
      </c>
      <c r="Y788" s="131">
        <v>34111</v>
      </c>
      <c r="Z788" s="131">
        <v>0</v>
      </c>
      <c r="AA788" s="131">
        <v>84111</v>
      </c>
      <c r="AB788" s="131">
        <v>0</v>
      </c>
      <c r="AC788" s="131">
        <v>84111</v>
      </c>
      <c r="AD788" s="131">
        <v>0</v>
      </c>
      <c r="AE788" s="132">
        <v>84111</v>
      </c>
    </row>
    <row r="789" spans="1:31" x14ac:dyDescent="0.2">
      <c r="A789" s="130">
        <v>156</v>
      </c>
      <c r="B789" s="130" t="s">
        <v>1738</v>
      </c>
      <c r="C789" s="130" t="s">
        <v>1114</v>
      </c>
      <c r="D789" s="130" t="s">
        <v>1554</v>
      </c>
      <c r="E789" s="130" t="s">
        <v>1116</v>
      </c>
      <c r="F789" s="130" t="s">
        <v>1117</v>
      </c>
      <c r="G789" s="130" t="s">
        <v>1118</v>
      </c>
      <c r="H789" s="130" t="s">
        <v>1119</v>
      </c>
      <c r="I789" s="130" t="s">
        <v>1120</v>
      </c>
      <c r="J789" s="130" t="s">
        <v>1358</v>
      </c>
      <c r="K789" s="130" t="s">
        <v>1122</v>
      </c>
      <c r="L789" s="130" t="s">
        <v>1739</v>
      </c>
      <c r="M789" s="130" t="s">
        <v>1737</v>
      </c>
      <c r="N789" s="130" t="s">
        <v>168</v>
      </c>
      <c r="O789" s="130" t="s">
        <v>1551</v>
      </c>
      <c r="P789" s="130" t="s">
        <v>1552</v>
      </c>
      <c r="Q789" s="130" t="s">
        <v>1127</v>
      </c>
      <c r="R789" s="130" t="s">
        <v>1380</v>
      </c>
      <c r="S789" s="130" t="s">
        <v>1740</v>
      </c>
      <c r="T789" s="130" t="s">
        <v>1130</v>
      </c>
      <c r="U789" s="130">
        <v>3000000</v>
      </c>
      <c r="V789" s="131">
        <v>-3000000</v>
      </c>
      <c r="W789" s="131">
        <v>0</v>
      </c>
      <c r="X789" s="131">
        <v>0</v>
      </c>
      <c r="Y789" s="131">
        <v>0</v>
      </c>
      <c r="Z789" s="131">
        <v>0</v>
      </c>
      <c r="AA789" s="131">
        <v>0</v>
      </c>
      <c r="AB789" s="131">
        <v>0</v>
      </c>
      <c r="AC789" s="131">
        <v>0</v>
      </c>
      <c r="AD789" s="131">
        <v>0</v>
      </c>
      <c r="AE789" s="132">
        <v>0</v>
      </c>
    </row>
    <row r="790" spans="1:31" x14ac:dyDescent="0.2">
      <c r="A790" s="133">
        <v>156</v>
      </c>
      <c r="B790" s="133" t="s">
        <v>1738</v>
      </c>
      <c r="C790" s="133" t="s">
        <v>1114</v>
      </c>
      <c r="D790" s="133" t="s">
        <v>1554</v>
      </c>
      <c r="E790" s="133" t="s">
        <v>1116</v>
      </c>
      <c r="F790" s="133" t="s">
        <v>1117</v>
      </c>
      <c r="G790" s="133" t="s">
        <v>1118</v>
      </c>
      <c r="H790" s="130" t="s">
        <v>1133</v>
      </c>
      <c r="I790" s="130" t="s">
        <v>1134</v>
      </c>
      <c r="J790" s="130" t="s">
        <v>1166</v>
      </c>
      <c r="K790" s="130" t="s">
        <v>1167</v>
      </c>
      <c r="L790" s="130" t="s">
        <v>1739</v>
      </c>
      <c r="M790" s="130" t="s">
        <v>1737</v>
      </c>
      <c r="N790" s="130" t="s">
        <v>168</v>
      </c>
      <c r="O790" s="130" t="s">
        <v>1551</v>
      </c>
      <c r="P790" s="130" t="s">
        <v>1552</v>
      </c>
      <c r="Q790" s="130" t="s">
        <v>1127</v>
      </c>
      <c r="R790" s="130" t="s">
        <v>1380</v>
      </c>
      <c r="S790" s="130" t="s">
        <v>1740</v>
      </c>
      <c r="T790" s="130" t="s">
        <v>1130</v>
      </c>
      <c r="U790" s="130">
        <v>0</v>
      </c>
      <c r="V790" s="131">
        <v>25142</v>
      </c>
      <c r="W790" s="131">
        <v>25142</v>
      </c>
      <c r="X790" s="131">
        <v>19462.03</v>
      </c>
      <c r="Y790" s="131">
        <v>5679.9700000000012</v>
      </c>
      <c r="Z790" s="131">
        <v>9462.0300000000007</v>
      </c>
      <c r="AA790" s="131">
        <v>15679.97</v>
      </c>
      <c r="AB790" s="131">
        <v>7416.8600000000006</v>
      </c>
      <c r="AC790" s="131">
        <v>17725.14</v>
      </c>
      <c r="AD790" s="131">
        <v>7416.86</v>
      </c>
      <c r="AE790" s="132">
        <v>17725.14</v>
      </c>
    </row>
    <row r="791" spans="1:31" x14ac:dyDescent="0.2">
      <c r="A791" s="130">
        <v>157</v>
      </c>
      <c r="B791" s="130" t="s">
        <v>1741</v>
      </c>
      <c r="C791" s="130" t="s">
        <v>1114</v>
      </c>
      <c r="D791" s="130" t="s">
        <v>1554</v>
      </c>
      <c r="E791" s="130" t="s">
        <v>1116</v>
      </c>
      <c r="F791" s="130" t="s">
        <v>1117</v>
      </c>
      <c r="G791" s="130" t="s">
        <v>1118</v>
      </c>
      <c r="H791" s="130" t="s">
        <v>1119</v>
      </c>
      <c r="I791" s="130" t="s">
        <v>1120</v>
      </c>
      <c r="J791" s="130" t="s">
        <v>1358</v>
      </c>
      <c r="K791" s="130" t="s">
        <v>1122</v>
      </c>
      <c r="L791" s="130" t="s">
        <v>1742</v>
      </c>
      <c r="M791" s="130" t="s">
        <v>1737</v>
      </c>
      <c r="N791" s="130" t="s">
        <v>168</v>
      </c>
      <c r="O791" s="130" t="s">
        <v>1551</v>
      </c>
      <c r="P791" s="130" t="s">
        <v>1552</v>
      </c>
      <c r="Q791" s="130" t="s">
        <v>1127</v>
      </c>
      <c r="R791" s="130" t="s">
        <v>1175</v>
      </c>
      <c r="S791" s="130" t="s">
        <v>1662</v>
      </c>
      <c r="T791" s="130" t="s">
        <v>1130</v>
      </c>
      <c r="U791" s="130">
        <v>6239845</v>
      </c>
      <c r="V791" s="131">
        <v>-1175172</v>
      </c>
      <c r="W791" s="131">
        <v>5064673</v>
      </c>
      <c r="X791" s="131">
        <v>5064673</v>
      </c>
      <c r="Y791" s="131">
        <v>0</v>
      </c>
      <c r="Z791" s="131">
        <v>0</v>
      </c>
      <c r="AA791" s="131">
        <v>5064673</v>
      </c>
      <c r="AB791" s="131">
        <v>0</v>
      </c>
      <c r="AC791" s="131">
        <v>5064673</v>
      </c>
      <c r="AD791" s="131">
        <v>0</v>
      </c>
      <c r="AE791" s="132">
        <v>5064673</v>
      </c>
    </row>
    <row r="792" spans="1:31" x14ac:dyDescent="0.2">
      <c r="A792" s="133">
        <v>157</v>
      </c>
      <c r="B792" s="133" t="s">
        <v>1741</v>
      </c>
      <c r="C792" s="133" t="s">
        <v>1114</v>
      </c>
      <c r="D792" s="133" t="s">
        <v>1554</v>
      </c>
      <c r="E792" s="133" t="s">
        <v>1116</v>
      </c>
      <c r="F792" s="133" t="s">
        <v>1117</v>
      </c>
      <c r="G792" s="133" t="s">
        <v>1118</v>
      </c>
      <c r="H792" s="130" t="s">
        <v>1133</v>
      </c>
      <c r="I792" s="130" t="s">
        <v>1134</v>
      </c>
      <c r="J792" s="130" t="s">
        <v>1135</v>
      </c>
      <c r="K792" s="130" t="s">
        <v>1144</v>
      </c>
      <c r="L792" s="130" t="s">
        <v>1742</v>
      </c>
      <c r="M792" s="130" t="s">
        <v>1737</v>
      </c>
      <c r="N792" s="130" t="s">
        <v>168</v>
      </c>
      <c r="O792" s="130" t="s">
        <v>1551</v>
      </c>
      <c r="P792" s="130" t="s">
        <v>1552</v>
      </c>
      <c r="Q792" s="130" t="s">
        <v>1127</v>
      </c>
      <c r="R792" s="130" t="s">
        <v>1175</v>
      </c>
      <c r="S792" s="130" t="s">
        <v>1662</v>
      </c>
      <c r="T792" s="130" t="s">
        <v>1130</v>
      </c>
      <c r="U792" s="130">
        <v>0</v>
      </c>
      <c r="V792" s="131">
        <v>1175172</v>
      </c>
      <c r="W792" s="131">
        <v>1175172</v>
      </c>
      <c r="X792" s="131">
        <v>0</v>
      </c>
      <c r="Y792" s="131">
        <v>1175172</v>
      </c>
      <c r="Z792" s="131">
        <v>0</v>
      </c>
      <c r="AA792" s="131">
        <v>1175172</v>
      </c>
      <c r="AB792" s="131">
        <v>0</v>
      </c>
      <c r="AC792" s="131">
        <v>1175172</v>
      </c>
      <c r="AD792" s="131">
        <v>0</v>
      </c>
      <c r="AE792" s="132">
        <v>1175172</v>
      </c>
    </row>
    <row r="793" spans="1:31" x14ac:dyDescent="0.2">
      <c r="A793" s="130">
        <v>158</v>
      </c>
      <c r="B793" s="130" t="s">
        <v>1743</v>
      </c>
      <c r="C793" s="130" t="s">
        <v>1114</v>
      </c>
      <c r="D793" s="130" t="s">
        <v>1554</v>
      </c>
      <c r="E793" s="130" t="s">
        <v>1116</v>
      </c>
      <c r="F793" s="130" t="s">
        <v>1117</v>
      </c>
      <c r="G793" s="130" t="s">
        <v>1118</v>
      </c>
      <c r="H793" s="130" t="s">
        <v>1119</v>
      </c>
      <c r="I793" s="130" t="s">
        <v>1120</v>
      </c>
      <c r="J793" s="130" t="s">
        <v>1358</v>
      </c>
      <c r="K793" s="130" t="s">
        <v>1122</v>
      </c>
      <c r="L793" s="130" t="s">
        <v>1744</v>
      </c>
      <c r="M793" s="130" t="s">
        <v>1737</v>
      </c>
      <c r="N793" s="130" t="s">
        <v>168</v>
      </c>
      <c r="O793" s="130" t="s">
        <v>1551</v>
      </c>
      <c r="P793" s="130" t="s">
        <v>1552</v>
      </c>
      <c r="Q793" s="130" t="s">
        <v>1127</v>
      </c>
      <c r="R793" s="130" t="s">
        <v>1417</v>
      </c>
      <c r="S793" s="130" t="s">
        <v>1745</v>
      </c>
      <c r="T793" s="130" t="s">
        <v>1158</v>
      </c>
      <c r="U793" s="130">
        <v>3832600</v>
      </c>
      <c r="V793" s="131">
        <v>-3832600</v>
      </c>
      <c r="W793" s="131">
        <v>0</v>
      </c>
      <c r="X793" s="131">
        <v>0</v>
      </c>
      <c r="Y793" s="131">
        <v>0</v>
      </c>
      <c r="Z793" s="131">
        <v>0</v>
      </c>
      <c r="AA793" s="131">
        <v>0</v>
      </c>
      <c r="AB793" s="131">
        <v>0</v>
      </c>
      <c r="AC793" s="131">
        <v>0</v>
      </c>
      <c r="AD793" s="131">
        <v>0</v>
      </c>
      <c r="AE793" s="132">
        <v>0</v>
      </c>
    </row>
    <row r="794" spans="1:31" x14ac:dyDescent="0.2">
      <c r="A794" s="133">
        <v>158</v>
      </c>
      <c r="B794" s="133" t="s">
        <v>1743</v>
      </c>
      <c r="C794" s="133" t="s">
        <v>1114</v>
      </c>
      <c r="D794" s="133" t="s">
        <v>1554</v>
      </c>
      <c r="E794" s="133" t="s">
        <v>1116</v>
      </c>
      <c r="F794" s="133" t="s">
        <v>1117</v>
      </c>
      <c r="G794" s="133" t="s">
        <v>1118</v>
      </c>
      <c r="H794" s="130" t="s">
        <v>1133</v>
      </c>
      <c r="I794" s="130" t="s">
        <v>1134</v>
      </c>
      <c r="J794" s="130" t="s">
        <v>1166</v>
      </c>
      <c r="K794" s="130" t="s">
        <v>1167</v>
      </c>
      <c r="L794" s="130" t="s">
        <v>1744</v>
      </c>
      <c r="M794" s="130" t="s">
        <v>1737</v>
      </c>
      <c r="N794" s="130" t="s">
        <v>168</v>
      </c>
      <c r="O794" s="130" t="s">
        <v>1551</v>
      </c>
      <c r="P794" s="130" t="s">
        <v>1552</v>
      </c>
      <c r="Q794" s="130" t="s">
        <v>1127</v>
      </c>
      <c r="R794" s="130" t="s">
        <v>1417</v>
      </c>
      <c r="S794" s="130" t="s">
        <v>1745</v>
      </c>
      <c r="T794" s="130" t="s">
        <v>1158</v>
      </c>
      <c r="U794" s="130">
        <v>0</v>
      </c>
      <c r="V794" s="131">
        <v>4863</v>
      </c>
      <c r="W794" s="131">
        <v>4863</v>
      </c>
      <c r="X794" s="131">
        <v>4863</v>
      </c>
      <c r="Y794" s="131">
        <v>0</v>
      </c>
      <c r="Z794" s="131">
        <v>0</v>
      </c>
      <c r="AA794" s="131">
        <v>4863</v>
      </c>
      <c r="AB794" s="131">
        <v>0</v>
      </c>
      <c r="AC794" s="131">
        <v>4863</v>
      </c>
      <c r="AD794" s="131">
        <v>0</v>
      </c>
      <c r="AE794" s="132">
        <v>4863</v>
      </c>
    </row>
    <row r="795" spans="1:31" x14ac:dyDescent="0.2">
      <c r="A795" s="133">
        <v>158</v>
      </c>
      <c r="B795" s="133" t="s">
        <v>1743</v>
      </c>
      <c r="C795" s="133" t="s">
        <v>1114</v>
      </c>
      <c r="D795" s="133" t="s">
        <v>1554</v>
      </c>
      <c r="E795" s="130" t="s">
        <v>1143</v>
      </c>
      <c r="F795" s="130" t="s">
        <v>1117</v>
      </c>
      <c r="G795" s="130" t="s">
        <v>1118</v>
      </c>
      <c r="H795" s="130" t="s">
        <v>1159</v>
      </c>
      <c r="I795" s="130" t="s">
        <v>1160</v>
      </c>
      <c r="J795" s="130" t="s">
        <v>1163</v>
      </c>
      <c r="K795" s="130" t="s">
        <v>1162</v>
      </c>
      <c r="L795" s="130" t="s">
        <v>1744</v>
      </c>
      <c r="M795" s="130" t="s">
        <v>1737</v>
      </c>
      <c r="N795" s="130" t="s">
        <v>168</v>
      </c>
      <c r="O795" s="130" t="s">
        <v>1551</v>
      </c>
      <c r="P795" s="130" t="s">
        <v>1552</v>
      </c>
      <c r="Q795" s="130" t="s">
        <v>1127</v>
      </c>
      <c r="R795" s="130" t="s">
        <v>1417</v>
      </c>
      <c r="S795" s="130" t="s">
        <v>1745</v>
      </c>
      <c r="T795" s="130" t="s">
        <v>1158</v>
      </c>
      <c r="U795" s="130">
        <v>0</v>
      </c>
      <c r="V795" s="131">
        <v>0</v>
      </c>
      <c r="W795" s="131">
        <v>0</v>
      </c>
      <c r="X795" s="131">
        <v>0</v>
      </c>
      <c r="Y795" s="131">
        <v>0</v>
      </c>
      <c r="Z795" s="131">
        <v>0</v>
      </c>
      <c r="AA795" s="131">
        <v>0</v>
      </c>
      <c r="AB795" s="131">
        <v>0</v>
      </c>
      <c r="AC795" s="131">
        <v>0</v>
      </c>
      <c r="AD795" s="131">
        <v>0</v>
      </c>
      <c r="AE795" s="132">
        <v>0</v>
      </c>
    </row>
    <row r="796" spans="1:31" x14ac:dyDescent="0.2">
      <c r="A796" s="130">
        <v>159</v>
      </c>
      <c r="B796" s="130" t="s">
        <v>1746</v>
      </c>
      <c r="C796" s="130" t="s">
        <v>1114</v>
      </c>
      <c r="D796" s="130" t="s">
        <v>1554</v>
      </c>
      <c r="E796" s="130" t="s">
        <v>1116</v>
      </c>
      <c r="F796" s="130" t="s">
        <v>1117</v>
      </c>
      <c r="G796" s="130" t="s">
        <v>1118</v>
      </c>
      <c r="H796" s="130" t="s">
        <v>1119</v>
      </c>
      <c r="I796" s="130" t="s">
        <v>1120</v>
      </c>
      <c r="J796" s="130" t="s">
        <v>1358</v>
      </c>
      <c r="K796" s="130" t="s">
        <v>1122</v>
      </c>
      <c r="L796" s="130" t="s">
        <v>1747</v>
      </c>
      <c r="M796" s="130" t="s">
        <v>1737</v>
      </c>
      <c r="N796" s="130" t="s">
        <v>168</v>
      </c>
      <c r="O796" s="130" t="s">
        <v>1551</v>
      </c>
      <c r="P796" s="130" t="s">
        <v>1552</v>
      </c>
      <c r="Q796" s="130" t="s">
        <v>1127</v>
      </c>
      <c r="R796" s="130" t="s">
        <v>1472</v>
      </c>
      <c r="S796" s="130" t="s">
        <v>1748</v>
      </c>
      <c r="T796" s="130" t="s">
        <v>1130</v>
      </c>
      <c r="U796" s="130">
        <v>2769903</v>
      </c>
      <c r="V796" s="131">
        <v>2890556</v>
      </c>
      <c r="W796" s="131">
        <v>5660459</v>
      </c>
      <c r="X796" s="131">
        <v>5660459</v>
      </c>
      <c r="Y796" s="131">
        <v>0</v>
      </c>
      <c r="Z796" s="131">
        <v>0</v>
      </c>
      <c r="AA796" s="131">
        <v>5660459</v>
      </c>
      <c r="AB796" s="131">
        <v>0</v>
      </c>
      <c r="AC796" s="131">
        <v>5660459</v>
      </c>
      <c r="AD796" s="131">
        <v>0</v>
      </c>
      <c r="AE796" s="132">
        <v>5660459</v>
      </c>
    </row>
    <row r="797" spans="1:31" x14ac:dyDescent="0.2">
      <c r="A797" s="133">
        <v>159</v>
      </c>
      <c r="B797" s="133" t="s">
        <v>1746</v>
      </c>
      <c r="C797" s="133" t="s">
        <v>1114</v>
      </c>
      <c r="D797" s="133" t="s">
        <v>1554</v>
      </c>
      <c r="E797" s="133" t="s">
        <v>1116</v>
      </c>
      <c r="F797" s="133" t="s">
        <v>1117</v>
      </c>
      <c r="G797" s="133" t="s">
        <v>1118</v>
      </c>
      <c r="H797" s="130" t="s">
        <v>1133</v>
      </c>
      <c r="I797" s="130" t="s">
        <v>1134</v>
      </c>
      <c r="J797" s="130" t="s">
        <v>1135</v>
      </c>
      <c r="K797" s="130" t="s">
        <v>1144</v>
      </c>
      <c r="L797" s="130" t="s">
        <v>1747</v>
      </c>
      <c r="M797" s="130" t="s">
        <v>1737</v>
      </c>
      <c r="N797" s="130" t="s">
        <v>168</v>
      </c>
      <c r="O797" s="130" t="s">
        <v>1551</v>
      </c>
      <c r="P797" s="130" t="s">
        <v>1552</v>
      </c>
      <c r="Q797" s="130" t="s">
        <v>1127</v>
      </c>
      <c r="R797" s="130" t="s">
        <v>1472</v>
      </c>
      <c r="S797" s="130" t="s">
        <v>1748</v>
      </c>
      <c r="T797" s="130" t="s">
        <v>1130</v>
      </c>
      <c r="U797" s="130">
        <v>0</v>
      </c>
      <c r="V797" s="131">
        <v>270568</v>
      </c>
      <c r="W797" s="131">
        <v>270568</v>
      </c>
      <c r="X797" s="131">
        <v>0</v>
      </c>
      <c r="Y797" s="131">
        <v>270568</v>
      </c>
      <c r="Z797" s="131">
        <v>0</v>
      </c>
      <c r="AA797" s="131">
        <v>270568</v>
      </c>
      <c r="AB797" s="131">
        <v>0</v>
      </c>
      <c r="AC797" s="131">
        <v>270568</v>
      </c>
      <c r="AD797" s="131">
        <v>0</v>
      </c>
      <c r="AE797" s="132">
        <v>270568</v>
      </c>
    </row>
    <row r="798" spans="1:31" x14ac:dyDescent="0.2">
      <c r="A798" s="130">
        <v>160</v>
      </c>
      <c r="B798" s="130" t="s">
        <v>1749</v>
      </c>
      <c r="C798" s="130" t="s">
        <v>1114</v>
      </c>
      <c r="D798" s="130" t="s">
        <v>1554</v>
      </c>
      <c r="E798" s="130" t="s">
        <v>1116</v>
      </c>
      <c r="F798" s="130" t="s">
        <v>1117</v>
      </c>
      <c r="G798" s="130" t="s">
        <v>1118</v>
      </c>
      <c r="H798" s="130" t="s">
        <v>1119</v>
      </c>
      <c r="I798" s="130" t="s">
        <v>1120</v>
      </c>
      <c r="J798" s="130" t="s">
        <v>1358</v>
      </c>
      <c r="K798" s="130" t="s">
        <v>1131</v>
      </c>
      <c r="L798" s="130" t="s">
        <v>1750</v>
      </c>
      <c r="M798" s="130" t="s">
        <v>1737</v>
      </c>
      <c r="N798" s="130" t="s">
        <v>168</v>
      </c>
      <c r="O798" s="130" t="s">
        <v>1551</v>
      </c>
      <c r="P798" s="130" t="s">
        <v>1552</v>
      </c>
      <c r="Q798" s="130" t="s">
        <v>1127</v>
      </c>
      <c r="R798" s="130" t="s">
        <v>1128</v>
      </c>
      <c r="S798" s="130" t="s">
        <v>1751</v>
      </c>
      <c r="T798" s="130" t="s">
        <v>1130</v>
      </c>
      <c r="U798" s="130">
        <v>0</v>
      </c>
      <c r="V798" s="131">
        <v>1922490</v>
      </c>
      <c r="W798" s="131">
        <v>1922490</v>
      </c>
      <c r="X798" s="131">
        <v>1922247</v>
      </c>
      <c r="Y798" s="131">
        <v>243</v>
      </c>
      <c r="Z798" s="131">
        <v>1922247</v>
      </c>
      <c r="AA798" s="131">
        <v>243</v>
      </c>
      <c r="AB798" s="131">
        <v>1737644.58</v>
      </c>
      <c r="AC798" s="131">
        <v>184845.41999999993</v>
      </c>
      <c r="AD798" s="131">
        <v>1737644.58</v>
      </c>
      <c r="AE798" s="132">
        <v>184845.41999999993</v>
      </c>
    </row>
    <row r="799" spans="1:31" x14ac:dyDescent="0.2">
      <c r="A799" s="133">
        <v>160</v>
      </c>
      <c r="B799" s="133" t="s">
        <v>1749</v>
      </c>
      <c r="C799" s="133" t="s">
        <v>1114</v>
      </c>
      <c r="D799" s="133" t="s">
        <v>1554</v>
      </c>
      <c r="E799" s="133" t="s">
        <v>1116</v>
      </c>
      <c r="F799" s="133" t="s">
        <v>1117</v>
      </c>
      <c r="G799" s="133" t="s">
        <v>1118</v>
      </c>
      <c r="H799" s="133" t="s">
        <v>1119</v>
      </c>
      <c r="I799" s="133" t="s">
        <v>1120</v>
      </c>
      <c r="J799" s="133" t="s">
        <v>1358</v>
      </c>
      <c r="K799" s="130" t="s">
        <v>1177</v>
      </c>
      <c r="L799" s="130" t="s">
        <v>1750</v>
      </c>
      <c r="M799" s="130" t="s">
        <v>1737</v>
      </c>
      <c r="N799" s="130" t="s">
        <v>168</v>
      </c>
      <c r="O799" s="130" t="s">
        <v>1551</v>
      </c>
      <c r="P799" s="130" t="s">
        <v>1552</v>
      </c>
      <c r="Q799" s="130" t="s">
        <v>1127</v>
      </c>
      <c r="R799" s="130" t="s">
        <v>1128</v>
      </c>
      <c r="S799" s="130" t="s">
        <v>1751</v>
      </c>
      <c r="T799" s="130" t="s">
        <v>1130</v>
      </c>
      <c r="U799" s="130">
        <v>2595053</v>
      </c>
      <c r="V799" s="131">
        <v>-326359</v>
      </c>
      <c r="W799" s="131">
        <v>2268694</v>
      </c>
      <c r="X799" s="131">
        <v>2042192.56</v>
      </c>
      <c r="Y799" s="131">
        <v>226501.43999999994</v>
      </c>
      <c r="Z799" s="131">
        <v>758898.57</v>
      </c>
      <c r="AA799" s="131">
        <v>1509795.4300000002</v>
      </c>
      <c r="AB799" s="131">
        <v>755518.57000000007</v>
      </c>
      <c r="AC799" s="131">
        <v>1513175.43</v>
      </c>
      <c r="AD799" s="131">
        <v>639318.57000000007</v>
      </c>
      <c r="AE799" s="132">
        <v>1629375.43</v>
      </c>
    </row>
    <row r="800" spans="1:31" x14ac:dyDescent="0.2">
      <c r="A800" s="133">
        <v>160</v>
      </c>
      <c r="B800" s="133" t="s">
        <v>1749</v>
      </c>
      <c r="C800" s="133" t="s">
        <v>1114</v>
      </c>
      <c r="D800" s="133" t="s">
        <v>1554</v>
      </c>
      <c r="E800" s="133" t="s">
        <v>1116</v>
      </c>
      <c r="F800" s="133" t="s">
        <v>1117</v>
      </c>
      <c r="G800" s="133" t="s">
        <v>1118</v>
      </c>
      <c r="H800" s="133" t="s">
        <v>1119</v>
      </c>
      <c r="I800" s="133" t="s">
        <v>1120</v>
      </c>
      <c r="J800" s="133" t="s">
        <v>1358</v>
      </c>
      <c r="K800" s="130" t="s">
        <v>1132</v>
      </c>
      <c r="L800" s="130" t="s">
        <v>1750</v>
      </c>
      <c r="M800" s="130" t="s">
        <v>1737</v>
      </c>
      <c r="N800" s="130" t="s">
        <v>168</v>
      </c>
      <c r="O800" s="130" t="s">
        <v>1551</v>
      </c>
      <c r="P800" s="130" t="s">
        <v>1552</v>
      </c>
      <c r="Q800" s="130" t="s">
        <v>1127</v>
      </c>
      <c r="R800" s="130" t="s">
        <v>1128</v>
      </c>
      <c r="S800" s="130" t="s">
        <v>1751</v>
      </c>
      <c r="T800" s="130" t="s">
        <v>1130</v>
      </c>
      <c r="U800" s="130">
        <v>0</v>
      </c>
      <c r="V800" s="131">
        <v>1182086</v>
      </c>
      <c r="W800" s="131">
        <v>1182086</v>
      </c>
      <c r="X800" s="131">
        <v>253358</v>
      </c>
      <c r="Y800" s="131">
        <v>928728</v>
      </c>
      <c r="Z800" s="131">
        <v>129720</v>
      </c>
      <c r="AA800" s="131">
        <v>1052366</v>
      </c>
      <c r="AB800" s="131">
        <v>129720</v>
      </c>
      <c r="AC800" s="131">
        <v>1052366</v>
      </c>
      <c r="AD800" s="131">
        <v>92964.3</v>
      </c>
      <c r="AE800" s="132">
        <v>1089121.7</v>
      </c>
    </row>
    <row r="801" spans="1:31" x14ac:dyDescent="0.2">
      <c r="A801" s="133">
        <v>160</v>
      </c>
      <c r="B801" s="133" t="s">
        <v>1749</v>
      </c>
      <c r="C801" s="133" t="s">
        <v>1114</v>
      </c>
      <c r="D801" s="133" t="s">
        <v>1554</v>
      </c>
      <c r="E801" s="133" t="s">
        <v>1116</v>
      </c>
      <c r="F801" s="133" t="s">
        <v>1117</v>
      </c>
      <c r="G801" s="133" t="s">
        <v>1118</v>
      </c>
      <c r="H801" s="130" t="s">
        <v>1149</v>
      </c>
      <c r="I801" s="130" t="s">
        <v>1182</v>
      </c>
      <c r="J801" s="130" t="s">
        <v>1377</v>
      </c>
      <c r="K801" s="130" t="s">
        <v>1378</v>
      </c>
      <c r="L801" s="130" t="s">
        <v>1750</v>
      </c>
      <c r="M801" s="130" t="s">
        <v>1737</v>
      </c>
      <c r="N801" s="130" t="s">
        <v>168</v>
      </c>
      <c r="O801" s="130" t="s">
        <v>1551</v>
      </c>
      <c r="P801" s="130" t="s">
        <v>1552</v>
      </c>
      <c r="Q801" s="130" t="s">
        <v>1127</v>
      </c>
      <c r="R801" s="130" t="s">
        <v>1128</v>
      </c>
      <c r="S801" s="130" t="s">
        <v>1751</v>
      </c>
      <c r="T801" s="130" t="s">
        <v>1130</v>
      </c>
      <c r="U801" s="130">
        <v>0</v>
      </c>
      <c r="V801" s="131">
        <v>2254</v>
      </c>
      <c r="W801" s="131">
        <v>2254</v>
      </c>
      <c r="X801" s="131">
        <v>0</v>
      </c>
      <c r="Y801" s="131">
        <v>2254</v>
      </c>
      <c r="Z801" s="131">
        <v>0</v>
      </c>
      <c r="AA801" s="131">
        <v>2254</v>
      </c>
      <c r="AB801" s="131">
        <v>0</v>
      </c>
      <c r="AC801" s="131">
        <v>2254</v>
      </c>
      <c r="AD801" s="131">
        <v>0</v>
      </c>
      <c r="AE801" s="132">
        <v>2254</v>
      </c>
    </row>
    <row r="802" spans="1:31" x14ac:dyDescent="0.2">
      <c r="A802" s="133">
        <v>160</v>
      </c>
      <c r="B802" s="133" t="s">
        <v>1749</v>
      </c>
      <c r="C802" s="133" t="s">
        <v>1114</v>
      </c>
      <c r="D802" s="133" t="s">
        <v>1554</v>
      </c>
      <c r="E802" s="133" t="s">
        <v>1116</v>
      </c>
      <c r="F802" s="133" t="s">
        <v>1117</v>
      </c>
      <c r="G802" s="133" t="s">
        <v>1118</v>
      </c>
      <c r="H802" s="133" t="s">
        <v>1149</v>
      </c>
      <c r="I802" s="133" t="s">
        <v>1182</v>
      </c>
      <c r="J802" s="130" t="s">
        <v>1382</v>
      </c>
      <c r="K802" s="130" t="s">
        <v>1383</v>
      </c>
      <c r="L802" s="130" t="s">
        <v>1750</v>
      </c>
      <c r="M802" s="130" t="s">
        <v>1737</v>
      </c>
      <c r="N802" s="130" t="s">
        <v>168</v>
      </c>
      <c r="O802" s="130" t="s">
        <v>1551</v>
      </c>
      <c r="P802" s="130" t="s">
        <v>1552</v>
      </c>
      <c r="Q802" s="130" t="s">
        <v>1127</v>
      </c>
      <c r="R802" s="130" t="s">
        <v>1128</v>
      </c>
      <c r="S802" s="130" t="s">
        <v>1751</v>
      </c>
      <c r="T802" s="130" t="s">
        <v>1130</v>
      </c>
      <c r="U802" s="130">
        <v>0</v>
      </c>
      <c r="V802" s="131">
        <v>858054</v>
      </c>
      <c r="W802" s="131">
        <v>858054</v>
      </c>
      <c r="X802" s="131">
        <v>0</v>
      </c>
      <c r="Y802" s="131">
        <v>858054</v>
      </c>
      <c r="Z802" s="131">
        <v>0</v>
      </c>
      <c r="AA802" s="131">
        <v>858054</v>
      </c>
      <c r="AB802" s="131">
        <v>0</v>
      </c>
      <c r="AC802" s="131">
        <v>858054</v>
      </c>
      <c r="AD802" s="131">
        <v>0</v>
      </c>
      <c r="AE802" s="132">
        <v>858054</v>
      </c>
    </row>
    <row r="803" spans="1:31" x14ac:dyDescent="0.2">
      <c r="A803" s="133">
        <v>160</v>
      </c>
      <c r="B803" s="133" t="s">
        <v>1749</v>
      </c>
      <c r="C803" s="133" t="s">
        <v>1114</v>
      </c>
      <c r="D803" s="133" t="s">
        <v>1554</v>
      </c>
      <c r="E803" s="133" t="s">
        <v>1116</v>
      </c>
      <c r="F803" s="133" t="s">
        <v>1117</v>
      </c>
      <c r="G803" s="133" t="s">
        <v>1118</v>
      </c>
      <c r="H803" s="133" t="s">
        <v>1149</v>
      </c>
      <c r="I803" s="133" t="s">
        <v>1182</v>
      </c>
      <c r="J803" s="133" t="s">
        <v>1382</v>
      </c>
      <c r="K803" s="130" t="s">
        <v>1378</v>
      </c>
      <c r="L803" s="130" t="s">
        <v>1750</v>
      </c>
      <c r="M803" s="130" t="s">
        <v>1737</v>
      </c>
      <c r="N803" s="130" t="s">
        <v>168</v>
      </c>
      <c r="O803" s="130" t="s">
        <v>1551</v>
      </c>
      <c r="P803" s="130" t="s">
        <v>1552</v>
      </c>
      <c r="Q803" s="130" t="s">
        <v>1127</v>
      </c>
      <c r="R803" s="130" t="s">
        <v>1128</v>
      </c>
      <c r="S803" s="130" t="s">
        <v>1751</v>
      </c>
      <c r="T803" s="130" t="s">
        <v>1130</v>
      </c>
      <c r="U803" s="130">
        <v>0</v>
      </c>
      <c r="V803" s="131">
        <v>186845</v>
      </c>
      <c r="W803" s="131">
        <v>186845</v>
      </c>
      <c r="X803" s="131">
        <v>174000</v>
      </c>
      <c r="Y803" s="131">
        <v>12845</v>
      </c>
      <c r="Z803" s="131">
        <v>0</v>
      </c>
      <c r="AA803" s="131">
        <v>186845</v>
      </c>
      <c r="AB803" s="131">
        <v>0</v>
      </c>
      <c r="AC803" s="131">
        <v>186845</v>
      </c>
      <c r="AD803" s="131">
        <v>0</v>
      </c>
      <c r="AE803" s="132">
        <v>186845</v>
      </c>
    </row>
    <row r="804" spans="1:31" x14ac:dyDescent="0.2">
      <c r="A804" s="133">
        <v>160</v>
      </c>
      <c r="B804" s="133" t="s">
        <v>1749</v>
      </c>
      <c r="C804" s="133" t="s">
        <v>1114</v>
      </c>
      <c r="D804" s="133" t="s">
        <v>1554</v>
      </c>
      <c r="E804" s="133" t="s">
        <v>1116</v>
      </c>
      <c r="F804" s="133" t="s">
        <v>1117</v>
      </c>
      <c r="G804" s="133" t="s">
        <v>1118</v>
      </c>
      <c r="H804" s="133" t="s">
        <v>1149</v>
      </c>
      <c r="I804" s="133" t="s">
        <v>1182</v>
      </c>
      <c r="J804" s="130" t="s">
        <v>1347</v>
      </c>
      <c r="K804" s="130" t="s">
        <v>1348</v>
      </c>
      <c r="L804" s="130" t="s">
        <v>1750</v>
      </c>
      <c r="M804" s="130" t="s">
        <v>1737</v>
      </c>
      <c r="N804" s="130" t="s">
        <v>168</v>
      </c>
      <c r="O804" s="130" t="s">
        <v>1551</v>
      </c>
      <c r="P804" s="130" t="s">
        <v>1552</v>
      </c>
      <c r="Q804" s="130" t="s">
        <v>1127</v>
      </c>
      <c r="R804" s="130" t="s">
        <v>1128</v>
      </c>
      <c r="S804" s="130" t="s">
        <v>1751</v>
      </c>
      <c r="T804" s="130" t="s">
        <v>1130</v>
      </c>
      <c r="U804" s="130">
        <v>0</v>
      </c>
      <c r="V804" s="131">
        <v>9685</v>
      </c>
      <c r="W804" s="131">
        <v>9685</v>
      </c>
      <c r="X804" s="131">
        <v>0</v>
      </c>
      <c r="Y804" s="131">
        <v>9685</v>
      </c>
      <c r="Z804" s="131">
        <v>0</v>
      </c>
      <c r="AA804" s="131">
        <v>9685</v>
      </c>
      <c r="AB804" s="131">
        <v>0</v>
      </c>
      <c r="AC804" s="131">
        <v>9685</v>
      </c>
      <c r="AD804" s="131">
        <v>0</v>
      </c>
      <c r="AE804" s="132">
        <v>9685</v>
      </c>
    </row>
    <row r="805" spans="1:31" x14ac:dyDescent="0.2">
      <c r="A805" s="133">
        <v>160</v>
      </c>
      <c r="B805" s="133" t="s">
        <v>1749</v>
      </c>
      <c r="C805" s="133" t="s">
        <v>1114</v>
      </c>
      <c r="D805" s="133" t="s">
        <v>1554</v>
      </c>
      <c r="E805" s="133" t="s">
        <v>1116</v>
      </c>
      <c r="F805" s="133" t="s">
        <v>1117</v>
      </c>
      <c r="G805" s="133" t="s">
        <v>1118</v>
      </c>
      <c r="H805" s="130" t="s">
        <v>1133</v>
      </c>
      <c r="I805" s="130" t="s">
        <v>1134</v>
      </c>
      <c r="J805" s="130" t="s">
        <v>1166</v>
      </c>
      <c r="K805" s="130" t="s">
        <v>1167</v>
      </c>
      <c r="L805" s="130" t="s">
        <v>1750</v>
      </c>
      <c r="M805" s="130" t="s">
        <v>1737</v>
      </c>
      <c r="N805" s="130" t="s">
        <v>168</v>
      </c>
      <c r="O805" s="130" t="s">
        <v>1551</v>
      </c>
      <c r="P805" s="130" t="s">
        <v>1552</v>
      </c>
      <c r="Q805" s="130" t="s">
        <v>1127</v>
      </c>
      <c r="R805" s="130" t="s">
        <v>1128</v>
      </c>
      <c r="S805" s="130" t="s">
        <v>1751</v>
      </c>
      <c r="T805" s="130" t="s">
        <v>1130</v>
      </c>
      <c r="U805" s="130">
        <v>0</v>
      </c>
      <c r="V805" s="131">
        <v>0</v>
      </c>
      <c r="W805" s="131">
        <v>0</v>
      </c>
      <c r="X805" s="131">
        <v>0</v>
      </c>
      <c r="Y805" s="131">
        <v>0</v>
      </c>
      <c r="Z805" s="131">
        <v>0</v>
      </c>
      <c r="AA805" s="131">
        <v>0</v>
      </c>
      <c r="AB805" s="131">
        <v>0</v>
      </c>
      <c r="AC805" s="131">
        <v>0</v>
      </c>
      <c r="AD805" s="131">
        <v>0</v>
      </c>
      <c r="AE805" s="132">
        <v>0</v>
      </c>
    </row>
    <row r="806" spans="1:31" x14ac:dyDescent="0.2">
      <c r="A806" s="133">
        <v>160</v>
      </c>
      <c r="B806" s="133" t="s">
        <v>1749</v>
      </c>
      <c r="C806" s="133" t="s">
        <v>1114</v>
      </c>
      <c r="D806" s="133" t="s">
        <v>1554</v>
      </c>
      <c r="E806" s="133" t="s">
        <v>1116</v>
      </c>
      <c r="F806" s="133" t="s">
        <v>1117</v>
      </c>
      <c r="G806" s="133" t="s">
        <v>1118</v>
      </c>
      <c r="H806" s="133" t="s">
        <v>1133</v>
      </c>
      <c r="I806" s="133" t="s">
        <v>1134</v>
      </c>
      <c r="J806" s="130" t="s">
        <v>1135</v>
      </c>
      <c r="K806" s="130" t="s">
        <v>1178</v>
      </c>
      <c r="L806" s="130" t="s">
        <v>1750</v>
      </c>
      <c r="M806" s="130" t="s">
        <v>1737</v>
      </c>
      <c r="N806" s="130" t="s">
        <v>168</v>
      </c>
      <c r="O806" s="130" t="s">
        <v>1551</v>
      </c>
      <c r="P806" s="130" t="s">
        <v>1552</v>
      </c>
      <c r="Q806" s="130" t="s">
        <v>1127</v>
      </c>
      <c r="R806" s="130" t="s">
        <v>1128</v>
      </c>
      <c r="S806" s="130" t="s">
        <v>1751</v>
      </c>
      <c r="T806" s="130" t="s">
        <v>1130</v>
      </c>
      <c r="U806" s="130">
        <v>0</v>
      </c>
      <c r="V806" s="131">
        <v>483670</v>
      </c>
      <c r="W806" s="131">
        <v>483670</v>
      </c>
      <c r="X806" s="131">
        <v>154451.71</v>
      </c>
      <c r="Y806" s="131">
        <v>329218.29000000004</v>
      </c>
      <c r="Z806" s="131">
        <v>154451.71</v>
      </c>
      <c r="AA806" s="131">
        <v>329218.29000000004</v>
      </c>
      <c r="AB806" s="131">
        <v>143278.9</v>
      </c>
      <c r="AC806" s="131">
        <v>340391.1</v>
      </c>
      <c r="AD806" s="131">
        <v>143278.9</v>
      </c>
      <c r="AE806" s="132">
        <v>340391.1</v>
      </c>
    </row>
    <row r="807" spans="1:31" x14ac:dyDescent="0.2">
      <c r="A807" s="133">
        <v>160</v>
      </c>
      <c r="B807" s="133" t="s">
        <v>1749</v>
      </c>
      <c r="C807" s="133" t="s">
        <v>1114</v>
      </c>
      <c r="D807" s="133" t="s">
        <v>1554</v>
      </c>
      <c r="E807" s="133" t="s">
        <v>1116</v>
      </c>
      <c r="F807" s="133" t="s">
        <v>1117</v>
      </c>
      <c r="G807" s="133" t="s">
        <v>1118</v>
      </c>
      <c r="H807" s="133" t="s">
        <v>1133</v>
      </c>
      <c r="I807" s="133" t="s">
        <v>1134</v>
      </c>
      <c r="J807" s="133" t="s">
        <v>1135</v>
      </c>
      <c r="K807" s="130" t="s">
        <v>1179</v>
      </c>
      <c r="L807" s="130" t="s">
        <v>1750</v>
      </c>
      <c r="M807" s="130" t="s">
        <v>1737</v>
      </c>
      <c r="N807" s="130" t="s">
        <v>168</v>
      </c>
      <c r="O807" s="130" t="s">
        <v>1551</v>
      </c>
      <c r="P807" s="130" t="s">
        <v>1552</v>
      </c>
      <c r="Q807" s="130" t="s">
        <v>1127</v>
      </c>
      <c r="R807" s="130" t="s">
        <v>1128</v>
      </c>
      <c r="S807" s="130" t="s">
        <v>1751</v>
      </c>
      <c r="T807" s="130" t="s">
        <v>1130</v>
      </c>
      <c r="U807" s="130">
        <v>0</v>
      </c>
      <c r="V807" s="131">
        <v>36995</v>
      </c>
      <c r="W807" s="131">
        <v>36995</v>
      </c>
      <c r="X807" s="131">
        <v>3270.2</v>
      </c>
      <c r="Y807" s="131">
        <v>33724.800000000003</v>
      </c>
      <c r="Z807" s="131">
        <v>3270.2</v>
      </c>
      <c r="AA807" s="131">
        <v>33724.800000000003</v>
      </c>
      <c r="AB807" s="131">
        <v>3270.2</v>
      </c>
      <c r="AC807" s="131">
        <v>33724.800000000003</v>
      </c>
      <c r="AD807" s="131">
        <v>0</v>
      </c>
      <c r="AE807" s="132">
        <v>36995</v>
      </c>
    </row>
    <row r="808" spans="1:31" x14ac:dyDescent="0.2">
      <c r="A808" s="133">
        <v>160</v>
      </c>
      <c r="B808" s="133" t="s">
        <v>1749</v>
      </c>
      <c r="C808" s="133" t="s">
        <v>1114</v>
      </c>
      <c r="D808" s="133" t="s">
        <v>1554</v>
      </c>
      <c r="E808" s="133" t="s">
        <v>1116</v>
      </c>
      <c r="F808" s="133" t="s">
        <v>1117</v>
      </c>
      <c r="G808" s="133" t="s">
        <v>1118</v>
      </c>
      <c r="H808" s="133" t="s">
        <v>1133</v>
      </c>
      <c r="I808" s="133" t="s">
        <v>1134</v>
      </c>
      <c r="J808" s="133" t="s">
        <v>1135</v>
      </c>
      <c r="K808" s="130" t="s">
        <v>1144</v>
      </c>
      <c r="L808" s="130" t="s">
        <v>1750</v>
      </c>
      <c r="M808" s="130" t="s">
        <v>1737</v>
      </c>
      <c r="N808" s="130" t="s">
        <v>168</v>
      </c>
      <c r="O808" s="130" t="s">
        <v>1551</v>
      </c>
      <c r="P808" s="130" t="s">
        <v>1552</v>
      </c>
      <c r="Q808" s="130" t="s">
        <v>1127</v>
      </c>
      <c r="R808" s="130" t="s">
        <v>1128</v>
      </c>
      <c r="S808" s="130" t="s">
        <v>1751</v>
      </c>
      <c r="T808" s="130" t="s">
        <v>1130</v>
      </c>
      <c r="U808" s="130">
        <v>0</v>
      </c>
      <c r="V808" s="131">
        <v>71632</v>
      </c>
      <c r="W808" s="131">
        <v>71632</v>
      </c>
      <c r="X808" s="131">
        <v>7200</v>
      </c>
      <c r="Y808" s="131">
        <v>64432</v>
      </c>
      <c r="Z808" s="131">
        <v>7200</v>
      </c>
      <c r="AA808" s="131">
        <v>64432</v>
      </c>
      <c r="AB808" s="131">
        <v>7200</v>
      </c>
      <c r="AC808" s="131">
        <v>64432</v>
      </c>
      <c r="AD808" s="131">
        <v>7200</v>
      </c>
      <c r="AE808" s="132">
        <v>64432</v>
      </c>
    </row>
    <row r="809" spans="1:31" x14ac:dyDescent="0.2">
      <c r="A809" s="130">
        <v>161</v>
      </c>
      <c r="B809" s="130" t="s">
        <v>1752</v>
      </c>
      <c r="C809" s="130" t="s">
        <v>1114</v>
      </c>
      <c r="D809" s="130" t="s">
        <v>1548</v>
      </c>
      <c r="E809" s="130" t="s">
        <v>1116</v>
      </c>
      <c r="F809" s="130" t="s">
        <v>1117</v>
      </c>
      <c r="G809" s="130" t="s">
        <v>1118</v>
      </c>
      <c r="H809" s="130" t="s">
        <v>1119</v>
      </c>
      <c r="I809" s="130" t="s">
        <v>1120</v>
      </c>
      <c r="J809" s="130" t="s">
        <v>1358</v>
      </c>
      <c r="K809" s="130" t="s">
        <v>1122</v>
      </c>
      <c r="L809" s="130" t="s">
        <v>1753</v>
      </c>
      <c r="M809" s="130" t="s">
        <v>1737</v>
      </c>
      <c r="N809" s="130" t="s">
        <v>168</v>
      </c>
      <c r="O809" s="130" t="s">
        <v>1551</v>
      </c>
      <c r="P809" s="130" t="s">
        <v>1552</v>
      </c>
      <c r="Q809" s="130" t="s">
        <v>1127</v>
      </c>
      <c r="R809" s="130" t="s">
        <v>1191</v>
      </c>
      <c r="S809" s="130" t="s">
        <v>1538</v>
      </c>
      <c r="T809" s="130" t="s">
        <v>1130</v>
      </c>
      <c r="U809" s="130">
        <v>6000000</v>
      </c>
      <c r="V809" s="131">
        <v>-6000000</v>
      </c>
      <c r="W809" s="131">
        <v>0</v>
      </c>
      <c r="X809" s="131">
        <v>0</v>
      </c>
      <c r="Y809" s="131">
        <v>0</v>
      </c>
      <c r="Z809" s="131">
        <v>0</v>
      </c>
      <c r="AA809" s="131">
        <v>0</v>
      </c>
      <c r="AB809" s="131">
        <v>0</v>
      </c>
      <c r="AC809" s="131">
        <v>0</v>
      </c>
      <c r="AD809" s="131">
        <v>0</v>
      </c>
      <c r="AE809" s="132">
        <v>0</v>
      </c>
    </row>
    <row r="810" spans="1:31" x14ac:dyDescent="0.2">
      <c r="A810" s="133">
        <v>161</v>
      </c>
      <c r="B810" s="133" t="s">
        <v>1752</v>
      </c>
      <c r="C810" s="133" t="s">
        <v>1114</v>
      </c>
      <c r="D810" s="133" t="s">
        <v>1548</v>
      </c>
      <c r="E810" s="133" t="s">
        <v>1116</v>
      </c>
      <c r="F810" s="133" t="s">
        <v>1117</v>
      </c>
      <c r="G810" s="133" t="s">
        <v>1118</v>
      </c>
      <c r="H810" s="133" t="s">
        <v>1119</v>
      </c>
      <c r="I810" s="133" t="s">
        <v>1120</v>
      </c>
      <c r="J810" s="133" t="s">
        <v>1358</v>
      </c>
      <c r="K810" s="130" t="s">
        <v>1131</v>
      </c>
      <c r="L810" s="130" t="s">
        <v>1753</v>
      </c>
      <c r="M810" s="130" t="s">
        <v>1737</v>
      </c>
      <c r="N810" s="130" t="s">
        <v>168</v>
      </c>
      <c r="O810" s="130" t="s">
        <v>1551</v>
      </c>
      <c r="P810" s="130" t="s">
        <v>1552</v>
      </c>
      <c r="Q810" s="130" t="s">
        <v>1127</v>
      </c>
      <c r="R810" s="130" t="s">
        <v>1191</v>
      </c>
      <c r="S810" s="130" t="s">
        <v>1538</v>
      </c>
      <c r="T810" s="130" t="s">
        <v>1130</v>
      </c>
      <c r="U810" s="130">
        <v>0</v>
      </c>
      <c r="V810" s="131">
        <v>2644979</v>
      </c>
      <c r="W810" s="131">
        <v>2644979</v>
      </c>
      <c r="X810" s="131">
        <v>2644979</v>
      </c>
      <c r="Y810" s="131">
        <v>0</v>
      </c>
      <c r="Z810" s="131">
        <v>2644979</v>
      </c>
      <c r="AA810" s="131">
        <v>0</v>
      </c>
      <c r="AB810" s="131">
        <v>2074380.5499999998</v>
      </c>
      <c r="AC810" s="131">
        <v>570598.45000000019</v>
      </c>
      <c r="AD810" s="131">
        <v>2010812.98</v>
      </c>
      <c r="AE810" s="132">
        <v>634166.02</v>
      </c>
    </row>
    <row r="811" spans="1:31" x14ac:dyDescent="0.2">
      <c r="A811" s="133">
        <v>161</v>
      </c>
      <c r="B811" s="133" t="s">
        <v>1752</v>
      </c>
      <c r="C811" s="133" t="s">
        <v>1114</v>
      </c>
      <c r="D811" s="133" t="s">
        <v>1548</v>
      </c>
      <c r="E811" s="133" t="s">
        <v>1116</v>
      </c>
      <c r="F811" s="133" t="s">
        <v>1117</v>
      </c>
      <c r="G811" s="133" t="s">
        <v>1118</v>
      </c>
      <c r="H811" s="133" t="s">
        <v>1119</v>
      </c>
      <c r="I811" s="133" t="s">
        <v>1120</v>
      </c>
      <c r="J811" s="133" t="s">
        <v>1358</v>
      </c>
      <c r="K811" s="130" t="s">
        <v>1177</v>
      </c>
      <c r="L811" s="130" t="s">
        <v>1753</v>
      </c>
      <c r="M811" s="130" t="s">
        <v>1737</v>
      </c>
      <c r="N811" s="130" t="s">
        <v>168</v>
      </c>
      <c r="O811" s="130" t="s">
        <v>1551</v>
      </c>
      <c r="P811" s="130" t="s">
        <v>1552</v>
      </c>
      <c r="Q811" s="130" t="s">
        <v>1127</v>
      </c>
      <c r="R811" s="130" t="s">
        <v>1191</v>
      </c>
      <c r="S811" s="130" t="s">
        <v>1538</v>
      </c>
      <c r="T811" s="130" t="s">
        <v>1130</v>
      </c>
      <c r="U811" s="130">
        <v>0</v>
      </c>
      <c r="V811" s="131">
        <v>4671676</v>
      </c>
      <c r="W811" s="131">
        <v>4671676</v>
      </c>
      <c r="X811" s="131">
        <v>4605138.28</v>
      </c>
      <c r="Y811" s="131">
        <v>66537.719999999739</v>
      </c>
      <c r="Z811" s="131">
        <v>2870352.54</v>
      </c>
      <c r="AA811" s="131">
        <v>1801323.46</v>
      </c>
      <c r="AB811" s="131">
        <v>2398229.42</v>
      </c>
      <c r="AC811" s="131">
        <v>2273446.58</v>
      </c>
      <c r="AD811" s="131">
        <v>2157604.09</v>
      </c>
      <c r="AE811" s="132">
        <v>2514071.91</v>
      </c>
    </row>
    <row r="812" spans="1:31" x14ac:dyDescent="0.2">
      <c r="A812" s="133">
        <v>161</v>
      </c>
      <c r="B812" s="133" t="s">
        <v>1752</v>
      </c>
      <c r="C812" s="133" t="s">
        <v>1114</v>
      </c>
      <c r="D812" s="133" t="s">
        <v>1548</v>
      </c>
      <c r="E812" s="133" t="s">
        <v>1116</v>
      </c>
      <c r="F812" s="133" t="s">
        <v>1117</v>
      </c>
      <c r="G812" s="133" t="s">
        <v>1118</v>
      </c>
      <c r="H812" s="133" t="s">
        <v>1119</v>
      </c>
      <c r="I812" s="133" t="s">
        <v>1120</v>
      </c>
      <c r="J812" s="133" t="s">
        <v>1358</v>
      </c>
      <c r="K812" s="130" t="s">
        <v>1132</v>
      </c>
      <c r="L812" s="130" t="s">
        <v>1753</v>
      </c>
      <c r="M812" s="130" t="s">
        <v>1737</v>
      </c>
      <c r="N812" s="130" t="s">
        <v>168</v>
      </c>
      <c r="O812" s="130" t="s">
        <v>1551</v>
      </c>
      <c r="P812" s="130" t="s">
        <v>1552</v>
      </c>
      <c r="Q812" s="130" t="s">
        <v>1127</v>
      </c>
      <c r="R812" s="130" t="s">
        <v>1191</v>
      </c>
      <c r="S812" s="130" t="s">
        <v>1538</v>
      </c>
      <c r="T812" s="130" t="s">
        <v>1130</v>
      </c>
      <c r="U812" s="130">
        <v>0</v>
      </c>
      <c r="V812" s="131">
        <v>260607</v>
      </c>
      <c r="W812" s="131">
        <v>260607</v>
      </c>
      <c r="X812" s="131">
        <v>182554.3</v>
      </c>
      <c r="Y812" s="131">
        <v>78052.700000000012</v>
      </c>
      <c r="Z812" s="131">
        <v>128794.3</v>
      </c>
      <c r="AA812" s="131">
        <v>131812.70000000001</v>
      </c>
      <c r="AB812" s="131">
        <v>128794.29999999999</v>
      </c>
      <c r="AC812" s="131">
        <v>131812.70000000001</v>
      </c>
      <c r="AD812" s="131">
        <v>71215.600000000006</v>
      </c>
      <c r="AE812" s="132">
        <v>189391.4</v>
      </c>
    </row>
    <row r="813" spans="1:31" x14ac:dyDescent="0.2">
      <c r="A813" s="133">
        <v>161</v>
      </c>
      <c r="B813" s="133" t="s">
        <v>1752</v>
      </c>
      <c r="C813" s="133" t="s">
        <v>1114</v>
      </c>
      <c r="D813" s="133" t="s">
        <v>1548</v>
      </c>
      <c r="E813" s="133" t="s">
        <v>1116</v>
      </c>
      <c r="F813" s="133" t="s">
        <v>1117</v>
      </c>
      <c r="G813" s="133" t="s">
        <v>1118</v>
      </c>
      <c r="H813" s="130" t="s">
        <v>1149</v>
      </c>
      <c r="I813" s="130" t="s">
        <v>1182</v>
      </c>
      <c r="J813" s="130" t="s">
        <v>1377</v>
      </c>
      <c r="K813" s="130" t="s">
        <v>1378</v>
      </c>
      <c r="L813" s="130" t="s">
        <v>1753</v>
      </c>
      <c r="M813" s="130" t="s">
        <v>1737</v>
      </c>
      <c r="N813" s="130" t="s">
        <v>168</v>
      </c>
      <c r="O813" s="130" t="s">
        <v>1551</v>
      </c>
      <c r="P813" s="130" t="s">
        <v>1552</v>
      </c>
      <c r="Q813" s="130" t="s">
        <v>1127</v>
      </c>
      <c r="R813" s="130" t="s">
        <v>1191</v>
      </c>
      <c r="S813" s="130" t="s">
        <v>1538</v>
      </c>
      <c r="T813" s="130" t="s">
        <v>1130</v>
      </c>
      <c r="U813" s="130">
        <v>0</v>
      </c>
      <c r="V813" s="131">
        <v>10700</v>
      </c>
      <c r="W813" s="131">
        <v>10700</v>
      </c>
      <c r="X813" s="131">
        <v>7160</v>
      </c>
      <c r="Y813" s="131">
        <v>3540</v>
      </c>
      <c r="Z813" s="131">
        <v>7160</v>
      </c>
      <c r="AA813" s="131">
        <v>3540</v>
      </c>
      <c r="AB813" s="131">
        <v>7160</v>
      </c>
      <c r="AC813" s="131">
        <v>3540</v>
      </c>
      <c r="AD813" s="131">
        <v>7160</v>
      </c>
      <c r="AE813" s="132">
        <v>3540</v>
      </c>
    </row>
    <row r="814" spans="1:31" x14ac:dyDescent="0.2">
      <c r="A814" s="133">
        <v>161</v>
      </c>
      <c r="B814" s="133" t="s">
        <v>1752</v>
      </c>
      <c r="C814" s="133" t="s">
        <v>1114</v>
      </c>
      <c r="D814" s="133" t="s">
        <v>1548</v>
      </c>
      <c r="E814" s="133" t="s">
        <v>1116</v>
      </c>
      <c r="F814" s="133" t="s">
        <v>1117</v>
      </c>
      <c r="G814" s="133" t="s">
        <v>1118</v>
      </c>
      <c r="H814" s="133" t="s">
        <v>1149</v>
      </c>
      <c r="I814" s="133" t="s">
        <v>1182</v>
      </c>
      <c r="J814" s="130" t="s">
        <v>1382</v>
      </c>
      <c r="K814" s="130" t="s">
        <v>1383</v>
      </c>
      <c r="L814" s="130" t="s">
        <v>1753</v>
      </c>
      <c r="M814" s="130" t="s">
        <v>1737</v>
      </c>
      <c r="N814" s="130" t="s">
        <v>168</v>
      </c>
      <c r="O814" s="130" t="s">
        <v>1551</v>
      </c>
      <c r="P814" s="130" t="s">
        <v>1552</v>
      </c>
      <c r="Q814" s="130" t="s">
        <v>1127</v>
      </c>
      <c r="R814" s="130" t="s">
        <v>1191</v>
      </c>
      <c r="S814" s="130" t="s">
        <v>1538</v>
      </c>
      <c r="T814" s="130" t="s">
        <v>1130</v>
      </c>
      <c r="U814" s="130">
        <v>0</v>
      </c>
      <c r="V814" s="131">
        <v>651647</v>
      </c>
      <c r="W814" s="131">
        <v>651647</v>
      </c>
      <c r="X814" s="131">
        <v>589385.43999999994</v>
      </c>
      <c r="Y814" s="131">
        <v>62261.560000000056</v>
      </c>
      <c r="Z814" s="131">
        <v>38825.440000000002</v>
      </c>
      <c r="AA814" s="131">
        <v>612821.56000000006</v>
      </c>
      <c r="AB814" s="131">
        <v>38825.440000000002</v>
      </c>
      <c r="AC814" s="131">
        <v>612821.56000000006</v>
      </c>
      <c r="AD814" s="131">
        <v>38825.440000000002</v>
      </c>
      <c r="AE814" s="132">
        <v>612821.56000000006</v>
      </c>
    </row>
    <row r="815" spans="1:31" x14ac:dyDescent="0.2">
      <c r="A815" s="133">
        <v>161</v>
      </c>
      <c r="B815" s="133" t="s">
        <v>1752</v>
      </c>
      <c r="C815" s="133" t="s">
        <v>1114</v>
      </c>
      <c r="D815" s="133" t="s">
        <v>1548</v>
      </c>
      <c r="E815" s="133" t="s">
        <v>1116</v>
      </c>
      <c r="F815" s="133" t="s">
        <v>1117</v>
      </c>
      <c r="G815" s="133" t="s">
        <v>1118</v>
      </c>
      <c r="H815" s="133" t="s">
        <v>1149</v>
      </c>
      <c r="I815" s="133" t="s">
        <v>1182</v>
      </c>
      <c r="J815" s="133" t="s">
        <v>1382</v>
      </c>
      <c r="K815" s="130" t="s">
        <v>1378</v>
      </c>
      <c r="L815" s="130" t="s">
        <v>1753</v>
      </c>
      <c r="M815" s="130" t="s">
        <v>1737</v>
      </c>
      <c r="N815" s="130" t="s">
        <v>168</v>
      </c>
      <c r="O815" s="130" t="s">
        <v>1551</v>
      </c>
      <c r="P815" s="130" t="s">
        <v>1552</v>
      </c>
      <c r="Q815" s="130" t="s">
        <v>1127</v>
      </c>
      <c r="R815" s="130" t="s">
        <v>1191</v>
      </c>
      <c r="S815" s="130" t="s">
        <v>1538</v>
      </c>
      <c r="T815" s="130" t="s">
        <v>1130</v>
      </c>
      <c r="U815" s="130">
        <v>0</v>
      </c>
      <c r="V815" s="131">
        <v>16400</v>
      </c>
      <c r="W815" s="131">
        <v>16400</v>
      </c>
      <c r="X815" s="131">
        <v>0</v>
      </c>
      <c r="Y815" s="131">
        <v>16400</v>
      </c>
      <c r="Z815" s="131">
        <v>0</v>
      </c>
      <c r="AA815" s="131">
        <v>16400</v>
      </c>
      <c r="AB815" s="131">
        <v>0</v>
      </c>
      <c r="AC815" s="131">
        <v>16400</v>
      </c>
      <c r="AD815" s="131">
        <v>0</v>
      </c>
      <c r="AE815" s="132">
        <v>16400</v>
      </c>
    </row>
    <row r="816" spans="1:31" x14ac:dyDescent="0.2">
      <c r="A816" s="133">
        <v>161</v>
      </c>
      <c r="B816" s="133" t="s">
        <v>1752</v>
      </c>
      <c r="C816" s="133" t="s">
        <v>1114</v>
      </c>
      <c r="D816" s="133" t="s">
        <v>1548</v>
      </c>
      <c r="E816" s="133" t="s">
        <v>1116</v>
      </c>
      <c r="F816" s="133" t="s">
        <v>1117</v>
      </c>
      <c r="G816" s="133" t="s">
        <v>1118</v>
      </c>
      <c r="H816" s="133" t="s">
        <v>1149</v>
      </c>
      <c r="I816" s="133" t="s">
        <v>1182</v>
      </c>
      <c r="J816" s="130" t="s">
        <v>1347</v>
      </c>
      <c r="K816" s="130" t="s">
        <v>1348</v>
      </c>
      <c r="L816" s="130" t="s">
        <v>1753</v>
      </c>
      <c r="M816" s="130" t="s">
        <v>1737</v>
      </c>
      <c r="N816" s="130" t="s">
        <v>168</v>
      </c>
      <c r="O816" s="130" t="s">
        <v>1551</v>
      </c>
      <c r="P816" s="130" t="s">
        <v>1552</v>
      </c>
      <c r="Q816" s="130" t="s">
        <v>1127</v>
      </c>
      <c r="R816" s="130" t="s">
        <v>1191</v>
      </c>
      <c r="S816" s="130" t="s">
        <v>1538</v>
      </c>
      <c r="T816" s="130" t="s">
        <v>1130</v>
      </c>
      <c r="U816" s="130">
        <v>0</v>
      </c>
      <c r="V816" s="131">
        <v>8555</v>
      </c>
      <c r="W816" s="131">
        <v>8555</v>
      </c>
      <c r="X816" s="131">
        <v>1955</v>
      </c>
      <c r="Y816" s="131">
        <v>6600</v>
      </c>
      <c r="Z816" s="131">
        <v>1955</v>
      </c>
      <c r="AA816" s="131">
        <v>6600</v>
      </c>
      <c r="AB816" s="131">
        <v>1955</v>
      </c>
      <c r="AC816" s="131">
        <v>6600</v>
      </c>
      <c r="AD816" s="131">
        <v>1955</v>
      </c>
      <c r="AE816" s="132">
        <v>6600</v>
      </c>
    </row>
    <row r="817" spans="1:31" x14ac:dyDescent="0.2">
      <c r="A817" s="133">
        <v>161</v>
      </c>
      <c r="B817" s="133" t="s">
        <v>1752</v>
      </c>
      <c r="C817" s="133" t="s">
        <v>1114</v>
      </c>
      <c r="D817" s="133" t="s">
        <v>1548</v>
      </c>
      <c r="E817" s="133" t="s">
        <v>1116</v>
      </c>
      <c r="F817" s="133" t="s">
        <v>1117</v>
      </c>
      <c r="G817" s="133" t="s">
        <v>1118</v>
      </c>
      <c r="H817" s="130" t="s">
        <v>1133</v>
      </c>
      <c r="I817" s="130" t="s">
        <v>1134</v>
      </c>
      <c r="J817" s="130" t="s">
        <v>1135</v>
      </c>
      <c r="K817" s="130" t="s">
        <v>1178</v>
      </c>
      <c r="L817" s="130" t="s">
        <v>1753</v>
      </c>
      <c r="M817" s="130" t="s">
        <v>1737</v>
      </c>
      <c r="N817" s="130" t="s">
        <v>168</v>
      </c>
      <c r="O817" s="130" t="s">
        <v>1551</v>
      </c>
      <c r="P817" s="130" t="s">
        <v>1552</v>
      </c>
      <c r="Q817" s="130" t="s">
        <v>1127</v>
      </c>
      <c r="R817" s="130" t="s">
        <v>1191</v>
      </c>
      <c r="S817" s="130" t="s">
        <v>1538</v>
      </c>
      <c r="T817" s="130" t="s">
        <v>1130</v>
      </c>
      <c r="U817" s="130">
        <v>0</v>
      </c>
      <c r="V817" s="131">
        <v>422000</v>
      </c>
      <c r="W817" s="131">
        <v>422000</v>
      </c>
      <c r="X817" s="131">
        <v>422000</v>
      </c>
      <c r="Y817" s="131">
        <v>0</v>
      </c>
      <c r="Z817" s="131">
        <v>422000</v>
      </c>
      <c r="AA817" s="131">
        <v>0</v>
      </c>
      <c r="AB817" s="131">
        <v>110708.44</v>
      </c>
      <c r="AC817" s="131">
        <v>311291.56</v>
      </c>
      <c r="AD817" s="131">
        <v>110708.44</v>
      </c>
      <c r="AE817" s="132">
        <v>311291.56</v>
      </c>
    </row>
    <row r="818" spans="1:31" x14ac:dyDescent="0.2">
      <c r="A818" s="133">
        <v>161</v>
      </c>
      <c r="B818" s="133" t="s">
        <v>1752</v>
      </c>
      <c r="C818" s="133" t="s">
        <v>1114</v>
      </c>
      <c r="D818" s="133" t="s">
        <v>1548</v>
      </c>
      <c r="E818" s="133" t="s">
        <v>1116</v>
      </c>
      <c r="F818" s="133" t="s">
        <v>1117</v>
      </c>
      <c r="G818" s="133" t="s">
        <v>1118</v>
      </c>
      <c r="H818" s="133" t="s">
        <v>1133</v>
      </c>
      <c r="I818" s="133" t="s">
        <v>1134</v>
      </c>
      <c r="J818" s="133" t="s">
        <v>1135</v>
      </c>
      <c r="K818" s="130" t="s">
        <v>1179</v>
      </c>
      <c r="L818" s="130" t="s">
        <v>1753</v>
      </c>
      <c r="M818" s="130" t="s">
        <v>1737</v>
      </c>
      <c r="N818" s="130" t="s">
        <v>168</v>
      </c>
      <c r="O818" s="130" t="s">
        <v>1551</v>
      </c>
      <c r="P818" s="130" t="s">
        <v>1552</v>
      </c>
      <c r="Q818" s="130" t="s">
        <v>1127</v>
      </c>
      <c r="R818" s="130" t="s">
        <v>1191</v>
      </c>
      <c r="S818" s="130" t="s">
        <v>1538</v>
      </c>
      <c r="T818" s="130" t="s">
        <v>1130</v>
      </c>
      <c r="U818" s="130">
        <v>0</v>
      </c>
      <c r="V818" s="131">
        <v>48208</v>
      </c>
      <c r="W818" s="131">
        <v>48208</v>
      </c>
      <c r="X818" s="131">
        <v>34939.300000000003</v>
      </c>
      <c r="Y818" s="131">
        <v>13268.699999999997</v>
      </c>
      <c r="Z818" s="131">
        <v>34939.300000000003</v>
      </c>
      <c r="AA818" s="131">
        <v>13268.699999999997</v>
      </c>
      <c r="AB818" s="131">
        <v>34939.300000000003</v>
      </c>
      <c r="AC818" s="131">
        <v>13268.699999999997</v>
      </c>
      <c r="AD818" s="131">
        <v>6902.4</v>
      </c>
      <c r="AE818" s="132">
        <v>41305.599999999999</v>
      </c>
    </row>
    <row r="819" spans="1:31" x14ac:dyDescent="0.2">
      <c r="A819" s="133">
        <v>161</v>
      </c>
      <c r="B819" s="133" t="s">
        <v>1752</v>
      </c>
      <c r="C819" s="133" t="s">
        <v>1114</v>
      </c>
      <c r="D819" s="133" t="s">
        <v>1548</v>
      </c>
      <c r="E819" s="133" t="s">
        <v>1116</v>
      </c>
      <c r="F819" s="133" t="s">
        <v>1117</v>
      </c>
      <c r="G819" s="133" t="s">
        <v>1118</v>
      </c>
      <c r="H819" s="133" t="s">
        <v>1133</v>
      </c>
      <c r="I819" s="133" t="s">
        <v>1134</v>
      </c>
      <c r="J819" s="133" t="s">
        <v>1135</v>
      </c>
      <c r="K819" s="130" t="s">
        <v>1144</v>
      </c>
      <c r="L819" s="130" t="s">
        <v>1753</v>
      </c>
      <c r="M819" s="130" t="s">
        <v>1737</v>
      </c>
      <c r="N819" s="130" t="s">
        <v>168</v>
      </c>
      <c r="O819" s="130" t="s">
        <v>1551</v>
      </c>
      <c r="P819" s="130" t="s">
        <v>1552</v>
      </c>
      <c r="Q819" s="130" t="s">
        <v>1127</v>
      </c>
      <c r="R819" s="130" t="s">
        <v>1191</v>
      </c>
      <c r="S819" s="130" t="s">
        <v>1538</v>
      </c>
      <c r="T819" s="130" t="s">
        <v>1130</v>
      </c>
      <c r="U819" s="130">
        <v>0</v>
      </c>
      <c r="V819" s="131">
        <v>43950</v>
      </c>
      <c r="W819" s="131">
        <v>43950</v>
      </c>
      <c r="X819" s="131">
        <v>43950</v>
      </c>
      <c r="Y819" s="131">
        <v>0</v>
      </c>
      <c r="Z819" s="131">
        <v>43950</v>
      </c>
      <c r="AA819" s="131">
        <v>0</v>
      </c>
      <c r="AB819" s="131">
        <v>43950</v>
      </c>
      <c r="AC819" s="131">
        <v>0</v>
      </c>
      <c r="AD819" s="131">
        <v>15910</v>
      </c>
      <c r="AE819" s="132">
        <v>28040</v>
      </c>
    </row>
    <row r="820" spans="1:31" x14ac:dyDescent="0.2">
      <c r="A820" s="130">
        <v>162</v>
      </c>
      <c r="B820" s="130" t="s">
        <v>1754</v>
      </c>
      <c r="C820" s="130" t="s">
        <v>1114</v>
      </c>
      <c r="D820" s="130" t="s">
        <v>1554</v>
      </c>
      <c r="E820" s="130" t="s">
        <v>1116</v>
      </c>
      <c r="F820" s="130" t="s">
        <v>1117</v>
      </c>
      <c r="G820" s="130" t="s">
        <v>1118</v>
      </c>
      <c r="H820" s="130" t="s">
        <v>1119</v>
      </c>
      <c r="I820" s="130" t="s">
        <v>1120</v>
      </c>
      <c r="J820" s="130" t="s">
        <v>1358</v>
      </c>
      <c r="K820" s="130" t="s">
        <v>1122</v>
      </c>
      <c r="L820" s="130" t="s">
        <v>1755</v>
      </c>
      <c r="M820" s="130" t="s">
        <v>1737</v>
      </c>
      <c r="N820" s="130" t="s">
        <v>168</v>
      </c>
      <c r="O820" s="130" t="s">
        <v>1551</v>
      </c>
      <c r="P820" s="130" t="s">
        <v>1552</v>
      </c>
      <c r="Q820" s="130" t="s">
        <v>1127</v>
      </c>
      <c r="R820" s="130" t="s">
        <v>1175</v>
      </c>
      <c r="S820" s="130" t="s">
        <v>1756</v>
      </c>
      <c r="T820" s="130" t="s">
        <v>1130</v>
      </c>
      <c r="U820" s="130">
        <v>5194033</v>
      </c>
      <c r="V820" s="131">
        <v>-821505</v>
      </c>
      <c r="W820" s="131">
        <v>4372528</v>
      </c>
      <c r="X820" s="131">
        <v>4282051.7699999996</v>
      </c>
      <c r="Y820" s="131">
        <v>90476.230000000447</v>
      </c>
      <c r="Z820" s="131">
        <v>0</v>
      </c>
      <c r="AA820" s="131">
        <v>4372528</v>
      </c>
      <c r="AB820" s="131">
        <v>0</v>
      </c>
      <c r="AC820" s="131">
        <v>4372528</v>
      </c>
      <c r="AD820" s="131">
        <v>0</v>
      </c>
      <c r="AE820" s="132">
        <v>4372528</v>
      </c>
    </row>
    <row r="821" spans="1:31" x14ac:dyDescent="0.2">
      <c r="A821" s="133">
        <v>162</v>
      </c>
      <c r="B821" s="133" t="s">
        <v>1754</v>
      </c>
      <c r="C821" s="133" t="s">
        <v>1114</v>
      </c>
      <c r="D821" s="133" t="s">
        <v>1554</v>
      </c>
      <c r="E821" s="133" t="s">
        <v>1116</v>
      </c>
      <c r="F821" s="133" t="s">
        <v>1117</v>
      </c>
      <c r="G821" s="133" t="s">
        <v>1118</v>
      </c>
      <c r="H821" s="130" t="s">
        <v>1133</v>
      </c>
      <c r="I821" s="130" t="s">
        <v>1134</v>
      </c>
      <c r="J821" s="130" t="s">
        <v>1135</v>
      </c>
      <c r="K821" s="130" t="s">
        <v>1144</v>
      </c>
      <c r="L821" s="130" t="s">
        <v>1755</v>
      </c>
      <c r="M821" s="130" t="s">
        <v>1737</v>
      </c>
      <c r="N821" s="130" t="s">
        <v>168</v>
      </c>
      <c r="O821" s="130" t="s">
        <v>1551</v>
      </c>
      <c r="P821" s="130" t="s">
        <v>1552</v>
      </c>
      <c r="Q821" s="130" t="s">
        <v>1127</v>
      </c>
      <c r="R821" s="130" t="s">
        <v>1175</v>
      </c>
      <c r="S821" s="130" t="s">
        <v>1756</v>
      </c>
      <c r="T821" s="130" t="s">
        <v>1130</v>
      </c>
      <c r="U821" s="130">
        <v>0</v>
      </c>
      <c r="V821" s="131">
        <v>821505</v>
      </c>
      <c r="W821" s="131">
        <v>821505</v>
      </c>
      <c r="X821" s="131">
        <v>821505</v>
      </c>
      <c r="Y821" s="131">
        <v>0</v>
      </c>
      <c r="Z821" s="131">
        <v>0</v>
      </c>
      <c r="AA821" s="131">
        <v>821505</v>
      </c>
      <c r="AB821" s="131">
        <v>0</v>
      </c>
      <c r="AC821" s="131">
        <v>821505</v>
      </c>
      <c r="AD821" s="131">
        <v>0</v>
      </c>
      <c r="AE821" s="132">
        <v>821505</v>
      </c>
    </row>
    <row r="822" spans="1:31" x14ac:dyDescent="0.2">
      <c r="A822" s="130">
        <v>163</v>
      </c>
      <c r="B822" s="130" t="s">
        <v>1757</v>
      </c>
      <c r="C822" s="130" t="s">
        <v>1114</v>
      </c>
      <c r="D822" s="130" t="s">
        <v>1554</v>
      </c>
      <c r="E822" s="130" t="s">
        <v>1116</v>
      </c>
      <c r="F822" s="130" t="s">
        <v>1117</v>
      </c>
      <c r="G822" s="130" t="s">
        <v>1118</v>
      </c>
      <c r="H822" s="130" t="s">
        <v>1119</v>
      </c>
      <c r="I822" s="130" t="s">
        <v>1120</v>
      </c>
      <c r="J822" s="130" t="s">
        <v>1358</v>
      </c>
      <c r="K822" s="130" t="s">
        <v>1122</v>
      </c>
      <c r="L822" s="130" t="s">
        <v>1758</v>
      </c>
      <c r="M822" s="130" t="s">
        <v>1737</v>
      </c>
      <c r="N822" s="130" t="s">
        <v>168</v>
      </c>
      <c r="O822" s="130" t="s">
        <v>1551</v>
      </c>
      <c r="P822" s="130" t="s">
        <v>1552</v>
      </c>
      <c r="Q822" s="130" t="s">
        <v>1127</v>
      </c>
      <c r="R822" s="130" t="s">
        <v>1191</v>
      </c>
      <c r="S822" s="130" t="s">
        <v>1583</v>
      </c>
      <c r="T822" s="130" t="s">
        <v>1158</v>
      </c>
      <c r="U822" s="130">
        <v>2805112</v>
      </c>
      <c r="V822" s="131">
        <v>-2805112</v>
      </c>
      <c r="W822" s="131">
        <v>0</v>
      </c>
      <c r="X822" s="131">
        <v>0</v>
      </c>
      <c r="Y822" s="131">
        <v>0</v>
      </c>
      <c r="Z822" s="131">
        <v>0</v>
      </c>
      <c r="AA822" s="131">
        <v>0</v>
      </c>
      <c r="AB822" s="131">
        <v>0</v>
      </c>
      <c r="AC822" s="131">
        <v>0</v>
      </c>
      <c r="AD822" s="131">
        <v>0</v>
      </c>
      <c r="AE822" s="132">
        <v>0</v>
      </c>
    </row>
    <row r="823" spans="1:31" x14ac:dyDescent="0.2">
      <c r="A823" s="133">
        <v>163</v>
      </c>
      <c r="B823" s="133" t="s">
        <v>1757</v>
      </c>
      <c r="C823" s="133" t="s">
        <v>1114</v>
      </c>
      <c r="D823" s="133" t="s">
        <v>1554</v>
      </c>
      <c r="E823" s="133" t="s">
        <v>1116</v>
      </c>
      <c r="F823" s="133" t="s">
        <v>1117</v>
      </c>
      <c r="G823" s="133" t="s">
        <v>1118</v>
      </c>
      <c r="H823" s="130" t="s">
        <v>1133</v>
      </c>
      <c r="I823" s="130" t="s">
        <v>1134</v>
      </c>
      <c r="J823" s="130" t="s">
        <v>1166</v>
      </c>
      <c r="K823" s="130" t="s">
        <v>1167</v>
      </c>
      <c r="L823" s="130" t="s">
        <v>1758</v>
      </c>
      <c r="M823" s="130" t="s">
        <v>1737</v>
      </c>
      <c r="N823" s="130" t="s">
        <v>168</v>
      </c>
      <c r="O823" s="130" t="s">
        <v>1551</v>
      </c>
      <c r="P823" s="130" t="s">
        <v>1552</v>
      </c>
      <c r="Q823" s="130" t="s">
        <v>1127</v>
      </c>
      <c r="R823" s="130" t="s">
        <v>1191</v>
      </c>
      <c r="S823" s="130" t="s">
        <v>1583</v>
      </c>
      <c r="T823" s="130" t="s">
        <v>1158</v>
      </c>
      <c r="U823" s="130">
        <v>0</v>
      </c>
      <c r="V823" s="131">
        <v>178134</v>
      </c>
      <c r="W823" s="131">
        <v>178134</v>
      </c>
      <c r="X823" s="131">
        <v>129803.29</v>
      </c>
      <c r="Y823" s="131">
        <v>48330.710000000006</v>
      </c>
      <c r="Z823" s="131">
        <v>129803.29</v>
      </c>
      <c r="AA823" s="131">
        <v>48330.710000000006</v>
      </c>
      <c r="AB823" s="131">
        <v>128718.59</v>
      </c>
      <c r="AC823" s="131">
        <v>49415.41</v>
      </c>
      <c r="AD823" s="131">
        <v>128718.59</v>
      </c>
      <c r="AE823" s="132">
        <v>49415.41</v>
      </c>
    </row>
    <row r="824" spans="1:31" x14ac:dyDescent="0.2">
      <c r="A824" s="130">
        <v>164</v>
      </c>
      <c r="B824" s="130" t="s">
        <v>1759</v>
      </c>
      <c r="C824" s="130" t="s">
        <v>1114</v>
      </c>
      <c r="D824" s="130" t="s">
        <v>1554</v>
      </c>
      <c r="E824" s="130" t="s">
        <v>1116</v>
      </c>
      <c r="F824" s="130" t="s">
        <v>1117</v>
      </c>
      <c r="G824" s="130" t="s">
        <v>1118</v>
      </c>
      <c r="H824" s="130" t="s">
        <v>1119</v>
      </c>
      <c r="I824" s="130" t="s">
        <v>1120</v>
      </c>
      <c r="J824" s="130" t="s">
        <v>1358</v>
      </c>
      <c r="K824" s="130" t="s">
        <v>1122</v>
      </c>
      <c r="L824" s="130" t="s">
        <v>1760</v>
      </c>
      <c r="M824" s="130" t="s">
        <v>1737</v>
      </c>
      <c r="N824" s="130" t="s">
        <v>168</v>
      </c>
      <c r="O824" s="130" t="s">
        <v>1551</v>
      </c>
      <c r="P824" s="130" t="s">
        <v>1552</v>
      </c>
      <c r="Q824" s="130" t="s">
        <v>1127</v>
      </c>
      <c r="R824" s="130" t="s">
        <v>1380</v>
      </c>
      <c r="S824" s="130" t="s">
        <v>1761</v>
      </c>
      <c r="T824" s="130" t="s">
        <v>1158</v>
      </c>
      <c r="U824" s="130">
        <v>2000000</v>
      </c>
      <c r="V824" s="131">
        <v>-2000000</v>
      </c>
      <c r="W824" s="131">
        <v>0</v>
      </c>
      <c r="X824" s="131">
        <v>0</v>
      </c>
      <c r="Y824" s="131">
        <v>0</v>
      </c>
      <c r="Z824" s="131">
        <v>0</v>
      </c>
      <c r="AA824" s="131">
        <v>0</v>
      </c>
      <c r="AB824" s="131">
        <v>0</v>
      </c>
      <c r="AC824" s="131">
        <v>0</v>
      </c>
      <c r="AD824" s="131">
        <v>0</v>
      </c>
      <c r="AE824" s="132">
        <v>0</v>
      </c>
    </row>
    <row r="825" spans="1:31" x14ac:dyDescent="0.2">
      <c r="A825" s="133">
        <v>164</v>
      </c>
      <c r="B825" s="133" t="s">
        <v>1759</v>
      </c>
      <c r="C825" s="133" t="s">
        <v>1114</v>
      </c>
      <c r="D825" s="133" t="s">
        <v>1554</v>
      </c>
      <c r="E825" s="133" t="s">
        <v>1116</v>
      </c>
      <c r="F825" s="133" t="s">
        <v>1117</v>
      </c>
      <c r="G825" s="133" t="s">
        <v>1118</v>
      </c>
      <c r="H825" s="130" t="s">
        <v>1133</v>
      </c>
      <c r="I825" s="130" t="s">
        <v>1134</v>
      </c>
      <c r="J825" s="130" t="s">
        <v>1166</v>
      </c>
      <c r="K825" s="130" t="s">
        <v>1167</v>
      </c>
      <c r="L825" s="130" t="s">
        <v>1760</v>
      </c>
      <c r="M825" s="130" t="s">
        <v>1737</v>
      </c>
      <c r="N825" s="130" t="s">
        <v>168</v>
      </c>
      <c r="O825" s="130" t="s">
        <v>1551</v>
      </c>
      <c r="P825" s="130" t="s">
        <v>1552</v>
      </c>
      <c r="Q825" s="130" t="s">
        <v>1127</v>
      </c>
      <c r="R825" s="130" t="s">
        <v>1380</v>
      </c>
      <c r="S825" s="130" t="s">
        <v>1761</v>
      </c>
      <c r="T825" s="130" t="s">
        <v>1158</v>
      </c>
      <c r="U825" s="130">
        <v>0</v>
      </c>
      <c r="V825" s="131">
        <v>82625</v>
      </c>
      <c r="W825" s="131">
        <v>82625</v>
      </c>
      <c r="X825" s="131">
        <v>81593.5</v>
      </c>
      <c r="Y825" s="131">
        <v>1031.5</v>
      </c>
      <c r="Z825" s="131">
        <v>72593.5</v>
      </c>
      <c r="AA825" s="131">
        <v>10031.5</v>
      </c>
      <c r="AB825" s="131">
        <v>69050.51999999999</v>
      </c>
      <c r="AC825" s="131">
        <v>13574.48000000001</v>
      </c>
      <c r="AD825" s="131">
        <v>69050.51999999999</v>
      </c>
      <c r="AE825" s="132">
        <v>13574.48000000001</v>
      </c>
    </row>
    <row r="826" spans="1:31" x14ac:dyDescent="0.2">
      <c r="A826" s="130">
        <v>165</v>
      </c>
      <c r="B826" s="130" t="s">
        <v>1762</v>
      </c>
      <c r="C826" s="130" t="s">
        <v>1114</v>
      </c>
      <c r="D826" s="130" t="s">
        <v>1548</v>
      </c>
      <c r="E826" s="130" t="s">
        <v>1116</v>
      </c>
      <c r="F826" s="130" t="s">
        <v>1117</v>
      </c>
      <c r="G826" s="130" t="s">
        <v>1118</v>
      </c>
      <c r="H826" s="130" t="s">
        <v>1119</v>
      </c>
      <c r="I826" s="130" t="s">
        <v>1120</v>
      </c>
      <c r="J826" s="130" t="s">
        <v>1358</v>
      </c>
      <c r="K826" s="130" t="s">
        <v>1122</v>
      </c>
      <c r="L826" s="130" t="s">
        <v>1763</v>
      </c>
      <c r="M826" s="130" t="s">
        <v>1737</v>
      </c>
      <c r="N826" s="130" t="s">
        <v>168</v>
      </c>
      <c r="O826" s="130" t="s">
        <v>1551</v>
      </c>
      <c r="P826" s="130" t="s">
        <v>1552</v>
      </c>
      <c r="Q826" s="130" t="s">
        <v>1127</v>
      </c>
      <c r="R826" s="130" t="s">
        <v>1175</v>
      </c>
      <c r="S826" s="130" t="s">
        <v>1764</v>
      </c>
      <c r="T826" s="130" t="s">
        <v>1158</v>
      </c>
      <c r="U826" s="130">
        <v>0</v>
      </c>
      <c r="V826" s="131">
        <v>0</v>
      </c>
      <c r="W826" s="131">
        <v>0</v>
      </c>
      <c r="X826" s="131">
        <v>0</v>
      </c>
      <c r="Y826" s="131">
        <v>0</v>
      </c>
      <c r="Z826" s="131">
        <v>0</v>
      </c>
      <c r="AA826" s="131">
        <v>0</v>
      </c>
      <c r="AB826" s="131">
        <v>0</v>
      </c>
      <c r="AC826" s="131">
        <v>0</v>
      </c>
      <c r="AD826" s="131">
        <v>0</v>
      </c>
      <c r="AE826" s="132">
        <v>0</v>
      </c>
    </row>
    <row r="827" spans="1:31" x14ac:dyDescent="0.2">
      <c r="A827" s="133">
        <v>165</v>
      </c>
      <c r="B827" s="133" t="s">
        <v>1762</v>
      </c>
      <c r="C827" s="133" t="s">
        <v>1114</v>
      </c>
      <c r="D827" s="133" t="s">
        <v>1548</v>
      </c>
      <c r="E827" s="133" t="s">
        <v>1116</v>
      </c>
      <c r="F827" s="133" t="s">
        <v>1117</v>
      </c>
      <c r="G827" s="133" t="s">
        <v>1118</v>
      </c>
      <c r="H827" s="130" t="s">
        <v>1133</v>
      </c>
      <c r="I827" s="130" t="s">
        <v>1134</v>
      </c>
      <c r="J827" s="130" t="s">
        <v>1166</v>
      </c>
      <c r="K827" s="130" t="s">
        <v>1167</v>
      </c>
      <c r="L827" s="130" t="s">
        <v>1763</v>
      </c>
      <c r="M827" s="130" t="s">
        <v>1737</v>
      </c>
      <c r="N827" s="130" t="s">
        <v>168</v>
      </c>
      <c r="O827" s="130" t="s">
        <v>1551</v>
      </c>
      <c r="P827" s="130" t="s">
        <v>1552</v>
      </c>
      <c r="Q827" s="130" t="s">
        <v>1127</v>
      </c>
      <c r="R827" s="130" t="s">
        <v>1175</v>
      </c>
      <c r="S827" s="130" t="s">
        <v>1764</v>
      </c>
      <c r="T827" s="130" t="s">
        <v>1158</v>
      </c>
      <c r="U827" s="130">
        <v>1500000</v>
      </c>
      <c r="V827" s="131">
        <v>-1442558</v>
      </c>
      <c r="W827" s="131">
        <v>57442</v>
      </c>
      <c r="X827" s="131">
        <v>57136.9</v>
      </c>
      <c r="Y827" s="131">
        <v>305.09999999999854</v>
      </c>
      <c r="Z827" s="131">
        <v>57136.9</v>
      </c>
      <c r="AA827" s="131">
        <v>305.09999999999854</v>
      </c>
      <c r="AB827" s="131">
        <v>54415.03</v>
      </c>
      <c r="AC827" s="131">
        <v>3026.9700000000012</v>
      </c>
      <c r="AD827" s="131">
        <v>54415.03</v>
      </c>
      <c r="AE827" s="132">
        <v>3026.9700000000012</v>
      </c>
    </row>
    <row r="828" spans="1:31" x14ac:dyDescent="0.2">
      <c r="A828" s="130">
        <v>166</v>
      </c>
      <c r="B828" s="130" t="s">
        <v>1765</v>
      </c>
      <c r="C828" s="130" t="s">
        <v>1114</v>
      </c>
      <c r="D828" s="130" t="s">
        <v>1621</v>
      </c>
      <c r="E828" s="130" t="s">
        <v>1116</v>
      </c>
      <c r="F828" s="130" t="s">
        <v>1117</v>
      </c>
      <c r="G828" s="130" t="s">
        <v>1118</v>
      </c>
      <c r="H828" s="130" t="s">
        <v>1119</v>
      </c>
      <c r="I828" s="130" t="s">
        <v>1169</v>
      </c>
      <c r="J828" s="130" t="s">
        <v>1195</v>
      </c>
      <c r="K828" s="130" t="s">
        <v>1592</v>
      </c>
      <c r="L828" s="130" t="s">
        <v>1766</v>
      </c>
      <c r="M828" s="130" t="s">
        <v>1767</v>
      </c>
      <c r="N828" s="130" t="s">
        <v>1588</v>
      </c>
      <c r="O828" s="130" t="s">
        <v>1768</v>
      </c>
      <c r="P828" s="130" t="s">
        <v>1769</v>
      </c>
      <c r="Q828" s="130" t="s">
        <v>1127</v>
      </c>
      <c r="R828" s="130" t="s">
        <v>1128</v>
      </c>
      <c r="S828" s="130" t="s">
        <v>1129</v>
      </c>
      <c r="T828" s="130" t="s">
        <v>1770</v>
      </c>
      <c r="U828" s="130">
        <v>675842</v>
      </c>
      <c r="V828" s="131">
        <v>0</v>
      </c>
      <c r="W828" s="131">
        <v>675842</v>
      </c>
      <c r="X828" s="131">
        <v>0</v>
      </c>
      <c r="Y828" s="131">
        <v>675842</v>
      </c>
      <c r="Z828" s="131">
        <v>0</v>
      </c>
      <c r="AA828" s="131">
        <v>675842</v>
      </c>
      <c r="AB828" s="131">
        <v>0</v>
      </c>
      <c r="AC828" s="131">
        <v>675842</v>
      </c>
      <c r="AD828" s="131">
        <v>0</v>
      </c>
      <c r="AE828" s="132">
        <v>675842</v>
      </c>
    </row>
    <row r="829" spans="1:31" x14ac:dyDescent="0.2">
      <c r="A829" s="130">
        <v>167</v>
      </c>
      <c r="B829" s="130" t="s">
        <v>1771</v>
      </c>
      <c r="C829" s="130" t="s">
        <v>1114</v>
      </c>
      <c r="D829" s="130" t="s">
        <v>1621</v>
      </c>
      <c r="E829" s="130" t="s">
        <v>1116</v>
      </c>
      <c r="F829" s="130" t="s">
        <v>1117</v>
      </c>
      <c r="G829" s="130" t="s">
        <v>1118</v>
      </c>
      <c r="H829" s="130" t="s">
        <v>1119</v>
      </c>
      <c r="I829" s="130" t="s">
        <v>1169</v>
      </c>
      <c r="J829" s="130" t="s">
        <v>1195</v>
      </c>
      <c r="K829" s="130" t="s">
        <v>1585</v>
      </c>
      <c r="L829" s="130" t="s">
        <v>1772</v>
      </c>
      <c r="M829" s="130" t="s">
        <v>1767</v>
      </c>
      <c r="N829" s="130" t="s">
        <v>1588</v>
      </c>
      <c r="O829" s="130" t="s">
        <v>1768</v>
      </c>
      <c r="P829" s="130" t="s">
        <v>1769</v>
      </c>
      <c r="Q829" s="130" t="s">
        <v>1127</v>
      </c>
      <c r="R829" s="130" t="s">
        <v>1499</v>
      </c>
      <c r="S829" s="130" t="s">
        <v>1500</v>
      </c>
      <c r="T829" s="130" t="s">
        <v>1770</v>
      </c>
      <c r="U829" s="130">
        <v>0</v>
      </c>
      <c r="V829" s="131">
        <v>243586</v>
      </c>
      <c r="W829" s="131">
        <v>243586</v>
      </c>
      <c r="X829" s="131">
        <v>243586</v>
      </c>
      <c r="Y829" s="131">
        <v>0</v>
      </c>
      <c r="Z829" s="131">
        <v>243586</v>
      </c>
      <c r="AA829" s="131">
        <v>0</v>
      </c>
      <c r="AB829" s="131">
        <v>224607.88</v>
      </c>
      <c r="AC829" s="131">
        <v>18978.119999999995</v>
      </c>
      <c r="AD829" s="131">
        <v>224607.88</v>
      </c>
      <c r="AE829" s="132">
        <v>18978.119999999995</v>
      </c>
    </row>
    <row r="830" spans="1:31" x14ac:dyDescent="0.2">
      <c r="A830" s="133">
        <v>167</v>
      </c>
      <c r="B830" s="133" t="s">
        <v>1771</v>
      </c>
      <c r="C830" s="133" t="s">
        <v>1114</v>
      </c>
      <c r="D830" s="133" t="s">
        <v>1621</v>
      </c>
      <c r="E830" s="133" t="s">
        <v>1116</v>
      </c>
      <c r="F830" s="133" t="s">
        <v>1117</v>
      </c>
      <c r="G830" s="133" t="s">
        <v>1118</v>
      </c>
      <c r="H830" s="133" t="s">
        <v>1119</v>
      </c>
      <c r="I830" s="133" t="s">
        <v>1169</v>
      </c>
      <c r="J830" s="133" t="s">
        <v>1195</v>
      </c>
      <c r="K830" s="130" t="s">
        <v>1592</v>
      </c>
      <c r="L830" s="130" t="s">
        <v>1772</v>
      </c>
      <c r="M830" s="130" t="s">
        <v>1767</v>
      </c>
      <c r="N830" s="130" t="s">
        <v>1588</v>
      </c>
      <c r="O830" s="130" t="s">
        <v>1768</v>
      </c>
      <c r="P830" s="130" t="s">
        <v>1769</v>
      </c>
      <c r="Q830" s="130" t="s">
        <v>1127</v>
      </c>
      <c r="R830" s="130" t="s">
        <v>1499</v>
      </c>
      <c r="S830" s="130" t="s">
        <v>1500</v>
      </c>
      <c r="T830" s="130" t="s">
        <v>1770</v>
      </c>
      <c r="U830" s="130">
        <v>897880</v>
      </c>
      <c r="V830" s="131">
        <v>-720404</v>
      </c>
      <c r="W830" s="131">
        <v>177476</v>
      </c>
      <c r="X830" s="131">
        <v>177475.49</v>
      </c>
      <c r="Y830" s="131">
        <v>0.51000000000931323</v>
      </c>
      <c r="Z830" s="131">
        <v>177475.49</v>
      </c>
      <c r="AA830" s="131">
        <v>0.51000000000931323</v>
      </c>
      <c r="AB830" s="131">
        <v>123287.01</v>
      </c>
      <c r="AC830" s="131">
        <v>54188.990000000005</v>
      </c>
      <c r="AD830" s="131">
        <v>123287.01</v>
      </c>
      <c r="AE830" s="132">
        <v>54188.990000000005</v>
      </c>
    </row>
    <row r="831" spans="1:31" x14ac:dyDescent="0.2">
      <c r="A831" s="133">
        <v>167</v>
      </c>
      <c r="B831" s="133" t="s">
        <v>1771</v>
      </c>
      <c r="C831" s="133" t="s">
        <v>1114</v>
      </c>
      <c r="D831" s="133" t="s">
        <v>1621</v>
      </c>
      <c r="E831" s="133" t="s">
        <v>1116</v>
      </c>
      <c r="F831" s="133" t="s">
        <v>1117</v>
      </c>
      <c r="G831" s="133" t="s">
        <v>1118</v>
      </c>
      <c r="H831" s="133" t="s">
        <v>1119</v>
      </c>
      <c r="I831" s="133" t="s">
        <v>1169</v>
      </c>
      <c r="J831" s="133" t="s">
        <v>1195</v>
      </c>
      <c r="K831" s="130" t="s">
        <v>1593</v>
      </c>
      <c r="L831" s="130" t="s">
        <v>1772</v>
      </c>
      <c r="M831" s="130" t="s">
        <v>1767</v>
      </c>
      <c r="N831" s="130" t="s">
        <v>1588</v>
      </c>
      <c r="O831" s="130" t="s">
        <v>1768</v>
      </c>
      <c r="P831" s="130" t="s">
        <v>1769</v>
      </c>
      <c r="Q831" s="130" t="s">
        <v>1127</v>
      </c>
      <c r="R831" s="130" t="s">
        <v>1499</v>
      </c>
      <c r="S831" s="130" t="s">
        <v>1500</v>
      </c>
      <c r="T831" s="130" t="s">
        <v>1770</v>
      </c>
      <c r="U831" s="130">
        <v>0</v>
      </c>
      <c r="V831" s="131">
        <v>14753</v>
      </c>
      <c r="W831" s="131">
        <v>14753</v>
      </c>
      <c r="X831" s="131">
        <v>14752.4</v>
      </c>
      <c r="Y831" s="131">
        <v>0.6000000000003638</v>
      </c>
      <c r="Z831" s="131">
        <v>14752.4</v>
      </c>
      <c r="AA831" s="131">
        <v>0.6000000000003638</v>
      </c>
      <c r="AB831" s="131">
        <v>14752.4</v>
      </c>
      <c r="AC831" s="131">
        <v>0.6000000000003638</v>
      </c>
      <c r="AD831" s="131">
        <v>14752.4</v>
      </c>
      <c r="AE831" s="132">
        <v>0.6000000000003638</v>
      </c>
    </row>
    <row r="832" spans="1:31" x14ac:dyDescent="0.2">
      <c r="A832" s="133">
        <v>167</v>
      </c>
      <c r="B832" s="133" t="s">
        <v>1771</v>
      </c>
      <c r="C832" s="133" t="s">
        <v>1114</v>
      </c>
      <c r="D832" s="133" t="s">
        <v>1621</v>
      </c>
      <c r="E832" s="133" t="s">
        <v>1116</v>
      </c>
      <c r="F832" s="133" t="s">
        <v>1117</v>
      </c>
      <c r="G832" s="133" t="s">
        <v>1118</v>
      </c>
      <c r="H832" s="130" t="s">
        <v>1133</v>
      </c>
      <c r="I832" s="130" t="s">
        <v>1134</v>
      </c>
      <c r="J832" s="130" t="s">
        <v>1135</v>
      </c>
      <c r="K832" s="130" t="s">
        <v>1178</v>
      </c>
      <c r="L832" s="130" t="s">
        <v>1772</v>
      </c>
      <c r="M832" s="130" t="s">
        <v>1767</v>
      </c>
      <c r="N832" s="130" t="s">
        <v>1588</v>
      </c>
      <c r="O832" s="130" t="s">
        <v>1768</v>
      </c>
      <c r="P832" s="130" t="s">
        <v>1769</v>
      </c>
      <c r="Q832" s="130" t="s">
        <v>1127</v>
      </c>
      <c r="R832" s="130" t="s">
        <v>1499</v>
      </c>
      <c r="S832" s="130" t="s">
        <v>1500</v>
      </c>
      <c r="T832" s="130" t="s">
        <v>1770</v>
      </c>
      <c r="U832" s="130">
        <v>0</v>
      </c>
      <c r="V832" s="131">
        <v>126380</v>
      </c>
      <c r="W832" s="131">
        <v>126380</v>
      </c>
      <c r="X832" s="131">
        <v>72846.42</v>
      </c>
      <c r="Y832" s="131">
        <v>53533.58</v>
      </c>
      <c r="Z832" s="131">
        <v>72846.42</v>
      </c>
      <c r="AA832" s="131">
        <v>53533.58</v>
      </c>
      <c r="AB832" s="131">
        <v>34125.57</v>
      </c>
      <c r="AC832" s="131">
        <v>92254.43</v>
      </c>
      <c r="AD832" s="131">
        <v>34125.57</v>
      </c>
      <c r="AE832" s="132">
        <v>92254.43</v>
      </c>
    </row>
    <row r="833" spans="1:31" x14ac:dyDescent="0.2">
      <c r="A833" s="133">
        <v>167</v>
      </c>
      <c r="B833" s="133" t="s">
        <v>1771</v>
      </c>
      <c r="C833" s="133" t="s">
        <v>1114</v>
      </c>
      <c r="D833" s="133" t="s">
        <v>1621</v>
      </c>
      <c r="E833" s="133" t="s">
        <v>1116</v>
      </c>
      <c r="F833" s="133" t="s">
        <v>1117</v>
      </c>
      <c r="G833" s="133" t="s">
        <v>1118</v>
      </c>
      <c r="H833" s="133" t="s">
        <v>1133</v>
      </c>
      <c r="I833" s="133" t="s">
        <v>1134</v>
      </c>
      <c r="J833" s="133" t="s">
        <v>1135</v>
      </c>
      <c r="K833" s="130" t="s">
        <v>1179</v>
      </c>
      <c r="L833" s="130" t="s">
        <v>1772</v>
      </c>
      <c r="M833" s="130" t="s">
        <v>1767</v>
      </c>
      <c r="N833" s="130" t="s">
        <v>1588</v>
      </c>
      <c r="O833" s="130" t="s">
        <v>1768</v>
      </c>
      <c r="P833" s="130" t="s">
        <v>1769</v>
      </c>
      <c r="Q833" s="130" t="s">
        <v>1127</v>
      </c>
      <c r="R833" s="130" t="s">
        <v>1499</v>
      </c>
      <c r="S833" s="130" t="s">
        <v>1500</v>
      </c>
      <c r="T833" s="130" t="s">
        <v>1770</v>
      </c>
      <c r="U833" s="130">
        <v>0</v>
      </c>
      <c r="V833" s="131">
        <v>0</v>
      </c>
      <c r="W833" s="131">
        <v>0</v>
      </c>
      <c r="X833" s="131">
        <v>0</v>
      </c>
      <c r="Y833" s="131">
        <v>0</v>
      </c>
      <c r="Z833" s="131">
        <v>0</v>
      </c>
      <c r="AA833" s="131">
        <v>0</v>
      </c>
      <c r="AB833" s="131">
        <v>0</v>
      </c>
      <c r="AC833" s="131">
        <v>0</v>
      </c>
      <c r="AD833" s="131">
        <v>0</v>
      </c>
      <c r="AE833" s="132">
        <v>0</v>
      </c>
    </row>
    <row r="834" spans="1:31" x14ac:dyDescent="0.2">
      <c r="A834" s="133">
        <v>167</v>
      </c>
      <c r="B834" s="133" t="s">
        <v>1771</v>
      </c>
      <c r="C834" s="133" t="s">
        <v>1114</v>
      </c>
      <c r="D834" s="133" t="s">
        <v>1621</v>
      </c>
      <c r="E834" s="133" t="s">
        <v>1116</v>
      </c>
      <c r="F834" s="133" t="s">
        <v>1117</v>
      </c>
      <c r="G834" s="133" t="s">
        <v>1118</v>
      </c>
      <c r="H834" s="133" t="s">
        <v>1133</v>
      </c>
      <c r="I834" s="133" t="s">
        <v>1134</v>
      </c>
      <c r="J834" s="133" t="s">
        <v>1135</v>
      </c>
      <c r="K834" s="130" t="s">
        <v>1144</v>
      </c>
      <c r="L834" s="130" t="s">
        <v>1772</v>
      </c>
      <c r="M834" s="130" t="s">
        <v>1767</v>
      </c>
      <c r="N834" s="130" t="s">
        <v>1588</v>
      </c>
      <c r="O834" s="130" t="s">
        <v>1768</v>
      </c>
      <c r="P834" s="130" t="s">
        <v>1769</v>
      </c>
      <c r="Q834" s="130" t="s">
        <v>1127</v>
      </c>
      <c r="R834" s="130" t="s">
        <v>1499</v>
      </c>
      <c r="S834" s="130" t="s">
        <v>1500</v>
      </c>
      <c r="T834" s="130" t="s">
        <v>1770</v>
      </c>
      <c r="U834" s="130">
        <v>0</v>
      </c>
      <c r="V834" s="131">
        <v>3675</v>
      </c>
      <c r="W834" s="131">
        <v>3675</v>
      </c>
      <c r="X834" s="131">
        <v>3675</v>
      </c>
      <c r="Y834" s="131">
        <v>0</v>
      </c>
      <c r="Z834" s="131">
        <v>3675</v>
      </c>
      <c r="AA834" s="131">
        <v>0</v>
      </c>
      <c r="AB834" s="131">
        <v>3675</v>
      </c>
      <c r="AC834" s="131">
        <v>0</v>
      </c>
      <c r="AD834" s="131">
        <v>3675</v>
      </c>
      <c r="AE834" s="132">
        <v>0</v>
      </c>
    </row>
    <row r="835" spans="1:31" x14ac:dyDescent="0.2">
      <c r="A835" s="130">
        <v>168</v>
      </c>
      <c r="B835" s="130" t="s">
        <v>1773</v>
      </c>
      <c r="C835" s="130" t="s">
        <v>1114</v>
      </c>
      <c r="D835" s="130" t="s">
        <v>1774</v>
      </c>
      <c r="E835" s="130" t="s">
        <v>1116</v>
      </c>
      <c r="F835" s="130" t="s">
        <v>1117</v>
      </c>
      <c r="G835" s="130" t="s">
        <v>1118</v>
      </c>
      <c r="H835" s="130" t="s">
        <v>1119</v>
      </c>
      <c r="I835" s="130" t="s">
        <v>1120</v>
      </c>
      <c r="J835" s="130" t="s">
        <v>1358</v>
      </c>
      <c r="K835" s="130" t="s">
        <v>1122</v>
      </c>
      <c r="L835" s="130" t="s">
        <v>1775</v>
      </c>
      <c r="M835" s="130" t="s">
        <v>1776</v>
      </c>
      <c r="N835" s="130" t="s">
        <v>168</v>
      </c>
      <c r="O835" s="130" t="s">
        <v>1361</v>
      </c>
      <c r="P835" s="130" t="s">
        <v>1777</v>
      </c>
      <c r="Q835" s="130" t="s">
        <v>1127</v>
      </c>
      <c r="R835" s="130" t="s">
        <v>1434</v>
      </c>
      <c r="S835" s="130" t="s">
        <v>1435</v>
      </c>
      <c r="T835" s="130" t="s">
        <v>1158</v>
      </c>
      <c r="U835" s="130">
        <v>699403</v>
      </c>
      <c r="V835" s="131">
        <v>-699403</v>
      </c>
      <c r="W835" s="131">
        <v>0</v>
      </c>
      <c r="X835" s="131">
        <v>0</v>
      </c>
      <c r="Y835" s="131">
        <v>0</v>
      </c>
      <c r="Z835" s="131">
        <v>0</v>
      </c>
      <c r="AA835" s="131">
        <v>0</v>
      </c>
      <c r="AB835" s="131">
        <v>0</v>
      </c>
      <c r="AC835" s="131">
        <v>0</v>
      </c>
      <c r="AD835" s="131">
        <v>0</v>
      </c>
      <c r="AE835" s="132">
        <v>0</v>
      </c>
    </row>
    <row r="836" spans="1:31" x14ac:dyDescent="0.2">
      <c r="A836" s="133">
        <v>168</v>
      </c>
      <c r="B836" s="133" t="s">
        <v>1773</v>
      </c>
      <c r="C836" s="133" t="s">
        <v>1114</v>
      </c>
      <c r="D836" s="133" t="s">
        <v>1774</v>
      </c>
      <c r="E836" s="133" t="s">
        <v>1116</v>
      </c>
      <c r="F836" s="133" t="s">
        <v>1117</v>
      </c>
      <c r="G836" s="133" t="s">
        <v>1118</v>
      </c>
      <c r="H836" s="130" t="s">
        <v>1133</v>
      </c>
      <c r="I836" s="130" t="s">
        <v>1134</v>
      </c>
      <c r="J836" s="130" t="s">
        <v>1166</v>
      </c>
      <c r="K836" s="130" t="s">
        <v>1167</v>
      </c>
      <c r="L836" s="130" t="s">
        <v>1775</v>
      </c>
      <c r="M836" s="130" t="s">
        <v>1776</v>
      </c>
      <c r="N836" s="130" t="s">
        <v>168</v>
      </c>
      <c r="O836" s="130" t="s">
        <v>1361</v>
      </c>
      <c r="P836" s="130" t="s">
        <v>1777</v>
      </c>
      <c r="Q836" s="130" t="s">
        <v>1127</v>
      </c>
      <c r="R836" s="130" t="s">
        <v>1434</v>
      </c>
      <c r="S836" s="130" t="s">
        <v>1435</v>
      </c>
      <c r="T836" s="130" t="s">
        <v>1158</v>
      </c>
      <c r="U836" s="130">
        <v>0</v>
      </c>
      <c r="V836" s="131">
        <v>14550</v>
      </c>
      <c r="W836" s="131">
        <v>14550</v>
      </c>
      <c r="X836" s="131">
        <v>14550</v>
      </c>
      <c r="Y836" s="131">
        <v>0</v>
      </c>
      <c r="Z836" s="131">
        <v>0</v>
      </c>
      <c r="AA836" s="131">
        <v>14550</v>
      </c>
      <c r="AB836" s="131">
        <v>0</v>
      </c>
      <c r="AC836" s="131">
        <v>14550</v>
      </c>
      <c r="AD836" s="131">
        <v>0</v>
      </c>
      <c r="AE836" s="132">
        <v>14550</v>
      </c>
    </row>
    <row r="837" spans="1:31" x14ac:dyDescent="0.2">
      <c r="A837" s="130">
        <v>169</v>
      </c>
      <c r="B837" s="130" t="s">
        <v>1778</v>
      </c>
      <c r="C837" s="130" t="s">
        <v>1114</v>
      </c>
      <c r="D837" s="130" t="s">
        <v>1779</v>
      </c>
      <c r="E837" s="130" t="s">
        <v>1116</v>
      </c>
      <c r="F837" s="130" t="s">
        <v>1117</v>
      </c>
      <c r="G837" s="130" t="s">
        <v>1118</v>
      </c>
      <c r="H837" s="130" t="s">
        <v>1119</v>
      </c>
      <c r="I837" s="130" t="s">
        <v>1120</v>
      </c>
      <c r="J837" s="130" t="s">
        <v>1358</v>
      </c>
      <c r="K837" s="130" t="s">
        <v>1122</v>
      </c>
      <c r="L837" s="130" t="s">
        <v>1780</v>
      </c>
      <c r="M837" s="130" t="s">
        <v>1776</v>
      </c>
      <c r="N837" s="130" t="s">
        <v>168</v>
      </c>
      <c r="O837" s="130" t="s">
        <v>1361</v>
      </c>
      <c r="P837" s="130" t="s">
        <v>1777</v>
      </c>
      <c r="Q837" s="130" t="s">
        <v>1127</v>
      </c>
      <c r="R837" s="130" t="s">
        <v>1128</v>
      </c>
      <c r="S837" s="130" t="s">
        <v>1129</v>
      </c>
      <c r="T837" s="130" t="s">
        <v>1130</v>
      </c>
      <c r="U837" s="130">
        <v>2878733</v>
      </c>
      <c r="V837" s="131">
        <v>-2878733</v>
      </c>
      <c r="W837" s="131">
        <v>0</v>
      </c>
      <c r="X837" s="131">
        <v>0</v>
      </c>
      <c r="Y837" s="131">
        <v>0</v>
      </c>
      <c r="Z837" s="131">
        <v>0</v>
      </c>
      <c r="AA837" s="131">
        <v>0</v>
      </c>
      <c r="AB837" s="131">
        <v>0</v>
      </c>
      <c r="AC837" s="131">
        <v>0</v>
      </c>
      <c r="AD837" s="131">
        <v>0</v>
      </c>
      <c r="AE837" s="132">
        <v>0</v>
      </c>
    </row>
    <row r="838" spans="1:31" x14ac:dyDescent="0.2">
      <c r="A838" s="130">
        <v>170</v>
      </c>
      <c r="B838" s="130" t="s">
        <v>1781</v>
      </c>
      <c r="C838" s="130" t="s">
        <v>1114</v>
      </c>
      <c r="D838" s="130" t="s">
        <v>1774</v>
      </c>
      <c r="E838" s="130" t="s">
        <v>1116</v>
      </c>
      <c r="F838" s="130" t="s">
        <v>1117</v>
      </c>
      <c r="G838" s="130" t="s">
        <v>1118</v>
      </c>
      <c r="H838" s="130" t="s">
        <v>1133</v>
      </c>
      <c r="I838" s="130" t="s">
        <v>1134</v>
      </c>
      <c r="J838" s="130" t="s">
        <v>1135</v>
      </c>
      <c r="K838" s="130" t="s">
        <v>1178</v>
      </c>
      <c r="L838" s="130" t="s">
        <v>1782</v>
      </c>
      <c r="M838" s="130" t="s">
        <v>1776</v>
      </c>
      <c r="N838" s="130" t="s">
        <v>168</v>
      </c>
      <c r="O838" s="130" t="s">
        <v>1361</v>
      </c>
      <c r="P838" s="130" t="s">
        <v>1777</v>
      </c>
      <c r="Q838" s="130" t="s">
        <v>1127</v>
      </c>
      <c r="R838" s="130" t="s">
        <v>1191</v>
      </c>
      <c r="S838" s="130" t="s">
        <v>1783</v>
      </c>
      <c r="T838" s="130" t="s">
        <v>1142</v>
      </c>
      <c r="U838" s="130">
        <v>0</v>
      </c>
      <c r="V838" s="131">
        <v>25000</v>
      </c>
      <c r="W838" s="131">
        <v>25000</v>
      </c>
      <c r="X838" s="131">
        <v>25000</v>
      </c>
      <c r="Y838" s="131">
        <v>0</v>
      </c>
      <c r="Z838" s="131">
        <v>25000</v>
      </c>
      <c r="AA838" s="131">
        <v>0</v>
      </c>
      <c r="AB838" s="131">
        <v>23379.35</v>
      </c>
      <c r="AC838" s="131">
        <v>1620.6500000000015</v>
      </c>
      <c r="AD838" s="131">
        <v>23379.35</v>
      </c>
      <c r="AE838" s="132">
        <v>1620.6500000000015</v>
      </c>
    </row>
    <row r="839" spans="1:31" x14ac:dyDescent="0.2">
      <c r="A839" s="133">
        <v>170</v>
      </c>
      <c r="B839" s="133" t="s">
        <v>1781</v>
      </c>
      <c r="C839" s="133" t="s">
        <v>1114</v>
      </c>
      <c r="D839" s="133" t="s">
        <v>1774</v>
      </c>
      <c r="E839" s="133" t="s">
        <v>1116</v>
      </c>
      <c r="F839" s="133" t="s">
        <v>1117</v>
      </c>
      <c r="G839" s="133" t="s">
        <v>1118</v>
      </c>
      <c r="H839" s="133" t="s">
        <v>1133</v>
      </c>
      <c r="I839" s="133" t="s">
        <v>1134</v>
      </c>
      <c r="J839" s="133" t="s">
        <v>1135</v>
      </c>
      <c r="K839" s="130" t="s">
        <v>1179</v>
      </c>
      <c r="L839" s="130" t="s">
        <v>1782</v>
      </c>
      <c r="M839" s="130" t="s">
        <v>1776</v>
      </c>
      <c r="N839" s="130" t="s">
        <v>168</v>
      </c>
      <c r="O839" s="130" t="s">
        <v>1361</v>
      </c>
      <c r="P839" s="130" t="s">
        <v>1777</v>
      </c>
      <c r="Q839" s="130" t="s">
        <v>1127</v>
      </c>
      <c r="R839" s="130" t="s">
        <v>1191</v>
      </c>
      <c r="S839" s="130" t="s">
        <v>1783</v>
      </c>
      <c r="T839" s="130" t="s">
        <v>1142</v>
      </c>
      <c r="U839" s="130">
        <v>159740</v>
      </c>
      <c r="V839" s="131">
        <v>-25000</v>
      </c>
      <c r="W839" s="131">
        <v>134740</v>
      </c>
      <c r="X839" s="131">
        <v>0</v>
      </c>
      <c r="Y839" s="131">
        <v>134740</v>
      </c>
      <c r="Z839" s="131">
        <v>0</v>
      </c>
      <c r="AA839" s="131">
        <v>134740</v>
      </c>
      <c r="AB839" s="131">
        <v>0</v>
      </c>
      <c r="AC839" s="131">
        <v>134740</v>
      </c>
      <c r="AD839" s="131">
        <v>0</v>
      </c>
      <c r="AE839" s="132">
        <v>134740</v>
      </c>
    </row>
    <row r="840" spans="1:31" x14ac:dyDescent="0.2">
      <c r="A840" s="130">
        <v>171</v>
      </c>
      <c r="B840" s="130" t="s">
        <v>1784</v>
      </c>
      <c r="C840" s="130" t="s">
        <v>1114</v>
      </c>
      <c r="D840" s="130" t="s">
        <v>1779</v>
      </c>
      <c r="E840" s="130" t="s">
        <v>1116</v>
      </c>
      <c r="F840" s="130" t="s">
        <v>1117</v>
      </c>
      <c r="G840" s="130" t="s">
        <v>1118</v>
      </c>
      <c r="H840" s="130" t="s">
        <v>1119</v>
      </c>
      <c r="I840" s="130" t="s">
        <v>1120</v>
      </c>
      <c r="J840" s="130" t="s">
        <v>1358</v>
      </c>
      <c r="K840" s="130" t="s">
        <v>1122</v>
      </c>
      <c r="L840" s="130" t="s">
        <v>1785</v>
      </c>
      <c r="M840" s="130" t="s">
        <v>1776</v>
      </c>
      <c r="N840" s="130" t="s">
        <v>168</v>
      </c>
      <c r="O840" s="130" t="s">
        <v>1361</v>
      </c>
      <c r="P840" s="130" t="s">
        <v>1777</v>
      </c>
      <c r="Q840" s="130" t="s">
        <v>1127</v>
      </c>
      <c r="R840" s="130" t="s">
        <v>1380</v>
      </c>
      <c r="S840" s="130" t="s">
        <v>1786</v>
      </c>
      <c r="T840" s="130" t="s">
        <v>1130</v>
      </c>
      <c r="U840" s="130">
        <v>100000</v>
      </c>
      <c r="V840" s="131">
        <v>-100000</v>
      </c>
      <c r="W840" s="131">
        <v>0</v>
      </c>
      <c r="X840" s="131">
        <v>0</v>
      </c>
      <c r="Y840" s="131">
        <v>0</v>
      </c>
      <c r="Z840" s="131">
        <v>0</v>
      </c>
      <c r="AA840" s="131">
        <v>0</v>
      </c>
      <c r="AB840" s="131">
        <v>0</v>
      </c>
      <c r="AC840" s="131">
        <v>0</v>
      </c>
      <c r="AD840" s="131">
        <v>0</v>
      </c>
      <c r="AE840" s="132">
        <v>0</v>
      </c>
    </row>
    <row r="841" spans="1:31" x14ac:dyDescent="0.2">
      <c r="A841" s="130">
        <v>172</v>
      </c>
      <c r="B841" s="130" t="s">
        <v>1787</v>
      </c>
      <c r="C841" s="130" t="s">
        <v>1114</v>
      </c>
      <c r="D841" s="130" t="s">
        <v>1774</v>
      </c>
      <c r="E841" s="130" t="s">
        <v>1116</v>
      </c>
      <c r="F841" s="130" t="s">
        <v>1117</v>
      </c>
      <c r="G841" s="130" t="s">
        <v>1118</v>
      </c>
      <c r="H841" s="130" t="s">
        <v>1119</v>
      </c>
      <c r="I841" s="130" t="s">
        <v>1120</v>
      </c>
      <c r="J841" s="130" t="s">
        <v>1358</v>
      </c>
      <c r="K841" s="130" t="s">
        <v>1122</v>
      </c>
      <c r="L841" s="130" t="s">
        <v>1788</v>
      </c>
      <c r="M841" s="130" t="s">
        <v>1776</v>
      </c>
      <c r="N841" s="130" t="s">
        <v>168</v>
      </c>
      <c r="O841" s="130" t="s">
        <v>1361</v>
      </c>
      <c r="P841" s="130" t="s">
        <v>1777</v>
      </c>
      <c r="Q841" s="130" t="s">
        <v>1127</v>
      </c>
      <c r="R841" s="130" t="s">
        <v>1140</v>
      </c>
      <c r="S841" s="130" t="s">
        <v>1789</v>
      </c>
      <c r="T841" s="130" t="s">
        <v>1130</v>
      </c>
      <c r="U841" s="130">
        <v>800000</v>
      </c>
      <c r="V841" s="131">
        <v>-800000</v>
      </c>
      <c r="W841" s="131">
        <v>0</v>
      </c>
      <c r="X841" s="131">
        <v>0</v>
      </c>
      <c r="Y841" s="131">
        <v>0</v>
      </c>
      <c r="Z841" s="131">
        <v>0</v>
      </c>
      <c r="AA841" s="131">
        <v>0</v>
      </c>
      <c r="AB841" s="131">
        <v>0</v>
      </c>
      <c r="AC841" s="131">
        <v>0</v>
      </c>
      <c r="AD841" s="131">
        <v>0</v>
      </c>
      <c r="AE841" s="132">
        <v>0</v>
      </c>
    </row>
    <row r="842" spans="1:31" x14ac:dyDescent="0.2">
      <c r="A842" s="133">
        <v>172</v>
      </c>
      <c r="B842" s="133" t="s">
        <v>1787</v>
      </c>
      <c r="C842" s="133" t="s">
        <v>1114</v>
      </c>
      <c r="D842" s="133" t="s">
        <v>1774</v>
      </c>
      <c r="E842" s="133" t="s">
        <v>1116</v>
      </c>
      <c r="F842" s="133" t="s">
        <v>1117</v>
      </c>
      <c r="G842" s="133" t="s">
        <v>1118</v>
      </c>
      <c r="H842" s="133" t="s">
        <v>1119</v>
      </c>
      <c r="I842" s="133" t="s">
        <v>1120</v>
      </c>
      <c r="J842" s="133" t="s">
        <v>1358</v>
      </c>
      <c r="K842" s="130" t="s">
        <v>1131</v>
      </c>
      <c r="L842" s="130" t="s">
        <v>1788</v>
      </c>
      <c r="M842" s="130" t="s">
        <v>1776</v>
      </c>
      <c r="N842" s="130" t="s">
        <v>168</v>
      </c>
      <c r="O842" s="130" t="s">
        <v>1361</v>
      </c>
      <c r="P842" s="130" t="s">
        <v>1777</v>
      </c>
      <c r="Q842" s="130" t="s">
        <v>1127</v>
      </c>
      <c r="R842" s="130" t="s">
        <v>1140</v>
      </c>
      <c r="S842" s="130" t="s">
        <v>1789</v>
      </c>
      <c r="T842" s="130" t="s">
        <v>1130</v>
      </c>
      <c r="U842" s="130">
        <v>0</v>
      </c>
      <c r="V842" s="131">
        <v>611021</v>
      </c>
      <c r="W842" s="131">
        <v>611021</v>
      </c>
      <c r="X842" s="131">
        <v>438000</v>
      </c>
      <c r="Y842" s="131">
        <v>173021</v>
      </c>
      <c r="Z842" s="131">
        <v>438000</v>
      </c>
      <c r="AA842" s="131">
        <v>173021</v>
      </c>
      <c r="AB842" s="131">
        <v>97580.37</v>
      </c>
      <c r="AC842" s="131">
        <v>513440.63</v>
      </c>
      <c r="AD842" s="131">
        <v>94726.969999999987</v>
      </c>
      <c r="AE842" s="132">
        <v>516294.03</v>
      </c>
    </row>
    <row r="843" spans="1:31" x14ac:dyDescent="0.2">
      <c r="A843" s="133">
        <v>172</v>
      </c>
      <c r="B843" s="133" t="s">
        <v>1787</v>
      </c>
      <c r="C843" s="133" t="s">
        <v>1114</v>
      </c>
      <c r="D843" s="133" t="s">
        <v>1774</v>
      </c>
      <c r="E843" s="133" t="s">
        <v>1116</v>
      </c>
      <c r="F843" s="133" t="s">
        <v>1117</v>
      </c>
      <c r="G843" s="133" t="s">
        <v>1118</v>
      </c>
      <c r="H843" s="133" t="s">
        <v>1119</v>
      </c>
      <c r="I843" s="133" t="s">
        <v>1120</v>
      </c>
      <c r="J843" s="133" t="s">
        <v>1358</v>
      </c>
      <c r="K843" s="130" t="s">
        <v>1177</v>
      </c>
      <c r="L843" s="130" t="s">
        <v>1788</v>
      </c>
      <c r="M843" s="130" t="s">
        <v>1776</v>
      </c>
      <c r="N843" s="130" t="s">
        <v>168</v>
      </c>
      <c r="O843" s="130" t="s">
        <v>1361</v>
      </c>
      <c r="P843" s="130" t="s">
        <v>1777</v>
      </c>
      <c r="Q843" s="130" t="s">
        <v>1127</v>
      </c>
      <c r="R843" s="130" t="s">
        <v>1140</v>
      </c>
      <c r="S843" s="130" t="s">
        <v>1789</v>
      </c>
      <c r="T843" s="130" t="s">
        <v>1130</v>
      </c>
      <c r="U843" s="130">
        <v>0</v>
      </c>
      <c r="V843" s="131">
        <v>1195162</v>
      </c>
      <c r="W843" s="131">
        <v>1195162</v>
      </c>
      <c r="X843" s="131">
        <v>512271.59</v>
      </c>
      <c r="Y843" s="131">
        <v>682890.40999999992</v>
      </c>
      <c r="Z843" s="131">
        <v>143832.88</v>
      </c>
      <c r="AA843" s="131">
        <v>1051329.1200000001</v>
      </c>
      <c r="AB843" s="131">
        <v>143832.88</v>
      </c>
      <c r="AC843" s="131">
        <v>1051329.1200000001</v>
      </c>
      <c r="AD843" s="131">
        <v>100318.95</v>
      </c>
      <c r="AE843" s="132">
        <v>1094843.05</v>
      </c>
    </row>
    <row r="844" spans="1:31" x14ac:dyDescent="0.2">
      <c r="A844" s="133">
        <v>172</v>
      </c>
      <c r="B844" s="133" t="s">
        <v>1787</v>
      </c>
      <c r="C844" s="133" t="s">
        <v>1114</v>
      </c>
      <c r="D844" s="133" t="s">
        <v>1774</v>
      </c>
      <c r="E844" s="133" t="s">
        <v>1116</v>
      </c>
      <c r="F844" s="133" t="s">
        <v>1117</v>
      </c>
      <c r="G844" s="133" t="s">
        <v>1118</v>
      </c>
      <c r="H844" s="133" t="s">
        <v>1119</v>
      </c>
      <c r="I844" s="133" t="s">
        <v>1120</v>
      </c>
      <c r="J844" s="133" t="s">
        <v>1358</v>
      </c>
      <c r="K844" s="130" t="s">
        <v>1132</v>
      </c>
      <c r="L844" s="130" t="s">
        <v>1788</v>
      </c>
      <c r="M844" s="130" t="s">
        <v>1776</v>
      </c>
      <c r="N844" s="130" t="s">
        <v>168</v>
      </c>
      <c r="O844" s="130" t="s">
        <v>1361</v>
      </c>
      <c r="P844" s="130" t="s">
        <v>1777</v>
      </c>
      <c r="Q844" s="130" t="s">
        <v>1127</v>
      </c>
      <c r="R844" s="130" t="s">
        <v>1140</v>
      </c>
      <c r="S844" s="130" t="s">
        <v>1789</v>
      </c>
      <c r="T844" s="130" t="s">
        <v>1130</v>
      </c>
      <c r="U844" s="130">
        <v>0</v>
      </c>
      <c r="V844" s="131">
        <v>289039</v>
      </c>
      <c r="W844" s="131">
        <v>289039</v>
      </c>
      <c r="X844" s="131">
        <v>39354</v>
      </c>
      <c r="Y844" s="131">
        <v>249685</v>
      </c>
      <c r="Z844" s="131">
        <v>39354</v>
      </c>
      <c r="AA844" s="131">
        <v>249685</v>
      </c>
      <c r="AB844" s="131">
        <v>39354</v>
      </c>
      <c r="AC844" s="131">
        <v>249685</v>
      </c>
      <c r="AD844" s="131">
        <v>5752</v>
      </c>
      <c r="AE844" s="132">
        <v>283287</v>
      </c>
    </row>
    <row r="845" spans="1:31" x14ac:dyDescent="0.2">
      <c r="A845" s="133">
        <v>172</v>
      </c>
      <c r="B845" s="133" t="s">
        <v>1787</v>
      </c>
      <c r="C845" s="133" t="s">
        <v>1114</v>
      </c>
      <c r="D845" s="133" t="s">
        <v>1774</v>
      </c>
      <c r="E845" s="133" t="s">
        <v>1116</v>
      </c>
      <c r="F845" s="133" t="s">
        <v>1117</v>
      </c>
      <c r="G845" s="133" t="s">
        <v>1118</v>
      </c>
      <c r="H845" s="130" t="s">
        <v>1149</v>
      </c>
      <c r="I845" s="130" t="s">
        <v>1182</v>
      </c>
      <c r="J845" s="130" t="s">
        <v>1377</v>
      </c>
      <c r="K845" s="130" t="s">
        <v>1378</v>
      </c>
      <c r="L845" s="130" t="s">
        <v>1788</v>
      </c>
      <c r="M845" s="130" t="s">
        <v>1776</v>
      </c>
      <c r="N845" s="130" t="s">
        <v>168</v>
      </c>
      <c r="O845" s="130" t="s">
        <v>1361</v>
      </c>
      <c r="P845" s="130" t="s">
        <v>1777</v>
      </c>
      <c r="Q845" s="130" t="s">
        <v>1127</v>
      </c>
      <c r="R845" s="130" t="s">
        <v>1140</v>
      </c>
      <c r="S845" s="130" t="s">
        <v>1789</v>
      </c>
      <c r="T845" s="130" t="s">
        <v>1130</v>
      </c>
      <c r="U845" s="130">
        <v>0</v>
      </c>
      <c r="V845" s="131">
        <v>6310</v>
      </c>
      <c r="W845" s="131">
        <v>6310</v>
      </c>
      <c r="X845" s="131">
        <v>0</v>
      </c>
      <c r="Y845" s="131">
        <v>6310</v>
      </c>
      <c r="Z845" s="131">
        <v>0</v>
      </c>
      <c r="AA845" s="131">
        <v>6310</v>
      </c>
      <c r="AB845" s="131">
        <v>0</v>
      </c>
      <c r="AC845" s="131">
        <v>6310</v>
      </c>
      <c r="AD845" s="131">
        <v>0</v>
      </c>
      <c r="AE845" s="132">
        <v>6310</v>
      </c>
    </row>
    <row r="846" spans="1:31" x14ac:dyDescent="0.2">
      <c r="A846" s="133">
        <v>172</v>
      </c>
      <c r="B846" s="133" t="s">
        <v>1787</v>
      </c>
      <c r="C846" s="133" t="s">
        <v>1114</v>
      </c>
      <c r="D846" s="133" t="s">
        <v>1774</v>
      </c>
      <c r="E846" s="133" t="s">
        <v>1116</v>
      </c>
      <c r="F846" s="133" t="s">
        <v>1117</v>
      </c>
      <c r="G846" s="133" t="s">
        <v>1118</v>
      </c>
      <c r="H846" s="133" t="s">
        <v>1149</v>
      </c>
      <c r="I846" s="133" t="s">
        <v>1182</v>
      </c>
      <c r="J846" s="130" t="s">
        <v>1347</v>
      </c>
      <c r="K846" s="130" t="s">
        <v>1348</v>
      </c>
      <c r="L846" s="130" t="s">
        <v>1788</v>
      </c>
      <c r="M846" s="130" t="s">
        <v>1776</v>
      </c>
      <c r="N846" s="130" t="s">
        <v>168</v>
      </c>
      <c r="O846" s="130" t="s">
        <v>1361</v>
      </c>
      <c r="P846" s="130" t="s">
        <v>1777</v>
      </c>
      <c r="Q846" s="130" t="s">
        <v>1127</v>
      </c>
      <c r="R846" s="130" t="s">
        <v>1140</v>
      </c>
      <c r="S846" s="130" t="s">
        <v>1789</v>
      </c>
      <c r="T846" s="130" t="s">
        <v>1130</v>
      </c>
      <c r="U846" s="130">
        <v>0</v>
      </c>
      <c r="V846" s="131">
        <v>460</v>
      </c>
      <c r="W846" s="131">
        <v>460</v>
      </c>
      <c r="X846" s="131">
        <v>0</v>
      </c>
      <c r="Y846" s="131">
        <v>460</v>
      </c>
      <c r="Z846" s="131">
        <v>0</v>
      </c>
      <c r="AA846" s="131">
        <v>460</v>
      </c>
      <c r="AB846" s="131">
        <v>0</v>
      </c>
      <c r="AC846" s="131">
        <v>460</v>
      </c>
      <c r="AD846" s="131">
        <v>0</v>
      </c>
      <c r="AE846" s="132">
        <v>460</v>
      </c>
    </row>
    <row r="847" spans="1:31" x14ac:dyDescent="0.2">
      <c r="A847" s="133">
        <v>172</v>
      </c>
      <c r="B847" s="133" t="s">
        <v>1787</v>
      </c>
      <c r="C847" s="133" t="s">
        <v>1114</v>
      </c>
      <c r="D847" s="133" t="s">
        <v>1774</v>
      </c>
      <c r="E847" s="133" t="s">
        <v>1116</v>
      </c>
      <c r="F847" s="133" t="s">
        <v>1117</v>
      </c>
      <c r="G847" s="133" t="s">
        <v>1118</v>
      </c>
      <c r="H847" s="130" t="s">
        <v>1133</v>
      </c>
      <c r="I847" s="130" t="s">
        <v>1134</v>
      </c>
      <c r="J847" s="130" t="s">
        <v>1135</v>
      </c>
      <c r="K847" s="130" t="s">
        <v>1178</v>
      </c>
      <c r="L847" s="130" t="s">
        <v>1788</v>
      </c>
      <c r="M847" s="130" t="s">
        <v>1776</v>
      </c>
      <c r="N847" s="130" t="s">
        <v>168</v>
      </c>
      <c r="O847" s="130" t="s">
        <v>1361</v>
      </c>
      <c r="P847" s="130" t="s">
        <v>1777</v>
      </c>
      <c r="Q847" s="130" t="s">
        <v>1127</v>
      </c>
      <c r="R847" s="130" t="s">
        <v>1140</v>
      </c>
      <c r="S847" s="130" t="s">
        <v>1789</v>
      </c>
      <c r="T847" s="130" t="s">
        <v>1130</v>
      </c>
      <c r="U847" s="130">
        <v>0</v>
      </c>
      <c r="V847" s="131">
        <v>172401</v>
      </c>
      <c r="W847" s="131">
        <v>172401</v>
      </c>
      <c r="X847" s="131">
        <v>142500</v>
      </c>
      <c r="Y847" s="131">
        <v>29901</v>
      </c>
      <c r="Z847" s="131">
        <v>142500</v>
      </c>
      <c r="AA847" s="131">
        <v>29901</v>
      </c>
      <c r="AB847" s="131">
        <v>18348.32</v>
      </c>
      <c r="AC847" s="131">
        <v>154052.68</v>
      </c>
      <c r="AD847" s="131">
        <v>18348.32</v>
      </c>
      <c r="AE847" s="132">
        <v>154052.68</v>
      </c>
    </row>
    <row r="848" spans="1:31" x14ac:dyDescent="0.2">
      <c r="A848" s="133">
        <v>172</v>
      </c>
      <c r="B848" s="133" t="s">
        <v>1787</v>
      </c>
      <c r="C848" s="133" t="s">
        <v>1114</v>
      </c>
      <c r="D848" s="133" t="s">
        <v>1774</v>
      </c>
      <c r="E848" s="133" t="s">
        <v>1116</v>
      </c>
      <c r="F848" s="133" t="s">
        <v>1117</v>
      </c>
      <c r="G848" s="133" t="s">
        <v>1118</v>
      </c>
      <c r="H848" s="133" t="s">
        <v>1133</v>
      </c>
      <c r="I848" s="133" t="s">
        <v>1134</v>
      </c>
      <c r="J848" s="133" t="s">
        <v>1135</v>
      </c>
      <c r="K848" s="130" t="s">
        <v>1179</v>
      </c>
      <c r="L848" s="130" t="s">
        <v>1788</v>
      </c>
      <c r="M848" s="130" t="s">
        <v>1776</v>
      </c>
      <c r="N848" s="130" t="s">
        <v>168</v>
      </c>
      <c r="O848" s="130" t="s">
        <v>1361</v>
      </c>
      <c r="P848" s="130" t="s">
        <v>1777</v>
      </c>
      <c r="Q848" s="130" t="s">
        <v>1127</v>
      </c>
      <c r="R848" s="130" t="s">
        <v>1140</v>
      </c>
      <c r="S848" s="130" t="s">
        <v>1789</v>
      </c>
      <c r="T848" s="130" t="s">
        <v>1130</v>
      </c>
      <c r="U848" s="130">
        <v>0</v>
      </c>
      <c r="V848" s="131">
        <v>15291</v>
      </c>
      <c r="W848" s="131">
        <v>15291</v>
      </c>
      <c r="X848" s="131">
        <v>4048</v>
      </c>
      <c r="Y848" s="131">
        <v>11243</v>
      </c>
      <c r="Z848" s="131">
        <v>4048</v>
      </c>
      <c r="AA848" s="131">
        <v>11243</v>
      </c>
      <c r="AB848" s="131">
        <v>4048</v>
      </c>
      <c r="AC848" s="131">
        <v>11243</v>
      </c>
      <c r="AD848" s="131">
        <v>4048</v>
      </c>
      <c r="AE848" s="132">
        <v>11243</v>
      </c>
    </row>
    <row r="849" spans="1:31" x14ac:dyDescent="0.2">
      <c r="A849" s="133">
        <v>172</v>
      </c>
      <c r="B849" s="133" t="s">
        <v>1787</v>
      </c>
      <c r="C849" s="133" t="s">
        <v>1114</v>
      </c>
      <c r="D849" s="133" t="s">
        <v>1774</v>
      </c>
      <c r="E849" s="133" t="s">
        <v>1116</v>
      </c>
      <c r="F849" s="133" t="s">
        <v>1117</v>
      </c>
      <c r="G849" s="133" t="s">
        <v>1118</v>
      </c>
      <c r="H849" s="133" t="s">
        <v>1133</v>
      </c>
      <c r="I849" s="133" t="s">
        <v>1134</v>
      </c>
      <c r="J849" s="133" t="s">
        <v>1135</v>
      </c>
      <c r="K849" s="130" t="s">
        <v>1144</v>
      </c>
      <c r="L849" s="130" t="s">
        <v>1788</v>
      </c>
      <c r="M849" s="130" t="s">
        <v>1776</v>
      </c>
      <c r="N849" s="130" t="s">
        <v>168</v>
      </c>
      <c r="O849" s="130" t="s">
        <v>1361</v>
      </c>
      <c r="P849" s="130" t="s">
        <v>1777</v>
      </c>
      <c r="Q849" s="130" t="s">
        <v>1127</v>
      </c>
      <c r="R849" s="130" t="s">
        <v>1140</v>
      </c>
      <c r="S849" s="130" t="s">
        <v>1789</v>
      </c>
      <c r="T849" s="130" t="s">
        <v>1130</v>
      </c>
      <c r="U849" s="130">
        <v>0</v>
      </c>
      <c r="V849" s="131">
        <v>53000</v>
      </c>
      <c r="W849" s="131">
        <v>53000</v>
      </c>
      <c r="X849" s="131">
        <v>21600</v>
      </c>
      <c r="Y849" s="131">
        <v>31400</v>
      </c>
      <c r="Z849" s="131">
        <v>21600</v>
      </c>
      <c r="AA849" s="131">
        <v>31400</v>
      </c>
      <c r="AB849" s="131">
        <v>21600</v>
      </c>
      <c r="AC849" s="131">
        <v>31400</v>
      </c>
      <c r="AD849" s="131">
        <v>5040</v>
      </c>
      <c r="AE849" s="132">
        <v>47960</v>
      </c>
    </row>
    <row r="850" spans="1:31" x14ac:dyDescent="0.2">
      <c r="A850" s="130">
        <v>173</v>
      </c>
      <c r="B850" s="130" t="s">
        <v>173</v>
      </c>
      <c r="C850" s="130" t="s">
        <v>1114</v>
      </c>
      <c r="D850" s="130" t="s">
        <v>1779</v>
      </c>
      <c r="E850" s="130" t="s">
        <v>1116</v>
      </c>
      <c r="F850" s="130" t="s">
        <v>1117</v>
      </c>
      <c r="G850" s="130" t="s">
        <v>1118</v>
      </c>
      <c r="H850" s="130" t="s">
        <v>1119</v>
      </c>
      <c r="I850" s="130" t="s">
        <v>1120</v>
      </c>
      <c r="J850" s="130" t="s">
        <v>1358</v>
      </c>
      <c r="K850" s="130" t="s">
        <v>1122</v>
      </c>
      <c r="L850" s="130" t="s">
        <v>1790</v>
      </c>
      <c r="M850" s="130" t="s">
        <v>1776</v>
      </c>
      <c r="N850" s="130" t="s">
        <v>168</v>
      </c>
      <c r="O850" s="130" t="s">
        <v>1361</v>
      </c>
      <c r="P850" s="130" t="s">
        <v>1777</v>
      </c>
      <c r="Q850" s="130" t="s">
        <v>1127</v>
      </c>
      <c r="R850" s="130" t="s">
        <v>1413</v>
      </c>
      <c r="S850" s="130" t="s">
        <v>1414</v>
      </c>
      <c r="T850" s="130" t="s">
        <v>1369</v>
      </c>
      <c r="U850" s="130">
        <v>120201</v>
      </c>
      <c r="V850" s="131">
        <v>-41720</v>
      </c>
      <c r="W850" s="131">
        <v>78481</v>
      </c>
      <c r="X850" s="131">
        <v>0</v>
      </c>
      <c r="Y850" s="131">
        <v>78481</v>
      </c>
      <c r="Z850" s="131">
        <v>0</v>
      </c>
      <c r="AA850" s="131">
        <v>78481</v>
      </c>
      <c r="AB850" s="131">
        <v>0</v>
      </c>
      <c r="AC850" s="131">
        <v>78481</v>
      </c>
      <c r="AD850" s="131">
        <v>0</v>
      </c>
      <c r="AE850" s="132">
        <v>78481</v>
      </c>
    </row>
    <row r="851" spans="1:31" x14ac:dyDescent="0.2">
      <c r="A851" s="133">
        <v>173</v>
      </c>
      <c r="B851" s="133" t="s">
        <v>173</v>
      </c>
      <c r="C851" s="133" t="s">
        <v>1114</v>
      </c>
      <c r="D851" s="133" t="s">
        <v>1779</v>
      </c>
      <c r="E851" s="133" t="s">
        <v>1116</v>
      </c>
      <c r="F851" s="133" t="s">
        <v>1117</v>
      </c>
      <c r="G851" s="133" t="s">
        <v>1118</v>
      </c>
      <c r="H851" s="130" t="s">
        <v>1133</v>
      </c>
      <c r="I851" s="130" t="s">
        <v>1134</v>
      </c>
      <c r="J851" s="130" t="s">
        <v>1135</v>
      </c>
      <c r="K851" s="130" t="s">
        <v>1178</v>
      </c>
      <c r="L851" s="130" t="s">
        <v>1790</v>
      </c>
      <c r="M851" s="130" t="s">
        <v>1776</v>
      </c>
      <c r="N851" s="130" t="s">
        <v>168</v>
      </c>
      <c r="O851" s="130" t="s">
        <v>1361</v>
      </c>
      <c r="P851" s="130" t="s">
        <v>1777</v>
      </c>
      <c r="Q851" s="130" t="s">
        <v>1127</v>
      </c>
      <c r="R851" s="130" t="s">
        <v>1413</v>
      </c>
      <c r="S851" s="130" t="s">
        <v>1414</v>
      </c>
      <c r="T851" s="130" t="s">
        <v>1369</v>
      </c>
      <c r="U851" s="130">
        <v>0</v>
      </c>
      <c r="V851" s="131">
        <v>30105</v>
      </c>
      <c r="W851" s="131">
        <v>30105</v>
      </c>
      <c r="X851" s="131">
        <v>30105</v>
      </c>
      <c r="Y851" s="131">
        <v>0</v>
      </c>
      <c r="Z851" s="131">
        <v>20105</v>
      </c>
      <c r="AA851" s="131">
        <v>10000</v>
      </c>
      <c r="AB851" s="131">
        <v>16441.04</v>
      </c>
      <c r="AC851" s="131">
        <v>13663.96</v>
      </c>
      <c r="AD851" s="131">
        <v>16441.04</v>
      </c>
      <c r="AE851" s="132">
        <v>13663.96</v>
      </c>
    </row>
    <row r="852" spans="1:31" x14ac:dyDescent="0.2">
      <c r="A852" s="133">
        <v>173</v>
      </c>
      <c r="B852" s="133" t="s">
        <v>173</v>
      </c>
      <c r="C852" s="133" t="s">
        <v>1114</v>
      </c>
      <c r="D852" s="133" t="s">
        <v>1779</v>
      </c>
      <c r="E852" s="133" t="s">
        <v>1116</v>
      </c>
      <c r="F852" s="133" t="s">
        <v>1117</v>
      </c>
      <c r="G852" s="133" t="s">
        <v>1118</v>
      </c>
      <c r="H852" s="133" t="s">
        <v>1133</v>
      </c>
      <c r="I852" s="133" t="s">
        <v>1134</v>
      </c>
      <c r="J852" s="133" t="s">
        <v>1135</v>
      </c>
      <c r="K852" s="130" t="s">
        <v>1179</v>
      </c>
      <c r="L852" s="130" t="s">
        <v>1790</v>
      </c>
      <c r="M852" s="130" t="s">
        <v>1776</v>
      </c>
      <c r="N852" s="130" t="s">
        <v>168</v>
      </c>
      <c r="O852" s="130" t="s">
        <v>1361</v>
      </c>
      <c r="P852" s="130" t="s">
        <v>1777</v>
      </c>
      <c r="Q852" s="130" t="s">
        <v>1127</v>
      </c>
      <c r="R852" s="130" t="s">
        <v>1413</v>
      </c>
      <c r="S852" s="130" t="s">
        <v>1414</v>
      </c>
      <c r="T852" s="130" t="s">
        <v>1369</v>
      </c>
      <c r="U852" s="130">
        <v>0</v>
      </c>
      <c r="V852" s="131">
        <v>500</v>
      </c>
      <c r="W852" s="131">
        <v>500</v>
      </c>
      <c r="X852" s="131">
        <v>500</v>
      </c>
      <c r="Y852" s="131">
        <v>0</v>
      </c>
      <c r="Z852" s="131">
        <v>500</v>
      </c>
      <c r="AA852" s="131">
        <v>0</v>
      </c>
      <c r="AB852" s="131">
        <v>500</v>
      </c>
      <c r="AC852" s="131">
        <v>0</v>
      </c>
      <c r="AD852" s="131">
        <v>500</v>
      </c>
      <c r="AE852" s="132">
        <v>0</v>
      </c>
    </row>
    <row r="853" spans="1:31" x14ac:dyDescent="0.2">
      <c r="A853" s="133">
        <v>173</v>
      </c>
      <c r="B853" s="133" t="s">
        <v>173</v>
      </c>
      <c r="C853" s="133" t="s">
        <v>1114</v>
      </c>
      <c r="D853" s="133" t="s">
        <v>1779</v>
      </c>
      <c r="E853" s="133" t="s">
        <v>1116</v>
      </c>
      <c r="F853" s="133" t="s">
        <v>1117</v>
      </c>
      <c r="G853" s="133" t="s">
        <v>1118</v>
      </c>
      <c r="H853" s="133" t="s">
        <v>1133</v>
      </c>
      <c r="I853" s="133" t="s">
        <v>1134</v>
      </c>
      <c r="J853" s="133" t="s">
        <v>1135</v>
      </c>
      <c r="K853" s="130" t="s">
        <v>1144</v>
      </c>
      <c r="L853" s="130" t="s">
        <v>1790</v>
      </c>
      <c r="M853" s="130" t="s">
        <v>1776</v>
      </c>
      <c r="N853" s="130" t="s">
        <v>168</v>
      </c>
      <c r="O853" s="130" t="s">
        <v>1361</v>
      </c>
      <c r="P853" s="130" t="s">
        <v>1777</v>
      </c>
      <c r="Q853" s="130" t="s">
        <v>1127</v>
      </c>
      <c r="R853" s="130" t="s">
        <v>1413</v>
      </c>
      <c r="S853" s="130" t="s">
        <v>1414</v>
      </c>
      <c r="T853" s="130" t="s">
        <v>1369</v>
      </c>
      <c r="U853" s="130">
        <v>0</v>
      </c>
      <c r="V853" s="131">
        <v>11115</v>
      </c>
      <c r="W853" s="131">
        <v>11115</v>
      </c>
      <c r="X853" s="131">
        <v>11115</v>
      </c>
      <c r="Y853" s="131">
        <v>0</v>
      </c>
      <c r="Z853" s="131">
        <v>7125</v>
      </c>
      <c r="AA853" s="131">
        <v>3990</v>
      </c>
      <c r="AB853" s="131">
        <v>7125</v>
      </c>
      <c r="AC853" s="131">
        <v>3990</v>
      </c>
      <c r="AD853" s="131">
        <v>7125</v>
      </c>
      <c r="AE853" s="132">
        <v>3990</v>
      </c>
    </row>
    <row r="854" spans="1:31" x14ac:dyDescent="0.2">
      <c r="A854" s="130">
        <v>174</v>
      </c>
      <c r="B854" s="130" t="s">
        <v>1791</v>
      </c>
      <c r="C854" s="130" t="s">
        <v>1114</v>
      </c>
      <c r="D854" s="130" t="s">
        <v>1779</v>
      </c>
      <c r="E854" s="130" t="s">
        <v>1116</v>
      </c>
      <c r="F854" s="130" t="s">
        <v>1117</v>
      </c>
      <c r="G854" s="130" t="s">
        <v>1118</v>
      </c>
      <c r="H854" s="130" t="s">
        <v>1119</v>
      </c>
      <c r="I854" s="130" t="s">
        <v>1120</v>
      </c>
      <c r="J854" s="130" t="s">
        <v>1358</v>
      </c>
      <c r="K854" s="130" t="s">
        <v>1122</v>
      </c>
      <c r="L854" s="130" t="s">
        <v>1792</v>
      </c>
      <c r="M854" s="130" t="s">
        <v>1776</v>
      </c>
      <c r="N854" s="130" t="s">
        <v>168</v>
      </c>
      <c r="O854" s="130" t="s">
        <v>1361</v>
      </c>
      <c r="P854" s="130" t="s">
        <v>1777</v>
      </c>
      <c r="Q854" s="130" t="s">
        <v>1127</v>
      </c>
      <c r="R854" s="130" t="s">
        <v>1380</v>
      </c>
      <c r="S854" s="130" t="s">
        <v>1786</v>
      </c>
      <c r="T854" s="130" t="s">
        <v>1130</v>
      </c>
      <c r="U854" s="130">
        <v>60000</v>
      </c>
      <c r="V854" s="131">
        <v>-60000</v>
      </c>
      <c r="W854" s="131">
        <v>0</v>
      </c>
      <c r="X854" s="131">
        <v>0</v>
      </c>
      <c r="Y854" s="131">
        <v>0</v>
      </c>
      <c r="Z854" s="131">
        <v>0</v>
      </c>
      <c r="AA854" s="131">
        <v>0</v>
      </c>
      <c r="AB854" s="131">
        <v>0</v>
      </c>
      <c r="AC854" s="131">
        <v>0</v>
      </c>
      <c r="AD854" s="131">
        <v>0</v>
      </c>
      <c r="AE854" s="132">
        <v>0</v>
      </c>
    </row>
    <row r="855" spans="1:31" x14ac:dyDescent="0.2">
      <c r="A855" s="130">
        <v>175</v>
      </c>
      <c r="B855" s="130" t="s">
        <v>1793</v>
      </c>
      <c r="C855" s="130" t="s">
        <v>1114</v>
      </c>
      <c r="D855" s="130" t="s">
        <v>1774</v>
      </c>
      <c r="E855" s="130" t="s">
        <v>1116</v>
      </c>
      <c r="F855" s="130" t="s">
        <v>1117</v>
      </c>
      <c r="G855" s="130" t="s">
        <v>1118</v>
      </c>
      <c r="H855" s="130" t="s">
        <v>1119</v>
      </c>
      <c r="I855" s="130" t="s">
        <v>1120</v>
      </c>
      <c r="J855" s="130" t="s">
        <v>1358</v>
      </c>
      <c r="K855" s="130" t="s">
        <v>1122</v>
      </c>
      <c r="L855" s="130" t="s">
        <v>1794</v>
      </c>
      <c r="M855" s="130" t="s">
        <v>1776</v>
      </c>
      <c r="N855" s="130" t="s">
        <v>168</v>
      </c>
      <c r="O855" s="130" t="s">
        <v>1361</v>
      </c>
      <c r="P855" s="130" t="s">
        <v>1777</v>
      </c>
      <c r="Q855" s="130" t="s">
        <v>1127</v>
      </c>
      <c r="R855" s="130" t="s">
        <v>1434</v>
      </c>
      <c r="S855" s="130" t="s">
        <v>1435</v>
      </c>
      <c r="T855" s="130" t="s">
        <v>1158</v>
      </c>
      <c r="U855" s="130">
        <v>100000</v>
      </c>
      <c r="V855" s="131">
        <v>-100000</v>
      </c>
      <c r="W855" s="131">
        <v>0</v>
      </c>
      <c r="X855" s="131">
        <v>0</v>
      </c>
      <c r="Y855" s="131">
        <v>0</v>
      </c>
      <c r="Z855" s="131">
        <v>0</v>
      </c>
      <c r="AA855" s="131">
        <v>0</v>
      </c>
      <c r="AB855" s="131">
        <v>0</v>
      </c>
      <c r="AC855" s="131">
        <v>0</v>
      </c>
      <c r="AD855" s="131">
        <v>0</v>
      </c>
      <c r="AE855" s="132">
        <v>0</v>
      </c>
    </row>
    <row r="856" spans="1:31" x14ac:dyDescent="0.2">
      <c r="A856" s="133">
        <v>175</v>
      </c>
      <c r="B856" s="133" t="s">
        <v>1793</v>
      </c>
      <c r="C856" s="133" t="s">
        <v>1114</v>
      </c>
      <c r="D856" s="133" t="s">
        <v>1774</v>
      </c>
      <c r="E856" s="133" t="s">
        <v>1116</v>
      </c>
      <c r="F856" s="133" t="s">
        <v>1117</v>
      </c>
      <c r="G856" s="133" t="s">
        <v>1118</v>
      </c>
      <c r="H856" s="130" t="s">
        <v>1133</v>
      </c>
      <c r="I856" s="130" t="s">
        <v>1134</v>
      </c>
      <c r="J856" s="130" t="s">
        <v>1166</v>
      </c>
      <c r="K856" s="130" t="s">
        <v>1167</v>
      </c>
      <c r="L856" s="130" t="s">
        <v>1794</v>
      </c>
      <c r="M856" s="130" t="s">
        <v>1776</v>
      </c>
      <c r="N856" s="130" t="s">
        <v>168</v>
      </c>
      <c r="O856" s="130" t="s">
        <v>1361</v>
      </c>
      <c r="P856" s="130" t="s">
        <v>1777</v>
      </c>
      <c r="Q856" s="130" t="s">
        <v>1127</v>
      </c>
      <c r="R856" s="130" t="s">
        <v>1434</v>
      </c>
      <c r="S856" s="130" t="s">
        <v>1435</v>
      </c>
      <c r="T856" s="130" t="s">
        <v>1158</v>
      </c>
      <c r="U856" s="130">
        <v>0</v>
      </c>
      <c r="V856" s="131">
        <v>29298</v>
      </c>
      <c r="W856" s="131">
        <v>29298</v>
      </c>
      <c r="X856" s="131">
        <v>29298</v>
      </c>
      <c r="Y856" s="131">
        <v>0</v>
      </c>
      <c r="Z856" s="131">
        <v>0</v>
      </c>
      <c r="AA856" s="131">
        <v>29298</v>
      </c>
      <c r="AB856" s="131">
        <v>0</v>
      </c>
      <c r="AC856" s="131">
        <v>29298</v>
      </c>
      <c r="AD856" s="131">
        <v>0</v>
      </c>
      <c r="AE856" s="132">
        <v>29298</v>
      </c>
    </row>
    <row r="857" spans="1:31" x14ac:dyDescent="0.2">
      <c r="A857" s="130">
        <v>176</v>
      </c>
      <c r="B857" s="130" t="s">
        <v>1795</v>
      </c>
      <c r="C857" s="130" t="s">
        <v>1114</v>
      </c>
      <c r="D857" s="130" t="s">
        <v>1774</v>
      </c>
      <c r="E857" s="130" t="s">
        <v>1116</v>
      </c>
      <c r="F857" s="130" t="s">
        <v>1117</v>
      </c>
      <c r="G857" s="130" t="s">
        <v>1118</v>
      </c>
      <c r="H857" s="130" t="s">
        <v>1119</v>
      </c>
      <c r="I857" s="130" t="s">
        <v>1120</v>
      </c>
      <c r="J857" s="130" t="s">
        <v>1358</v>
      </c>
      <c r="K857" s="130" t="s">
        <v>1122</v>
      </c>
      <c r="L857" s="130" t="s">
        <v>1796</v>
      </c>
      <c r="M857" s="130" t="s">
        <v>1776</v>
      </c>
      <c r="N857" s="130" t="s">
        <v>168</v>
      </c>
      <c r="O857" s="130" t="s">
        <v>1361</v>
      </c>
      <c r="P857" s="130" t="s">
        <v>1777</v>
      </c>
      <c r="Q857" s="130" t="s">
        <v>1127</v>
      </c>
      <c r="R857" s="130" t="s">
        <v>1140</v>
      </c>
      <c r="S857" s="130" t="s">
        <v>1484</v>
      </c>
      <c r="T857" s="130" t="s">
        <v>1158</v>
      </c>
      <c r="U857" s="130">
        <v>80000</v>
      </c>
      <c r="V857" s="131">
        <v>-55480</v>
      </c>
      <c r="W857" s="131">
        <v>24520</v>
      </c>
      <c r="X857" s="131">
        <v>0</v>
      </c>
      <c r="Y857" s="131">
        <v>24520</v>
      </c>
      <c r="Z857" s="131">
        <v>0</v>
      </c>
      <c r="AA857" s="131">
        <v>24520</v>
      </c>
      <c r="AB857" s="131">
        <v>0</v>
      </c>
      <c r="AC857" s="131">
        <v>24520</v>
      </c>
      <c r="AD857" s="131">
        <v>0</v>
      </c>
      <c r="AE857" s="132">
        <v>24520</v>
      </c>
    </row>
    <row r="858" spans="1:31" x14ac:dyDescent="0.2">
      <c r="A858" s="133">
        <v>176</v>
      </c>
      <c r="B858" s="133" t="s">
        <v>1795</v>
      </c>
      <c r="C858" s="133" t="s">
        <v>1114</v>
      </c>
      <c r="D858" s="133" t="s">
        <v>1774</v>
      </c>
      <c r="E858" s="133" t="s">
        <v>1116</v>
      </c>
      <c r="F858" s="133" t="s">
        <v>1117</v>
      </c>
      <c r="G858" s="133" t="s">
        <v>1118</v>
      </c>
      <c r="H858" s="130" t="s">
        <v>1133</v>
      </c>
      <c r="I858" s="130" t="s">
        <v>1134</v>
      </c>
      <c r="J858" s="130" t="s">
        <v>1166</v>
      </c>
      <c r="K858" s="130" t="s">
        <v>1167</v>
      </c>
      <c r="L858" s="130" t="s">
        <v>1796</v>
      </c>
      <c r="M858" s="130" t="s">
        <v>1776</v>
      </c>
      <c r="N858" s="130" t="s">
        <v>168</v>
      </c>
      <c r="O858" s="130" t="s">
        <v>1361</v>
      </c>
      <c r="P858" s="130" t="s">
        <v>1777</v>
      </c>
      <c r="Q858" s="130" t="s">
        <v>1127</v>
      </c>
      <c r="R858" s="130" t="s">
        <v>1140</v>
      </c>
      <c r="S858" s="130" t="s">
        <v>1484</v>
      </c>
      <c r="T858" s="130" t="s">
        <v>1158</v>
      </c>
      <c r="U858" s="130">
        <v>0</v>
      </c>
      <c r="V858" s="131">
        <v>55480</v>
      </c>
      <c r="W858" s="131">
        <v>55480</v>
      </c>
      <c r="X858" s="131">
        <v>55480</v>
      </c>
      <c r="Y858" s="131">
        <v>0</v>
      </c>
      <c r="Z858" s="131">
        <v>55480</v>
      </c>
      <c r="AA858" s="131">
        <v>0</v>
      </c>
      <c r="AB858" s="131">
        <v>33500</v>
      </c>
      <c r="AC858" s="131">
        <v>21980</v>
      </c>
      <c r="AD858" s="131">
        <v>33500</v>
      </c>
      <c r="AE858" s="132">
        <v>21980</v>
      </c>
    </row>
    <row r="859" spans="1:31" x14ac:dyDescent="0.2">
      <c r="A859" s="130">
        <v>177</v>
      </c>
      <c r="B859" s="130" t="s">
        <v>957</v>
      </c>
      <c r="C859" s="130" t="s">
        <v>1114</v>
      </c>
      <c r="D859" s="130" t="s">
        <v>1774</v>
      </c>
      <c r="E859" s="130" t="s">
        <v>1116</v>
      </c>
      <c r="F859" s="130" t="s">
        <v>1117</v>
      </c>
      <c r="G859" s="130" t="s">
        <v>1118</v>
      </c>
      <c r="H859" s="130" t="s">
        <v>1119</v>
      </c>
      <c r="I859" s="130" t="s">
        <v>1120</v>
      </c>
      <c r="J859" s="130" t="s">
        <v>1358</v>
      </c>
      <c r="K859" s="130" t="s">
        <v>1122</v>
      </c>
      <c r="L859" s="130" t="s">
        <v>1797</v>
      </c>
      <c r="M859" s="130" t="s">
        <v>1776</v>
      </c>
      <c r="N859" s="130" t="s">
        <v>168</v>
      </c>
      <c r="O859" s="130" t="s">
        <v>1361</v>
      </c>
      <c r="P859" s="130" t="s">
        <v>1777</v>
      </c>
      <c r="Q859" s="130" t="s">
        <v>1127</v>
      </c>
      <c r="R859" s="130" t="s">
        <v>1128</v>
      </c>
      <c r="S859" s="130" t="s">
        <v>1129</v>
      </c>
      <c r="T859" s="130" t="s">
        <v>1130</v>
      </c>
      <c r="U859" s="130">
        <v>50000</v>
      </c>
      <c r="V859" s="131">
        <v>-50000</v>
      </c>
      <c r="W859" s="131">
        <v>0</v>
      </c>
      <c r="X859" s="131">
        <v>0</v>
      </c>
      <c r="Y859" s="131">
        <v>0</v>
      </c>
      <c r="Z859" s="131">
        <v>0</v>
      </c>
      <c r="AA859" s="131">
        <v>0</v>
      </c>
      <c r="AB859" s="131">
        <v>0</v>
      </c>
      <c r="AC859" s="131">
        <v>0</v>
      </c>
      <c r="AD859" s="131">
        <v>0</v>
      </c>
      <c r="AE859" s="132">
        <v>0</v>
      </c>
    </row>
    <row r="860" spans="1:31" x14ac:dyDescent="0.2">
      <c r="A860" s="133">
        <v>177</v>
      </c>
      <c r="B860" s="133" t="s">
        <v>957</v>
      </c>
      <c r="C860" s="133" t="s">
        <v>1114</v>
      </c>
      <c r="D860" s="133" t="s">
        <v>1774</v>
      </c>
      <c r="E860" s="133" t="s">
        <v>1116</v>
      </c>
      <c r="F860" s="133" t="s">
        <v>1117</v>
      </c>
      <c r="G860" s="133" t="s">
        <v>1118</v>
      </c>
      <c r="H860" s="130" t="s">
        <v>1133</v>
      </c>
      <c r="I860" s="130" t="s">
        <v>1134</v>
      </c>
      <c r="J860" s="130" t="s">
        <v>1166</v>
      </c>
      <c r="K860" s="130" t="s">
        <v>1167</v>
      </c>
      <c r="L860" s="130" t="s">
        <v>1797</v>
      </c>
      <c r="M860" s="130" t="s">
        <v>1776</v>
      </c>
      <c r="N860" s="130" t="s">
        <v>168</v>
      </c>
      <c r="O860" s="130" t="s">
        <v>1361</v>
      </c>
      <c r="P860" s="130" t="s">
        <v>1777</v>
      </c>
      <c r="Q860" s="130" t="s">
        <v>1127</v>
      </c>
      <c r="R860" s="130" t="s">
        <v>1128</v>
      </c>
      <c r="S860" s="130" t="s">
        <v>1129</v>
      </c>
      <c r="T860" s="130" t="s">
        <v>1130</v>
      </c>
      <c r="U860" s="130">
        <v>0</v>
      </c>
      <c r="V860" s="131">
        <v>0</v>
      </c>
      <c r="W860" s="131">
        <v>0</v>
      </c>
      <c r="X860" s="131">
        <v>0</v>
      </c>
      <c r="Y860" s="131">
        <v>0</v>
      </c>
      <c r="Z860" s="131">
        <v>0</v>
      </c>
      <c r="AA860" s="131">
        <v>0</v>
      </c>
      <c r="AB860" s="131">
        <v>0</v>
      </c>
      <c r="AC860" s="131">
        <v>0</v>
      </c>
      <c r="AD860" s="131">
        <v>0</v>
      </c>
      <c r="AE860" s="132">
        <v>0</v>
      </c>
    </row>
    <row r="861" spans="1:31" x14ac:dyDescent="0.2">
      <c r="A861" s="130">
        <v>178</v>
      </c>
      <c r="B861" s="130" t="s">
        <v>958</v>
      </c>
      <c r="C861" s="130" t="s">
        <v>1114</v>
      </c>
      <c r="D861" s="130" t="s">
        <v>1774</v>
      </c>
      <c r="E861" s="130" t="s">
        <v>1116</v>
      </c>
      <c r="F861" s="130" t="s">
        <v>1117</v>
      </c>
      <c r="G861" s="130" t="s">
        <v>1118</v>
      </c>
      <c r="H861" s="130" t="s">
        <v>1119</v>
      </c>
      <c r="I861" s="130" t="s">
        <v>1120</v>
      </c>
      <c r="J861" s="130" t="s">
        <v>1358</v>
      </c>
      <c r="K861" s="130" t="s">
        <v>1122</v>
      </c>
      <c r="L861" s="130" t="s">
        <v>1798</v>
      </c>
      <c r="M861" s="130" t="s">
        <v>1776</v>
      </c>
      <c r="N861" s="130" t="s">
        <v>168</v>
      </c>
      <c r="O861" s="130" t="s">
        <v>1361</v>
      </c>
      <c r="P861" s="130" t="s">
        <v>1777</v>
      </c>
      <c r="Q861" s="130" t="s">
        <v>1127</v>
      </c>
      <c r="R861" s="130" t="s">
        <v>1448</v>
      </c>
      <c r="S861" s="130" t="s">
        <v>1449</v>
      </c>
      <c r="T861" s="130" t="s">
        <v>1130</v>
      </c>
      <c r="U861" s="130">
        <v>50000</v>
      </c>
      <c r="V861" s="131">
        <v>-50000</v>
      </c>
      <c r="W861" s="131">
        <v>0</v>
      </c>
      <c r="X861" s="131">
        <v>0</v>
      </c>
      <c r="Y861" s="131">
        <v>0</v>
      </c>
      <c r="Z861" s="131">
        <v>0</v>
      </c>
      <c r="AA861" s="131">
        <v>0</v>
      </c>
      <c r="AB861" s="131">
        <v>0</v>
      </c>
      <c r="AC861" s="131">
        <v>0</v>
      </c>
      <c r="AD861" s="131">
        <v>0</v>
      </c>
      <c r="AE861" s="132">
        <v>0</v>
      </c>
    </row>
    <row r="862" spans="1:31" x14ac:dyDescent="0.2">
      <c r="A862" s="133">
        <v>178</v>
      </c>
      <c r="B862" s="133" t="s">
        <v>958</v>
      </c>
      <c r="C862" s="133" t="s">
        <v>1114</v>
      </c>
      <c r="D862" s="133" t="s">
        <v>1774</v>
      </c>
      <c r="E862" s="133" t="s">
        <v>1116</v>
      </c>
      <c r="F862" s="133" t="s">
        <v>1117</v>
      </c>
      <c r="G862" s="133" t="s">
        <v>1118</v>
      </c>
      <c r="H862" s="130" t="s">
        <v>1133</v>
      </c>
      <c r="I862" s="130" t="s">
        <v>1134</v>
      </c>
      <c r="J862" s="130" t="s">
        <v>1166</v>
      </c>
      <c r="K862" s="130" t="s">
        <v>1167</v>
      </c>
      <c r="L862" s="130" t="s">
        <v>1798</v>
      </c>
      <c r="M862" s="130" t="s">
        <v>1776</v>
      </c>
      <c r="N862" s="130" t="s">
        <v>168</v>
      </c>
      <c r="O862" s="130" t="s">
        <v>1361</v>
      </c>
      <c r="P862" s="130" t="s">
        <v>1777</v>
      </c>
      <c r="Q862" s="130" t="s">
        <v>1127</v>
      </c>
      <c r="R862" s="130" t="s">
        <v>1448</v>
      </c>
      <c r="S862" s="130" t="s">
        <v>1449</v>
      </c>
      <c r="T862" s="130" t="s">
        <v>1130</v>
      </c>
      <c r="U862" s="130">
        <v>0</v>
      </c>
      <c r="V862" s="131">
        <v>50000</v>
      </c>
      <c r="W862" s="131">
        <v>50000</v>
      </c>
      <c r="X862" s="131">
        <v>50000</v>
      </c>
      <c r="Y862" s="131">
        <v>0</v>
      </c>
      <c r="Z862" s="131">
        <v>50000</v>
      </c>
      <c r="AA862" s="131">
        <v>0</v>
      </c>
      <c r="AB862" s="131">
        <v>48215.46</v>
      </c>
      <c r="AC862" s="131">
        <v>1784.5400000000009</v>
      </c>
      <c r="AD862" s="131">
        <v>48215.46</v>
      </c>
      <c r="AE862" s="132">
        <v>1784.5400000000009</v>
      </c>
    </row>
    <row r="863" spans="1:31" x14ac:dyDescent="0.2">
      <c r="A863" s="130">
        <v>179</v>
      </c>
      <c r="B863" s="130" t="s">
        <v>1799</v>
      </c>
      <c r="C863" s="130" t="s">
        <v>1114</v>
      </c>
      <c r="D863" s="130" t="s">
        <v>1774</v>
      </c>
      <c r="E863" s="130" t="s">
        <v>1116</v>
      </c>
      <c r="F863" s="130" t="s">
        <v>1117</v>
      </c>
      <c r="G863" s="130" t="s">
        <v>1118</v>
      </c>
      <c r="H863" s="130" t="s">
        <v>1119</v>
      </c>
      <c r="I863" s="130" t="s">
        <v>1120</v>
      </c>
      <c r="J863" s="130" t="s">
        <v>1358</v>
      </c>
      <c r="K863" s="130" t="s">
        <v>1122</v>
      </c>
      <c r="L863" s="130" t="s">
        <v>1800</v>
      </c>
      <c r="M863" s="130" t="s">
        <v>1776</v>
      </c>
      <c r="N863" s="130" t="s">
        <v>168</v>
      </c>
      <c r="O863" s="130" t="s">
        <v>1361</v>
      </c>
      <c r="P863" s="130" t="s">
        <v>1777</v>
      </c>
      <c r="Q863" s="130" t="s">
        <v>1127</v>
      </c>
      <c r="R863" s="130" t="s">
        <v>1380</v>
      </c>
      <c r="S863" s="130" t="s">
        <v>1381</v>
      </c>
      <c r="T863" s="130" t="s">
        <v>1158</v>
      </c>
      <c r="U863" s="130">
        <v>100000</v>
      </c>
      <c r="V863" s="131">
        <v>-100000</v>
      </c>
      <c r="W863" s="131">
        <v>0</v>
      </c>
      <c r="X863" s="131">
        <v>0</v>
      </c>
      <c r="Y863" s="131">
        <v>0</v>
      </c>
      <c r="Z863" s="131">
        <v>0</v>
      </c>
      <c r="AA863" s="131">
        <v>0</v>
      </c>
      <c r="AB863" s="131">
        <v>0</v>
      </c>
      <c r="AC863" s="131">
        <v>0</v>
      </c>
      <c r="AD863" s="131">
        <v>0</v>
      </c>
      <c r="AE863" s="132">
        <v>0</v>
      </c>
    </row>
    <row r="864" spans="1:31" x14ac:dyDescent="0.2">
      <c r="A864" s="130">
        <v>180</v>
      </c>
      <c r="B864" s="130" t="s">
        <v>1801</v>
      </c>
      <c r="C864" s="130" t="s">
        <v>1114</v>
      </c>
      <c r="D864" s="130" t="s">
        <v>1774</v>
      </c>
      <c r="E864" s="130" t="s">
        <v>1116</v>
      </c>
      <c r="F864" s="130" t="s">
        <v>1117</v>
      </c>
      <c r="G864" s="130" t="s">
        <v>1118</v>
      </c>
      <c r="H864" s="130" t="s">
        <v>1119</v>
      </c>
      <c r="I864" s="130" t="s">
        <v>1120</v>
      </c>
      <c r="J864" s="130" t="s">
        <v>1358</v>
      </c>
      <c r="K864" s="130" t="s">
        <v>1122</v>
      </c>
      <c r="L864" s="130" t="s">
        <v>1802</v>
      </c>
      <c r="M864" s="130" t="s">
        <v>1776</v>
      </c>
      <c r="N864" s="130" t="s">
        <v>168</v>
      </c>
      <c r="O864" s="130" t="s">
        <v>1361</v>
      </c>
      <c r="P864" s="130" t="s">
        <v>1777</v>
      </c>
      <c r="Q864" s="130" t="s">
        <v>1127</v>
      </c>
      <c r="R864" s="130" t="s">
        <v>1417</v>
      </c>
      <c r="S864" s="130" t="s">
        <v>1803</v>
      </c>
      <c r="T864" s="130" t="s">
        <v>1158</v>
      </c>
      <c r="U864" s="130">
        <v>100000</v>
      </c>
      <c r="V864" s="131">
        <v>-100000</v>
      </c>
      <c r="W864" s="131">
        <v>0</v>
      </c>
      <c r="X864" s="131">
        <v>0</v>
      </c>
      <c r="Y864" s="131">
        <v>0</v>
      </c>
      <c r="Z864" s="131">
        <v>0</v>
      </c>
      <c r="AA864" s="131">
        <v>0</v>
      </c>
      <c r="AB864" s="131">
        <v>0</v>
      </c>
      <c r="AC864" s="131">
        <v>0</v>
      </c>
      <c r="AD864" s="131">
        <v>0</v>
      </c>
      <c r="AE864" s="132">
        <v>0</v>
      </c>
    </row>
    <row r="865" spans="1:31" x14ac:dyDescent="0.2">
      <c r="A865" s="133">
        <v>180</v>
      </c>
      <c r="B865" s="133" t="s">
        <v>1801</v>
      </c>
      <c r="C865" s="133" t="s">
        <v>1114</v>
      </c>
      <c r="D865" s="133" t="s">
        <v>1774</v>
      </c>
      <c r="E865" s="133" t="s">
        <v>1116</v>
      </c>
      <c r="F865" s="133" t="s">
        <v>1117</v>
      </c>
      <c r="G865" s="133" t="s">
        <v>1118</v>
      </c>
      <c r="H865" s="130" t="s">
        <v>1133</v>
      </c>
      <c r="I865" s="130" t="s">
        <v>1134</v>
      </c>
      <c r="J865" s="130" t="s">
        <v>1166</v>
      </c>
      <c r="K865" s="130" t="s">
        <v>1167</v>
      </c>
      <c r="L865" s="130" t="s">
        <v>1802</v>
      </c>
      <c r="M865" s="130" t="s">
        <v>1776</v>
      </c>
      <c r="N865" s="130" t="s">
        <v>168</v>
      </c>
      <c r="O865" s="130" t="s">
        <v>1361</v>
      </c>
      <c r="P865" s="130" t="s">
        <v>1777</v>
      </c>
      <c r="Q865" s="130" t="s">
        <v>1127</v>
      </c>
      <c r="R865" s="130" t="s">
        <v>1417</v>
      </c>
      <c r="S865" s="130" t="s">
        <v>1803</v>
      </c>
      <c r="T865" s="130" t="s">
        <v>1158</v>
      </c>
      <c r="U865" s="130">
        <v>0</v>
      </c>
      <c r="V865" s="131">
        <v>10995</v>
      </c>
      <c r="W865" s="131">
        <v>10995</v>
      </c>
      <c r="X865" s="131">
        <v>0</v>
      </c>
      <c r="Y865" s="131">
        <v>10995</v>
      </c>
      <c r="Z865" s="131">
        <v>0</v>
      </c>
      <c r="AA865" s="131">
        <v>10995</v>
      </c>
      <c r="AB865" s="131">
        <v>0</v>
      </c>
      <c r="AC865" s="131">
        <v>10995</v>
      </c>
      <c r="AD865" s="131">
        <v>0</v>
      </c>
      <c r="AE865" s="132">
        <v>10995</v>
      </c>
    </row>
    <row r="866" spans="1:31" x14ac:dyDescent="0.2">
      <c r="A866" s="130">
        <v>181</v>
      </c>
      <c r="B866" s="130" t="s">
        <v>1804</v>
      </c>
      <c r="C866" s="130" t="s">
        <v>1114</v>
      </c>
      <c r="D866" s="130" t="s">
        <v>1774</v>
      </c>
      <c r="E866" s="130" t="s">
        <v>1116</v>
      </c>
      <c r="F866" s="130" t="s">
        <v>1117</v>
      </c>
      <c r="G866" s="130" t="s">
        <v>1118</v>
      </c>
      <c r="H866" s="130" t="s">
        <v>1119</v>
      </c>
      <c r="I866" s="130" t="s">
        <v>1120</v>
      </c>
      <c r="J866" s="130" t="s">
        <v>1358</v>
      </c>
      <c r="K866" s="130" t="s">
        <v>1122</v>
      </c>
      <c r="L866" s="130" t="s">
        <v>1805</v>
      </c>
      <c r="M866" s="130" t="s">
        <v>1776</v>
      </c>
      <c r="N866" s="130" t="s">
        <v>168</v>
      </c>
      <c r="O866" s="130" t="s">
        <v>1361</v>
      </c>
      <c r="P866" s="130" t="s">
        <v>1777</v>
      </c>
      <c r="Q866" s="130" t="s">
        <v>1127</v>
      </c>
      <c r="R866" s="130" t="s">
        <v>1191</v>
      </c>
      <c r="S866" s="130" t="s">
        <v>1191</v>
      </c>
      <c r="T866" s="130" t="s">
        <v>1158</v>
      </c>
      <c r="U866" s="130">
        <v>100000</v>
      </c>
      <c r="V866" s="131">
        <v>-100000</v>
      </c>
      <c r="W866" s="131">
        <v>0</v>
      </c>
      <c r="X866" s="131">
        <v>0</v>
      </c>
      <c r="Y866" s="131">
        <v>0</v>
      </c>
      <c r="Z866" s="131">
        <v>0</v>
      </c>
      <c r="AA866" s="131">
        <v>0</v>
      </c>
      <c r="AB866" s="131">
        <v>0</v>
      </c>
      <c r="AC866" s="131">
        <v>0</v>
      </c>
      <c r="AD866" s="131">
        <v>0</v>
      </c>
      <c r="AE866" s="132">
        <v>0</v>
      </c>
    </row>
    <row r="867" spans="1:31" x14ac:dyDescent="0.2">
      <c r="A867" s="130">
        <v>182</v>
      </c>
      <c r="B867" s="130" t="s">
        <v>948</v>
      </c>
      <c r="C867" s="130" t="s">
        <v>1114</v>
      </c>
      <c r="D867" s="130" t="s">
        <v>1774</v>
      </c>
      <c r="E867" s="130" t="s">
        <v>1116</v>
      </c>
      <c r="F867" s="130" t="s">
        <v>1117</v>
      </c>
      <c r="G867" s="130" t="s">
        <v>1118</v>
      </c>
      <c r="H867" s="130" t="s">
        <v>1119</v>
      </c>
      <c r="I867" s="130" t="s">
        <v>1120</v>
      </c>
      <c r="J867" s="130" t="s">
        <v>1358</v>
      </c>
      <c r="K867" s="130" t="s">
        <v>1122</v>
      </c>
      <c r="L867" s="130" t="s">
        <v>1806</v>
      </c>
      <c r="M867" s="130" t="s">
        <v>1776</v>
      </c>
      <c r="N867" s="130" t="s">
        <v>168</v>
      </c>
      <c r="O867" s="130" t="s">
        <v>1361</v>
      </c>
      <c r="P867" s="130" t="s">
        <v>1777</v>
      </c>
      <c r="Q867" s="130" t="s">
        <v>1127</v>
      </c>
      <c r="R867" s="130" t="s">
        <v>1191</v>
      </c>
      <c r="S867" s="130" t="s">
        <v>1807</v>
      </c>
      <c r="T867" s="130" t="s">
        <v>1130</v>
      </c>
      <c r="U867" s="130">
        <v>50000</v>
      </c>
      <c r="V867" s="131">
        <v>-50000</v>
      </c>
      <c r="W867" s="131">
        <v>0</v>
      </c>
      <c r="X867" s="131">
        <v>0</v>
      </c>
      <c r="Y867" s="131">
        <v>0</v>
      </c>
      <c r="Z867" s="131">
        <v>0</v>
      </c>
      <c r="AA867" s="131">
        <v>0</v>
      </c>
      <c r="AB867" s="131">
        <v>0</v>
      </c>
      <c r="AC867" s="131">
        <v>0</v>
      </c>
      <c r="AD867" s="131">
        <v>0</v>
      </c>
      <c r="AE867" s="132">
        <v>0</v>
      </c>
    </row>
    <row r="868" spans="1:31" x14ac:dyDescent="0.2">
      <c r="A868" s="133">
        <v>182</v>
      </c>
      <c r="B868" s="133" t="s">
        <v>948</v>
      </c>
      <c r="C868" s="133" t="s">
        <v>1114</v>
      </c>
      <c r="D868" s="133" t="s">
        <v>1774</v>
      </c>
      <c r="E868" s="133" t="s">
        <v>1116</v>
      </c>
      <c r="F868" s="133" t="s">
        <v>1117</v>
      </c>
      <c r="G868" s="133" t="s">
        <v>1118</v>
      </c>
      <c r="H868" s="130" t="s">
        <v>1133</v>
      </c>
      <c r="I868" s="130" t="s">
        <v>1134</v>
      </c>
      <c r="J868" s="130" t="s">
        <v>1166</v>
      </c>
      <c r="K868" s="130" t="s">
        <v>1167</v>
      </c>
      <c r="L868" s="130" t="s">
        <v>1806</v>
      </c>
      <c r="M868" s="130" t="s">
        <v>1776</v>
      </c>
      <c r="N868" s="130" t="s">
        <v>168</v>
      </c>
      <c r="O868" s="130" t="s">
        <v>1361</v>
      </c>
      <c r="P868" s="130" t="s">
        <v>1777</v>
      </c>
      <c r="Q868" s="130" t="s">
        <v>1127</v>
      </c>
      <c r="R868" s="130" t="s">
        <v>1191</v>
      </c>
      <c r="S868" s="130" t="s">
        <v>1807</v>
      </c>
      <c r="T868" s="130" t="s">
        <v>1130</v>
      </c>
      <c r="U868" s="130">
        <v>0</v>
      </c>
      <c r="V868" s="131">
        <v>50000</v>
      </c>
      <c r="W868" s="131">
        <v>50000</v>
      </c>
      <c r="X868" s="131">
        <v>50000</v>
      </c>
      <c r="Y868" s="131">
        <v>0</v>
      </c>
      <c r="Z868" s="131">
        <v>50000</v>
      </c>
      <c r="AA868" s="131">
        <v>0</v>
      </c>
      <c r="AB868" s="131">
        <v>49856.159999999996</v>
      </c>
      <c r="AC868" s="131">
        <v>143.84000000000378</v>
      </c>
      <c r="AD868" s="131">
        <v>49856.159999999996</v>
      </c>
      <c r="AE868" s="132">
        <v>143.84000000000378</v>
      </c>
    </row>
    <row r="869" spans="1:31" x14ac:dyDescent="0.2">
      <c r="A869" s="130">
        <v>183</v>
      </c>
      <c r="B869" s="130" t="s">
        <v>1808</v>
      </c>
      <c r="C869" s="130" t="s">
        <v>1114</v>
      </c>
      <c r="D869" s="130" t="s">
        <v>1774</v>
      </c>
      <c r="E869" s="130" t="s">
        <v>1116</v>
      </c>
      <c r="F869" s="130" t="s">
        <v>1117</v>
      </c>
      <c r="G869" s="130" t="s">
        <v>1118</v>
      </c>
      <c r="H869" s="130" t="s">
        <v>1119</v>
      </c>
      <c r="I869" s="130" t="s">
        <v>1120</v>
      </c>
      <c r="J869" s="130" t="s">
        <v>1358</v>
      </c>
      <c r="K869" s="130" t="s">
        <v>1122</v>
      </c>
      <c r="L869" s="130" t="s">
        <v>1809</v>
      </c>
      <c r="M869" s="130" t="s">
        <v>1776</v>
      </c>
      <c r="N869" s="130" t="s">
        <v>168</v>
      </c>
      <c r="O869" s="130" t="s">
        <v>1361</v>
      </c>
      <c r="P869" s="130" t="s">
        <v>1777</v>
      </c>
      <c r="Q869" s="130" t="s">
        <v>1127</v>
      </c>
      <c r="R869" s="130" t="s">
        <v>1191</v>
      </c>
      <c r="S869" s="130" t="s">
        <v>1538</v>
      </c>
      <c r="T869" s="130" t="s">
        <v>1158</v>
      </c>
      <c r="U869" s="130">
        <v>100000</v>
      </c>
      <c r="V869" s="131">
        <v>-100000</v>
      </c>
      <c r="W869" s="131">
        <v>0</v>
      </c>
      <c r="X869" s="131">
        <v>0</v>
      </c>
      <c r="Y869" s="131">
        <v>0</v>
      </c>
      <c r="Z869" s="131">
        <v>0</v>
      </c>
      <c r="AA869" s="131">
        <v>0</v>
      </c>
      <c r="AB869" s="131">
        <v>0</v>
      </c>
      <c r="AC869" s="131">
        <v>0</v>
      </c>
      <c r="AD869" s="131">
        <v>0</v>
      </c>
      <c r="AE869" s="132">
        <v>0</v>
      </c>
    </row>
    <row r="870" spans="1:31" x14ac:dyDescent="0.2">
      <c r="A870" s="130">
        <v>184</v>
      </c>
      <c r="B870" s="130" t="s">
        <v>1810</v>
      </c>
      <c r="C870" s="130" t="s">
        <v>1114</v>
      </c>
      <c r="D870" s="130" t="s">
        <v>1774</v>
      </c>
      <c r="E870" s="130" t="s">
        <v>1116</v>
      </c>
      <c r="F870" s="130" t="s">
        <v>1117</v>
      </c>
      <c r="G870" s="130" t="s">
        <v>1118</v>
      </c>
      <c r="H870" s="130" t="s">
        <v>1119</v>
      </c>
      <c r="I870" s="130" t="s">
        <v>1120</v>
      </c>
      <c r="J870" s="130" t="s">
        <v>1358</v>
      </c>
      <c r="K870" s="130" t="s">
        <v>1122</v>
      </c>
      <c r="L870" s="130" t="s">
        <v>1811</v>
      </c>
      <c r="M870" s="130" t="s">
        <v>1776</v>
      </c>
      <c r="N870" s="130" t="s">
        <v>168</v>
      </c>
      <c r="O870" s="130" t="s">
        <v>1361</v>
      </c>
      <c r="P870" s="130" t="s">
        <v>1777</v>
      </c>
      <c r="Q870" s="130" t="s">
        <v>1127</v>
      </c>
      <c r="R870" s="130" t="s">
        <v>1191</v>
      </c>
      <c r="S870" s="130" t="s">
        <v>1538</v>
      </c>
      <c r="T870" s="130" t="s">
        <v>1158</v>
      </c>
      <c r="U870" s="130">
        <v>100000</v>
      </c>
      <c r="V870" s="131">
        <v>-100000</v>
      </c>
      <c r="W870" s="131">
        <v>0</v>
      </c>
      <c r="X870" s="131">
        <v>0</v>
      </c>
      <c r="Y870" s="131">
        <v>0</v>
      </c>
      <c r="Z870" s="131">
        <v>0</v>
      </c>
      <c r="AA870" s="131">
        <v>0</v>
      </c>
      <c r="AB870" s="131">
        <v>0</v>
      </c>
      <c r="AC870" s="131">
        <v>0</v>
      </c>
      <c r="AD870" s="131">
        <v>0</v>
      </c>
      <c r="AE870" s="132">
        <v>0</v>
      </c>
    </row>
    <row r="871" spans="1:31" x14ac:dyDescent="0.2">
      <c r="A871" s="133">
        <v>184</v>
      </c>
      <c r="B871" s="133" t="s">
        <v>1810</v>
      </c>
      <c r="C871" s="133" t="s">
        <v>1114</v>
      </c>
      <c r="D871" s="133" t="s">
        <v>1774</v>
      </c>
      <c r="E871" s="133" t="s">
        <v>1116</v>
      </c>
      <c r="F871" s="133" t="s">
        <v>1117</v>
      </c>
      <c r="G871" s="133" t="s">
        <v>1118</v>
      </c>
      <c r="H871" s="130" t="s">
        <v>1133</v>
      </c>
      <c r="I871" s="130" t="s">
        <v>1134</v>
      </c>
      <c r="J871" s="130" t="s">
        <v>1166</v>
      </c>
      <c r="K871" s="130" t="s">
        <v>1167</v>
      </c>
      <c r="L871" s="130" t="s">
        <v>1811</v>
      </c>
      <c r="M871" s="130" t="s">
        <v>1776</v>
      </c>
      <c r="N871" s="130" t="s">
        <v>168</v>
      </c>
      <c r="O871" s="130" t="s">
        <v>1361</v>
      </c>
      <c r="P871" s="130" t="s">
        <v>1777</v>
      </c>
      <c r="Q871" s="130" t="s">
        <v>1127</v>
      </c>
      <c r="R871" s="130" t="s">
        <v>1191</v>
      </c>
      <c r="S871" s="130" t="s">
        <v>1538</v>
      </c>
      <c r="T871" s="130" t="s">
        <v>1158</v>
      </c>
      <c r="U871" s="130">
        <v>0</v>
      </c>
      <c r="V871" s="131">
        <v>33556</v>
      </c>
      <c r="W871" s="131">
        <v>33556</v>
      </c>
      <c r="X871" s="131">
        <v>33489.5</v>
      </c>
      <c r="Y871" s="131">
        <v>66.5</v>
      </c>
      <c r="Z871" s="131">
        <v>10000</v>
      </c>
      <c r="AA871" s="131">
        <v>23556</v>
      </c>
      <c r="AB871" s="131">
        <v>9459.3700000000008</v>
      </c>
      <c r="AC871" s="131">
        <v>24096.629999999997</v>
      </c>
      <c r="AD871" s="131">
        <v>9459.3700000000008</v>
      </c>
      <c r="AE871" s="132">
        <v>24096.629999999997</v>
      </c>
    </row>
    <row r="872" spans="1:31" x14ac:dyDescent="0.2">
      <c r="A872" s="130">
        <v>185</v>
      </c>
      <c r="B872" s="130" t="s">
        <v>1812</v>
      </c>
      <c r="C872" s="130" t="s">
        <v>1114</v>
      </c>
      <c r="D872" s="130" t="s">
        <v>1774</v>
      </c>
      <c r="E872" s="130" t="s">
        <v>1116</v>
      </c>
      <c r="F872" s="130" t="s">
        <v>1117</v>
      </c>
      <c r="G872" s="130" t="s">
        <v>1118</v>
      </c>
      <c r="H872" s="130" t="s">
        <v>1119</v>
      </c>
      <c r="I872" s="130" t="s">
        <v>1120</v>
      </c>
      <c r="J872" s="130" t="s">
        <v>1358</v>
      </c>
      <c r="K872" s="130" t="s">
        <v>1122</v>
      </c>
      <c r="L872" s="130" t="s">
        <v>1813</v>
      </c>
      <c r="M872" s="130" t="s">
        <v>1776</v>
      </c>
      <c r="N872" s="130" t="s">
        <v>168</v>
      </c>
      <c r="O872" s="130" t="s">
        <v>1361</v>
      </c>
      <c r="P872" s="130" t="s">
        <v>1777</v>
      </c>
      <c r="Q872" s="130" t="s">
        <v>1127</v>
      </c>
      <c r="R872" s="130" t="s">
        <v>1191</v>
      </c>
      <c r="S872" s="130" t="s">
        <v>1538</v>
      </c>
      <c r="T872" s="130" t="s">
        <v>1158</v>
      </c>
      <c r="U872" s="130">
        <v>100000</v>
      </c>
      <c r="V872" s="131">
        <v>-100000</v>
      </c>
      <c r="W872" s="131">
        <v>0</v>
      </c>
      <c r="X872" s="131">
        <v>0</v>
      </c>
      <c r="Y872" s="131">
        <v>0</v>
      </c>
      <c r="Z872" s="131">
        <v>0</v>
      </c>
      <c r="AA872" s="131">
        <v>0</v>
      </c>
      <c r="AB872" s="131">
        <v>0</v>
      </c>
      <c r="AC872" s="131">
        <v>0</v>
      </c>
      <c r="AD872" s="131">
        <v>0</v>
      </c>
      <c r="AE872" s="132">
        <v>0</v>
      </c>
    </row>
    <row r="873" spans="1:31" x14ac:dyDescent="0.2">
      <c r="A873" s="130">
        <v>186</v>
      </c>
      <c r="B873" s="130" t="s">
        <v>959</v>
      </c>
      <c r="C873" s="130" t="s">
        <v>1114</v>
      </c>
      <c r="D873" s="130" t="s">
        <v>1774</v>
      </c>
      <c r="E873" s="130" t="s">
        <v>1116</v>
      </c>
      <c r="F873" s="130" t="s">
        <v>1117</v>
      </c>
      <c r="G873" s="130" t="s">
        <v>1118</v>
      </c>
      <c r="H873" s="130" t="s">
        <v>1119</v>
      </c>
      <c r="I873" s="130" t="s">
        <v>1120</v>
      </c>
      <c r="J873" s="130" t="s">
        <v>1358</v>
      </c>
      <c r="K873" s="130" t="s">
        <v>1122</v>
      </c>
      <c r="L873" s="130" t="s">
        <v>1814</v>
      </c>
      <c r="M873" s="130" t="s">
        <v>1776</v>
      </c>
      <c r="N873" s="130" t="s">
        <v>168</v>
      </c>
      <c r="O873" s="130" t="s">
        <v>1361</v>
      </c>
      <c r="P873" s="130" t="s">
        <v>1777</v>
      </c>
      <c r="Q873" s="130" t="s">
        <v>1127</v>
      </c>
      <c r="R873" s="130" t="s">
        <v>1191</v>
      </c>
      <c r="S873" s="130" t="s">
        <v>1783</v>
      </c>
      <c r="T873" s="130" t="s">
        <v>1130</v>
      </c>
      <c r="U873" s="130">
        <v>50000</v>
      </c>
      <c r="V873" s="131">
        <v>-50000</v>
      </c>
      <c r="W873" s="131">
        <v>0</v>
      </c>
      <c r="X873" s="131">
        <v>0</v>
      </c>
      <c r="Y873" s="131">
        <v>0</v>
      </c>
      <c r="Z873" s="131">
        <v>0</v>
      </c>
      <c r="AA873" s="131">
        <v>0</v>
      </c>
      <c r="AB873" s="131">
        <v>0</v>
      </c>
      <c r="AC873" s="131">
        <v>0</v>
      </c>
      <c r="AD873" s="131">
        <v>0</v>
      </c>
      <c r="AE873" s="132">
        <v>0</v>
      </c>
    </row>
    <row r="874" spans="1:31" x14ac:dyDescent="0.2">
      <c r="A874" s="130">
        <v>187</v>
      </c>
      <c r="B874" s="130" t="s">
        <v>1815</v>
      </c>
      <c r="C874" s="130" t="s">
        <v>1114</v>
      </c>
      <c r="D874" s="130" t="s">
        <v>1774</v>
      </c>
      <c r="E874" s="130" t="s">
        <v>1116</v>
      </c>
      <c r="F874" s="130" t="s">
        <v>1117</v>
      </c>
      <c r="G874" s="130" t="s">
        <v>1118</v>
      </c>
      <c r="H874" s="130" t="s">
        <v>1119</v>
      </c>
      <c r="I874" s="130" t="s">
        <v>1120</v>
      </c>
      <c r="J874" s="130" t="s">
        <v>1358</v>
      </c>
      <c r="K874" s="130" t="s">
        <v>1122</v>
      </c>
      <c r="L874" s="130" t="s">
        <v>1816</v>
      </c>
      <c r="M874" s="130" t="s">
        <v>1776</v>
      </c>
      <c r="N874" s="130" t="s">
        <v>168</v>
      </c>
      <c r="O874" s="130" t="s">
        <v>1361</v>
      </c>
      <c r="P874" s="130" t="s">
        <v>1777</v>
      </c>
      <c r="Q874" s="130" t="s">
        <v>1127</v>
      </c>
      <c r="R874" s="130" t="s">
        <v>1191</v>
      </c>
      <c r="S874" s="130" t="s">
        <v>1192</v>
      </c>
      <c r="T874" s="130" t="s">
        <v>1158</v>
      </c>
      <c r="U874" s="130">
        <v>100000</v>
      </c>
      <c r="V874" s="131">
        <v>-36064</v>
      </c>
      <c r="W874" s="131">
        <v>63936</v>
      </c>
      <c r="X874" s="131">
        <v>0</v>
      </c>
      <c r="Y874" s="131">
        <v>63936</v>
      </c>
      <c r="Z874" s="131">
        <v>0</v>
      </c>
      <c r="AA874" s="131">
        <v>63936</v>
      </c>
      <c r="AB874" s="131">
        <v>0</v>
      </c>
      <c r="AC874" s="131">
        <v>63936</v>
      </c>
      <c r="AD874" s="131">
        <v>0</v>
      </c>
      <c r="AE874" s="132">
        <v>63936</v>
      </c>
    </row>
    <row r="875" spans="1:31" x14ac:dyDescent="0.2">
      <c r="A875" s="133">
        <v>187</v>
      </c>
      <c r="B875" s="133" t="s">
        <v>1815</v>
      </c>
      <c r="C875" s="133" t="s">
        <v>1114</v>
      </c>
      <c r="D875" s="133" t="s">
        <v>1774</v>
      </c>
      <c r="E875" s="133" t="s">
        <v>1116</v>
      </c>
      <c r="F875" s="133" t="s">
        <v>1117</v>
      </c>
      <c r="G875" s="133" t="s">
        <v>1118</v>
      </c>
      <c r="H875" s="133" t="s">
        <v>1119</v>
      </c>
      <c r="I875" s="133" t="s">
        <v>1120</v>
      </c>
      <c r="J875" s="133" t="s">
        <v>1358</v>
      </c>
      <c r="K875" s="130" t="s">
        <v>1131</v>
      </c>
      <c r="L875" s="130" t="s">
        <v>1816</v>
      </c>
      <c r="M875" s="130" t="s">
        <v>1776</v>
      </c>
      <c r="N875" s="130" t="s">
        <v>168</v>
      </c>
      <c r="O875" s="130" t="s">
        <v>1361</v>
      </c>
      <c r="P875" s="130" t="s">
        <v>1777</v>
      </c>
      <c r="Q875" s="130" t="s">
        <v>1127</v>
      </c>
      <c r="R875" s="130" t="s">
        <v>1191</v>
      </c>
      <c r="S875" s="130" t="s">
        <v>1192</v>
      </c>
      <c r="T875" s="130" t="s">
        <v>1158</v>
      </c>
      <c r="U875" s="130">
        <v>0</v>
      </c>
      <c r="V875" s="131">
        <v>564396</v>
      </c>
      <c r="W875" s="131">
        <v>564396</v>
      </c>
      <c r="X875" s="131">
        <v>564396</v>
      </c>
      <c r="Y875" s="131">
        <v>0</v>
      </c>
      <c r="Z875" s="131">
        <v>564396</v>
      </c>
      <c r="AA875" s="131">
        <v>0</v>
      </c>
      <c r="AB875" s="131">
        <v>10575.16</v>
      </c>
      <c r="AC875" s="131">
        <v>553820.84</v>
      </c>
      <c r="AD875" s="131">
        <v>10575.16</v>
      </c>
      <c r="AE875" s="132">
        <v>553820.84</v>
      </c>
    </row>
    <row r="876" spans="1:31" x14ac:dyDescent="0.2">
      <c r="A876" s="133">
        <v>187</v>
      </c>
      <c r="B876" s="133" t="s">
        <v>1815</v>
      </c>
      <c r="C876" s="133" t="s">
        <v>1114</v>
      </c>
      <c r="D876" s="133" t="s">
        <v>1774</v>
      </c>
      <c r="E876" s="133" t="s">
        <v>1116</v>
      </c>
      <c r="F876" s="133" t="s">
        <v>1117</v>
      </c>
      <c r="G876" s="133" t="s">
        <v>1118</v>
      </c>
      <c r="H876" s="133" t="s">
        <v>1119</v>
      </c>
      <c r="I876" s="133" t="s">
        <v>1120</v>
      </c>
      <c r="J876" s="133" t="s">
        <v>1358</v>
      </c>
      <c r="K876" s="130" t="s">
        <v>1177</v>
      </c>
      <c r="L876" s="130" t="s">
        <v>1816</v>
      </c>
      <c r="M876" s="130" t="s">
        <v>1776</v>
      </c>
      <c r="N876" s="130" t="s">
        <v>168</v>
      </c>
      <c r="O876" s="130" t="s">
        <v>1361</v>
      </c>
      <c r="P876" s="130" t="s">
        <v>1777</v>
      </c>
      <c r="Q876" s="130" t="s">
        <v>1127</v>
      </c>
      <c r="R876" s="130" t="s">
        <v>1191</v>
      </c>
      <c r="S876" s="130" t="s">
        <v>1192</v>
      </c>
      <c r="T876" s="130" t="s">
        <v>1158</v>
      </c>
      <c r="U876" s="130">
        <v>0</v>
      </c>
      <c r="V876" s="131">
        <v>1059223</v>
      </c>
      <c r="W876" s="131">
        <v>1059223</v>
      </c>
      <c r="X876" s="131">
        <v>0</v>
      </c>
      <c r="Y876" s="131">
        <v>1059223</v>
      </c>
      <c r="Z876" s="131">
        <v>0</v>
      </c>
      <c r="AA876" s="131">
        <v>1059223</v>
      </c>
      <c r="AB876" s="131">
        <v>0</v>
      </c>
      <c r="AC876" s="131">
        <v>1059223</v>
      </c>
      <c r="AD876" s="131">
        <v>0</v>
      </c>
      <c r="AE876" s="132">
        <v>1059223</v>
      </c>
    </row>
    <row r="877" spans="1:31" x14ac:dyDescent="0.2">
      <c r="A877" s="133">
        <v>187</v>
      </c>
      <c r="B877" s="133" t="s">
        <v>1815</v>
      </c>
      <c r="C877" s="133" t="s">
        <v>1114</v>
      </c>
      <c r="D877" s="133" t="s">
        <v>1774</v>
      </c>
      <c r="E877" s="133" t="s">
        <v>1116</v>
      </c>
      <c r="F877" s="133" t="s">
        <v>1117</v>
      </c>
      <c r="G877" s="133" t="s">
        <v>1118</v>
      </c>
      <c r="H877" s="133" t="s">
        <v>1119</v>
      </c>
      <c r="I877" s="133" t="s">
        <v>1120</v>
      </c>
      <c r="J877" s="133" t="s">
        <v>1358</v>
      </c>
      <c r="K877" s="130" t="s">
        <v>1132</v>
      </c>
      <c r="L877" s="130" t="s">
        <v>1816</v>
      </c>
      <c r="M877" s="130" t="s">
        <v>1776</v>
      </c>
      <c r="N877" s="130" t="s">
        <v>168</v>
      </c>
      <c r="O877" s="130" t="s">
        <v>1361</v>
      </c>
      <c r="P877" s="130" t="s">
        <v>1777</v>
      </c>
      <c r="Q877" s="130" t="s">
        <v>1127</v>
      </c>
      <c r="R877" s="130" t="s">
        <v>1191</v>
      </c>
      <c r="S877" s="130" t="s">
        <v>1192</v>
      </c>
      <c r="T877" s="130" t="s">
        <v>1158</v>
      </c>
      <c r="U877" s="130">
        <v>0</v>
      </c>
      <c r="V877" s="131">
        <v>327437</v>
      </c>
      <c r="W877" s="131">
        <v>327437</v>
      </c>
      <c r="X877" s="131">
        <v>0</v>
      </c>
      <c r="Y877" s="131">
        <v>327437</v>
      </c>
      <c r="Z877" s="131">
        <v>0</v>
      </c>
      <c r="AA877" s="131">
        <v>327437</v>
      </c>
      <c r="AB877" s="131">
        <v>0</v>
      </c>
      <c r="AC877" s="131">
        <v>327437</v>
      </c>
      <c r="AD877" s="131">
        <v>0</v>
      </c>
      <c r="AE877" s="132">
        <v>327437</v>
      </c>
    </row>
    <row r="878" spans="1:31" x14ac:dyDescent="0.2">
      <c r="A878" s="133">
        <v>187</v>
      </c>
      <c r="B878" s="133" t="s">
        <v>1815</v>
      </c>
      <c r="C878" s="133" t="s">
        <v>1114</v>
      </c>
      <c r="D878" s="133" t="s">
        <v>1774</v>
      </c>
      <c r="E878" s="133" t="s">
        <v>1116</v>
      </c>
      <c r="F878" s="133" t="s">
        <v>1117</v>
      </c>
      <c r="G878" s="133" t="s">
        <v>1118</v>
      </c>
      <c r="H878" s="130" t="s">
        <v>1149</v>
      </c>
      <c r="I878" s="130" t="s">
        <v>1182</v>
      </c>
      <c r="J878" s="130" t="s">
        <v>1377</v>
      </c>
      <c r="K878" s="130" t="s">
        <v>1378</v>
      </c>
      <c r="L878" s="130" t="s">
        <v>1816</v>
      </c>
      <c r="M878" s="130" t="s">
        <v>1776</v>
      </c>
      <c r="N878" s="130" t="s">
        <v>168</v>
      </c>
      <c r="O878" s="130" t="s">
        <v>1361</v>
      </c>
      <c r="P878" s="130" t="s">
        <v>1777</v>
      </c>
      <c r="Q878" s="130" t="s">
        <v>1127</v>
      </c>
      <c r="R878" s="130" t="s">
        <v>1191</v>
      </c>
      <c r="S878" s="130" t="s">
        <v>1192</v>
      </c>
      <c r="T878" s="130" t="s">
        <v>1158</v>
      </c>
      <c r="U878" s="130">
        <v>0</v>
      </c>
      <c r="V878" s="131">
        <v>5515</v>
      </c>
      <c r="W878" s="131">
        <v>5515</v>
      </c>
      <c r="X878" s="131">
        <v>0</v>
      </c>
      <c r="Y878" s="131">
        <v>5515</v>
      </c>
      <c r="Z878" s="131">
        <v>0</v>
      </c>
      <c r="AA878" s="131">
        <v>5515</v>
      </c>
      <c r="AB878" s="131">
        <v>0</v>
      </c>
      <c r="AC878" s="131">
        <v>5515</v>
      </c>
      <c r="AD878" s="131">
        <v>0</v>
      </c>
      <c r="AE878" s="132">
        <v>5515</v>
      </c>
    </row>
    <row r="879" spans="1:31" x14ac:dyDescent="0.2">
      <c r="A879" s="133">
        <v>187</v>
      </c>
      <c r="B879" s="133" t="s">
        <v>1815</v>
      </c>
      <c r="C879" s="133" t="s">
        <v>1114</v>
      </c>
      <c r="D879" s="133" t="s">
        <v>1774</v>
      </c>
      <c r="E879" s="133" t="s">
        <v>1116</v>
      </c>
      <c r="F879" s="133" t="s">
        <v>1117</v>
      </c>
      <c r="G879" s="133" t="s">
        <v>1118</v>
      </c>
      <c r="H879" s="133" t="s">
        <v>1149</v>
      </c>
      <c r="I879" s="133" t="s">
        <v>1182</v>
      </c>
      <c r="J879" s="130" t="s">
        <v>1382</v>
      </c>
      <c r="K879" s="130" t="s">
        <v>1383</v>
      </c>
      <c r="L879" s="130" t="s">
        <v>1816</v>
      </c>
      <c r="M879" s="130" t="s">
        <v>1776</v>
      </c>
      <c r="N879" s="130" t="s">
        <v>168</v>
      </c>
      <c r="O879" s="130" t="s">
        <v>1361</v>
      </c>
      <c r="P879" s="130" t="s">
        <v>1777</v>
      </c>
      <c r="Q879" s="130" t="s">
        <v>1127</v>
      </c>
      <c r="R879" s="130" t="s">
        <v>1191</v>
      </c>
      <c r="S879" s="130" t="s">
        <v>1192</v>
      </c>
      <c r="T879" s="130" t="s">
        <v>1158</v>
      </c>
      <c r="U879" s="130">
        <v>0</v>
      </c>
      <c r="V879" s="131">
        <v>598</v>
      </c>
      <c r="W879" s="131">
        <v>598</v>
      </c>
      <c r="X879" s="131">
        <v>0</v>
      </c>
      <c r="Y879" s="131">
        <v>598</v>
      </c>
      <c r="Z879" s="131">
        <v>0</v>
      </c>
      <c r="AA879" s="131">
        <v>598</v>
      </c>
      <c r="AB879" s="131">
        <v>0</v>
      </c>
      <c r="AC879" s="131">
        <v>598</v>
      </c>
      <c r="AD879" s="131">
        <v>0</v>
      </c>
      <c r="AE879" s="132">
        <v>598</v>
      </c>
    </row>
    <row r="880" spans="1:31" x14ac:dyDescent="0.2">
      <c r="A880" s="133">
        <v>187</v>
      </c>
      <c r="B880" s="133" t="s">
        <v>1815</v>
      </c>
      <c r="C880" s="133" t="s">
        <v>1114</v>
      </c>
      <c r="D880" s="133" t="s">
        <v>1774</v>
      </c>
      <c r="E880" s="133" t="s">
        <v>1116</v>
      </c>
      <c r="F880" s="133" t="s">
        <v>1117</v>
      </c>
      <c r="G880" s="133" t="s">
        <v>1118</v>
      </c>
      <c r="H880" s="133" t="s">
        <v>1149</v>
      </c>
      <c r="I880" s="133" t="s">
        <v>1182</v>
      </c>
      <c r="J880" s="133" t="s">
        <v>1382</v>
      </c>
      <c r="K880" s="130" t="s">
        <v>1378</v>
      </c>
      <c r="L880" s="130" t="s">
        <v>1816</v>
      </c>
      <c r="M880" s="130" t="s">
        <v>1776</v>
      </c>
      <c r="N880" s="130" t="s">
        <v>168</v>
      </c>
      <c r="O880" s="130" t="s">
        <v>1361</v>
      </c>
      <c r="P880" s="130" t="s">
        <v>1777</v>
      </c>
      <c r="Q880" s="130" t="s">
        <v>1127</v>
      </c>
      <c r="R880" s="130" t="s">
        <v>1191</v>
      </c>
      <c r="S880" s="130" t="s">
        <v>1192</v>
      </c>
      <c r="T880" s="130" t="s">
        <v>1158</v>
      </c>
      <c r="U880" s="130">
        <v>0</v>
      </c>
      <c r="V880" s="131">
        <v>50626</v>
      </c>
      <c r="W880" s="131">
        <v>50626</v>
      </c>
      <c r="X880" s="131">
        <v>0</v>
      </c>
      <c r="Y880" s="131">
        <v>50626</v>
      </c>
      <c r="Z880" s="131">
        <v>0</v>
      </c>
      <c r="AA880" s="131">
        <v>50626</v>
      </c>
      <c r="AB880" s="131">
        <v>0</v>
      </c>
      <c r="AC880" s="131">
        <v>50626</v>
      </c>
      <c r="AD880" s="131">
        <v>0</v>
      </c>
      <c r="AE880" s="132">
        <v>50626</v>
      </c>
    </row>
    <row r="881" spans="1:31" x14ac:dyDescent="0.2">
      <c r="A881" s="133">
        <v>187</v>
      </c>
      <c r="B881" s="133" t="s">
        <v>1815</v>
      </c>
      <c r="C881" s="133" t="s">
        <v>1114</v>
      </c>
      <c r="D881" s="133" t="s">
        <v>1774</v>
      </c>
      <c r="E881" s="133" t="s">
        <v>1116</v>
      </c>
      <c r="F881" s="133" t="s">
        <v>1117</v>
      </c>
      <c r="G881" s="133" t="s">
        <v>1118</v>
      </c>
      <c r="H881" s="130" t="s">
        <v>1133</v>
      </c>
      <c r="I881" s="130" t="s">
        <v>1134</v>
      </c>
      <c r="J881" s="130" t="s">
        <v>1166</v>
      </c>
      <c r="K881" s="130" t="s">
        <v>1167</v>
      </c>
      <c r="L881" s="130" t="s">
        <v>1816</v>
      </c>
      <c r="M881" s="130" t="s">
        <v>1776</v>
      </c>
      <c r="N881" s="130" t="s">
        <v>168</v>
      </c>
      <c r="O881" s="130" t="s">
        <v>1361</v>
      </c>
      <c r="P881" s="130" t="s">
        <v>1777</v>
      </c>
      <c r="Q881" s="130" t="s">
        <v>1127</v>
      </c>
      <c r="R881" s="130" t="s">
        <v>1191</v>
      </c>
      <c r="S881" s="130" t="s">
        <v>1192</v>
      </c>
      <c r="T881" s="130" t="s">
        <v>1158</v>
      </c>
      <c r="U881" s="130">
        <v>0</v>
      </c>
      <c r="V881" s="131">
        <v>36064</v>
      </c>
      <c r="W881" s="131">
        <v>36064</v>
      </c>
      <c r="X881" s="131">
        <v>0</v>
      </c>
      <c r="Y881" s="131">
        <v>36064</v>
      </c>
      <c r="Z881" s="131">
        <v>0</v>
      </c>
      <c r="AA881" s="131">
        <v>36064</v>
      </c>
      <c r="AB881" s="131">
        <v>0</v>
      </c>
      <c r="AC881" s="131">
        <v>36064</v>
      </c>
      <c r="AD881" s="131">
        <v>0</v>
      </c>
      <c r="AE881" s="132">
        <v>36064</v>
      </c>
    </row>
    <row r="882" spans="1:31" x14ac:dyDescent="0.2">
      <c r="A882" s="133">
        <v>187</v>
      </c>
      <c r="B882" s="133" t="s">
        <v>1815</v>
      </c>
      <c r="C882" s="133" t="s">
        <v>1114</v>
      </c>
      <c r="D882" s="133" t="s">
        <v>1774</v>
      </c>
      <c r="E882" s="133" t="s">
        <v>1116</v>
      </c>
      <c r="F882" s="133" t="s">
        <v>1117</v>
      </c>
      <c r="G882" s="133" t="s">
        <v>1118</v>
      </c>
      <c r="H882" s="133" t="s">
        <v>1133</v>
      </c>
      <c r="I882" s="133" t="s">
        <v>1134</v>
      </c>
      <c r="J882" s="130" t="s">
        <v>1135</v>
      </c>
      <c r="K882" s="130" t="s">
        <v>1178</v>
      </c>
      <c r="L882" s="130" t="s">
        <v>1816</v>
      </c>
      <c r="M882" s="130" t="s">
        <v>1776</v>
      </c>
      <c r="N882" s="130" t="s">
        <v>168</v>
      </c>
      <c r="O882" s="130" t="s">
        <v>1361</v>
      </c>
      <c r="P882" s="130" t="s">
        <v>1777</v>
      </c>
      <c r="Q882" s="130" t="s">
        <v>1127</v>
      </c>
      <c r="R882" s="130" t="s">
        <v>1191</v>
      </c>
      <c r="S882" s="130" t="s">
        <v>1192</v>
      </c>
      <c r="T882" s="130" t="s">
        <v>1158</v>
      </c>
      <c r="U882" s="130">
        <v>0</v>
      </c>
      <c r="V882" s="131">
        <v>236278</v>
      </c>
      <c r="W882" s="131">
        <v>236278</v>
      </c>
      <c r="X882" s="131">
        <v>0</v>
      </c>
      <c r="Y882" s="131">
        <v>236278</v>
      </c>
      <c r="Z882" s="131">
        <v>0</v>
      </c>
      <c r="AA882" s="131">
        <v>236278</v>
      </c>
      <c r="AB882" s="131">
        <v>0</v>
      </c>
      <c r="AC882" s="131">
        <v>236278</v>
      </c>
      <c r="AD882" s="131">
        <v>0</v>
      </c>
      <c r="AE882" s="132">
        <v>236278</v>
      </c>
    </row>
    <row r="883" spans="1:31" x14ac:dyDescent="0.2">
      <c r="A883" s="133">
        <v>187</v>
      </c>
      <c r="B883" s="133" t="s">
        <v>1815</v>
      </c>
      <c r="C883" s="133" t="s">
        <v>1114</v>
      </c>
      <c r="D883" s="133" t="s">
        <v>1774</v>
      </c>
      <c r="E883" s="133" t="s">
        <v>1116</v>
      </c>
      <c r="F883" s="133" t="s">
        <v>1117</v>
      </c>
      <c r="G883" s="133" t="s">
        <v>1118</v>
      </c>
      <c r="H883" s="133" t="s">
        <v>1133</v>
      </c>
      <c r="I883" s="133" t="s">
        <v>1134</v>
      </c>
      <c r="J883" s="133" t="s">
        <v>1135</v>
      </c>
      <c r="K883" s="130" t="s">
        <v>1179</v>
      </c>
      <c r="L883" s="130" t="s">
        <v>1816</v>
      </c>
      <c r="M883" s="130" t="s">
        <v>1776</v>
      </c>
      <c r="N883" s="130" t="s">
        <v>168</v>
      </c>
      <c r="O883" s="130" t="s">
        <v>1361</v>
      </c>
      <c r="P883" s="130" t="s">
        <v>1777</v>
      </c>
      <c r="Q883" s="130" t="s">
        <v>1127</v>
      </c>
      <c r="R883" s="130" t="s">
        <v>1191</v>
      </c>
      <c r="S883" s="130" t="s">
        <v>1192</v>
      </c>
      <c r="T883" s="130" t="s">
        <v>1158</v>
      </c>
      <c r="U883" s="130">
        <v>0</v>
      </c>
      <c r="V883" s="131">
        <v>22532</v>
      </c>
      <c r="W883" s="131">
        <v>22532</v>
      </c>
      <c r="X883" s="131">
        <v>0</v>
      </c>
      <c r="Y883" s="131">
        <v>22532</v>
      </c>
      <c r="Z883" s="131">
        <v>0</v>
      </c>
      <c r="AA883" s="131">
        <v>22532</v>
      </c>
      <c r="AB883" s="131">
        <v>0</v>
      </c>
      <c r="AC883" s="131">
        <v>22532</v>
      </c>
      <c r="AD883" s="131">
        <v>0</v>
      </c>
      <c r="AE883" s="132">
        <v>22532</v>
      </c>
    </row>
    <row r="884" spans="1:31" x14ac:dyDescent="0.2">
      <c r="A884" s="133">
        <v>187</v>
      </c>
      <c r="B884" s="133" t="s">
        <v>1815</v>
      </c>
      <c r="C884" s="133" t="s">
        <v>1114</v>
      </c>
      <c r="D884" s="133" t="s">
        <v>1774</v>
      </c>
      <c r="E884" s="133" t="s">
        <v>1116</v>
      </c>
      <c r="F884" s="133" t="s">
        <v>1117</v>
      </c>
      <c r="G884" s="133" t="s">
        <v>1118</v>
      </c>
      <c r="H884" s="133" t="s">
        <v>1133</v>
      </c>
      <c r="I884" s="133" t="s">
        <v>1134</v>
      </c>
      <c r="J884" s="133" t="s">
        <v>1135</v>
      </c>
      <c r="K884" s="130" t="s">
        <v>1144</v>
      </c>
      <c r="L884" s="130" t="s">
        <v>1816</v>
      </c>
      <c r="M884" s="130" t="s">
        <v>1776</v>
      </c>
      <c r="N884" s="130" t="s">
        <v>168</v>
      </c>
      <c r="O884" s="130" t="s">
        <v>1361</v>
      </c>
      <c r="P884" s="130" t="s">
        <v>1777</v>
      </c>
      <c r="Q884" s="130" t="s">
        <v>1127</v>
      </c>
      <c r="R884" s="130" t="s">
        <v>1191</v>
      </c>
      <c r="S884" s="130" t="s">
        <v>1192</v>
      </c>
      <c r="T884" s="130" t="s">
        <v>1158</v>
      </c>
      <c r="U884" s="130">
        <v>0</v>
      </c>
      <c r="V884" s="131">
        <v>31100</v>
      </c>
      <c r="W884" s="131">
        <v>31100</v>
      </c>
      <c r="X884" s="131">
        <v>0</v>
      </c>
      <c r="Y884" s="131">
        <v>31100</v>
      </c>
      <c r="Z884" s="131">
        <v>0</v>
      </c>
      <c r="AA884" s="131">
        <v>31100</v>
      </c>
      <c r="AB884" s="131">
        <v>0</v>
      </c>
      <c r="AC884" s="131">
        <v>31100</v>
      </c>
      <c r="AD884" s="131">
        <v>0</v>
      </c>
      <c r="AE884" s="132">
        <v>31100</v>
      </c>
    </row>
    <row r="885" spans="1:31" x14ac:dyDescent="0.2">
      <c r="A885" s="130">
        <v>188</v>
      </c>
      <c r="B885" s="130" t="s">
        <v>1817</v>
      </c>
      <c r="C885" s="130" t="s">
        <v>1114</v>
      </c>
      <c r="D885" s="130" t="s">
        <v>1774</v>
      </c>
      <c r="E885" s="130" t="s">
        <v>1116</v>
      </c>
      <c r="F885" s="130" t="s">
        <v>1117</v>
      </c>
      <c r="G885" s="130" t="s">
        <v>1118</v>
      </c>
      <c r="H885" s="130" t="s">
        <v>1133</v>
      </c>
      <c r="I885" s="130" t="s">
        <v>1134</v>
      </c>
      <c r="J885" s="130" t="s">
        <v>1166</v>
      </c>
      <c r="K885" s="130" t="s">
        <v>1167</v>
      </c>
      <c r="L885" s="130" t="s">
        <v>1818</v>
      </c>
      <c r="M885" s="130" t="s">
        <v>1776</v>
      </c>
      <c r="N885" s="130" t="s">
        <v>168</v>
      </c>
      <c r="O885" s="130" t="s">
        <v>1361</v>
      </c>
      <c r="P885" s="130" t="s">
        <v>1777</v>
      </c>
      <c r="Q885" s="130" t="s">
        <v>1127</v>
      </c>
      <c r="R885" s="130" t="s">
        <v>1191</v>
      </c>
      <c r="S885" s="130" t="s">
        <v>1819</v>
      </c>
      <c r="T885" s="130" t="s">
        <v>1158</v>
      </c>
      <c r="U885" s="130">
        <v>100000</v>
      </c>
      <c r="V885" s="131">
        <v>0</v>
      </c>
      <c r="W885" s="131">
        <v>100000</v>
      </c>
      <c r="X885" s="131">
        <v>28122</v>
      </c>
      <c r="Y885" s="131">
        <v>71878</v>
      </c>
      <c r="Z885" s="131">
        <v>28122</v>
      </c>
      <c r="AA885" s="131">
        <v>71878</v>
      </c>
      <c r="AB885" s="131">
        <v>24506.97</v>
      </c>
      <c r="AC885" s="131">
        <v>75493.03</v>
      </c>
      <c r="AD885" s="131">
        <v>24506.97</v>
      </c>
      <c r="AE885" s="132">
        <v>75493.03</v>
      </c>
    </row>
    <row r="886" spans="1:31" x14ac:dyDescent="0.2">
      <c r="A886" s="130">
        <v>189</v>
      </c>
      <c r="B886" s="130" t="s">
        <v>1820</v>
      </c>
      <c r="C886" s="130" t="s">
        <v>1114</v>
      </c>
      <c r="D886" s="130" t="s">
        <v>1774</v>
      </c>
      <c r="E886" s="130" t="s">
        <v>1116</v>
      </c>
      <c r="F886" s="130" t="s">
        <v>1117</v>
      </c>
      <c r="G886" s="130" t="s">
        <v>1118</v>
      </c>
      <c r="H886" s="130" t="s">
        <v>1119</v>
      </c>
      <c r="I886" s="130" t="s">
        <v>1120</v>
      </c>
      <c r="J886" s="130" t="s">
        <v>1358</v>
      </c>
      <c r="K886" s="130" t="s">
        <v>1122</v>
      </c>
      <c r="L886" s="130" t="s">
        <v>1821</v>
      </c>
      <c r="M886" s="130" t="s">
        <v>1776</v>
      </c>
      <c r="N886" s="130" t="s">
        <v>168</v>
      </c>
      <c r="O886" s="130" t="s">
        <v>1361</v>
      </c>
      <c r="P886" s="130" t="s">
        <v>1777</v>
      </c>
      <c r="Q886" s="130" t="s">
        <v>1127</v>
      </c>
      <c r="R886" s="130" t="s">
        <v>1191</v>
      </c>
      <c r="S886" s="130" t="s">
        <v>1819</v>
      </c>
      <c r="T886" s="130" t="s">
        <v>1130</v>
      </c>
      <c r="U886" s="130">
        <v>50000</v>
      </c>
      <c r="V886" s="131">
        <v>-50000</v>
      </c>
      <c r="W886" s="131">
        <v>0</v>
      </c>
      <c r="X886" s="131">
        <v>0</v>
      </c>
      <c r="Y886" s="131">
        <v>0</v>
      </c>
      <c r="Z886" s="131">
        <v>0</v>
      </c>
      <c r="AA886" s="131">
        <v>0</v>
      </c>
      <c r="AB886" s="131">
        <v>0</v>
      </c>
      <c r="AC886" s="131">
        <v>0</v>
      </c>
      <c r="AD886" s="131">
        <v>0</v>
      </c>
      <c r="AE886" s="132">
        <v>0</v>
      </c>
    </row>
    <row r="887" spans="1:31" x14ac:dyDescent="0.2">
      <c r="A887" s="133">
        <v>189</v>
      </c>
      <c r="B887" s="133" t="s">
        <v>1820</v>
      </c>
      <c r="C887" s="133" t="s">
        <v>1114</v>
      </c>
      <c r="D887" s="133" t="s">
        <v>1774</v>
      </c>
      <c r="E887" s="133" t="s">
        <v>1116</v>
      </c>
      <c r="F887" s="133" t="s">
        <v>1117</v>
      </c>
      <c r="G887" s="133" t="s">
        <v>1118</v>
      </c>
      <c r="H887" s="130" t="s">
        <v>1133</v>
      </c>
      <c r="I887" s="130" t="s">
        <v>1134</v>
      </c>
      <c r="J887" s="130" t="s">
        <v>1166</v>
      </c>
      <c r="K887" s="130" t="s">
        <v>1167</v>
      </c>
      <c r="L887" s="130" t="s">
        <v>1821</v>
      </c>
      <c r="M887" s="130" t="s">
        <v>1776</v>
      </c>
      <c r="N887" s="130" t="s">
        <v>168</v>
      </c>
      <c r="O887" s="130" t="s">
        <v>1361</v>
      </c>
      <c r="P887" s="130" t="s">
        <v>1777</v>
      </c>
      <c r="Q887" s="130" t="s">
        <v>1127</v>
      </c>
      <c r="R887" s="130" t="s">
        <v>1191</v>
      </c>
      <c r="S887" s="130" t="s">
        <v>1819</v>
      </c>
      <c r="T887" s="130" t="s">
        <v>1130</v>
      </c>
      <c r="U887" s="130">
        <v>0</v>
      </c>
      <c r="V887" s="131">
        <v>106670</v>
      </c>
      <c r="W887" s="131">
        <v>106670</v>
      </c>
      <c r="X887" s="131">
        <v>106670</v>
      </c>
      <c r="Y887" s="131">
        <v>0</v>
      </c>
      <c r="Z887" s="131">
        <v>106670</v>
      </c>
      <c r="AA887" s="131">
        <v>0</v>
      </c>
      <c r="AB887" s="131">
        <v>96622.29</v>
      </c>
      <c r="AC887" s="131">
        <v>10047.710000000006</v>
      </c>
      <c r="AD887" s="131">
        <v>96622.29</v>
      </c>
      <c r="AE887" s="132">
        <v>10047.710000000006</v>
      </c>
    </row>
    <row r="888" spans="1:31" x14ac:dyDescent="0.2">
      <c r="A888" s="130">
        <v>190</v>
      </c>
      <c r="B888" s="130" t="s">
        <v>962</v>
      </c>
      <c r="C888" s="130" t="s">
        <v>1114</v>
      </c>
      <c r="D888" s="130" t="s">
        <v>1774</v>
      </c>
      <c r="E888" s="130" t="s">
        <v>1116</v>
      </c>
      <c r="F888" s="130" t="s">
        <v>1117</v>
      </c>
      <c r="G888" s="130" t="s">
        <v>1118</v>
      </c>
      <c r="H888" s="130" t="s">
        <v>1119</v>
      </c>
      <c r="I888" s="130" t="s">
        <v>1120</v>
      </c>
      <c r="J888" s="130" t="s">
        <v>1358</v>
      </c>
      <c r="K888" s="130" t="s">
        <v>1122</v>
      </c>
      <c r="L888" s="130" t="s">
        <v>1822</v>
      </c>
      <c r="M888" s="130" t="s">
        <v>1776</v>
      </c>
      <c r="N888" s="130" t="s">
        <v>168</v>
      </c>
      <c r="O888" s="130" t="s">
        <v>1361</v>
      </c>
      <c r="P888" s="130" t="s">
        <v>1777</v>
      </c>
      <c r="Q888" s="130" t="s">
        <v>1127</v>
      </c>
      <c r="R888" s="130" t="s">
        <v>1191</v>
      </c>
      <c r="S888" s="130" t="s">
        <v>1191</v>
      </c>
      <c r="T888" s="130" t="s">
        <v>1130</v>
      </c>
      <c r="U888" s="130">
        <v>50000</v>
      </c>
      <c r="V888" s="131">
        <v>-50000</v>
      </c>
      <c r="W888" s="131">
        <v>0</v>
      </c>
      <c r="X888" s="131">
        <v>0</v>
      </c>
      <c r="Y888" s="131">
        <v>0</v>
      </c>
      <c r="Z888" s="131">
        <v>0</v>
      </c>
      <c r="AA888" s="131">
        <v>0</v>
      </c>
      <c r="AB888" s="131">
        <v>0</v>
      </c>
      <c r="AC888" s="131">
        <v>0</v>
      </c>
      <c r="AD888" s="131">
        <v>0</v>
      </c>
      <c r="AE888" s="132">
        <v>0</v>
      </c>
    </row>
    <row r="889" spans="1:31" x14ac:dyDescent="0.2">
      <c r="A889" s="133">
        <v>190</v>
      </c>
      <c r="B889" s="133" t="s">
        <v>962</v>
      </c>
      <c r="C889" s="133" t="s">
        <v>1114</v>
      </c>
      <c r="D889" s="133" t="s">
        <v>1774</v>
      </c>
      <c r="E889" s="133" t="s">
        <v>1116</v>
      </c>
      <c r="F889" s="133" t="s">
        <v>1117</v>
      </c>
      <c r="G889" s="133" t="s">
        <v>1118</v>
      </c>
      <c r="H889" s="130" t="s">
        <v>1133</v>
      </c>
      <c r="I889" s="130" t="s">
        <v>1134</v>
      </c>
      <c r="J889" s="130" t="s">
        <v>1166</v>
      </c>
      <c r="K889" s="130" t="s">
        <v>1167</v>
      </c>
      <c r="L889" s="130" t="s">
        <v>1822</v>
      </c>
      <c r="M889" s="130" t="s">
        <v>1776</v>
      </c>
      <c r="N889" s="130" t="s">
        <v>168</v>
      </c>
      <c r="O889" s="130" t="s">
        <v>1361</v>
      </c>
      <c r="P889" s="130" t="s">
        <v>1777</v>
      </c>
      <c r="Q889" s="130" t="s">
        <v>1127</v>
      </c>
      <c r="R889" s="130" t="s">
        <v>1191</v>
      </c>
      <c r="S889" s="130" t="s">
        <v>1191</v>
      </c>
      <c r="T889" s="130" t="s">
        <v>1130</v>
      </c>
      <c r="U889" s="130">
        <v>0</v>
      </c>
      <c r="V889" s="131">
        <v>50000</v>
      </c>
      <c r="W889" s="131">
        <v>50000</v>
      </c>
      <c r="X889" s="131">
        <v>50000</v>
      </c>
      <c r="Y889" s="131">
        <v>0</v>
      </c>
      <c r="Z889" s="131">
        <v>50000</v>
      </c>
      <c r="AA889" s="131">
        <v>0</v>
      </c>
      <c r="AB889" s="131">
        <v>49782.19</v>
      </c>
      <c r="AC889" s="131">
        <v>217.80999999999767</v>
      </c>
      <c r="AD889" s="131">
        <v>49782.19</v>
      </c>
      <c r="AE889" s="132">
        <v>217.80999999999767</v>
      </c>
    </row>
    <row r="890" spans="1:31" x14ac:dyDescent="0.2">
      <c r="A890" s="130">
        <v>191</v>
      </c>
      <c r="B890" s="130" t="s">
        <v>1823</v>
      </c>
      <c r="C890" s="130" t="s">
        <v>1114</v>
      </c>
      <c r="D890" s="130" t="s">
        <v>1774</v>
      </c>
      <c r="E890" s="130" t="s">
        <v>1116</v>
      </c>
      <c r="F890" s="130" t="s">
        <v>1117</v>
      </c>
      <c r="G890" s="130" t="s">
        <v>1118</v>
      </c>
      <c r="H890" s="130" t="s">
        <v>1119</v>
      </c>
      <c r="I890" s="130" t="s">
        <v>1120</v>
      </c>
      <c r="J890" s="130" t="s">
        <v>1358</v>
      </c>
      <c r="K890" s="130" t="s">
        <v>1122</v>
      </c>
      <c r="L890" s="130" t="s">
        <v>1824</v>
      </c>
      <c r="M890" s="130" t="s">
        <v>1776</v>
      </c>
      <c r="N890" s="130" t="s">
        <v>168</v>
      </c>
      <c r="O890" s="130" t="s">
        <v>1361</v>
      </c>
      <c r="P890" s="130" t="s">
        <v>1777</v>
      </c>
      <c r="Q890" s="130" t="s">
        <v>1127</v>
      </c>
      <c r="R890" s="130" t="s">
        <v>1128</v>
      </c>
      <c r="S890" s="130" t="s">
        <v>1129</v>
      </c>
      <c r="T890" s="130" t="s">
        <v>1158</v>
      </c>
      <c r="U890" s="130">
        <v>0</v>
      </c>
      <c r="V890" s="131">
        <v>0</v>
      </c>
      <c r="W890" s="131">
        <v>0</v>
      </c>
      <c r="X890" s="131">
        <v>0</v>
      </c>
      <c r="Y890" s="131">
        <v>0</v>
      </c>
      <c r="Z890" s="131">
        <v>0</v>
      </c>
      <c r="AA890" s="131">
        <v>0</v>
      </c>
      <c r="AB890" s="131">
        <v>0</v>
      </c>
      <c r="AC890" s="131">
        <v>0</v>
      </c>
      <c r="AD890" s="131">
        <v>0</v>
      </c>
      <c r="AE890" s="132">
        <v>0</v>
      </c>
    </row>
    <row r="891" spans="1:31" x14ac:dyDescent="0.2">
      <c r="A891" s="133">
        <v>191</v>
      </c>
      <c r="B891" s="133" t="s">
        <v>1823</v>
      </c>
      <c r="C891" s="133" t="s">
        <v>1114</v>
      </c>
      <c r="D891" s="133" t="s">
        <v>1774</v>
      </c>
      <c r="E891" s="133" t="s">
        <v>1116</v>
      </c>
      <c r="F891" s="133" t="s">
        <v>1117</v>
      </c>
      <c r="G891" s="133" t="s">
        <v>1118</v>
      </c>
      <c r="H891" s="130" t="s">
        <v>1133</v>
      </c>
      <c r="I891" s="130" t="s">
        <v>1134</v>
      </c>
      <c r="J891" s="130" t="s">
        <v>1166</v>
      </c>
      <c r="K891" s="130" t="s">
        <v>1167</v>
      </c>
      <c r="L891" s="130" t="s">
        <v>1824</v>
      </c>
      <c r="M891" s="130" t="s">
        <v>1776</v>
      </c>
      <c r="N891" s="130" t="s">
        <v>168</v>
      </c>
      <c r="O891" s="130" t="s">
        <v>1361</v>
      </c>
      <c r="P891" s="130" t="s">
        <v>1777</v>
      </c>
      <c r="Q891" s="130" t="s">
        <v>1127</v>
      </c>
      <c r="R891" s="130" t="s">
        <v>1128</v>
      </c>
      <c r="S891" s="130" t="s">
        <v>1129</v>
      </c>
      <c r="T891" s="130" t="s">
        <v>1158</v>
      </c>
      <c r="U891" s="130">
        <v>100000</v>
      </c>
      <c r="V891" s="131">
        <v>-59514</v>
      </c>
      <c r="W891" s="131">
        <v>40486</v>
      </c>
      <c r="X891" s="131">
        <v>27985</v>
      </c>
      <c r="Y891" s="131">
        <v>12501</v>
      </c>
      <c r="Z891" s="131">
        <v>27985</v>
      </c>
      <c r="AA891" s="131">
        <v>12501</v>
      </c>
      <c r="AB891" s="131">
        <v>15934.18</v>
      </c>
      <c r="AC891" s="131">
        <v>24551.82</v>
      </c>
      <c r="AD891" s="131">
        <v>15934.18</v>
      </c>
      <c r="AE891" s="132">
        <v>24551.82</v>
      </c>
    </row>
    <row r="892" spans="1:31" x14ac:dyDescent="0.2">
      <c r="A892" s="130">
        <v>192</v>
      </c>
      <c r="B892" s="130" t="s">
        <v>1825</v>
      </c>
      <c r="C892" s="130" t="s">
        <v>1114</v>
      </c>
      <c r="D892" s="130" t="s">
        <v>1774</v>
      </c>
      <c r="E892" s="130" t="s">
        <v>1116</v>
      </c>
      <c r="F892" s="130" t="s">
        <v>1117</v>
      </c>
      <c r="G892" s="130" t="s">
        <v>1118</v>
      </c>
      <c r="H892" s="130" t="s">
        <v>1119</v>
      </c>
      <c r="I892" s="130" t="s">
        <v>1120</v>
      </c>
      <c r="J892" s="130" t="s">
        <v>1358</v>
      </c>
      <c r="K892" s="130" t="s">
        <v>1122</v>
      </c>
      <c r="L892" s="130" t="s">
        <v>1826</v>
      </c>
      <c r="M892" s="130" t="s">
        <v>1776</v>
      </c>
      <c r="N892" s="130" t="s">
        <v>168</v>
      </c>
      <c r="O892" s="130" t="s">
        <v>1361</v>
      </c>
      <c r="P892" s="130" t="s">
        <v>1777</v>
      </c>
      <c r="Q892" s="130" t="s">
        <v>1127</v>
      </c>
      <c r="R892" s="130" t="s">
        <v>1191</v>
      </c>
      <c r="S892" s="130" t="s">
        <v>1827</v>
      </c>
      <c r="T892" s="130" t="s">
        <v>1130</v>
      </c>
      <c r="U892" s="130">
        <v>50000</v>
      </c>
      <c r="V892" s="131">
        <v>-50000</v>
      </c>
      <c r="W892" s="131">
        <v>0</v>
      </c>
      <c r="X892" s="131">
        <v>0</v>
      </c>
      <c r="Y892" s="131">
        <v>0</v>
      </c>
      <c r="Z892" s="131">
        <v>0</v>
      </c>
      <c r="AA892" s="131">
        <v>0</v>
      </c>
      <c r="AB892" s="131">
        <v>0</v>
      </c>
      <c r="AC892" s="131">
        <v>0</v>
      </c>
      <c r="AD892" s="131">
        <v>0</v>
      </c>
      <c r="AE892" s="132">
        <v>0</v>
      </c>
    </row>
    <row r="893" spans="1:31" x14ac:dyDescent="0.2">
      <c r="A893" s="133">
        <v>192</v>
      </c>
      <c r="B893" s="133" t="s">
        <v>1825</v>
      </c>
      <c r="C893" s="133" t="s">
        <v>1114</v>
      </c>
      <c r="D893" s="133" t="s">
        <v>1774</v>
      </c>
      <c r="E893" s="133" t="s">
        <v>1116</v>
      </c>
      <c r="F893" s="133" t="s">
        <v>1117</v>
      </c>
      <c r="G893" s="133" t="s">
        <v>1118</v>
      </c>
      <c r="H893" s="130" t="s">
        <v>1133</v>
      </c>
      <c r="I893" s="130" t="s">
        <v>1134</v>
      </c>
      <c r="J893" s="130" t="s">
        <v>1166</v>
      </c>
      <c r="K893" s="130" t="s">
        <v>1167</v>
      </c>
      <c r="L893" s="130" t="s">
        <v>1826</v>
      </c>
      <c r="M893" s="130" t="s">
        <v>1776</v>
      </c>
      <c r="N893" s="130" t="s">
        <v>168</v>
      </c>
      <c r="O893" s="130" t="s">
        <v>1361</v>
      </c>
      <c r="P893" s="130" t="s">
        <v>1777</v>
      </c>
      <c r="Q893" s="130" t="s">
        <v>1127</v>
      </c>
      <c r="R893" s="130" t="s">
        <v>1191</v>
      </c>
      <c r="S893" s="130" t="s">
        <v>1827</v>
      </c>
      <c r="T893" s="130" t="s">
        <v>1130</v>
      </c>
      <c r="U893" s="130">
        <v>0</v>
      </c>
      <c r="V893" s="131">
        <v>159574</v>
      </c>
      <c r="W893" s="131">
        <v>159574</v>
      </c>
      <c r="X893" s="131">
        <v>125168.92</v>
      </c>
      <c r="Y893" s="131">
        <v>34405.08</v>
      </c>
      <c r="Z893" s="131">
        <v>125168.92</v>
      </c>
      <c r="AA893" s="131">
        <v>34405.08</v>
      </c>
      <c r="AB893" s="131">
        <v>80461.59</v>
      </c>
      <c r="AC893" s="131">
        <v>79112.41</v>
      </c>
      <c r="AD893" s="131">
        <v>80461.59</v>
      </c>
      <c r="AE893" s="132">
        <v>79112.41</v>
      </c>
    </row>
    <row r="894" spans="1:31" x14ac:dyDescent="0.2">
      <c r="A894" s="130">
        <v>193</v>
      </c>
      <c r="B894" s="130" t="s">
        <v>1828</v>
      </c>
      <c r="C894" s="130" t="s">
        <v>1114</v>
      </c>
      <c r="D894" s="130" t="s">
        <v>1774</v>
      </c>
      <c r="E894" s="130" t="s">
        <v>1116</v>
      </c>
      <c r="F894" s="130" t="s">
        <v>1117</v>
      </c>
      <c r="G894" s="130" t="s">
        <v>1118</v>
      </c>
      <c r="H894" s="130" t="s">
        <v>1119</v>
      </c>
      <c r="I894" s="130" t="s">
        <v>1120</v>
      </c>
      <c r="J894" s="130" t="s">
        <v>1358</v>
      </c>
      <c r="K894" s="130" t="s">
        <v>1122</v>
      </c>
      <c r="L894" s="130" t="s">
        <v>1829</v>
      </c>
      <c r="M894" s="130" t="s">
        <v>1776</v>
      </c>
      <c r="N894" s="130" t="s">
        <v>168</v>
      </c>
      <c r="O894" s="130" t="s">
        <v>1361</v>
      </c>
      <c r="P894" s="130" t="s">
        <v>1777</v>
      </c>
      <c r="Q894" s="130" t="s">
        <v>1127</v>
      </c>
      <c r="R894" s="130" t="s">
        <v>1448</v>
      </c>
      <c r="S894" s="130" t="s">
        <v>1487</v>
      </c>
      <c r="T894" s="130" t="s">
        <v>1130</v>
      </c>
      <c r="U894" s="130">
        <v>50000</v>
      </c>
      <c r="V894" s="131">
        <v>-39563</v>
      </c>
      <c r="W894" s="131">
        <v>10437</v>
      </c>
      <c r="X894" s="131">
        <v>0</v>
      </c>
      <c r="Y894" s="131">
        <v>10437</v>
      </c>
      <c r="Z894" s="131">
        <v>0</v>
      </c>
      <c r="AA894" s="131">
        <v>10437</v>
      </c>
      <c r="AB894" s="131">
        <v>0</v>
      </c>
      <c r="AC894" s="131">
        <v>10437</v>
      </c>
      <c r="AD894" s="131">
        <v>0</v>
      </c>
      <c r="AE894" s="132">
        <v>10437</v>
      </c>
    </row>
    <row r="895" spans="1:31" x14ac:dyDescent="0.2">
      <c r="A895" s="133">
        <v>193</v>
      </c>
      <c r="B895" s="133" t="s">
        <v>1828</v>
      </c>
      <c r="C895" s="133" t="s">
        <v>1114</v>
      </c>
      <c r="D895" s="133" t="s">
        <v>1774</v>
      </c>
      <c r="E895" s="133" t="s">
        <v>1116</v>
      </c>
      <c r="F895" s="133" t="s">
        <v>1117</v>
      </c>
      <c r="G895" s="133" t="s">
        <v>1118</v>
      </c>
      <c r="H895" s="133" t="s">
        <v>1119</v>
      </c>
      <c r="I895" s="133" t="s">
        <v>1120</v>
      </c>
      <c r="J895" s="133" t="s">
        <v>1358</v>
      </c>
      <c r="K895" s="130" t="s">
        <v>1131</v>
      </c>
      <c r="L895" s="130" t="s">
        <v>1829</v>
      </c>
      <c r="M895" s="130" t="s">
        <v>1776</v>
      </c>
      <c r="N895" s="130" t="s">
        <v>168</v>
      </c>
      <c r="O895" s="130" t="s">
        <v>1361</v>
      </c>
      <c r="P895" s="130" t="s">
        <v>1777</v>
      </c>
      <c r="Q895" s="130" t="s">
        <v>1127</v>
      </c>
      <c r="R895" s="130" t="s">
        <v>1448</v>
      </c>
      <c r="S895" s="130" t="s">
        <v>1487</v>
      </c>
      <c r="T895" s="130" t="s">
        <v>1130</v>
      </c>
      <c r="U895" s="130">
        <v>0</v>
      </c>
      <c r="V895" s="131">
        <v>250000</v>
      </c>
      <c r="W895" s="131">
        <v>250000</v>
      </c>
      <c r="X895" s="131">
        <v>250000</v>
      </c>
      <c r="Y895" s="131">
        <v>0</v>
      </c>
      <c r="Z895" s="131">
        <v>250000</v>
      </c>
      <c r="AA895" s="131">
        <v>0</v>
      </c>
      <c r="AB895" s="131">
        <v>11972.83</v>
      </c>
      <c r="AC895" s="131">
        <v>238027.17</v>
      </c>
      <c r="AD895" s="131">
        <v>11972.83</v>
      </c>
      <c r="AE895" s="132">
        <v>238027.17</v>
      </c>
    </row>
    <row r="896" spans="1:31" x14ac:dyDescent="0.2">
      <c r="A896" s="133">
        <v>193</v>
      </c>
      <c r="B896" s="133" t="s">
        <v>1828</v>
      </c>
      <c r="C896" s="133" t="s">
        <v>1114</v>
      </c>
      <c r="D896" s="133" t="s">
        <v>1774</v>
      </c>
      <c r="E896" s="133" t="s">
        <v>1116</v>
      </c>
      <c r="F896" s="133" t="s">
        <v>1117</v>
      </c>
      <c r="G896" s="133" t="s">
        <v>1118</v>
      </c>
      <c r="H896" s="133" t="s">
        <v>1119</v>
      </c>
      <c r="I896" s="133" t="s">
        <v>1120</v>
      </c>
      <c r="J896" s="133" t="s">
        <v>1358</v>
      </c>
      <c r="K896" s="130" t="s">
        <v>1177</v>
      </c>
      <c r="L896" s="130" t="s">
        <v>1829</v>
      </c>
      <c r="M896" s="130" t="s">
        <v>1776</v>
      </c>
      <c r="N896" s="130" t="s">
        <v>168</v>
      </c>
      <c r="O896" s="130" t="s">
        <v>1361</v>
      </c>
      <c r="P896" s="130" t="s">
        <v>1777</v>
      </c>
      <c r="Q896" s="130" t="s">
        <v>1127</v>
      </c>
      <c r="R896" s="130" t="s">
        <v>1448</v>
      </c>
      <c r="S896" s="130" t="s">
        <v>1487</v>
      </c>
      <c r="T896" s="130" t="s">
        <v>1130</v>
      </c>
      <c r="U896" s="130">
        <v>0</v>
      </c>
      <c r="V896" s="131">
        <v>800000</v>
      </c>
      <c r="W896" s="131">
        <v>800000</v>
      </c>
      <c r="X896" s="131">
        <v>508780.11</v>
      </c>
      <c r="Y896" s="131">
        <v>291219.89</v>
      </c>
      <c r="Z896" s="131">
        <v>275737.11</v>
      </c>
      <c r="AA896" s="131">
        <v>524262.89</v>
      </c>
      <c r="AB896" s="131">
        <v>275737.11</v>
      </c>
      <c r="AC896" s="131">
        <v>524262.89</v>
      </c>
      <c r="AD896" s="131">
        <v>0</v>
      </c>
      <c r="AE896" s="132">
        <v>800000</v>
      </c>
    </row>
    <row r="897" spans="1:31" x14ac:dyDescent="0.2">
      <c r="A897" s="133">
        <v>193</v>
      </c>
      <c r="B897" s="133" t="s">
        <v>1828</v>
      </c>
      <c r="C897" s="133" t="s">
        <v>1114</v>
      </c>
      <c r="D897" s="133" t="s">
        <v>1774</v>
      </c>
      <c r="E897" s="133" t="s">
        <v>1116</v>
      </c>
      <c r="F897" s="133" t="s">
        <v>1117</v>
      </c>
      <c r="G897" s="133" t="s">
        <v>1118</v>
      </c>
      <c r="H897" s="133" t="s">
        <v>1119</v>
      </c>
      <c r="I897" s="133" t="s">
        <v>1120</v>
      </c>
      <c r="J897" s="133" t="s">
        <v>1358</v>
      </c>
      <c r="K897" s="130" t="s">
        <v>1132</v>
      </c>
      <c r="L897" s="130" t="s">
        <v>1829</v>
      </c>
      <c r="M897" s="130" t="s">
        <v>1776</v>
      </c>
      <c r="N897" s="130" t="s">
        <v>168</v>
      </c>
      <c r="O897" s="130" t="s">
        <v>1361</v>
      </c>
      <c r="P897" s="130" t="s">
        <v>1777</v>
      </c>
      <c r="Q897" s="130" t="s">
        <v>1127</v>
      </c>
      <c r="R897" s="130" t="s">
        <v>1448</v>
      </c>
      <c r="S897" s="130" t="s">
        <v>1487</v>
      </c>
      <c r="T897" s="130" t="s">
        <v>1130</v>
      </c>
      <c r="U897" s="130">
        <v>0</v>
      </c>
      <c r="V897" s="131">
        <v>196500</v>
      </c>
      <c r="W897" s="131">
        <v>196500</v>
      </c>
      <c r="X897" s="131">
        <v>43740</v>
      </c>
      <c r="Y897" s="131">
        <v>152760</v>
      </c>
      <c r="Z897" s="131">
        <v>43740</v>
      </c>
      <c r="AA897" s="131">
        <v>152760</v>
      </c>
      <c r="AB897" s="131">
        <v>43740</v>
      </c>
      <c r="AC897" s="131">
        <v>152760</v>
      </c>
      <c r="AD897" s="131">
        <v>0</v>
      </c>
      <c r="AE897" s="132">
        <v>196500</v>
      </c>
    </row>
    <row r="898" spans="1:31" x14ac:dyDescent="0.2">
      <c r="A898" s="133">
        <v>193</v>
      </c>
      <c r="B898" s="133" t="s">
        <v>1828</v>
      </c>
      <c r="C898" s="133" t="s">
        <v>1114</v>
      </c>
      <c r="D898" s="133" t="s">
        <v>1774</v>
      </c>
      <c r="E898" s="133" t="s">
        <v>1116</v>
      </c>
      <c r="F898" s="133" t="s">
        <v>1117</v>
      </c>
      <c r="G898" s="133" t="s">
        <v>1118</v>
      </c>
      <c r="H898" s="130" t="s">
        <v>1149</v>
      </c>
      <c r="I898" s="130" t="s">
        <v>1182</v>
      </c>
      <c r="J898" s="130" t="s">
        <v>1347</v>
      </c>
      <c r="K898" s="130" t="s">
        <v>1348</v>
      </c>
      <c r="L898" s="130" t="s">
        <v>1829</v>
      </c>
      <c r="M898" s="130" t="s">
        <v>1776</v>
      </c>
      <c r="N898" s="130" t="s">
        <v>168</v>
      </c>
      <c r="O898" s="130" t="s">
        <v>1361</v>
      </c>
      <c r="P898" s="130" t="s">
        <v>1777</v>
      </c>
      <c r="Q898" s="130" t="s">
        <v>1127</v>
      </c>
      <c r="R898" s="130" t="s">
        <v>1448</v>
      </c>
      <c r="S898" s="130" t="s">
        <v>1487</v>
      </c>
      <c r="T898" s="130" t="s">
        <v>1130</v>
      </c>
      <c r="U898" s="130">
        <v>0</v>
      </c>
      <c r="V898" s="131">
        <v>3500</v>
      </c>
      <c r="W898" s="131">
        <v>3500</v>
      </c>
      <c r="X898" s="131">
        <v>2049</v>
      </c>
      <c r="Y898" s="131">
        <v>1451</v>
      </c>
      <c r="Z898" s="131">
        <v>2049</v>
      </c>
      <c r="AA898" s="131">
        <v>1451</v>
      </c>
      <c r="AB898" s="131">
        <v>2049</v>
      </c>
      <c r="AC898" s="131">
        <v>1451</v>
      </c>
      <c r="AD898" s="131">
        <v>0</v>
      </c>
      <c r="AE898" s="132">
        <v>3500</v>
      </c>
    </row>
    <row r="899" spans="1:31" x14ac:dyDescent="0.2">
      <c r="A899" s="133">
        <v>193</v>
      </c>
      <c r="B899" s="133" t="s">
        <v>1828</v>
      </c>
      <c r="C899" s="133" t="s">
        <v>1114</v>
      </c>
      <c r="D899" s="133" t="s">
        <v>1774</v>
      </c>
      <c r="E899" s="133" t="s">
        <v>1116</v>
      </c>
      <c r="F899" s="133" t="s">
        <v>1117</v>
      </c>
      <c r="G899" s="133" t="s">
        <v>1118</v>
      </c>
      <c r="H899" s="130" t="s">
        <v>1133</v>
      </c>
      <c r="I899" s="130" t="s">
        <v>1134</v>
      </c>
      <c r="J899" s="130" t="s">
        <v>1166</v>
      </c>
      <c r="K899" s="130" t="s">
        <v>1167</v>
      </c>
      <c r="L899" s="130" t="s">
        <v>1829</v>
      </c>
      <c r="M899" s="130" t="s">
        <v>1776</v>
      </c>
      <c r="N899" s="130" t="s">
        <v>168</v>
      </c>
      <c r="O899" s="130" t="s">
        <v>1361</v>
      </c>
      <c r="P899" s="130" t="s">
        <v>1777</v>
      </c>
      <c r="Q899" s="130" t="s">
        <v>1127</v>
      </c>
      <c r="R899" s="130" t="s">
        <v>1448</v>
      </c>
      <c r="S899" s="130" t="s">
        <v>1487</v>
      </c>
      <c r="T899" s="130" t="s">
        <v>1130</v>
      </c>
      <c r="U899" s="130">
        <v>0</v>
      </c>
      <c r="V899" s="131">
        <v>39563</v>
      </c>
      <c r="W899" s="131">
        <v>39563</v>
      </c>
      <c r="X899" s="131">
        <v>39563</v>
      </c>
      <c r="Y899" s="131">
        <v>0</v>
      </c>
      <c r="Z899" s="131">
        <v>39563</v>
      </c>
      <c r="AA899" s="131">
        <v>0</v>
      </c>
      <c r="AB899" s="131">
        <v>37405.770000000004</v>
      </c>
      <c r="AC899" s="131">
        <v>2157.2299999999959</v>
      </c>
      <c r="AD899" s="131">
        <v>37405.770000000004</v>
      </c>
      <c r="AE899" s="132">
        <v>2157.2299999999959</v>
      </c>
    </row>
    <row r="900" spans="1:31" x14ac:dyDescent="0.2">
      <c r="A900" s="133">
        <v>193</v>
      </c>
      <c r="B900" s="133" t="s">
        <v>1828</v>
      </c>
      <c r="C900" s="133" t="s">
        <v>1114</v>
      </c>
      <c r="D900" s="133" t="s">
        <v>1774</v>
      </c>
      <c r="E900" s="133" t="s">
        <v>1116</v>
      </c>
      <c r="F900" s="133" t="s">
        <v>1117</v>
      </c>
      <c r="G900" s="133" t="s">
        <v>1118</v>
      </c>
      <c r="H900" s="133" t="s">
        <v>1133</v>
      </c>
      <c r="I900" s="133" t="s">
        <v>1134</v>
      </c>
      <c r="J900" s="130" t="s">
        <v>1135</v>
      </c>
      <c r="K900" s="130" t="s">
        <v>1178</v>
      </c>
      <c r="L900" s="130" t="s">
        <v>1829</v>
      </c>
      <c r="M900" s="130" t="s">
        <v>1776</v>
      </c>
      <c r="N900" s="130" t="s">
        <v>168</v>
      </c>
      <c r="O900" s="130" t="s">
        <v>1361</v>
      </c>
      <c r="P900" s="130" t="s">
        <v>1777</v>
      </c>
      <c r="Q900" s="130" t="s">
        <v>1127</v>
      </c>
      <c r="R900" s="130" t="s">
        <v>1448</v>
      </c>
      <c r="S900" s="130" t="s">
        <v>1487</v>
      </c>
      <c r="T900" s="130" t="s">
        <v>1130</v>
      </c>
      <c r="U900" s="130">
        <v>0</v>
      </c>
      <c r="V900" s="131">
        <v>90000</v>
      </c>
      <c r="W900" s="131">
        <v>90000</v>
      </c>
      <c r="X900" s="131">
        <v>0</v>
      </c>
      <c r="Y900" s="131">
        <v>90000</v>
      </c>
      <c r="Z900" s="131">
        <v>0</v>
      </c>
      <c r="AA900" s="131">
        <v>90000</v>
      </c>
      <c r="AB900" s="131">
        <v>0</v>
      </c>
      <c r="AC900" s="131">
        <v>90000</v>
      </c>
      <c r="AD900" s="131">
        <v>0</v>
      </c>
      <c r="AE900" s="132">
        <v>90000</v>
      </c>
    </row>
    <row r="901" spans="1:31" x14ac:dyDescent="0.2">
      <c r="A901" s="133">
        <v>193</v>
      </c>
      <c r="B901" s="133" t="s">
        <v>1828</v>
      </c>
      <c r="C901" s="133" t="s">
        <v>1114</v>
      </c>
      <c r="D901" s="133" t="s">
        <v>1774</v>
      </c>
      <c r="E901" s="133" t="s">
        <v>1116</v>
      </c>
      <c r="F901" s="133" t="s">
        <v>1117</v>
      </c>
      <c r="G901" s="133" t="s">
        <v>1118</v>
      </c>
      <c r="H901" s="133" t="s">
        <v>1133</v>
      </c>
      <c r="I901" s="133" t="s">
        <v>1134</v>
      </c>
      <c r="J901" s="133" t="s">
        <v>1135</v>
      </c>
      <c r="K901" s="130" t="s">
        <v>1179</v>
      </c>
      <c r="L901" s="130" t="s">
        <v>1829</v>
      </c>
      <c r="M901" s="130" t="s">
        <v>1776</v>
      </c>
      <c r="N901" s="130" t="s">
        <v>168</v>
      </c>
      <c r="O901" s="130" t="s">
        <v>1361</v>
      </c>
      <c r="P901" s="130" t="s">
        <v>1777</v>
      </c>
      <c r="Q901" s="130" t="s">
        <v>1127</v>
      </c>
      <c r="R901" s="130" t="s">
        <v>1448</v>
      </c>
      <c r="S901" s="130" t="s">
        <v>1487</v>
      </c>
      <c r="T901" s="130" t="s">
        <v>1130</v>
      </c>
      <c r="U901" s="130">
        <v>0</v>
      </c>
      <c r="V901" s="131">
        <v>10000</v>
      </c>
      <c r="W901" s="131">
        <v>10000</v>
      </c>
      <c r="X901" s="131">
        <v>0</v>
      </c>
      <c r="Y901" s="131">
        <v>10000</v>
      </c>
      <c r="Z901" s="131">
        <v>0</v>
      </c>
      <c r="AA901" s="131">
        <v>10000</v>
      </c>
      <c r="AB901" s="131">
        <v>0</v>
      </c>
      <c r="AC901" s="131">
        <v>10000</v>
      </c>
      <c r="AD901" s="131">
        <v>0</v>
      </c>
      <c r="AE901" s="132">
        <v>10000</v>
      </c>
    </row>
    <row r="902" spans="1:31" x14ac:dyDescent="0.2">
      <c r="A902" s="133">
        <v>193</v>
      </c>
      <c r="B902" s="133" t="s">
        <v>1828</v>
      </c>
      <c r="C902" s="133" t="s">
        <v>1114</v>
      </c>
      <c r="D902" s="133" t="s">
        <v>1774</v>
      </c>
      <c r="E902" s="133" t="s">
        <v>1116</v>
      </c>
      <c r="F902" s="133" t="s">
        <v>1117</v>
      </c>
      <c r="G902" s="133" t="s">
        <v>1118</v>
      </c>
      <c r="H902" s="133" t="s">
        <v>1133</v>
      </c>
      <c r="I902" s="133" t="s">
        <v>1134</v>
      </c>
      <c r="J902" s="133" t="s">
        <v>1135</v>
      </c>
      <c r="K902" s="130" t="s">
        <v>1144</v>
      </c>
      <c r="L902" s="130" t="s">
        <v>1829</v>
      </c>
      <c r="M902" s="130" t="s">
        <v>1776</v>
      </c>
      <c r="N902" s="130" t="s">
        <v>168</v>
      </c>
      <c r="O902" s="130" t="s">
        <v>1361</v>
      </c>
      <c r="P902" s="130" t="s">
        <v>1777</v>
      </c>
      <c r="Q902" s="130" t="s">
        <v>1127</v>
      </c>
      <c r="R902" s="130" t="s">
        <v>1448</v>
      </c>
      <c r="S902" s="130" t="s">
        <v>1487</v>
      </c>
      <c r="T902" s="130" t="s">
        <v>1130</v>
      </c>
      <c r="U902" s="130">
        <v>0</v>
      </c>
      <c r="V902" s="131">
        <v>10000</v>
      </c>
      <c r="W902" s="131">
        <v>10000</v>
      </c>
      <c r="X902" s="131">
        <v>0</v>
      </c>
      <c r="Y902" s="131">
        <v>10000</v>
      </c>
      <c r="Z902" s="131">
        <v>0</v>
      </c>
      <c r="AA902" s="131">
        <v>10000</v>
      </c>
      <c r="AB902" s="131">
        <v>0</v>
      </c>
      <c r="AC902" s="131">
        <v>10000</v>
      </c>
      <c r="AD902" s="131">
        <v>0</v>
      </c>
      <c r="AE902" s="132">
        <v>10000</v>
      </c>
    </row>
    <row r="903" spans="1:31" x14ac:dyDescent="0.2">
      <c r="A903" s="130">
        <v>194</v>
      </c>
      <c r="B903" s="130" t="s">
        <v>1830</v>
      </c>
      <c r="C903" s="130" t="s">
        <v>1114</v>
      </c>
      <c r="D903" s="130" t="s">
        <v>1774</v>
      </c>
      <c r="E903" s="130" t="s">
        <v>1116</v>
      </c>
      <c r="F903" s="130" t="s">
        <v>1117</v>
      </c>
      <c r="G903" s="130" t="s">
        <v>1118</v>
      </c>
      <c r="H903" s="130" t="s">
        <v>1119</v>
      </c>
      <c r="I903" s="130" t="s">
        <v>1120</v>
      </c>
      <c r="J903" s="130" t="s">
        <v>1358</v>
      </c>
      <c r="K903" s="130" t="s">
        <v>1122</v>
      </c>
      <c r="L903" s="130" t="s">
        <v>1831</v>
      </c>
      <c r="M903" s="130" t="s">
        <v>1776</v>
      </c>
      <c r="N903" s="130" t="s">
        <v>168</v>
      </c>
      <c r="O903" s="130" t="s">
        <v>1361</v>
      </c>
      <c r="P903" s="130" t="s">
        <v>1777</v>
      </c>
      <c r="Q903" s="130" t="s">
        <v>1127</v>
      </c>
      <c r="R903" s="130" t="s">
        <v>1409</v>
      </c>
      <c r="S903" s="130" t="s">
        <v>1460</v>
      </c>
      <c r="T903" s="130" t="s">
        <v>1130</v>
      </c>
      <c r="U903" s="130">
        <v>100000</v>
      </c>
      <c r="V903" s="131">
        <v>-100000</v>
      </c>
      <c r="W903" s="131">
        <v>0</v>
      </c>
      <c r="X903" s="131">
        <v>0</v>
      </c>
      <c r="Y903" s="131">
        <v>0</v>
      </c>
      <c r="Z903" s="131">
        <v>0</v>
      </c>
      <c r="AA903" s="131">
        <v>0</v>
      </c>
      <c r="AB903" s="131">
        <v>0</v>
      </c>
      <c r="AC903" s="131">
        <v>0</v>
      </c>
      <c r="AD903" s="131">
        <v>0</v>
      </c>
      <c r="AE903" s="132">
        <v>0</v>
      </c>
    </row>
    <row r="904" spans="1:31" x14ac:dyDescent="0.2">
      <c r="A904" s="133">
        <v>194</v>
      </c>
      <c r="B904" s="133" t="s">
        <v>1830</v>
      </c>
      <c r="C904" s="133" t="s">
        <v>1114</v>
      </c>
      <c r="D904" s="133" t="s">
        <v>1774</v>
      </c>
      <c r="E904" s="133" t="s">
        <v>1116</v>
      </c>
      <c r="F904" s="133" t="s">
        <v>1117</v>
      </c>
      <c r="G904" s="133" t="s">
        <v>1118</v>
      </c>
      <c r="H904" s="130" t="s">
        <v>1133</v>
      </c>
      <c r="I904" s="130" t="s">
        <v>1134</v>
      </c>
      <c r="J904" s="130" t="s">
        <v>1166</v>
      </c>
      <c r="K904" s="130" t="s">
        <v>1167</v>
      </c>
      <c r="L904" s="130" t="s">
        <v>1831</v>
      </c>
      <c r="M904" s="130" t="s">
        <v>1776</v>
      </c>
      <c r="N904" s="130" t="s">
        <v>168</v>
      </c>
      <c r="O904" s="130" t="s">
        <v>1361</v>
      </c>
      <c r="P904" s="130" t="s">
        <v>1777</v>
      </c>
      <c r="Q904" s="130" t="s">
        <v>1127</v>
      </c>
      <c r="R904" s="130" t="s">
        <v>1409</v>
      </c>
      <c r="S904" s="130" t="s">
        <v>1460</v>
      </c>
      <c r="T904" s="130" t="s">
        <v>1130</v>
      </c>
      <c r="U904" s="130">
        <v>0</v>
      </c>
      <c r="V904" s="131">
        <v>50467</v>
      </c>
      <c r="W904" s="131">
        <v>50467</v>
      </c>
      <c r="X904" s="131">
        <v>50466.81</v>
      </c>
      <c r="Y904" s="131">
        <v>0.19000000000232831</v>
      </c>
      <c r="Z904" s="131">
        <v>50466.81</v>
      </c>
      <c r="AA904" s="131">
        <v>0.19000000000232831</v>
      </c>
      <c r="AB904" s="131">
        <v>48902.8</v>
      </c>
      <c r="AC904" s="131">
        <v>1564.1999999999971</v>
      </c>
      <c r="AD904" s="131">
        <v>48902.8</v>
      </c>
      <c r="AE904" s="132">
        <v>1564.1999999999971</v>
      </c>
    </row>
    <row r="905" spans="1:31" x14ac:dyDescent="0.2">
      <c r="A905" s="130">
        <v>195</v>
      </c>
      <c r="B905" s="130" t="s">
        <v>1832</v>
      </c>
      <c r="C905" s="130" t="s">
        <v>1147</v>
      </c>
      <c r="D905" s="130" t="s">
        <v>1346</v>
      </c>
      <c r="E905" s="130" t="s">
        <v>1116</v>
      </c>
      <c r="F905" s="130" t="s">
        <v>1117</v>
      </c>
      <c r="G905" s="130" t="s">
        <v>1118</v>
      </c>
      <c r="H905" s="130" t="s">
        <v>1133</v>
      </c>
      <c r="I905" s="130" t="s">
        <v>1134</v>
      </c>
      <c r="J905" s="130" t="s">
        <v>1135</v>
      </c>
      <c r="K905" s="130" t="s">
        <v>1179</v>
      </c>
      <c r="L905" s="130" t="s">
        <v>1833</v>
      </c>
      <c r="M905" s="130" t="s">
        <v>1834</v>
      </c>
      <c r="N905" s="130" t="s">
        <v>152</v>
      </c>
      <c r="O905" s="130" t="s">
        <v>1835</v>
      </c>
      <c r="P905" s="130" t="s">
        <v>1836</v>
      </c>
      <c r="Q905" s="130" t="s">
        <v>1127</v>
      </c>
      <c r="R905" s="130" t="s">
        <v>1128</v>
      </c>
      <c r="S905" s="130" t="s">
        <v>1157</v>
      </c>
      <c r="T905" s="130" t="s">
        <v>1208</v>
      </c>
      <c r="U905" s="130">
        <v>4098</v>
      </c>
      <c r="V905" s="131">
        <v>-4098</v>
      </c>
      <c r="W905" s="131">
        <v>0</v>
      </c>
      <c r="X905" s="131">
        <v>0</v>
      </c>
      <c r="Y905" s="131">
        <v>0</v>
      </c>
      <c r="Z905" s="131">
        <v>0</v>
      </c>
      <c r="AA905" s="131">
        <v>0</v>
      </c>
      <c r="AB905" s="131">
        <v>0</v>
      </c>
      <c r="AC905" s="131">
        <v>0</v>
      </c>
      <c r="AD905" s="131">
        <v>0</v>
      </c>
      <c r="AE905" s="132">
        <v>0</v>
      </c>
    </row>
    <row r="906" spans="1:31" x14ac:dyDescent="0.2">
      <c r="A906" s="130">
        <v>196</v>
      </c>
      <c r="B906" s="130" t="s">
        <v>1837</v>
      </c>
      <c r="C906" s="130" t="s">
        <v>1147</v>
      </c>
      <c r="D906" s="130" t="s">
        <v>1346</v>
      </c>
      <c r="E906" s="130" t="s">
        <v>1116</v>
      </c>
      <c r="F906" s="130" t="s">
        <v>1117</v>
      </c>
      <c r="G906" s="130" t="s">
        <v>1118</v>
      </c>
      <c r="H906" s="130" t="s">
        <v>1133</v>
      </c>
      <c r="I906" s="130" t="s">
        <v>1134</v>
      </c>
      <c r="J906" s="130" t="s">
        <v>1135</v>
      </c>
      <c r="K906" s="130" t="s">
        <v>1179</v>
      </c>
      <c r="L906" s="130" t="s">
        <v>1838</v>
      </c>
      <c r="M906" s="130" t="s">
        <v>1834</v>
      </c>
      <c r="N906" s="130" t="s">
        <v>152</v>
      </c>
      <c r="O906" s="130" t="s">
        <v>1835</v>
      </c>
      <c r="P906" s="130" t="s">
        <v>1836</v>
      </c>
      <c r="Q906" s="130" t="s">
        <v>1127</v>
      </c>
      <c r="R906" s="130" t="s">
        <v>1140</v>
      </c>
      <c r="S906" s="130" t="s">
        <v>1157</v>
      </c>
      <c r="T906" s="130" t="s">
        <v>1208</v>
      </c>
      <c r="U906" s="130">
        <v>87917</v>
      </c>
      <c r="V906" s="131">
        <v>-87917</v>
      </c>
      <c r="W906" s="131">
        <v>0</v>
      </c>
      <c r="X906" s="131">
        <v>0</v>
      </c>
      <c r="Y906" s="131">
        <v>0</v>
      </c>
      <c r="Z906" s="131">
        <v>0</v>
      </c>
      <c r="AA906" s="131">
        <v>0</v>
      </c>
      <c r="AB906" s="131">
        <v>0</v>
      </c>
      <c r="AC906" s="131">
        <v>0</v>
      </c>
      <c r="AD906" s="131">
        <v>0</v>
      </c>
      <c r="AE906" s="132">
        <v>0</v>
      </c>
    </row>
    <row r="907" spans="1:31" x14ac:dyDescent="0.2">
      <c r="A907" s="130">
        <v>197</v>
      </c>
      <c r="B907" s="130" t="s">
        <v>159</v>
      </c>
      <c r="C907" s="130" t="s">
        <v>1114</v>
      </c>
      <c r="D907" s="130" t="s">
        <v>1839</v>
      </c>
      <c r="E907" s="130" t="s">
        <v>1116</v>
      </c>
      <c r="F907" s="130" t="s">
        <v>1117</v>
      </c>
      <c r="G907" s="130" t="s">
        <v>1118</v>
      </c>
      <c r="H907" s="130" t="s">
        <v>1119</v>
      </c>
      <c r="I907" s="130" t="s">
        <v>1120</v>
      </c>
      <c r="J907" s="130" t="s">
        <v>1121</v>
      </c>
      <c r="K907" s="130" t="s">
        <v>1122</v>
      </c>
      <c r="L907" s="130" t="s">
        <v>1840</v>
      </c>
      <c r="M907" s="130" t="s">
        <v>1834</v>
      </c>
      <c r="N907" s="130" t="s">
        <v>152</v>
      </c>
      <c r="O907" s="130" t="s">
        <v>1125</v>
      </c>
      <c r="P907" s="130" t="s">
        <v>1126</v>
      </c>
      <c r="Q907" s="130" t="s">
        <v>1127</v>
      </c>
      <c r="R907" s="130" t="s">
        <v>1187</v>
      </c>
      <c r="S907" s="130" t="s">
        <v>1389</v>
      </c>
      <c r="T907" s="130" t="s">
        <v>1130</v>
      </c>
      <c r="U907" s="130">
        <v>200000</v>
      </c>
      <c r="V907" s="131">
        <v>1074750</v>
      </c>
      <c r="W907" s="131">
        <v>1274750</v>
      </c>
      <c r="X907" s="131">
        <v>938005.73</v>
      </c>
      <c r="Y907" s="131">
        <v>336744.27</v>
      </c>
      <c r="Z907" s="131">
        <v>792831.21</v>
      </c>
      <c r="AA907" s="131">
        <v>481918.79000000004</v>
      </c>
      <c r="AB907" s="131">
        <v>792831.21</v>
      </c>
      <c r="AC907" s="131">
        <v>481918.79000000004</v>
      </c>
      <c r="AD907" s="131">
        <v>792831.21</v>
      </c>
      <c r="AE907" s="132">
        <v>481918.79000000004</v>
      </c>
    </row>
    <row r="908" spans="1:31" x14ac:dyDescent="0.2">
      <c r="A908" s="133">
        <v>197</v>
      </c>
      <c r="B908" s="133" t="s">
        <v>159</v>
      </c>
      <c r="C908" s="133" t="s">
        <v>1114</v>
      </c>
      <c r="D908" s="133" t="s">
        <v>1839</v>
      </c>
      <c r="E908" s="133" t="s">
        <v>1116</v>
      </c>
      <c r="F908" s="133" t="s">
        <v>1117</v>
      </c>
      <c r="G908" s="133" t="s">
        <v>1118</v>
      </c>
      <c r="H908" s="130" t="s">
        <v>1133</v>
      </c>
      <c r="I908" s="130" t="s">
        <v>1134</v>
      </c>
      <c r="J908" s="130" t="s">
        <v>1135</v>
      </c>
      <c r="K908" s="130" t="s">
        <v>1178</v>
      </c>
      <c r="L908" s="130" t="s">
        <v>1840</v>
      </c>
      <c r="M908" s="130" t="s">
        <v>1834</v>
      </c>
      <c r="N908" s="130" t="s">
        <v>152</v>
      </c>
      <c r="O908" s="130" t="s">
        <v>1125</v>
      </c>
      <c r="P908" s="130" t="s">
        <v>1126</v>
      </c>
      <c r="Q908" s="130" t="s">
        <v>1127</v>
      </c>
      <c r="R908" s="130" t="s">
        <v>1187</v>
      </c>
      <c r="S908" s="130" t="s">
        <v>1389</v>
      </c>
      <c r="T908" s="130" t="s">
        <v>1130</v>
      </c>
      <c r="U908" s="130">
        <v>0</v>
      </c>
      <c r="V908" s="131">
        <v>22627</v>
      </c>
      <c r="W908" s="131">
        <v>22627</v>
      </c>
      <c r="X908" s="131">
        <v>22627</v>
      </c>
      <c r="Y908" s="131">
        <v>0</v>
      </c>
      <c r="Z908" s="131">
        <v>22627</v>
      </c>
      <c r="AA908" s="131">
        <v>0</v>
      </c>
      <c r="AB908" s="131">
        <v>16054.17</v>
      </c>
      <c r="AC908" s="131">
        <v>6572.83</v>
      </c>
      <c r="AD908" s="131">
        <v>16054.17</v>
      </c>
      <c r="AE908" s="132">
        <v>6572.83</v>
      </c>
    </row>
    <row r="909" spans="1:31" x14ac:dyDescent="0.2">
      <c r="A909" s="133">
        <v>197</v>
      </c>
      <c r="B909" s="133" t="s">
        <v>159</v>
      </c>
      <c r="C909" s="133" t="s">
        <v>1114</v>
      </c>
      <c r="D909" s="133" t="s">
        <v>1839</v>
      </c>
      <c r="E909" s="133" t="s">
        <v>1116</v>
      </c>
      <c r="F909" s="133" t="s">
        <v>1117</v>
      </c>
      <c r="G909" s="133" t="s">
        <v>1118</v>
      </c>
      <c r="H909" s="133" t="s">
        <v>1133</v>
      </c>
      <c r="I909" s="133" t="s">
        <v>1134</v>
      </c>
      <c r="J909" s="133" t="s">
        <v>1135</v>
      </c>
      <c r="K909" s="130" t="s">
        <v>1179</v>
      </c>
      <c r="L909" s="130" t="s">
        <v>1840</v>
      </c>
      <c r="M909" s="130" t="s">
        <v>1834</v>
      </c>
      <c r="N909" s="130" t="s">
        <v>152</v>
      </c>
      <c r="O909" s="130" t="s">
        <v>1125</v>
      </c>
      <c r="P909" s="130" t="s">
        <v>1126</v>
      </c>
      <c r="Q909" s="130" t="s">
        <v>1127</v>
      </c>
      <c r="R909" s="130" t="s">
        <v>1187</v>
      </c>
      <c r="S909" s="130" t="s">
        <v>1389</v>
      </c>
      <c r="T909" s="130" t="s">
        <v>1130</v>
      </c>
      <c r="U909" s="130">
        <v>0</v>
      </c>
      <c r="V909" s="131">
        <v>0</v>
      </c>
      <c r="W909" s="131">
        <v>0</v>
      </c>
      <c r="X909" s="131">
        <v>0</v>
      </c>
      <c r="Y909" s="131">
        <v>0</v>
      </c>
      <c r="Z909" s="131">
        <v>0</v>
      </c>
      <c r="AA909" s="131">
        <v>0</v>
      </c>
      <c r="AB909" s="131">
        <v>0</v>
      </c>
      <c r="AC909" s="131">
        <v>0</v>
      </c>
      <c r="AD909" s="131">
        <v>0</v>
      </c>
      <c r="AE909" s="132">
        <v>0</v>
      </c>
    </row>
    <row r="910" spans="1:31" x14ac:dyDescent="0.2">
      <c r="A910" s="133">
        <v>197</v>
      </c>
      <c r="B910" s="133" t="s">
        <v>159</v>
      </c>
      <c r="C910" s="133" t="s">
        <v>1114</v>
      </c>
      <c r="D910" s="133" t="s">
        <v>1839</v>
      </c>
      <c r="E910" s="133" t="s">
        <v>1116</v>
      </c>
      <c r="F910" s="133" t="s">
        <v>1117</v>
      </c>
      <c r="G910" s="133" t="s">
        <v>1118</v>
      </c>
      <c r="H910" s="133" t="s">
        <v>1133</v>
      </c>
      <c r="I910" s="133" t="s">
        <v>1134</v>
      </c>
      <c r="J910" s="133" t="s">
        <v>1135</v>
      </c>
      <c r="K910" s="130" t="s">
        <v>1144</v>
      </c>
      <c r="L910" s="130" t="s">
        <v>1840</v>
      </c>
      <c r="M910" s="130" t="s">
        <v>1834</v>
      </c>
      <c r="N910" s="130" t="s">
        <v>152</v>
      </c>
      <c r="O910" s="130" t="s">
        <v>1125</v>
      </c>
      <c r="P910" s="130" t="s">
        <v>1126</v>
      </c>
      <c r="Q910" s="130" t="s">
        <v>1127</v>
      </c>
      <c r="R910" s="130" t="s">
        <v>1187</v>
      </c>
      <c r="S910" s="130" t="s">
        <v>1389</v>
      </c>
      <c r="T910" s="130" t="s">
        <v>1130</v>
      </c>
      <c r="U910" s="130">
        <v>0</v>
      </c>
      <c r="V910" s="131">
        <v>263806</v>
      </c>
      <c r="W910" s="131">
        <v>263806</v>
      </c>
      <c r="X910" s="131">
        <v>263805.49</v>
      </c>
      <c r="Y910" s="131">
        <v>0.51000000000931323</v>
      </c>
      <c r="Z910" s="131">
        <v>263805.49</v>
      </c>
      <c r="AA910" s="131">
        <v>0.51000000000931323</v>
      </c>
      <c r="AB910" s="131">
        <v>263805.49</v>
      </c>
      <c r="AC910" s="131">
        <v>0.51000000000931323</v>
      </c>
      <c r="AD910" s="131">
        <v>263805.49</v>
      </c>
      <c r="AE910" s="132">
        <v>0.51000000000931323</v>
      </c>
    </row>
    <row r="911" spans="1:31" x14ac:dyDescent="0.2">
      <c r="A911" s="130">
        <v>198</v>
      </c>
      <c r="B911" s="130" t="s">
        <v>1841</v>
      </c>
      <c r="C911" s="130" t="s">
        <v>1199</v>
      </c>
      <c r="D911" s="130" t="s">
        <v>1842</v>
      </c>
      <c r="E911" s="130" t="s">
        <v>1201</v>
      </c>
      <c r="F911" s="130" t="s">
        <v>1117</v>
      </c>
      <c r="G911" s="130" t="s">
        <v>1202</v>
      </c>
      <c r="H911" s="130" t="s">
        <v>1216</v>
      </c>
      <c r="I911" s="130" t="s">
        <v>1242</v>
      </c>
      <c r="J911" s="130" t="s">
        <v>1243</v>
      </c>
      <c r="K911" s="130" t="s">
        <v>1244</v>
      </c>
      <c r="L911" s="130" t="s">
        <v>1843</v>
      </c>
      <c r="M911" s="130" t="s">
        <v>1844</v>
      </c>
      <c r="N911" s="130" t="s">
        <v>120</v>
      </c>
      <c r="O911" s="130" t="s">
        <v>1845</v>
      </c>
      <c r="P911" s="130" t="s">
        <v>1846</v>
      </c>
      <c r="Q911" s="130" t="s">
        <v>1127</v>
      </c>
      <c r="R911" s="130" t="s">
        <v>1191</v>
      </c>
      <c r="S911" s="130" t="s">
        <v>1191</v>
      </c>
      <c r="T911" s="130" t="s">
        <v>1847</v>
      </c>
      <c r="U911" s="130">
        <v>914301</v>
      </c>
      <c r="V911" s="131">
        <v>-914301</v>
      </c>
      <c r="W911" s="131">
        <v>0</v>
      </c>
      <c r="X911" s="131">
        <v>0</v>
      </c>
      <c r="Y911" s="131">
        <v>0</v>
      </c>
      <c r="Z911" s="131">
        <v>0</v>
      </c>
      <c r="AA911" s="131">
        <v>0</v>
      </c>
      <c r="AB911" s="131">
        <v>0</v>
      </c>
      <c r="AC911" s="131">
        <v>0</v>
      </c>
      <c r="AD911" s="131">
        <v>0</v>
      </c>
      <c r="AE911" s="132">
        <v>0</v>
      </c>
    </row>
    <row r="912" spans="1:31" x14ac:dyDescent="0.2">
      <c r="A912" s="133">
        <v>198</v>
      </c>
      <c r="B912" s="133" t="s">
        <v>1841</v>
      </c>
      <c r="C912" s="133" t="s">
        <v>1199</v>
      </c>
      <c r="D912" s="133" t="s">
        <v>1842</v>
      </c>
      <c r="E912" s="133" t="s">
        <v>1201</v>
      </c>
      <c r="F912" s="133" t="s">
        <v>1117</v>
      </c>
      <c r="G912" s="133" t="s">
        <v>1202</v>
      </c>
      <c r="H912" s="133" t="s">
        <v>1216</v>
      </c>
      <c r="I912" s="130" t="s">
        <v>1222</v>
      </c>
      <c r="J912" s="130" t="s">
        <v>1304</v>
      </c>
      <c r="K912" s="130" t="s">
        <v>1248</v>
      </c>
      <c r="L912" s="130" t="s">
        <v>1843</v>
      </c>
      <c r="M912" s="130" t="s">
        <v>1844</v>
      </c>
      <c r="N912" s="130" t="s">
        <v>120</v>
      </c>
      <c r="O912" s="130" t="s">
        <v>1845</v>
      </c>
      <c r="P912" s="130" t="s">
        <v>1846</v>
      </c>
      <c r="Q912" s="130" t="s">
        <v>1127</v>
      </c>
      <c r="R912" s="130" t="s">
        <v>1191</v>
      </c>
      <c r="S912" s="130" t="s">
        <v>1191</v>
      </c>
      <c r="T912" s="130" t="s">
        <v>1847</v>
      </c>
      <c r="U912" s="130">
        <v>714220</v>
      </c>
      <c r="V912" s="131">
        <v>-714220</v>
      </c>
      <c r="W912" s="131">
        <v>0</v>
      </c>
      <c r="X912" s="131">
        <v>0</v>
      </c>
      <c r="Y912" s="131">
        <v>0</v>
      </c>
      <c r="Z912" s="131">
        <v>0</v>
      </c>
      <c r="AA912" s="131">
        <v>0</v>
      </c>
      <c r="AB912" s="131">
        <v>0</v>
      </c>
      <c r="AC912" s="131">
        <v>0</v>
      </c>
      <c r="AD912" s="131">
        <v>0</v>
      </c>
      <c r="AE912" s="132">
        <v>0</v>
      </c>
    </row>
    <row r="913" spans="1:31" x14ac:dyDescent="0.2">
      <c r="A913" s="133">
        <v>198</v>
      </c>
      <c r="B913" s="133" t="s">
        <v>1841</v>
      </c>
      <c r="C913" s="133" t="s">
        <v>1199</v>
      </c>
      <c r="D913" s="133" t="s">
        <v>1842</v>
      </c>
      <c r="E913" s="133" t="s">
        <v>1201</v>
      </c>
      <c r="F913" s="133" t="s">
        <v>1117</v>
      </c>
      <c r="G913" s="133" t="s">
        <v>1202</v>
      </c>
      <c r="H913" s="133" t="s">
        <v>1216</v>
      </c>
      <c r="I913" s="133" t="s">
        <v>1222</v>
      </c>
      <c r="J913" s="133" t="s">
        <v>1304</v>
      </c>
      <c r="K913" s="130" t="s">
        <v>1305</v>
      </c>
      <c r="L913" s="130" t="s">
        <v>1843</v>
      </c>
      <c r="M913" s="130" t="s">
        <v>1844</v>
      </c>
      <c r="N913" s="130" t="s">
        <v>120</v>
      </c>
      <c r="O913" s="130" t="s">
        <v>1845</v>
      </c>
      <c r="P913" s="130" t="s">
        <v>1846</v>
      </c>
      <c r="Q913" s="130" t="s">
        <v>1127</v>
      </c>
      <c r="R913" s="130" t="s">
        <v>1191</v>
      </c>
      <c r="S913" s="130" t="s">
        <v>1191</v>
      </c>
      <c r="T913" s="130" t="s">
        <v>1847</v>
      </c>
      <c r="U913" s="130">
        <v>453639</v>
      </c>
      <c r="V913" s="131">
        <v>-443825</v>
      </c>
      <c r="W913" s="131">
        <v>9814</v>
      </c>
      <c r="X913" s="131">
        <v>0</v>
      </c>
      <c r="Y913" s="131">
        <v>9814</v>
      </c>
      <c r="Z913" s="131">
        <v>0</v>
      </c>
      <c r="AA913" s="131">
        <v>9814</v>
      </c>
      <c r="AB913" s="131">
        <v>0</v>
      </c>
      <c r="AC913" s="131">
        <v>9814</v>
      </c>
      <c r="AD913" s="131">
        <v>0</v>
      </c>
      <c r="AE913" s="132">
        <v>9814</v>
      </c>
    </row>
    <row r="914" spans="1:31" x14ac:dyDescent="0.2">
      <c r="A914" s="133">
        <v>198</v>
      </c>
      <c r="B914" s="133" t="s">
        <v>1841</v>
      </c>
      <c r="C914" s="133" t="s">
        <v>1199</v>
      </c>
      <c r="D914" s="133" t="s">
        <v>1842</v>
      </c>
      <c r="E914" s="133" t="s">
        <v>1201</v>
      </c>
      <c r="F914" s="133" t="s">
        <v>1117</v>
      </c>
      <c r="G914" s="133" t="s">
        <v>1202</v>
      </c>
      <c r="H914" s="130" t="s">
        <v>1203</v>
      </c>
      <c r="I914" s="130" t="s">
        <v>1204</v>
      </c>
      <c r="J914" s="130" t="s">
        <v>1205</v>
      </c>
      <c r="K914" s="130" t="s">
        <v>1255</v>
      </c>
      <c r="L914" s="130" t="s">
        <v>1843</v>
      </c>
      <c r="M914" s="130" t="s">
        <v>1844</v>
      </c>
      <c r="N914" s="130" t="s">
        <v>120</v>
      </c>
      <c r="O914" s="130" t="s">
        <v>1845</v>
      </c>
      <c r="P914" s="130" t="s">
        <v>1846</v>
      </c>
      <c r="Q914" s="130" t="s">
        <v>1127</v>
      </c>
      <c r="R914" s="130" t="s">
        <v>1191</v>
      </c>
      <c r="S914" s="130" t="s">
        <v>1191</v>
      </c>
      <c r="T914" s="130" t="s">
        <v>1847</v>
      </c>
      <c r="U914" s="130">
        <v>10000</v>
      </c>
      <c r="V914" s="131">
        <v>-10000</v>
      </c>
      <c r="W914" s="131">
        <v>0</v>
      </c>
      <c r="X914" s="131">
        <v>0</v>
      </c>
      <c r="Y914" s="131">
        <v>0</v>
      </c>
      <c r="Z914" s="131">
        <v>0</v>
      </c>
      <c r="AA914" s="131">
        <v>0</v>
      </c>
      <c r="AB914" s="131">
        <v>0</v>
      </c>
      <c r="AC914" s="131">
        <v>0</v>
      </c>
      <c r="AD914" s="131">
        <v>0</v>
      </c>
      <c r="AE914" s="132">
        <v>0</v>
      </c>
    </row>
    <row r="915" spans="1:31" x14ac:dyDescent="0.2">
      <c r="A915" s="133">
        <v>198</v>
      </c>
      <c r="B915" s="133" t="s">
        <v>1841</v>
      </c>
      <c r="C915" s="133" t="s">
        <v>1199</v>
      </c>
      <c r="D915" s="133" t="s">
        <v>1842</v>
      </c>
      <c r="E915" s="133" t="s">
        <v>1201</v>
      </c>
      <c r="F915" s="133" t="s">
        <v>1117</v>
      </c>
      <c r="G915" s="133" t="s">
        <v>1202</v>
      </c>
      <c r="H915" s="133" t="s">
        <v>1203</v>
      </c>
      <c r="I915" s="133" t="s">
        <v>1204</v>
      </c>
      <c r="J915" s="133" t="s">
        <v>1205</v>
      </c>
      <c r="K915" s="130" t="s">
        <v>1256</v>
      </c>
      <c r="L915" s="130" t="s">
        <v>1843</v>
      </c>
      <c r="M915" s="130" t="s">
        <v>1844</v>
      </c>
      <c r="N915" s="130" t="s">
        <v>120</v>
      </c>
      <c r="O915" s="130" t="s">
        <v>1845</v>
      </c>
      <c r="P915" s="130" t="s">
        <v>1846</v>
      </c>
      <c r="Q915" s="130" t="s">
        <v>1127</v>
      </c>
      <c r="R915" s="130" t="s">
        <v>1191</v>
      </c>
      <c r="S915" s="130" t="s">
        <v>1191</v>
      </c>
      <c r="T915" s="130" t="s">
        <v>1847</v>
      </c>
      <c r="U915" s="130">
        <v>22309</v>
      </c>
      <c r="V915" s="131">
        <v>-22309</v>
      </c>
      <c r="W915" s="131">
        <v>0</v>
      </c>
      <c r="X915" s="131">
        <v>0</v>
      </c>
      <c r="Y915" s="131">
        <v>0</v>
      </c>
      <c r="Z915" s="131">
        <v>0</v>
      </c>
      <c r="AA915" s="131">
        <v>0</v>
      </c>
      <c r="AB915" s="131">
        <v>0</v>
      </c>
      <c r="AC915" s="131">
        <v>0</v>
      </c>
      <c r="AD915" s="131">
        <v>0</v>
      </c>
      <c r="AE915" s="132">
        <v>0</v>
      </c>
    </row>
    <row r="916" spans="1:31" x14ac:dyDescent="0.2">
      <c r="A916" s="133">
        <v>198</v>
      </c>
      <c r="B916" s="133" t="s">
        <v>1841</v>
      </c>
      <c r="C916" s="133" t="s">
        <v>1199</v>
      </c>
      <c r="D916" s="133" t="s">
        <v>1842</v>
      </c>
      <c r="E916" s="133" t="s">
        <v>1201</v>
      </c>
      <c r="F916" s="133" t="s">
        <v>1117</v>
      </c>
      <c r="G916" s="133" t="s">
        <v>1202</v>
      </c>
      <c r="H916" s="133" t="s">
        <v>1203</v>
      </c>
      <c r="I916" s="130" t="s">
        <v>1224</v>
      </c>
      <c r="J916" s="130" t="s">
        <v>1257</v>
      </c>
      <c r="K916" s="130" t="s">
        <v>1258</v>
      </c>
      <c r="L916" s="130" t="s">
        <v>1843</v>
      </c>
      <c r="M916" s="130" t="s">
        <v>1844</v>
      </c>
      <c r="N916" s="130" t="s">
        <v>120</v>
      </c>
      <c r="O916" s="130" t="s">
        <v>1845</v>
      </c>
      <c r="P916" s="130" t="s">
        <v>1846</v>
      </c>
      <c r="Q916" s="130" t="s">
        <v>1127</v>
      </c>
      <c r="R916" s="130" t="s">
        <v>1191</v>
      </c>
      <c r="S916" s="130" t="s">
        <v>1191</v>
      </c>
      <c r="T916" s="130" t="s">
        <v>1847</v>
      </c>
      <c r="U916" s="130">
        <v>633816</v>
      </c>
      <c r="V916" s="131">
        <v>-19500</v>
      </c>
      <c r="W916" s="131">
        <v>614316</v>
      </c>
      <c r="X916" s="131">
        <v>0</v>
      </c>
      <c r="Y916" s="131">
        <v>614316</v>
      </c>
      <c r="Z916" s="131">
        <v>0</v>
      </c>
      <c r="AA916" s="131">
        <v>614316</v>
      </c>
      <c r="AB916" s="131">
        <v>0</v>
      </c>
      <c r="AC916" s="131">
        <v>614316</v>
      </c>
      <c r="AD916" s="131">
        <v>0</v>
      </c>
      <c r="AE916" s="132">
        <v>614316</v>
      </c>
    </row>
    <row r="917" spans="1:31" x14ac:dyDescent="0.2">
      <c r="A917" s="133">
        <v>198</v>
      </c>
      <c r="B917" s="133" t="s">
        <v>1841</v>
      </c>
      <c r="C917" s="133" t="s">
        <v>1199</v>
      </c>
      <c r="D917" s="133" t="s">
        <v>1842</v>
      </c>
      <c r="E917" s="133" t="s">
        <v>1201</v>
      </c>
      <c r="F917" s="133" t="s">
        <v>1117</v>
      </c>
      <c r="G917" s="133" t="s">
        <v>1202</v>
      </c>
      <c r="H917" s="133" t="s">
        <v>1203</v>
      </c>
      <c r="I917" s="133" t="s">
        <v>1224</v>
      </c>
      <c r="J917" s="133" t="s">
        <v>1257</v>
      </c>
      <c r="K917" s="130" t="s">
        <v>1259</v>
      </c>
      <c r="L917" s="130" t="s">
        <v>1843</v>
      </c>
      <c r="M917" s="130" t="s">
        <v>1844</v>
      </c>
      <c r="N917" s="130" t="s">
        <v>120</v>
      </c>
      <c r="O917" s="130" t="s">
        <v>1845</v>
      </c>
      <c r="P917" s="130" t="s">
        <v>1846</v>
      </c>
      <c r="Q917" s="130" t="s">
        <v>1127</v>
      </c>
      <c r="R917" s="130" t="s">
        <v>1191</v>
      </c>
      <c r="S917" s="130" t="s">
        <v>1191</v>
      </c>
      <c r="T917" s="130" t="s">
        <v>1847</v>
      </c>
      <c r="U917" s="130">
        <v>133252</v>
      </c>
      <c r="V917" s="131">
        <v>-38000</v>
      </c>
      <c r="W917" s="131">
        <v>95252</v>
      </c>
      <c r="X917" s="131">
        <v>0</v>
      </c>
      <c r="Y917" s="131">
        <v>95252</v>
      </c>
      <c r="Z917" s="131">
        <v>0</v>
      </c>
      <c r="AA917" s="131">
        <v>95252</v>
      </c>
      <c r="AB917" s="131">
        <v>0</v>
      </c>
      <c r="AC917" s="131">
        <v>95252</v>
      </c>
      <c r="AD917" s="131">
        <v>0</v>
      </c>
      <c r="AE917" s="132">
        <v>95252</v>
      </c>
    </row>
    <row r="918" spans="1:31" x14ac:dyDescent="0.2">
      <c r="A918" s="133">
        <v>198</v>
      </c>
      <c r="B918" s="133" t="s">
        <v>1841</v>
      </c>
      <c r="C918" s="133" t="s">
        <v>1199</v>
      </c>
      <c r="D918" s="133" t="s">
        <v>1842</v>
      </c>
      <c r="E918" s="133" t="s">
        <v>1201</v>
      </c>
      <c r="F918" s="133" t="s">
        <v>1117</v>
      </c>
      <c r="G918" s="133" t="s">
        <v>1202</v>
      </c>
      <c r="H918" s="133" t="s">
        <v>1203</v>
      </c>
      <c r="I918" s="133" t="s">
        <v>1224</v>
      </c>
      <c r="J918" s="130" t="s">
        <v>1529</v>
      </c>
      <c r="K918" s="130" t="s">
        <v>1848</v>
      </c>
      <c r="L918" s="130" t="s">
        <v>1843</v>
      </c>
      <c r="M918" s="130" t="s">
        <v>1844</v>
      </c>
      <c r="N918" s="130" t="s">
        <v>120</v>
      </c>
      <c r="O918" s="130" t="s">
        <v>1845</v>
      </c>
      <c r="P918" s="130" t="s">
        <v>1846</v>
      </c>
      <c r="Q918" s="130" t="s">
        <v>1127</v>
      </c>
      <c r="R918" s="130" t="s">
        <v>1191</v>
      </c>
      <c r="S918" s="130" t="s">
        <v>1191</v>
      </c>
      <c r="T918" s="130" t="s">
        <v>1847</v>
      </c>
      <c r="U918" s="130">
        <v>23413</v>
      </c>
      <c r="V918" s="131">
        <v>-11440</v>
      </c>
      <c r="W918" s="131">
        <v>11973</v>
      </c>
      <c r="X918" s="131">
        <v>0</v>
      </c>
      <c r="Y918" s="131">
        <v>11973</v>
      </c>
      <c r="Z918" s="131">
        <v>0</v>
      </c>
      <c r="AA918" s="131">
        <v>11973</v>
      </c>
      <c r="AB918" s="131">
        <v>0</v>
      </c>
      <c r="AC918" s="131">
        <v>11973</v>
      </c>
      <c r="AD918" s="131">
        <v>0</v>
      </c>
      <c r="AE918" s="132">
        <v>11973</v>
      </c>
    </row>
    <row r="919" spans="1:31" x14ac:dyDescent="0.2">
      <c r="A919" s="133">
        <v>198</v>
      </c>
      <c r="B919" s="133" t="s">
        <v>1841</v>
      </c>
      <c r="C919" s="133" t="s">
        <v>1199</v>
      </c>
      <c r="D919" s="133" t="s">
        <v>1842</v>
      </c>
      <c r="E919" s="133" t="s">
        <v>1201</v>
      </c>
      <c r="F919" s="133" t="s">
        <v>1117</v>
      </c>
      <c r="G919" s="133" t="s">
        <v>1202</v>
      </c>
      <c r="H919" s="133" t="s">
        <v>1203</v>
      </c>
      <c r="I919" s="133" t="s">
        <v>1224</v>
      </c>
      <c r="J919" s="133" t="s">
        <v>1529</v>
      </c>
      <c r="K919" s="130" t="s">
        <v>1530</v>
      </c>
      <c r="L919" s="130" t="s">
        <v>1843</v>
      </c>
      <c r="M919" s="130" t="s">
        <v>1844</v>
      </c>
      <c r="N919" s="130" t="s">
        <v>120</v>
      </c>
      <c r="O919" s="130" t="s">
        <v>1845</v>
      </c>
      <c r="P919" s="130" t="s">
        <v>1846</v>
      </c>
      <c r="Q919" s="130" t="s">
        <v>1127</v>
      </c>
      <c r="R919" s="130" t="s">
        <v>1191</v>
      </c>
      <c r="S919" s="130" t="s">
        <v>1191</v>
      </c>
      <c r="T919" s="130" t="s">
        <v>1847</v>
      </c>
      <c r="U919" s="130">
        <v>74386</v>
      </c>
      <c r="V919" s="131">
        <v>0</v>
      </c>
      <c r="W919" s="131">
        <v>74386</v>
      </c>
      <c r="X919" s="131">
        <v>0</v>
      </c>
      <c r="Y919" s="131">
        <v>74386</v>
      </c>
      <c r="Z919" s="131">
        <v>0</v>
      </c>
      <c r="AA919" s="131">
        <v>74386</v>
      </c>
      <c r="AB919" s="131">
        <v>0</v>
      </c>
      <c r="AC919" s="131">
        <v>74386</v>
      </c>
      <c r="AD919" s="131">
        <v>0</v>
      </c>
      <c r="AE919" s="132">
        <v>74386</v>
      </c>
    </row>
    <row r="920" spans="1:31" x14ac:dyDescent="0.2">
      <c r="A920" s="133">
        <v>198</v>
      </c>
      <c r="B920" s="133" t="s">
        <v>1841</v>
      </c>
      <c r="C920" s="133" t="s">
        <v>1199</v>
      </c>
      <c r="D920" s="133" t="s">
        <v>1842</v>
      </c>
      <c r="E920" s="133" t="s">
        <v>1201</v>
      </c>
      <c r="F920" s="133" t="s">
        <v>1117</v>
      </c>
      <c r="G920" s="133" t="s">
        <v>1202</v>
      </c>
      <c r="H920" s="133" t="s">
        <v>1203</v>
      </c>
      <c r="I920" s="133" t="s">
        <v>1224</v>
      </c>
      <c r="J920" s="133" t="s">
        <v>1529</v>
      </c>
      <c r="K920" s="130" t="s">
        <v>1531</v>
      </c>
      <c r="L920" s="130" t="s">
        <v>1843</v>
      </c>
      <c r="M920" s="130" t="s">
        <v>1844</v>
      </c>
      <c r="N920" s="130" t="s">
        <v>120</v>
      </c>
      <c r="O920" s="130" t="s">
        <v>1845</v>
      </c>
      <c r="P920" s="130" t="s">
        <v>1846</v>
      </c>
      <c r="Q920" s="130" t="s">
        <v>1127</v>
      </c>
      <c r="R920" s="130" t="s">
        <v>1191</v>
      </c>
      <c r="S920" s="130" t="s">
        <v>1191</v>
      </c>
      <c r="T920" s="130" t="s">
        <v>1847</v>
      </c>
      <c r="U920" s="130">
        <v>172514</v>
      </c>
      <c r="V920" s="131">
        <v>-54078</v>
      </c>
      <c r="W920" s="131">
        <v>118436</v>
      </c>
      <c r="X920" s="131">
        <v>0</v>
      </c>
      <c r="Y920" s="131">
        <v>118436</v>
      </c>
      <c r="Z920" s="131">
        <v>0</v>
      </c>
      <c r="AA920" s="131">
        <v>118436</v>
      </c>
      <c r="AB920" s="131">
        <v>0</v>
      </c>
      <c r="AC920" s="131">
        <v>118436</v>
      </c>
      <c r="AD920" s="131">
        <v>0</v>
      </c>
      <c r="AE920" s="132">
        <v>118436</v>
      </c>
    </row>
    <row r="921" spans="1:31" x14ac:dyDescent="0.2">
      <c r="A921" s="133">
        <v>198</v>
      </c>
      <c r="B921" s="133" t="s">
        <v>1841</v>
      </c>
      <c r="C921" s="133" t="s">
        <v>1199</v>
      </c>
      <c r="D921" s="133" t="s">
        <v>1842</v>
      </c>
      <c r="E921" s="133" t="s">
        <v>1201</v>
      </c>
      <c r="F921" s="133" t="s">
        <v>1117</v>
      </c>
      <c r="G921" s="133" t="s">
        <v>1202</v>
      </c>
      <c r="H921" s="133" t="s">
        <v>1203</v>
      </c>
      <c r="I921" s="130" t="s">
        <v>1269</v>
      </c>
      <c r="J921" s="130" t="s">
        <v>1534</v>
      </c>
      <c r="K921" s="130" t="s">
        <v>1535</v>
      </c>
      <c r="L921" s="130" t="s">
        <v>1843</v>
      </c>
      <c r="M921" s="130" t="s">
        <v>1844</v>
      </c>
      <c r="N921" s="130" t="s">
        <v>120</v>
      </c>
      <c r="O921" s="130" t="s">
        <v>1845</v>
      </c>
      <c r="P921" s="130" t="s">
        <v>1846</v>
      </c>
      <c r="Q921" s="130" t="s">
        <v>1127</v>
      </c>
      <c r="R921" s="130" t="s">
        <v>1191</v>
      </c>
      <c r="S921" s="130" t="s">
        <v>1191</v>
      </c>
      <c r="T921" s="130" t="s">
        <v>1847</v>
      </c>
      <c r="U921" s="130">
        <v>40000</v>
      </c>
      <c r="V921" s="131">
        <v>-40000</v>
      </c>
      <c r="W921" s="131">
        <v>0</v>
      </c>
      <c r="X921" s="131">
        <v>0</v>
      </c>
      <c r="Y921" s="131">
        <v>0</v>
      </c>
      <c r="Z921" s="131">
        <v>0</v>
      </c>
      <c r="AA921" s="131">
        <v>0</v>
      </c>
      <c r="AB921" s="131">
        <v>0</v>
      </c>
      <c r="AC921" s="131">
        <v>0</v>
      </c>
      <c r="AD921" s="131">
        <v>0</v>
      </c>
      <c r="AE921" s="132">
        <v>0</v>
      </c>
    </row>
    <row r="922" spans="1:31" x14ac:dyDescent="0.2">
      <c r="A922" s="133">
        <v>198</v>
      </c>
      <c r="B922" s="133" t="s">
        <v>1841</v>
      </c>
      <c r="C922" s="133" t="s">
        <v>1199</v>
      </c>
      <c r="D922" s="133" t="s">
        <v>1842</v>
      </c>
      <c r="E922" s="133" t="s">
        <v>1201</v>
      </c>
      <c r="F922" s="133" t="s">
        <v>1117</v>
      </c>
      <c r="G922" s="133" t="s">
        <v>1202</v>
      </c>
      <c r="H922" s="133" t="s">
        <v>1203</v>
      </c>
      <c r="I922" s="130" t="s">
        <v>1309</v>
      </c>
      <c r="J922" s="130" t="s">
        <v>1310</v>
      </c>
      <c r="K922" s="130" t="s">
        <v>1310</v>
      </c>
      <c r="L922" s="130" t="s">
        <v>1843</v>
      </c>
      <c r="M922" s="130" t="s">
        <v>1844</v>
      </c>
      <c r="N922" s="130" t="s">
        <v>120</v>
      </c>
      <c r="O922" s="130" t="s">
        <v>1845</v>
      </c>
      <c r="P922" s="130" t="s">
        <v>1846</v>
      </c>
      <c r="Q922" s="130" t="s">
        <v>1127</v>
      </c>
      <c r="R922" s="130" t="s">
        <v>1191</v>
      </c>
      <c r="S922" s="130" t="s">
        <v>1191</v>
      </c>
      <c r="T922" s="130" t="s">
        <v>1847</v>
      </c>
      <c r="U922" s="130">
        <v>1500000</v>
      </c>
      <c r="V922" s="131">
        <v>-1134325</v>
      </c>
      <c r="W922" s="131">
        <v>365675</v>
      </c>
      <c r="X922" s="131">
        <v>0</v>
      </c>
      <c r="Y922" s="131">
        <v>365675</v>
      </c>
      <c r="Z922" s="131">
        <v>0</v>
      </c>
      <c r="AA922" s="131">
        <v>365675</v>
      </c>
      <c r="AB922" s="131">
        <v>0</v>
      </c>
      <c r="AC922" s="131">
        <v>365675</v>
      </c>
      <c r="AD922" s="131">
        <v>0</v>
      </c>
      <c r="AE922" s="132">
        <v>365675</v>
      </c>
    </row>
    <row r="923" spans="1:31" x14ac:dyDescent="0.2">
      <c r="A923" s="133">
        <v>198</v>
      </c>
      <c r="B923" s="133" t="s">
        <v>1841</v>
      </c>
      <c r="C923" s="133" t="s">
        <v>1199</v>
      </c>
      <c r="D923" s="133" t="s">
        <v>1842</v>
      </c>
      <c r="E923" s="130" t="s">
        <v>1855</v>
      </c>
      <c r="F923" s="130" t="s">
        <v>1117</v>
      </c>
      <c r="G923" s="130" t="s">
        <v>1202</v>
      </c>
      <c r="H923" s="130" t="s">
        <v>1216</v>
      </c>
      <c r="I923" s="130" t="s">
        <v>1301</v>
      </c>
      <c r="J923" s="130" t="s">
        <v>1301</v>
      </c>
      <c r="K923" s="130" t="s">
        <v>1302</v>
      </c>
      <c r="L923" s="130" t="s">
        <v>1843</v>
      </c>
      <c r="M923" s="130" t="s">
        <v>1844</v>
      </c>
      <c r="N923" s="130" t="s">
        <v>120</v>
      </c>
      <c r="O923" s="130" t="s">
        <v>1845</v>
      </c>
      <c r="P923" s="130" t="s">
        <v>1846</v>
      </c>
      <c r="Q923" s="130" t="s">
        <v>1127</v>
      </c>
      <c r="R923" s="130" t="s">
        <v>1191</v>
      </c>
      <c r="S923" s="130" t="s">
        <v>1191</v>
      </c>
      <c r="T923" s="130" t="s">
        <v>1847</v>
      </c>
      <c r="U923" s="130">
        <v>0</v>
      </c>
      <c r="V923" s="131">
        <v>0</v>
      </c>
      <c r="W923" s="131">
        <v>0</v>
      </c>
      <c r="X923" s="131">
        <v>0</v>
      </c>
      <c r="Y923" s="131">
        <v>0</v>
      </c>
      <c r="Z923" s="131">
        <v>0</v>
      </c>
      <c r="AA923" s="131">
        <v>0</v>
      </c>
      <c r="AB923" s="131">
        <v>0</v>
      </c>
      <c r="AC923" s="131">
        <v>0</v>
      </c>
      <c r="AD923" s="131">
        <v>0</v>
      </c>
      <c r="AE923" s="132">
        <v>0</v>
      </c>
    </row>
    <row r="924" spans="1:31" x14ac:dyDescent="0.2">
      <c r="A924" s="130">
        <v>199</v>
      </c>
      <c r="B924" s="130" t="s">
        <v>1841</v>
      </c>
      <c r="C924" s="130" t="s">
        <v>1199</v>
      </c>
      <c r="D924" s="130" t="s">
        <v>1842</v>
      </c>
      <c r="E924" s="130" t="s">
        <v>1201</v>
      </c>
      <c r="F924" s="130" t="s">
        <v>1117</v>
      </c>
      <c r="G924" s="130" t="s">
        <v>1276</v>
      </c>
      <c r="H924" s="130" t="s">
        <v>1277</v>
      </c>
      <c r="I924" s="130" t="s">
        <v>1278</v>
      </c>
      <c r="J924" s="130" t="s">
        <v>1278</v>
      </c>
      <c r="K924" s="130" t="s">
        <v>1279</v>
      </c>
      <c r="L924" s="130" t="s">
        <v>1849</v>
      </c>
      <c r="M924" s="130" t="s">
        <v>1844</v>
      </c>
      <c r="N924" s="130" t="s">
        <v>120</v>
      </c>
      <c r="O924" s="130" t="s">
        <v>1845</v>
      </c>
      <c r="P924" s="130" t="s">
        <v>1846</v>
      </c>
      <c r="Q924" s="130" t="s">
        <v>1127</v>
      </c>
      <c r="R924" s="130" t="s">
        <v>1191</v>
      </c>
      <c r="S924" s="130" t="s">
        <v>1157</v>
      </c>
      <c r="T924" s="130" t="s">
        <v>1847</v>
      </c>
      <c r="U924" s="130">
        <v>610371</v>
      </c>
      <c r="V924" s="131">
        <v>-50000</v>
      </c>
      <c r="W924" s="131">
        <v>560371</v>
      </c>
      <c r="X924" s="131">
        <v>560371</v>
      </c>
      <c r="Y924" s="131">
        <v>0</v>
      </c>
      <c r="Z924" s="131">
        <v>560371</v>
      </c>
      <c r="AA924" s="131">
        <v>0</v>
      </c>
      <c r="AB924" s="131">
        <v>141749.78</v>
      </c>
      <c r="AC924" s="131">
        <v>418621.22</v>
      </c>
      <c r="AD924" s="131">
        <v>141749.78</v>
      </c>
      <c r="AE924" s="132">
        <v>418621.22</v>
      </c>
    </row>
    <row r="925" spans="1:31" x14ac:dyDescent="0.2">
      <c r="A925" s="133">
        <v>199</v>
      </c>
      <c r="B925" s="133" t="s">
        <v>1841</v>
      </c>
      <c r="C925" s="133" t="s">
        <v>1199</v>
      </c>
      <c r="D925" s="133" t="s">
        <v>1842</v>
      </c>
      <c r="E925" s="133" t="s">
        <v>1201</v>
      </c>
      <c r="F925" s="133" t="s">
        <v>1117</v>
      </c>
      <c r="G925" s="133" t="s">
        <v>1276</v>
      </c>
      <c r="H925" s="133" t="s">
        <v>1277</v>
      </c>
      <c r="I925" s="133" t="s">
        <v>1278</v>
      </c>
      <c r="J925" s="133" t="s">
        <v>1278</v>
      </c>
      <c r="K925" s="130" t="s">
        <v>1281</v>
      </c>
      <c r="L925" s="130" t="s">
        <v>1849</v>
      </c>
      <c r="M925" s="130" t="s">
        <v>1844</v>
      </c>
      <c r="N925" s="130" t="s">
        <v>120</v>
      </c>
      <c r="O925" s="130" t="s">
        <v>1845</v>
      </c>
      <c r="P925" s="130" t="s">
        <v>1846</v>
      </c>
      <c r="Q925" s="130" t="s">
        <v>1127</v>
      </c>
      <c r="R925" s="130" t="s">
        <v>1191</v>
      </c>
      <c r="S925" s="130" t="s">
        <v>1157</v>
      </c>
      <c r="T925" s="130" t="s">
        <v>1847</v>
      </c>
      <c r="U925" s="130">
        <v>98265</v>
      </c>
      <c r="V925" s="131">
        <v>-23900</v>
      </c>
      <c r="W925" s="131">
        <v>74365</v>
      </c>
      <c r="X925" s="131">
        <v>74365</v>
      </c>
      <c r="Y925" s="131">
        <v>0</v>
      </c>
      <c r="Z925" s="131">
        <v>74365</v>
      </c>
      <c r="AA925" s="131">
        <v>0</v>
      </c>
      <c r="AB925" s="131">
        <v>73349.350000000006</v>
      </c>
      <c r="AC925" s="131">
        <v>1015.6499999999942</v>
      </c>
      <c r="AD925" s="131">
        <v>73349.350000000006</v>
      </c>
      <c r="AE925" s="132">
        <v>1015.6499999999942</v>
      </c>
    </row>
    <row r="926" spans="1:31" x14ac:dyDescent="0.2">
      <c r="A926" s="133">
        <v>199</v>
      </c>
      <c r="B926" s="133" t="s">
        <v>1841</v>
      </c>
      <c r="C926" s="133" t="s">
        <v>1199</v>
      </c>
      <c r="D926" s="133" t="s">
        <v>1842</v>
      </c>
      <c r="E926" s="133" t="s">
        <v>1201</v>
      </c>
      <c r="F926" s="133" t="s">
        <v>1117</v>
      </c>
      <c r="G926" s="133" t="s">
        <v>1276</v>
      </c>
      <c r="H926" s="133" t="s">
        <v>1277</v>
      </c>
      <c r="I926" s="133" t="s">
        <v>1278</v>
      </c>
      <c r="J926" s="133" t="s">
        <v>1278</v>
      </c>
      <c r="K926" s="130" t="s">
        <v>1282</v>
      </c>
      <c r="L926" s="130" t="s">
        <v>1849</v>
      </c>
      <c r="M926" s="130" t="s">
        <v>1844</v>
      </c>
      <c r="N926" s="130" t="s">
        <v>120</v>
      </c>
      <c r="O926" s="130" t="s">
        <v>1845</v>
      </c>
      <c r="P926" s="130" t="s">
        <v>1846</v>
      </c>
      <c r="Q926" s="130" t="s">
        <v>1127</v>
      </c>
      <c r="R926" s="130" t="s">
        <v>1191</v>
      </c>
      <c r="S926" s="130" t="s">
        <v>1157</v>
      </c>
      <c r="T926" s="130" t="s">
        <v>1847</v>
      </c>
      <c r="U926" s="130">
        <v>16613</v>
      </c>
      <c r="V926" s="131">
        <v>0</v>
      </c>
      <c r="W926" s="131">
        <v>16613</v>
      </c>
      <c r="X926" s="131">
        <v>16613</v>
      </c>
      <c r="Y926" s="131">
        <v>0</v>
      </c>
      <c r="Z926" s="131">
        <v>16613</v>
      </c>
      <c r="AA926" s="131">
        <v>0</v>
      </c>
      <c r="AB926" s="131">
        <v>5758.7199999999993</v>
      </c>
      <c r="AC926" s="131">
        <v>10854.28</v>
      </c>
      <c r="AD926" s="131">
        <v>5758.7199999999993</v>
      </c>
      <c r="AE926" s="132">
        <v>10854.28</v>
      </c>
    </row>
    <row r="927" spans="1:31" x14ac:dyDescent="0.2">
      <c r="A927" s="133">
        <v>199</v>
      </c>
      <c r="B927" s="133" t="s">
        <v>1841</v>
      </c>
      <c r="C927" s="133" t="s">
        <v>1199</v>
      </c>
      <c r="D927" s="133" t="s">
        <v>1842</v>
      </c>
      <c r="E927" s="133" t="s">
        <v>1201</v>
      </c>
      <c r="F927" s="133" t="s">
        <v>1117</v>
      </c>
      <c r="G927" s="133" t="s">
        <v>1276</v>
      </c>
      <c r="H927" s="133" t="s">
        <v>1277</v>
      </c>
      <c r="I927" s="133" t="s">
        <v>1278</v>
      </c>
      <c r="J927" s="130" t="s">
        <v>1283</v>
      </c>
      <c r="K927" s="130" t="s">
        <v>1284</v>
      </c>
      <c r="L927" s="130" t="s">
        <v>1849</v>
      </c>
      <c r="M927" s="130" t="s">
        <v>1844</v>
      </c>
      <c r="N927" s="130" t="s">
        <v>120</v>
      </c>
      <c r="O927" s="130" t="s">
        <v>1845</v>
      </c>
      <c r="P927" s="130" t="s">
        <v>1846</v>
      </c>
      <c r="Q927" s="130" t="s">
        <v>1127</v>
      </c>
      <c r="R927" s="130" t="s">
        <v>1191</v>
      </c>
      <c r="S927" s="130" t="s">
        <v>1157</v>
      </c>
      <c r="T927" s="130" t="s">
        <v>1847</v>
      </c>
      <c r="U927" s="130">
        <v>1395252</v>
      </c>
      <c r="V927" s="131">
        <v>0</v>
      </c>
      <c r="W927" s="131">
        <v>1395252</v>
      </c>
      <c r="X927" s="131">
        <v>1395252</v>
      </c>
      <c r="Y927" s="131">
        <v>0</v>
      </c>
      <c r="Z927" s="131">
        <v>1395252</v>
      </c>
      <c r="AA927" s="131">
        <v>0</v>
      </c>
      <c r="AB927" s="131">
        <v>315580.64</v>
      </c>
      <c r="AC927" s="131">
        <v>1079671.3599999999</v>
      </c>
      <c r="AD927" s="131">
        <v>315580.64</v>
      </c>
      <c r="AE927" s="132">
        <v>1079671.3599999999</v>
      </c>
    </row>
    <row r="928" spans="1:31" x14ac:dyDescent="0.2">
      <c r="A928" s="133">
        <v>199</v>
      </c>
      <c r="B928" s="133" t="s">
        <v>1841</v>
      </c>
      <c r="C928" s="133" t="s">
        <v>1199</v>
      </c>
      <c r="D928" s="133" t="s">
        <v>1842</v>
      </c>
      <c r="E928" s="133" t="s">
        <v>1201</v>
      </c>
      <c r="F928" s="133" t="s">
        <v>1117</v>
      </c>
      <c r="G928" s="133" t="s">
        <v>1276</v>
      </c>
      <c r="H928" s="133" t="s">
        <v>1277</v>
      </c>
      <c r="I928" s="130" t="s">
        <v>1285</v>
      </c>
      <c r="J928" s="130" t="s">
        <v>1286</v>
      </c>
      <c r="K928" s="130" t="s">
        <v>1287</v>
      </c>
      <c r="L928" s="130" t="s">
        <v>1849</v>
      </c>
      <c r="M928" s="130" t="s">
        <v>1844</v>
      </c>
      <c r="N928" s="130" t="s">
        <v>120</v>
      </c>
      <c r="O928" s="130" t="s">
        <v>1845</v>
      </c>
      <c r="P928" s="130" t="s">
        <v>1846</v>
      </c>
      <c r="Q928" s="130" t="s">
        <v>1127</v>
      </c>
      <c r="R928" s="130" t="s">
        <v>1191</v>
      </c>
      <c r="S928" s="130" t="s">
        <v>1157</v>
      </c>
      <c r="T928" s="130" t="s">
        <v>1847</v>
      </c>
      <c r="U928" s="130">
        <v>320339</v>
      </c>
      <c r="V928" s="131">
        <v>-29776</v>
      </c>
      <c r="W928" s="131">
        <v>290563</v>
      </c>
      <c r="X928" s="131">
        <v>290563</v>
      </c>
      <c r="Y928" s="131">
        <v>0</v>
      </c>
      <c r="Z928" s="131">
        <v>290563</v>
      </c>
      <c r="AA928" s="131">
        <v>0</v>
      </c>
      <c r="AB928" s="131">
        <v>104002.4</v>
      </c>
      <c r="AC928" s="131">
        <v>186560.6</v>
      </c>
      <c r="AD928" s="131">
        <v>104002.4</v>
      </c>
      <c r="AE928" s="132">
        <v>186560.6</v>
      </c>
    </row>
    <row r="929" spans="1:31" x14ac:dyDescent="0.2">
      <c r="A929" s="133">
        <v>199</v>
      </c>
      <c r="B929" s="133" t="s">
        <v>1841</v>
      </c>
      <c r="C929" s="133" t="s">
        <v>1199</v>
      </c>
      <c r="D929" s="133" t="s">
        <v>1842</v>
      </c>
      <c r="E929" s="133" t="s">
        <v>1201</v>
      </c>
      <c r="F929" s="133" t="s">
        <v>1117</v>
      </c>
      <c r="G929" s="133" t="s">
        <v>1276</v>
      </c>
      <c r="H929" s="133" t="s">
        <v>1277</v>
      </c>
      <c r="I929" s="130" t="s">
        <v>1288</v>
      </c>
      <c r="J929" s="130" t="s">
        <v>1289</v>
      </c>
      <c r="K929" s="130" t="s">
        <v>1290</v>
      </c>
      <c r="L929" s="130" t="s">
        <v>1849</v>
      </c>
      <c r="M929" s="130" t="s">
        <v>1844</v>
      </c>
      <c r="N929" s="130" t="s">
        <v>120</v>
      </c>
      <c r="O929" s="130" t="s">
        <v>1845</v>
      </c>
      <c r="P929" s="130" t="s">
        <v>1846</v>
      </c>
      <c r="Q929" s="130" t="s">
        <v>1127</v>
      </c>
      <c r="R929" s="130" t="s">
        <v>1191</v>
      </c>
      <c r="S929" s="130" t="s">
        <v>1157</v>
      </c>
      <c r="T929" s="130" t="s">
        <v>1847</v>
      </c>
      <c r="U929" s="130">
        <v>17400</v>
      </c>
      <c r="V929" s="131">
        <v>0</v>
      </c>
      <c r="W929" s="131">
        <v>17400</v>
      </c>
      <c r="X929" s="131">
        <v>17400</v>
      </c>
      <c r="Y929" s="131">
        <v>0</v>
      </c>
      <c r="Z929" s="131">
        <v>17400</v>
      </c>
      <c r="AA929" s="131">
        <v>0</v>
      </c>
      <c r="AB929" s="131">
        <v>0</v>
      </c>
      <c r="AC929" s="131">
        <v>17400</v>
      </c>
      <c r="AD929" s="131">
        <v>0</v>
      </c>
      <c r="AE929" s="132">
        <v>17400</v>
      </c>
    </row>
    <row r="930" spans="1:31" x14ac:dyDescent="0.2">
      <c r="A930" s="133">
        <v>199</v>
      </c>
      <c r="B930" s="133" t="s">
        <v>1841</v>
      </c>
      <c r="C930" s="133" t="s">
        <v>1199</v>
      </c>
      <c r="D930" s="133" t="s">
        <v>1842</v>
      </c>
      <c r="E930" s="133" t="s">
        <v>1201</v>
      </c>
      <c r="F930" s="133" t="s">
        <v>1117</v>
      </c>
      <c r="G930" s="133" t="s">
        <v>1276</v>
      </c>
      <c r="H930" s="133" t="s">
        <v>1277</v>
      </c>
      <c r="I930" s="133" t="s">
        <v>1288</v>
      </c>
      <c r="J930" s="133" t="s">
        <v>1289</v>
      </c>
      <c r="K930" s="130" t="s">
        <v>1291</v>
      </c>
      <c r="L930" s="130" t="s">
        <v>1849</v>
      </c>
      <c r="M930" s="130" t="s">
        <v>1844</v>
      </c>
      <c r="N930" s="130" t="s">
        <v>120</v>
      </c>
      <c r="O930" s="130" t="s">
        <v>1845</v>
      </c>
      <c r="P930" s="130" t="s">
        <v>1846</v>
      </c>
      <c r="Q930" s="130" t="s">
        <v>1127</v>
      </c>
      <c r="R930" s="130" t="s">
        <v>1191</v>
      </c>
      <c r="S930" s="130" t="s">
        <v>1157</v>
      </c>
      <c r="T930" s="130" t="s">
        <v>1847</v>
      </c>
      <c r="U930" s="130">
        <v>8000</v>
      </c>
      <c r="V930" s="131">
        <v>800</v>
      </c>
      <c r="W930" s="131">
        <v>8800</v>
      </c>
      <c r="X930" s="131">
        <v>8800</v>
      </c>
      <c r="Y930" s="131">
        <v>0</v>
      </c>
      <c r="Z930" s="131">
        <v>8800</v>
      </c>
      <c r="AA930" s="131">
        <v>0</v>
      </c>
      <c r="AB930" s="131">
        <v>8800</v>
      </c>
      <c r="AC930" s="131">
        <v>0</v>
      </c>
      <c r="AD930" s="131">
        <v>8800</v>
      </c>
      <c r="AE930" s="132">
        <v>0</v>
      </c>
    </row>
    <row r="931" spans="1:31" x14ac:dyDescent="0.2">
      <c r="A931" s="133">
        <v>199</v>
      </c>
      <c r="B931" s="133" t="s">
        <v>1841</v>
      </c>
      <c r="C931" s="133" t="s">
        <v>1199</v>
      </c>
      <c r="D931" s="133" t="s">
        <v>1842</v>
      </c>
      <c r="E931" s="133" t="s">
        <v>1201</v>
      </c>
      <c r="F931" s="133" t="s">
        <v>1117</v>
      </c>
      <c r="G931" s="133" t="s">
        <v>1276</v>
      </c>
      <c r="H931" s="133" t="s">
        <v>1277</v>
      </c>
      <c r="I931" s="133" t="s">
        <v>1288</v>
      </c>
      <c r="J931" s="133" t="s">
        <v>1289</v>
      </c>
      <c r="K931" s="130" t="s">
        <v>1292</v>
      </c>
      <c r="L931" s="130" t="s">
        <v>1849</v>
      </c>
      <c r="M931" s="130" t="s">
        <v>1844</v>
      </c>
      <c r="N931" s="130" t="s">
        <v>120</v>
      </c>
      <c r="O931" s="130" t="s">
        <v>1845</v>
      </c>
      <c r="P931" s="130" t="s">
        <v>1846</v>
      </c>
      <c r="Q931" s="130" t="s">
        <v>1127</v>
      </c>
      <c r="R931" s="130" t="s">
        <v>1191</v>
      </c>
      <c r="S931" s="130" t="s">
        <v>1157</v>
      </c>
      <c r="T931" s="130" t="s">
        <v>1847</v>
      </c>
      <c r="U931" s="130">
        <v>7200</v>
      </c>
      <c r="V931" s="131">
        <v>-2323</v>
      </c>
      <c r="W931" s="131">
        <v>4877</v>
      </c>
      <c r="X931" s="131">
        <v>4877</v>
      </c>
      <c r="Y931" s="131">
        <v>0</v>
      </c>
      <c r="Z931" s="131">
        <v>4877</v>
      </c>
      <c r="AA931" s="131">
        <v>0</v>
      </c>
      <c r="AB931" s="131">
        <v>0</v>
      </c>
      <c r="AC931" s="131">
        <v>4877</v>
      </c>
      <c r="AD931" s="131">
        <v>0</v>
      </c>
      <c r="AE931" s="132">
        <v>4877</v>
      </c>
    </row>
    <row r="932" spans="1:31" x14ac:dyDescent="0.2">
      <c r="A932" s="133">
        <v>199</v>
      </c>
      <c r="B932" s="133" t="s">
        <v>1841</v>
      </c>
      <c r="C932" s="133" t="s">
        <v>1199</v>
      </c>
      <c r="D932" s="133" t="s">
        <v>1842</v>
      </c>
      <c r="E932" s="133" t="s">
        <v>1201</v>
      </c>
      <c r="F932" s="133" t="s">
        <v>1117</v>
      </c>
      <c r="G932" s="133" t="s">
        <v>1276</v>
      </c>
      <c r="H932" s="130" t="s">
        <v>1293</v>
      </c>
      <c r="I932" s="130" t="s">
        <v>1294</v>
      </c>
      <c r="J932" s="130" t="s">
        <v>1295</v>
      </c>
      <c r="K932" s="130" t="s">
        <v>1296</v>
      </c>
      <c r="L932" s="130" t="s">
        <v>1849</v>
      </c>
      <c r="M932" s="130" t="s">
        <v>1844</v>
      </c>
      <c r="N932" s="130" t="s">
        <v>120</v>
      </c>
      <c r="O932" s="130" t="s">
        <v>1845</v>
      </c>
      <c r="P932" s="130" t="s">
        <v>1846</v>
      </c>
      <c r="Q932" s="130" t="s">
        <v>1127</v>
      </c>
      <c r="R932" s="130" t="s">
        <v>1191</v>
      </c>
      <c r="S932" s="130" t="s">
        <v>1157</v>
      </c>
      <c r="T932" s="130" t="s">
        <v>1847</v>
      </c>
      <c r="U932" s="130">
        <v>22269</v>
      </c>
      <c r="V932" s="131">
        <v>0</v>
      </c>
      <c r="W932" s="131">
        <v>22269</v>
      </c>
      <c r="X932" s="131">
        <v>0</v>
      </c>
      <c r="Y932" s="131">
        <v>22269</v>
      </c>
      <c r="Z932" s="131">
        <v>0</v>
      </c>
      <c r="AA932" s="131">
        <v>22269</v>
      </c>
      <c r="AB932" s="131">
        <v>0</v>
      </c>
      <c r="AC932" s="131">
        <v>22269</v>
      </c>
      <c r="AD932" s="131">
        <v>0</v>
      </c>
      <c r="AE932" s="132">
        <v>22269</v>
      </c>
    </row>
    <row r="933" spans="1:31" x14ac:dyDescent="0.2">
      <c r="A933" s="133">
        <v>199</v>
      </c>
      <c r="B933" s="133" t="s">
        <v>1841</v>
      </c>
      <c r="C933" s="133" t="s">
        <v>1199</v>
      </c>
      <c r="D933" s="133" t="s">
        <v>1842</v>
      </c>
      <c r="E933" s="133" t="s">
        <v>1201</v>
      </c>
      <c r="F933" s="133" t="s">
        <v>1117</v>
      </c>
      <c r="G933" s="133" t="s">
        <v>1276</v>
      </c>
      <c r="H933" s="130" t="s">
        <v>1297</v>
      </c>
      <c r="I933" s="130" t="s">
        <v>1298</v>
      </c>
      <c r="J933" s="130" t="s">
        <v>1298</v>
      </c>
      <c r="K933" s="130" t="s">
        <v>1299</v>
      </c>
      <c r="L933" s="130" t="s">
        <v>1849</v>
      </c>
      <c r="M933" s="130" t="s">
        <v>1844</v>
      </c>
      <c r="N933" s="130" t="s">
        <v>120</v>
      </c>
      <c r="O933" s="130" t="s">
        <v>1845</v>
      </c>
      <c r="P933" s="130" t="s">
        <v>1846</v>
      </c>
      <c r="Q933" s="130" t="s">
        <v>1127</v>
      </c>
      <c r="R933" s="130" t="s">
        <v>1191</v>
      </c>
      <c r="S933" s="130" t="s">
        <v>1157</v>
      </c>
      <c r="T933" s="130" t="s">
        <v>1847</v>
      </c>
      <c r="U933" s="130">
        <v>81111</v>
      </c>
      <c r="V933" s="131">
        <v>-16163</v>
      </c>
      <c r="W933" s="131">
        <v>64948</v>
      </c>
      <c r="X933" s="131">
        <v>33064</v>
      </c>
      <c r="Y933" s="131">
        <v>31884</v>
      </c>
      <c r="Z933" s="131">
        <v>33064</v>
      </c>
      <c r="AA933" s="131">
        <v>31884</v>
      </c>
      <c r="AB933" s="131">
        <v>17664.79</v>
      </c>
      <c r="AC933" s="131">
        <v>47283.21</v>
      </c>
      <c r="AD933" s="131">
        <v>17664.79</v>
      </c>
      <c r="AE933" s="132">
        <v>47283.21</v>
      </c>
    </row>
    <row r="934" spans="1:31" x14ac:dyDescent="0.2">
      <c r="A934" s="133">
        <v>199</v>
      </c>
      <c r="B934" s="133" t="s">
        <v>1841</v>
      </c>
      <c r="C934" s="133" t="s">
        <v>1199</v>
      </c>
      <c r="D934" s="133" t="s">
        <v>1842</v>
      </c>
      <c r="E934" s="133" t="s">
        <v>1201</v>
      </c>
      <c r="F934" s="133" t="s">
        <v>1117</v>
      </c>
      <c r="G934" s="133" t="s">
        <v>1276</v>
      </c>
      <c r="H934" s="133" t="s">
        <v>1297</v>
      </c>
      <c r="I934" s="133" t="s">
        <v>1298</v>
      </c>
      <c r="J934" s="133" t="s">
        <v>1298</v>
      </c>
      <c r="K934" s="130" t="s">
        <v>1300</v>
      </c>
      <c r="L934" s="130" t="s">
        <v>1849</v>
      </c>
      <c r="M934" s="130" t="s">
        <v>1844</v>
      </c>
      <c r="N934" s="130" t="s">
        <v>120</v>
      </c>
      <c r="O934" s="130" t="s">
        <v>1845</v>
      </c>
      <c r="P934" s="130" t="s">
        <v>1846</v>
      </c>
      <c r="Q934" s="130" t="s">
        <v>1127</v>
      </c>
      <c r="R934" s="130" t="s">
        <v>1191</v>
      </c>
      <c r="S934" s="130" t="s">
        <v>1157</v>
      </c>
      <c r="T934" s="130" t="s">
        <v>1847</v>
      </c>
      <c r="U934" s="130">
        <v>32733</v>
      </c>
      <c r="V934" s="131">
        <v>-11684</v>
      </c>
      <c r="W934" s="131">
        <v>21049</v>
      </c>
      <c r="X934" s="131">
        <v>21049</v>
      </c>
      <c r="Y934" s="131">
        <v>0</v>
      </c>
      <c r="Z934" s="131">
        <v>21049</v>
      </c>
      <c r="AA934" s="131">
        <v>0</v>
      </c>
      <c r="AB934" s="131">
        <v>7881.079999999999</v>
      </c>
      <c r="AC934" s="131">
        <v>13167.920000000002</v>
      </c>
      <c r="AD934" s="131">
        <v>7881.079999999999</v>
      </c>
      <c r="AE934" s="132">
        <v>13167.920000000002</v>
      </c>
    </row>
    <row r="935" spans="1:31" x14ac:dyDescent="0.2">
      <c r="A935" s="133">
        <v>199</v>
      </c>
      <c r="B935" s="133" t="s">
        <v>1841</v>
      </c>
      <c r="C935" s="133" t="s">
        <v>1199</v>
      </c>
      <c r="D935" s="133" t="s">
        <v>1842</v>
      </c>
      <c r="E935" s="133" t="s">
        <v>1201</v>
      </c>
      <c r="F935" s="133" t="s">
        <v>1117</v>
      </c>
      <c r="G935" s="133" t="s">
        <v>1276</v>
      </c>
      <c r="H935" s="130" t="s">
        <v>1514</v>
      </c>
      <c r="I935" s="130" t="s">
        <v>1515</v>
      </c>
      <c r="J935" s="130" t="s">
        <v>1515</v>
      </c>
      <c r="K935" s="130" t="s">
        <v>1516</v>
      </c>
      <c r="L935" s="130" t="s">
        <v>1849</v>
      </c>
      <c r="M935" s="130" t="s">
        <v>1844</v>
      </c>
      <c r="N935" s="130" t="s">
        <v>120</v>
      </c>
      <c r="O935" s="130" t="s">
        <v>1845</v>
      </c>
      <c r="P935" s="130" t="s">
        <v>1846</v>
      </c>
      <c r="Q935" s="130" t="s">
        <v>1127</v>
      </c>
      <c r="R935" s="130" t="s">
        <v>1191</v>
      </c>
      <c r="S935" s="130" t="s">
        <v>1157</v>
      </c>
      <c r="T935" s="130" t="s">
        <v>1847</v>
      </c>
      <c r="U935" s="130">
        <v>4401514</v>
      </c>
      <c r="V935" s="131">
        <v>-844622</v>
      </c>
      <c r="W935" s="131">
        <v>3556892</v>
      </c>
      <c r="X935" s="131">
        <v>3535000</v>
      </c>
      <c r="Y935" s="131">
        <v>21892</v>
      </c>
      <c r="Z935" s="131">
        <v>0</v>
      </c>
      <c r="AA935" s="131">
        <v>3556892</v>
      </c>
      <c r="AB935" s="131">
        <v>0</v>
      </c>
      <c r="AC935" s="131">
        <v>3556892</v>
      </c>
      <c r="AD935" s="131">
        <v>0</v>
      </c>
      <c r="AE935" s="132">
        <v>3556892</v>
      </c>
    </row>
    <row r="936" spans="1:31" x14ac:dyDescent="0.2">
      <c r="A936" s="133">
        <v>199</v>
      </c>
      <c r="B936" s="133" t="s">
        <v>1841</v>
      </c>
      <c r="C936" s="133" t="s">
        <v>1199</v>
      </c>
      <c r="D936" s="133" t="s">
        <v>1842</v>
      </c>
      <c r="E936" s="133" t="s">
        <v>1201</v>
      </c>
      <c r="F936" s="133" t="s">
        <v>1117</v>
      </c>
      <c r="G936" s="133" t="s">
        <v>1276</v>
      </c>
      <c r="H936" s="133" t="s">
        <v>1514</v>
      </c>
      <c r="I936" s="133" t="s">
        <v>1515</v>
      </c>
      <c r="J936" s="133" t="s">
        <v>1515</v>
      </c>
      <c r="K936" s="130" t="s">
        <v>1518</v>
      </c>
      <c r="L936" s="130" t="s">
        <v>1849</v>
      </c>
      <c r="M936" s="130" t="s">
        <v>1844</v>
      </c>
      <c r="N936" s="130" t="s">
        <v>120</v>
      </c>
      <c r="O936" s="130" t="s">
        <v>1845</v>
      </c>
      <c r="P936" s="130" t="s">
        <v>1846</v>
      </c>
      <c r="Q936" s="130" t="s">
        <v>1127</v>
      </c>
      <c r="R936" s="130" t="s">
        <v>1191</v>
      </c>
      <c r="S936" s="130" t="s">
        <v>1157</v>
      </c>
      <c r="T936" s="130" t="s">
        <v>1847</v>
      </c>
      <c r="U936" s="130">
        <v>0</v>
      </c>
      <c r="V936" s="131">
        <v>3664</v>
      </c>
      <c r="W936" s="131">
        <v>3664</v>
      </c>
      <c r="X936" s="131">
        <v>3663.98</v>
      </c>
      <c r="Y936" s="131">
        <v>1.999999999998181E-2</v>
      </c>
      <c r="Z936" s="131">
        <v>3663.98</v>
      </c>
      <c r="AA936" s="131">
        <v>1.999999999998181E-2</v>
      </c>
      <c r="AB936" s="131">
        <v>3663.62</v>
      </c>
      <c r="AC936" s="131">
        <v>0.38000000000010914</v>
      </c>
      <c r="AD936" s="131">
        <v>3663.6199999999994</v>
      </c>
      <c r="AE936" s="132">
        <v>0.38000000000056389</v>
      </c>
    </row>
    <row r="937" spans="1:31" x14ac:dyDescent="0.2">
      <c r="A937" s="133">
        <v>199</v>
      </c>
      <c r="B937" s="133" t="s">
        <v>1841</v>
      </c>
      <c r="C937" s="133" t="s">
        <v>1199</v>
      </c>
      <c r="D937" s="133" t="s">
        <v>1842</v>
      </c>
      <c r="E937" s="133" t="s">
        <v>1201</v>
      </c>
      <c r="F937" s="133" t="s">
        <v>1117</v>
      </c>
      <c r="G937" s="130" t="s">
        <v>1233</v>
      </c>
      <c r="H937" s="130" t="s">
        <v>1234</v>
      </c>
      <c r="I937" s="130" t="s">
        <v>1850</v>
      </c>
      <c r="J937" s="130" t="s">
        <v>1851</v>
      </c>
      <c r="K937" s="130" t="s">
        <v>1852</v>
      </c>
      <c r="L937" s="130" t="s">
        <v>1849</v>
      </c>
      <c r="M937" s="130" t="s">
        <v>1844</v>
      </c>
      <c r="N937" s="130" t="s">
        <v>120</v>
      </c>
      <c r="O937" s="130" t="s">
        <v>1845</v>
      </c>
      <c r="P937" s="130" t="s">
        <v>1846</v>
      </c>
      <c r="Q937" s="130" t="s">
        <v>1127</v>
      </c>
      <c r="R937" s="130" t="s">
        <v>1191</v>
      </c>
      <c r="S937" s="130" t="s">
        <v>1157</v>
      </c>
      <c r="T937" s="130" t="s">
        <v>1847</v>
      </c>
      <c r="U937" s="130">
        <v>39000</v>
      </c>
      <c r="V937" s="131">
        <v>-16500</v>
      </c>
      <c r="W937" s="131">
        <v>22500</v>
      </c>
      <c r="X937" s="131">
        <v>3000</v>
      </c>
      <c r="Y937" s="131">
        <v>19500</v>
      </c>
      <c r="Z937" s="131">
        <v>3000</v>
      </c>
      <c r="AA937" s="131">
        <v>19500</v>
      </c>
      <c r="AB937" s="131">
        <v>3000</v>
      </c>
      <c r="AC937" s="131">
        <v>19500</v>
      </c>
      <c r="AD937" s="131">
        <v>3000</v>
      </c>
      <c r="AE937" s="132">
        <v>19500</v>
      </c>
    </row>
    <row r="938" spans="1:31" x14ac:dyDescent="0.2">
      <c r="A938" s="133">
        <v>199</v>
      </c>
      <c r="B938" s="133" t="s">
        <v>1841</v>
      </c>
      <c r="C938" s="133" t="s">
        <v>1199</v>
      </c>
      <c r="D938" s="133" t="s">
        <v>1842</v>
      </c>
      <c r="E938" s="133" t="s">
        <v>1201</v>
      </c>
      <c r="F938" s="133" t="s">
        <v>1117</v>
      </c>
      <c r="G938" s="130" t="s">
        <v>1202</v>
      </c>
      <c r="H938" s="130" t="s">
        <v>1216</v>
      </c>
      <c r="I938" s="130" t="s">
        <v>1301</v>
      </c>
      <c r="J938" s="130" t="s">
        <v>1301</v>
      </c>
      <c r="K938" s="130" t="s">
        <v>1302</v>
      </c>
      <c r="L938" s="130" t="s">
        <v>1849</v>
      </c>
      <c r="M938" s="130" t="s">
        <v>1844</v>
      </c>
      <c r="N938" s="130" t="s">
        <v>120</v>
      </c>
      <c r="O938" s="130" t="s">
        <v>1845</v>
      </c>
      <c r="P938" s="130" t="s">
        <v>1846</v>
      </c>
      <c r="Q938" s="130" t="s">
        <v>1127</v>
      </c>
      <c r="R938" s="130" t="s">
        <v>1191</v>
      </c>
      <c r="S938" s="130" t="s">
        <v>1157</v>
      </c>
      <c r="T938" s="130" t="s">
        <v>1847</v>
      </c>
      <c r="U938" s="130">
        <v>131282</v>
      </c>
      <c r="V938" s="131">
        <v>-20300</v>
      </c>
      <c r="W938" s="131">
        <v>110982</v>
      </c>
      <c r="X938" s="131">
        <v>86459.5</v>
      </c>
      <c r="Y938" s="131">
        <v>24522.5</v>
      </c>
      <c r="Z938" s="131">
        <v>82583.5</v>
      </c>
      <c r="AA938" s="131">
        <v>28398.5</v>
      </c>
      <c r="AB938" s="131">
        <v>78909.5</v>
      </c>
      <c r="AC938" s="131">
        <v>32072.5</v>
      </c>
      <c r="AD938" s="131">
        <v>76385.5</v>
      </c>
      <c r="AE938" s="132">
        <v>34596.5</v>
      </c>
    </row>
    <row r="939" spans="1:31" x14ac:dyDescent="0.2">
      <c r="A939" s="133">
        <v>199</v>
      </c>
      <c r="B939" s="133" t="s">
        <v>1841</v>
      </c>
      <c r="C939" s="133" t="s">
        <v>1199</v>
      </c>
      <c r="D939" s="133" t="s">
        <v>1842</v>
      </c>
      <c r="E939" s="133" t="s">
        <v>1201</v>
      </c>
      <c r="F939" s="133" t="s">
        <v>1117</v>
      </c>
      <c r="G939" s="133" t="s">
        <v>1202</v>
      </c>
      <c r="H939" s="133" t="s">
        <v>1216</v>
      </c>
      <c r="I939" s="130" t="s">
        <v>1217</v>
      </c>
      <c r="J939" s="130" t="s">
        <v>1218</v>
      </c>
      <c r="K939" s="130" t="s">
        <v>1219</v>
      </c>
      <c r="L939" s="130" t="s">
        <v>1849</v>
      </c>
      <c r="M939" s="130" t="s">
        <v>1844</v>
      </c>
      <c r="N939" s="130" t="s">
        <v>120</v>
      </c>
      <c r="O939" s="130" t="s">
        <v>1845</v>
      </c>
      <c r="P939" s="130" t="s">
        <v>1846</v>
      </c>
      <c r="Q939" s="130" t="s">
        <v>1127</v>
      </c>
      <c r="R939" s="130" t="s">
        <v>1191</v>
      </c>
      <c r="S939" s="130" t="s">
        <v>1157</v>
      </c>
      <c r="T939" s="130" t="s">
        <v>1847</v>
      </c>
      <c r="U939" s="130">
        <v>12783</v>
      </c>
      <c r="V939" s="131">
        <v>500</v>
      </c>
      <c r="W939" s="131">
        <v>13283</v>
      </c>
      <c r="X939" s="131">
        <v>13200</v>
      </c>
      <c r="Y939" s="131">
        <v>83</v>
      </c>
      <c r="Z939" s="131">
        <v>13200</v>
      </c>
      <c r="AA939" s="131">
        <v>83</v>
      </c>
      <c r="AB939" s="131">
        <v>13200</v>
      </c>
      <c r="AC939" s="131">
        <v>83</v>
      </c>
      <c r="AD939" s="131">
        <v>0</v>
      </c>
      <c r="AE939" s="132">
        <v>13283</v>
      </c>
    </row>
    <row r="940" spans="1:31" x14ac:dyDescent="0.2">
      <c r="A940" s="133">
        <v>199</v>
      </c>
      <c r="B940" s="133" t="s">
        <v>1841</v>
      </c>
      <c r="C940" s="133" t="s">
        <v>1199</v>
      </c>
      <c r="D940" s="133" t="s">
        <v>1842</v>
      </c>
      <c r="E940" s="133" t="s">
        <v>1201</v>
      </c>
      <c r="F940" s="133" t="s">
        <v>1117</v>
      </c>
      <c r="G940" s="133" t="s">
        <v>1202</v>
      </c>
      <c r="H940" s="133" t="s">
        <v>1216</v>
      </c>
      <c r="I940" s="130" t="s">
        <v>1242</v>
      </c>
      <c r="J940" s="130" t="s">
        <v>1243</v>
      </c>
      <c r="K940" s="130" t="s">
        <v>1303</v>
      </c>
      <c r="L940" s="130" t="s">
        <v>1849</v>
      </c>
      <c r="M940" s="130" t="s">
        <v>1844</v>
      </c>
      <c r="N940" s="130" t="s">
        <v>120</v>
      </c>
      <c r="O940" s="130" t="s">
        <v>1845</v>
      </c>
      <c r="P940" s="130" t="s">
        <v>1846</v>
      </c>
      <c r="Q940" s="130" t="s">
        <v>1127</v>
      </c>
      <c r="R940" s="130" t="s">
        <v>1191</v>
      </c>
      <c r="S940" s="130" t="s">
        <v>1157</v>
      </c>
      <c r="T940" s="130" t="s">
        <v>1847</v>
      </c>
      <c r="U940" s="130">
        <v>774583</v>
      </c>
      <c r="V940" s="131">
        <v>-674792</v>
      </c>
      <c r="W940" s="131">
        <v>99791</v>
      </c>
      <c r="X940" s="131">
        <v>12960</v>
      </c>
      <c r="Y940" s="131">
        <v>86831</v>
      </c>
      <c r="Z940" s="131">
        <v>12960</v>
      </c>
      <c r="AA940" s="131">
        <v>86831</v>
      </c>
      <c r="AB940" s="131">
        <v>12960</v>
      </c>
      <c r="AC940" s="131">
        <v>86831</v>
      </c>
      <c r="AD940" s="131">
        <v>0</v>
      </c>
      <c r="AE940" s="132">
        <v>99791</v>
      </c>
    </row>
    <row r="941" spans="1:31" x14ac:dyDescent="0.2">
      <c r="A941" s="133">
        <v>199</v>
      </c>
      <c r="B941" s="133" t="s">
        <v>1841</v>
      </c>
      <c r="C941" s="133" t="s">
        <v>1199</v>
      </c>
      <c r="D941" s="133" t="s">
        <v>1842</v>
      </c>
      <c r="E941" s="133" t="s">
        <v>1201</v>
      </c>
      <c r="F941" s="133" t="s">
        <v>1117</v>
      </c>
      <c r="G941" s="133" t="s">
        <v>1202</v>
      </c>
      <c r="H941" s="133" t="s">
        <v>1216</v>
      </c>
      <c r="I941" s="133" t="s">
        <v>1242</v>
      </c>
      <c r="J941" s="133" t="s">
        <v>1243</v>
      </c>
      <c r="K941" s="130" t="s">
        <v>1244</v>
      </c>
      <c r="L941" s="130" t="s">
        <v>1849</v>
      </c>
      <c r="M941" s="130" t="s">
        <v>1844</v>
      </c>
      <c r="N941" s="130" t="s">
        <v>120</v>
      </c>
      <c r="O941" s="130" t="s">
        <v>1845</v>
      </c>
      <c r="P941" s="130" t="s">
        <v>1846</v>
      </c>
      <c r="Q941" s="130" t="s">
        <v>1127</v>
      </c>
      <c r="R941" s="130" t="s">
        <v>1191</v>
      </c>
      <c r="S941" s="130" t="s">
        <v>1157</v>
      </c>
      <c r="T941" s="130" t="s">
        <v>1847</v>
      </c>
      <c r="U941" s="130">
        <v>5806</v>
      </c>
      <c r="V941" s="131">
        <v>0</v>
      </c>
      <c r="W941" s="131">
        <v>5806</v>
      </c>
      <c r="X941" s="131">
        <v>0</v>
      </c>
      <c r="Y941" s="131">
        <v>5806</v>
      </c>
      <c r="Z941" s="131">
        <v>0</v>
      </c>
      <c r="AA941" s="131">
        <v>5806</v>
      </c>
      <c r="AB941" s="131">
        <v>0</v>
      </c>
      <c r="AC941" s="131">
        <v>5806</v>
      </c>
      <c r="AD941" s="131">
        <v>0</v>
      </c>
      <c r="AE941" s="132">
        <v>5806</v>
      </c>
    </row>
    <row r="942" spans="1:31" x14ac:dyDescent="0.2">
      <c r="A942" s="133">
        <v>199</v>
      </c>
      <c r="B942" s="133" t="s">
        <v>1841</v>
      </c>
      <c r="C942" s="133" t="s">
        <v>1199</v>
      </c>
      <c r="D942" s="133" t="s">
        <v>1842</v>
      </c>
      <c r="E942" s="133" t="s">
        <v>1201</v>
      </c>
      <c r="F942" s="133" t="s">
        <v>1117</v>
      </c>
      <c r="G942" s="133" t="s">
        <v>1202</v>
      </c>
      <c r="H942" s="133" t="s">
        <v>1216</v>
      </c>
      <c r="I942" s="130" t="s">
        <v>1222</v>
      </c>
      <c r="J942" s="130" t="s">
        <v>1304</v>
      </c>
      <c r="K942" s="130" t="s">
        <v>1248</v>
      </c>
      <c r="L942" s="130" t="s">
        <v>1849</v>
      </c>
      <c r="M942" s="130" t="s">
        <v>1844</v>
      </c>
      <c r="N942" s="130" t="s">
        <v>120</v>
      </c>
      <c r="O942" s="130" t="s">
        <v>1845</v>
      </c>
      <c r="P942" s="130" t="s">
        <v>1846</v>
      </c>
      <c r="Q942" s="130" t="s">
        <v>1127</v>
      </c>
      <c r="R942" s="130" t="s">
        <v>1191</v>
      </c>
      <c r="S942" s="130" t="s">
        <v>1157</v>
      </c>
      <c r="T942" s="130" t="s">
        <v>1847</v>
      </c>
      <c r="U942" s="130">
        <v>6488</v>
      </c>
      <c r="V942" s="131">
        <v>0</v>
      </c>
      <c r="W942" s="131">
        <v>6488</v>
      </c>
      <c r="X942" s="131">
        <v>2668</v>
      </c>
      <c r="Y942" s="131">
        <v>3820</v>
      </c>
      <c r="Z942" s="131">
        <v>1335.61</v>
      </c>
      <c r="AA942" s="131">
        <v>5152.3900000000003</v>
      </c>
      <c r="AB942" s="131">
        <v>1335.61</v>
      </c>
      <c r="AC942" s="131">
        <v>5152.3900000000003</v>
      </c>
      <c r="AD942" s="131">
        <v>1335.61</v>
      </c>
      <c r="AE942" s="132">
        <v>5152.3900000000003</v>
      </c>
    </row>
    <row r="943" spans="1:31" x14ac:dyDescent="0.2">
      <c r="A943" s="133">
        <v>199</v>
      </c>
      <c r="B943" s="133" t="s">
        <v>1841</v>
      </c>
      <c r="C943" s="133" t="s">
        <v>1199</v>
      </c>
      <c r="D943" s="133" t="s">
        <v>1842</v>
      </c>
      <c r="E943" s="133" t="s">
        <v>1201</v>
      </c>
      <c r="F943" s="133" t="s">
        <v>1117</v>
      </c>
      <c r="G943" s="133" t="s">
        <v>1202</v>
      </c>
      <c r="H943" s="133" t="s">
        <v>1216</v>
      </c>
      <c r="I943" s="133" t="s">
        <v>1222</v>
      </c>
      <c r="J943" s="133" t="s">
        <v>1304</v>
      </c>
      <c r="K943" s="130" t="s">
        <v>1305</v>
      </c>
      <c r="L943" s="130" t="s">
        <v>1849</v>
      </c>
      <c r="M943" s="130" t="s">
        <v>1844</v>
      </c>
      <c r="N943" s="130" t="s">
        <v>120</v>
      </c>
      <c r="O943" s="130" t="s">
        <v>1845</v>
      </c>
      <c r="P943" s="130" t="s">
        <v>1846</v>
      </c>
      <c r="Q943" s="130" t="s">
        <v>1127</v>
      </c>
      <c r="R943" s="130" t="s">
        <v>1191</v>
      </c>
      <c r="S943" s="130" t="s">
        <v>1157</v>
      </c>
      <c r="T943" s="130" t="s">
        <v>1847</v>
      </c>
      <c r="U943" s="130">
        <v>158486</v>
      </c>
      <c r="V943" s="131">
        <v>-120092</v>
      </c>
      <c r="W943" s="131">
        <v>38394</v>
      </c>
      <c r="X943" s="131">
        <v>26510.9</v>
      </c>
      <c r="Y943" s="131">
        <v>11883.099999999999</v>
      </c>
      <c r="Z943" s="131">
        <v>25974.82</v>
      </c>
      <c r="AA943" s="131">
        <v>12419.18</v>
      </c>
      <c r="AB943" s="131">
        <v>16636.32</v>
      </c>
      <c r="AC943" s="131">
        <v>21757.68</v>
      </c>
      <c r="AD943" s="131">
        <v>12468.04</v>
      </c>
      <c r="AE943" s="132">
        <v>25925.96</v>
      </c>
    </row>
    <row r="944" spans="1:31" x14ac:dyDescent="0.2">
      <c r="A944" s="133">
        <v>199</v>
      </c>
      <c r="B944" s="133" t="s">
        <v>1841</v>
      </c>
      <c r="C944" s="133" t="s">
        <v>1199</v>
      </c>
      <c r="D944" s="133" t="s">
        <v>1842</v>
      </c>
      <c r="E944" s="133" t="s">
        <v>1201</v>
      </c>
      <c r="F944" s="133" t="s">
        <v>1117</v>
      </c>
      <c r="G944" s="133" t="s">
        <v>1202</v>
      </c>
      <c r="H944" s="133" t="s">
        <v>1216</v>
      </c>
      <c r="I944" s="133" t="s">
        <v>1222</v>
      </c>
      <c r="J944" s="130" t="s">
        <v>1245</v>
      </c>
      <c r="K944" s="130" t="s">
        <v>1246</v>
      </c>
      <c r="L944" s="130" t="s">
        <v>1849</v>
      </c>
      <c r="M944" s="130" t="s">
        <v>1844</v>
      </c>
      <c r="N944" s="130" t="s">
        <v>120</v>
      </c>
      <c r="O944" s="130" t="s">
        <v>1845</v>
      </c>
      <c r="P944" s="130" t="s">
        <v>1846</v>
      </c>
      <c r="Q944" s="130" t="s">
        <v>1127</v>
      </c>
      <c r="R944" s="130" t="s">
        <v>1191</v>
      </c>
      <c r="S944" s="130" t="s">
        <v>1157</v>
      </c>
      <c r="T944" s="130" t="s">
        <v>1847</v>
      </c>
      <c r="U944" s="130">
        <v>2062</v>
      </c>
      <c r="V944" s="131">
        <v>1000</v>
      </c>
      <c r="W944" s="131">
        <v>3062</v>
      </c>
      <c r="X944" s="131">
        <v>2614.6999999999998</v>
      </c>
      <c r="Y944" s="131">
        <v>447.30000000000018</v>
      </c>
      <c r="Z944" s="131">
        <v>2314.6999999999998</v>
      </c>
      <c r="AA944" s="131">
        <v>747.30000000000018</v>
      </c>
      <c r="AB944" s="131">
        <v>2314.6999999999998</v>
      </c>
      <c r="AC944" s="131">
        <v>747.30000000000018</v>
      </c>
      <c r="AD944" s="131">
        <v>2314.6999999999998</v>
      </c>
      <c r="AE944" s="132">
        <v>747.30000000000018</v>
      </c>
    </row>
    <row r="945" spans="1:31" x14ac:dyDescent="0.2">
      <c r="A945" s="133">
        <v>199</v>
      </c>
      <c r="B945" s="133" t="s">
        <v>1841</v>
      </c>
      <c r="C945" s="133" t="s">
        <v>1199</v>
      </c>
      <c r="D945" s="133" t="s">
        <v>1842</v>
      </c>
      <c r="E945" s="133" t="s">
        <v>1201</v>
      </c>
      <c r="F945" s="133" t="s">
        <v>1117</v>
      </c>
      <c r="G945" s="133" t="s">
        <v>1202</v>
      </c>
      <c r="H945" s="133" t="s">
        <v>1216</v>
      </c>
      <c r="I945" s="133" t="s">
        <v>1222</v>
      </c>
      <c r="J945" s="133" t="s">
        <v>1245</v>
      </c>
      <c r="K945" s="130" t="s">
        <v>1575</v>
      </c>
      <c r="L945" s="130" t="s">
        <v>1849</v>
      </c>
      <c r="M945" s="130" t="s">
        <v>1844</v>
      </c>
      <c r="N945" s="130" t="s">
        <v>120</v>
      </c>
      <c r="O945" s="130" t="s">
        <v>1845</v>
      </c>
      <c r="P945" s="130" t="s">
        <v>1846</v>
      </c>
      <c r="Q945" s="130" t="s">
        <v>1127</v>
      </c>
      <c r="R945" s="130" t="s">
        <v>1191</v>
      </c>
      <c r="S945" s="130" t="s">
        <v>1157</v>
      </c>
      <c r="T945" s="130" t="s">
        <v>1847</v>
      </c>
      <c r="U945" s="130">
        <v>200</v>
      </c>
      <c r="V945" s="131">
        <v>766</v>
      </c>
      <c r="W945" s="131">
        <v>966</v>
      </c>
      <c r="X945" s="131">
        <v>956</v>
      </c>
      <c r="Y945" s="131">
        <v>10</v>
      </c>
      <c r="Z945" s="131">
        <v>956</v>
      </c>
      <c r="AA945" s="131">
        <v>10</v>
      </c>
      <c r="AB945" s="131">
        <v>956</v>
      </c>
      <c r="AC945" s="131">
        <v>10</v>
      </c>
      <c r="AD945" s="131">
        <v>956</v>
      </c>
      <c r="AE945" s="132">
        <v>10</v>
      </c>
    </row>
    <row r="946" spans="1:31" x14ac:dyDescent="0.2">
      <c r="A946" s="133">
        <v>199</v>
      </c>
      <c r="B946" s="133" t="s">
        <v>1841</v>
      </c>
      <c r="C946" s="133" t="s">
        <v>1199</v>
      </c>
      <c r="D946" s="133" t="s">
        <v>1842</v>
      </c>
      <c r="E946" s="133" t="s">
        <v>1201</v>
      </c>
      <c r="F946" s="133" t="s">
        <v>1117</v>
      </c>
      <c r="G946" s="133" t="s">
        <v>1202</v>
      </c>
      <c r="H946" s="133" t="s">
        <v>1216</v>
      </c>
      <c r="I946" s="133" t="s">
        <v>1222</v>
      </c>
      <c r="J946" s="130" t="s">
        <v>1230</v>
      </c>
      <c r="K946" s="130" t="s">
        <v>1231</v>
      </c>
      <c r="L946" s="130" t="s">
        <v>1849</v>
      </c>
      <c r="M946" s="130" t="s">
        <v>1844</v>
      </c>
      <c r="N946" s="130" t="s">
        <v>120</v>
      </c>
      <c r="O946" s="130" t="s">
        <v>1845</v>
      </c>
      <c r="P946" s="130" t="s">
        <v>1846</v>
      </c>
      <c r="Q946" s="130" t="s">
        <v>1127</v>
      </c>
      <c r="R946" s="130" t="s">
        <v>1191</v>
      </c>
      <c r="S946" s="130" t="s">
        <v>1157</v>
      </c>
      <c r="T946" s="130" t="s">
        <v>1847</v>
      </c>
      <c r="U946" s="130">
        <v>200</v>
      </c>
      <c r="V946" s="131">
        <v>98</v>
      </c>
      <c r="W946" s="131">
        <v>298</v>
      </c>
      <c r="X946" s="131">
        <v>98</v>
      </c>
      <c r="Y946" s="131">
        <v>200</v>
      </c>
      <c r="Z946" s="131">
        <v>98</v>
      </c>
      <c r="AA946" s="131">
        <v>200</v>
      </c>
      <c r="AB946" s="131">
        <v>98</v>
      </c>
      <c r="AC946" s="131">
        <v>200</v>
      </c>
      <c r="AD946" s="131">
        <v>98</v>
      </c>
      <c r="AE946" s="132">
        <v>200</v>
      </c>
    </row>
    <row r="947" spans="1:31" x14ac:dyDescent="0.2">
      <c r="A947" s="133">
        <v>199</v>
      </c>
      <c r="B947" s="133" t="s">
        <v>1841</v>
      </c>
      <c r="C947" s="133" t="s">
        <v>1199</v>
      </c>
      <c r="D947" s="133" t="s">
        <v>1842</v>
      </c>
      <c r="E947" s="133" t="s">
        <v>1201</v>
      </c>
      <c r="F947" s="133" t="s">
        <v>1117</v>
      </c>
      <c r="G947" s="133" t="s">
        <v>1202</v>
      </c>
      <c r="H947" s="133" t="s">
        <v>1216</v>
      </c>
      <c r="I947" s="130" t="s">
        <v>1247</v>
      </c>
      <c r="J947" s="130" t="s">
        <v>1248</v>
      </c>
      <c r="K947" s="130" t="s">
        <v>1249</v>
      </c>
      <c r="L947" s="130" t="s">
        <v>1849</v>
      </c>
      <c r="M947" s="130" t="s">
        <v>1844</v>
      </c>
      <c r="N947" s="130" t="s">
        <v>120</v>
      </c>
      <c r="O947" s="130" t="s">
        <v>1845</v>
      </c>
      <c r="P947" s="130" t="s">
        <v>1846</v>
      </c>
      <c r="Q947" s="130" t="s">
        <v>1127</v>
      </c>
      <c r="R947" s="130" t="s">
        <v>1191</v>
      </c>
      <c r="S947" s="130" t="s">
        <v>1157</v>
      </c>
      <c r="T947" s="130" t="s">
        <v>1847</v>
      </c>
      <c r="U947" s="130">
        <v>1000</v>
      </c>
      <c r="V947" s="131">
        <v>0</v>
      </c>
      <c r="W947" s="131">
        <v>1000</v>
      </c>
      <c r="X947" s="131">
        <v>215</v>
      </c>
      <c r="Y947" s="131">
        <v>785</v>
      </c>
      <c r="Z947" s="131">
        <v>215</v>
      </c>
      <c r="AA947" s="131">
        <v>785</v>
      </c>
      <c r="AB947" s="131">
        <v>215</v>
      </c>
      <c r="AC947" s="131">
        <v>785</v>
      </c>
      <c r="AD947" s="131">
        <v>215</v>
      </c>
      <c r="AE947" s="132">
        <v>785</v>
      </c>
    </row>
    <row r="948" spans="1:31" x14ac:dyDescent="0.2">
      <c r="A948" s="133">
        <v>199</v>
      </c>
      <c r="B948" s="133" t="s">
        <v>1841</v>
      </c>
      <c r="C948" s="133" t="s">
        <v>1199</v>
      </c>
      <c r="D948" s="133" t="s">
        <v>1842</v>
      </c>
      <c r="E948" s="133" t="s">
        <v>1201</v>
      </c>
      <c r="F948" s="133" t="s">
        <v>1117</v>
      </c>
      <c r="G948" s="133" t="s">
        <v>1202</v>
      </c>
      <c r="H948" s="133" t="s">
        <v>1216</v>
      </c>
      <c r="I948" s="130" t="s">
        <v>1525</v>
      </c>
      <c r="J948" s="130" t="s">
        <v>1576</v>
      </c>
      <c r="K948" s="130" t="s">
        <v>1577</v>
      </c>
      <c r="L948" s="130" t="s">
        <v>1849</v>
      </c>
      <c r="M948" s="130" t="s">
        <v>1844</v>
      </c>
      <c r="N948" s="130" t="s">
        <v>120</v>
      </c>
      <c r="O948" s="130" t="s">
        <v>1845</v>
      </c>
      <c r="P948" s="130" t="s">
        <v>1846</v>
      </c>
      <c r="Q948" s="130" t="s">
        <v>1127</v>
      </c>
      <c r="R948" s="130" t="s">
        <v>1191</v>
      </c>
      <c r="S948" s="130" t="s">
        <v>1157</v>
      </c>
      <c r="T948" s="130" t="s">
        <v>1847</v>
      </c>
      <c r="U948" s="130">
        <v>50000</v>
      </c>
      <c r="V948" s="131">
        <v>0</v>
      </c>
      <c r="W948" s="131">
        <v>50000</v>
      </c>
      <c r="X948" s="131">
        <v>0</v>
      </c>
      <c r="Y948" s="131">
        <v>50000</v>
      </c>
      <c r="Z948" s="131">
        <v>0</v>
      </c>
      <c r="AA948" s="131">
        <v>50000</v>
      </c>
      <c r="AB948" s="131">
        <v>0</v>
      </c>
      <c r="AC948" s="131">
        <v>50000</v>
      </c>
      <c r="AD948" s="131">
        <v>0</v>
      </c>
      <c r="AE948" s="132">
        <v>50000</v>
      </c>
    </row>
    <row r="949" spans="1:31" x14ac:dyDescent="0.2">
      <c r="A949" s="133">
        <v>199</v>
      </c>
      <c r="B949" s="133" t="s">
        <v>1841</v>
      </c>
      <c r="C949" s="133" t="s">
        <v>1199</v>
      </c>
      <c r="D949" s="133" t="s">
        <v>1842</v>
      </c>
      <c r="E949" s="133" t="s">
        <v>1201</v>
      </c>
      <c r="F949" s="133" t="s">
        <v>1117</v>
      </c>
      <c r="G949" s="133" t="s">
        <v>1202</v>
      </c>
      <c r="H949" s="130" t="s">
        <v>1203</v>
      </c>
      <c r="I949" s="130" t="s">
        <v>1204</v>
      </c>
      <c r="J949" s="130" t="s">
        <v>1205</v>
      </c>
      <c r="K949" s="130" t="s">
        <v>1255</v>
      </c>
      <c r="L949" s="130" t="s">
        <v>1849</v>
      </c>
      <c r="M949" s="130" t="s">
        <v>1844</v>
      </c>
      <c r="N949" s="130" t="s">
        <v>120</v>
      </c>
      <c r="O949" s="130" t="s">
        <v>1845</v>
      </c>
      <c r="P949" s="130" t="s">
        <v>1846</v>
      </c>
      <c r="Q949" s="130" t="s">
        <v>1127</v>
      </c>
      <c r="R949" s="130" t="s">
        <v>1191</v>
      </c>
      <c r="S949" s="130" t="s">
        <v>1157</v>
      </c>
      <c r="T949" s="130" t="s">
        <v>1847</v>
      </c>
      <c r="U949" s="130">
        <v>7140</v>
      </c>
      <c r="V949" s="131">
        <v>0</v>
      </c>
      <c r="W949" s="131">
        <v>7140</v>
      </c>
      <c r="X949" s="131">
        <v>2606.3200000000002</v>
      </c>
      <c r="Y949" s="131">
        <v>4533.68</v>
      </c>
      <c r="Z949" s="131">
        <v>2606.3200000000002</v>
      </c>
      <c r="AA949" s="131">
        <v>4533.68</v>
      </c>
      <c r="AB949" s="131">
        <v>2606.3199999999997</v>
      </c>
      <c r="AC949" s="131">
        <v>4533.68</v>
      </c>
      <c r="AD949" s="131">
        <v>2606.3199999999997</v>
      </c>
      <c r="AE949" s="132">
        <v>4533.68</v>
      </c>
    </row>
    <row r="950" spans="1:31" x14ac:dyDescent="0.2">
      <c r="A950" s="133">
        <v>199</v>
      </c>
      <c r="B950" s="133" t="s">
        <v>1841</v>
      </c>
      <c r="C950" s="133" t="s">
        <v>1199</v>
      </c>
      <c r="D950" s="133" t="s">
        <v>1842</v>
      </c>
      <c r="E950" s="133" t="s">
        <v>1201</v>
      </c>
      <c r="F950" s="133" t="s">
        <v>1117</v>
      </c>
      <c r="G950" s="133" t="s">
        <v>1202</v>
      </c>
      <c r="H950" s="133" t="s">
        <v>1203</v>
      </c>
      <c r="I950" s="133" t="s">
        <v>1204</v>
      </c>
      <c r="J950" s="133" t="s">
        <v>1205</v>
      </c>
      <c r="K950" s="130" t="s">
        <v>1256</v>
      </c>
      <c r="L950" s="130" t="s">
        <v>1849</v>
      </c>
      <c r="M950" s="130" t="s">
        <v>1844</v>
      </c>
      <c r="N950" s="130" t="s">
        <v>120</v>
      </c>
      <c r="O950" s="130" t="s">
        <v>1845</v>
      </c>
      <c r="P950" s="130" t="s">
        <v>1846</v>
      </c>
      <c r="Q950" s="130" t="s">
        <v>1127</v>
      </c>
      <c r="R950" s="130" t="s">
        <v>1191</v>
      </c>
      <c r="S950" s="130" t="s">
        <v>1157</v>
      </c>
      <c r="T950" s="130" t="s">
        <v>1847</v>
      </c>
      <c r="U950" s="130">
        <v>88536</v>
      </c>
      <c r="V950" s="131">
        <v>0</v>
      </c>
      <c r="W950" s="131">
        <v>88536</v>
      </c>
      <c r="X950" s="131">
        <v>1893</v>
      </c>
      <c r="Y950" s="131">
        <v>86643</v>
      </c>
      <c r="Z950" s="131">
        <v>1893</v>
      </c>
      <c r="AA950" s="131">
        <v>86643</v>
      </c>
      <c r="AB950" s="131">
        <v>1893</v>
      </c>
      <c r="AC950" s="131">
        <v>86643</v>
      </c>
      <c r="AD950" s="131">
        <v>1893</v>
      </c>
      <c r="AE950" s="132">
        <v>86643</v>
      </c>
    </row>
    <row r="951" spans="1:31" x14ac:dyDescent="0.2">
      <c r="A951" s="133">
        <v>199</v>
      </c>
      <c r="B951" s="133" t="s">
        <v>1841</v>
      </c>
      <c r="C951" s="133" t="s">
        <v>1199</v>
      </c>
      <c r="D951" s="133" t="s">
        <v>1842</v>
      </c>
      <c r="E951" s="133" t="s">
        <v>1201</v>
      </c>
      <c r="F951" s="133" t="s">
        <v>1117</v>
      </c>
      <c r="G951" s="133" t="s">
        <v>1202</v>
      </c>
      <c r="H951" s="133" t="s">
        <v>1203</v>
      </c>
      <c r="I951" s="133" t="s">
        <v>1204</v>
      </c>
      <c r="J951" s="133" t="s">
        <v>1205</v>
      </c>
      <c r="K951" s="130" t="s">
        <v>1206</v>
      </c>
      <c r="L951" s="130" t="s">
        <v>1849</v>
      </c>
      <c r="M951" s="130" t="s">
        <v>1844</v>
      </c>
      <c r="N951" s="130" t="s">
        <v>120</v>
      </c>
      <c r="O951" s="130" t="s">
        <v>1845</v>
      </c>
      <c r="P951" s="130" t="s">
        <v>1846</v>
      </c>
      <c r="Q951" s="130" t="s">
        <v>1127</v>
      </c>
      <c r="R951" s="130" t="s">
        <v>1191</v>
      </c>
      <c r="S951" s="130" t="s">
        <v>1157</v>
      </c>
      <c r="T951" s="130" t="s">
        <v>1847</v>
      </c>
      <c r="U951" s="130">
        <v>500</v>
      </c>
      <c r="V951" s="131">
        <v>0</v>
      </c>
      <c r="W951" s="131">
        <v>500</v>
      </c>
      <c r="X951" s="131">
        <v>0</v>
      </c>
      <c r="Y951" s="131">
        <v>500</v>
      </c>
      <c r="Z951" s="131">
        <v>0</v>
      </c>
      <c r="AA951" s="131">
        <v>500</v>
      </c>
      <c r="AB951" s="131">
        <v>0</v>
      </c>
      <c r="AC951" s="131">
        <v>500</v>
      </c>
      <c r="AD951" s="131">
        <v>0</v>
      </c>
      <c r="AE951" s="132">
        <v>500</v>
      </c>
    </row>
    <row r="952" spans="1:31" x14ac:dyDescent="0.2">
      <c r="A952" s="133">
        <v>199</v>
      </c>
      <c r="B952" s="133" t="s">
        <v>1841</v>
      </c>
      <c r="C952" s="133" t="s">
        <v>1199</v>
      </c>
      <c r="D952" s="133" t="s">
        <v>1842</v>
      </c>
      <c r="E952" s="133" t="s">
        <v>1201</v>
      </c>
      <c r="F952" s="133" t="s">
        <v>1117</v>
      </c>
      <c r="G952" s="133" t="s">
        <v>1202</v>
      </c>
      <c r="H952" s="133" t="s">
        <v>1203</v>
      </c>
      <c r="I952" s="130" t="s">
        <v>1224</v>
      </c>
      <c r="J952" s="130" t="s">
        <v>1529</v>
      </c>
      <c r="K952" s="130" t="s">
        <v>1848</v>
      </c>
      <c r="L952" s="130" t="s">
        <v>1849</v>
      </c>
      <c r="M952" s="130" t="s">
        <v>1844</v>
      </c>
      <c r="N952" s="130" t="s">
        <v>120</v>
      </c>
      <c r="O952" s="130" t="s">
        <v>1845</v>
      </c>
      <c r="P952" s="130" t="s">
        <v>1846</v>
      </c>
      <c r="Q952" s="130" t="s">
        <v>1127</v>
      </c>
      <c r="R952" s="130" t="s">
        <v>1191</v>
      </c>
      <c r="S952" s="130" t="s">
        <v>1157</v>
      </c>
      <c r="T952" s="130" t="s">
        <v>1847</v>
      </c>
      <c r="U952" s="130">
        <v>2200</v>
      </c>
      <c r="V952" s="131">
        <v>0</v>
      </c>
      <c r="W952" s="131">
        <v>2200</v>
      </c>
      <c r="X952" s="131">
        <v>0</v>
      </c>
      <c r="Y952" s="131">
        <v>2200</v>
      </c>
      <c r="Z952" s="131">
        <v>0</v>
      </c>
      <c r="AA952" s="131">
        <v>2200</v>
      </c>
      <c r="AB952" s="131">
        <v>0</v>
      </c>
      <c r="AC952" s="131">
        <v>2200</v>
      </c>
      <c r="AD952" s="131">
        <v>0</v>
      </c>
      <c r="AE952" s="132">
        <v>2200</v>
      </c>
    </row>
    <row r="953" spans="1:31" x14ac:dyDescent="0.2">
      <c r="A953" s="133">
        <v>199</v>
      </c>
      <c r="B953" s="133" t="s">
        <v>1841</v>
      </c>
      <c r="C953" s="133" t="s">
        <v>1199</v>
      </c>
      <c r="D953" s="133" t="s">
        <v>1842</v>
      </c>
      <c r="E953" s="133" t="s">
        <v>1201</v>
      </c>
      <c r="F953" s="133" t="s">
        <v>1117</v>
      </c>
      <c r="G953" s="133" t="s">
        <v>1202</v>
      </c>
      <c r="H953" s="133" t="s">
        <v>1203</v>
      </c>
      <c r="I953" s="133" t="s">
        <v>1224</v>
      </c>
      <c r="J953" s="133" t="s">
        <v>1529</v>
      </c>
      <c r="K953" s="130" t="s">
        <v>1530</v>
      </c>
      <c r="L953" s="130" t="s">
        <v>1849</v>
      </c>
      <c r="M953" s="130" t="s">
        <v>1844</v>
      </c>
      <c r="N953" s="130" t="s">
        <v>120</v>
      </c>
      <c r="O953" s="130" t="s">
        <v>1845</v>
      </c>
      <c r="P953" s="130" t="s">
        <v>1846</v>
      </c>
      <c r="Q953" s="130" t="s">
        <v>1127</v>
      </c>
      <c r="R953" s="130" t="s">
        <v>1191</v>
      </c>
      <c r="S953" s="130" t="s">
        <v>1157</v>
      </c>
      <c r="T953" s="130" t="s">
        <v>1847</v>
      </c>
      <c r="U953" s="130">
        <v>3600</v>
      </c>
      <c r="V953" s="131">
        <v>0</v>
      </c>
      <c r="W953" s="131">
        <v>3600</v>
      </c>
      <c r="X953" s="131">
        <v>0</v>
      </c>
      <c r="Y953" s="131">
        <v>3600</v>
      </c>
      <c r="Z953" s="131">
        <v>0</v>
      </c>
      <c r="AA953" s="131">
        <v>3600</v>
      </c>
      <c r="AB953" s="131">
        <v>0</v>
      </c>
      <c r="AC953" s="131">
        <v>3600</v>
      </c>
      <c r="AD953" s="131">
        <v>0</v>
      </c>
      <c r="AE953" s="132">
        <v>3600</v>
      </c>
    </row>
    <row r="954" spans="1:31" x14ac:dyDescent="0.2">
      <c r="A954" s="133">
        <v>199</v>
      </c>
      <c r="B954" s="133" t="s">
        <v>1841</v>
      </c>
      <c r="C954" s="133" t="s">
        <v>1199</v>
      </c>
      <c r="D954" s="133" t="s">
        <v>1842</v>
      </c>
      <c r="E954" s="133" t="s">
        <v>1201</v>
      </c>
      <c r="F954" s="133" t="s">
        <v>1117</v>
      </c>
      <c r="G954" s="133" t="s">
        <v>1202</v>
      </c>
      <c r="H954" s="133" t="s">
        <v>1203</v>
      </c>
      <c r="I954" s="133" t="s">
        <v>1224</v>
      </c>
      <c r="J954" s="130" t="s">
        <v>1225</v>
      </c>
      <c r="K954" s="130" t="s">
        <v>1226</v>
      </c>
      <c r="L954" s="130" t="s">
        <v>1849</v>
      </c>
      <c r="M954" s="130" t="s">
        <v>1844</v>
      </c>
      <c r="N954" s="130" t="s">
        <v>120</v>
      </c>
      <c r="O954" s="130" t="s">
        <v>1845</v>
      </c>
      <c r="P954" s="130" t="s">
        <v>1846</v>
      </c>
      <c r="Q954" s="130" t="s">
        <v>1127</v>
      </c>
      <c r="R954" s="130" t="s">
        <v>1191</v>
      </c>
      <c r="S954" s="130" t="s">
        <v>1157</v>
      </c>
      <c r="T954" s="130" t="s">
        <v>1847</v>
      </c>
      <c r="U954" s="130">
        <v>34585</v>
      </c>
      <c r="V954" s="131">
        <v>-15000</v>
      </c>
      <c r="W954" s="131">
        <v>19585</v>
      </c>
      <c r="X954" s="131">
        <v>0</v>
      </c>
      <c r="Y954" s="131">
        <v>19585</v>
      </c>
      <c r="Z954" s="131">
        <v>0</v>
      </c>
      <c r="AA954" s="131">
        <v>19585</v>
      </c>
      <c r="AB954" s="131">
        <v>0</v>
      </c>
      <c r="AC954" s="131">
        <v>19585</v>
      </c>
      <c r="AD954" s="131">
        <v>0</v>
      </c>
      <c r="AE954" s="132">
        <v>19585</v>
      </c>
    </row>
    <row r="955" spans="1:31" x14ac:dyDescent="0.2">
      <c r="A955" s="133">
        <v>199</v>
      </c>
      <c r="B955" s="133" t="s">
        <v>1841</v>
      </c>
      <c r="C955" s="133" t="s">
        <v>1199</v>
      </c>
      <c r="D955" s="133" t="s">
        <v>1842</v>
      </c>
      <c r="E955" s="133" t="s">
        <v>1201</v>
      </c>
      <c r="F955" s="133" t="s">
        <v>1117</v>
      </c>
      <c r="G955" s="133" t="s">
        <v>1202</v>
      </c>
      <c r="H955" s="133" t="s">
        <v>1203</v>
      </c>
      <c r="I955" s="133" t="s">
        <v>1224</v>
      </c>
      <c r="J955" s="130" t="s">
        <v>1853</v>
      </c>
      <c r="K955" s="130" t="s">
        <v>1854</v>
      </c>
      <c r="L955" s="130" t="s">
        <v>1849</v>
      </c>
      <c r="M955" s="130" t="s">
        <v>1844</v>
      </c>
      <c r="N955" s="130" t="s">
        <v>120</v>
      </c>
      <c r="O955" s="130" t="s">
        <v>1845</v>
      </c>
      <c r="P955" s="130" t="s">
        <v>1846</v>
      </c>
      <c r="Q955" s="130" t="s">
        <v>1127</v>
      </c>
      <c r="R955" s="130" t="s">
        <v>1191</v>
      </c>
      <c r="S955" s="130" t="s">
        <v>1157</v>
      </c>
      <c r="T955" s="130" t="s">
        <v>1847</v>
      </c>
      <c r="U955" s="130">
        <v>0</v>
      </c>
      <c r="V955" s="131">
        <v>2320</v>
      </c>
      <c r="W955" s="131">
        <v>2320</v>
      </c>
      <c r="X955" s="131">
        <v>2319.41</v>
      </c>
      <c r="Y955" s="131">
        <v>0.59000000000014552</v>
      </c>
      <c r="Z955" s="131">
        <v>2319.41</v>
      </c>
      <c r="AA955" s="131">
        <v>0.59000000000014552</v>
      </c>
      <c r="AB955" s="131">
        <v>2319.41</v>
      </c>
      <c r="AC955" s="131">
        <v>0.59000000000014552</v>
      </c>
      <c r="AD955" s="131">
        <v>2319.41</v>
      </c>
      <c r="AE955" s="132">
        <v>0.59000000000014552</v>
      </c>
    </row>
    <row r="956" spans="1:31" x14ac:dyDescent="0.2">
      <c r="A956" s="133">
        <v>199</v>
      </c>
      <c r="B956" s="133" t="s">
        <v>1841</v>
      </c>
      <c r="C956" s="133" t="s">
        <v>1199</v>
      </c>
      <c r="D956" s="133" t="s">
        <v>1842</v>
      </c>
      <c r="E956" s="133" t="s">
        <v>1201</v>
      </c>
      <c r="F956" s="133" t="s">
        <v>1117</v>
      </c>
      <c r="G956" s="133" t="s">
        <v>1202</v>
      </c>
      <c r="H956" s="133" t="s">
        <v>1203</v>
      </c>
      <c r="I956" s="130" t="s">
        <v>1260</v>
      </c>
      <c r="J956" s="130" t="s">
        <v>1261</v>
      </c>
      <c r="K956" s="130" t="s">
        <v>1262</v>
      </c>
      <c r="L956" s="130" t="s">
        <v>1849</v>
      </c>
      <c r="M956" s="130" t="s">
        <v>1844</v>
      </c>
      <c r="N956" s="130" t="s">
        <v>120</v>
      </c>
      <c r="O956" s="130" t="s">
        <v>1845</v>
      </c>
      <c r="P956" s="130" t="s">
        <v>1846</v>
      </c>
      <c r="Q956" s="130" t="s">
        <v>1127</v>
      </c>
      <c r="R956" s="130" t="s">
        <v>1191</v>
      </c>
      <c r="S956" s="130" t="s">
        <v>1157</v>
      </c>
      <c r="T956" s="130" t="s">
        <v>1847</v>
      </c>
      <c r="U956" s="130">
        <v>52597</v>
      </c>
      <c r="V956" s="131">
        <v>-36600</v>
      </c>
      <c r="W956" s="131">
        <v>15997</v>
      </c>
      <c r="X956" s="131">
        <v>0</v>
      </c>
      <c r="Y956" s="131">
        <v>15997</v>
      </c>
      <c r="Z956" s="131">
        <v>0</v>
      </c>
      <c r="AA956" s="131">
        <v>15997</v>
      </c>
      <c r="AB956" s="131">
        <v>0</v>
      </c>
      <c r="AC956" s="131">
        <v>15997</v>
      </c>
      <c r="AD956" s="131">
        <v>0</v>
      </c>
      <c r="AE956" s="132">
        <v>15997</v>
      </c>
    </row>
    <row r="957" spans="1:31" x14ac:dyDescent="0.2">
      <c r="A957" s="133">
        <v>199</v>
      </c>
      <c r="B957" s="133" t="s">
        <v>1841</v>
      </c>
      <c r="C957" s="133" t="s">
        <v>1199</v>
      </c>
      <c r="D957" s="133" t="s">
        <v>1842</v>
      </c>
      <c r="E957" s="133" t="s">
        <v>1201</v>
      </c>
      <c r="F957" s="133" t="s">
        <v>1117</v>
      </c>
      <c r="G957" s="133" t="s">
        <v>1202</v>
      </c>
      <c r="H957" s="133" t="s">
        <v>1203</v>
      </c>
      <c r="I957" s="130" t="s">
        <v>1264</v>
      </c>
      <c r="J957" s="130" t="s">
        <v>1532</v>
      </c>
      <c r="K957" s="130" t="s">
        <v>1249</v>
      </c>
      <c r="L957" s="130" t="s">
        <v>1849</v>
      </c>
      <c r="M957" s="130" t="s">
        <v>1844</v>
      </c>
      <c r="N957" s="130" t="s">
        <v>120</v>
      </c>
      <c r="O957" s="130" t="s">
        <v>1845</v>
      </c>
      <c r="P957" s="130" t="s">
        <v>1846</v>
      </c>
      <c r="Q957" s="130" t="s">
        <v>1127</v>
      </c>
      <c r="R957" s="130" t="s">
        <v>1191</v>
      </c>
      <c r="S957" s="130" t="s">
        <v>1157</v>
      </c>
      <c r="T957" s="130" t="s">
        <v>1847</v>
      </c>
      <c r="U957" s="130">
        <v>0</v>
      </c>
      <c r="V957" s="131">
        <v>300</v>
      </c>
      <c r="W957" s="131">
        <v>300</v>
      </c>
      <c r="X957" s="131">
        <v>285</v>
      </c>
      <c r="Y957" s="131">
        <v>15</v>
      </c>
      <c r="Z957" s="131">
        <v>285</v>
      </c>
      <c r="AA957" s="131">
        <v>15</v>
      </c>
      <c r="AB957" s="131">
        <v>285</v>
      </c>
      <c r="AC957" s="131">
        <v>15</v>
      </c>
      <c r="AD957" s="131">
        <v>285</v>
      </c>
      <c r="AE957" s="132">
        <v>15</v>
      </c>
    </row>
    <row r="958" spans="1:31" x14ac:dyDescent="0.2">
      <c r="A958" s="133">
        <v>199</v>
      </c>
      <c r="B958" s="133" t="s">
        <v>1841</v>
      </c>
      <c r="C958" s="133" t="s">
        <v>1199</v>
      </c>
      <c r="D958" s="133" t="s">
        <v>1842</v>
      </c>
      <c r="E958" s="133" t="s">
        <v>1201</v>
      </c>
      <c r="F958" s="133" t="s">
        <v>1117</v>
      </c>
      <c r="G958" s="133" t="s">
        <v>1202</v>
      </c>
      <c r="H958" s="133" t="s">
        <v>1203</v>
      </c>
      <c r="I958" s="133" t="s">
        <v>1264</v>
      </c>
      <c r="J958" s="130" t="s">
        <v>1267</v>
      </c>
      <c r="K958" s="130" t="s">
        <v>1268</v>
      </c>
      <c r="L958" s="130" t="s">
        <v>1849</v>
      </c>
      <c r="M958" s="130" t="s">
        <v>1844</v>
      </c>
      <c r="N958" s="130" t="s">
        <v>120</v>
      </c>
      <c r="O958" s="130" t="s">
        <v>1845</v>
      </c>
      <c r="P958" s="130" t="s">
        <v>1846</v>
      </c>
      <c r="Q958" s="130" t="s">
        <v>1127</v>
      </c>
      <c r="R958" s="130" t="s">
        <v>1191</v>
      </c>
      <c r="S958" s="130" t="s">
        <v>1157</v>
      </c>
      <c r="T958" s="130" t="s">
        <v>1847</v>
      </c>
      <c r="U958" s="130">
        <v>0</v>
      </c>
      <c r="V958" s="131">
        <v>500</v>
      </c>
      <c r="W958" s="131">
        <v>500</v>
      </c>
      <c r="X958" s="131">
        <v>500</v>
      </c>
      <c r="Y958" s="131">
        <v>0</v>
      </c>
      <c r="Z958" s="131">
        <v>500</v>
      </c>
      <c r="AA958" s="131">
        <v>0</v>
      </c>
      <c r="AB958" s="131">
        <v>500</v>
      </c>
      <c r="AC958" s="131">
        <v>0</v>
      </c>
      <c r="AD958" s="131">
        <v>500</v>
      </c>
      <c r="AE958" s="132">
        <v>0</v>
      </c>
    </row>
    <row r="959" spans="1:31" x14ac:dyDescent="0.2">
      <c r="A959" s="133">
        <v>199</v>
      </c>
      <c r="B959" s="133" t="s">
        <v>1841</v>
      </c>
      <c r="C959" s="133" t="s">
        <v>1199</v>
      </c>
      <c r="D959" s="133" t="s">
        <v>1842</v>
      </c>
      <c r="E959" s="133" t="s">
        <v>1201</v>
      </c>
      <c r="F959" s="133" t="s">
        <v>1117</v>
      </c>
      <c r="G959" s="133" t="s">
        <v>1202</v>
      </c>
      <c r="H959" s="133" t="s">
        <v>1203</v>
      </c>
      <c r="I959" s="130" t="s">
        <v>1315</v>
      </c>
      <c r="J959" s="130" t="s">
        <v>1316</v>
      </c>
      <c r="K959" s="130" t="s">
        <v>1582</v>
      </c>
      <c r="L959" s="130" t="s">
        <v>1849</v>
      </c>
      <c r="M959" s="130" t="s">
        <v>1844</v>
      </c>
      <c r="N959" s="130" t="s">
        <v>120</v>
      </c>
      <c r="O959" s="130" t="s">
        <v>1845</v>
      </c>
      <c r="P959" s="130" t="s">
        <v>1846</v>
      </c>
      <c r="Q959" s="130" t="s">
        <v>1127</v>
      </c>
      <c r="R959" s="130" t="s">
        <v>1191</v>
      </c>
      <c r="S959" s="130" t="s">
        <v>1157</v>
      </c>
      <c r="T959" s="130" t="s">
        <v>1847</v>
      </c>
      <c r="U959" s="130">
        <v>0</v>
      </c>
      <c r="V959" s="131">
        <v>2400</v>
      </c>
      <c r="W959" s="131">
        <v>2400</v>
      </c>
      <c r="X959" s="131">
        <v>2400</v>
      </c>
      <c r="Y959" s="131">
        <v>0</v>
      </c>
      <c r="Z959" s="131">
        <v>2400</v>
      </c>
      <c r="AA959" s="131">
        <v>0</v>
      </c>
      <c r="AB959" s="131">
        <v>2400</v>
      </c>
      <c r="AC959" s="131">
        <v>0</v>
      </c>
      <c r="AD959" s="131">
        <v>2400</v>
      </c>
      <c r="AE959" s="132">
        <v>0</v>
      </c>
    </row>
    <row r="960" spans="1:31" x14ac:dyDescent="0.2">
      <c r="A960" s="133">
        <v>199</v>
      </c>
      <c r="B960" s="133" t="s">
        <v>1841</v>
      </c>
      <c r="C960" s="133" t="s">
        <v>1199</v>
      </c>
      <c r="D960" s="133" t="s">
        <v>1842</v>
      </c>
      <c r="E960" s="133" t="s">
        <v>1201</v>
      </c>
      <c r="F960" s="133" t="s">
        <v>1117</v>
      </c>
      <c r="G960" s="133" t="s">
        <v>1202</v>
      </c>
      <c r="H960" s="133" t="s">
        <v>1203</v>
      </c>
      <c r="I960" s="130" t="s">
        <v>1269</v>
      </c>
      <c r="J960" s="130" t="s">
        <v>1270</v>
      </c>
      <c r="K960" s="130" t="s">
        <v>1272</v>
      </c>
      <c r="L960" s="130" t="s">
        <v>1849</v>
      </c>
      <c r="M960" s="130" t="s">
        <v>1844</v>
      </c>
      <c r="N960" s="130" t="s">
        <v>120</v>
      </c>
      <c r="O960" s="130" t="s">
        <v>1845</v>
      </c>
      <c r="P960" s="130" t="s">
        <v>1846</v>
      </c>
      <c r="Q960" s="130" t="s">
        <v>1127</v>
      </c>
      <c r="R960" s="130" t="s">
        <v>1191</v>
      </c>
      <c r="S960" s="130" t="s">
        <v>1157</v>
      </c>
      <c r="T960" s="130" t="s">
        <v>1847</v>
      </c>
      <c r="U960" s="130">
        <v>0</v>
      </c>
      <c r="V960" s="131">
        <v>144</v>
      </c>
      <c r="W960" s="131">
        <v>144</v>
      </c>
      <c r="X960" s="131">
        <v>144</v>
      </c>
      <c r="Y960" s="131">
        <v>0</v>
      </c>
      <c r="Z960" s="131">
        <v>144</v>
      </c>
      <c r="AA960" s="131">
        <v>0</v>
      </c>
      <c r="AB960" s="131">
        <v>144</v>
      </c>
      <c r="AC960" s="131">
        <v>0</v>
      </c>
      <c r="AD960" s="131">
        <v>144</v>
      </c>
      <c r="AE960" s="132">
        <v>0</v>
      </c>
    </row>
    <row r="961" spans="1:31" x14ac:dyDescent="0.2">
      <c r="A961" s="133">
        <v>199</v>
      </c>
      <c r="B961" s="133" t="s">
        <v>1841</v>
      </c>
      <c r="C961" s="133" t="s">
        <v>1199</v>
      </c>
      <c r="D961" s="133" t="s">
        <v>1842</v>
      </c>
      <c r="E961" s="133" t="s">
        <v>1201</v>
      </c>
      <c r="F961" s="133" t="s">
        <v>1117</v>
      </c>
      <c r="G961" s="133" t="s">
        <v>1202</v>
      </c>
      <c r="H961" s="133" t="s">
        <v>1203</v>
      </c>
      <c r="I961" s="130" t="s">
        <v>1209</v>
      </c>
      <c r="J961" s="130" t="s">
        <v>1210</v>
      </c>
      <c r="K961" s="130" t="s">
        <v>1539</v>
      </c>
      <c r="L961" s="130" t="s">
        <v>1849</v>
      </c>
      <c r="M961" s="130" t="s">
        <v>1844</v>
      </c>
      <c r="N961" s="130" t="s">
        <v>120</v>
      </c>
      <c r="O961" s="130" t="s">
        <v>1845</v>
      </c>
      <c r="P961" s="130" t="s">
        <v>1846</v>
      </c>
      <c r="Q961" s="130" t="s">
        <v>1127</v>
      </c>
      <c r="R961" s="130" t="s">
        <v>1191</v>
      </c>
      <c r="S961" s="130" t="s">
        <v>1157</v>
      </c>
      <c r="T961" s="130" t="s">
        <v>1847</v>
      </c>
      <c r="U961" s="130">
        <v>0</v>
      </c>
      <c r="V961" s="131">
        <v>29800</v>
      </c>
      <c r="W961" s="131">
        <v>29800</v>
      </c>
      <c r="X961" s="131">
        <v>21611</v>
      </c>
      <c r="Y961" s="131">
        <v>8189</v>
      </c>
      <c r="Z961" s="131">
        <v>21611</v>
      </c>
      <c r="AA961" s="131">
        <v>8189</v>
      </c>
      <c r="AB961" s="131">
        <v>21611</v>
      </c>
      <c r="AC961" s="131">
        <v>8189</v>
      </c>
      <c r="AD961" s="131">
        <v>21611</v>
      </c>
      <c r="AE961" s="132">
        <v>8189</v>
      </c>
    </row>
    <row r="962" spans="1:31" x14ac:dyDescent="0.2">
      <c r="A962" s="133">
        <v>199</v>
      </c>
      <c r="B962" s="133" t="s">
        <v>1841</v>
      </c>
      <c r="C962" s="133" t="s">
        <v>1199</v>
      </c>
      <c r="D962" s="133" t="s">
        <v>1842</v>
      </c>
      <c r="E962" s="133" t="s">
        <v>1201</v>
      </c>
      <c r="F962" s="133" t="s">
        <v>1117</v>
      </c>
      <c r="G962" s="133" t="s">
        <v>1202</v>
      </c>
      <c r="H962" s="133" t="s">
        <v>1203</v>
      </c>
      <c r="I962" s="133" t="s">
        <v>1209</v>
      </c>
      <c r="J962" s="133" t="s">
        <v>1210</v>
      </c>
      <c r="K962" s="130" t="s">
        <v>1211</v>
      </c>
      <c r="L962" s="130" t="s">
        <v>1849</v>
      </c>
      <c r="M962" s="130" t="s">
        <v>1844</v>
      </c>
      <c r="N962" s="130" t="s">
        <v>120</v>
      </c>
      <c r="O962" s="130" t="s">
        <v>1845</v>
      </c>
      <c r="P962" s="130" t="s">
        <v>1846</v>
      </c>
      <c r="Q962" s="130" t="s">
        <v>1127</v>
      </c>
      <c r="R962" s="130" t="s">
        <v>1191</v>
      </c>
      <c r="S962" s="130" t="s">
        <v>1157</v>
      </c>
      <c r="T962" s="130" t="s">
        <v>1847</v>
      </c>
      <c r="U962" s="130">
        <v>0</v>
      </c>
      <c r="V962" s="131">
        <v>3200</v>
      </c>
      <c r="W962" s="131">
        <v>3200</v>
      </c>
      <c r="X962" s="131">
        <v>2867</v>
      </c>
      <c r="Y962" s="131">
        <v>333</v>
      </c>
      <c r="Z962" s="131">
        <v>2867</v>
      </c>
      <c r="AA962" s="131">
        <v>333</v>
      </c>
      <c r="AB962" s="131">
        <v>2867</v>
      </c>
      <c r="AC962" s="131">
        <v>333</v>
      </c>
      <c r="AD962" s="131">
        <v>2867</v>
      </c>
      <c r="AE962" s="132">
        <v>333</v>
      </c>
    </row>
    <row r="963" spans="1:31" x14ac:dyDescent="0.2">
      <c r="A963" s="133">
        <v>199</v>
      </c>
      <c r="B963" s="133" t="s">
        <v>1841</v>
      </c>
      <c r="C963" s="133" t="s">
        <v>1199</v>
      </c>
      <c r="D963" s="133" t="s">
        <v>1842</v>
      </c>
      <c r="E963" s="133" t="s">
        <v>1201</v>
      </c>
      <c r="F963" s="133" t="s">
        <v>1117</v>
      </c>
      <c r="G963" s="133" t="s">
        <v>1202</v>
      </c>
      <c r="H963" s="133" t="s">
        <v>1203</v>
      </c>
      <c r="I963" s="133" t="s">
        <v>1209</v>
      </c>
      <c r="J963" s="133" t="s">
        <v>1210</v>
      </c>
      <c r="K963" s="130" t="s">
        <v>1274</v>
      </c>
      <c r="L963" s="130" t="s">
        <v>1849</v>
      </c>
      <c r="M963" s="130" t="s">
        <v>1844</v>
      </c>
      <c r="N963" s="130" t="s">
        <v>120</v>
      </c>
      <c r="O963" s="130" t="s">
        <v>1845</v>
      </c>
      <c r="P963" s="130" t="s">
        <v>1846</v>
      </c>
      <c r="Q963" s="130" t="s">
        <v>1127</v>
      </c>
      <c r="R963" s="130" t="s">
        <v>1191</v>
      </c>
      <c r="S963" s="130" t="s">
        <v>1157</v>
      </c>
      <c r="T963" s="130" t="s">
        <v>1847</v>
      </c>
      <c r="U963" s="130">
        <v>15000</v>
      </c>
      <c r="V963" s="131">
        <v>0</v>
      </c>
      <c r="W963" s="131">
        <v>15000</v>
      </c>
      <c r="X963" s="131">
        <v>3170</v>
      </c>
      <c r="Y963" s="131">
        <v>11830</v>
      </c>
      <c r="Z963" s="131">
        <v>2170</v>
      </c>
      <c r="AA963" s="131">
        <v>12830</v>
      </c>
      <c r="AB963" s="131">
        <v>2170</v>
      </c>
      <c r="AC963" s="131">
        <v>12830</v>
      </c>
      <c r="AD963" s="131">
        <v>2170</v>
      </c>
      <c r="AE963" s="132">
        <v>12830</v>
      </c>
    </row>
    <row r="964" spans="1:31" x14ac:dyDescent="0.2">
      <c r="A964" s="133">
        <v>199</v>
      </c>
      <c r="B964" s="133" t="s">
        <v>1841</v>
      </c>
      <c r="C964" s="133" t="s">
        <v>1199</v>
      </c>
      <c r="D964" s="133" t="s">
        <v>1842</v>
      </c>
      <c r="E964" s="133" t="s">
        <v>1201</v>
      </c>
      <c r="F964" s="133" t="s">
        <v>1117</v>
      </c>
      <c r="G964" s="133" t="s">
        <v>1202</v>
      </c>
      <c r="H964" s="133" t="s">
        <v>1203</v>
      </c>
      <c r="I964" s="133" t="s">
        <v>1209</v>
      </c>
      <c r="J964" s="130" t="s">
        <v>1536</v>
      </c>
      <c r="K964" s="130" t="s">
        <v>1537</v>
      </c>
      <c r="L964" s="130" t="s">
        <v>1849</v>
      </c>
      <c r="M964" s="130" t="s">
        <v>1844</v>
      </c>
      <c r="N964" s="130" t="s">
        <v>120</v>
      </c>
      <c r="O964" s="130" t="s">
        <v>1845</v>
      </c>
      <c r="P964" s="130" t="s">
        <v>1846</v>
      </c>
      <c r="Q964" s="130" t="s">
        <v>1127</v>
      </c>
      <c r="R964" s="130" t="s">
        <v>1191</v>
      </c>
      <c r="S964" s="130" t="s">
        <v>1157</v>
      </c>
      <c r="T964" s="130" t="s">
        <v>1847</v>
      </c>
      <c r="U964" s="130">
        <v>6900</v>
      </c>
      <c r="V964" s="131">
        <v>0</v>
      </c>
      <c r="W964" s="131">
        <v>6900</v>
      </c>
      <c r="X964" s="131">
        <v>0</v>
      </c>
      <c r="Y964" s="131">
        <v>6900</v>
      </c>
      <c r="Z964" s="131">
        <v>0</v>
      </c>
      <c r="AA964" s="131">
        <v>6900</v>
      </c>
      <c r="AB964" s="131">
        <v>0</v>
      </c>
      <c r="AC964" s="131">
        <v>6900</v>
      </c>
      <c r="AD964" s="131">
        <v>0</v>
      </c>
      <c r="AE964" s="132">
        <v>6900</v>
      </c>
    </row>
    <row r="965" spans="1:31" x14ac:dyDescent="0.2">
      <c r="A965" s="133">
        <v>199</v>
      </c>
      <c r="B965" s="133" t="s">
        <v>1841</v>
      </c>
      <c r="C965" s="133" t="s">
        <v>1199</v>
      </c>
      <c r="D965" s="133" t="s">
        <v>1842</v>
      </c>
      <c r="E965" s="133" t="s">
        <v>1201</v>
      </c>
      <c r="F965" s="133" t="s">
        <v>1117</v>
      </c>
      <c r="G965" s="133" t="s">
        <v>1202</v>
      </c>
      <c r="H965" s="133" t="s">
        <v>1203</v>
      </c>
      <c r="I965" s="130" t="s">
        <v>1309</v>
      </c>
      <c r="J965" s="130" t="s">
        <v>1310</v>
      </c>
      <c r="K965" s="130" t="s">
        <v>1310</v>
      </c>
      <c r="L965" s="130" t="s">
        <v>1849</v>
      </c>
      <c r="M965" s="130" t="s">
        <v>1844</v>
      </c>
      <c r="N965" s="130" t="s">
        <v>120</v>
      </c>
      <c r="O965" s="130" t="s">
        <v>1845</v>
      </c>
      <c r="P965" s="130" t="s">
        <v>1846</v>
      </c>
      <c r="Q965" s="130" t="s">
        <v>1127</v>
      </c>
      <c r="R965" s="130" t="s">
        <v>1191</v>
      </c>
      <c r="S965" s="130" t="s">
        <v>1157</v>
      </c>
      <c r="T965" s="130" t="s">
        <v>1847</v>
      </c>
      <c r="U965" s="130">
        <v>871404</v>
      </c>
      <c r="V965" s="131">
        <v>-159500</v>
      </c>
      <c r="W965" s="131">
        <v>711904</v>
      </c>
      <c r="X965" s="131">
        <v>380280</v>
      </c>
      <c r="Y965" s="131">
        <v>331624</v>
      </c>
      <c r="Z965" s="131">
        <v>180280</v>
      </c>
      <c r="AA965" s="131">
        <v>531624</v>
      </c>
      <c r="AB965" s="131">
        <v>180280</v>
      </c>
      <c r="AC965" s="131">
        <v>531624</v>
      </c>
      <c r="AD965" s="131">
        <v>134980</v>
      </c>
      <c r="AE965" s="132">
        <v>576924</v>
      </c>
    </row>
    <row r="966" spans="1:31" x14ac:dyDescent="0.2">
      <c r="A966" s="133">
        <v>199</v>
      </c>
      <c r="B966" s="133" t="s">
        <v>1841</v>
      </c>
      <c r="C966" s="133" t="s">
        <v>1199</v>
      </c>
      <c r="D966" s="133" t="s">
        <v>1842</v>
      </c>
      <c r="E966" s="133" t="s">
        <v>1201</v>
      </c>
      <c r="F966" s="133" t="s">
        <v>1117</v>
      </c>
      <c r="G966" s="130" t="s">
        <v>1118</v>
      </c>
      <c r="H966" s="130" t="s">
        <v>1149</v>
      </c>
      <c r="I966" s="130" t="s">
        <v>1182</v>
      </c>
      <c r="J966" s="130" t="s">
        <v>1377</v>
      </c>
      <c r="K966" s="130" t="s">
        <v>1378</v>
      </c>
      <c r="L966" s="130" t="s">
        <v>1849</v>
      </c>
      <c r="M966" s="130" t="s">
        <v>1844</v>
      </c>
      <c r="N966" s="130" t="s">
        <v>120</v>
      </c>
      <c r="O966" s="130" t="s">
        <v>1845</v>
      </c>
      <c r="P966" s="130" t="s">
        <v>1846</v>
      </c>
      <c r="Q966" s="130" t="s">
        <v>1127</v>
      </c>
      <c r="R966" s="130" t="s">
        <v>1191</v>
      </c>
      <c r="S966" s="130" t="s">
        <v>1157</v>
      </c>
      <c r="T966" s="130" t="s">
        <v>1847</v>
      </c>
      <c r="U966" s="130">
        <v>0</v>
      </c>
      <c r="V966" s="131">
        <v>2070</v>
      </c>
      <c r="W966" s="131">
        <v>2070</v>
      </c>
      <c r="X966" s="131">
        <v>2070</v>
      </c>
      <c r="Y966" s="131">
        <v>0</v>
      </c>
      <c r="Z966" s="131">
        <v>2070</v>
      </c>
      <c r="AA966" s="131">
        <v>0</v>
      </c>
      <c r="AB966" s="131">
        <v>2070</v>
      </c>
      <c r="AC966" s="131">
        <v>0</v>
      </c>
      <c r="AD966" s="131">
        <v>2070</v>
      </c>
      <c r="AE966" s="132">
        <v>0</v>
      </c>
    </row>
    <row r="967" spans="1:31" x14ac:dyDescent="0.2">
      <c r="A967" s="133">
        <v>199</v>
      </c>
      <c r="B967" s="133" t="s">
        <v>1841</v>
      </c>
      <c r="C967" s="133" t="s">
        <v>1199</v>
      </c>
      <c r="D967" s="133" t="s">
        <v>1842</v>
      </c>
      <c r="E967" s="133" t="s">
        <v>1201</v>
      </c>
      <c r="F967" s="133" t="s">
        <v>1117</v>
      </c>
      <c r="G967" s="133" t="s">
        <v>1118</v>
      </c>
      <c r="H967" s="133" t="s">
        <v>1149</v>
      </c>
      <c r="I967" s="133" t="s">
        <v>1182</v>
      </c>
      <c r="J967" s="130" t="s">
        <v>1347</v>
      </c>
      <c r="K967" s="130" t="s">
        <v>1348</v>
      </c>
      <c r="L967" s="130" t="s">
        <v>1849</v>
      </c>
      <c r="M967" s="130" t="s">
        <v>1844</v>
      </c>
      <c r="N967" s="130" t="s">
        <v>120</v>
      </c>
      <c r="O967" s="130" t="s">
        <v>1845</v>
      </c>
      <c r="P967" s="130" t="s">
        <v>1846</v>
      </c>
      <c r="Q967" s="130" t="s">
        <v>1127</v>
      </c>
      <c r="R967" s="130" t="s">
        <v>1191</v>
      </c>
      <c r="S967" s="130" t="s">
        <v>1157</v>
      </c>
      <c r="T967" s="130" t="s">
        <v>1847</v>
      </c>
      <c r="U967" s="130">
        <v>0</v>
      </c>
      <c r="V967" s="131">
        <v>0</v>
      </c>
      <c r="W967" s="131">
        <v>0</v>
      </c>
      <c r="X967" s="131">
        <v>0</v>
      </c>
      <c r="Y967" s="131">
        <v>0</v>
      </c>
      <c r="Z967" s="131">
        <v>0</v>
      </c>
      <c r="AA967" s="131">
        <v>0</v>
      </c>
      <c r="AB967" s="131">
        <v>0</v>
      </c>
      <c r="AC967" s="131">
        <v>0</v>
      </c>
      <c r="AD967" s="131">
        <v>0</v>
      </c>
      <c r="AE967" s="132">
        <v>0</v>
      </c>
    </row>
    <row r="968" spans="1:31" x14ac:dyDescent="0.2">
      <c r="A968" s="133">
        <v>199</v>
      </c>
      <c r="B968" s="133" t="s">
        <v>1841</v>
      </c>
      <c r="C968" s="133" t="s">
        <v>1199</v>
      </c>
      <c r="D968" s="133" t="s">
        <v>1842</v>
      </c>
      <c r="E968" s="130" t="s">
        <v>1855</v>
      </c>
      <c r="F968" s="130" t="s">
        <v>1117</v>
      </c>
      <c r="G968" s="130" t="s">
        <v>1202</v>
      </c>
      <c r="H968" s="130" t="s">
        <v>1216</v>
      </c>
      <c r="I968" s="130" t="s">
        <v>1301</v>
      </c>
      <c r="J968" s="130" t="s">
        <v>1301</v>
      </c>
      <c r="K968" s="130" t="s">
        <v>1302</v>
      </c>
      <c r="L968" s="130" t="s">
        <v>1849</v>
      </c>
      <c r="M968" s="130" t="s">
        <v>1844</v>
      </c>
      <c r="N968" s="130" t="s">
        <v>120</v>
      </c>
      <c r="O968" s="130" t="s">
        <v>1845</v>
      </c>
      <c r="P968" s="130" t="s">
        <v>1846</v>
      </c>
      <c r="Q968" s="130" t="s">
        <v>1127</v>
      </c>
      <c r="R968" s="130" t="s">
        <v>1191</v>
      </c>
      <c r="S968" s="130" t="s">
        <v>1157</v>
      </c>
      <c r="T968" s="130" t="s">
        <v>1847</v>
      </c>
      <c r="U968" s="130">
        <v>0</v>
      </c>
      <c r="V968" s="131">
        <v>2000000</v>
      </c>
      <c r="W968" s="131">
        <v>2000000</v>
      </c>
      <c r="X968" s="131">
        <v>2000000</v>
      </c>
      <c r="Y968" s="131">
        <v>0</v>
      </c>
      <c r="Z968" s="131">
        <v>0</v>
      </c>
      <c r="AA968" s="131">
        <v>2000000</v>
      </c>
      <c r="AB968" s="131">
        <v>0</v>
      </c>
      <c r="AC968" s="131">
        <v>2000000</v>
      </c>
      <c r="AD968" s="131">
        <v>0</v>
      </c>
      <c r="AE968" s="132">
        <v>2000000</v>
      </c>
    </row>
    <row r="969" spans="1:31" x14ac:dyDescent="0.2">
      <c r="A969" s="133">
        <v>199</v>
      </c>
      <c r="B969" s="133" t="s">
        <v>1841</v>
      </c>
      <c r="C969" s="133" t="s">
        <v>1199</v>
      </c>
      <c r="D969" s="133" t="s">
        <v>1842</v>
      </c>
      <c r="E969" s="133" t="s">
        <v>1855</v>
      </c>
      <c r="F969" s="133" t="s">
        <v>1117</v>
      </c>
      <c r="G969" s="133" t="s">
        <v>1202</v>
      </c>
      <c r="H969" s="133" t="s">
        <v>1216</v>
      </c>
      <c r="I969" s="130" t="s">
        <v>1242</v>
      </c>
      <c r="J969" s="130" t="s">
        <v>1243</v>
      </c>
      <c r="K969" s="130" t="s">
        <v>1303</v>
      </c>
      <c r="L969" s="130" t="s">
        <v>1849</v>
      </c>
      <c r="M969" s="130" t="s">
        <v>1844</v>
      </c>
      <c r="N969" s="130" t="s">
        <v>120</v>
      </c>
      <c r="O969" s="130" t="s">
        <v>1845</v>
      </c>
      <c r="P969" s="130" t="s">
        <v>1846</v>
      </c>
      <c r="Q969" s="130" t="s">
        <v>1127</v>
      </c>
      <c r="R969" s="130" t="s">
        <v>1191</v>
      </c>
      <c r="S969" s="130" t="s">
        <v>1157</v>
      </c>
      <c r="T969" s="130" t="s">
        <v>1847</v>
      </c>
      <c r="U969" s="130">
        <v>3791960</v>
      </c>
      <c r="V969" s="131">
        <v>-2349160</v>
      </c>
      <c r="W969" s="131">
        <v>1442800</v>
      </c>
      <c r="X969" s="131">
        <v>0</v>
      </c>
      <c r="Y969" s="131">
        <v>1442800</v>
      </c>
      <c r="Z969" s="131">
        <v>0</v>
      </c>
      <c r="AA969" s="131">
        <v>1442800</v>
      </c>
      <c r="AB969" s="131">
        <v>0</v>
      </c>
      <c r="AC969" s="131">
        <v>1442800</v>
      </c>
      <c r="AD969" s="131">
        <v>0</v>
      </c>
      <c r="AE969" s="132">
        <v>1442800</v>
      </c>
    </row>
    <row r="970" spans="1:31" x14ac:dyDescent="0.2">
      <c r="A970" s="133">
        <v>199</v>
      </c>
      <c r="B970" s="133" t="s">
        <v>1841</v>
      </c>
      <c r="C970" s="133" t="s">
        <v>1199</v>
      </c>
      <c r="D970" s="133" t="s">
        <v>1842</v>
      </c>
      <c r="E970" s="133" t="s">
        <v>1855</v>
      </c>
      <c r="F970" s="133" t="s">
        <v>1117</v>
      </c>
      <c r="G970" s="133" t="s">
        <v>1202</v>
      </c>
      <c r="H970" s="133" t="s">
        <v>1216</v>
      </c>
      <c r="I970" s="133" t="s">
        <v>1242</v>
      </c>
      <c r="J970" s="133" t="s">
        <v>1243</v>
      </c>
      <c r="K970" s="130" t="s">
        <v>1244</v>
      </c>
      <c r="L970" s="130" t="s">
        <v>1849</v>
      </c>
      <c r="M970" s="130" t="s">
        <v>1844</v>
      </c>
      <c r="N970" s="130" t="s">
        <v>120</v>
      </c>
      <c r="O970" s="130" t="s">
        <v>1845</v>
      </c>
      <c r="P970" s="130" t="s">
        <v>1846</v>
      </c>
      <c r="Q970" s="130" t="s">
        <v>1127</v>
      </c>
      <c r="R970" s="130" t="s">
        <v>1191</v>
      </c>
      <c r="S970" s="130" t="s">
        <v>1157</v>
      </c>
      <c r="T970" s="130" t="s">
        <v>1847</v>
      </c>
      <c r="U970" s="130">
        <v>2481693</v>
      </c>
      <c r="V970" s="131">
        <v>-1780000</v>
      </c>
      <c r="W970" s="131">
        <v>701693</v>
      </c>
      <c r="X970" s="131">
        <v>0</v>
      </c>
      <c r="Y970" s="131">
        <v>701693</v>
      </c>
      <c r="Z970" s="131">
        <v>0</v>
      </c>
      <c r="AA970" s="131">
        <v>701693</v>
      </c>
      <c r="AB970" s="131">
        <v>0</v>
      </c>
      <c r="AC970" s="131">
        <v>701693</v>
      </c>
      <c r="AD970" s="131">
        <v>0</v>
      </c>
      <c r="AE970" s="132">
        <v>701693</v>
      </c>
    </row>
    <row r="971" spans="1:31" x14ac:dyDescent="0.2">
      <c r="A971" s="133">
        <v>199</v>
      </c>
      <c r="B971" s="133" t="s">
        <v>1841</v>
      </c>
      <c r="C971" s="133" t="s">
        <v>1199</v>
      </c>
      <c r="D971" s="133" t="s">
        <v>1842</v>
      </c>
      <c r="E971" s="133" t="s">
        <v>1855</v>
      </c>
      <c r="F971" s="133" t="s">
        <v>1117</v>
      </c>
      <c r="G971" s="133" t="s">
        <v>1202</v>
      </c>
      <c r="H971" s="133" t="s">
        <v>1216</v>
      </c>
      <c r="I971" s="130" t="s">
        <v>1222</v>
      </c>
      <c r="J971" s="130" t="s">
        <v>1304</v>
      </c>
      <c r="K971" s="130" t="s">
        <v>1248</v>
      </c>
      <c r="L971" s="130" t="s">
        <v>1849</v>
      </c>
      <c r="M971" s="130" t="s">
        <v>1844</v>
      </c>
      <c r="N971" s="130" t="s">
        <v>120</v>
      </c>
      <c r="O971" s="130" t="s">
        <v>1845</v>
      </c>
      <c r="P971" s="130" t="s">
        <v>1846</v>
      </c>
      <c r="Q971" s="130" t="s">
        <v>1127</v>
      </c>
      <c r="R971" s="130" t="s">
        <v>1191</v>
      </c>
      <c r="S971" s="130" t="s">
        <v>1157</v>
      </c>
      <c r="T971" s="130" t="s">
        <v>1847</v>
      </c>
      <c r="U971" s="130">
        <v>2277471</v>
      </c>
      <c r="V971" s="131">
        <v>-253998</v>
      </c>
      <c r="W971" s="131">
        <v>2023473</v>
      </c>
      <c r="X971" s="131">
        <v>0</v>
      </c>
      <c r="Y971" s="131">
        <v>2023473</v>
      </c>
      <c r="Z971" s="131">
        <v>0</v>
      </c>
      <c r="AA971" s="131">
        <v>2023473</v>
      </c>
      <c r="AB971" s="131">
        <v>0</v>
      </c>
      <c r="AC971" s="131">
        <v>2023473</v>
      </c>
      <c r="AD971" s="131">
        <v>0</v>
      </c>
      <c r="AE971" s="132">
        <v>2023473</v>
      </c>
    </row>
    <row r="972" spans="1:31" x14ac:dyDescent="0.2">
      <c r="A972" s="133">
        <v>199</v>
      </c>
      <c r="B972" s="133" t="s">
        <v>1841</v>
      </c>
      <c r="C972" s="133" t="s">
        <v>1199</v>
      </c>
      <c r="D972" s="133" t="s">
        <v>1842</v>
      </c>
      <c r="E972" s="133" t="s">
        <v>1855</v>
      </c>
      <c r="F972" s="133" t="s">
        <v>1117</v>
      </c>
      <c r="G972" s="133" t="s">
        <v>1202</v>
      </c>
      <c r="H972" s="133" t="s">
        <v>1216</v>
      </c>
      <c r="I972" s="133" t="s">
        <v>1222</v>
      </c>
      <c r="J972" s="133" t="s">
        <v>1304</v>
      </c>
      <c r="K972" s="130" t="s">
        <v>1305</v>
      </c>
      <c r="L972" s="130" t="s">
        <v>1849</v>
      </c>
      <c r="M972" s="130" t="s">
        <v>1844</v>
      </c>
      <c r="N972" s="130" t="s">
        <v>120</v>
      </c>
      <c r="O972" s="130" t="s">
        <v>1845</v>
      </c>
      <c r="P972" s="130" t="s">
        <v>1846</v>
      </c>
      <c r="Q972" s="130" t="s">
        <v>1127</v>
      </c>
      <c r="R972" s="130" t="s">
        <v>1191</v>
      </c>
      <c r="S972" s="130" t="s">
        <v>1157</v>
      </c>
      <c r="T972" s="130" t="s">
        <v>1847</v>
      </c>
      <c r="U972" s="130">
        <v>1485027</v>
      </c>
      <c r="V972" s="131">
        <v>-15000</v>
      </c>
      <c r="W972" s="131">
        <v>1470027</v>
      </c>
      <c r="X972" s="131">
        <v>0</v>
      </c>
      <c r="Y972" s="131">
        <v>1470027</v>
      </c>
      <c r="Z972" s="131">
        <v>0</v>
      </c>
      <c r="AA972" s="131">
        <v>1470027</v>
      </c>
      <c r="AB972" s="131">
        <v>0</v>
      </c>
      <c r="AC972" s="131">
        <v>1470027</v>
      </c>
      <c r="AD972" s="131">
        <v>0</v>
      </c>
      <c r="AE972" s="132">
        <v>1470027</v>
      </c>
    </row>
    <row r="973" spans="1:31" x14ac:dyDescent="0.2">
      <c r="A973" s="133">
        <v>199</v>
      </c>
      <c r="B973" s="133" t="s">
        <v>1841</v>
      </c>
      <c r="C973" s="133" t="s">
        <v>1199</v>
      </c>
      <c r="D973" s="133" t="s">
        <v>1842</v>
      </c>
      <c r="E973" s="133" t="s">
        <v>1855</v>
      </c>
      <c r="F973" s="133" t="s">
        <v>1117</v>
      </c>
      <c r="G973" s="133" t="s">
        <v>1202</v>
      </c>
      <c r="H973" s="130" t="s">
        <v>1203</v>
      </c>
      <c r="I973" s="130" t="s">
        <v>1260</v>
      </c>
      <c r="J973" s="130" t="s">
        <v>1261</v>
      </c>
      <c r="K973" s="130" t="s">
        <v>1262</v>
      </c>
      <c r="L973" s="130" t="s">
        <v>1849</v>
      </c>
      <c r="M973" s="130" t="s">
        <v>1844</v>
      </c>
      <c r="N973" s="130" t="s">
        <v>120</v>
      </c>
      <c r="O973" s="130" t="s">
        <v>1845</v>
      </c>
      <c r="P973" s="130" t="s">
        <v>1846</v>
      </c>
      <c r="Q973" s="130" t="s">
        <v>1127</v>
      </c>
      <c r="R973" s="130" t="s">
        <v>1191</v>
      </c>
      <c r="S973" s="130" t="s">
        <v>1157</v>
      </c>
      <c r="T973" s="130" t="s">
        <v>1847</v>
      </c>
      <c r="U973" s="130">
        <v>850926</v>
      </c>
      <c r="V973" s="131">
        <v>-148600</v>
      </c>
      <c r="W973" s="131">
        <v>702326</v>
      </c>
      <c r="X973" s="131">
        <v>0</v>
      </c>
      <c r="Y973" s="131">
        <v>702326</v>
      </c>
      <c r="Z973" s="131">
        <v>0</v>
      </c>
      <c r="AA973" s="131">
        <v>702326</v>
      </c>
      <c r="AB973" s="131">
        <v>0</v>
      </c>
      <c r="AC973" s="131">
        <v>702326</v>
      </c>
      <c r="AD973" s="131">
        <v>0</v>
      </c>
      <c r="AE973" s="132">
        <v>702326</v>
      </c>
    </row>
    <row r="974" spans="1:31" x14ac:dyDescent="0.2">
      <c r="A974" s="133">
        <v>199</v>
      </c>
      <c r="B974" s="133" t="s">
        <v>1841</v>
      </c>
      <c r="C974" s="133" t="s">
        <v>1199</v>
      </c>
      <c r="D974" s="133" t="s">
        <v>1842</v>
      </c>
      <c r="E974" s="133" t="s">
        <v>1855</v>
      </c>
      <c r="F974" s="133" t="s">
        <v>1117</v>
      </c>
      <c r="G974" s="133" t="s">
        <v>1202</v>
      </c>
      <c r="H974" s="133" t="s">
        <v>1203</v>
      </c>
      <c r="I974" s="130" t="s">
        <v>1269</v>
      </c>
      <c r="J974" s="130" t="s">
        <v>1534</v>
      </c>
      <c r="K974" s="130" t="s">
        <v>1856</v>
      </c>
      <c r="L974" s="130" t="s">
        <v>1849</v>
      </c>
      <c r="M974" s="130" t="s">
        <v>1844</v>
      </c>
      <c r="N974" s="130" t="s">
        <v>120</v>
      </c>
      <c r="O974" s="130" t="s">
        <v>1845</v>
      </c>
      <c r="P974" s="130" t="s">
        <v>1846</v>
      </c>
      <c r="Q974" s="130" t="s">
        <v>1127</v>
      </c>
      <c r="R974" s="130" t="s">
        <v>1191</v>
      </c>
      <c r="S974" s="130" t="s">
        <v>1157</v>
      </c>
      <c r="T974" s="130" t="s">
        <v>1847</v>
      </c>
      <c r="U974" s="130">
        <v>1067649</v>
      </c>
      <c r="V974" s="131">
        <v>-262722</v>
      </c>
      <c r="W974" s="131">
        <v>804927</v>
      </c>
      <c r="X974" s="131">
        <v>0</v>
      </c>
      <c r="Y974" s="131">
        <v>804927</v>
      </c>
      <c r="Z974" s="131">
        <v>0</v>
      </c>
      <c r="AA974" s="131">
        <v>804927</v>
      </c>
      <c r="AB974" s="131">
        <v>0</v>
      </c>
      <c r="AC974" s="131">
        <v>804927</v>
      </c>
      <c r="AD974" s="131">
        <v>0</v>
      </c>
      <c r="AE974" s="132">
        <v>804927</v>
      </c>
    </row>
    <row r="975" spans="1:31" x14ac:dyDescent="0.2">
      <c r="A975" s="133">
        <v>199</v>
      </c>
      <c r="B975" s="133" t="s">
        <v>1841</v>
      </c>
      <c r="C975" s="133" t="s">
        <v>1199</v>
      </c>
      <c r="D975" s="133" t="s">
        <v>1842</v>
      </c>
      <c r="E975" s="133" t="s">
        <v>1855</v>
      </c>
      <c r="F975" s="133" t="s">
        <v>1117</v>
      </c>
      <c r="G975" s="133" t="s">
        <v>1202</v>
      </c>
      <c r="H975" s="133" t="s">
        <v>1203</v>
      </c>
      <c r="I975" s="130" t="s">
        <v>1309</v>
      </c>
      <c r="J975" s="130" t="s">
        <v>1310</v>
      </c>
      <c r="K975" s="130" t="s">
        <v>1310</v>
      </c>
      <c r="L975" s="130" t="s">
        <v>1849</v>
      </c>
      <c r="M975" s="130" t="s">
        <v>1844</v>
      </c>
      <c r="N975" s="130" t="s">
        <v>120</v>
      </c>
      <c r="O975" s="130" t="s">
        <v>1845</v>
      </c>
      <c r="P975" s="130" t="s">
        <v>1846</v>
      </c>
      <c r="Q975" s="130" t="s">
        <v>1127</v>
      </c>
      <c r="R975" s="130" t="s">
        <v>1191</v>
      </c>
      <c r="S975" s="130" t="s">
        <v>1157</v>
      </c>
      <c r="T975" s="130" t="s">
        <v>1847</v>
      </c>
      <c r="U975" s="130">
        <v>2500000</v>
      </c>
      <c r="V975" s="131">
        <v>-1680458</v>
      </c>
      <c r="W975" s="131">
        <v>819542</v>
      </c>
      <c r="X975" s="131">
        <v>7500</v>
      </c>
      <c r="Y975" s="131">
        <v>812042</v>
      </c>
      <c r="Z975" s="131">
        <v>7500</v>
      </c>
      <c r="AA975" s="131">
        <v>812042</v>
      </c>
      <c r="AB975" s="131">
        <v>7500</v>
      </c>
      <c r="AC975" s="131">
        <v>812042</v>
      </c>
      <c r="AD975" s="131">
        <v>2500</v>
      </c>
      <c r="AE975" s="132">
        <v>817042</v>
      </c>
    </row>
    <row r="976" spans="1:31" x14ac:dyDescent="0.2">
      <c r="A976" s="133">
        <v>199</v>
      </c>
      <c r="B976" s="133" t="s">
        <v>1841</v>
      </c>
      <c r="C976" s="133" t="s">
        <v>1199</v>
      </c>
      <c r="D976" s="133" t="s">
        <v>1842</v>
      </c>
      <c r="E976" s="133" t="s">
        <v>1855</v>
      </c>
      <c r="F976" s="133" t="s">
        <v>1117</v>
      </c>
      <c r="G976" s="130" t="s">
        <v>1118</v>
      </c>
      <c r="H976" s="130" t="s">
        <v>1149</v>
      </c>
      <c r="I976" s="130" t="s">
        <v>1182</v>
      </c>
      <c r="J976" s="130" t="s">
        <v>1377</v>
      </c>
      <c r="K976" s="130" t="s">
        <v>1378</v>
      </c>
      <c r="L976" s="130" t="s">
        <v>1849</v>
      </c>
      <c r="M976" s="130" t="s">
        <v>1844</v>
      </c>
      <c r="N976" s="130" t="s">
        <v>120</v>
      </c>
      <c r="O976" s="130" t="s">
        <v>1845</v>
      </c>
      <c r="P976" s="130" t="s">
        <v>1846</v>
      </c>
      <c r="Q976" s="130" t="s">
        <v>1127</v>
      </c>
      <c r="R976" s="130" t="s">
        <v>1191</v>
      </c>
      <c r="S976" s="130" t="s">
        <v>1157</v>
      </c>
      <c r="T976" s="130" t="s">
        <v>1847</v>
      </c>
      <c r="U976" s="130">
        <v>0</v>
      </c>
      <c r="V976" s="131">
        <v>0</v>
      </c>
      <c r="W976" s="131">
        <v>0</v>
      </c>
      <c r="X976" s="131">
        <v>0</v>
      </c>
      <c r="Y976" s="131">
        <v>0</v>
      </c>
      <c r="Z976" s="131">
        <v>0</v>
      </c>
      <c r="AA976" s="131">
        <v>0</v>
      </c>
      <c r="AB976" s="131">
        <v>0</v>
      </c>
      <c r="AC976" s="131">
        <v>0</v>
      </c>
      <c r="AD976" s="131">
        <v>0</v>
      </c>
      <c r="AE976" s="132">
        <v>0</v>
      </c>
    </row>
    <row r="977" spans="1:31" x14ac:dyDescent="0.2">
      <c r="A977" s="133">
        <v>199</v>
      </c>
      <c r="B977" s="133" t="s">
        <v>1841</v>
      </c>
      <c r="C977" s="133" t="s">
        <v>1199</v>
      </c>
      <c r="D977" s="133" t="s">
        <v>1842</v>
      </c>
      <c r="E977" s="133" t="s">
        <v>1855</v>
      </c>
      <c r="F977" s="133" t="s">
        <v>1117</v>
      </c>
      <c r="G977" s="133" t="s">
        <v>1118</v>
      </c>
      <c r="H977" s="133" t="s">
        <v>1149</v>
      </c>
      <c r="I977" s="133" t="s">
        <v>1182</v>
      </c>
      <c r="J977" s="130" t="s">
        <v>1347</v>
      </c>
      <c r="K977" s="130" t="s">
        <v>1348</v>
      </c>
      <c r="L977" s="130" t="s">
        <v>1849</v>
      </c>
      <c r="M977" s="130" t="s">
        <v>1844</v>
      </c>
      <c r="N977" s="130" t="s">
        <v>120</v>
      </c>
      <c r="O977" s="130" t="s">
        <v>1845</v>
      </c>
      <c r="P977" s="130" t="s">
        <v>1846</v>
      </c>
      <c r="Q977" s="130" t="s">
        <v>1127</v>
      </c>
      <c r="R977" s="130" t="s">
        <v>1191</v>
      </c>
      <c r="S977" s="130" t="s">
        <v>1157</v>
      </c>
      <c r="T977" s="130" t="s">
        <v>1847</v>
      </c>
      <c r="U977" s="130">
        <v>2641485</v>
      </c>
      <c r="V977" s="131">
        <v>-348167</v>
      </c>
      <c r="W977" s="131">
        <v>2293318</v>
      </c>
      <c r="X977" s="131">
        <v>0</v>
      </c>
      <c r="Y977" s="131">
        <v>2293318</v>
      </c>
      <c r="Z977" s="131">
        <v>0</v>
      </c>
      <c r="AA977" s="131">
        <v>2293318</v>
      </c>
      <c r="AB977" s="131">
        <v>0</v>
      </c>
      <c r="AC977" s="131">
        <v>2293318</v>
      </c>
      <c r="AD977" s="131">
        <v>0</v>
      </c>
      <c r="AE977" s="132">
        <v>2293318</v>
      </c>
    </row>
    <row r="978" spans="1:31" x14ac:dyDescent="0.2">
      <c r="A978" s="130">
        <v>200</v>
      </c>
      <c r="B978" s="130" t="s">
        <v>1841</v>
      </c>
      <c r="C978" s="130" t="s">
        <v>1199</v>
      </c>
      <c r="D978" s="130" t="s">
        <v>1857</v>
      </c>
      <c r="E978" s="130" t="s">
        <v>1201</v>
      </c>
      <c r="F978" s="130" t="s">
        <v>1117</v>
      </c>
      <c r="G978" s="130" t="s">
        <v>1276</v>
      </c>
      <c r="H978" s="130" t="s">
        <v>1277</v>
      </c>
      <c r="I978" s="130" t="s">
        <v>1278</v>
      </c>
      <c r="J978" s="130" t="s">
        <v>1278</v>
      </c>
      <c r="K978" s="130" t="s">
        <v>1858</v>
      </c>
      <c r="L978" s="130" t="s">
        <v>1859</v>
      </c>
      <c r="M978" s="130" t="s">
        <v>1844</v>
      </c>
      <c r="N978" s="130" t="s">
        <v>120</v>
      </c>
      <c r="O978" s="130" t="s">
        <v>1860</v>
      </c>
      <c r="P978" s="130" t="s">
        <v>1861</v>
      </c>
      <c r="Q978" s="130" t="s">
        <v>1127</v>
      </c>
      <c r="R978" s="130" t="s">
        <v>1191</v>
      </c>
      <c r="S978" s="130" t="s">
        <v>1191</v>
      </c>
      <c r="T978" s="130" t="s">
        <v>1369</v>
      </c>
      <c r="U978" s="130">
        <v>168000</v>
      </c>
      <c r="V978" s="131">
        <v>0</v>
      </c>
      <c r="W978" s="131">
        <v>168000</v>
      </c>
      <c r="X978" s="131">
        <v>168000</v>
      </c>
      <c r="Y978" s="131">
        <v>0</v>
      </c>
      <c r="Z978" s="131">
        <v>168000</v>
      </c>
      <c r="AA978" s="131">
        <v>0</v>
      </c>
      <c r="AB978" s="131">
        <v>71526.049999999988</v>
      </c>
      <c r="AC978" s="131">
        <v>96473.950000000012</v>
      </c>
      <c r="AD978" s="131">
        <v>71526.049999999988</v>
      </c>
      <c r="AE978" s="132">
        <v>96473.950000000012</v>
      </c>
    </row>
    <row r="979" spans="1:31" x14ac:dyDescent="0.2">
      <c r="A979" s="133">
        <v>200</v>
      </c>
      <c r="B979" s="133" t="s">
        <v>1841</v>
      </c>
      <c r="C979" s="133" t="s">
        <v>1199</v>
      </c>
      <c r="D979" s="133" t="s">
        <v>1857</v>
      </c>
      <c r="E979" s="133" t="s">
        <v>1201</v>
      </c>
      <c r="F979" s="133" t="s">
        <v>1117</v>
      </c>
      <c r="G979" s="133" t="s">
        <v>1276</v>
      </c>
      <c r="H979" s="133" t="s">
        <v>1277</v>
      </c>
      <c r="I979" s="130" t="s">
        <v>1288</v>
      </c>
      <c r="J979" s="130" t="s">
        <v>1289</v>
      </c>
      <c r="K979" s="130" t="s">
        <v>1290</v>
      </c>
      <c r="L979" s="130" t="s">
        <v>1859</v>
      </c>
      <c r="M979" s="130" t="s">
        <v>1844</v>
      </c>
      <c r="N979" s="130" t="s">
        <v>120</v>
      </c>
      <c r="O979" s="130" t="s">
        <v>1860</v>
      </c>
      <c r="P979" s="130" t="s">
        <v>1861</v>
      </c>
      <c r="Q979" s="130" t="s">
        <v>1127</v>
      </c>
      <c r="R979" s="130" t="s">
        <v>1191</v>
      </c>
      <c r="S979" s="130" t="s">
        <v>1191</v>
      </c>
      <c r="T979" s="130" t="s">
        <v>1369</v>
      </c>
      <c r="U979" s="130">
        <v>27000</v>
      </c>
      <c r="V979" s="131">
        <v>0</v>
      </c>
      <c r="W979" s="131">
        <v>27000</v>
      </c>
      <c r="X979" s="131">
        <v>27000</v>
      </c>
      <c r="Y979" s="131">
        <v>0</v>
      </c>
      <c r="Z979" s="131">
        <v>27000</v>
      </c>
      <c r="AA979" s="131">
        <v>0</v>
      </c>
      <c r="AB979" s="131">
        <v>0</v>
      </c>
      <c r="AC979" s="131">
        <v>27000</v>
      </c>
      <c r="AD979" s="131">
        <v>0</v>
      </c>
      <c r="AE979" s="132">
        <v>27000</v>
      </c>
    </row>
    <row r="980" spans="1:31" x14ac:dyDescent="0.2">
      <c r="A980" s="133">
        <v>200</v>
      </c>
      <c r="B980" s="133" t="s">
        <v>1841</v>
      </c>
      <c r="C980" s="133" t="s">
        <v>1199</v>
      </c>
      <c r="D980" s="133" t="s">
        <v>1857</v>
      </c>
      <c r="E980" s="133" t="s">
        <v>1201</v>
      </c>
      <c r="F980" s="133" t="s">
        <v>1117</v>
      </c>
      <c r="G980" s="133" t="s">
        <v>1276</v>
      </c>
      <c r="H980" s="130" t="s">
        <v>1297</v>
      </c>
      <c r="I980" s="130" t="s">
        <v>1298</v>
      </c>
      <c r="J980" s="130" t="s">
        <v>1298</v>
      </c>
      <c r="K980" s="130" t="s">
        <v>1299</v>
      </c>
      <c r="L980" s="130" t="s">
        <v>1859</v>
      </c>
      <c r="M980" s="130" t="s">
        <v>1844</v>
      </c>
      <c r="N980" s="130" t="s">
        <v>120</v>
      </c>
      <c r="O980" s="130" t="s">
        <v>1860</v>
      </c>
      <c r="P980" s="130" t="s">
        <v>1861</v>
      </c>
      <c r="Q980" s="130" t="s">
        <v>1127</v>
      </c>
      <c r="R980" s="130" t="s">
        <v>1191</v>
      </c>
      <c r="S980" s="130" t="s">
        <v>1191</v>
      </c>
      <c r="T980" s="130" t="s">
        <v>1369</v>
      </c>
      <c r="U980" s="130">
        <v>45684</v>
      </c>
      <c r="V980" s="131">
        <v>0</v>
      </c>
      <c r="W980" s="131">
        <v>45684</v>
      </c>
      <c r="X980" s="131">
        <v>45684</v>
      </c>
      <c r="Y980" s="131">
        <v>0</v>
      </c>
      <c r="Z980" s="131">
        <v>45684</v>
      </c>
      <c r="AA980" s="131">
        <v>0</v>
      </c>
      <c r="AB980" s="131">
        <v>6435</v>
      </c>
      <c r="AC980" s="131">
        <v>39249</v>
      </c>
      <c r="AD980" s="131">
        <v>6435</v>
      </c>
      <c r="AE980" s="132">
        <v>39249</v>
      </c>
    </row>
    <row r="981" spans="1:31" x14ac:dyDescent="0.2">
      <c r="A981" s="133">
        <v>200</v>
      </c>
      <c r="B981" s="133" t="s">
        <v>1841</v>
      </c>
      <c r="C981" s="133" t="s">
        <v>1199</v>
      </c>
      <c r="D981" s="133" t="s">
        <v>1857</v>
      </c>
      <c r="E981" s="133" t="s">
        <v>1201</v>
      </c>
      <c r="F981" s="133" t="s">
        <v>1117</v>
      </c>
      <c r="G981" s="133" t="s">
        <v>1276</v>
      </c>
      <c r="H981" s="130" t="s">
        <v>1514</v>
      </c>
      <c r="I981" s="130" t="s">
        <v>1515</v>
      </c>
      <c r="J981" s="130" t="s">
        <v>1515</v>
      </c>
      <c r="K981" s="130" t="s">
        <v>1862</v>
      </c>
      <c r="L981" s="130" t="s">
        <v>1859</v>
      </c>
      <c r="M981" s="130" t="s">
        <v>1844</v>
      </c>
      <c r="N981" s="130" t="s">
        <v>120</v>
      </c>
      <c r="O981" s="130" t="s">
        <v>1860</v>
      </c>
      <c r="P981" s="130" t="s">
        <v>1861</v>
      </c>
      <c r="Q981" s="130" t="s">
        <v>1127</v>
      </c>
      <c r="R981" s="130" t="s">
        <v>1191</v>
      </c>
      <c r="S981" s="130" t="s">
        <v>1191</v>
      </c>
      <c r="T981" s="130" t="s">
        <v>1369</v>
      </c>
      <c r="U981" s="130">
        <v>0</v>
      </c>
      <c r="V981" s="131">
        <v>14306</v>
      </c>
      <c r="W981" s="131">
        <v>14306</v>
      </c>
      <c r="X981" s="131">
        <v>8344.7099999999991</v>
      </c>
      <c r="Y981" s="131">
        <v>5961.2900000000009</v>
      </c>
      <c r="Z981" s="131">
        <v>8344.7099999999991</v>
      </c>
      <c r="AA981" s="131">
        <v>5961.2900000000009</v>
      </c>
      <c r="AB981" s="131">
        <v>8344.7099999999991</v>
      </c>
      <c r="AC981" s="131">
        <v>5961.2900000000009</v>
      </c>
      <c r="AD981" s="131">
        <v>8344.7099999999991</v>
      </c>
      <c r="AE981" s="132">
        <v>5961.2900000000009</v>
      </c>
    </row>
    <row r="982" spans="1:31" x14ac:dyDescent="0.2">
      <c r="A982" s="130">
        <v>201</v>
      </c>
      <c r="B982" s="130" t="s">
        <v>1841</v>
      </c>
      <c r="C982" s="130" t="s">
        <v>1199</v>
      </c>
      <c r="D982" s="130" t="s">
        <v>1857</v>
      </c>
      <c r="E982" s="130" t="s">
        <v>1201</v>
      </c>
      <c r="F982" s="130" t="s">
        <v>1117</v>
      </c>
      <c r="G982" s="130" t="s">
        <v>1276</v>
      </c>
      <c r="H982" s="130" t="s">
        <v>1277</v>
      </c>
      <c r="I982" s="130" t="s">
        <v>1278</v>
      </c>
      <c r="J982" s="130" t="s">
        <v>1278</v>
      </c>
      <c r="K982" s="130" t="s">
        <v>1863</v>
      </c>
      <c r="L982" s="130" t="s">
        <v>1864</v>
      </c>
      <c r="M982" s="130" t="s">
        <v>1844</v>
      </c>
      <c r="N982" s="130" t="s">
        <v>120</v>
      </c>
      <c r="O982" s="130" t="s">
        <v>1860</v>
      </c>
      <c r="P982" s="130" t="s">
        <v>1861</v>
      </c>
      <c r="Q982" s="130" t="s">
        <v>1127</v>
      </c>
      <c r="R982" s="130" t="s">
        <v>1191</v>
      </c>
      <c r="S982" s="130" t="s">
        <v>1157</v>
      </c>
      <c r="T982" s="130" t="s">
        <v>1847</v>
      </c>
      <c r="U982" s="130">
        <v>248266</v>
      </c>
      <c r="V982" s="131">
        <v>0</v>
      </c>
      <c r="W982" s="131">
        <v>248266</v>
      </c>
      <c r="X982" s="131">
        <v>248266</v>
      </c>
      <c r="Y982" s="131">
        <v>0</v>
      </c>
      <c r="Z982" s="131">
        <v>248266</v>
      </c>
      <c r="AA982" s="131">
        <v>0</v>
      </c>
      <c r="AB982" s="131">
        <v>136404.5</v>
      </c>
      <c r="AC982" s="131">
        <v>111861.5</v>
      </c>
      <c r="AD982" s="131">
        <v>136404.5</v>
      </c>
      <c r="AE982" s="132">
        <v>111861.5</v>
      </c>
    </row>
    <row r="983" spans="1:31" x14ac:dyDescent="0.2">
      <c r="A983" s="133">
        <v>201</v>
      </c>
      <c r="B983" s="133" t="s">
        <v>1841</v>
      </c>
      <c r="C983" s="133" t="s">
        <v>1199</v>
      </c>
      <c r="D983" s="133" t="s">
        <v>1857</v>
      </c>
      <c r="E983" s="133" t="s">
        <v>1201</v>
      </c>
      <c r="F983" s="133" t="s">
        <v>1117</v>
      </c>
      <c r="G983" s="133" t="s">
        <v>1276</v>
      </c>
      <c r="H983" s="133" t="s">
        <v>1277</v>
      </c>
      <c r="I983" s="133" t="s">
        <v>1278</v>
      </c>
      <c r="J983" s="133" t="s">
        <v>1278</v>
      </c>
      <c r="K983" s="130" t="s">
        <v>1279</v>
      </c>
      <c r="L983" s="130" t="s">
        <v>1864</v>
      </c>
      <c r="M983" s="130" t="s">
        <v>1844</v>
      </c>
      <c r="N983" s="130" t="s">
        <v>120</v>
      </c>
      <c r="O983" s="130" t="s">
        <v>1860</v>
      </c>
      <c r="P983" s="130" t="s">
        <v>1861</v>
      </c>
      <c r="Q983" s="130" t="s">
        <v>1127</v>
      </c>
      <c r="R983" s="130" t="s">
        <v>1191</v>
      </c>
      <c r="S983" s="130" t="s">
        <v>1157</v>
      </c>
      <c r="T983" s="130" t="s">
        <v>1847</v>
      </c>
      <c r="U983" s="130">
        <v>51668</v>
      </c>
      <c r="V983" s="131">
        <v>0</v>
      </c>
      <c r="W983" s="131">
        <v>51668</v>
      </c>
      <c r="X983" s="131">
        <v>51668</v>
      </c>
      <c r="Y983" s="131">
        <v>0</v>
      </c>
      <c r="Z983" s="131">
        <v>51668</v>
      </c>
      <c r="AA983" s="131">
        <v>0</v>
      </c>
      <c r="AB983" s="131">
        <v>9240.9500000000007</v>
      </c>
      <c r="AC983" s="131">
        <v>42427.05</v>
      </c>
      <c r="AD983" s="131">
        <v>9240.9500000000007</v>
      </c>
      <c r="AE983" s="132">
        <v>42427.05</v>
      </c>
    </row>
    <row r="984" spans="1:31" x14ac:dyDescent="0.2">
      <c r="A984" s="133">
        <v>201</v>
      </c>
      <c r="B984" s="133" t="s">
        <v>1841</v>
      </c>
      <c r="C984" s="133" t="s">
        <v>1199</v>
      </c>
      <c r="D984" s="133" t="s">
        <v>1857</v>
      </c>
      <c r="E984" s="133" t="s">
        <v>1201</v>
      </c>
      <c r="F984" s="133" t="s">
        <v>1117</v>
      </c>
      <c r="G984" s="133" t="s">
        <v>1276</v>
      </c>
      <c r="H984" s="133" t="s">
        <v>1277</v>
      </c>
      <c r="I984" s="133" t="s">
        <v>1278</v>
      </c>
      <c r="J984" s="133" t="s">
        <v>1278</v>
      </c>
      <c r="K984" s="130" t="s">
        <v>1281</v>
      </c>
      <c r="L984" s="130" t="s">
        <v>1864</v>
      </c>
      <c r="M984" s="130" t="s">
        <v>1844</v>
      </c>
      <c r="N984" s="130" t="s">
        <v>120</v>
      </c>
      <c r="O984" s="130" t="s">
        <v>1860</v>
      </c>
      <c r="P984" s="130" t="s">
        <v>1861</v>
      </c>
      <c r="Q984" s="130" t="s">
        <v>1127</v>
      </c>
      <c r="R984" s="130" t="s">
        <v>1191</v>
      </c>
      <c r="S984" s="130" t="s">
        <v>1157</v>
      </c>
      <c r="T984" s="130" t="s">
        <v>1847</v>
      </c>
      <c r="U984" s="130">
        <v>0</v>
      </c>
      <c r="V984" s="131">
        <v>35600</v>
      </c>
      <c r="W984" s="131">
        <v>35600</v>
      </c>
      <c r="X984" s="131">
        <v>35600</v>
      </c>
      <c r="Y984" s="131">
        <v>0</v>
      </c>
      <c r="Z984" s="131">
        <v>35600</v>
      </c>
      <c r="AA984" s="131">
        <v>0</v>
      </c>
      <c r="AB984" s="131">
        <v>35133.879999999997</v>
      </c>
      <c r="AC984" s="131">
        <v>466.12000000000262</v>
      </c>
      <c r="AD984" s="131">
        <v>35133.879999999997</v>
      </c>
      <c r="AE984" s="132">
        <v>466.12000000000262</v>
      </c>
    </row>
    <row r="985" spans="1:31" x14ac:dyDescent="0.2">
      <c r="A985" s="133">
        <v>201</v>
      </c>
      <c r="B985" s="133" t="s">
        <v>1841</v>
      </c>
      <c r="C985" s="133" t="s">
        <v>1199</v>
      </c>
      <c r="D985" s="133" t="s">
        <v>1857</v>
      </c>
      <c r="E985" s="133" t="s">
        <v>1201</v>
      </c>
      <c r="F985" s="133" t="s">
        <v>1117</v>
      </c>
      <c r="G985" s="133" t="s">
        <v>1276</v>
      </c>
      <c r="H985" s="133" t="s">
        <v>1277</v>
      </c>
      <c r="I985" s="133" t="s">
        <v>1278</v>
      </c>
      <c r="J985" s="130" t="s">
        <v>1283</v>
      </c>
      <c r="K985" s="130" t="s">
        <v>1284</v>
      </c>
      <c r="L985" s="130" t="s">
        <v>1864</v>
      </c>
      <c r="M985" s="130" t="s">
        <v>1844</v>
      </c>
      <c r="N985" s="130" t="s">
        <v>120</v>
      </c>
      <c r="O985" s="130" t="s">
        <v>1860</v>
      </c>
      <c r="P985" s="130" t="s">
        <v>1861</v>
      </c>
      <c r="Q985" s="130" t="s">
        <v>1127</v>
      </c>
      <c r="R985" s="130" t="s">
        <v>1191</v>
      </c>
      <c r="S985" s="130" t="s">
        <v>1157</v>
      </c>
      <c r="T985" s="130" t="s">
        <v>1847</v>
      </c>
      <c r="U985" s="130">
        <v>129741</v>
      </c>
      <c r="V985" s="131">
        <v>0</v>
      </c>
      <c r="W985" s="131">
        <v>129741</v>
      </c>
      <c r="X985" s="131">
        <v>129741</v>
      </c>
      <c r="Y985" s="131">
        <v>0</v>
      </c>
      <c r="Z985" s="131">
        <v>129741</v>
      </c>
      <c r="AA985" s="131">
        <v>0</v>
      </c>
      <c r="AB985" s="131">
        <v>64103.310000000012</v>
      </c>
      <c r="AC985" s="131">
        <v>65637.689999999988</v>
      </c>
      <c r="AD985" s="131">
        <v>64103.310000000012</v>
      </c>
      <c r="AE985" s="132">
        <v>65637.689999999988</v>
      </c>
    </row>
    <row r="986" spans="1:31" x14ac:dyDescent="0.2">
      <c r="A986" s="133">
        <v>201</v>
      </c>
      <c r="B986" s="133" t="s">
        <v>1841</v>
      </c>
      <c r="C986" s="133" t="s">
        <v>1199</v>
      </c>
      <c r="D986" s="133" t="s">
        <v>1857</v>
      </c>
      <c r="E986" s="133" t="s">
        <v>1201</v>
      </c>
      <c r="F986" s="133" t="s">
        <v>1117</v>
      </c>
      <c r="G986" s="133" t="s">
        <v>1276</v>
      </c>
      <c r="H986" s="133" t="s">
        <v>1277</v>
      </c>
      <c r="I986" s="130" t="s">
        <v>1288</v>
      </c>
      <c r="J986" s="130" t="s">
        <v>1289</v>
      </c>
      <c r="K986" s="130" t="s">
        <v>1290</v>
      </c>
      <c r="L986" s="130" t="s">
        <v>1864</v>
      </c>
      <c r="M986" s="130" t="s">
        <v>1844</v>
      </c>
      <c r="N986" s="130" t="s">
        <v>120</v>
      </c>
      <c r="O986" s="130" t="s">
        <v>1860</v>
      </c>
      <c r="P986" s="130" t="s">
        <v>1861</v>
      </c>
      <c r="Q986" s="130" t="s">
        <v>1127</v>
      </c>
      <c r="R986" s="130" t="s">
        <v>1191</v>
      </c>
      <c r="S986" s="130" t="s">
        <v>1157</v>
      </c>
      <c r="T986" s="130" t="s">
        <v>1847</v>
      </c>
      <c r="U986" s="130">
        <v>7800</v>
      </c>
      <c r="V986" s="131">
        <v>0</v>
      </c>
      <c r="W986" s="131">
        <v>7800</v>
      </c>
      <c r="X986" s="131">
        <v>4200</v>
      </c>
      <c r="Y986" s="131">
        <v>3600</v>
      </c>
      <c r="Z986" s="131">
        <v>4200</v>
      </c>
      <c r="AA986" s="131">
        <v>3600</v>
      </c>
      <c r="AB986" s="131">
        <v>0</v>
      </c>
      <c r="AC986" s="131">
        <v>7800</v>
      </c>
      <c r="AD986" s="131">
        <v>0</v>
      </c>
      <c r="AE986" s="132">
        <v>7800</v>
      </c>
    </row>
    <row r="987" spans="1:31" x14ac:dyDescent="0.2">
      <c r="A987" s="133">
        <v>201</v>
      </c>
      <c r="B987" s="133" t="s">
        <v>1841</v>
      </c>
      <c r="C987" s="133" t="s">
        <v>1199</v>
      </c>
      <c r="D987" s="133" t="s">
        <v>1857</v>
      </c>
      <c r="E987" s="133" t="s">
        <v>1201</v>
      </c>
      <c r="F987" s="133" t="s">
        <v>1117</v>
      </c>
      <c r="G987" s="133" t="s">
        <v>1276</v>
      </c>
      <c r="H987" s="133" t="s">
        <v>1277</v>
      </c>
      <c r="I987" s="133" t="s">
        <v>1288</v>
      </c>
      <c r="J987" s="133" t="s">
        <v>1289</v>
      </c>
      <c r="K987" s="130" t="s">
        <v>1291</v>
      </c>
      <c r="L987" s="130" t="s">
        <v>1864</v>
      </c>
      <c r="M987" s="130" t="s">
        <v>1844</v>
      </c>
      <c r="N987" s="130" t="s">
        <v>120</v>
      </c>
      <c r="O987" s="130" t="s">
        <v>1860</v>
      </c>
      <c r="P987" s="130" t="s">
        <v>1861</v>
      </c>
      <c r="Q987" s="130" t="s">
        <v>1127</v>
      </c>
      <c r="R987" s="130" t="s">
        <v>1191</v>
      </c>
      <c r="S987" s="130" t="s">
        <v>1157</v>
      </c>
      <c r="T987" s="130" t="s">
        <v>1847</v>
      </c>
      <c r="U987" s="130">
        <v>8000</v>
      </c>
      <c r="V987" s="131">
        <v>461</v>
      </c>
      <c r="W987" s="131">
        <v>8461</v>
      </c>
      <c r="X987" s="131">
        <v>2461</v>
      </c>
      <c r="Y987" s="131">
        <v>6000</v>
      </c>
      <c r="Z987" s="131">
        <v>2461</v>
      </c>
      <c r="AA987" s="131">
        <v>6000</v>
      </c>
      <c r="AB987" s="131">
        <v>2460.21</v>
      </c>
      <c r="AC987" s="131">
        <v>6000.79</v>
      </c>
      <c r="AD987" s="131">
        <v>2460.21</v>
      </c>
      <c r="AE987" s="132">
        <v>6000.79</v>
      </c>
    </row>
    <row r="988" spans="1:31" x14ac:dyDescent="0.2">
      <c r="A988" s="133">
        <v>201</v>
      </c>
      <c r="B988" s="133" t="s">
        <v>1841</v>
      </c>
      <c r="C988" s="133" t="s">
        <v>1199</v>
      </c>
      <c r="D988" s="133" t="s">
        <v>1857</v>
      </c>
      <c r="E988" s="133" t="s">
        <v>1201</v>
      </c>
      <c r="F988" s="133" t="s">
        <v>1117</v>
      </c>
      <c r="G988" s="133" t="s">
        <v>1276</v>
      </c>
      <c r="H988" s="130" t="s">
        <v>1293</v>
      </c>
      <c r="I988" s="130" t="s">
        <v>1294</v>
      </c>
      <c r="J988" s="130" t="s">
        <v>1295</v>
      </c>
      <c r="K988" s="130" t="s">
        <v>1296</v>
      </c>
      <c r="L988" s="130" t="s">
        <v>1864</v>
      </c>
      <c r="M988" s="130" t="s">
        <v>1844</v>
      </c>
      <c r="N988" s="130" t="s">
        <v>120</v>
      </c>
      <c r="O988" s="130" t="s">
        <v>1860</v>
      </c>
      <c r="P988" s="130" t="s">
        <v>1861</v>
      </c>
      <c r="Q988" s="130" t="s">
        <v>1127</v>
      </c>
      <c r="R988" s="130" t="s">
        <v>1191</v>
      </c>
      <c r="S988" s="130" t="s">
        <v>1157</v>
      </c>
      <c r="T988" s="130" t="s">
        <v>1847</v>
      </c>
      <c r="U988" s="130">
        <v>7920</v>
      </c>
      <c r="V988" s="131">
        <v>0</v>
      </c>
      <c r="W988" s="131">
        <v>7920</v>
      </c>
      <c r="X988" s="131">
        <v>0</v>
      </c>
      <c r="Y988" s="131">
        <v>7920</v>
      </c>
      <c r="Z988" s="131">
        <v>0</v>
      </c>
      <c r="AA988" s="131">
        <v>7920</v>
      </c>
      <c r="AB988" s="131">
        <v>0</v>
      </c>
      <c r="AC988" s="131">
        <v>7920</v>
      </c>
      <c r="AD988" s="131">
        <v>0</v>
      </c>
      <c r="AE988" s="132">
        <v>7920</v>
      </c>
    </row>
    <row r="989" spans="1:31" x14ac:dyDescent="0.2">
      <c r="A989" s="133">
        <v>201</v>
      </c>
      <c r="B989" s="133" t="s">
        <v>1841</v>
      </c>
      <c r="C989" s="133" t="s">
        <v>1199</v>
      </c>
      <c r="D989" s="133" t="s">
        <v>1857</v>
      </c>
      <c r="E989" s="133" t="s">
        <v>1201</v>
      </c>
      <c r="F989" s="133" t="s">
        <v>1117</v>
      </c>
      <c r="G989" s="133" t="s">
        <v>1276</v>
      </c>
      <c r="H989" s="130" t="s">
        <v>1297</v>
      </c>
      <c r="I989" s="130" t="s">
        <v>1298</v>
      </c>
      <c r="J989" s="130" t="s">
        <v>1298</v>
      </c>
      <c r="K989" s="130" t="s">
        <v>1299</v>
      </c>
      <c r="L989" s="130" t="s">
        <v>1864</v>
      </c>
      <c r="M989" s="130" t="s">
        <v>1844</v>
      </c>
      <c r="N989" s="130" t="s">
        <v>120</v>
      </c>
      <c r="O989" s="130" t="s">
        <v>1860</v>
      </c>
      <c r="P989" s="130" t="s">
        <v>1861</v>
      </c>
      <c r="Q989" s="130" t="s">
        <v>1127</v>
      </c>
      <c r="R989" s="130" t="s">
        <v>1191</v>
      </c>
      <c r="S989" s="130" t="s">
        <v>1157</v>
      </c>
      <c r="T989" s="130" t="s">
        <v>1847</v>
      </c>
      <c r="U989" s="130">
        <v>32000</v>
      </c>
      <c r="V989" s="131">
        <v>0</v>
      </c>
      <c r="W989" s="131">
        <v>32000</v>
      </c>
      <c r="X989" s="131">
        <v>32000</v>
      </c>
      <c r="Y989" s="131">
        <v>0</v>
      </c>
      <c r="Z989" s="131">
        <v>32000</v>
      </c>
      <c r="AA989" s="131">
        <v>0</v>
      </c>
      <c r="AB989" s="131">
        <v>5101.880000000001</v>
      </c>
      <c r="AC989" s="131">
        <v>26898.12</v>
      </c>
      <c r="AD989" s="131">
        <v>5101.880000000001</v>
      </c>
      <c r="AE989" s="132">
        <v>26898.12</v>
      </c>
    </row>
    <row r="990" spans="1:31" x14ac:dyDescent="0.2">
      <c r="A990" s="133">
        <v>201</v>
      </c>
      <c r="B990" s="133" t="s">
        <v>1841</v>
      </c>
      <c r="C990" s="133" t="s">
        <v>1199</v>
      </c>
      <c r="D990" s="133" t="s">
        <v>1857</v>
      </c>
      <c r="E990" s="133" t="s">
        <v>1201</v>
      </c>
      <c r="F990" s="133" t="s">
        <v>1117</v>
      </c>
      <c r="G990" s="130" t="s">
        <v>1202</v>
      </c>
      <c r="H990" s="130" t="s">
        <v>1216</v>
      </c>
      <c r="I990" s="130" t="s">
        <v>1301</v>
      </c>
      <c r="J990" s="130" t="s">
        <v>1301</v>
      </c>
      <c r="K990" s="130" t="s">
        <v>1302</v>
      </c>
      <c r="L990" s="130" t="s">
        <v>1864</v>
      </c>
      <c r="M990" s="130" t="s">
        <v>1844</v>
      </c>
      <c r="N990" s="130" t="s">
        <v>120</v>
      </c>
      <c r="O990" s="130" t="s">
        <v>1860</v>
      </c>
      <c r="P990" s="130" t="s">
        <v>1861</v>
      </c>
      <c r="Q990" s="130" t="s">
        <v>1127</v>
      </c>
      <c r="R990" s="130" t="s">
        <v>1191</v>
      </c>
      <c r="S990" s="130" t="s">
        <v>1157</v>
      </c>
      <c r="T990" s="130" t="s">
        <v>1847</v>
      </c>
      <c r="U990" s="130">
        <v>41021</v>
      </c>
      <c r="V990" s="131">
        <v>0</v>
      </c>
      <c r="W990" s="131">
        <v>41021</v>
      </c>
      <c r="X990" s="131">
        <v>38723</v>
      </c>
      <c r="Y990" s="131">
        <v>2298</v>
      </c>
      <c r="Z990" s="131">
        <v>38723</v>
      </c>
      <c r="AA990" s="131">
        <v>2298</v>
      </c>
      <c r="AB990" s="131">
        <v>38723</v>
      </c>
      <c r="AC990" s="131">
        <v>2298</v>
      </c>
      <c r="AD990" s="131">
        <v>38723</v>
      </c>
      <c r="AE990" s="132">
        <v>2298</v>
      </c>
    </row>
    <row r="991" spans="1:31" x14ac:dyDescent="0.2">
      <c r="A991" s="133">
        <v>201</v>
      </c>
      <c r="B991" s="133" t="s">
        <v>1841</v>
      </c>
      <c r="C991" s="133" t="s">
        <v>1199</v>
      </c>
      <c r="D991" s="133" t="s">
        <v>1857</v>
      </c>
      <c r="E991" s="133" t="s">
        <v>1201</v>
      </c>
      <c r="F991" s="133" t="s">
        <v>1117</v>
      </c>
      <c r="G991" s="133" t="s">
        <v>1202</v>
      </c>
      <c r="H991" s="133" t="s">
        <v>1216</v>
      </c>
      <c r="I991" s="130" t="s">
        <v>1217</v>
      </c>
      <c r="J991" s="130" t="s">
        <v>1218</v>
      </c>
      <c r="K991" s="130" t="s">
        <v>1219</v>
      </c>
      <c r="L991" s="130" t="s">
        <v>1864</v>
      </c>
      <c r="M991" s="130" t="s">
        <v>1844</v>
      </c>
      <c r="N991" s="130" t="s">
        <v>120</v>
      </c>
      <c r="O991" s="130" t="s">
        <v>1860</v>
      </c>
      <c r="P991" s="130" t="s">
        <v>1861</v>
      </c>
      <c r="Q991" s="130" t="s">
        <v>1127</v>
      </c>
      <c r="R991" s="130" t="s">
        <v>1191</v>
      </c>
      <c r="S991" s="130" t="s">
        <v>1157</v>
      </c>
      <c r="T991" s="130" t="s">
        <v>1847</v>
      </c>
      <c r="U991" s="130">
        <v>4000</v>
      </c>
      <c r="V991" s="131">
        <v>0</v>
      </c>
      <c r="W991" s="131">
        <v>4000</v>
      </c>
      <c r="X991" s="131">
        <v>0</v>
      </c>
      <c r="Y991" s="131">
        <v>4000</v>
      </c>
      <c r="Z991" s="131">
        <v>0</v>
      </c>
      <c r="AA991" s="131">
        <v>4000</v>
      </c>
      <c r="AB991" s="131">
        <v>0</v>
      </c>
      <c r="AC991" s="131">
        <v>4000</v>
      </c>
      <c r="AD991" s="131">
        <v>0</v>
      </c>
      <c r="AE991" s="132">
        <v>4000</v>
      </c>
    </row>
    <row r="992" spans="1:31" x14ac:dyDescent="0.2">
      <c r="A992" s="133">
        <v>201</v>
      </c>
      <c r="B992" s="133" t="s">
        <v>1841</v>
      </c>
      <c r="C992" s="133" t="s">
        <v>1199</v>
      </c>
      <c r="D992" s="133" t="s">
        <v>1857</v>
      </c>
      <c r="E992" s="133" t="s">
        <v>1201</v>
      </c>
      <c r="F992" s="133" t="s">
        <v>1117</v>
      </c>
      <c r="G992" s="133" t="s">
        <v>1202</v>
      </c>
      <c r="H992" s="133" t="s">
        <v>1216</v>
      </c>
      <c r="I992" s="133" t="s">
        <v>1217</v>
      </c>
      <c r="J992" s="133" t="s">
        <v>1218</v>
      </c>
      <c r="K992" s="130" t="s">
        <v>1573</v>
      </c>
      <c r="L992" s="130" t="s">
        <v>1864</v>
      </c>
      <c r="M992" s="130" t="s">
        <v>1844</v>
      </c>
      <c r="N992" s="130" t="s">
        <v>120</v>
      </c>
      <c r="O992" s="130" t="s">
        <v>1860</v>
      </c>
      <c r="P992" s="130" t="s">
        <v>1861</v>
      </c>
      <c r="Q992" s="130" t="s">
        <v>1127</v>
      </c>
      <c r="R992" s="130" t="s">
        <v>1191</v>
      </c>
      <c r="S992" s="130" t="s">
        <v>1157</v>
      </c>
      <c r="T992" s="130" t="s">
        <v>1847</v>
      </c>
      <c r="U992" s="130">
        <v>800</v>
      </c>
      <c r="V992" s="131">
        <v>0</v>
      </c>
      <c r="W992" s="131">
        <v>800</v>
      </c>
      <c r="X992" s="131">
        <v>0</v>
      </c>
      <c r="Y992" s="131">
        <v>800</v>
      </c>
      <c r="Z992" s="131">
        <v>0</v>
      </c>
      <c r="AA992" s="131">
        <v>800</v>
      </c>
      <c r="AB992" s="131">
        <v>0</v>
      </c>
      <c r="AC992" s="131">
        <v>800</v>
      </c>
      <c r="AD992" s="131">
        <v>0</v>
      </c>
      <c r="AE992" s="132">
        <v>800</v>
      </c>
    </row>
    <row r="993" spans="1:31" x14ac:dyDescent="0.2">
      <c r="A993" s="133">
        <v>201</v>
      </c>
      <c r="B993" s="133" t="s">
        <v>1841</v>
      </c>
      <c r="C993" s="133" t="s">
        <v>1199</v>
      </c>
      <c r="D993" s="133" t="s">
        <v>1857</v>
      </c>
      <c r="E993" s="133" t="s">
        <v>1201</v>
      </c>
      <c r="F993" s="133" t="s">
        <v>1117</v>
      </c>
      <c r="G993" s="133" t="s">
        <v>1202</v>
      </c>
      <c r="H993" s="133" t="s">
        <v>1216</v>
      </c>
      <c r="I993" s="130" t="s">
        <v>1242</v>
      </c>
      <c r="J993" s="130" t="s">
        <v>1243</v>
      </c>
      <c r="K993" s="130" t="s">
        <v>1303</v>
      </c>
      <c r="L993" s="130" t="s">
        <v>1864</v>
      </c>
      <c r="M993" s="130" t="s">
        <v>1844</v>
      </c>
      <c r="N993" s="130" t="s">
        <v>120</v>
      </c>
      <c r="O993" s="130" t="s">
        <v>1860</v>
      </c>
      <c r="P993" s="130" t="s">
        <v>1861</v>
      </c>
      <c r="Q993" s="130" t="s">
        <v>1127</v>
      </c>
      <c r="R993" s="130" t="s">
        <v>1191</v>
      </c>
      <c r="S993" s="130" t="s">
        <v>1157</v>
      </c>
      <c r="T993" s="130" t="s">
        <v>1847</v>
      </c>
      <c r="U993" s="130">
        <v>32401</v>
      </c>
      <c r="V993" s="131">
        <v>0</v>
      </c>
      <c r="W993" s="131">
        <v>32401</v>
      </c>
      <c r="X993" s="131">
        <v>29160</v>
      </c>
      <c r="Y993" s="131">
        <v>3241</v>
      </c>
      <c r="Z993" s="131">
        <v>29160</v>
      </c>
      <c r="AA993" s="131">
        <v>3241</v>
      </c>
      <c r="AB993" s="131">
        <v>29160</v>
      </c>
      <c r="AC993" s="131">
        <v>3241</v>
      </c>
      <c r="AD993" s="131">
        <v>0</v>
      </c>
      <c r="AE993" s="132">
        <v>32401</v>
      </c>
    </row>
    <row r="994" spans="1:31" x14ac:dyDescent="0.2">
      <c r="A994" s="133">
        <v>201</v>
      </c>
      <c r="B994" s="133" t="s">
        <v>1841</v>
      </c>
      <c r="C994" s="133" t="s">
        <v>1199</v>
      </c>
      <c r="D994" s="133" t="s">
        <v>1857</v>
      </c>
      <c r="E994" s="133" t="s">
        <v>1201</v>
      </c>
      <c r="F994" s="133" t="s">
        <v>1117</v>
      </c>
      <c r="G994" s="133" t="s">
        <v>1202</v>
      </c>
      <c r="H994" s="133" t="s">
        <v>1216</v>
      </c>
      <c r="I994" s="130" t="s">
        <v>1222</v>
      </c>
      <c r="J994" s="130" t="s">
        <v>1304</v>
      </c>
      <c r="K994" s="130" t="s">
        <v>1248</v>
      </c>
      <c r="L994" s="130" t="s">
        <v>1864</v>
      </c>
      <c r="M994" s="130" t="s">
        <v>1844</v>
      </c>
      <c r="N994" s="130" t="s">
        <v>120</v>
      </c>
      <c r="O994" s="130" t="s">
        <v>1860</v>
      </c>
      <c r="P994" s="130" t="s">
        <v>1861</v>
      </c>
      <c r="Q994" s="130" t="s">
        <v>1127</v>
      </c>
      <c r="R994" s="130" t="s">
        <v>1191</v>
      </c>
      <c r="S994" s="130" t="s">
        <v>1157</v>
      </c>
      <c r="T994" s="130" t="s">
        <v>1847</v>
      </c>
      <c r="U994" s="130">
        <v>3870</v>
      </c>
      <c r="V994" s="131">
        <v>0</v>
      </c>
      <c r="W994" s="131">
        <v>3870</v>
      </c>
      <c r="X994" s="131">
        <v>0</v>
      </c>
      <c r="Y994" s="131">
        <v>3870</v>
      </c>
      <c r="Z994" s="131">
        <v>0</v>
      </c>
      <c r="AA994" s="131">
        <v>3870</v>
      </c>
      <c r="AB994" s="131">
        <v>0</v>
      </c>
      <c r="AC994" s="131">
        <v>3870</v>
      </c>
      <c r="AD994" s="131">
        <v>0</v>
      </c>
      <c r="AE994" s="132">
        <v>3870</v>
      </c>
    </row>
    <row r="995" spans="1:31" x14ac:dyDescent="0.2">
      <c r="A995" s="133">
        <v>201</v>
      </c>
      <c r="B995" s="133" t="s">
        <v>1841</v>
      </c>
      <c r="C995" s="133" t="s">
        <v>1199</v>
      </c>
      <c r="D995" s="133" t="s">
        <v>1857</v>
      </c>
      <c r="E995" s="133" t="s">
        <v>1201</v>
      </c>
      <c r="F995" s="133" t="s">
        <v>1117</v>
      </c>
      <c r="G995" s="133" t="s">
        <v>1202</v>
      </c>
      <c r="H995" s="133" t="s">
        <v>1216</v>
      </c>
      <c r="I995" s="133" t="s">
        <v>1222</v>
      </c>
      <c r="J995" s="133" t="s">
        <v>1304</v>
      </c>
      <c r="K995" s="130" t="s">
        <v>1305</v>
      </c>
      <c r="L995" s="130" t="s">
        <v>1864</v>
      </c>
      <c r="M995" s="130" t="s">
        <v>1844</v>
      </c>
      <c r="N995" s="130" t="s">
        <v>120</v>
      </c>
      <c r="O995" s="130" t="s">
        <v>1860</v>
      </c>
      <c r="P995" s="130" t="s">
        <v>1861</v>
      </c>
      <c r="Q995" s="130" t="s">
        <v>1127</v>
      </c>
      <c r="R995" s="130" t="s">
        <v>1191</v>
      </c>
      <c r="S995" s="130" t="s">
        <v>1157</v>
      </c>
      <c r="T995" s="130" t="s">
        <v>1847</v>
      </c>
      <c r="U995" s="130">
        <v>8060</v>
      </c>
      <c r="V995" s="131">
        <v>0</v>
      </c>
      <c r="W995" s="131">
        <v>8060</v>
      </c>
      <c r="X995" s="131">
        <v>1029.5</v>
      </c>
      <c r="Y995" s="131">
        <v>7030.5</v>
      </c>
      <c r="Z995" s="131">
        <v>1029.5</v>
      </c>
      <c r="AA995" s="131">
        <v>7030.5</v>
      </c>
      <c r="AB995" s="131">
        <v>1029.5</v>
      </c>
      <c r="AC995" s="131">
        <v>7030.5</v>
      </c>
      <c r="AD995" s="131">
        <v>1029.5</v>
      </c>
      <c r="AE995" s="132">
        <v>7030.5</v>
      </c>
    </row>
    <row r="996" spans="1:31" x14ac:dyDescent="0.2">
      <c r="A996" s="133">
        <v>201</v>
      </c>
      <c r="B996" s="133" t="s">
        <v>1841</v>
      </c>
      <c r="C996" s="133" t="s">
        <v>1199</v>
      </c>
      <c r="D996" s="133" t="s">
        <v>1857</v>
      </c>
      <c r="E996" s="133" t="s">
        <v>1201</v>
      </c>
      <c r="F996" s="133" t="s">
        <v>1117</v>
      </c>
      <c r="G996" s="133" t="s">
        <v>1202</v>
      </c>
      <c r="H996" s="133" t="s">
        <v>1216</v>
      </c>
      <c r="I996" s="133" t="s">
        <v>1222</v>
      </c>
      <c r="J996" s="130" t="s">
        <v>1245</v>
      </c>
      <c r="K996" s="130" t="s">
        <v>1246</v>
      </c>
      <c r="L996" s="130" t="s">
        <v>1864</v>
      </c>
      <c r="M996" s="130" t="s">
        <v>1844</v>
      </c>
      <c r="N996" s="130" t="s">
        <v>120</v>
      </c>
      <c r="O996" s="130" t="s">
        <v>1860</v>
      </c>
      <c r="P996" s="130" t="s">
        <v>1861</v>
      </c>
      <c r="Q996" s="130" t="s">
        <v>1127</v>
      </c>
      <c r="R996" s="130" t="s">
        <v>1191</v>
      </c>
      <c r="S996" s="130" t="s">
        <v>1157</v>
      </c>
      <c r="T996" s="130" t="s">
        <v>1847</v>
      </c>
      <c r="U996" s="130">
        <v>2800</v>
      </c>
      <c r="V996" s="131">
        <v>0</v>
      </c>
      <c r="W996" s="131">
        <v>2800</v>
      </c>
      <c r="X996" s="131">
        <v>941</v>
      </c>
      <c r="Y996" s="131">
        <v>1859</v>
      </c>
      <c r="Z996" s="131">
        <v>941</v>
      </c>
      <c r="AA996" s="131">
        <v>1859</v>
      </c>
      <c r="AB996" s="131">
        <v>941</v>
      </c>
      <c r="AC996" s="131">
        <v>1859</v>
      </c>
      <c r="AD996" s="131">
        <v>941</v>
      </c>
      <c r="AE996" s="132">
        <v>1859</v>
      </c>
    </row>
    <row r="997" spans="1:31" x14ac:dyDescent="0.2">
      <c r="A997" s="133">
        <v>201</v>
      </c>
      <c r="B997" s="133" t="s">
        <v>1841</v>
      </c>
      <c r="C997" s="133" t="s">
        <v>1199</v>
      </c>
      <c r="D997" s="133" t="s">
        <v>1857</v>
      </c>
      <c r="E997" s="133" t="s">
        <v>1201</v>
      </c>
      <c r="F997" s="133" t="s">
        <v>1117</v>
      </c>
      <c r="G997" s="133" t="s">
        <v>1202</v>
      </c>
      <c r="H997" s="133" t="s">
        <v>1216</v>
      </c>
      <c r="I997" s="133" t="s">
        <v>1222</v>
      </c>
      <c r="J997" s="133" t="s">
        <v>1245</v>
      </c>
      <c r="K997" s="130" t="s">
        <v>1575</v>
      </c>
      <c r="L997" s="130" t="s">
        <v>1864</v>
      </c>
      <c r="M997" s="130" t="s">
        <v>1844</v>
      </c>
      <c r="N997" s="130" t="s">
        <v>120</v>
      </c>
      <c r="O997" s="130" t="s">
        <v>1860</v>
      </c>
      <c r="P997" s="130" t="s">
        <v>1861</v>
      </c>
      <c r="Q997" s="130" t="s">
        <v>1127</v>
      </c>
      <c r="R997" s="130" t="s">
        <v>1191</v>
      </c>
      <c r="S997" s="130" t="s">
        <v>1157</v>
      </c>
      <c r="T997" s="130" t="s">
        <v>1847</v>
      </c>
      <c r="U997" s="130">
        <v>800</v>
      </c>
      <c r="V997" s="131">
        <v>0</v>
      </c>
      <c r="W997" s="131">
        <v>800</v>
      </c>
      <c r="X997" s="131">
        <v>0</v>
      </c>
      <c r="Y997" s="131">
        <v>800</v>
      </c>
      <c r="Z997" s="131">
        <v>0</v>
      </c>
      <c r="AA997" s="131">
        <v>800</v>
      </c>
      <c r="AB997" s="131">
        <v>0</v>
      </c>
      <c r="AC997" s="131">
        <v>800</v>
      </c>
      <c r="AD997" s="131">
        <v>0</v>
      </c>
      <c r="AE997" s="132">
        <v>800</v>
      </c>
    </row>
    <row r="998" spans="1:31" x14ac:dyDescent="0.2">
      <c r="A998" s="133">
        <v>201</v>
      </c>
      <c r="B998" s="133" t="s">
        <v>1841</v>
      </c>
      <c r="C998" s="133" t="s">
        <v>1199</v>
      </c>
      <c r="D998" s="133" t="s">
        <v>1857</v>
      </c>
      <c r="E998" s="133" t="s">
        <v>1201</v>
      </c>
      <c r="F998" s="133" t="s">
        <v>1117</v>
      </c>
      <c r="G998" s="133" t="s">
        <v>1202</v>
      </c>
      <c r="H998" s="133" t="s">
        <v>1216</v>
      </c>
      <c r="I998" s="133" t="s">
        <v>1222</v>
      </c>
      <c r="J998" s="130" t="s">
        <v>1230</v>
      </c>
      <c r="K998" s="130" t="s">
        <v>1231</v>
      </c>
      <c r="L998" s="130" t="s">
        <v>1864</v>
      </c>
      <c r="M998" s="130" t="s">
        <v>1844</v>
      </c>
      <c r="N998" s="130" t="s">
        <v>120</v>
      </c>
      <c r="O998" s="130" t="s">
        <v>1860</v>
      </c>
      <c r="P998" s="130" t="s">
        <v>1861</v>
      </c>
      <c r="Q998" s="130" t="s">
        <v>1127</v>
      </c>
      <c r="R998" s="130" t="s">
        <v>1191</v>
      </c>
      <c r="S998" s="130" t="s">
        <v>1157</v>
      </c>
      <c r="T998" s="130" t="s">
        <v>1847</v>
      </c>
      <c r="U998" s="130">
        <v>500</v>
      </c>
      <c r="V998" s="131">
        <v>0</v>
      </c>
      <c r="W998" s="131">
        <v>500</v>
      </c>
      <c r="X998" s="131">
        <v>64</v>
      </c>
      <c r="Y998" s="131">
        <v>436</v>
      </c>
      <c r="Z998" s="131">
        <v>32</v>
      </c>
      <c r="AA998" s="131">
        <v>468</v>
      </c>
      <c r="AB998" s="131">
        <v>32</v>
      </c>
      <c r="AC998" s="131">
        <v>468</v>
      </c>
      <c r="AD998" s="131">
        <v>32</v>
      </c>
      <c r="AE998" s="132">
        <v>468</v>
      </c>
    </row>
    <row r="999" spans="1:31" x14ac:dyDescent="0.2">
      <c r="A999" s="133">
        <v>201</v>
      </c>
      <c r="B999" s="133" t="s">
        <v>1841</v>
      </c>
      <c r="C999" s="133" t="s">
        <v>1199</v>
      </c>
      <c r="D999" s="133" t="s">
        <v>1857</v>
      </c>
      <c r="E999" s="133" t="s">
        <v>1201</v>
      </c>
      <c r="F999" s="133" t="s">
        <v>1117</v>
      </c>
      <c r="G999" s="133" t="s">
        <v>1202</v>
      </c>
      <c r="H999" s="133" t="s">
        <v>1216</v>
      </c>
      <c r="I999" s="130" t="s">
        <v>1247</v>
      </c>
      <c r="J999" s="130" t="s">
        <v>1248</v>
      </c>
      <c r="K999" s="130" t="s">
        <v>1249</v>
      </c>
      <c r="L999" s="130" t="s">
        <v>1864</v>
      </c>
      <c r="M999" s="130" t="s">
        <v>1844</v>
      </c>
      <c r="N999" s="130" t="s">
        <v>120</v>
      </c>
      <c r="O999" s="130" t="s">
        <v>1860</v>
      </c>
      <c r="P999" s="130" t="s">
        <v>1861</v>
      </c>
      <c r="Q999" s="130" t="s">
        <v>1127</v>
      </c>
      <c r="R999" s="130" t="s">
        <v>1191</v>
      </c>
      <c r="S999" s="130" t="s">
        <v>1157</v>
      </c>
      <c r="T999" s="130" t="s">
        <v>1847</v>
      </c>
      <c r="U999" s="130">
        <v>4000</v>
      </c>
      <c r="V999" s="131">
        <v>0</v>
      </c>
      <c r="W999" s="131">
        <v>4000</v>
      </c>
      <c r="X999" s="131">
        <v>2834.38</v>
      </c>
      <c r="Y999" s="131">
        <v>1165.6199999999999</v>
      </c>
      <c r="Z999" s="131">
        <v>2834.38</v>
      </c>
      <c r="AA999" s="131">
        <v>1165.6199999999999</v>
      </c>
      <c r="AB999" s="131">
        <v>2834.38</v>
      </c>
      <c r="AC999" s="131">
        <v>1165.6199999999999</v>
      </c>
      <c r="AD999" s="131">
        <v>2834.38</v>
      </c>
      <c r="AE999" s="132">
        <v>1165.6199999999999</v>
      </c>
    </row>
    <row r="1000" spans="1:31" x14ac:dyDescent="0.2">
      <c r="A1000" s="133">
        <v>201</v>
      </c>
      <c r="B1000" s="133" t="s">
        <v>1841</v>
      </c>
      <c r="C1000" s="133" t="s">
        <v>1199</v>
      </c>
      <c r="D1000" s="133" t="s">
        <v>1857</v>
      </c>
      <c r="E1000" s="133" t="s">
        <v>1201</v>
      </c>
      <c r="F1000" s="133" t="s">
        <v>1117</v>
      </c>
      <c r="G1000" s="133" t="s">
        <v>1202</v>
      </c>
      <c r="H1000" s="133" t="s">
        <v>1216</v>
      </c>
      <c r="I1000" s="130" t="s">
        <v>1523</v>
      </c>
      <c r="J1000" s="130" t="s">
        <v>1524</v>
      </c>
      <c r="K1000" s="130" t="s">
        <v>1524</v>
      </c>
      <c r="L1000" s="130" t="s">
        <v>1864</v>
      </c>
      <c r="M1000" s="130" t="s">
        <v>1844</v>
      </c>
      <c r="N1000" s="130" t="s">
        <v>120</v>
      </c>
      <c r="O1000" s="130" t="s">
        <v>1860</v>
      </c>
      <c r="P1000" s="130" t="s">
        <v>1861</v>
      </c>
      <c r="Q1000" s="130" t="s">
        <v>1127</v>
      </c>
      <c r="R1000" s="130" t="s">
        <v>1191</v>
      </c>
      <c r="S1000" s="130" t="s">
        <v>1157</v>
      </c>
      <c r="T1000" s="130" t="s">
        <v>1847</v>
      </c>
      <c r="U1000" s="130">
        <v>1900</v>
      </c>
      <c r="V1000" s="131">
        <v>0</v>
      </c>
      <c r="W1000" s="131">
        <v>1900</v>
      </c>
      <c r="X1000" s="131">
        <v>0</v>
      </c>
      <c r="Y1000" s="131">
        <v>1900</v>
      </c>
      <c r="Z1000" s="131">
        <v>0</v>
      </c>
      <c r="AA1000" s="131">
        <v>1900</v>
      </c>
      <c r="AB1000" s="131">
        <v>0</v>
      </c>
      <c r="AC1000" s="131">
        <v>1900</v>
      </c>
      <c r="AD1000" s="131">
        <v>0</v>
      </c>
      <c r="AE1000" s="132">
        <v>1900</v>
      </c>
    </row>
    <row r="1001" spans="1:31" x14ac:dyDescent="0.2">
      <c r="A1001" s="133">
        <v>201</v>
      </c>
      <c r="B1001" s="133" t="s">
        <v>1841</v>
      </c>
      <c r="C1001" s="133" t="s">
        <v>1199</v>
      </c>
      <c r="D1001" s="133" t="s">
        <v>1857</v>
      </c>
      <c r="E1001" s="133" t="s">
        <v>1201</v>
      </c>
      <c r="F1001" s="133" t="s">
        <v>1117</v>
      </c>
      <c r="G1001" s="133" t="s">
        <v>1202</v>
      </c>
      <c r="H1001" s="133" t="s">
        <v>1216</v>
      </c>
      <c r="I1001" s="130" t="s">
        <v>1252</v>
      </c>
      <c r="J1001" s="130" t="s">
        <v>1253</v>
      </c>
      <c r="K1001" s="130" t="s">
        <v>1528</v>
      </c>
      <c r="L1001" s="130" t="s">
        <v>1864</v>
      </c>
      <c r="M1001" s="130" t="s">
        <v>1844</v>
      </c>
      <c r="N1001" s="130" t="s">
        <v>120</v>
      </c>
      <c r="O1001" s="130" t="s">
        <v>1860</v>
      </c>
      <c r="P1001" s="130" t="s">
        <v>1861</v>
      </c>
      <c r="Q1001" s="130" t="s">
        <v>1127</v>
      </c>
      <c r="R1001" s="130" t="s">
        <v>1191</v>
      </c>
      <c r="S1001" s="130" t="s">
        <v>1157</v>
      </c>
      <c r="T1001" s="130" t="s">
        <v>1847</v>
      </c>
      <c r="U1001" s="130">
        <v>2000</v>
      </c>
      <c r="V1001" s="131">
        <v>0</v>
      </c>
      <c r="W1001" s="131">
        <v>2000</v>
      </c>
      <c r="X1001" s="131">
        <v>0</v>
      </c>
      <c r="Y1001" s="131">
        <v>2000</v>
      </c>
      <c r="Z1001" s="131">
        <v>0</v>
      </c>
      <c r="AA1001" s="131">
        <v>2000</v>
      </c>
      <c r="AB1001" s="131">
        <v>0</v>
      </c>
      <c r="AC1001" s="131">
        <v>2000</v>
      </c>
      <c r="AD1001" s="131">
        <v>0</v>
      </c>
      <c r="AE1001" s="132">
        <v>2000</v>
      </c>
    </row>
    <row r="1002" spans="1:31" x14ac:dyDescent="0.2">
      <c r="A1002" s="133">
        <v>201</v>
      </c>
      <c r="B1002" s="133" t="s">
        <v>1841</v>
      </c>
      <c r="C1002" s="133" t="s">
        <v>1199</v>
      </c>
      <c r="D1002" s="133" t="s">
        <v>1857</v>
      </c>
      <c r="E1002" s="133" t="s">
        <v>1201</v>
      </c>
      <c r="F1002" s="133" t="s">
        <v>1117</v>
      </c>
      <c r="G1002" s="133" t="s">
        <v>1202</v>
      </c>
      <c r="H1002" s="133" t="s">
        <v>1216</v>
      </c>
      <c r="I1002" s="133" t="s">
        <v>1252</v>
      </c>
      <c r="J1002" s="133" t="s">
        <v>1253</v>
      </c>
      <c r="K1002" s="130" t="s">
        <v>1254</v>
      </c>
      <c r="L1002" s="130" t="s">
        <v>1864</v>
      </c>
      <c r="M1002" s="130" t="s">
        <v>1844</v>
      </c>
      <c r="N1002" s="130" t="s">
        <v>120</v>
      </c>
      <c r="O1002" s="130" t="s">
        <v>1860</v>
      </c>
      <c r="P1002" s="130" t="s">
        <v>1861</v>
      </c>
      <c r="Q1002" s="130" t="s">
        <v>1127</v>
      </c>
      <c r="R1002" s="130" t="s">
        <v>1191</v>
      </c>
      <c r="S1002" s="130" t="s">
        <v>1157</v>
      </c>
      <c r="T1002" s="130" t="s">
        <v>1847</v>
      </c>
      <c r="U1002" s="130">
        <v>2000</v>
      </c>
      <c r="V1002" s="131">
        <v>0</v>
      </c>
      <c r="W1002" s="131">
        <v>2000</v>
      </c>
      <c r="X1002" s="131">
        <v>492</v>
      </c>
      <c r="Y1002" s="131">
        <v>1508</v>
      </c>
      <c r="Z1002" s="131">
        <v>492</v>
      </c>
      <c r="AA1002" s="131">
        <v>1508</v>
      </c>
      <c r="AB1002" s="131">
        <v>492</v>
      </c>
      <c r="AC1002" s="131">
        <v>1508</v>
      </c>
      <c r="AD1002" s="131">
        <v>492</v>
      </c>
      <c r="AE1002" s="132">
        <v>1508</v>
      </c>
    </row>
    <row r="1003" spans="1:31" x14ac:dyDescent="0.2">
      <c r="A1003" s="133">
        <v>201</v>
      </c>
      <c r="B1003" s="133" t="s">
        <v>1841</v>
      </c>
      <c r="C1003" s="133" t="s">
        <v>1199</v>
      </c>
      <c r="D1003" s="133" t="s">
        <v>1857</v>
      </c>
      <c r="E1003" s="133" t="s">
        <v>1201</v>
      </c>
      <c r="F1003" s="133" t="s">
        <v>1117</v>
      </c>
      <c r="G1003" s="133" t="s">
        <v>1202</v>
      </c>
      <c r="H1003" s="130" t="s">
        <v>1203</v>
      </c>
      <c r="I1003" s="130" t="s">
        <v>1204</v>
      </c>
      <c r="J1003" s="130" t="s">
        <v>1205</v>
      </c>
      <c r="K1003" s="130" t="s">
        <v>1255</v>
      </c>
      <c r="L1003" s="130" t="s">
        <v>1864</v>
      </c>
      <c r="M1003" s="130" t="s">
        <v>1844</v>
      </c>
      <c r="N1003" s="130" t="s">
        <v>120</v>
      </c>
      <c r="O1003" s="130" t="s">
        <v>1860</v>
      </c>
      <c r="P1003" s="130" t="s">
        <v>1861</v>
      </c>
      <c r="Q1003" s="130" t="s">
        <v>1127</v>
      </c>
      <c r="R1003" s="130" t="s">
        <v>1191</v>
      </c>
      <c r="S1003" s="130" t="s">
        <v>1157</v>
      </c>
      <c r="T1003" s="130" t="s">
        <v>1847</v>
      </c>
      <c r="U1003" s="130">
        <v>20440</v>
      </c>
      <c r="V1003" s="131">
        <v>0</v>
      </c>
      <c r="W1003" s="131">
        <v>20440</v>
      </c>
      <c r="X1003" s="131">
        <v>17761.240000000002</v>
      </c>
      <c r="Y1003" s="131">
        <v>2678.7599999999984</v>
      </c>
      <c r="Z1003" s="131">
        <v>17068.89</v>
      </c>
      <c r="AA1003" s="131">
        <v>3371.1100000000006</v>
      </c>
      <c r="AB1003" s="131">
        <v>17068.89</v>
      </c>
      <c r="AC1003" s="131">
        <v>3371.1100000000006</v>
      </c>
      <c r="AD1003" s="131">
        <v>17068.89</v>
      </c>
      <c r="AE1003" s="132">
        <v>3371.1100000000006</v>
      </c>
    </row>
    <row r="1004" spans="1:31" x14ac:dyDescent="0.2">
      <c r="A1004" s="133">
        <v>201</v>
      </c>
      <c r="B1004" s="133" t="s">
        <v>1841</v>
      </c>
      <c r="C1004" s="133" t="s">
        <v>1199</v>
      </c>
      <c r="D1004" s="133" t="s">
        <v>1857</v>
      </c>
      <c r="E1004" s="133" t="s">
        <v>1201</v>
      </c>
      <c r="F1004" s="133" t="s">
        <v>1117</v>
      </c>
      <c r="G1004" s="133" t="s">
        <v>1202</v>
      </c>
      <c r="H1004" s="133" t="s">
        <v>1203</v>
      </c>
      <c r="I1004" s="133" t="s">
        <v>1204</v>
      </c>
      <c r="J1004" s="133" t="s">
        <v>1205</v>
      </c>
      <c r="K1004" s="130" t="s">
        <v>1256</v>
      </c>
      <c r="L1004" s="130" t="s">
        <v>1864</v>
      </c>
      <c r="M1004" s="130" t="s">
        <v>1844</v>
      </c>
      <c r="N1004" s="130" t="s">
        <v>120</v>
      </c>
      <c r="O1004" s="130" t="s">
        <v>1860</v>
      </c>
      <c r="P1004" s="130" t="s">
        <v>1861</v>
      </c>
      <c r="Q1004" s="130" t="s">
        <v>1127</v>
      </c>
      <c r="R1004" s="130" t="s">
        <v>1191</v>
      </c>
      <c r="S1004" s="130" t="s">
        <v>1157</v>
      </c>
      <c r="T1004" s="130" t="s">
        <v>1847</v>
      </c>
      <c r="U1004" s="130">
        <v>13000</v>
      </c>
      <c r="V1004" s="131">
        <v>0</v>
      </c>
      <c r="W1004" s="131">
        <v>13000</v>
      </c>
      <c r="X1004" s="131">
        <v>12935.52</v>
      </c>
      <c r="Y1004" s="131">
        <v>64.479999999999563</v>
      </c>
      <c r="Z1004" s="131">
        <v>6531.68</v>
      </c>
      <c r="AA1004" s="131">
        <v>6468.32</v>
      </c>
      <c r="AB1004" s="131">
        <v>6531.68</v>
      </c>
      <c r="AC1004" s="131">
        <v>6468.32</v>
      </c>
      <c r="AD1004" s="131">
        <v>6531.68</v>
      </c>
      <c r="AE1004" s="132">
        <v>6468.32</v>
      </c>
    </row>
    <row r="1005" spans="1:31" x14ac:dyDescent="0.2">
      <c r="A1005" s="133">
        <v>201</v>
      </c>
      <c r="B1005" s="133" t="s">
        <v>1841</v>
      </c>
      <c r="C1005" s="133" t="s">
        <v>1199</v>
      </c>
      <c r="D1005" s="133" t="s">
        <v>1857</v>
      </c>
      <c r="E1005" s="133" t="s">
        <v>1201</v>
      </c>
      <c r="F1005" s="133" t="s">
        <v>1117</v>
      </c>
      <c r="G1005" s="133" t="s">
        <v>1202</v>
      </c>
      <c r="H1005" s="133" t="s">
        <v>1203</v>
      </c>
      <c r="I1005" s="133" t="s">
        <v>1204</v>
      </c>
      <c r="J1005" s="133" t="s">
        <v>1205</v>
      </c>
      <c r="K1005" s="130" t="s">
        <v>1206</v>
      </c>
      <c r="L1005" s="130" t="s">
        <v>1864</v>
      </c>
      <c r="M1005" s="130" t="s">
        <v>1844</v>
      </c>
      <c r="N1005" s="130" t="s">
        <v>120</v>
      </c>
      <c r="O1005" s="130" t="s">
        <v>1860</v>
      </c>
      <c r="P1005" s="130" t="s">
        <v>1861</v>
      </c>
      <c r="Q1005" s="130" t="s">
        <v>1127</v>
      </c>
      <c r="R1005" s="130" t="s">
        <v>1191</v>
      </c>
      <c r="S1005" s="130" t="s">
        <v>1157</v>
      </c>
      <c r="T1005" s="130" t="s">
        <v>1847</v>
      </c>
      <c r="U1005" s="130">
        <v>3000</v>
      </c>
      <c r="V1005" s="131">
        <v>0</v>
      </c>
      <c r="W1005" s="131">
        <v>3000</v>
      </c>
      <c r="X1005" s="131">
        <v>333.2</v>
      </c>
      <c r="Y1005" s="131">
        <v>2666.8</v>
      </c>
      <c r="Z1005" s="131">
        <v>166.6</v>
      </c>
      <c r="AA1005" s="131">
        <v>2833.4</v>
      </c>
      <c r="AB1005" s="131">
        <v>166.6</v>
      </c>
      <c r="AC1005" s="131">
        <v>2833.4</v>
      </c>
      <c r="AD1005" s="131">
        <v>166.6</v>
      </c>
      <c r="AE1005" s="132">
        <v>2833.4</v>
      </c>
    </row>
    <row r="1006" spans="1:31" x14ac:dyDescent="0.2">
      <c r="A1006" s="133">
        <v>201</v>
      </c>
      <c r="B1006" s="133" t="s">
        <v>1841</v>
      </c>
      <c r="C1006" s="133" t="s">
        <v>1199</v>
      </c>
      <c r="D1006" s="133" t="s">
        <v>1857</v>
      </c>
      <c r="E1006" s="133" t="s">
        <v>1201</v>
      </c>
      <c r="F1006" s="133" t="s">
        <v>1117</v>
      </c>
      <c r="G1006" s="133" t="s">
        <v>1202</v>
      </c>
      <c r="H1006" s="133" t="s">
        <v>1203</v>
      </c>
      <c r="I1006" s="130" t="s">
        <v>1224</v>
      </c>
      <c r="J1006" s="130" t="s">
        <v>1257</v>
      </c>
      <c r="K1006" s="130" t="s">
        <v>1258</v>
      </c>
      <c r="L1006" s="130" t="s">
        <v>1864</v>
      </c>
      <c r="M1006" s="130" t="s">
        <v>1844</v>
      </c>
      <c r="N1006" s="130" t="s">
        <v>120</v>
      </c>
      <c r="O1006" s="130" t="s">
        <v>1860</v>
      </c>
      <c r="P1006" s="130" t="s">
        <v>1861</v>
      </c>
      <c r="Q1006" s="130" t="s">
        <v>1127</v>
      </c>
      <c r="R1006" s="130" t="s">
        <v>1191</v>
      </c>
      <c r="S1006" s="130" t="s">
        <v>1157</v>
      </c>
      <c r="T1006" s="130" t="s">
        <v>1847</v>
      </c>
      <c r="U1006" s="130">
        <v>900</v>
      </c>
      <c r="V1006" s="131">
        <v>0</v>
      </c>
      <c r="W1006" s="131">
        <v>900</v>
      </c>
      <c r="X1006" s="131">
        <v>98.04</v>
      </c>
      <c r="Y1006" s="131">
        <v>801.96</v>
      </c>
      <c r="Z1006" s="131">
        <v>49.02</v>
      </c>
      <c r="AA1006" s="131">
        <v>850.98</v>
      </c>
      <c r="AB1006" s="131">
        <v>49.02</v>
      </c>
      <c r="AC1006" s="131">
        <v>850.98</v>
      </c>
      <c r="AD1006" s="131">
        <v>49.02</v>
      </c>
      <c r="AE1006" s="132">
        <v>850.98</v>
      </c>
    </row>
    <row r="1007" spans="1:31" x14ac:dyDescent="0.2">
      <c r="A1007" s="133">
        <v>201</v>
      </c>
      <c r="B1007" s="133" t="s">
        <v>1841</v>
      </c>
      <c r="C1007" s="133" t="s">
        <v>1199</v>
      </c>
      <c r="D1007" s="133" t="s">
        <v>1857</v>
      </c>
      <c r="E1007" s="133" t="s">
        <v>1201</v>
      </c>
      <c r="F1007" s="133" t="s">
        <v>1117</v>
      </c>
      <c r="G1007" s="133" t="s">
        <v>1202</v>
      </c>
      <c r="H1007" s="133" t="s">
        <v>1203</v>
      </c>
      <c r="I1007" s="133" t="s">
        <v>1224</v>
      </c>
      <c r="J1007" s="133" t="s">
        <v>1257</v>
      </c>
      <c r="K1007" s="130" t="s">
        <v>1259</v>
      </c>
      <c r="L1007" s="130" t="s">
        <v>1864</v>
      </c>
      <c r="M1007" s="130" t="s">
        <v>1844</v>
      </c>
      <c r="N1007" s="130" t="s">
        <v>120</v>
      </c>
      <c r="O1007" s="130" t="s">
        <v>1860</v>
      </c>
      <c r="P1007" s="130" t="s">
        <v>1861</v>
      </c>
      <c r="Q1007" s="130" t="s">
        <v>1127</v>
      </c>
      <c r="R1007" s="130" t="s">
        <v>1191</v>
      </c>
      <c r="S1007" s="130" t="s">
        <v>1157</v>
      </c>
      <c r="T1007" s="130" t="s">
        <v>1847</v>
      </c>
      <c r="U1007" s="130">
        <v>800</v>
      </c>
      <c r="V1007" s="131">
        <v>0</v>
      </c>
      <c r="W1007" s="131">
        <v>800</v>
      </c>
      <c r="X1007" s="131">
        <v>0</v>
      </c>
      <c r="Y1007" s="131">
        <v>800</v>
      </c>
      <c r="Z1007" s="131">
        <v>0</v>
      </c>
      <c r="AA1007" s="131">
        <v>800</v>
      </c>
      <c r="AB1007" s="131">
        <v>0</v>
      </c>
      <c r="AC1007" s="131">
        <v>800</v>
      </c>
      <c r="AD1007" s="131">
        <v>0</v>
      </c>
      <c r="AE1007" s="132">
        <v>800</v>
      </c>
    </row>
    <row r="1008" spans="1:31" x14ac:dyDescent="0.2">
      <c r="A1008" s="133">
        <v>201</v>
      </c>
      <c r="B1008" s="133" t="s">
        <v>1841</v>
      </c>
      <c r="C1008" s="133" t="s">
        <v>1199</v>
      </c>
      <c r="D1008" s="133" t="s">
        <v>1857</v>
      </c>
      <c r="E1008" s="133" t="s">
        <v>1201</v>
      </c>
      <c r="F1008" s="133" t="s">
        <v>1117</v>
      </c>
      <c r="G1008" s="133" t="s">
        <v>1202</v>
      </c>
      <c r="H1008" s="133" t="s">
        <v>1203</v>
      </c>
      <c r="I1008" s="133" t="s">
        <v>1224</v>
      </c>
      <c r="J1008" s="130" t="s">
        <v>1529</v>
      </c>
      <c r="K1008" s="130" t="s">
        <v>1530</v>
      </c>
      <c r="L1008" s="130" t="s">
        <v>1864</v>
      </c>
      <c r="M1008" s="130" t="s">
        <v>1844</v>
      </c>
      <c r="N1008" s="130" t="s">
        <v>120</v>
      </c>
      <c r="O1008" s="130" t="s">
        <v>1860</v>
      </c>
      <c r="P1008" s="130" t="s">
        <v>1861</v>
      </c>
      <c r="Q1008" s="130" t="s">
        <v>1127</v>
      </c>
      <c r="R1008" s="130" t="s">
        <v>1191</v>
      </c>
      <c r="S1008" s="130" t="s">
        <v>1157</v>
      </c>
      <c r="T1008" s="130" t="s">
        <v>1847</v>
      </c>
      <c r="U1008" s="130">
        <v>4550</v>
      </c>
      <c r="V1008" s="131">
        <v>0</v>
      </c>
      <c r="W1008" s="131">
        <v>4550</v>
      </c>
      <c r="X1008" s="131">
        <v>480</v>
      </c>
      <c r="Y1008" s="131">
        <v>4070</v>
      </c>
      <c r="Z1008" s="131">
        <v>0</v>
      </c>
      <c r="AA1008" s="131">
        <v>4550</v>
      </c>
      <c r="AB1008" s="131">
        <v>0</v>
      </c>
      <c r="AC1008" s="131">
        <v>4550</v>
      </c>
      <c r="AD1008" s="131">
        <v>0</v>
      </c>
      <c r="AE1008" s="132">
        <v>4550</v>
      </c>
    </row>
    <row r="1009" spans="1:31" x14ac:dyDescent="0.2">
      <c r="A1009" s="133">
        <v>201</v>
      </c>
      <c r="B1009" s="133" t="s">
        <v>1841</v>
      </c>
      <c r="C1009" s="133" t="s">
        <v>1199</v>
      </c>
      <c r="D1009" s="133" t="s">
        <v>1857</v>
      </c>
      <c r="E1009" s="133" t="s">
        <v>1201</v>
      </c>
      <c r="F1009" s="133" t="s">
        <v>1117</v>
      </c>
      <c r="G1009" s="133" t="s">
        <v>1202</v>
      </c>
      <c r="H1009" s="133" t="s">
        <v>1203</v>
      </c>
      <c r="I1009" s="133" t="s">
        <v>1224</v>
      </c>
      <c r="J1009" s="133" t="s">
        <v>1529</v>
      </c>
      <c r="K1009" s="130" t="s">
        <v>1531</v>
      </c>
      <c r="L1009" s="130" t="s">
        <v>1864</v>
      </c>
      <c r="M1009" s="130" t="s">
        <v>1844</v>
      </c>
      <c r="N1009" s="130" t="s">
        <v>120</v>
      </c>
      <c r="O1009" s="130" t="s">
        <v>1860</v>
      </c>
      <c r="P1009" s="130" t="s">
        <v>1861</v>
      </c>
      <c r="Q1009" s="130" t="s">
        <v>1127</v>
      </c>
      <c r="R1009" s="130" t="s">
        <v>1191</v>
      </c>
      <c r="S1009" s="130" t="s">
        <v>1157</v>
      </c>
      <c r="T1009" s="130" t="s">
        <v>1847</v>
      </c>
      <c r="U1009" s="130">
        <v>1300</v>
      </c>
      <c r="V1009" s="131">
        <v>0</v>
      </c>
      <c r="W1009" s="131">
        <v>1300</v>
      </c>
      <c r="X1009" s="131">
        <v>0</v>
      </c>
      <c r="Y1009" s="131">
        <v>1300</v>
      </c>
      <c r="Z1009" s="131">
        <v>0</v>
      </c>
      <c r="AA1009" s="131">
        <v>1300</v>
      </c>
      <c r="AB1009" s="131">
        <v>0</v>
      </c>
      <c r="AC1009" s="131">
        <v>1300</v>
      </c>
      <c r="AD1009" s="131">
        <v>0</v>
      </c>
      <c r="AE1009" s="132">
        <v>1300</v>
      </c>
    </row>
    <row r="1010" spans="1:31" x14ac:dyDescent="0.2">
      <c r="A1010" s="133">
        <v>201</v>
      </c>
      <c r="B1010" s="133" t="s">
        <v>1841</v>
      </c>
      <c r="C1010" s="133" t="s">
        <v>1199</v>
      </c>
      <c r="D1010" s="133" t="s">
        <v>1857</v>
      </c>
      <c r="E1010" s="133" t="s">
        <v>1201</v>
      </c>
      <c r="F1010" s="133" t="s">
        <v>1117</v>
      </c>
      <c r="G1010" s="133" t="s">
        <v>1202</v>
      </c>
      <c r="H1010" s="133" t="s">
        <v>1203</v>
      </c>
      <c r="I1010" s="133" t="s">
        <v>1224</v>
      </c>
      <c r="J1010" s="130" t="s">
        <v>1306</v>
      </c>
      <c r="K1010" s="130" t="s">
        <v>1307</v>
      </c>
      <c r="L1010" s="130" t="s">
        <v>1864</v>
      </c>
      <c r="M1010" s="130" t="s">
        <v>1844</v>
      </c>
      <c r="N1010" s="130" t="s">
        <v>120</v>
      </c>
      <c r="O1010" s="130" t="s">
        <v>1860</v>
      </c>
      <c r="P1010" s="130" t="s">
        <v>1861</v>
      </c>
      <c r="Q1010" s="130" t="s">
        <v>1127</v>
      </c>
      <c r="R1010" s="130" t="s">
        <v>1191</v>
      </c>
      <c r="S1010" s="130" t="s">
        <v>1157</v>
      </c>
      <c r="T1010" s="130" t="s">
        <v>1847</v>
      </c>
      <c r="U1010" s="130">
        <v>2200</v>
      </c>
      <c r="V1010" s="131">
        <v>0</v>
      </c>
      <c r="W1010" s="131">
        <v>2200</v>
      </c>
      <c r="X1010" s="131">
        <v>420</v>
      </c>
      <c r="Y1010" s="131">
        <v>1780</v>
      </c>
      <c r="Z1010" s="131">
        <v>210</v>
      </c>
      <c r="AA1010" s="131">
        <v>1990</v>
      </c>
      <c r="AB1010" s="131">
        <v>210</v>
      </c>
      <c r="AC1010" s="131">
        <v>1990</v>
      </c>
      <c r="AD1010" s="131">
        <v>210</v>
      </c>
      <c r="AE1010" s="132">
        <v>1990</v>
      </c>
    </row>
    <row r="1011" spans="1:31" x14ac:dyDescent="0.2">
      <c r="A1011" s="133">
        <v>201</v>
      </c>
      <c r="B1011" s="133" t="s">
        <v>1841</v>
      </c>
      <c r="C1011" s="133" t="s">
        <v>1199</v>
      </c>
      <c r="D1011" s="133" t="s">
        <v>1857</v>
      </c>
      <c r="E1011" s="133" t="s">
        <v>1201</v>
      </c>
      <c r="F1011" s="133" t="s">
        <v>1117</v>
      </c>
      <c r="G1011" s="133" t="s">
        <v>1202</v>
      </c>
      <c r="H1011" s="133" t="s">
        <v>1203</v>
      </c>
      <c r="I1011" s="133" t="s">
        <v>1224</v>
      </c>
      <c r="J1011" s="133" t="s">
        <v>1306</v>
      </c>
      <c r="K1011" s="130" t="s">
        <v>1308</v>
      </c>
      <c r="L1011" s="130" t="s">
        <v>1864</v>
      </c>
      <c r="M1011" s="130" t="s">
        <v>1844</v>
      </c>
      <c r="N1011" s="130" t="s">
        <v>120</v>
      </c>
      <c r="O1011" s="130" t="s">
        <v>1860</v>
      </c>
      <c r="P1011" s="130" t="s">
        <v>1861</v>
      </c>
      <c r="Q1011" s="130" t="s">
        <v>1127</v>
      </c>
      <c r="R1011" s="130" t="s">
        <v>1191</v>
      </c>
      <c r="S1011" s="130" t="s">
        <v>1157</v>
      </c>
      <c r="T1011" s="130" t="s">
        <v>1847</v>
      </c>
      <c r="U1011" s="130">
        <v>5000</v>
      </c>
      <c r="V1011" s="131">
        <v>0</v>
      </c>
      <c r="W1011" s="131">
        <v>5000</v>
      </c>
      <c r="X1011" s="131">
        <v>0</v>
      </c>
      <c r="Y1011" s="131">
        <v>5000</v>
      </c>
      <c r="Z1011" s="131">
        <v>0</v>
      </c>
      <c r="AA1011" s="131">
        <v>5000</v>
      </c>
      <c r="AB1011" s="131">
        <v>0</v>
      </c>
      <c r="AC1011" s="131">
        <v>5000</v>
      </c>
      <c r="AD1011" s="131">
        <v>0</v>
      </c>
      <c r="AE1011" s="132">
        <v>5000</v>
      </c>
    </row>
    <row r="1012" spans="1:31" x14ac:dyDescent="0.2">
      <c r="A1012" s="133">
        <v>201</v>
      </c>
      <c r="B1012" s="133" t="s">
        <v>1841</v>
      </c>
      <c r="C1012" s="133" t="s">
        <v>1199</v>
      </c>
      <c r="D1012" s="133" t="s">
        <v>1857</v>
      </c>
      <c r="E1012" s="133" t="s">
        <v>1201</v>
      </c>
      <c r="F1012" s="133" t="s">
        <v>1117</v>
      </c>
      <c r="G1012" s="133" t="s">
        <v>1202</v>
      </c>
      <c r="H1012" s="133" t="s">
        <v>1203</v>
      </c>
      <c r="I1012" s="133" t="s">
        <v>1224</v>
      </c>
      <c r="J1012" s="130" t="s">
        <v>1853</v>
      </c>
      <c r="K1012" s="130" t="s">
        <v>1854</v>
      </c>
      <c r="L1012" s="130" t="s">
        <v>1864</v>
      </c>
      <c r="M1012" s="130" t="s">
        <v>1844</v>
      </c>
      <c r="N1012" s="130" t="s">
        <v>120</v>
      </c>
      <c r="O1012" s="130" t="s">
        <v>1860</v>
      </c>
      <c r="P1012" s="130" t="s">
        <v>1861</v>
      </c>
      <c r="Q1012" s="130" t="s">
        <v>1127</v>
      </c>
      <c r="R1012" s="130" t="s">
        <v>1191</v>
      </c>
      <c r="S1012" s="130" t="s">
        <v>1157</v>
      </c>
      <c r="T1012" s="130" t="s">
        <v>1847</v>
      </c>
      <c r="U1012" s="130">
        <v>3000</v>
      </c>
      <c r="V1012" s="131">
        <v>0</v>
      </c>
      <c r="W1012" s="131">
        <v>3000</v>
      </c>
      <c r="X1012" s="131">
        <v>0</v>
      </c>
      <c r="Y1012" s="131">
        <v>3000</v>
      </c>
      <c r="Z1012" s="131">
        <v>0</v>
      </c>
      <c r="AA1012" s="131">
        <v>3000</v>
      </c>
      <c r="AB1012" s="131">
        <v>0</v>
      </c>
      <c r="AC1012" s="131">
        <v>3000</v>
      </c>
      <c r="AD1012" s="131">
        <v>0</v>
      </c>
      <c r="AE1012" s="132">
        <v>3000</v>
      </c>
    </row>
    <row r="1013" spans="1:31" x14ac:dyDescent="0.2">
      <c r="A1013" s="133">
        <v>201</v>
      </c>
      <c r="B1013" s="133" t="s">
        <v>1841</v>
      </c>
      <c r="C1013" s="133" t="s">
        <v>1199</v>
      </c>
      <c r="D1013" s="133" t="s">
        <v>1857</v>
      </c>
      <c r="E1013" s="133" t="s">
        <v>1201</v>
      </c>
      <c r="F1013" s="133" t="s">
        <v>1117</v>
      </c>
      <c r="G1013" s="133" t="s">
        <v>1202</v>
      </c>
      <c r="H1013" s="133" t="s">
        <v>1203</v>
      </c>
      <c r="I1013" s="130" t="s">
        <v>1260</v>
      </c>
      <c r="J1013" s="130" t="s">
        <v>1261</v>
      </c>
      <c r="K1013" s="130" t="s">
        <v>1262</v>
      </c>
      <c r="L1013" s="130" t="s">
        <v>1864</v>
      </c>
      <c r="M1013" s="130" t="s">
        <v>1844</v>
      </c>
      <c r="N1013" s="130" t="s">
        <v>120</v>
      </c>
      <c r="O1013" s="130" t="s">
        <v>1860</v>
      </c>
      <c r="P1013" s="130" t="s">
        <v>1861</v>
      </c>
      <c r="Q1013" s="130" t="s">
        <v>1127</v>
      </c>
      <c r="R1013" s="130" t="s">
        <v>1191</v>
      </c>
      <c r="S1013" s="130" t="s">
        <v>1157</v>
      </c>
      <c r="T1013" s="130" t="s">
        <v>1847</v>
      </c>
      <c r="U1013" s="130">
        <v>600</v>
      </c>
      <c r="V1013" s="131">
        <v>0</v>
      </c>
      <c r="W1013" s="131">
        <v>600</v>
      </c>
      <c r="X1013" s="131">
        <v>0</v>
      </c>
      <c r="Y1013" s="131">
        <v>600</v>
      </c>
      <c r="Z1013" s="131">
        <v>0</v>
      </c>
      <c r="AA1013" s="131">
        <v>600</v>
      </c>
      <c r="AB1013" s="131">
        <v>0</v>
      </c>
      <c r="AC1013" s="131">
        <v>600</v>
      </c>
      <c r="AD1013" s="131">
        <v>0</v>
      </c>
      <c r="AE1013" s="132">
        <v>600</v>
      </c>
    </row>
    <row r="1014" spans="1:31" x14ac:dyDescent="0.2">
      <c r="A1014" s="133">
        <v>201</v>
      </c>
      <c r="B1014" s="133" t="s">
        <v>1841</v>
      </c>
      <c r="C1014" s="133" t="s">
        <v>1199</v>
      </c>
      <c r="D1014" s="133" t="s">
        <v>1857</v>
      </c>
      <c r="E1014" s="133" t="s">
        <v>1201</v>
      </c>
      <c r="F1014" s="133" t="s">
        <v>1117</v>
      </c>
      <c r="G1014" s="133" t="s">
        <v>1202</v>
      </c>
      <c r="H1014" s="133" t="s">
        <v>1203</v>
      </c>
      <c r="I1014" s="130" t="s">
        <v>1264</v>
      </c>
      <c r="J1014" s="130" t="s">
        <v>1532</v>
      </c>
      <c r="K1014" s="130" t="s">
        <v>1249</v>
      </c>
      <c r="L1014" s="130" t="s">
        <v>1864</v>
      </c>
      <c r="M1014" s="130" t="s">
        <v>1844</v>
      </c>
      <c r="N1014" s="130" t="s">
        <v>120</v>
      </c>
      <c r="O1014" s="130" t="s">
        <v>1860</v>
      </c>
      <c r="P1014" s="130" t="s">
        <v>1861</v>
      </c>
      <c r="Q1014" s="130" t="s">
        <v>1127</v>
      </c>
      <c r="R1014" s="130" t="s">
        <v>1191</v>
      </c>
      <c r="S1014" s="130" t="s">
        <v>1157</v>
      </c>
      <c r="T1014" s="130" t="s">
        <v>1847</v>
      </c>
      <c r="U1014" s="130">
        <v>1400</v>
      </c>
      <c r="V1014" s="131">
        <v>0</v>
      </c>
      <c r="W1014" s="131">
        <v>1400</v>
      </c>
      <c r="X1014" s="131">
        <v>170</v>
      </c>
      <c r="Y1014" s="131">
        <v>1230</v>
      </c>
      <c r="Z1014" s="131">
        <v>170</v>
      </c>
      <c r="AA1014" s="131">
        <v>1230</v>
      </c>
      <c r="AB1014" s="131">
        <v>170</v>
      </c>
      <c r="AC1014" s="131">
        <v>1230</v>
      </c>
      <c r="AD1014" s="131">
        <v>170</v>
      </c>
      <c r="AE1014" s="132">
        <v>1230</v>
      </c>
    </row>
    <row r="1015" spans="1:31" x14ac:dyDescent="0.2">
      <c r="A1015" s="133">
        <v>201</v>
      </c>
      <c r="B1015" s="133" t="s">
        <v>1841</v>
      </c>
      <c r="C1015" s="133" t="s">
        <v>1199</v>
      </c>
      <c r="D1015" s="133" t="s">
        <v>1857</v>
      </c>
      <c r="E1015" s="133" t="s">
        <v>1201</v>
      </c>
      <c r="F1015" s="133" t="s">
        <v>1117</v>
      </c>
      <c r="G1015" s="133" t="s">
        <v>1202</v>
      </c>
      <c r="H1015" s="133" t="s">
        <v>1203</v>
      </c>
      <c r="I1015" s="130" t="s">
        <v>1269</v>
      </c>
      <c r="J1015" s="130" t="s">
        <v>1534</v>
      </c>
      <c r="K1015" s="130" t="s">
        <v>1535</v>
      </c>
      <c r="L1015" s="130" t="s">
        <v>1864</v>
      </c>
      <c r="M1015" s="130" t="s">
        <v>1844</v>
      </c>
      <c r="N1015" s="130" t="s">
        <v>120</v>
      </c>
      <c r="O1015" s="130" t="s">
        <v>1860</v>
      </c>
      <c r="P1015" s="130" t="s">
        <v>1861</v>
      </c>
      <c r="Q1015" s="130" t="s">
        <v>1127</v>
      </c>
      <c r="R1015" s="130" t="s">
        <v>1191</v>
      </c>
      <c r="S1015" s="130" t="s">
        <v>1157</v>
      </c>
      <c r="T1015" s="130" t="s">
        <v>1847</v>
      </c>
      <c r="U1015" s="130">
        <v>10000</v>
      </c>
      <c r="V1015" s="131">
        <v>0</v>
      </c>
      <c r="W1015" s="131">
        <v>10000</v>
      </c>
      <c r="X1015" s="131">
        <v>0</v>
      </c>
      <c r="Y1015" s="131">
        <v>10000</v>
      </c>
      <c r="Z1015" s="131">
        <v>0</v>
      </c>
      <c r="AA1015" s="131">
        <v>10000</v>
      </c>
      <c r="AB1015" s="131">
        <v>0</v>
      </c>
      <c r="AC1015" s="131">
        <v>10000</v>
      </c>
      <c r="AD1015" s="131">
        <v>0</v>
      </c>
      <c r="AE1015" s="132">
        <v>10000</v>
      </c>
    </row>
    <row r="1016" spans="1:31" x14ac:dyDescent="0.2">
      <c r="A1016" s="133">
        <v>201</v>
      </c>
      <c r="B1016" s="133" t="s">
        <v>1841</v>
      </c>
      <c r="C1016" s="133" t="s">
        <v>1199</v>
      </c>
      <c r="D1016" s="133" t="s">
        <v>1857</v>
      </c>
      <c r="E1016" s="133" t="s">
        <v>1201</v>
      </c>
      <c r="F1016" s="133" t="s">
        <v>1117</v>
      </c>
      <c r="G1016" s="133" t="s">
        <v>1202</v>
      </c>
      <c r="H1016" s="133" t="s">
        <v>1203</v>
      </c>
      <c r="I1016" s="133" t="s">
        <v>1269</v>
      </c>
      <c r="J1016" s="130" t="s">
        <v>1270</v>
      </c>
      <c r="K1016" s="130" t="s">
        <v>1272</v>
      </c>
      <c r="L1016" s="130" t="s">
        <v>1864</v>
      </c>
      <c r="M1016" s="130" t="s">
        <v>1844</v>
      </c>
      <c r="N1016" s="130" t="s">
        <v>120</v>
      </c>
      <c r="O1016" s="130" t="s">
        <v>1860</v>
      </c>
      <c r="P1016" s="130" t="s">
        <v>1861</v>
      </c>
      <c r="Q1016" s="130" t="s">
        <v>1127</v>
      </c>
      <c r="R1016" s="130" t="s">
        <v>1191</v>
      </c>
      <c r="S1016" s="130" t="s">
        <v>1157</v>
      </c>
      <c r="T1016" s="130" t="s">
        <v>1847</v>
      </c>
      <c r="U1016" s="130">
        <v>600</v>
      </c>
      <c r="V1016" s="131">
        <v>0</v>
      </c>
      <c r="W1016" s="131">
        <v>600</v>
      </c>
      <c r="X1016" s="131">
        <v>0</v>
      </c>
      <c r="Y1016" s="131">
        <v>600</v>
      </c>
      <c r="Z1016" s="131">
        <v>0</v>
      </c>
      <c r="AA1016" s="131">
        <v>600</v>
      </c>
      <c r="AB1016" s="131">
        <v>0</v>
      </c>
      <c r="AC1016" s="131">
        <v>600</v>
      </c>
      <c r="AD1016" s="131">
        <v>0</v>
      </c>
      <c r="AE1016" s="132">
        <v>600</v>
      </c>
    </row>
    <row r="1017" spans="1:31" x14ac:dyDescent="0.2">
      <c r="A1017" s="133">
        <v>201</v>
      </c>
      <c r="B1017" s="133" t="s">
        <v>1841</v>
      </c>
      <c r="C1017" s="133" t="s">
        <v>1199</v>
      </c>
      <c r="D1017" s="133" t="s">
        <v>1857</v>
      </c>
      <c r="E1017" s="133" t="s">
        <v>1201</v>
      </c>
      <c r="F1017" s="133" t="s">
        <v>1117</v>
      </c>
      <c r="G1017" s="133" t="s">
        <v>1202</v>
      </c>
      <c r="H1017" s="133" t="s">
        <v>1203</v>
      </c>
      <c r="I1017" s="130" t="s">
        <v>1209</v>
      </c>
      <c r="J1017" s="130" t="s">
        <v>1210</v>
      </c>
      <c r="K1017" s="130" t="s">
        <v>1539</v>
      </c>
      <c r="L1017" s="130" t="s">
        <v>1864</v>
      </c>
      <c r="M1017" s="130" t="s">
        <v>1844</v>
      </c>
      <c r="N1017" s="130" t="s">
        <v>120</v>
      </c>
      <c r="O1017" s="130" t="s">
        <v>1860</v>
      </c>
      <c r="P1017" s="130" t="s">
        <v>1861</v>
      </c>
      <c r="Q1017" s="130" t="s">
        <v>1127</v>
      </c>
      <c r="R1017" s="130" t="s">
        <v>1191</v>
      </c>
      <c r="S1017" s="130" t="s">
        <v>1157</v>
      </c>
      <c r="T1017" s="130" t="s">
        <v>1847</v>
      </c>
      <c r="U1017" s="130">
        <v>6000</v>
      </c>
      <c r="V1017" s="131">
        <v>0</v>
      </c>
      <c r="W1017" s="131">
        <v>6000</v>
      </c>
      <c r="X1017" s="131">
        <v>3019</v>
      </c>
      <c r="Y1017" s="131">
        <v>2981</v>
      </c>
      <c r="Z1017" s="131">
        <v>3019</v>
      </c>
      <c r="AA1017" s="131">
        <v>2981</v>
      </c>
      <c r="AB1017" s="131">
        <v>3019</v>
      </c>
      <c r="AC1017" s="131">
        <v>2981</v>
      </c>
      <c r="AD1017" s="131">
        <v>3019</v>
      </c>
      <c r="AE1017" s="132">
        <v>2981</v>
      </c>
    </row>
    <row r="1018" spans="1:31" x14ac:dyDescent="0.2">
      <c r="A1018" s="133">
        <v>201</v>
      </c>
      <c r="B1018" s="133" t="s">
        <v>1841</v>
      </c>
      <c r="C1018" s="133" t="s">
        <v>1199</v>
      </c>
      <c r="D1018" s="133" t="s">
        <v>1857</v>
      </c>
      <c r="E1018" s="133" t="s">
        <v>1201</v>
      </c>
      <c r="F1018" s="133" t="s">
        <v>1117</v>
      </c>
      <c r="G1018" s="133" t="s">
        <v>1202</v>
      </c>
      <c r="H1018" s="133" t="s">
        <v>1203</v>
      </c>
      <c r="I1018" s="133" t="s">
        <v>1209</v>
      </c>
      <c r="J1018" s="133" t="s">
        <v>1210</v>
      </c>
      <c r="K1018" s="130" t="s">
        <v>1211</v>
      </c>
      <c r="L1018" s="130" t="s">
        <v>1864</v>
      </c>
      <c r="M1018" s="130" t="s">
        <v>1844</v>
      </c>
      <c r="N1018" s="130" t="s">
        <v>120</v>
      </c>
      <c r="O1018" s="130" t="s">
        <v>1860</v>
      </c>
      <c r="P1018" s="130" t="s">
        <v>1861</v>
      </c>
      <c r="Q1018" s="130" t="s">
        <v>1127</v>
      </c>
      <c r="R1018" s="130" t="s">
        <v>1191</v>
      </c>
      <c r="S1018" s="130" t="s">
        <v>1157</v>
      </c>
      <c r="T1018" s="130" t="s">
        <v>1847</v>
      </c>
      <c r="U1018" s="130">
        <v>800</v>
      </c>
      <c r="V1018" s="131">
        <v>0</v>
      </c>
      <c r="W1018" s="131">
        <v>800</v>
      </c>
      <c r="X1018" s="131">
        <v>0</v>
      </c>
      <c r="Y1018" s="131">
        <v>800</v>
      </c>
      <c r="Z1018" s="131">
        <v>0</v>
      </c>
      <c r="AA1018" s="131">
        <v>800</v>
      </c>
      <c r="AB1018" s="131">
        <v>0</v>
      </c>
      <c r="AC1018" s="131">
        <v>800</v>
      </c>
      <c r="AD1018" s="131">
        <v>0</v>
      </c>
      <c r="AE1018" s="132">
        <v>800</v>
      </c>
    </row>
    <row r="1019" spans="1:31" x14ac:dyDescent="0.2">
      <c r="A1019" s="133">
        <v>201</v>
      </c>
      <c r="B1019" s="133" t="s">
        <v>1841</v>
      </c>
      <c r="C1019" s="133" t="s">
        <v>1199</v>
      </c>
      <c r="D1019" s="133" t="s">
        <v>1857</v>
      </c>
      <c r="E1019" s="133" t="s">
        <v>1201</v>
      </c>
      <c r="F1019" s="133" t="s">
        <v>1117</v>
      </c>
      <c r="G1019" s="133" t="s">
        <v>1202</v>
      </c>
      <c r="H1019" s="133" t="s">
        <v>1203</v>
      </c>
      <c r="I1019" s="133" t="s">
        <v>1209</v>
      </c>
      <c r="J1019" s="133" t="s">
        <v>1210</v>
      </c>
      <c r="K1019" s="130" t="s">
        <v>1274</v>
      </c>
      <c r="L1019" s="130" t="s">
        <v>1864</v>
      </c>
      <c r="M1019" s="130" t="s">
        <v>1844</v>
      </c>
      <c r="N1019" s="130" t="s">
        <v>120</v>
      </c>
      <c r="O1019" s="130" t="s">
        <v>1860</v>
      </c>
      <c r="P1019" s="130" t="s">
        <v>1861</v>
      </c>
      <c r="Q1019" s="130" t="s">
        <v>1127</v>
      </c>
      <c r="R1019" s="130" t="s">
        <v>1191</v>
      </c>
      <c r="S1019" s="130" t="s">
        <v>1157</v>
      </c>
      <c r="T1019" s="130" t="s">
        <v>1847</v>
      </c>
      <c r="U1019" s="130">
        <v>29000</v>
      </c>
      <c r="V1019" s="131">
        <v>0</v>
      </c>
      <c r="W1019" s="131">
        <v>29000</v>
      </c>
      <c r="X1019" s="131">
        <v>0</v>
      </c>
      <c r="Y1019" s="131">
        <v>29000</v>
      </c>
      <c r="Z1019" s="131">
        <v>0</v>
      </c>
      <c r="AA1019" s="131">
        <v>29000</v>
      </c>
      <c r="AB1019" s="131">
        <v>0</v>
      </c>
      <c r="AC1019" s="131">
        <v>29000</v>
      </c>
      <c r="AD1019" s="131">
        <v>0</v>
      </c>
      <c r="AE1019" s="132">
        <v>29000</v>
      </c>
    </row>
    <row r="1020" spans="1:31" x14ac:dyDescent="0.2">
      <c r="A1020" s="133">
        <v>201</v>
      </c>
      <c r="B1020" s="133" t="s">
        <v>1841</v>
      </c>
      <c r="C1020" s="133" t="s">
        <v>1199</v>
      </c>
      <c r="D1020" s="133" t="s">
        <v>1857</v>
      </c>
      <c r="E1020" s="133" t="s">
        <v>1201</v>
      </c>
      <c r="F1020" s="133" t="s">
        <v>1117</v>
      </c>
      <c r="G1020" s="133" t="s">
        <v>1202</v>
      </c>
      <c r="H1020" s="133" t="s">
        <v>1203</v>
      </c>
      <c r="I1020" s="130" t="s">
        <v>1309</v>
      </c>
      <c r="J1020" s="130" t="s">
        <v>1310</v>
      </c>
      <c r="K1020" s="130" t="s">
        <v>1310</v>
      </c>
      <c r="L1020" s="130" t="s">
        <v>1864</v>
      </c>
      <c r="M1020" s="130" t="s">
        <v>1844</v>
      </c>
      <c r="N1020" s="130" t="s">
        <v>120</v>
      </c>
      <c r="O1020" s="130" t="s">
        <v>1860</v>
      </c>
      <c r="P1020" s="130" t="s">
        <v>1861</v>
      </c>
      <c r="Q1020" s="130" t="s">
        <v>1127</v>
      </c>
      <c r="R1020" s="130" t="s">
        <v>1191</v>
      </c>
      <c r="S1020" s="130" t="s">
        <v>1157</v>
      </c>
      <c r="T1020" s="130" t="s">
        <v>1847</v>
      </c>
      <c r="U1020" s="130">
        <v>69258</v>
      </c>
      <c r="V1020" s="131">
        <v>0</v>
      </c>
      <c r="W1020" s="131">
        <v>69258</v>
      </c>
      <c r="X1020" s="131">
        <v>0</v>
      </c>
      <c r="Y1020" s="131">
        <v>69258</v>
      </c>
      <c r="Z1020" s="131">
        <v>0</v>
      </c>
      <c r="AA1020" s="131">
        <v>69258</v>
      </c>
      <c r="AB1020" s="131">
        <v>0</v>
      </c>
      <c r="AC1020" s="131">
        <v>69258</v>
      </c>
      <c r="AD1020" s="131">
        <v>0</v>
      </c>
      <c r="AE1020" s="132">
        <v>69258</v>
      </c>
    </row>
    <row r="1021" spans="1:31" x14ac:dyDescent="0.2">
      <c r="A1021" s="130">
        <v>202</v>
      </c>
      <c r="B1021" s="130" t="s">
        <v>1841</v>
      </c>
      <c r="C1021" s="130" t="s">
        <v>1199</v>
      </c>
      <c r="D1021" s="130" t="s">
        <v>1865</v>
      </c>
      <c r="E1021" s="130" t="s">
        <v>1201</v>
      </c>
      <c r="F1021" s="130" t="s">
        <v>1117</v>
      </c>
      <c r="G1021" s="130" t="s">
        <v>1276</v>
      </c>
      <c r="H1021" s="130" t="s">
        <v>1277</v>
      </c>
      <c r="I1021" s="130" t="s">
        <v>1278</v>
      </c>
      <c r="J1021" s="130" t="s">
        <v>1278</v>
      </c>
      <c r="K1021" s="130" t="s">
        <v>1279</v>
      </c>
      <c r="L1021" s="130" t="s">
        <v>1859</v>
      </c>
      <c r="M1021" s="130" t="s">
        <v>1844</v>
      </c>
      <c r="N1021" s="130" t="s">
        <v>120</v>
      </c>
      <c r="O1021" s="130" t="s">
        <v>1860</v>
      </c>
      <c r="P1021" s="130" t="s">
        <v>1866</v>
      </c>
      <c r="Q1021" s="130" t="s">
        <v>1127</v>
      </c>
      <c r="R1021" s="130" t="s">
        <v>1191</v>
      </c>
      <c r="S1021" s="130" t="s">
        <v>1157</v>
      </c>
      <c r="T1021" s="130" t="s">
        <v>1369</v>
      </c>
      <c r="U1021" s="130">
        <v>365554</v>
      </c>
      <c r="V1021" s="131">
        <v>0</v>
      </c>
      <c r="W1021" s="131">
        <v>365554</v>
      </c>
      <c r="X1021" s="131">
        <v>365554</v>
      </c>
      <c r="Y1021" s="131">
        <v>0</v>
      </c>
      <c r="Z1021" s="131">
        <v>365554</v>
      </c>
      <c r="AA1021" s="131">
        <v>0</v>
      </c>
      <c r="AB1021" s="131">
        <v>137779.9</v>
      </c>
      <c r="AC1021" s="131">
        <v>227774.1</v>
      </c>
      <c r="AD1021" s="131">
        <v>137779.9</v>
      </c>
      <c r="AE1021" s="132">
        <v>227774.1</v>
      </c>
    </row>
    <row r="1022" spans="1:31" x14ac:dyDescent="0.2">
      <c r="A1022" s="133">
        <v>202</v>
      </c>
      <c r="B1022" s="133" t="s">
        <v>1841</v>
      </c>
      <c r="C1022" s="133" t="s">
        <v>1199</v>
      </c>
      <c r="D1022" s="133" t="s">
        <v>1865</v>
      </c>
      <c r="E1022" s="133" t="s">
        <v>1201</v>
      </c>
      <c r="F1022" s="133" t="s">
        <v>1117</v>
      </c>
      <c r="G1022" s="133" t="s">
        <v>1276</v>
      </c>
      <c r="H1022" s="133" t="s">
        <v>1277</v>
      </c>
      <c r="I1022" s="133" t="s">
        <v>1278</v>
      </c>
      <c r="J1022" s="133" t="s">
        <v>1278</v>
      </c>
      <c r="K1022" s="130" t="s">
        <v>1281</v>
      </c>
      <c r="L1022" s="130" t="s">
        <v>1859</v>
      </c>
      <c r="M1022" s="130" t="s">
        <v>1844</v>
      </c>
      <c r="N1022" s="130" t="s">
        <v>120</v>
      </c>
      <c r="O1022" s="130" t="s">
        <v>1860</v>
      </c>
      <c r="P1022" s="130" t="s">
        <v>1866</v>
      </c>
      <c r="Q1022" s="130" t="s">
        <v>1127</v>
      </c>
      <c r="R1022" s="130" t="s">
        <v>1191</v>
      </c>
      <c r="S1022" s="130" t="s">
        <v>1157</v>
      </c>
      <c r="T1022" s="130" t="s">
        <v>1369</v>
      </c>
      <c r="U1022" s="130">
        <v>95600</v>
      </c>
      <c r="V1022" s="131">
        <v>0</v>
      </c>
      <c r="W1022" s="131">
        <v>95600</v>
      </c>
      <c r="X1022" s="131">
        <v>95600</v>
      </c>
      <c r="Y1022" s="131">
        <v>0</v>
      </c>
      <c r="Z1022" s="131">
        <v>95600</v>
      </c>
      <c r="AA1022" s="131">
        <v>0</v>
      </c>
      <c r="AB1022" s="131">
        <v>80369.679999999993</v>
      </c>
      <c r="AC1022" s="131">
        <v>15230.320000000007</v>
      </c>
      <c r="AD1022" s="131">
        <v>80369.679999999993</v>
      </c>
      <c r="AE1022" s="132">
        <v>15230.320000000007</v>
      </c>
    </row>
    <row r="1023" spans="1:31" x14ac:dyDescent="0.2">
      <c r="A1023" s="133">
        <v>202</v>
      </c>
      <c r="B1023" s="133" t="s">
        <v>1841</v>
      </c>
      <c r="C1023" s="133" t="s">
        <v>1199</v>
      </c>
      <c r="D1023" s="133" t="s">
        <v>1865</v>
      </c>
      <c r="E1023" s="133" t="s">
        <v>1201</v>
      </c>
      <c r="F1023" s="133" t="s">
        <v>1117</v>
      </c>
      <c r="G1023" s="133" t="s">
        <v>1276</v>
      </c>
      <c r="H1023" s="133" t="s">
        <v>1277</v>
      </c>
      <c r="I1023" s="133" t="s">
        <v>1278</v>
      </c>
      <c r="J1023" s="133" t="s">
        <v>1278</v>
      </c>
      <c r="K1023" s="130" t="s">
        <v>1282</v>
      </c>
      <c r="L1023" s="130" t="s">
        <v>1859</v>
      </c>
      <c r="M1023" s="130" t="s">
        <v>1844</v>
      </c>
      <c r="N1023" s="130" t="s">
        <v>120</v>
      </c>
      <c r="O1023" s="130" t="s">
        <v>1860</v>
      </c>
      <c r="P1023" s="130" t="s">
        <v>1866</v>
      </c>
      <c r="Q1023" s="130" t="s">
        <v>1127</v>
      </c>
      <c r="R1023" s="130" t="s">
        <v>1191</v>
      </c>
      <c r="S1023" s="130" t="s">
        <v>1157</v>
      </c>
      <c r="T1023" s="130" t="s">
        <v>1369</v>
      </c>
      <c r="U1023" s="130">
        <v>42338</v>
      </c>
      <c r="V1023" s="131">
        <v>0</v>
      </c>
      <c r="W1023" s="131">
        <v>42338</v>
      </c>
      <c r="X1023" s="131">
        <v>42338</v>
      </c>
      <c r="Y1023" s="131">
        <v>0</v>
      </c>
      <c r="Z1023" s="131">
        <v>42338</v>
      </c>
      <c r="AA1023" s="131">
        <v>0</v>
      </c>
      <c r="AB1023" s="131">
        <v>10797.8</v>
      </c>
      <c r="AC1023" s="131">
        <v>31540.2</v>
      </c>
      <c r="AD1023" s="131">
        <v>10797.8</v>
      </c>
      <c r="AE1023" s="132">
        <v>31540.2</v>
      </c>
    </row>
    <row r="1024" spans="1:31" x14ac:dyDescent="0.2">
      <c r="A1024" s="133">
        <v>202</v>
      </c>
      <c r="B1024" s="133" t="s">
        <v>1841</v>
      </c>
      <c r="C1024" s="133" t="s">
        <v>1199</v>
      </c>
      <c r="D1024" s="133" t="s">
        <v>1865</v>
      </c>
      <c r="E1024" s="133" t="s">
        <v>1201</v>
      </c>
      <c r="F1024" s="133" t="s">
        <v>1117</v>
      </c>
      <c r="G1024" s="133" t="s">
        <v>1276</v>
      </c>
      <c r="H1024" s="133" t="s">
        <v>1277</v>
      </c>
      <c r="I1024" s="133" t="s">
        <v>1278</v>
      </c>
      <c r="J1024" s="130" t="s">
        <v>1283</v>
      </c>
      <c r="K1024" s="130" t="s">
        <v>1284</v>
      </c>
      <c r="L1024" s="130" t="s">
        <v>1859</v>
      </c>
      <c r="M1024" s="130" t="s">
        <v>1844</v>
      </c>
      <c r="N1024" s="130" t="s">
        <v>120</v>
      </c>
      <c r="O1024" s="130" t="s">
        <v>1860</v>
      </c>
      <c r="P1024" s="130" t="s">
        <v>1866</v>
      </c>
      <c r="Q1024" s="130" t="s">
        <v>1127</v>
      </c>
      <c r="R1024" s="130" t="s">
        <v>1191</v>
      </c>
      <c r="S1024" s="130" t="s">
        <v>1157</v>
      </c>
      <c r="T1024" s="130" t="s">
        <v>1369</v>
      </c>
      <c r="U1024" s="130">
        <v>1413660</v>
      </c>
      <c r="V1024" s="131">
        <v>0</v>
      </c>
      <c r="W1024" s="131">
        <v>1413660</v>
      </c>
      <c r="X1024" s="131">
        <v>1413660</v>
      </c>
      <c r="Y1024" s="131">
        <v>0</v>
      </c>
      <c r="Z1024" s="131">
        <v>1413660</v>
      </c>
      <c r="AA1024" s="131">
        <v>0</v>
      </c>
      <c r="AB1024" s="131">
        <v>339591.24</v>
      </c>
      <c r="AC1024" s="131">
        <v>1074068.76</v>
      </c>
      <c r="AD1024" s="131">
        <v>339591.24</v>
      </c>
      <c r="AE1024" s="132">
        <v>1074068.76</v>
      </c>
    </row>
    <row r="1025" spans="1:31" x14ac:dyDescent="0.2">
      <c r="A1025" s="133">
        <v>202</v>
      </c>
      <c r="B1025" s="133" t="s">
        <v>1841</v>
      </c>
      <c r="C1025" s="133" t="s">
        <v>1199</v>
      </c>
      <c r="D1025" s="133" t="s">
        <v>1865</v>
      </c>
      <c r="E1025" s="133" t="s">
        <v>1201</v>
      </c>
      <c r="F1025" s="133" t="s">
        <v>1117</v>
      </c>
      <c r="G1025" s="133" t="s">
        <v>1276</v>
      </c>
      <c r="H1025" s="133" t="s">
        <v>1277</v>
      </c>
      <c r="I1025" s="130" t="s">
        <v>1285</v>
      </c>
      <c r="J1025" s="130" t="s">
        <v>1286</v>
      </c>
      <c r="K1025" s="130" t="s">
        <v>1287</v>
      </c>
      <c r="L1025" s="130" t="s">
        <v>1859</v>
      </c>
      <c r="M1025" s="130" t="s">
        <v>1844</v>
      </c>
      <c r="N1025" s="130" t="s">
        <v>120</v>
      </c>
      <c r="O1025" s="130" t="s">
        <v>1860</v>
      </c>
      <c r="P1025" s="130" t="s">
        <v>1866</v>
      </c>
      <c r="Q1025" s="130" t="s">
        <v>1127</v>
      </c>
      <c r="R1025" s="130" t="s">
        <v>1191</v>
      </c>
      <c r="S1025" s="130" t="s">
        <v>1157</v>
      </c>
      <c r="T1025" s="130" t="s">
        <v>1369</v>
      </c>
      <c r="U1025" s="130">
        <v>965223</v>
      </c>
      <c r="V1025" s="131">
        <v>51599</v>
      </c>
      <c r="W1025" s="131">
        <v>1016822</v>
      </c>
      <c r="X1025" s="131">
        <v>1016822</v>
      </c>
      <c r="Y1025" s="131">
        <v>0</v>
      </c>
      <c r="Z1025" s="131">
        <v>1015959.11</v>
      </c>
      <c r="AA1025" s="131">
        <v>862.89000000001397</v>
      </c>
      <c r="AB1025" s="131">
        <v>384493.69</v>
      </c>
      <c r="AC1025" s="131">
        <v>632328.31000000006</v>
      </c>
      <c r="AD1025" s="131">
        <v>384493.69</v>
      </c>
      <c r="AE1025" s="132">
        <v>632328.31000000006</v>
      </c>
    </row>
    <row r="1026" spans="1:31" x14ac:dyDescent="0.2">
      <c r="A1026" s="133">
        <v>202</v>
      </c>
      <c r="B1026" s="133" t="s">
        <v>1841</v>
      </c>
      <c r="C1026" s="133" t="s">
        <v>1199</v>
      </c>
      <c r="D1026" s="133" t="s">
        <v>1865</v>
      </c>
      <c r="E1026" s="133" t="s">
        <v>1201</v>
      </c>
      <c r="F1026" s="133" t="s">
        <v>1117</v>
      </c>
      <c r="G1026" s="133" t="s">
        <v>1276</v>
      </c>
      <c r="H1026" s="133" t="s">
        <v>1277</v>
      </c>
      <c r="I1026" s="130" t="s">
        <v>1288</v>
      </c>
      <c r="J1026" s="130" t="s">
        <v>1289</v>
      </c>
      <c r="K1026" s="130" t="s">
        <v>1290</v>
      </c>
      <c r="L1026" s="130" t="s">
        <v>1859</v>
      </c>
      <c r="M1026" s="130" t="s">
        <v>1844</v>
      </c>
      <c r="N1026" s="130" t="s">
        <v>120</v>
      </c>
      <c r="O1026" s="130" t="s">
        <v>1860</v>
      </c>
      <c r="P1026" s="130" t="s">
        <v>1866</v>
      </c>
      <c r="Q1026" s="130" t="s">
        <v>1127</v>
      </c>
      <c r="R1026" s="130" t="s">
        <v>1191</v>
      </c>
      <c r="S1026" s="130" t="s">
        <v>1157</v>
      </c>
      <c r="T1026" s="130" t="s">
        <v>1369</v>
      </c>
      <c r="U1026" s="130">
        <v>16506</v>
      </c>
      <c r="V1026" s="131">
        <v>0</v>
      </c>
      <c r="W1026" s="131">
        <v>16506</v>
      </c>
      <c r="X1026" s="131">
        <v>16506</v>
      </c>
      <c r="Y1026" s="131">
        <v>0</v>
      </c>
      <c r="Z1026" s="131">
        <v>16506</v>
      </c>
      <c r="AA1026" s="131">
        <v>0</v>
      </c>
      <c r="AB1026" s="131">
        <v>0</v>
      </c>
      <c r="AC1026" s="131">
        <v>16506</v>
      </c>
      <c r="AD1026" s="131">
        <v>0</v>
      </c>
      <c r="AE1026" s="132">
        <v>16506</v>
      </c>
    </row>
    <row r="1027" spans="1:31" x14ac:dyDescent="0.2">
      <c r="A1027" s="133">
        <v>202</v>
      </c>
      <c r="B1027" s="133" t="s">
        <v>1841</v>
      </c>
      <c r="C1027" s="133" t="s">
        <v>1199</v>
      </c>
      <c r="D1027" s="133" t="s">
        <v>1865</v>
      </c>
      <c r="E1027" s="133" t="s">
        <v>1201</v>
      </c>
      <c r="F1027" s="133" t="s">
        <v>1117</v>
      </c>
      <c r="G1027" s="133" t="s">
        <v>1276</v>
      </c>
      <c r="H1027" s="133" t="s">
        <v>1277</v>
      </c>
      <c r="I1027" s="133" t="s">
        <v>1288</v>
      </c>
      <c r="J1027" s="133" t="s">
        <v>1289</v>
      </c>
      <c r="K1027" s="130" t="s">
        <v>1291</v>
      </c>
      <c r="L1027" s="130" t="s">
        <v>1859</v>
      </c>
      <c r="M1027" s="130" t="s">
        <v>1844</v>
      </c>
      <c r="N1027" s="130" t="s">
        <v>120</v>
      </c>
      <c r="O1027" s="130" t="s">
        <v>1860</v>
      </c>
      <c r="P1027" s="130" t="s">
        <v>1866</v>
      </c>
      <c r="Q1027" s="130" t="s">
        <v>1127</v>
      </c>
      <c r="R1027" s="130" t="s">
        <v>1191</v>
      </c>
      <c r="S1027" s="130" t="s">
        <v>1157</v>
      </c>
      <c r="T1027" s="130" t="s">
        <v>1369</v>
      </c>
      <c r="U1027" s="130">
        <v>10400</v>
      </c>
      <c r="V1027" s="131">
        <v>0</v>
      </c>
      <c r="W1027" s="131">
        <v>10400</v>
      </c>
      <c r="X1027" s="131">
        <v>10400</v>
      </c>
      <c r="Y1027" s="131">
        <v>0</v>
      </c>
      <c r="Z1027" s="131">
        <v>10400</v>
      </c>
      <c r="AA1027" s="131">
        <v>0</v>
      </c>
      <c r="AB1027" s="131">
        <v>9600</v>
      </c>
      <c r="AC1027" s="131">
        <v>800</v>
      </c>
      <c r="AD1027" s="131">
        <v>9600</v>
      </c>
      <c r="AE1027" s="132">
        <v>800</v>
      </c>
    </row>
    <row r="1028" spans="1:31" x14ac:dyDescent="0.2">
      <c r="A1028" s="133">
        <v>202</v>
      </c>
      <c r="B1028" s="133" t="s">
        <v>1841</v>
      </c>
      <c r="C1028" s="133" t="s">
        <v>1199</v>
      </c>
      <c r="D1028" s="133" t="s">
        <v>1865</v>
      </c>
      <c r="E1028" s="133" t="s">
        <v>1201</v>
      </c>
      <c r="F1028" s="133" t="s">
        <v>1117</v>
      </c>
      <c r="G1028" s="133" t="s">
        <v>1276</v>
      </c>
      <c r="H1028" s="133" t="s">
        <v>1277</v>
      </c>
      <c r="I1028" s="133" t="s">
        <v>1288</v>
      </c>
      <c r="J1028" s="133" t="s">
        <v>1289</v>
      </c>
      <c r="K1028" s="130" t="s">
        <v>1292</v>
      </c>
      <c r="L1028" s="130" t="s">
        <v>1859</v>
      </c>
      <c r="M1028" s="130" t="s">
        <v>1844</v>
      </c>
      <c r="N1028" s="130" t="s">
        <v>120</v>
      </c>
      <c r="O1028" s="130" t="s">
        <v>1860</v>
      </c>
      <c r="P1028" s="130" t="s">
        <v>1866</v>
      </c>
      <c r="Q1028" s="130" t="s">
        <v>1127</v>
      </c>
      <c r="R1028" s="130" t="s">
        <v>1191</v>
      </c>
      <c r="S1028" s="130" t="s">
        <v>1157</v>
      </c>
      <c r="T1028" s="130" t="s">
        <v>1369</v>
      </c>
      <c r="U1028" s="130">
        <v>23400</v>
      </c>
      <c r="V1028" s="131">
        <v>2400</v>
      </c>
      <c r="W1028" s="131">
        <v>25800</v>
      </c>
      <c r="X1028" s="131">
        <v>25800</v>
      </c>
      <c r="Y1028" s="131">
        <v>0</v>
      </c>
      <c r="Z1028" s="131">
        <v>25800</v>
      </c>
      <c r="AA1028" s="131">
        <v>0</v>
      </c>
      <c r="AB1028" s="131">
        <v>0</v>
      </c>
      <c r="AC1028" s="131">
        <v>25800</v>
      </c>
      <c r="AD1028" s="131">
        <v>0</v>
      </c>
      <c r="AE1028" s="132">
        <v>25800</v>
      </c>
    </row>
    <row r="1029" spans="1:31" x14ac:dyDescent="0.2">
      <c r="A1029" s="133">
        <v>202</v>
      </c>
      <c r="B1029" s="133" t="s">
        <v>1841</v>
      </c>
      <c r="C1029" s="133" t="s">
        <v>1199</v>
      </c>
      <c r="D1029" s="133" t="s">
        <v>1865</v>
      </c>
      <c r="E1029" s="133" t="s">
        <v>1201</v>
      </c>
      <c r="F1029" s="133" t="s">
        <v>1117</v>
      </c>
      <c r="G1029" s="133" t="s">
        <v>1276</v>
      </c>
      <c r="H1029" s="133" t="s">
        <v>1277</v>
      </c>
      <c r="I1029" s="133" t="s">
        <v>1288</v>
      </c>
      <c r="J1029" s="130" t="s">
        <v>1867</v>
      </c>
      <c r="K1029" s="130" t="s">
        <v>1868</v>
      </c>
      <c r="L1029" s="130" t="s">
        <v>1859</v>
      </c>
      <c r="M1029" s="130" t="s">
        <v>1844</v>
      </c>
      <c r="N1029" s="130" t="s">
        <v>120</v>
      </c>
      <c r="O1029" s="130" t="s">
        <v>1860</v>
      </c>
      <c r="P1029" s="130" t="s">
        <v>1866</v>
      </c>
      <c r="Q1029" s="130" t="s">
        <v>1127</v>
      </c>
      <c r="R1029" s="130" t="s">
        <v>1191</v>
      </c>
      <c r="S1029" s="130" t="s">
        <v>1157</v>
      </c>
      <c r="T1029" s="130" t="s">
        <v>1369</v>
      </c>
      <c r="U1029" s="130">
        <v>0</v>
      </c>
      <c r="V1029" s="131">
        <v>11300</v>
      </c>
      <c r="W1029" s="131">
        <v>11300</v>
      </c>
      <c r="X1029" s="131">
        <v>11300</v>
      </c>
      <c r="Y1029" s="131">
        <v>0</v>
      </c>
      <c r="Z1029" s="131">
        <v>11300</v>
      </c>
      <c r="AA1029" s="131">
        <v>0</v>
      </c>
      <c r="AB1029" s="131">
        <v>11300</v>
      </c>
      <c r="AC1029" s="131">
        <v>0</v>
      </c>
      <c r="AD1029" s="131">
        <v>11200</v>
      </c>
      <c r="AE1029" s="132">
        <v>100</v>
      </c>
    </row>
    <row r="1030" spans="1:31" x14ac:dyDescent="0.2">
      <c r="A1030" s="133">
        <v>202</v>
      </c>
      <c r="B1030" s="133" t="s">
        <v>1841</v>
      </c>
      <c r="C1030" s="133" t="s">
        <v>1199</v>
      </c>
      <c r="D1030" s="133" t="s">
        <v>1865</v>
      </c>
      <c r="E1030" s="133" t="s">
        <v>1201</v>
      </c>
      <c r="F1030" s="133" t="s">
        <v>1117</v>
      </c>
      <c r="G1030" s="133" t="s">
        <v>1276</v>
      </c>
      <c r="H1030" s="133" t="s">
        <v>1277</v>
      </c>
      <c r="I1030" s="133" t="s">
        <v>1288</v>
      </c>
      <c r="J1030" s="133" t="s">
        <v>1867</v>
      </c>
      <c r="K1030" s="130" t="s">
        <v>1869</v>
      </c>
      <c r="L1030" s="130" t="s">
        <v>1859</v>
      </c>
      <c r="M1030" s="130" t="s">
        <v>1844</v>
      </c>
      <c r="N1030" s="130" t="s">
        <v>120</v>
      </c>
      <c r="O1030" s="130" t="s">
        <v>1860</v>
      </c>
      <c r="P1030" s="130" t="s">
        <v>1866</v>
      </c>
      <c r="Q1030" s="130" t="s">
        <v>1127</v>
      </c>
      <c r="R1030" s="130" t="s">
        <v>1191</v>
      </c>
      <c r="S1030" s="130" t="s">
        <v>1157</v>
      </c>
      <c r="T1030" s="130" t="s">
        <v>1369</v>
      </c>
      <c r="U1030" s="130">
        <v>0</v>
      </c>
      <c r="V1030" s="131">
        <v>9800</v>
      </c>
      <c r="W1030" s="131">
        <v>9800</v>
      </c>
      <c r="X1030" s="131">
        <v>9800</v>
      </c>
      <c r="Y1030" s="131">
        <v>0</v>
      </c>
      <c r="Z1030" s="131">
        <v>9800</v>
      </c>
      <c r="AA1030" s="131">
        <v>0</v>
      </c>
      <c r="AB1030" s="131">
        <v>9800</v>
      </c>
      <c r="AC1030" s="131">
        <v>0</v>
      </c>
      <c r="AD1030" s="131">
        <v>8500</v>
      </c>
      <c r="AE1030" s="132">
        <v>1300</v>
      </c>
    </row>
    <row r="1031" spans="1:31" x14ac:dyDescent="0.2">
      <c r="A1031" s="133">
        <v>202</v>
      </c>
      <c r="B1031" s="133" t="s">
        <v>1841</v>
      </c>
      <c r="C1031" s="133" t="s">
        <v>1199</v>
      </c>
      <c r="D1031" s="133" t="s">
        <v>1865</v>
      </c>
      <c r="E1031" s="133" t="s">
        <v>1201</v>
      </c>
      <c r="F1031" s="133" t="s">
        <v>1117</v>
      </c>
      <c r="G1031" s="133" t="s">
        <v>1276</v>
      </c>
      <c r="H1031" s="130" t="s">
        <v>1293</v>
      </c>
      <c r="I1031" s="130" t="s">
        <v>1294</v>
      </c>
      <c r="J1031" s="130" t="s">
        <v>1295</v>
      </c>
      <c r="K1031" s="130" t="s">
        <v>1296</v>
      </c>
      <c r="L1031" s="130" t="s">
        <v>1859</v>
      </c>
      <c r="M1031" s="130" t="s">
        <v>1844</v>
      </c>
      <c r="N1031" s="130" t="s">
        <v>120</v>
      </c>
      <c r="O1031" s="130" t="s">
        <v>1860</v>
      </c>
      <c r="P1031" s="130" t="s">
        <v>1866</v>
      </c>
      <c r="Q1031" s="130" t="s">
        <v>1127</v>
      </c>
      <c r="R1031" s="130" t="s">
        <v>1191</v>
      </c>
      <c r="S1031" s="130" t="s">
        <v>1157</v>
      </c>
      <c r="T1031" s="130" t="s">
        <v>1369</v>
      </c>
      <c r="U1031" s="130">
        <v>31280</v>
      </c>
      <c r="V1031" s="131">
        <v>0</v>
      </c>
      <c r="W1031" s="131">
        <v>31280</v>
      </c>
      <c r="X1031" s="131">
        <v>0</v>
      </c>
      <c r="Y1031" s="131">
        <v>31280</v>
      </c>
      <c r="Z1031" s="131">
        <v>0</v>
      </c>
      <c r="AA1031" s="131">
        <v>31280</v>
      </c>
      <c r="AB1031" s="131">
        <v>0</v>
      </c>
      <c r="AC1031" s="131">
        <v>31280</v>
      </c>
      <c r="AD1031" s="131">
        <v>0</v>
      </c>
      <c r="AE1031" s="132">
        <v>31280</v>
      </c>
    </row>
    <row r="1032" spans="1:31" x14ac:dyDescent="0.2">
      <c r="A1032" s="133">
        <v>202</v>
      </c>
      <c r="B1032" s="133" t="s">
        <v>1841</v>
      </c>
      <c r="C1032" s="133" t="s">
        <v>1199</v>
      </c>
      <c r="D1032" s="133" t="s">
        <v>1865</v>
      </c>
      <c r="E1032" s="133" t="s">
        <v>1201</v>
      </c>
      <c r="F1032" s="133" t="s">
        <v>1117</v>
      </c>
      <c r="G1032" s="133" t="s">
        <v>1276</v>
      </c>
      <c r="H1032" s="130" t="s">
        <v>1297</v>
      </c>
      <c r="I1032" s="130" t="s">
        <v>1298</v>
      </c>
      <c r="J1032" s="130" t="s">
        <v>1298</v>
      </c>
      <c r="K1032" s="130" t="s">
        <v>1299</v>
      </c>
      <c r="L1032" s="130" t="s">
        <v>1859</v>
      </c>
      <c r="M1032" s="130" t="s">
        <v>1844</v>
      </c>
      <c r="N1032" s="130" t="s">
        <v>120</v>
      </c>
      <c r="O1032" s="130" t="s">
        <v>1860</v>
      </c>
      <c r="P1032" s="130" t="s">
        <v>1866</v>
      </c>
      <c r="Q1032" s="130" t="s">
        <v>1127</v>
      </c>
      <c r="R1032" s="130" t="s">
        <v>1191</v>
      </c>
      <c r="S1032" s="130" t="s">
        <v>1157</v>
      </c>
      <c r="T1032" s="130" t="s">
        <v>1369</v>
      </c>
      <c r="U1032" s="130">
        <v>20437</v>
      </c>
      <c r="V1032" s="131">
        <v>420</v>
      </c>
      <c r="W1032" s="131">
        <v>20857</v>
      </c>
      <c r="X1032" s="131">
        <v>20857</v>
      </c>
      <c r="Y1032" s="131">
        <v>0</v>
      </c>
      <c r="Z1032" s="131">
        <v>20857</v>
      </c>
      <c r="AA1032" s="131">
        <v>0</v>
      </c>
      <c r="AB1032" s="131">
        <v>18980.350000000002</v>
      </c>
      <c r="AC1032" s="131">
        <v>1876.6499999999978</v>
      </c>
      <c r="AD1032" s="131">
        <v>18980.350000000002</v>
      </c>
      <c r="AE1032" s="132">
        <v>1876.6499999999978</v>
      </c>
    </row>
    <row r="1033" spans="1:31" x14ac:dyDescent="0.2">
      <c r="A1033" s="133">
        <v>202</v>
      </c>
      <c r="B1033" s="133" t="s">
        <v>1841</v>
      </c>
      <c r="C1033" s="133" t="s">
        <v>1199</v>
      </c>
      <c r="D1033" s="133" t="s">
        <v>1865</v>
      </c>
      <c r="E1033" s="133" t="s">
        <v>1201</v>
      </c>
      <c r="F1033" s="133" t="s">
        <v>1117</v>
      </c>
      <c r="G1033" s="133" t="s">
        <v>1276</v>
      </c>
      <c r="H1033" s="133" t="s">
        <v>1297</v>
      </c>
      <c r="I1033" s="133" t="s">
        <v>1298</v>
      </c>
      <c r="J1033" s="133" t="s">
        <v>1298</v>
      </c>
      <c r="K1033" s="130" t="s">
        <v>1300</v>
      </c>
      <c r="L1033" s="130" t="s">
        <v>1859</v>
      </c>
      <c r="M1033" s="130" t="s">
        <v>1844</v>
      </c>
      <c r="N1033" s="130" t="s">
        <v>120</v>
      </c>
      <c r="O1033" s="130" t="s">
        <v>1860</v>
      </c>
      <c r="P1033" s="130" t="s">
        <v>1866</v>
      </c>
      <c r="Q1033" s="130" t="s">
        <v>1127</v>
      </c>
      <c r="R1033" s="130" t="s">
        <v>1191</v>
      </c>
      <c r="S1033" s="130" t="s">
        <v>1157</v>
      </c>
      <c r="T1033" s="130" t="s">
        <v>1369</v>
      </c>
      <c r="U1033" s="130">
        <v>76634</v>
      </c>
      <c r="V1033" s="131">
        <v>7467</v>
      </c>
      <c r="W1033" s="131">
        <v>84101</v>
      </c>
      <c r="X1033" s="131">
        <v>84101</v>
      </c>
      <c r="Y1033" s="131">
        <v>0</v>
      </c>
      <c r="Z1033" s="131">
        <v>84101</v>
      </c>
      <c r="AA1033" s="131">
        <v>0</v>
      </c>
      <c r="AB1033" s="131">
        <v>32480.270000000004</v>
      </c>
      <c r="AC1033" s="131">
        <v>51620.729999999996</v>
      </c>
      <c r="AD1033" s="131">
        <v>32480.270000000004</v>
      </c>
      <c r="AE1033" s="132">
        <v>51620.729999999996</v>
      </c>
    </row>
    <row r="1034" spans="1:31" x14ac:dyDescent="0.2">
      <c r="A1034" s="133">
        <v>202</v>
      </c>
      <c r="B1034" s="133" t="s">
        <v>1841</v>
      </c>
      <c r="C1034" s="133" t="s">
        <v>1199</v>
      </c>
      <c r="D1034" s="133" t="s">
        <v>1865</v>
      </c>
      <c r="E1034" s="133" t="s">
        <v>1201</v>
      </c>
      <c r="F1034" s="133" t="s">
        <v>1117</v>
      </c>
      <c r="G1034" s="133" t="s">
        <v>1276</v>
      </c>
      <c r="H1034" s="130" t="s">
        <v>1514</v>
      </c>
      <c r="I1034" s="130" t="s">
        <v>1515</v>
      </c>
      <c r="J1034" s="130" t="s">
        <v>1515</v>
      </c>
      <c r="K1034" s="130" t="s">
        <v>1518</v>
      </c>
      <c r="L1034" s="130" t="s">
        <v>1859</v>
      </c>
      <c r="M1034" s="130" t="s">
        <v>1844</v>
      </c>
      <c r="N1034" s="130" t="s">
        <v>120</v>
      </c>
      <c r="O1034" s="130" t="s">
        <v>1860</v>
      </c>
      <c r="P1034" s="130" t="s">
        <v>1866</v>
      </c>
      <c r="Q1034" s="130" t="s">
        <v>1127</v>
      </c>
      <c r="R1034" s="130" t="s">
        <v>1191</v>
      </c>
      <c r="S1034" s="130" t="s">
        <v>1157</v>
      </c>
      <c r="T1034" s="130" t="s">
        <v>1369</v>
      </c>
      <c r="U1034" s="130">
        <v>0</v>
      </c>
      <c r="V1034" s="131">
        <v>3852</v>
      </c>
      <c r="W1034" s="131">
        <v>3852</v>
      </c>
      <c r="X1034" s="131">
        <v>3851.83</v>
      </c>
      <c r="Y1034" s="131">
        <v>0.17000000000007276</v>
      </c>
      <c r="Z1034" s="131">
        <v>3851.83</v>
      </c>
      <c r="AA1034" s="131">
        <v>0.17000000000007276</v>
      </c>
      <c r="AB1034" s="131">
        <v>3851.83</v>
      </c>
      <c r="AC1034" s="131">
        <v>0.17000000000007276</v>
      </c>
      <c r="AD1034" s="131">
        <v>3851.83</v>
      </c>
      <c r="AE1034" s="132">
        <v>0.17000000000007276</v>
      </c>
    </row>
    <row r="1035" spans="1:31" x14ac:dyDescent="0.2">
      <c r="A1035" s="133">
        <v>202</v>
      </c>
      <c r="B1035" s="133" t="s">
        <v>1841</v>
      </c>
      <c r="C1035" s="133" t="s">
        <v>1199</v>
      </c>
      <c r="D1035" s="133" t="s">
        <v>1865</v>
      </c>
      <c r="E1035" s="133" t="s">
        <v>1201</v>
      </c>
      <c r="F1035" s="133" t="s">
        <v>1117</v>
      </c>
      <c r="G1035" s="133" t="s">
        <v>1276</v>
      </c>
      <c r="H1035" s="133" t="s">
        <v>1514</v>
      </c>
      <c r="I1035" s="133" t="s">
        <v>1515</v>
      </c>
      <c r="J1035" s="133" t="s">
        <v>1515</v>
      </c>
      <c r="K1035" s="130" t="s">
        <v>1870</v>
      </c>
      <c r="L1035" s="130" t="s">
        <v>1859</v>
      </c>
      <c r="M1035" s="130" t="s">
        <v>1844</v>
      </c>
      <c r="N1035" s="130" t="s">
        <v>120</v>
      </c>
      <c r="O1035" s="130" t="s">
        <v>1860</v>
      </c>
      <c r="P1035" s="130" t="s">
        <v>1866</v>
      </c>
      <c r="Q1035" s="130" t="s">
        <v>1127</v>
      </c>
      <c r="R1035" s="130" t="s">
        <v>1191</v>
      </c>
      <c r="S1035" s="130" t="s">
        <v>1157</v>
      </c>
      <c r="T1035" s="130" t="s">
        <v>1369</v>
      </c>
      <c r="U1035" s="130">
        <v>0</v>
      </c>
      <c r="V1035" s="131">
        <v>170</v>
      </c>
      <c r="W1035" s="131">
        <v>170</v>
      </c>
      <c r="X1035" s="131">
        <v>169.83</v>
      </c>
      <c r="Y1035" s="131">
        <v>0.16999999999998749</v>
      </c>
      <c r="Z1035" s="131">
        <v>169.83</v>
      </c>
      <c r="AA1035" s="131">
        <v>0.16999999999998749</v>
      </c>
      <c r="AB1035" s="131">
        <v>169.83</v>
      </c>
      <c r="AC1035" s="131">
        <v>0.16999999999998749</v>
      </c>
      <c r="AD1035" s="131">
        <v>169.83</v>
      </c>
      <c r="AE1035" s="132">
        <v>0.16999999999998749</v>
      </c>
    </row>
    <row r="1036" spans="1:31" x14ac:dyDescent="0.2">
      <c r="A1036" s="133">
        <v>202</v>
      </c>
      <c r="B1036" s="133" t="s">
        <v>1841</v>
      </c>
      <c r="C1036" s="133" t="s">
        <v>1199</v>
      </c>
      <c r="D1036" s="133" t="s">
        <v>1865</v>
      </c>
      <c r="E1036" s="133" t="s">
        <v>1201</v>
      </c>
      <c r="F1036" s="133" t="s">
        <v>1117</v>
      </c>
      <c r="G1036" s="130" t="s">
        <v>1233</v>
      </c>
      <c r="H1036" s="130" t="s">
        <v>1234</v>
      </c>
      <c r="I1036" s="130" t="s">
        <v>1850</v>
      </c>
      <c r="J1036" s="130" t="s">
        <v>1851</v>
      </c>
      <c r="K1036" s="130" t="s">
        <v>1852</v>
      </c>
      <c r="L1036" s="130" t="s">
        <v>1859</v>
      </c>
      <c r="M1036" s="130" t="s">
        <v>1844</v>
      </c>
      <c r="N1036" s="130" t="s">
        <v>120</v>
      </c>
      <c r="O1036" s="130" t="s">
        <v>1860</v>
      </c>
      <c r="P1036" s="130" t="s">
        <v>1866</v>
      </c>
      <c r="Q1036" s="130" t="s">
        <v>1127</v>
      </c>
      <c r="R1036" s="130" t="s">
        <v>1191</v>
      </c>
      <c r="S1036" s="130" t="s">
        <v>1157</v>
      </c>
      <c r="T1036" s="130" t="s">
        <v>1369</v>
      </c>
      <c r="U1036" s="130">
        <v>0</v>
      </c>
      <c r="V1036" s="131">
        <v>3000</v>
      </c>
      <c r="W1036" s="131">
        <v>3000</v>
      </c>
      <c r="X1036" s="131">
        <v>3000</v>
      </c>
      <c r="Y1036" s="131">
        <v>0</v>
      </c>
      <c r="Z1036" s="131">
        <v>3000</v>
      </c>
      <c r="AA1036" s="131">
        <v>0</v>
      </c>
      <c r="AB1036" s="131">
        <v>3000</v>
      </c>
      <c r="AC1036" s="131">
        <v>0</v>
      </c>
      <c r="AD1036" s="131">
        <v>3000</v>
      </c>
      <c r="AE1036" s="132">
        <v>0</v>
      </c>
    </row>
    <row r="1037" spans="1:31" x14ac:dyDescent="0.2">
      <c r="A1037" s="133">
        <v>202</v>
      </c>
      <c r="B1037" s="133" t="s">
        <v>1841</v>
      </c>
      <c r="C1037" s="133" t="s">
        <v>1199</v>
      </c>
      <c r="D1037" s="133" t="s">
        <v>1865</v>
      </c>
      <c r="E1037" s="133" t="s">
        <v>1201</v>
      </c>
      <c r="F1037" s="133" t="s">
        <v>1117</v>
      </c>
      <c r="G1037" s="130" t="s">
        <v>1202</v>
      </c>
      <c r="H1037" s="130" t="s">
        <v>1216</v>
      </c>
      <c r="I1037" s="130" t="s">
        <v>1301</v>
      </c>
      <c r="J1037" s="130" t="s">
        <v>1301</v>
      </c>
      <c r="K1037" s="130" t="s">
        <v>1302</v>
      </c>
      <c r="L1037" s="130" t="s">
        <v>1859</v>
      </c>
      <c r="M1037" s="130" t="s">
        <v>1844</v>
      </c>
      <c r="N1037" s="130" t="s">
        <v>120</v>
      </c>
      <c r="O1037" s="130" t="s">
        <v>1860</v>
      </c>
      <c r="P1037" s="130" t="s">
        <v>1866</v>
      </c>
      <c r="Q1037" s="130" t="s">
        <v>1127</v>
      </c>
      <c r="R1037" s="130" t="s">
        <v>1191</v>
      </c>
      <c r="S1037" s="130" t="s">
        <v>1157</v>
      </c>
      <c r="T1037" s="130" t="s">
        <v>1369</v>
      </c>
      <c r="U1037" s="130">
        <v>90000</v>
      </c>
      <c r="V1037" s="131">
        <v>-86345</v>
      </c>
      <c r="W1037" s="131">
        <v>3655</v>
      </c>
      <c r="X1037" s="131">
        <v>2185.4</v>
      </c>
      <c r="Y1037" s="131">
        <v>1469.6</v>
      </c>
      <c r="Z1037" s="131">
        <v>2185.4</v>
      </c>
      <c r="AA1037" s="131">
        <v>1469.6</v>
      </c>
      <c r="AB1037" s="131">
        <v>2185.4</v>
      </c>
      <c r="AC1037" s="131">
        <v>1469.6</v>
      </c>
      <c r="AD1037" s="131">
        <v>2185.4</v>
      </c>
      <c r="AE1037" s="132">
        <v>1469.6</v>
      </c>
    </row>
    <row r="1038" spans="1:31" x14ac:dyDescent="0.2">
      <c r="A1038" s="133">
        <v>202</v>
      </c>
      <c r="B1038" s="133" t="s">
        <v>1841</v>
      </c>
      <c r="C1038" s="133" t="s">
        <v>1199</v>
      </c>
      <c r="D1038" s="133" t="s">
        <v>1865</v>
      </c>
      <c r="E1038" s="133" t="s">
        <v>1201</v>
      </c>
      <c r="F1038" s="133" t="s">
        <v>1117</v>
      </c>
      <c r="G1038" s="133" t="s">
        <v>1202</v>
      </c>
      <c r="H1038" s="133" t="s">
        <v>1216</v>
      </c>
      <c r="I1038" s="130" t="s">
        <v>1239</v>
      </c>
      <c r="J1038" s="130" t="s">
        <v>1240</v>
      </c>
      <c r="K1038" s="130" t="s">
        <v>1241</v>
      </c>
      <c r="L1038" s="130" t="s">
        <v>1859</v>
      </c>
      <c r="M1038" s="130" t="s">
        <v>1844</v>
      </c>
      <c r="N1038" s="130" t="s">
        <v>120</v>
      </c>
      <c r="O1038" s="130" t="s">
        <v>1860</v>
      </c>
      <c r="P1038" s="130" t="s">
        <v>1866</v>
      </c>
      <c r="Q1038" s="130" t="s">
        <v>1127</v>
      </c>
      <c r="R1038" s="130" t="s">
        <v>1191</v>
      </c>
      <c r="S1038" s="130" t="s">
        <v>1157</v>
      </c>
      <c r="T1038" s="130" t="s">
        <v>1369</v>
      </c>
      <c r="U1038" s="130">
        <v>300</v>
      </c>
      <c r="V1038" s="131">
        <v>750</v>
      </c>
      <c r="W1038" s="131">
        <v>1050</v>
      </c>
      <c r="X1038" s="131">
        <v>480</v>
      </c>
      <c r="Y1038" s="131">
        <v>570</v>
      </c>
      <c r="Z1038" s="131">
        <v>480</v>
      </c>
      <c r="AA1038" s="131">
        <v>570</v>
      </c>
      <c r="AB1038" s="131">
        <v>480</v>
      </c>
      <c r="AC1038" s="131">
        <v>570</v>
      </c>
      <c r="AD1038" s="131">
        <v>480</v>
      </c>
      <c r="AE1038" s="132">
        <v>570</v>
      </c>
    </row>
    <row r="1039" spans="1:31" x14ac:dyDescent="0.2">
      <c r="A1039" s="133">
        <v>202</v>
      </c>
      <c r="B1039" s="133" t="s">
        <v>1841</v>
      </c>
      <c r="C1039" s="133" t="s">
        <v>1199</v>
      </c>
      <c r="D1039" s="133" t="s">
        <v>1865</v>
      </c>
      <c r="E1039" s="133" t="s">
        <v>1201</v>
      </c>
      <c r="F1039" s="133" t="s">
        <v>1117</v>
      </c>
      <c r="G1039" s="133" t="s">
        <v>1202</v>
      </c>
      <c r="H1039" s="133" t="s">
        <v>1216</v>
      </c>
      <c r="I1039" s="133" t="s">
        <v>1239</v>
      </c>
      <c r="J1039" s="133" t="s">
        <v>1240</v>
      </c>
      <c r="K1039" s="130" t="s">
        <v>1871</v>
      </c>
      <c r="L1039" s="130" t="s">
        <v>1859</v>
      </c>
      <c r="M1039" s="130" t="s">
        <v>1844</v>
      </c>
      <c r="N1039" s="130" t="s">
        <v>120</v>
      </c>
      <c r="O1039" s="130" t="s">
        <v>1860</v>
      </c>
      <c r="P1039" s="130" t="s">
        <v>1866</v>
      </c>
      <c r="Q1039" s="130" t="s">
        <v>1127</v>
      </c>
      <c r="R1039" s="130" t="s">
        <v>1191</v>
      </c>
      <c r="S1039" s="130" t="s">
        <v>1157</v>
      </c>
      <c r="T1039" s="130" t="s">
        <v>1369</v>
      </c>
      <c r="U1039" s="130">
        <v>1000</v>
      </c>
      <c r="V1039" s="131">
        <v>0</v>
      </c>
      <c r="W1039" s="131">
        <v>1000</v>
      </c>
      <c r="X1039" s="131">
        <v>128.5</v>
      </c>
      <c r="Y1039" s="131">
        <v>871.5</v>
      </c>
      <c r="Z1039" s="131">
        <v>128.5</v>
      </c>
      <c r="AA1039" s="131">
        <v>871.5</v>
      </c>
      <c r="AB1039" s="131">
        <v>128.5</v>
      </c>
      <c r="AC1039" s="131">
        <v>871.5</v>
      </c>
      <c r="AD1039" s="131">
        <v>128.5</v>
      </c>
      <c r="AE1039" s="132">
        <v>871.5</v>
      </c>
    </row>
    <row r="1040" spans="1:31" x14ac:dyDescent="0.2">
      <c r="A1040" s="133">
        <v>202</v>
      </c>
      <c r="B1040" s="133" t="s">
        <v>1841</v>
      </c>
      <c r="C1040" s="133" t="s">
        <v>1199</v>
      </c>
      <c r="D1040" s="133" t="s">
        <v>1865</v>
      </c>
      <c r="E1040" s="133" t="s">
        <v>1201</v>
      </c>
      <c r="F1040" s="133" t="s">
        <v>1117</v>
      </c>
      <c r="G1040" s="133" t="s">
        <v>1202</v>
      </c>
      <c r="H1040" s="133" t="s">
        <v>1216</v>
      </c>
      <c r="I1040" s="130" t="s">
        <v>1242</v>
      </c>
      <c r="J1040" s="130" t="s">
        <v>1243</v>
      </c>
      <c r="K1040" s="130" t="s">
        <v>1303</v>
      </c>
      <c r="L1040" s="130" t="s">
        <v>1859</v>
      </c>
      <c r="M1040" s="130" t="s">
        <v>1844</v>
      </c>
      <c r="N1040" s="130" t="s">
        <v>120</v>
      </c>
      <c r="O1040" s="130" t="s">
        <v>1860</v>
      </c>
      <c r="P1040" s="130" t="s">
        <v>1866</v>
      </c>
      <c r="Q1040" s="130" t="s">
        <v>1127</v>
      </c>
      <c r="R1040" s="130" t="s">
        <v>1191</v>
      </c>
      <c r="S1040" s="130" t="s">
        <v>1157</v>
      </c>
      <c r="T1040" s="130" t="s">
        <v>1369</v>
      </c>
      <c r="U1040" s="130">
        <v>8000</v>
      </c>
      <c r="V1040" s="131">
        <v>0</v>
      </c>
      <c r="W1040" s="131">
        <v>8000</v>
      </c>
      <c r="X1040" s="131">
        <v>0</v>
      </c>
      <c r="Y1040" s="131">
        <v>8000</v>
      </c>
      <c r="Z1040" s="131">
        <v>0</v>
      </c>
      <c r="AA1040" s="131">
        <v>8000</v>
      </c>
      <c r="AB1040" s="131">
        <v>0</v>
      </c>
      <c r="AC1040" s="131">
        <v>8000</v>
      </c>
      <c r="AD1040" s="131">
        <v>0</v>
      </c>
      <c r="AE1040" s="132">
        <v>8000</v>
      </c>
    </row>
    <row r="1041" spans="1:31" x14ac:dyDescent="0.2">
      <c r="A1041" s="133">
        <v>202</v>
      </c>
      <c r="B1041" s="133" t="s">
        <v>1841</v>
      </c>
      <c r="C1041" s="133" t="s">
        <v>1199</v>
      </c>
      <c r="D1041" s="133" t="s">
        <v>1865</v>
      </c>
      <c r="E1041" s="133" t="s">
        <v>1201</v>
      </c>
      <c r="F1041" s="133" t="s">
        <v>1117</v>
      </c>
      <c r="G1041" s="133" t="s">
        <v>1202</v>
      </c>
      <c r="H1041" s="133" t="s">
        <v>1216</v>
      </c>
      <c r="I1041" s="133" t="s">
        <v>1242</v>
      </c>
      <c r="J1041" s="133" t="s">
        <v>1243</v>
      </c>
      <c r="K1041" s="130" t="s">
        <v>1244</v>
      </c>
      <c r="L1041" s="130" t="s">
        <v>1859</v>
      </c>
      <c r="M1041" s="130" t="s">
        <v>1844</v>
      </c>
      <c r="N1041" s="130" t="s">
        <v>120</v>
      </c>
      <c r="O1041" s="130" t="s">
        <v>1860</v>
      </c>
      <c r="P1041" s="130" t="s">
        <v>1866</v>
      </c>
      <c r="Q1041" s="130" t="s">
        <v>1127</v>
      </c>
      <c r="R1041" s="130" t="s">
        <v>1191</v>
      </c>
      <c r="S1041" s="130" t="s">
        <v>1157</v>
      </c>
      <c r="T1041" s="130" t="s">
        <v>1369</v>
      </c>
      <c r="U1041" s="130">
        <v>3000</v>
      </c>
      <c r="V1041" s="131">
        <v>-2500</v>
      </c>
      <c r="W1041" s="131">
        <v>500</v>
      </c>
      <c r="X1041" s="131">
        <v>0</v>
      </c>
      <c r="Y1041" s="131">
        <v>500</v>
      </c>
      <c r="Z1041" s="131">
        <v>0</v>
      </c>
      <c r="AA1041" s="131">
        <v>500</v>
      </c>
      <c r="AB1041" s="131">
        <v>0</v>
      </c>
      <c r="AC1041" s="131">
        <v>500</v>
      </c>
      <c r="AD1041" s="131">
        <v>0</v>
      </c>
      <c r="AE1041" s="132">
        <v>500</v>
      </c>
    </row>
    <row r="1042" spans="1:31" x14ac:dyDescent="0.2">
      <c r="A1042" s="133">
        <v>202</v>
      </c>
      <c r="B1042" s="133" t="s">
        <v>1841</v>
      </c>
      <c r="C1042" s="133" t="s">
        <v>1199</v>
      </c>
      <c r="D1042" s="133" t="s">
        <v>1865</v>
      </c>
      <c r="E1042" s="133" t="s">
        <v>1201</v>
      </c>
      <c r="F1042" s="133" t="s">
        <v>1117</v>
      </c>
      <c r="G1042" s="133" t="s">
        <v>1202</v>
      </c>
      <c r="H1042" s="133" t="s">
        <v>1216</v>
      </c>
      <c r="I1042" s="130" t="s">
        <v>1222</v>
      </c>
      <c r="J1042" s="130" t="s">
        <v>1304</v>
      </c>
      <c r="K1042" s="130" t="s">
        <v>1248</v>
      </c>
      <c r="L1042" s="130" t="s">
        <v>1859</v>
      </c>
      <c r="M1042" s="130" t="s">
        <v>1844</v>
      </c>
      <c r="N1042" s="130" t="s">
        <v>120</v>
      </c>
      <c r="O1042" s="130" t="s">
        <v>1860</v>
      </c>
      <c r="P1042" s="130" t="s">
        <v>1866</v>
      </c>
      <c r="Q1042" s="130" t="s">
        <v>1127</v>
      </c>
      <c r="R1042" s="130" t="s">
        <v>1191</v>
      </c>
      <c r="S1042" s="130" t="s">
        <v>1157</v>
      </c>
      <c r="T1042" s="130" t="s">
        <v>1369</v>
      </c>
      <c r="U1042" s="130">
        <v>50000</v>
      </c>
      <c r="V1042" s="131">
        <v>-45800</v>
      </c>
      <c r="W1042" s="131">
        <v>4200</v>
      </c>
      <c r="X1042" s="131">
        <v>1829</v>
      </c>
      <c r="Y1042" s="131">
        <v>2371</v>
      </c>
      <c r="Z1042" s="131">
        <v>1829</v>
      </c>
      <c r="AA1042" s="131">
        <v>2371</v>
      </c>
      <c r="AB1042" s="131">
        <v>1829</v>
      </c>
      <c r="AC1042" s="131">
        <v>2371</v>
      </c>
      <c r="AD1042" s="131">
        <v>1829</v>
      </c>
      <c r="AE1042" s="132">
        <v>2371</v>
      </c>
    </row>
    <row r="1043" spans="1:31" x14ac:dyDescent="0.2">
      <c r="A1043" s="133">
        <v>202</v>
      </c>
      <c r="B1043" s="133" t="s">
        <v>1841</v>
      </c>
      <c r="C1043" s="133" t="s">
        <v>1199</v>
      </c>
      <c r="D1043" s="133" t="s">
        <v>1865</v>
      </c>
      <c r="E1043" s="133" t="s">
        <v>1201</v>
      </c>
      <c r="F1043" s="133" t="s">
        <v>1117</v>
      </c>
      <c r="G1043" s="133" t="s">
        <v>1202</v>
      </c>
      <c r="H1043" s="133" t="s">
        <v>1216</v>
      </c>
      <c r="I1043" s="133" t="s">
        <v>1222</v>
      </c>
      <c r="J1043" s="133" t="s">
        <v>1304</v>
      </c>
      <c r="K1043" s="130" t="s">
        <v>1305</v>
      </c>
      <c r="L1043" s="130" t="s">
        <v>1859</v>
      </c>
      <c r="M1043" s="130" t="s">
        <v>1844</v>
      </c>
      <c r="N1043" s="130" t="s">
        <v>120</v>
      </c>
      <c r="O1043" s="130" t="s">
        <v>1860</v>
      </c>
      <c r="P1043" s="130" t="s">
        <v>1866</v>
      </c>
      <c r="Q1043" s="130" t="s">
        <v>1127</v>
      </c>
      <c r="R1043" s="130" t="s">
        <v>1191</v>
      </c>
      <c r="S1043" s="130" t="s">
        <v>1157</v>
      </c>
      <c r="T1043" s="130" t="s">
        <v>1369</v>
      </c>
      <c r="U1043" s="130">
        <v>65000</v>
      </c>
      <c r="V1043" s="131">
        <v>36733</v>
      </c>
      <c r="W1043" s="131">
        <v>101733</v>
      </c>
      <c r="X1043" s="131">
        <v>101607.07</v>
      </c>
      <c r="Y1043" s="131">
        <v>125.92999999999302</v>
      </c>
      <c r="Z1043" s="131">
        <v>101607.07</v>
      </c>
      <c r="AA1043" s="131">
        <v>125.92999999999302</v>
      </c>
      <c r="AB1043" s="131">
        <v>101607.06999999999</v>
      </c>
      <c r="AC1043" s="131">
        <v>125.93000000000757</v>
      </c>
      <c r="AD1043" s="131">
        <v>28584.89</v>
      </c>
      <c r="AE1043" s="132">
        <v>73148.11</v>
      </c>
    </row>
    <row r="1044" spans="1:31" x14ac:dyDescent="0.2">
      <c r="A1044" s="133">
        <v>202</v>
      </c>
      <c r="B1044" s="133" t="s">
        <v>1841</v>
      </c>
      <c r="C1044" s="133" t="s">
        <v>1199</v>
      </c>
      <c r="D1044" s="133" t="s">
        <v>1865</v>
      </c>
      <c r="E1044" s="133" t="s">
        <v>1201</v>
      </c>
      <c r="F1044" s="133" t="s">
        <v>1117</v>
      </c>
      <c r="G1044" s="133" t="s">
        <v>1202</v>
      </c>
      <c r="H1044" s="133" t="s">
        <v>1216</v>
      </c>
      <c r="I1044" s="133" t="s">
        <v>1222</v>
      </c>
      <c r="J1044" s="130" t="s">
        <v>1245</v>
      </c>
      <c r="K1044" s="130" t="s">
        <v>1246</v>
      </c>
      <c r="L1044" s="130" t="s">
        <v>1859</v>
      </c>
      <c r="M1044" s="130" t="s">
        <v>1844</v>
      </c>
      <c r="N1044" s="130" t="s">
        <v>120</v>
      </c>
      <c r="O1044" s="130" t="s">
        <v>1860</v>
      </c>
      <c r="P1044" s="130" t="s">
        <v>1866</v>
      </c>
      <c r="Q1044" s="130" t="s">
        <v>1127</v>
      </c>
      <c r="R1044" s="130" t="s">
        <v>1191</v>
      </c>
      <c r="S1044" s="130" t="s">
        <v>1157</v>
      </c>
      <c r="T1044" s="130" t="s">
        <v>1369</v>
      </c>
      <c r="U1044" s="130">
        <v>3000</v>
      </c>
      <c r="V1044" s="131">
        <v>0</v>
      </c>
      <c r="W1044" s="131">
        <v>3000</v>
      </c>
      <c r="X1044" s="131">
        <v>56</v>
      </c>
      <c r="Y1044" s="131">
        <v>2944</v>
      </c>
      <c r="Z1044" s="131">
        <v>56</v>
      </c>
      <c r="AA1044" s="131">
        <v>2944</v>
      </c>
      <c r="AB1044" s="131">
        <v>56</v>
      </c>
      <c r="AC1044" s="131">
        <v>2944</v>
      </c>
      <c r="AD1044" s="131">
        <v>56</v>
      </c>
      <c r="AE1044" s="132">
        <v>2944</v>
      </c>
    </row>
    <row r="1045" spans="1:31" x14ac:dyDescent="0.2">
      <c r="A1045" s="133">
        <v>202</v>
      </c>
      <c r="B1045" s="133" t="s">
        <v>1841</v>
      </c>
      <c r="C1045" s="133" t="s">
        <v>1199</v>
      </c>
      <c r="D1045" s="133" t="s">
        <v>1865</v>
      </c>
      <c r="E1045" s="133" t="s">
        <v>1201</v>
      </c>
      <c r="F1045" s="133" t="s">
        <v>1117</v>
      </c>
      <c r="G1045" s="133" t="s">
        <v>1202</v>
      </c>
      <c r="H1045" s="133" t="s">
        <v>1216</v>
      </c>
      <c r="I1045" s="133" t="s">
        <v>1222</v>
      </c>
      <c r="J1045" s="130" t="s">
        <v>1230</v>
      </c>
      <c r="K1045" s="130" t="s">
        <v>1231</v>
      </c>
      <c r="L1045" s="130" t="s">
        <v>1859</v>
      </c>
      <c r="M1045" s="130" t="s">
        <v>1844</v>
      </c>
      <c r="N1045" s="130" t="s">
        <v>120</v>
      </c>
      <c r="O1045" s="130" t="s">
        <v>1860</v>
      </c>
      <c r="P1045" s="130" t="s">
        <v>1866</v>
      </c>
      <c r="Q1045" s="130" t="s">
        <v>1127</v>
      </c>
      <c r="R1045" s="130" t="s">
        <v>1191</v>
      </c>
      <c r="S1045" s="130" t="s">
        <v>1157</v>
      </c>
      <c r="T1045" s="130" t="s">
        <v>1369</v>
      </c>
      <c r="U1045" s="130">
        <v>1000</v>
      </c>
      <c r="V1045" s="131">
        <v>0</v>
      </c>
      <c r="W1045" s="131">
        <v>1000</v>
      </c>
      <c r="X1045" s="131">
        <v>261</v>
      </c>
      <c r="Y1045" s="131">
        <v>739</v>
      </c>
      <c r="Z1045" s="131">
        <v>261</v>
      </c>
      <c r="AA1045" s="131">
        <v>739</v>
      </c>
      <c r="AB1045" s="131">
        <v>261</v>
      </c>
      <c r="AC1045" s="131">
        <v>739</v>
      </c>
      <c r="AD1045" s="131">
        <v>261</v>
      </c>
      <c r="AE1045" s="132">
        <v>739</v>
      </c>
    </row>
    <row r="1046" spans="1:31" x14ac:dyDescent="0.2">
      <c r="A1046" s="133">
        <v>202</v>
      </c>
      <c r="B1046" s="133" t="s">
        <v>1841</v>
      </c>
      <c r="C1046" s="133" t="s">
        <v>1199</v>
      </c>
      <c r="D1046" s="133" t="s">
        <v>1865</v>
      </c>
      <c r="E1046" s="133" t="s">
        <v>1201</v>
      </c>
      <c r="F1046" s="133" t="s">
        <v>1117</v>
      </c>
      <c r="G1046" s="133" t="s">
        <v>1202</v>
      </c>
      <c r="H1046" s="133" t="s">
        <v>1216</v>
      </c>
      <c r="I1046" s="130" t="s">
        <v>1247</v>
      </c>
      <c r="J1046" s="130" t="s">
        <v>1248</v>
      </c>
      <c r="K1046" s="130" t="s">
        <v>1251</v>
      </c>
      <c r="L1046" s="130" t="s">
        <v>1859</v>
      </c>
      <c r="M1046" s="130" t="s">
        <v>1844</v>
      </c>
      <c r="N1046" s="130" t="s">
        <v>120</v>
      </c>
      <c r="O1046" s="130" t="s">
        <v>1860</v>
      </c>
      <c r="P1046" s="130" t="s">
        <v>1866</v>
      </c>
      <c r="Q1046" s="130" t="s">
        <v>1127</v>
      </c>
      <c r="R1046" s="130" t="s">
        <v>1191</v>
      </c>
      <c r="S1046" s="130" t="s">
        <v>1157</v>
      </c>
      <c r="T1046" s="130" t="s">
        <v>1369</v>
      </c>
      <c r="U1046" s="130">
        <v>500</v>
      </c>
      <c r="V1046" s="131">
        <v>0</v>
      </c>
      <c r="W1046" s="131">
        <v>500</v>
      </c>
      <c r="X1046" s="131">
        <v>13.5</v>
      </c>
      <c r="Y1046" s="131">
        <v>486.5</v>
      </c>
      <c r="Z1046" s="131">
        <v>13.5</v>
      </c>
      <c r="AA1046" s="131">
        <v>486.5</v>
      </c>
      <c r="AB1046" s="131">
        <v>13.5</v>
      </c>
      <c r="AC1046" s="131">
        <v>486.5</v>
      </c>
      <c r="AD1046" s="131">
        <v>13.5</v>
      </c>
      <c r="AE1046" s="132">
        <v>486.5</v>
      </c>
    </row>
    <row r="1047" spans="1:31" x14ac:dyDescent="0.2">
      <c r="A1047" s="133">
        <v>202</v>
      </c>
      <c r="B1047" s="133" t="s">
        <v>1841</v>
      </c>
      <c r="C1047" s="133" t="s">
        <v>1199</v>
      </c>
      <c r="D1047" s="133" t="s">
        <v>1865</v>
      </c>
      <c r="E1047" s="133" t="s">
        <v>1201</v>
      </c>
      <c r="F1047" s="133" t="s">
        <v>1117</v>
      </c>
      <c r="G1047" s="133" t="s">
        <v>1202</v>
      </c>
      <c r="H1047" s="133" t="s">
        <v>1216</v>
      </c>
      <c r="I1047" s="130" t="s">
        <v>1523</v>
      </c>
      <c r="J1047" s="130" t="s">
        <v>1524</v>
      </c>
      <c r="K1047" s="130" t="s">
        <v>1524</v>
      </c>
      <c r="L1047" s="130" t="s">
        <v>1859</v>
      </c>
      <c r="M1047" s="130" t="s">
        <v>1844</v>
      </c>
      <c r="N1047" s="130" t="s">
        <v>120</v>
      </c>
      <c r="O1047" s="130" t="s">
        <v>1860</v>
      </c>
      <c r="P1047" s="130" t="s">
        <v>1866</v>
      </c>
      <c r="Q1047" s="130" t="s">
        <v>1127</v>
      </c>
      <c r="R1047" s="130" t="s">
        <v>1191</v>
      </c>
      <c r="S1047" s="130" t="s">
        <v>1157</v>
      </c>
      <c r="T1047" s="130" t="s">
        <v>1369</v>
      </c>
      <c r="U1047" s="130">
        <v>500</v>
      </c>
      <c r="V1047" s="131">
        <v>84</v>
      </c>
      <c r="W1047" s="131">
        <v>584</v>
      </c>
      <c r="X1047" s="131">
        <v>244</v>
      </c>
      <c r="Y1047" s="131">
        <v>340</v>
      </c>
      <c r="Z1047" s="131">
        <v>244</v>
      </c>
      <c r="AA1047" s="131">
        <v>340</v>
      </c>
      <c r="AB1047" s="131">
        <v>244</v>
      </c>
      <c r="AC1047" s="131">
        <v>340</v>
      </c>
      <c r="AD1047" s="131">
        <v>244</v>
      </c>
      <c r="AE1047" s="132">
        <v>340</v>
      </c>
    </row>
    <row r="1048" spans="1:31" x14ac:dyDescent="0.2">
      <c r="A1048" s="133">
        <v>202</v>
      </c>
      <c r="B1048" s="133" t="s">
        <v>1841</v>
      </c>
      <c r="C1048" s="133" t="s">
        <v>1199</v>
      </c>
      <c r="D1048" s="133" t="s">
        <v>1865</v>
      </c>
      <c r="E1048" s="133" t="s">
        <v>1201</v>
      </c>
      <c r="F1048" s="133" t="s">
        <v>1117</v>
      </c>
      <c r="G1048" s="133" t="s">
        <v>1202</v>
      </c>
      <c r="H1048" s="133" t="s">
        <v>1216</v>
      </c>
      <c r="I1048" s="130" t="s">
        <v>1578</v>
      </c>
      <c r="J1048" s="130" t="s">
        <v>1579</v>
      </c>
      <c r="K1048" s="130" t="s">
        <v>1872</v>
      </c>
      <c r="L1048" s="130" t="s">
        <v>1859</v>
      </c>
      <c r="M1048" s="130" t="s">
        <v>1844</v>
      </c>
      <c r="N1048" s="130" t="s">
        <v>120</v>
      </c>
      <c r="O1048" s="130" t="s">
        <v>1860</v>
      </c>
      <c r="P1048" s="130" t="s">
        <v>1866</v>
      </c>
      <c r="Q1048" s="130" t="s">
        <v>1127</v>
      </c>
      <c r="R1048" s="130" t="s">
        <v>1191</v>
      </c>
      <c r="S1048" s="130" t="s">
        <v>1157</v>
      </c>
      <c r="T1048" s="130" t="s">
        <v>1369</v>
      </c>
      <c r="U1048" s="130">
        <v>0</v>
      </c>
      <c r="V1048" s="131">
        <v>290</v>
      </c>
      <c r="W1048" s="131">
        <v>290</v>
      </c>
      <c r="X1048" s="131">
        <v>190</v>
      </c>
      <c r="Y1048" s="131">
        <v>100</v>
      </c>
      <c r="Z1048" s="131">
        <v>190</v>
      </c>
      <c r="AA1048" s="131">
        <v>100</v>
      </c>
      <c r="AB1048" s="131">
        <v>190</v>
      </c>
      <c r="AC1048" s="131">
        <v>100</v>
      </c>
      <c r="AD1048" s="131">
        <v>190</v>
      </c>
      <c r="AE1048" s="132">
        <v>100</v>
      </c>
    </row>
    <row r="1049" spans="1:31" x14ac:dyDescent="0.2">
      <c r="A1049" s="133">
        <v>202</v>
      </c>
      <c r="B1049" s="133" t="s">
        <v>1841</v>
      </c>
      <c r="C1049" s="133" t="s">
        <v>1199</v>
      </c>
      <c r="D1049" s="133" t="s">
        <v>1865</v>
      </c>
      <c r="E1049" s="133" t="s">
        <v>1201</v>
      </c>
      <c r="F1049" s="133" t="s">
        <v>1117</v>
      </c>
      <c r="G1049" s="133" t="s">
        <v>1202</v>
      </c>
      <c r="H1049" s="133" t="s">
        <v>1216</v>
      </c>
      <c r="I1049" s="130" t="s">
        <v>1252</v>
      </c>
      <c r="J1049" s="130" t="s">
        <v>1253</v>
      </c>
      <c r="K1049" s="130" t="s">
        <v>1254</v>
      </c>
      <c r="L1049" s="130" t="s">
        <v>1859</v>
      </c>
      <c r="M1049" s="130" t="s">
        <v>1844</v>
      </c>
      <c r="N1049" s="130" t="s">
        <v>120</v>
      </c>
      <c r="O1049" s="130" t="s">
        <v>1860</v>
      </c>
      <c r="P1049" s="130" t="s">
        <v>1866</v>
      </c>
      <c r="Q1049" s="130" t="s">
        <v>1127</v>
      </c>
      <c r="R1049" s="130" t="s">
        <v>1191</v>
      </c>
      <c r="S1049" s="130" t="s">
        <v>1157</v>
      </c>
      <c r="T1049" s="130" t="s">
        <v>1369</v>
      </c>
      <c r="U1049" s="130">
        <v>1000</v>
      </c>
      <c r="V1049" s="131">
        <v>6200</v>
      </c>
      <c r="W1049" s="131">
        <v>7200</v>
      </c>
      <c r="X1049" s="131">
        <v>6132</v>
      </c>
      <c r="Y1049" s="131">
        <v>1068</v>
      </c>
      <c r="Z1049" s="131">
        <v>6132</v>
      </c>
      <c r="AA1049" s="131">
        <v>1068</v>
      </c>
      <c r="AB1049" s="131">
        <v>6132</v>
      </c>
      <c r="AC1049" s="131">
        <v>1068</v>
      </c>
      <c r="AD1049" s="131">
        <v>6132</v>
      </c>
      <c r="AE1049" s="132">
        <v>1068</v>
      </c>
    </row>
    <row r="1050" spans="1:31" x14ac:dyDescent="0.2">
      <c r="A1050" s="133">
        <v>202</v>
      </c>
      <c r="B1050" s="133" t="s">
        <v>1841</v>
      </c>
      <c r="C1050" s="133" t="s">
        <v>1199</v>
      </c>
      <c r="D1050" s="133" t="s">
        <v>1865</v>
      </c>
      <c r="E1050" s="133" t="s">
        <v>1201</v>
      </c>
      <c r="F1050" s="133" t="s">
        <v>1117</v>
      </c>
      <c r="G1050" s="133" t="s">
        <v>1202</v>
      </c>
      <c r="H1050" s="130" t="s">
        <v>1203</v>
      </c>
      <c r="I1050" s="130" t="s">
        <v>1204</v>
      </c>
      <c r="J1050" s="130" t="s">
        <v>1205</v>
      </c>
      <c r="K1050" s="130" t="s">
        <v>1255</v>
      </c>
      <c r="L1050" s="130" t="s">
        <v>1859</v>
      </c>
      <c r="M1050" s="130" t="s">
        <v>1844</v>
      </c>
      <c r="N1050" s="130" t="s">
        <v>120</v>
      </c>
      <c r="O1050" s="130" t="s">
        <v>1860</v>
      </c>
      <c r="P1050" s="130" t="s">
        <v>1866</v>
      </c>
      <c r="Q1050" s="130" t="s">
        <v>1127</v>
      </c>
      <c r="R1050" s="130" t="s">
        <v>1191</v>
      </c>
      <c r="S1050" s="130" t="s">
        <v>1157</v>
      </c>
      <c r="T1050" s="130" t="s">
        <v>1369</v>
      </c>
      <c r="U1050" s="130">
        <v>10000</v>
      </c>
      <c r="V1050" s="131">
        <v>0</v>
      </c>
      <c r="W1050" s="131">
        <v>10000</v>
      </c>
      <c r="X1050" s="131">
        <v>7230.81</v>
      </c>
      <c r="Y1050" s="131">
        <v>2769.1899999999996</v>
      </c>
      <c r="Z1050" s="131">
        <v>7225.81</v>
      </c>
      <c r="AA1050" s="131">
        <v>2774.1899999999996</v>
      </c>
      <c r="AB1050" s="131">
        <v>7225.8099999999995</v>
      </c>
      <c r="AC1050" s="131">
        <v>2774.1900000000005</v>
      </c>
      <c r="AD1050" s="131">
        <v>7225.8099999999995</v>
      </c>
      <c r="AE1050" s="132">
        <v>2774.1900000000005</v>
      </c>
    </row>
    <row r="1051" spans="1:31" x14ac:dyDescent="0.2">
      <c r="A1051" s="133">
        <v>202</v>
      </c>
      <c r="B1051" s="133" t="s">
        <v>1841</v>
      </c>
      <c r="C1051" s="133" t="s">
        <v>1199</v>
      </c>
      <c r="D1051" s="133" t="s">
        <v>1865</v>
      </c>
      <c r="E1051" s="133" t="s">
        <v>1201</v>
      </c>
      <c r="F1051" s="133" t="s">
        <v>1117</v>
      </c>
      <c r="G1051" s="133" t="s">
        <v>1202</v>
      </c>
      <c r="H1051" s="133" t="s">
        <v>1203</v>
      </c>
      <c r="I1051" s="133" t="s">
        <v>1204</v>
      </c>
      <c r="J1051" s="133" t="s">
        <v>1205</v>
      </c>
      <c r="K1051" s="130" t="s">
        <v>1256</v>
      </c>
      <c r="L1051" s="130" t="s">
        <v>1859</v>
      </c>
      <c r="M1051" s="130" t="s">
        <v>1844</v>
      </c>
      <c r="N1051" s="130" t="s">
        <v>120</v>
      </c>
      <c r="O1051" s="130" t="s">
        <v>1860</v>
      </c>
      <c r="P1051" s="130" t="s">
        <v>1866</v>
      </c>
      <c r="Q1051" s="130" t="s">
        <v>1127</v>
      </c>
      <c r="R1051" s="130" t="s">
        <v>1191</v>
      </c>
      <c r="S1051" s="130" t="s">
        <v>1157</v>
      </c>
      <c r="T1051" s="130" t="s">
        <v>1369</v>
      </c>
      <c r="U1051" s="130">
        <v>7500</v>
      </c>
      <c r="V1051" s="131">
        <v>0</v>
      </c>
      <c r="W1051" s="131">
        <v>7500</v>
      </c>
      <c r="X1051" s="131">
        <v>6200</v>
      </c>
      <c r="Y1051" s="131">
        <v>1300</v>
      </c>
      <c r="Z1051" s="131">
        <v>6200</v>
      </c>
      <c r="AA1051" s="131">
        <v>1300</v>
      </c>
      <c r="AB1051" s="131">
        <v>6200</v>
      </c>
      <c r="AC1051" s="131">
        <v>1300</v>
      </c>
      <c r="AD1051" s="131">
        <v>6200</v>
      </c>
      <c r="AE1051" s="132">
        <v>1300</v>
      </c>
    </row>
    <row r="1052" spans="1:31" x14ac:dyDescent="0.2">
      <c r="A1052" s="133">
        <v>202</v>
      </c>
      <c r="B1052" s="133" t="s">
        <v>1841</v>
      </c>
      <c r="C1052" s="133" t="s">
        <v>1199</v>
      </c>
      <c r="D1052" s="133" t="s">
        <v>1865</v>
      </c>
      <c r="E1052" s="133" t="s">
        <v>1201</v>
      </c>
      <c r="F1052" s="133" t="s">
        <v>1117</v>
      </c>
      <c r="G1052" s="133" t="s">
        <v>1202</v>
      </c>
      <c r="H1052" s="133" t="s">
        <v>1203</v>
      </c>
      <c r="I1052" s="133" t="s">
        <v>1204</v>
      </c>
      <c r="J1052" s="133" t="s">
        <v>1205</v>
      </c>
      <c r="K1052" s="130" t="s">
        <v>1206</v>
      </c>
      <c r="L1052" s="130" t="s">
        <v>1859</v>
      </c>
      <c r="M1052" s="130" t="s">
        <v>1844</v>
      </c>
      <c r="N1052" s="130" t="s">
        <v>120</v>
      </c>
      <c r="O1052" s="130" t="s">
        <v>1860</v>
      </c>
      <c r="P1052" s="130" t="s">
        <v>1866</v>
      </c>
      <c r="Q1052" s="130" t="s">
        <v>1127</v>
      </c>
      <c r="R1052" s="130" t="s">
        <v>1191</v>
      </c>
      <c r="S1052" s="130" t="s">
        <v>1157</v>
      </c>
      <c r="T1052" s="130" t="s">
        <v>1369</v>
      </c>
      <c r="U1052" s="130">
        <v>0</v>
      </c>
      <c r="V1052" s="131">
        <v>800</v>
      </c>
      <c r="W1052" s="131">
        <v>800</v>
      </c>
      <c r="X1052" s="131">
        <v>206.5</v>
      </c>
      <c r="Y1052" s="131">
        <v>593.5</v>
      </c>
      <c r="Z1052" s="131">
        <v>206.5</v>
      </c>
      <c r="AA1052" s="131">
        <v>593.5</v>
      </c>
      <c r="AB1052" s="131">
        <v>206.5</v>
      </c>
      <c r="AC1052" s="131">
        <v>593.5</v>
      </c>
      <c r="AD1052" s="131">
        <v>206.5</v>
      </c>
      <c r="AE1052" s="132">
        <v>593.5</v>
      </c>
    </row>
    <row r="1053" spans="1:31" x14ac:dyDescent="0.2">
      <c r="A1053" s="133">
        <v>202</v>
      </c>
      <c r="B1053" s="133" t="s">
        <v>1841</v>
      </c>
      <c r="C1053" s="133" t="s">
        <v>1199</v>
      </c>
      <c r="D1053" s="133" t="s">
        <v>1865</v>
      </c>
      <c r="E1053" s="133" t="s">
        <v>1201</v>
      </c>
      <c r="F1053" s="133" t="s">
        <v>1117</v>
      </c>
      <c r="G1053" s="133" t="s">
        <v>1202</v>
      </c>
      <c r="H1053" s="133" t="s">
        <v>1203</v>
      </c>
      <c r="I1053" s="130" t="s">
        <v>1224</v>
      </c>
      <c r="J1053" s="130" t="s">
        <v>1257</v>
      </c>
      <c r="K1053" s="130" t="s">
        <v>1258</v>
      </c>
      <c r="L1053" s="130" t="s">
        <v>1859</v>
      </c>
      <c r="M1053" s="130" t="s">
        <v>1844</v>
      </c>
      <c r="N1053" s="130" t="s">
        <v>120</v>
      </c>
      <c r="O1053" s="130" t="s">
        <v>1860</v>
      </c>
      <c r="P1053" s="130" t="s">
        <v>1866</v>
      </c>
      <c r="Q1053" s="130" t="s">
        <v>1127</v>
      </c>
      <c r="R1053" s="130" t="s">
        <v>1191</v>
      </c>
      <c r="S1053" s="130" t="s">
        <v>1157</v>
      </c>
      <c r="T1053" s="130" t="s">
        <v>1369</v>
      </c>
      <c r="U1053" s="130">
        <v>100000</v>
      </c>
      <c r="V1053" s="131">
        <v>0</v>
      </c>
      <c r="W1053" s="131">
        <v>100000</v>
      </c>
      <c r="X1053" s="131">
        <v>100000</v>
      </c>
      <c r="Y1053" s="131">
        <v>0</v>
      </c>
      <c r="Z1053" s="131">
        <v>88258.3</v>
      </c>
      <c r="AA1053" s="131">
        <v>11741.699999999997</v>
      </c>
      <c r="AB1053" s="131">
        <v>88258.3</v>
      </c>
      <c r="AC1053" s="131">
        <v>11741.699999999997</v>
      </c>
      <c r="AD1053" s="131">
        <v>88258.3</v>
      </c>
      <c r="AE1053" s="132">
        <v>11741.699999999997</v>
      </c>
    </row>
    <row r="1054" spans="1:31" x14ac:dyDescent="0.2">
      <c r="A1054" s="133">
        <v>202</v>
      </c>
      <c r="B1054" s="133" t="s">
        <v>1841</v>
      </c>
      <c r="C1054" s="133" t="s">
        <v>1199</v>
      </c>
      <c r="D1054" s="133" t="s">
        <v>1865</v>
      </c>
      <c r="E1054" s="133" t="s">
        <v>1201</v>
      </c>
      <c r="F1054" s="133" t="s">
        <v>1117</v>
      </c>
      <c r="G1054" s="133" t="s">
        <v>1202</v>
      </c>
      <c r="H1054" s="133" t="s">
        <v>1203</v>
      </c>
      <c r="I1054" s="133" t="s">
        <v>1224</v>
      </c>
      <c r="J1054" s="133" t="s">
        <v>1257</v>
      </c>
      <c r="K1054" s="130" t="s">
        <v>1259</v>
      </c>
      <c r="L1054" s="130" t="s">
        <v>1859</v>
      </c>
      <c r="M1054" s="130" t="s">
        <v>1844</v>
      </c>
      <c r="N1054" s="130" t="s">
        <v>120</v>
      </c>
      <c r="O1054" s="130" t="s">
        <v>1860</v>
      </c>
      <c r="P1054" s="130" t="s">
        <v>1866</v>
      </c>
      <c r="Q1054" s="130" t="s">
        <v>1127</v>
      </c>
      <c r="R1054" s="130" t="s">
        <v>1191</v>
      </c>
      <c r="S1054" s="130" t="s">
        <v>1157</v>
      </c>
      <c r="T1054" s="130" t="s">
        <v>1369</v>
      </c>
      <c r="U1054" s="130">
        <v>25000</v>
      </c>
      <c r="V1054" s="131">
        <v>30000</v>
      </c>
      <c r="W1054" s="131">
        <v>55000</v>
      </c>
      <c r="X1054" s="131">
        <v>55000</v>
      </c>
      <c r="Y1054" s="131">
        <v>0</v>
      </c>
      <c r="Z1054" s="131">
        <v>51026.12</v>
      </c>
      <c r="AA1054" s="131">
        <v>3973.8799999999974</v>
      </c>
      <c r="AB1054" s="131">
        <v>51026.119999999995</v>
      </c>
      <c r="AC1054" s="131">
        <v>3973.8800000000047</v>
      </c>
      <c r="AD1054" s="131">
        <v>50555.72</v>
      </c>
      <c r="AE1054" s="132">
        <v>4444.2799999999988</v>
      </c>
    </row>
    <row r="1055" spans="1:31" x14ac:dyDescent="0.2">
      <c r="A1055" s="133">
        <v>202</v>
      </c>
      <c r="B1055" s="133" t="s">
        <v>1841</v>
      </c>
      <c r="C1055" s="133" t="s">
        <v>1199</v>
      </c>
      <c r="D1055" s="133" t="s">
        <v>1865</v>
      </c>
      <c r="E1055" s="133" t="s">
        <v>1201</v>
      </c>
      <c r="F1055" s="133" t="s">
        <v>1117</v>
      </c>
      <c r="G1055" s="133" t="s">
        <v>1202</v>
      </c>
      <c r="H1055" s="133" t="s">
        <v>1203</v>
      </c>
      <c r="I1055" s="133" t="s">
        <v>1224</v>
      </c>
      <c r="J1055" s="130" t="s">
        <v>1529</v>
      </c>
      <c r="K1055" s="130" t="s">
        <v>1531</v>
      </c>
      <c r="L1055" s="130" t="s">
        <v>1859</v>
      </c>
      <c r="M1055" s="130" t="s">
        <v>1844</v>
      </c>
      <c r="N1055" s="130" t="s">
        <v>120</v>
      </c>
      <c r="O1055" s="130" t="s">
        <v>1860</v>
      </c>
      <c r="P1055" s="130" t="s">
        <v>1866</v>
      </c>
      <c r="Q1055" s="130" t="s">
        <v>1127</v>
      </c>
      <c r="R1055" s="130" t="s">
        <v>1191</v>
      </c>
      <c r="S1055" s="130" t="s">
        <v>1157</v>
      </c>
      <c r="T1055" s="130" t="s">
        <v>1369</v>
      </c>
      <c r="U1055" s="130">
        <v>0</v>
      </c>
      <c r="V1055" s="131">
        <v>5500</v>
      </c>
      <c r="W1055" s="131">
        <v>5500</v>
      </c>
      <c r="X1055" s="131">
        <v>5500</v>
      </c>
      <c r="Y1055" s="131">
        <v>0</v>
      </c>
      <c r="Z1055" s="131">
        <v>2000</v>
      </c>
      <c r="AA1055" s="131">
        <v>3500</v>
      </c>
      <c r="AB1055" s="131">
        <v>2000</v>
      </c>
      <c r="AC1055" s="131">
        <v>3500</v>
      </c>
      <c r="AD1055" s="131">
        <v>2000</v>
      </c>
      <c r="AE1055" s="132">
        <v>3500</v>
      </c>
    </row>
    <row r="1056" spans="1:31" x14ac:dyDescent="0.2">
      <c r="A1056" s="133">
        <v>202</v>
      </c>
      <c r="B1056" s="133" t="s">
        <v>1841</v>
      </c>
      <c r="C1056" s="133" t="s">
        <v>1199</v>
      </c>
      <c r="D1056" s="133" t="s">
        <v>1865</v>
      </c>
      <c r="E1056" s="133" t="s">
        <v>1201</v>
      </c>
      <c r="F1056" s="133" t="s">
        <v>1117</v>
      </c>
      <c r="G1056" s="133" t="s">
        <v>1202</v>
      </c>
      <c r="H1056" s="133" t="s">
        <v>1203</v>
      </c>
      <c r="I1056" s="133" t="s">
        <v>1224</v>
      </c>
      <c r="J1056" s="130" t="s">
        <v>1306</v>
      </c>
      <c r="K1056" s="130" t="s">
        <v>1308</v>
      </c>
      <c r="L1056" s="130" t="s">
        <v>1859</v>
      </c>
      <c r="M1056" s="130" t="s">
        <v>1844</v>
      </c>
      <c r="N1056" s="130" t="s">
        <v>120</v>
      </c>
      <c r="O1056" s="130" t="s">
        <v>1860</v>
      </c>
      <c r="P1056" s="130" t="s">
        <v>1866</v>
      </c>
      <c r="Q1056" s="130" t="s">
        <v>1127</v>
      </c>
      <c r="R1056" s="130" t="s">
        <v>1191</v>
      </c>
      <c r="S1056" s="130" t="s">
        <v>1157</v>
      </c>
      <c r="T1056" s="130" t="s">
        <v>1369</v>
      </c>
      <c r="U1056" s="130">
        <v>800</v>
      </c>
      <c r="V1056" s="131">
        <v>0</v>
      </c>
      <c r="W1056" s="131">
        <v>800</v>
      </c>
      <c r="X1056" s="131">
        <v>165</v>
      </c>
      <c r="Y1056" s="131">
        <v>635</v>
      </c>
      <c r="Z1056" s="131">
        <v>165</v>
      </c>
      <c r="AA1056" s="131">
        <v>635</v>
      </c>
      <c r="AB1056" s="131">
        <v>165</v>
      </c>
      <c r="AC1056" s="131">
        <v>635</v>
      </c>
      <c r="AD1056" s="131">
        <v>165</v>
      </c>
      <c r="AE1056" s="132">
        <v>635</v>
      </c>
    </row>
    <row r="1057" spans="1:31" x14ac:dyDescent="0.2">
      <c r="A1057" s="133">
        <v>202</v>
      </c>
      <c r="B1057" s="133" t="s">
        <v>1841</v>
      </c>
      <c r="C1057" s="133" t="s">
        <v>1199</v>
      </c>
      <c r="D1057" s="133" t="s">
        <v>1865</v>
      </c>
      <c r="E1057" s="133" t="s">
        <v>1201</v>
      </c>
      <c r="F1057" s="133" t="s">
        <v>1117</v>
      </c>
      <c r="G1057" s="133" t="s">
        <v>1202</v>
      </c>
      <c r="H1057" s="133" t="s">
        <v>1203</v>
      </c>
      <c r="I1057" s="133" t="s">
        <v>1224</v>
      </c>
      <c r="J1057" s="130" t="s">
        <v>1853</v>
      </c>
      <c r="K1057" s="130" t="s">
        <v>1854</v>
      </c>
      <c r="L1057" s="130" t="s">
        <v>1859</v>
      </c>
      <c r="M1057" s="130" t="s">
        <v>1844</v>
      </c>
      <c r="N1057" s="130" t="s">
        <v>120</v>
      </c>
      <c r="O1057" s="130" t="s">
        <v>1860</v>
      </c>
      <c r="P1057" s="130" t="s">
        <v>1866</v>
      </c>
      <c r="Q1057" s="130" t="s">
        <v>1127</v>
      </c>
      <c r="R1057" s="130" t="s">
        <v>1191</v>
      </c>
      <c r="S1057" s="130" t="s">
        <v>1157</v>
      </c>
      <c r="T1057" s="130" t="s">
        <v>1369</v>
      </c>
      <c r="U1057" s="130">
        <v>0</v>
      </c>
      <c r="V1057" s="131">
        <v>3212</v>
      </c>
      <c r="W1057" s="131">
        <v>3212</v>
      </c>
      <c r="X1057" s="131">
        <v>3211.49</v>
      </c>
      <c r="Y1057" s="131">
        <v>0.51000000000021828</v>
      </c>
      <c r="Z1057" s="131">
        <v>1338.12</v>
      </c>
      <c r="AA1057" s="131">
        <v>1873.88</v>
      </c>
      <c r="AB1057" s="131">
        <v>1338.12</v>
      </c>
      <c r="AC1057" s="131">
        <v>1873.88</v>
      </c>
      <c r="AD1057" s="131">
        <v>1338.12</v>
      </c>
      <c r="AE1057" s="132">
        <v>1873.88</v>
      </c>
    </row>
    <row r="1058" spans="1:31" x14ac:dyDescent="0.2">
      <c r="A1058" s="133">
        <v>202</v>
      </c>
      <c r="B1058" s="133" t="s">
        <v>1841</v>
      </c>
      <c r="C1058" s="133" t="s">
        <v>1199</v>
      </c>
      <c r="D1058" s="133" t="s">
        <v>1865</v>
      </c>
      <c r="E1058" s="133" t="s">
        <v>1201</v>
      </c>
      <c r="F1058" s="133" t="s">
        <v>1117</v>
      </c>
      <c r="G1058" s="133" t="s">
        <v>1202</v>
      </c>
      <c r="H1058" s="133" t="s">
        <v>1203</v>
      </c>
      <c r="I1058" s="130" t="s">
        <v>1264</v>
      </c>
      <c r="J1058" s="130" t="s">
        <v>1267</v>
      </c>
      <c r="K1058" s="130" t="s">
        <v>1268</v>
      </c>
      <c r="L1058" s="130" t="s">
        <v>1859</v>
      </c>
      <c r="M1058" s="130" t="s">
        <v>1844</v>
      </c>
      <c r="N1058" s="130" t="s">
        <v>120</v>
      </c>
      <c r="O1058" s="130" t="s">
        <v>1860</v>
      </c>
      <c r="P1058" s="130" t="s">
        <v>1866</v>
      </c>
      <c r="Q1058" s="130" t="s">
        <v>1127</v>
      </c>
      <c r="R1058" s="130" t="s">
        <v>1191</v>
      </c>
      <c r="S1058" s="130" t="s">
        <v>1157</v>
      </c>
      <c r="T1058" s="130" t="s">
        <v>1369</v>
      </c>
      <c r="U1058" s="130">
        <v>2000</v>
      </c>
      <c r="V1058" s="131">
        <v>0</v>
      </c>
      <c r="W1058" s="131">
        <v>2000</v>
      </c>
      <c r="X1058" s="131">
        <v>0</v>
      </c>
      <c r="Y1058" s="131">
        <v>2000</v>
      </c>
      <c r="Z1058" s="131">
        <v>0</v>
      </c>
      <c r="AA1058" s="131">
        <v>2000</v>
      </c>
      <c r="AB1058" s="131">
        <v>0</v>
      </c>
      <c r="AC1058" s="131">
        <v>2000</v>
      </c>
      <c r="AD1058" s="131">
        <v>0</v>
      </c>
      <c r="AE1058" s="132">
        <v>2000</v>
      </c>
    </row>
    <row r="1059" spans="1:31" x14ac:dyDescent="0.2">
      <c r="A1059" s="133">
        <v>202</v>
      </c>
      <c r="B1059" s="133" t="s">
        <v>1841</v>
      </c>
      <c r="C1059" s="133" t="s">
        <v>1199</v>
      </c>
      <c r="D1059" s="133" t="s">
        <v>1865</v>
      </c>
      <c r="E1059" s="133" t="s">
        <v>1201</v>
      </c>
      <c r="F1059" s="133" t="s">
        <v>1117</v>
      </c>
      <c r="G1059" s="133" t="s">
        <v>1202</v>
      </c>
      <c r="H1059" s="133" t="s">
        <v>1203</v>
      </c>
      <c r="I1059" s="130" t="s">
        <v>1269</v>
      </c>
      <c r="J1059" s="130" t="s">
        <v>1534</v>
      </c>
      <c r="K1059" s="130" t="s">
        <v>1535</v>
      </c>
      <c r="L1059" s="130" t="s">
        <v>1859</v>
      </c>
      <c r="M1059" s="130" t="s">
        <v>1844</v>
      </c>
      <c r="N1059" s="130" t="s">
        <v>120</v>
      </c>
      <c r="O1059" s="130" t="s">
        <v>1860</v>
      </c>
      <c r="P1059" s="130" t="s">
        <v>1866</v>
      </c>
      <c r="Q1059" s="130" t="s">
        <v>1127</v>
      </c>
      <c r="R1059" s="130" t="s">
        <v>1191</v>
      </c>
      <c r="S1059" s="130" t="s">
        <v>1157</v>
      </c>
      <c r="T1059" s="130" t="s">
        <v>1369</v>
      </c>
      <c r="U1059" s="130">
        <v>7000</v>
      </c>
      <c r="V1059" s="131">
        <v>-6000</v>
      </c>
      <c r="W1059" s="131">
        <v>1000</v>
      </c>
      <c r="X1059" s="131">
        <v>195</v>
      </c>
      <c r="Y1059" s="131">
        <v>805</v>
      </c>
      <c r="Z1059" s="131">
        <v>195</v>
      </c>
      <c r="AA1059" s="131">
        <v>805</v>
      </c>
      <c r="AB1059" s="131">
        <v>195</v>
      </c>
      <c r="AC1059" s="131">
        <v>805</v>
      </c>
      <c r="AD1059" s="131">
        <v>195</v>
      </c>
      <c r="AE1059" s="132">
        <v>805</v>
      </c>
    </row>
    <row r="1060" spans="1:31" x14ac:dyDescent="0.2">
      <c r="A1060" s="133">
        <v>202</v>
      </c>
      <c r="B1060" s="133" t="s">
        <v>1841</v>
      </c>
      <c r="C1060" s="133" t="s">
        <v>1199</v>
      </c>
      <c r="D1060" s="133" t="s">
        <v>1865</v>
      </c>
      <c r="E1060" s="133" t="s">
        <v>1201</v>
      </c>
      <c r="F1060" s="133" t="s">
        <v>1117</v>
      </c>
      <c r="G1060" s="133" t="s">
        <v>1202</v>
      </c>
      <c r="H1060" s="133" t="s">
        <v>1203</v>
      </c>
      <c r="I1060" s="133" t="s">
        <v>1269</v>
      </c>
      <c r="J1060" s="130" t="s">
        <v>1270</v>
      </c>
      <c r="K1060" s="130" t="s">
        <v>1272</v>
      </c>
      <c r="L1060" s="130" t="s">
        <v>1859</v>
      </c>
      <c r="M1060" s="130" t="s">
        <v>1844</v>
      </c>
      <c r="N1060" s="130" t="s">
        <v>120</v>
      </c>
      <c r="O1060" s="130" t="s">
        <v>1860</v>
      </c>
      <c r="P1060" s="130" t="s">
        <v>1866</v>
      </c>
      <c r="Q1060" s="130" t="s">
        <v>1127</v>
      </c>
      <c r="R1060" s="130" t="s">
        <v>1191</v>
      </c>
      <c r="S1060" s="130" t="s">
        <v>1157</v>
      </c>
      <c r="T1060" s="130" t="s">
        <v>1369</v>
      </c>
      <c r="U1060" s="130">
        <v>1000</v>
      </c>
      <c r="V1060" s="131">
        <v>0</v>
      </c>
      <c r="W1060" s="131">
        <v>1000</v>
      </c>
      <c r="X1060" s="131">
        <v>0</v>
      </c>
      <c r="Y1060" s="131">
        <v>1000</v>
      </c>
      <c r="Z1060" s="131">
        <v>0</v>
      </c>
      <c r="AA1060" s="131">
        <v>1000</v>
      </c>
      <c r="AB1060" s="131">
        <v>0</v>
      </c>
      <c r="AC1060" s="131">
        <v>1000</v>
      </c>
      <c r="AD1060" s="131">
        <v>0</v>
      </c>
      <c r="AE1060" s="132">
        <v>1000</v>
      </c>
    </row>
    <row r="1061" spans="1:31" x14ac:dyDescent="0.2">
      <c r="A1061" s="133">
        <v>202</v>
      </c>
      <c r="B1061" s="133" t="s">
        <v>1841</v>
      </c>
      <c r="C1061" s="133" t="s">
        <v>1199</v>
      </c>
      <c r="D1061" s="133" t="s">
        <v>1865</v>
      </c>
      <c r="E1061" s="133" t="s">
        <v>1201</v>
      </c>
      <c r="F1061" s="133" t="s">
        <v>1117</v>
      </c>
      <c r="G1061" s="133" t="s">
        <v>1202</v>
      </c>
      <c r="H1061" s="133" t="s">
        <v>1203</v>
      </c>
      <c r="I1061" s="130" t="s">
        <v>1209</v>
      </c>
      <c r="J1061" s="130" t="s">
        <v>1873</v>
      </c>
      <c r="K1061" s="130" t="s">
        <v>1874</v>
      </c>
      <c r="L1061" s="130" t="s">
        <v>1859</v>
      </c>
      <c r="M1061" s="130" t="s">
        <v>1844</v>
      </c>
      <c r="N1061" s="130" t="s">
        <v>120</v>
      </c>
      <c r="O1061" s="130" t="s">
        <v>1860</v>
      </c>
      <c r="P1061" s="130" t="s">
        <v>1866</v>
      </c>
      <c r="Q1061" s="130" t="s">
        <v>1127</v>
      </c>
      <c r="R1061" s="130" t="s">
        <v>1191</v>
      </c>
      <c r="S1061" s="130" t="s">
        <v>1157</v>
      </c>
      <c r="T1061" s="130" t="s">
        <v>1369</v>
      </c>
      <c r="U1061" s="130">
        <v>0</v>
      </c>
      <c r="V1061" s="131">
        <v>18000</v>
      </c>
      <c r="W1061" s="131">
        <v>18000</v>
      </c>
      <c r="X1061" s="131">
        <v>18000</v>
      </c>
      <c r="Y1061" s="131">
        <v>0</v>
      </c>
      <c r="Z1061" s="131">
        <v>18000</v>
      </c>
      <c r="AA1061" s="131">
        <v>0</v>
      </c>
      <c r="AB1061" s="131">
        <v>18000</v>
      </c>
      <c r="AC1061" s="131">
        <v>0</v>
      </c>
      <c r="AD1061" s="131">
        <v>18000</v>
      </c>
      <c r="AE1061" s="132">
        <v>0</v>
      </c>
    </row>
    <row r="1062" spans="1:31" x14ac:dyDescent="0.2">
      <c r="A1062" s="133">
        <v>202</v>
      </c>
      <c r="B1062" s="133" t="s">
        <v>1841</v>
      </c>
      <c r="C1062" s="133" t="s">
        <v>1199</v>
      </c>
      <c r="D1062" s="133" t="s">
        <v>1865</v>
      </c>
      <c r="E1062" s="133" t="s">
        <v>1201</v>
      </c>
      <c r="F1062" s="133" t="s">
        <v>1117</v>
      </c>
      <c r="G1062" s="133" t="s">
        <v>1202</v>
      </c>
      <c r="H1062" s="133" t="s">
        <v>1203</v>
      </c>
      <c r="I1062" s="133" t="s">
        <v>1209</v>
      </c>
      <c r="J1062" s="130" t="s">
        <v>1210</v>
      </c>
      <c r="K1062" s="130" t="s">
        <v>1539</v>
      </c>
      <c r="L1062" s="130" t="s">
        <v>1859</v>
      </c>
      <c r="M1062" s="130" t="s">
        <v>1844</v>
      </c>
      <c r="N1062" s="130" t="s">
        <v>120</v>
      </c>
      <c r="O1062" s="130" t="s">
        <v>1860</v>
      </c>
      <c r="P1062" s="130" t="s">
        <v>1866</v>
      </c>
      <c r="Q1062" s="130" t="s">
        <v>1127</v>
      </c>
      <c r="R1062" s="130" t="s">
        <v>1191</v>
      </c>
      <c r="S1062" s="130" t="s">
        <v>1157</v>
      </c>
      <c r="T1062" s="130" t="s">
        <v>1369</v>
      </c>
      <c r="U1062" s="130">
        <v>10000</v>
      </c>
      <c r="V1062" s="131">
        <v>960</v>
      </c>
      <c r="W1062" s="131">
        <v>10960</v>
      </c>
      <c r="X1062" s="131">
        <v>4730.12</v>
      </c>
      <c r="Y1062" s="131">
        <v>6229.88</v>
      </c>
      <c r="Z1062" s="131">
        <v>4730.12</v>
      </c>
      <c r="AA1062" s="131">
        <v>6229.88</v>
      </c>
      <c r="AB1062" s="131">
        <v>4730.12</v>
      </c>
      <c r="AC1062" s="131">
        <v>6229.88</v>
      </c>
      <c r="AD1062" s="131">
        <v>4730.12</v>
      </c>
      <c r="AE1062" s="132">
        <v>6229.88</v>
      </c>
    </row>
    <row r="1063" spans="1:31" x14ac:dyDescent="0.2">
      <c r="A1063" s="133">
        <v>202</v>
      </c>
      <c r="B1063" s="133" t="s">
        <v>1841</v>
      </c>
      <c r="C1063" s="133" t="s">
        <v>1199</v>
      </c>
      <c r="D1063" s="133" t="s">
        <v>1865</v>
      </c>
      <c r="E1063" s="133" t="s">
        <v>1201</v>
      </c>
      <c r="F1063" s="133" t="s">
        <v>1117</v>
      </c>
      <c r="G1063" s="133" t="s">
        <v>1202</v>
      </c>
      <c r="H1063" s="133" t="s">
        <v>1203</v>
      </c>
      <c r="I1063" s="133" t="s">
        <v>1209</v>
      </c>
      <c r="J1063" s="133" t="s">
        <v>1210</v>
      </c>
      <c r="K1063" s="130" t="s">
        <v>1211</v>
      </c>
      <c r="L1063" s="130" t="s">
        <v>1859</v>
      </c>
      <c r="M1063" s="130" t="s">
        <v>1844</v>
      </c>
      <c r="N1063" s="130" t="s">
        <v>120</v>
      </c>
      <c r="O1063" s="130" t="s">
        <v>1860</v>
      </c>
      <c r="P1063" s="130" t="s">
        <v>1866</v>
      </c>
      <c r="Q1063" s="130" t="s">
        <v>1127</v>
      </c>
      <c r="R1063" s="130" t="s">
        <v>1191</v>
      </c>
      <c r="S1063" s="130" t="s">
        <v>1157</v>
      </c>
      <c r="T1063" s="130" t="s">
        <v>1369</v>
      </c>
      <c r="U1063" s="130">
        <v>8000</v>
      </c>
      <c r="V1063" s="131">
        <v>-3000</v>
      </c>
      <c r="W1063" s="131">
        <v>5000</v>
      </c>
      <c r="X1063" s="131">
        <v>4500</v>
      </c>
      <c r="Y1063" s="131">
        <v>500</v>
      </c>
      <c r="Z1063" s="131">
        <v>4500</v>
      </c>
      <c r="AA1063" s="131">
        <v>500</v>
      </c>
      <c r="AB1063" s="131">
        <v>4500</v>
      </c>
      <c r="AC1063" s="131">
        <v>500</v>
      </c>
      <c r="AD1063" s="131">
        <v>4500</v>
      </c>
      <c r="AE1063" s="132">
        <v>500</v>
      </c>
    </row>
    <row r="1064" spans="1:31" x14ac:dyDescent="0.2">
      <c r="A1064" s="133">
        <v>202</v>
      </c>
      <c r="B1064" s="133" t="s">
        <v>1841</v>
      </c>
      <c r="C1064" s="133" t="s">
        <v>1199</v>
      </c>
      <c r="D1064" s="133" t="s">
        <v>1865</v>
      </c>
      <c r="E1064" s="133" t="s">
        <v>1201</v>
      </c>
      <c r="F1064" s="133" t="s">
        <v>1117</v>
      </c>
      <c r="G1064" s="133" t="s">
        <v>1202</v>
      </c>
      <c r="H1064" s="133" t="s">
        <v>1203</v>
      </c>
      <c r="I1064" s="133" t="s">
        <v>1209</v>
      </c>
      <c r="J1064" s="133" t="s">
        <v>1210</v>
      </c>
      <c r="K1064" s="130" t="s">
        <v>1274</v>
      </c>
      <c r="L1064" s="130" t="s">
        <v>1859</v>
      </c>
      <c r="M1064" s="130" t="s">
        <v>1844</v>
      </c>
      <c r="N1064" s="130" t="s">
        <v>120</v>
      </c>
      <c r="O1064" s="130" t="s">
        <v>1860</v>
      </c>
      <c r="P1064" s="130" t="s">
        <v>1866</v>
      </c>
      <c r="Q1064" s="130" t="s">
        <v>1127</v>
      </c>
      <c r="R1064" s="130" t="s">
        <v>1191</v>
      </c>
      <c r="S1064" s="130" t="s">
        <v>1157</v>
      </c>
      <c r="T1064" s="130" t="s">
        <v>1369</v>
      </c>
      <c r="U1064" s="130">
        <v>13300</v>
      </c>
      <c r="V1064" s="131">
        <v>-1400</v>
      </c>
      <c r="W1064" s="131">
        <v>11900</v>
      </c>
      <c r="X1064" s="131">
        <v>8438.33</v>
      </c>
      <c r="Y1064" s="131">
        <v>3461.67</v>
      </c>
      <c r="Z1064" s="131">
        <v>5078.63</v>
      </c>
      <c r="AA1064" s="131">
        <v>6821.37</v>
      </c>
      <c r="AB1064" s="131">
        <v>5078.63</v>
      </c>
      <c r="AC1064" s="131">
        <v>6821.37</v>
      </c>
      <c r="AD1064" s="131">
        <v>5078.63</v>
      </c>
      <c r="AE1064" s="132">
        <v>6821.37</v>
      </c>
    </row>
    <row r="1065" spans="1:31" x14ac:dyDescent="0.2">
      <c r="A1065" s="133">
        <v>202</v>
      </c>
      <c r="B1065" s="133" t="s">
        <v>1841</v>
      </c>
      <c r="C1065" s="133" t="s">
        <v>1199</v>
      </c>
      <c r="D1065" s="133" t="s">
        <v>1865</v>
      </c>
      <c r="E1065" s="133" t="s">
        <v>1201</v>
      </c>
      <c r="F1065" s="133" t="s">
        <v>1117</v>
      </c>
      <c r="G1065" s="133" t="s">
        <v>1202</v>
      </c>
      <c r="H1065" s="133" t="s">
        <v>1203</v>
      </c>
      <c r="I1065" s="130" t="s">
        <v>1309</v>
      </c>
      <c r="J1065" s="130" t="s">
        <v>1310</v>
      </c>
      <c r="K1065" s="130" t="s">
        <v>1310</v>
      </c>
      <c r="L1065" s="130" t="s">
        <v>1859</v>
      </c>
      <c r="M1065" s="130" t="s">
        <v>1844</v>
      </c>
      <c r="N1065" s="130" t="s">
        <v>120</v>
      </c>
      <c r="O1065" s="130" t="s">
        <v>1860</v>
      </c>
      <c r="P1065" s="130" t="s">
        <v>1866</v>
      </c>
      <c r="Q1065" s="130" t="s">
        <v>1127</v>
      </c>
      <c r="R1065" s="130" t="s">
        <v>1191</v>
      </c>
      <c r="S1065" s="130" t="s">
        <v>1157</v>
      </c>
      <c r="T1065" s="130" t="s">
        <v>1369</v>
      </c>
      <c r="U1065" s="130">
        <v>37600</v>
      </c>
      <c r="V1065" s="131">
        <v>430167</v>
      </c>
      <c r="W1065" s="131">
        <v>467767</v>
      </c>
      <c r="X1065" s="131">
        <v>467767</v>
      </c>
      <c r="Y1065" s="131">
        <v>0</v>
      </c>
      <c r="Z1065" s="131">
        <v>467767</v>
      </c>
      <c r="AA1065" s="131">
        <v>0</v>
      </c>
      <c r="AB1065" s="131">
        <v>467767</v>
      </c>
      <c r="AC1065" s="131">
        <v>0</v>
      </c>
      <c r="AD1065" s="131">
        <v>442114.7</v>
      </c>
      <c r="AE1065" s="132">
        <v>25652.299999999988</v>
      </c>
    </row>
    <row r="1066" spans="1:31" x14ac:dyDescent="0.2">
      <c r="A1066" s="133">
        <v>202</v>
      </c>
      <c r="B1066" s="133" t="s">
        <v>1841</v>
      </c>
      <c r="C1066" s="133" t="s">
        <v>1199</v>
      </c>
      <c r="D1066" s="133" t="s">
        <v>1865</v>
      </c>
      <c r="E1066" s="133" t="s">
        <v>1201</v>
      </c>
      <c r="F1066" s="133" t="s">
        <v>1117</v>
      </c>
      <c r="G1066" s="130" t="s">
        <v>1875</v>
      </c>
      <c r="H1066" s="130" t="s">
        <v>1876</v>
      </c>
      <c r="I1066" s="130" t="s">
        <v>1877</v>
      </c>
      <c r="J1066" s="130" t="s">
        <v>1878</v>
      </c>
      <c r="K1066" s="130" t="s">
        <v>1879</v>
      </c>
      <c r="L1066" s="130" t="s">
        <v>1859</v>
      </c>
      <c r="M1066" s="130" t="s">
        <v>1844</v>
      </c>
      <c r="N1066" s="130" t="s">
        <v>120</v>
      </c>
      <c r="O1066" s="130" t="s">
        <v>1860</v>
      </c>
      <c r="P1066" s="130" t="s">
        <v>1866</v>
      </c>
      <c r="Q1066" s="130" t="s">
        <v>1127</v>
      </c>
      <c r="R1066" s="130" t="s">
        <v>1191</v>
      </c>
      <c r="S1066" s="130" t="s">
        <v>1157</v>
      </c>
      <c r="T1066" s="130" t="s">
        <v>1369</v>
      </c>
      <c r="U1066" s="130">
        <v>0</v>
      </c>
      <c r="V1066" s="131">
        <v>906580</v>
      </c>
      <c r="W1066" s="131">
        <v>906580</v>
      </c>
      <c r="X1066" s="131">
        <v>906580</v>
      </c>
      <c r="Y1066" s="131">
        <v>0</v>
      </c>
      <c r="Z1066" s="131">
        <v>906580</v>
      </c>
      <c r="AA1066" s="131">
        <v>0</v>
      </c>
      <c r="AB1066" s="131">
        <v>906580</v>
      </c>
      <c r="AC1066" s="131">
        <v>0</v>
      </c>
      <c r="AD1066" s="131">
        <v>906580</v>
      </c>
      <c r="AE1066" s="132">
        <v>0</v>
      </c>
    </row>
    <row r="1067" spans="1:31" x14ac:dyDescent="0.2">
      <c r="A1067" s="133">
        <v>202</v>
      </c>
      <c r="B1067" s="133" t="s">
        <v>1841</v>
      </c>
      <c r="C1067" s="133" t="s">
        <v>1199</v>
      </c>
      <c r="D1067" s="133" t="s">
        <v>1865</v>
      </c>
      <c r="E1067" s="133" t="s">
        <v>1201</v>
      </c>
      <c r="F1067" s="133" t="s">
        <v>1117</v>
      </c>
      <c r="G1067" s="130" t="s">
        <v>1880</v>
      </c>
      <c r="H1067" s="130" t="s">
        <v>1881</v>
      </c>
      <c r="I1067" s="130" t="s">
        <v>1882</v>
      </c>
      <c r="J1067" s="130" t="s">
        <v>1883</v>
      </c>
      <c r="K1067" s="130" t="s">
        <v>1884</v>
      </c>
      <c r="L1067" s="130" t="s">
        <v>1859</v>
      </c>
      <c r="M1067" s="130" t="s">
        <v>1844</v>
      </c>
      <c r="N1067" s="130" t="s">
        <v>120</v>
      </c>
      <c r="O1067" s="130" t="s">
        <v>1860</v>
      </c>
      <c r="P1067" s="130" t="s">
        <v>1866</v>
      </c>
      <c r="Q1067" s="130" t="s">
        <v>1127</v>
      </c>
      <c r="R1067" s="130" t="s">
        <v>1191</v>
      </c>
      <c r="S1067" s="130" t="s">
        <v>1157</v>
      </c>
      <c r="T1067" s="130" t="s">
        <v>1369</v>
      </c>
      <c r="U1067" s="130">
        <v>0</v>
      </c>
      <c r="V1067" s="131">
        <v>46098</v>
      </c>
      <c r="W1067" s="131">
        <v>46098</v>
      </c>
      <c r="X1067" s="131">
        <v>46098</v>
      </c>
      <c r="Y1067" s="131">
        <v>0</v>
      </c>
      <c r="Z1067" s="131">
        <v>46098</v>
      </c>
      <c r="AA1067" s="131">
        <v>0</v>
      </c>
      <c r="AB1067" s="131">
        <v>46098</v>
      </c>
      <c r="AC1067" s="131">
        <v>0</v>
      </c>
      <c r="AD1067" s="131">
        <v>46098</v>
      </c>
      <c r="AE1067" s="132">
        <v>0</v>
      </c>
    </row>
    <row r="1068" spans="1:31" x14ac:dyDescent="0.2">
      <c r="A1068" s="133">
        <v>202</v>
      </c>
      <c r="B1068" s="133" t="s">
        <v>1841</v>
      </c>
      <c r="C1068" s="133" t="s">
        <v>1199</v>
      </c>
      <c r="D1068" s="133" t="s">
        <v>1865</v>
      </c>
      <c r="E1068" s="133" t="s">
        <v>1201</v>
      </c>
      <c r="F1068" s="133" t="s">
        <v>1117</v>
      </c>
      <c r="G1068" s="133" t="s">
        <v>1880</v>
      </c>
      <c r="H1068" s="133" t="s">
        <v>1881</v>
      </c>
      <c r="I1068" s="133" t="s">
        <v>1882</v>
      </c>
      <c r="J1068" s="130" t="s">
        <v>1885</v>
      </c>
      <c r="K1068" s="130" t="s">
        <v>1886</v>
      </c>
      <c r="L1068" s="130" t="s">
        <v>1859</v>
      </c>
      <c r="M1068" s="130" t="s">
        <v>1844</v>
      </c>
      <c r="N1068" s="130" t="s">
        <v>120</v>
      </c>
      <c r="O1068" s="130" t="s">
        <v>1860</v>
      </c>
      <c r="P1068" s="130" t="s">
        <v>1866</v>
      </c>
      <c r="Q1068" s="130" t="s">
        <v>1127</v>
      </c>
      <c r="R1068" s="130" t="s">
        <v>1191</v>
      </c>
      <c r="S1068" s="130" t="s">
        <v>1157</v>
      </c>
      <c r="T1068" s="130" t="s">
        <v>1369</v>
      </c>
      <c r="U1068" s="130">
        <v>0</v>
      </c>
      <c r="V1068" s="131">
        <v>12403</v>
      </c>
      <c r="W1068" s="131">
        <v>12403</v>
      </c>
      <c r="X1068" s="131">
        <v>12402.74</v>
      </c>
      <c r="Y1068" s="131">
        <v>0.26000000000021828</v>
      </c>
      <c r="Z1068" s="131">
        <v>12402.74</v>
      </c>
      <c r="AA1068" s="131">
        <v>0.26000000000021828</v>
      </c>
      <c r="AB1068" s="131">
        <v>12402.74</v>
      </c>
      <c r="AC1068" s="131">
        <v>0.26000000000021828</v>
      </c>
      <c r="AD1068" s="131">
        <v>12402.74</v>
      </c>
      <c r="AE1068" s="132">
        <v>0.26000000000021828</v>
      </c>
    </row>
    <row r="1069" spans="1:31" x14ac:dyDescent="0.2">
      <c r="A1069" s="133">
        <v>202</v>
      </c>
      <c r="B1069" s="133" t="s">
        <v>1841</v>
      </c>
      <c r="C1069" s="133" t="s">
        <v>1199</v>
      </c>
      <c r="D1069" s="133" t="s">
        <v>1865</v>
      </c>
      <c r="E1069" s="130" t="s">
        <v>1855</v>
      </c>
      <c r="F1069" s="130" t="s">
        <v>1117</v>
      </c>
      <c r="G1069" s="130" t="s">
        <v>1202</v>
      </c>
      <c r="H1069" s="130" t="s">
        <v>1216</v>
      </c>
      <c r="I1069" s="130" t="s">
        <v>1301</v>
      </c>
      <c r="J1069" s="130" t="s">
        <v>1301</v>
      </c>
      <c r="K1069" s="130" t="s">
        <v>1302</v>
      </c>
      <c r="L1069" s="130" t="s">
        <v>1859</v>
      </c>
      <c r="M1069" s="130" t="s">
        <v>1844</v>
      </c>
      <c r="N1069" s="130" t="s">
        <v>120</v>
      </c>
      <c r="O1069" s="130" t="s">
        <v>1860</v>
      </c>
      <c r="P1069" s="130" t="s">
        <v>1866</v>
      </c>
      <c r="Q1069" s="130" t="s">
        <v>1127</v>
      </c>
      <c r="R1069" s="130" t="s">
        <v>1191</v>
      </c>
      <c r="S1069" s="130" t="s">
        <v>1157</v>
      </c>
      <c r="T1069" s="130" t="s">
        <v>1369</v>
      </c>
      <c r="U1069" s="130">
        <v>0</v>
      </c>
      <c r="V1069" s="131">
        <v>902451</v>
      </c>
      <c r="W1069" s="131">
        <v>902451</v>
      </c>
      <c r="X1069" s="131">
        <v>891994.61</v>
      </c>
      <c r="Y1069" s="131">
        <v>10456.390000000014</v>
      </c>
      <c r="Z1069" s="131">
        <v>891994.61</v>
      </c>
      <c r="AA1069" s="131">
        <v>10456.390000000014</v>
      </c>
      <c r="AB1069" s="131">
        <v>891994.6100000001</v>
      </c>
      <c r="AC1069" s="131">
        <v>10456.389999999898</v>
      </c>
      <c r="AD1069" s="131">
        <v>891994.6100000001</v>
      </c>
      <c r="AE1069" s="132">
        <v>10456.389999999898</v>
      </c>
    </row>
    <row r="1070" spans="1:31" x14ac:dyDescent="0.2">
      <c r="A1070" s="133">
        <v>202</v>
      </c>
      <c r="B1070" s="133" t="s">
        <v>1841</v>
      </c>
      <c r="C1070" s="133" t="s">
        <v>1199</v>
      </c>
      <c r="D1070" s="133" t="s">
        <v>1865</v>
      </c>
      <c r="E1070" s="133" t="s">
        <v>1855</v>
      </c>
      <c r="F1070" s="133" t="s">
        <v>1117</v>
      </c>
      <c r="G1070" s="133" t="s">
        <v>1202</v>
      </c>
      <c r="H1070" s="133" t="s">
        <v>1216</v>
      </c>
      <c r="I1070" s="130" t="s">
        <v>1239</v>
      </c>
      <c r="J1070" s="130" t="s">
        <v>1240</v>
      </c>
      <c r="K1070" s="130" t="s">
        <v>1887</v>
      </c>
      <c r="L1070" s="130" t="s">
        <v>1859</v>
      </c>
      <c r="M1070" s="130" t="s">
        <v>1844</v>
      </c>
      <c r="N1070" s="130" t="s">
        <v>120</v>
      </c>
      <c r="O1070" s="130" t="s">
        <v>1860</v>
      </c>
      <c r="P1070" s="130" t="s">
        <v>1866</v>
      </c>
      <c r="Q1070" s="130" t="s">
        <v>1127</v>
      </c>
      <c r="R1070" s="130" t="s">
        <v>1191</v>
      </c>
      <c r="S1070" s="130" t="s">
        <v>1157</v>
      </c>
      <c r="T1070" s="130" t="s">
        <v>1369</v>
      </c>
      <c r="U1070" s="130">
        <v>0</v>
      </c>
      <c r="V1070" s="131">
        <v>15200</v>
      </c>
      <c r="W1070" s="131">
        <v>15200</v>
      </c>
      <c r="X1070" s="131">
        <v>2200</v>
      </c>
      <c r="Y1070" s="131">
        <v>13000</v>
      </c>
      <c r="Z1070" s="131">
        <v>2200</v>
      </c>
      <c r="AA1070" s="131">
        <v>13000</v>
      </c>
      <c r="AB1070" s="131">
        <v>2200</v>
      </c>
      <c r="AC1070" s="131">
        <v>13000</v>
      </c>
      <c r="AD1070" s="131">
        <v>2200</v>
      </c>
      <c r="AE1070" s="132">
        <v>13000</v>
      </c>
    </row>
    <row r="1071" spans="1:31" x14ac:dyDescent="0.2">
      <c r="A1071" s="133">
        <v>202</v>
      </c>
      <c r="B1071" s="133" t="s">
        <v>1841</v>
      </c>
      <c r="C1071" s="133" t="s">
        <v>1199</v>
      </c>
      <c r="D1071" s="133" t="s">
        <v>1865</v>
      </c>
      <c r="E1071" s="133" t="s">
        <v>1855</v>
      </c>
      <c r="F1071" s="133" t="s">
        <v>1117</v>
      </c>
      <c r="G1071" s="133" t="s">
        <v>1202</v>
      </c>
      <c r="H1071" s="133" t="s">
        <v>1216</v>
      </c>
      <c r="I1071" s="133" t="s">
        <v>1239</v>
      </c>
      <c r="J1071" s="133" t="s">
        <v>1240</v>
      </c>
      <c r="K1071" s="130" t="s">
        <v>1871</v>
      </c>
      <c r="L1071" s="130" t="s">
        <v>1859</v>
      </c>
      <c r="M1071" s="130" t="s">
        <v>1844</v>
      </c>
      <c r="N1071" s="130" t="s">
        <v>120</v>
      </c>
      <c r="O1071" s="130" t="s">
        <v>1860</v>
      </c>
      <c r="P1071" s="130" t="s">
        <v>1866</v>
      </c>
      <c r="Q1071" s="130" t="s">
        <v>1127</v>
      </c>
      <c r="R1071" s="130" t="s">
        <v>1191</v>
      </c>
      <c r="S1071" s="130" t="s">
        <v>1157</v>
      </c>
      <c r="T1071" s="130" t="s">
        <v>1369</v>
      </c>
      <c r="U1071" s="130">
        <v>0</v>
      </c>
      <c r="V1071" s="131">
        <v>12500</v>
      </c>
      <c r="W1071" s="131">
        <v>12500</v>
      </c>
      <c r="X1071" s="131">
        <v>313.8</v>
      </c>
      <c r="Y1071" s="131">
        <v>12186.2</v>
      </c>
      <c r="Z1071" s="131">
        <v>313.8</v>
      </c>
      <c r="AA1071" s="131">
        <v>12186.2</v>
      </c>
      <c r="AB1071" s="131">
        <v>313.8</v>
      </c>
      <c r="AC1071" s="131">
        <v>12186.2</v>
      </c>
      <c r="AD1071" s="131">
        <v>313.8</v>
      </c>
      <c r="AE1071" s="132">
        <v>12186.2</v>
      </c>
    </row>
    <row r="1072" spans="1:31" x14ac:dyDescent="0.2">
      <c r="A1072" s="133">
        <v>202</v>
      </c>
      <c r="B1072" s="133" t="s">
        <v>1841</v>
      </c>
      <c r="C1072" s="133" t="s">
        <v>1199</v>
      </c>
      <c r="D1072" s="133" t="s">
        <v>1865</v>
      </c>
      <c r="E1072" s="133" t="s">
        <v>1855</v>
      </c>
      <c r="F1072" s="133" t="s">
        <v>1117</v>
      </c>
      <c r="G1072" s="133" t="s">
        <v>1202</v>
      </c>
      <c r="H1072" s="133" t="s">
        <v>1216</v>
      </c>
      <c r="I1072" s="130" t="s">
        <v>1217</v>
      </c>
      <c r="J1072" s="130" t="s">
        <v>1218</v>
      </c>
      <c r="K1072" s="130" t="s">
        <v>1219</v>
      </c>
      <c r="L1072" s="130" t="s">
        <v>1859</v>
      </c>
      <c r="M1072" s="130" t="s">
        <v>1844</v>
      </c>
      <c r="N1072" s="130" t="s">
        <v>120</v>
      </c>
      <c r="O1072" s="130" t="s">
        <v>1860</v>
      </c>
      <c r="P1072" s="130" t="s">
        <v>1866</v>
      </c>
      <c r="Q1072" s="130" t="s">
        <v>1127</v>
      </c>
      <c r="R1072" s="130" t="s">
        <v>1191</v>
      </c>
      <c r="S1072" s="130" t="s">
        <v>1157</v>
      </c>
      <c r="T1072" s="130" t="s">
        <v>1369</v>
      </c>
      <c r="U1072" s="130">
        <v>0</v>
      </c>
      <c r="V1072" s="131">
        <v>2412</v>
      </c>
      <c r="W1072" s="131">
        <v>2412</v>
      </c>
      <c r="X1072" s="131">
        <v>2232</v>
      </c>
      <c r="Y1072" s="131">
        <v>180</v>
      </c>
      <c r="Z1072" s="131">
        <v>2232</v>
      </c>
      <c r="AA1072" s="131">
        <v>180</v>
      </c>
      <c r="AB1072" s="131">
        <v>2232</v>
      </c>
      <c r="AC1072" s="131">
        <v>180</v>
      </c>
      <c r="AD1072" s="131">
        <v>2232</v>
      </c>
      <c r="AE1072" s="132">
        <v>180</v>
      </c>
    </row>
    <row r="1073" spans="1:31" x14ac:dyDescent="0.2">
      <c r="A1073" s="133">
        <v>202</v>
      </c>
      <c r="B1073" s="133" t="s">
        <v>1841</v>
      </c>
      <c r="C1073" s="133" t="s">
        <v>1199</v>
      </c>
      <c r="D1073" s="133" t="s">
        <v>1865</v>
      </c>
      <c r="E1073" s="133" t="s">
        <v>1855</v>
      </c>
      <c r="F1073" s="133" t="s">
        <v>1117</v>
      </c>
      <c r="G1073" s="133" t="s">
        <v>1202</v>
      </c>
      <c r="H1073" s="133" t="s">
        <v>1216</v>
      </c>
      <c r="I1073" s="130" t="s">
        <v>1242</v>
      </c>
      <c r="J1073" s="130" t="s">
        <v>1243</v>
      </c>
      <c r="K1073" s="130" t="s">
        <v>1303</v>
      </c>
      <c r="L1073" s="130" t="s">
        <v>1859</v>
      </c>
      <c r="M1073" s="130" t="s">
        <v>1844</v>
      </c>
      <c r="N1073" s="130" t="s">
        <v>120</v>
      </c>
      <c r="O1073" s="130" t="s">
        <v>1860</v>
      </c>
      <c r="P1073" s="130" t="s">
        <v>1866</v>
      </c>
      <c r="Q1073" s="130" t="s">
        <v>1127</v>
      </c>
      <c r="R1073" s="130" t="s">
        <v>1191</v>
      </c>
      <c r="S1073" s="130" t="s">
        <v>1157</v>
      </c>
      <c r="T1073" s="130" t="s">
        <v>1369</v>
      </c>
      <c r="U1073" s="130">
        <v>0</v>
      </c>
      <c r="V1073" s="131">
        <v>14900</v>
      </c>
      <c r="W1073" s="131">
        <v>14900</v>
      </c>
      <c r="X1073" s="131">
        <v>12695</v>
      </c>
      <c r="Y1073" s="131">
        <v>2205</v>
      </c>
      <c r="Z1073" s="131">
        <v>12695</v>
      </c>
      <c r="AA1073" s="131">
        <v>2205</v>
      </c>
      <c r="AB1073" s="131">
        <v>12695</v>
      </c>
      <c r="AC1073" s="131">
        <v>2205</v>
      </c>
      <c r="AD1073" s="131">
        <v>0</v>
      </c>
      <c r="AE1073" s="132">
        <v>14900</v>
      </c>
    </row>
    <row r="1074" spans="1:31" x14ac:dyDescent="0.2">
      <c r="A1074" s="133">
        <v>202</v>
      </c>
      <c r="B1074" s="133" t="s">
        <v>1841</v>
      </c>
      <c r="C1074" s="133" t="s">
        <v>1199</v>
      </c>
      <c r="D1074" s="133" t="s">
        <v>1865</v>
      </c>
      <c r="E1074" s="133" t="s">
        <v>1855</v>
      </c>
      <c r="F1074" s="133" t="s">
        <v>1117</v>
      </c>
      <c r="G1074" s="133" t="s">
        <v>1202</v>
      </c>
      <c r="H1074" s="133" t="s">
        <v>1216</v>
      </c>
      <c r="I1074" s="133" t="s">
        <v>1242</v>
      </c>
      <c r="J1074" s="133" t="s">
        <v>1243</v>
      </c>
      <c r="K1074" s="130" t="s">
        <v>1244</v>
      </c>
      <c r="L1074" s="130" t="s">
        <v>1859</v>
      </c>
      <c r="M1074" s="130" t="s">
        <v>1844</v>
      </c>
      <c r="N1074" s="130" t="s">
        <v>120</v>
      </c>
      <c r="O1074" s="130" t="s">
        <v>1860</v>
      </c>
      <c r="P1074" s="130" t="s">
        <v>1866</v>
      </c>
      <c r="Q1074" s="130" t="s">
        <v>1127</v>
      </c>
      <c r="R1074" s="130" t="s">
        <v>1191</v>
      </c>
      <c r="S1074" s="130" t="s">
        <v>1157</v>
      </c>
      <c r="T1074" s="130" t="s">
        <v>1369</v>
      </c>
      <c r="U1074" s="130">
        <v>0</v>
      </c>
      <c r="V1074" s="131">
        <v>870</v>
      </c>
      <c r="W1074" s="131">
        <v>870</v>
      </c>
      <c r="X1074" s="131">
        <v>300</v>
      </c>
      <c r="Y1074" s="131">
        <v>570</v>
      </c>
      <c r="Z1074" s="131">
        <v>300</v>
      </c>
      <c r="AA1074" s="131">
        <v>570</v>
      </c>
      <c r="AB1074" s="131">
        <v>300</v>
      </c>
      <c r="AC1074" s="131">
        <v>570</v>
      </c>
      <c r="AD1074" s="131">
        <v>300</v>
      </c>
      <c r="AE1074" s="132">
        <v>570</v>
      </c>
    </row>
    <row r="1075" spans="1:31" x14ac:dyDescent="0.2">
      <c r="A1075" s="133">
        <v>202</v>
      </c>
      <c r="B1075" s="133" t="s">
        <v>1841</v>
      </c>
      <c r="C1075" s="133" t="s">
        <v>1199</v>
      </c>
      <c r="D1075" s="133" t="s">
        <v>1865</v>
      </c>
      <c r="E1075" s="133" t="s">
        <v>1855</v>
      </c>
      <c r="F1075" s="133" t="s">
        <v>1117</v>
      </c>
      <c r="G1075" s="133" t="s">
        <v>1202</v>
      </c>
      <c r="H1075" s="133" t="s">
        <v>1216</v>
      </c>
      <c r="I1075" s="130" t="s">
        <v>1222</v>
      </c>
      <c r="J1075" s="130" t="s">
        <v>1304</v>
      </c>
      <c r="K1075" s="130" t="s">
        <v>1248</v>
      </c>
      <c r="L1075" s="130" t="s">
        <v>1859</v>
      </c>
      <c r="M1075" s="130" t="s">
        <v>1844</v>
      </c>
      <c r="N1075" s="130" t="s">
        <v>120</v>
      </c>
      <c r="O1075" s="130" t="s">
        <v>1860</v>
      </c>
      <c r="P1075" s="130" t="s">
        <v>1866</v>
      </c>
      <c r="Q1075" s="130" t="s">
        <v>1127</v>
      </c>
      <c r="R1075" s="130" t="s">
        <v>1191</v>
      </c>
      <c r="S1075" s="130" t="s">
        <v>1157</v>
      </c>
      <c r="T1075" s="130" t="s">
        <v>1369</v>
      </c>
      <c r="U1075" s="130">
        <v>0</v>
      </c>
      <c r="V1075" s="131">
        <v>2700</v>
      </c>
      <c r="W1075" s="131">
        <v>2700</v>
      </c>
      <c r="X1075" s="131">
        <v>1619</v>
      </c>
      <c r="Y1075" s="131">
        <v>1081</v>
      </c>
      <c r="Z1075" s="131">
        <v>1619</v>
      </c>
      <c r="AA1075" s="131">
        <v>1081</v>
      </c>
      <c r="AB1075" s="131">
        <v>1619</v>
      </c>
      <c r="AC1075" s="131">
        <v>1081</v>
      </c>
      <c r="AD1075" s="131">
        <v>1619</v>
      </c>
      <c r="AE1075" s="132">
        <v>1081</v>
      </c>
    </row>
    <row r="1076" spans="1:31" x14ac:dyDescent="0.2">
      <c r="A1076" s="133">
        <v>202</v>
      </c>
      <c r="B1076" s="133" t="s">
        <v>1841</v>
      </c>
      <c r="C1076" s="133" t="s">
        <v>1199</v>
      </c>
      <c r="D1076" s="133" t="s">
        <v>1865</v>
      </c>
      <c r="E1076" s="133" t="s">
        <v>1855</v>
      </c>
      <c r="F1076" s="133" t="s">
        <v>1117</v>
      </c>
      <c r="G1076" s="133" t="s">
        <v>1202</v>
      </c>
      <c r="H1076" s="133" t="s">
        <v>1216</v>
      </c>
      <c r="I1076" s="133" t="s">
        <v>1222</v>
      </c>
      <c r="J1076" s="133" t="s">
        <v>1304</v>
      </c>
      <c r="K1076" s="130" t="s">
        <v>1305</v>
      </c>
      <c r="L1076" s="130" t="s">
        <v>1859</v>
      </c>
      <c r="M1076" s="130" t="s">
        <v>1844</v>
      </c>
      <c r="N1076" s="130" t="s">
        <v>120</v>
      </c>
      <c r="O1076" s="130" t="s">
        <v>1860</v>
      </c>
      <c r="P1076" s="130" t="s">
        <v>1866</v>
      </c>
      <c r="Q1076" s="130" t="s">
        <v>1127</v>
      </c>
      <c r="R1076" s="130" t="s">
        <v>1191</v>
      </c>
      <c r="S1076" s="130" t="s">
        <v>1157</v>
      </c>
      <c r="T1076" s="130" t="s">
        <v>1369</v>
      </c>
      <c r="U1076" s="130">
        <v>5000</v>
      </c>
      <c r="V1076" s="131">
        <v>18300</v>
      </c>
      <c r="W1076" s="131">
        <v>23300</v>
      </c>
      <c r="X1076" s="131">
        <v>21491.599999999999</v>
      </c>
      <c r="Y1076" s="131">
        <v>1808.4000000000015</v>
      </c>
      <c r="Z1076" s="131">
        <v>21491.599999999999</v>
      </c>
      <c r="AA1076" s="131">
        <v>1808.4000000000015</v>
      </c>
      <c r="AB1076" s="131">
        <v>21491.599999999999</v>
      </c>
      <c r="AC1076" s="131">
        <v>1808.4000000000015</v>
      </c>
      <c r="AD1076" s="131">
        <v>21491.599999999999</v>
      </c>
      <c r="AE1076" s="132">
        <v>1808.4000000000015</v>
      </c>
    </row>
    <row r="1077" spans="1:31" x14ac:dyDescent="0.2">
      <c r="A1077" s="133">
        <v>202</v>
      </c>
      <c r="B1077" s="133" t="s">
        <v>1841</v>
      </c>
      <c r="C1077" s="133" t="s">
        <v>1199</v>
      </c>
      <c r="D1077" s="133" t="s">
        <v>1865</v>
      </c>
      <c r="E1077" s="133" t="s">
        <v>1855</v>
      </c>
      <c r="F1077" s="133" t="s">
        <v>1117</v>
      </c>
      <c r="G1077" s="133" t="s">
        <v>1202</v>
      </c>
      <c r="H1077" s="133" t="s">
        <v>1216</v>
      </c>
      <c r="I1077" s="133" t="s">
        <v>1222</v>
      </c>
      <c r="J1077" s="130" t="s">
        <v>1245</v>
      </c>
      <c r="K1077" s="130" t="s">
        <v>1246</v>
      </c>
      <c r="L1077" s="130" t="s">
        <v>1859</v>
      </c>
      <c r="M1077" s="130" t="s">
        <v>1844</v>
      </c>
      <c r="N1077" s="130" t="s">
        <v>120</v>
      </c>
      <c r="O1077" s="130" t="s">
        <v>1860</v>
      </c>
      <c r="P1077" s="130" t="s">
        <v>1866</v>
      </c>
      <c r="Q1077" s="130" t="s">
        <v>1127</v>
      </c>
      <c r="R1077" s="130" t="s">
        <v>1191</v>
      </c>
      <c r="S1077" s="130" t="s">
        <v>1157</v>
      </c>
      <c r="T1077" s="130" t="s">
        <v>1369</v>
      </c>
      <c r="U1077" s="130">
        <v>0</v>
      </c>
      <c r="V1077" s="131">
        <v>21082</v>
      </c>
      <c r="W1077" s="131">
        <v>21082</v>
      </c>
      <c r="X1077" s="131">
        <v>251</v>
      </c>
      <c r="Y1077" s="131">
        <v>20831</v>
      </c>
      <c r="Z1077" s="131">
        <v>251</v>
      </c>
      <c r="AA1077" s="131">
        <v>20831</v>
      </c>
      <c r="AB1077" s="131">
        <v>251</v>
      </c>
      <c r="AC1077" s="131">
        <v>20831</v>
      </c>
      <c r="AD1077" s="131">
        <v>251</v>
      </c>
      <c r="AE1077" s="132">
        <v>20831</v>
      </c>
    </row>
    <row r="1078" spans="1:31" x14ac:dyDescent="0.2">
      <c r="A1078" s="133">
        <v>202</v>
      </c>
      <c r="B1078" s="133" t="s">
        <v>1841</v>
      </c>
      <c r="C1078" s="133" t="s">
        <v>1199</v>
      </c>
      <c r="D1078" s="133" t="s">
        <v>1865</v>
      </c>
      <c r="E1078" s="133" t="s">
        <v>1855</v>
      </c>
      <c r="F1078" s="133" t="s">
        <v>1117</v>
      </c>
      <c r="G1078" s="133" t="s">
        <v>1202</v>
      </c>
      <c r="H1078" s="133" t="s">
        <v>1216</v>
      </c>
      <c r="I1078" s="133" t="s">
        <v>1222</v>
      </c>
      <c r="J1078" s="130" t="s">
        <v>1230</v>
      </c>
      <c r="K1078" s="130" t="s">
        <v>1231</v>
      </c>
      <c r="L1078" s="130" t="s">
        <v>1859</v>
      </c>
      <c r="M1078" s="130" t="s">
        <v>1844</v>
      </c>
      <c r="N1078" s="130" t="s">
        <v>120</v>
      </c>
      <c r="O1078" s="130" t="s">
        <v>1860</v>
      </c>
      <c r="P1078" s="130" t="s">
        <v>1866</v>
      </c>
      <c r="Q1078" s="130" t="s">
        <v>1127</v>
      </c>
      <c r="R1078" s="130" t="s">
        <v>1191</v>
      </c>
      <c r="S1078" s="130" t="s">
        <v>1157</v>
      </c>
      <c r="T1078" s="130" t="s">
        <v>1369</v>
      </c>
      <c r="U1078" s="130">
        <v>0</v>
      </c>
      <c r="V1078" s="131">
        <v>500</v>
      </c>
      <c r="W1078" s="131">
        <v>500</v>
      </c>
      <c r="X1078" s="131">
        <v>300</v>
      </c>
      <c r="Y1078" s="131">
        <v>200</v>
      </c>
      <c r="Z1078" s="131">
        <v>300</v>
      </c>
      <c r="AA1078" s="131">
        <v>200</v>
      </c>
      <c r="AB1078" s="131">
        <v>300</v>
      </c>
      <c r="AC1078" s="131">
        <v>200</v>
      </c>
      <c r="AD1078" s="131">
        <v>300</v>
      </c>
      <c r="AE1078" s="132">
        <v>200</v>
      </c>
    </row>
    <row r="1079" spans="1:31" x14ac:dyDescent="0.2">
      <c r="A1079" s="133">
        <v>202</v>
      </c>
      <c r="B1079" s="133" t="s">
        <v>1841</v>
      </c>
      <c r="C1079" s="133" t="s">
        <v>1199</v>
      </c>
      <c r="D1079" s="133" t="s">
        <v>1865</v>
      </c>
      <c r="E1079" s="133" t="s">
        <v>1855</v>
      </c>
      <c r="F1079" s="133" t="s">
        <v>1117</v>
      </c>
      <c r="G1079" s="133" t="s">
        <v>1202</v>
      </c>
      <c r="H1079" s="133" t="s">
        <v>1216</v>
      </c>
      <c r="I1079" s="130" t="s">
        <v>1247</v>
      </c>
      <c r="J1079" s="130" t="s">
        <v>1248</v>
      </c>
      <c r="K1079" s="130" t="s">
        <v>1249</v>
      </c>
      <c r="L1079" s="130" t="s">
        <v>1859</v>
      </c>
      <c r="M1079" s="130" t="s">
        <v>1844</v>
      </c>
      <c r="N1079" s="130" t="s">
        <v>120</v>
      </c>
      <c r="O1079" s="130" t="s">
        <v>1860</v>
      </c>
      <c r="P1079" s="130" t="s">
        <v>1866</v>
      </c>
      <c r="Q1079" s="130" t="s">
        <v>1127</v>
      </c>
      <c r="R1079" s="130" t="s">
        <v>1191</v>
      </c>
      <c r="S1079" s="130" t="s">
        <v>1157</v>
      </c>
      <c r="T1079" s="130" t="s">
        <v>1369</v>
      </c>
      <c r="U1079" s="130">
        <v>0</v>
      </c>
      <c r="V1079" s="131">
        <v>530</v>
      </c>
      <c r="W1079" s="131">
        <v>530</v>
      </c>
      <c r="X1079" s="131">
        <v>75</v>
      </c>
      <c r="Y1079" s="131">
        <v>455</v>
      </c>
      <c r="Z1079" s="131">
        <v>75</v>
      </c>
      <c r="AA1079" s="131">
        <v>455</v>
      </c>
      <c r="AB1079" s="131">
        <v>75</v>
      </c>
      <c r="AC1079" s="131">
        <v>455</v>
      </c>
      <c r="AD1079" s="131">
        <v>75</v>
      </c>
      <c r="AE1079" s="132">
        <v>455</v>
      </c>
    </row>
    <row r="1080" spans="1:31" x14ac:dyDescent="0.2">
      <c r="A1080" s="133">
        <v>202</v>
      </c>
      <c r="B1080" s="133" t="s">
        <v>1841</v>
      </c>
      <c r="C1080" s="133" t="s">
        <v>1199</v>
      </c>
      <c r="D1080" s="133" t="s">
        <v>1865</v>
      </c>
      <c r="E1080" s="133" t="s">
        <v>1855</v>
      </c>
      <c r="F1080" s="133" t="s">
        <v>1117</v>
      </c>
      <c r="G1080" s="133" t="s">
        <v>1202</v>
      </c>
      <c r="H1080" s="133" t="s">
        <v>1216</v>
      </c>
      <c r="I1080" s="133" t="s">
        <v>1247</v>
      </c>
      <c r="J1080" s="133" t="s">
        <v>1248</v>
      </c>
      <c r="K1080" s="130" t="s">
        <v>1251</v>
      </c>
      <c r="L1080" s="130" t="s">
        <v>1859</v>
      </c>
      <c r="M1080" s="130" t="s">
        <v>1844</v>
      </c>
      <c r="N1080" s="130" t="s">
        <v>120</v>
      </c>
      <c r="O1080" s="130" t="s">
        <v>1860</v>
      </c>
      <c r="P1080" s="130" t="s">
        <v>1866</v>
      </c>
      <c r="Q1080" s="130" t="s">
        <v>1127</v>
      </c>
      <c r="R1080" s="130" t="s">
        <v>1191</v>
      </c>
      <c r="S1080" s="130" t="s">
        <v>1157</v>
      </c>
      <c r="T1080" s="130" t="s">
        <v>1369</v>
      </c>
      <c r="U1080" s="130">
        <v>0</v>
      </c>
      <c r="V1080" s="131">
        <v>500</v>
      </c>
      <c r="W1080" s="131">
        <v>500</v>
      </c>
      <c r="X1080" s="131">
        <v>46</v>
      </c>
      <c r="Y1080" s="131">
        <v>454</v>
      </c>
      <c r="Z1080" s="131">
        <v>46</v>
      </c>
      <c r="AA1080" s="131">
        <v>454</v>
      </c>
      <c r="AB1080" s="131">
        <v>46</v>
      </c>
      <c r="AC1080" s="131">
        <v>454</v>
      </c>
      <c r="AD1080" s="131">
        <v>46</v>
      </c>
      <c r="AE1080" s="132">
        <v>454</v>
      </c>
    </row>
    <row r="1081" spans="1:31" x14ac:dyDescent="0.2">
      <c r="A1081" s="133">
        <v>202</v>
      </c>
      <c r="B1081" s="133" t="s">
        <v>1841</v>
      </c>
      <c r="C1081" s="133" t="s">
        <v>1199</v>
      </c>
      <c r="D1081" s="133" t="s">
        <v>1865</v>
      </c>
      <c r="E1081" s="133" t="s">
        <v>1855</v>
      </c>
      <c r="F1081" s="133" t="s">
        <v>1117</v>
      </c>
      <c r="G1081" s="133" t="s">
        <v>1202</v>
      </c>
      <c r="H1081" s="133" t="s">
        <v>1216</v>
      </c>
      <c r="I1081" s="130" t="s">
        <v>1523</v>
      </c>
      <c r="J1081" s="130" t="s">
        <v>1524</v>
      </c>
      <c r="K1081" s="130" t="s">
        <v>1524</v>
      </c>
      <c r="L1081" s="130" t="s">
        <v>1859</v>
      </c>
      <c r="M1081" s="130" t="s">
        <v>1844</v>
      </c>
      <c r="N1081" s="130" t="s">
        <v>120</v>
      </c>
      <c r="O1081" s="130" t="s">
        <v>1860</v>
      </c>
      <c r="P1081" s="130" t="s">
        <v>1866</v>
      </c>
      <c r="Q1081" s="130" t="s">
        <v>1127</v>
      </c>
      <c r="R1081" s="130" t="s">
        <v>1191</v>
      </c>
      <c r="S1081" s="130" t="s">
        <v>1157</v>
      </c>
      <c r="T1081" s="130" t="s">
        <v>1369</v>
      </c>
      <c r="U1081" s="130">
        <v>0</v>
      </c>
      <c r="V1081" s="131">
        <v>1070</v>
      </c>
      <c r="W1081" s="131">
        <v>1070</v>
      </c>
      <c r="X1081" s="131">
        <v>293</v>
      </c>
      <c r="Y1081" s="131">
        <v>777</v>
      </c>
      <c r="Z1081" s="131">
        <v>293</v>
      </c>
      <c r="AA1081" s="131">
        <v>777</v>
      </c>
      <c r="AB1081" s="131">
        <v>293</v>
      </c>
      <c r="AC1081" s="131">
        <v>777</v>
      </c>
      <c r="AD1081" s="131">
        <v>293</v>
      </c>
      <c r="AE1081" s="132">
        <v>777</v>
      </c>
    </row>
    <row r="1082" spans="1:31" x14ac:dyDescent="0.2">
      <c r="A1082" s="133">
        <v>202</v>
      </c>
      <c r="B1082" s="133" t="s">
        <v>1841</v>
      </c>
      <c r="C1082" s="133" t="s">
        <v>1199</v>
      </c>
      <c r="D1082" s="133" t="s">
        <v>1865</v>
      </c>
      <c r="E1082" s="133" t="s">
        <v>1855</v>
      </c>
      <c r="F1082" s="133" t="s">
        <v>1117</v>
      </c>
      <c r="G1082" s="133" t="s">
        <v>1202</v>
      </c>
      <c r="H1082" s="133" t="s">
        <v>1216</v>
      </c>
      <c r="I1082" s="130" t="s">
        <v>1578</v>
      </c>
      <c r="J1082" s="130" t="s">
        <v>1579</v>
      </c>
      <c r="K1082" s="130" t="s">
        <v>1872</v>
      </c>
      <c r="L1082" s="130" t="s">
        <v>1859</v>
      </c>
      <c r="M1082" s="130" t="s">
        <v>1844</v>
      </c>
      <c r="N1082" s="130" t="s">
        <v>120</v>
      </c>
      <c r="O1082" s="130" t="s">
        <v>1860</v>
      </c>
      <c r="P1082" s="130" t="s">
        <v>1866</v>
      </c>
      <c r="Q1082" s="130" t="s">
        <v>1127</v>
      </c>
      <c r="R1082" s="130" t="s">
        <v>1191</v>
      </c>
      <c r="S1082" s="130" t="s">
        <v>1157</v>
      </c>
      <c r="T1082" s="130" t="s">
        <v>1369</v>
      </c>
      <c r="U1082" s="130">
        <v>0</v>
      </c>
      <c r="V1082" s="131">
        <v>285</v>
      </c>
      <c r="W1082" s="131">
        <v>285</v>
      </c>
      <c r="X1082" s="131">
        <v>285</v>
      </c>
      <c r="Y1082" s="131">
        <v>0</v>
      </c>
      <c r="Z1082" s="131">
        <v>285</v>
      </c>
      <c r="AA1082" s="131">
        <v>0</v>
      </c>
      <c r="AB1082" s="131">
        <v>285</v>
      </c>
      <c r="AC1082" s="131">
        <v>0</v>
      </c>
      <c r="AD1082" s="131">
        <v>285</v>
      </c>
      <c r="AE1082" s="132">
        <v>0</v>
      </c>
    </row>
    <row r="1083" spans="1:31" x14ac:dyDescent="0.2">
      <c r="A1083" s="133">
        <v>202</v>
      </c>
      <c r="B1083" s="133" t="s">
        <v>1841</v>
      </c>
      <c r="C1083" s="133" t="s">
        <v>1199</v>
      </c>
      <c r="D1083" s="133" t="s">
        <v>1865</v>
      </c>
      <c r="E1083" s="133" t="s">
        <v>1855</v>
      </c>
      <c r="F1083" s="133" t="s">
        <v>1117</v>
      </c>
      <c r="G1083" s="133" t="s">
        <v>1202</v>
      </c>
      <c r="H1083" s="133" t="s">
        <v>1216</v>
      </c>
      <c r="I1083" s="130" t="s">
        <v>1252</v>
      </c>
      <c r="J1083" s="130" t="s">
        <v>1253</v>
      </c>
      <c r="K1083" s="130" t="s">
        <v>1254</v>
      </c>
      <c r="L1083" s="130" t="s">
        <v>1859</v>
      </c>
      <c r="M1083" s="130" t="s">
        <v>1844</v>
      </c>
      <c r="N1083" s="130" t="s">
        <v>120</v>
      </c>
      <c r="O1083" s="130" t="s">
        <v>1860</v>
      </c>
      <c r="P1083" s="130" t="s">
        <v>1866</v>
      </c>
      <c r="Q1083" s="130" t="s">
        <v>1127</v>
      </c>
      <c r="R1083" s="130" t="s">
        <v>1191</v>
      </c>
      <c r="S1083" s="130" t="s">
        <v>1157</v>
      </c>
      <c r="T1083" s="130" t="s">
        <v>1369</v>
      </c>
      <c r="U1083" s="130">
        <v>0</v>
      </c>
      <c r="V1083" s="131">
        <v>43700</v>
      </c>
      <c r="W1083" s="131">
        <v>43700</v>
      </c>
      <c r="X1083" s="131">
        <v>33470</v>
      </c>
      <c r="Y1083" s="131">
        <v>10230</v>
      </c>
      <c r="Z1083" s="131">
        <v>33470</v>
      </c>
      <c r="AA1083" s="131">
        <v>10230</v>
      </c>
      <c r="AB1083" s="131">
        <v>33470</v>
      </c>
      <c r="AC1083" s="131">
        <v>10230</v>
      </c>
      <c r="AD1083" s="131">
        <v>33470</v>
      </c>
      <c r="AE1083" s="132">
        <v>10230</v>
      </c>
    </row>
    <row r="1084" spans="1:31" x14ac:dyDescent="0.2">
      <c r="A1084" s="133">
        <v>202</v>
      </c>
      <c r="B1084" s="133" t="s">
        <v>1841</v>
      </c>
      <c r="C1084" s="133" t="s">
        <v>1199</v>
      </c>
      <c r="D1084" s="133" t="s">
        <v>1865</v>
      </c>
      <c r="E1084" s="133" t="s">
        <v>1855</v>
      </c>
      <c r="F1084" s="133" t="s">
        <v>1117</v>
      </c>
      <c r="G1084" s="133" t="s">
        <v>1202</v>
      </c>
      <c r="H1084" s="130" t="s">
        <v>1203</v>
      </c>
      <c r="I1084" s="130" t="s">
        <v>1204</v>
      </c>
      <c r="J1084" s="130" t="s">
        <v>1205</v>
      </c>
      <c r="K1084" s="130" t="s">
        <v>1255</v>
      </c>
      <c r="L1084" s="130" t="s">
        <v>1859</v>
      </c>
      <c r="M1084" s="130" t="s">
        <v>1844</v>
      </c>
      <c r="N1084" s="130" t="s">
        <v>120</v>
      </c>
      <c r="O1084" s="130" t="s">
        <v>1860</v>
      </c>
      <c r="P1084" s="130" t="s">
        <v>1866</v>
      </c>
      <c r="Q1084" s="130" t="s">
        <v>1127</v>
      </c>
      <c r="R1084" s="130" t="s">
        <v>1191</v>
      </c>
      <c r="S1084" s="130" t="s">
        <v>1157</v>
      </c>
      <c r="T1084" s="130" t="s">
        <v>1369</v>
      </c>
      <c r="U1084" s="130">
        <v>1200</v>
      </c>
      <c r="V1084" s="131">
        <v>0</v>
      </c>
      <c r="W1084" s="131">
        <v>1200</v>
      </c>
      <c r="X1084" s="131">
        <v>12</v>
      </c>
      <c r="Y1084" s="131">
        <v>1188</v>
      </c>
      <c r="Z1084" s="131">
        <v>12</v>
      </c>
      <c r="AA1084" s="131">
        <v>1188</v>
      </c>
      <c r="AB1084" s="131">
        <v>12</v>
      </c>
      <c r="AC1084" s="131">
        <v>1188</v>
      </c>
      <c r="AD1084" s="131">
        <v>12</v>
      </c>
      <c r="AE1084" s="132">
        <v>1188</v>
      </c>
    </row>
    <row r="1085" spans="1:31" x14ac:dyDescent="0.2">
      <c r="A1085" s="133">
        <v>202</v>
      </c>
      <c r="B1085" s="133" t="s">
        <v>1841</v>
      </c>
      <c r="C1085" s="133" t="s">
        <v>1199</v>
      </c>
      <c r="D1085" s="133" t="s">
        <v>1865</v>
      </c>
      <c r="E1085" s="133" t="s">
        <v>1855</v>
      </c>
      <c r="F1085" s="133" t="s">
        <v>1117</v>
      </c>
      <c r="G1085" s="133" t="s">
        <v>1202</v>
      </c>
      <c r="H1085" s="133" t="s">
        <v>1203</v>
      </c>
      <c r="I1085" s="133" t="s">
        <v>1204</v>
      </c>
      <c r="J1085" s="133" t="s">
        <v>1205</v>
      </c>
      <c r="K1085" s="130" t="s">
        <v>1256</v>
      </c>
      <c r="L1085" s="130" t="s">
        <v>1859</v>
      </c>
      <c r="M1085" s="130" t="s">
        <v>1844</v>
      </c>
      <c r="N1085" s="130" t="s">
        <v>120</v>
      </c>
      <c r="O1085" s="130" t="s">
        <v>1860</v>
      </c>
      <c r="P1085" s="130" t="s">
        <v>1866</v>
      </c>
      <c r="Q1085" s="130" t="s">
        <v>1127</v>
      </c>
      <c r="R1085" s="130" t="s">
        <v>1191</v>
      </c>
      <c r="S1085" s="130" t="s">
        <v>1157</v>
      </c>
      <c r="T1085" s="130" t="s">
        <v>1369</v>
      </c>
      <c r="U1085" s="130">
        <v>0</v>
      </c>
      <c r="V1085" s="131">
        <v>11000</v>
      </c>
      <c r="W1085" s="131">
        <v>11000</v>
      </c>
      <c r="X1085" s="131">
        <v>0</v>
      </c>
      <c r="Y1085" s="131">
        <v>11000</v>
      </c>
      <c r="Z1085" s="131">
        <v>0</v>
      </c>
      <c r="AA1085" s="131">
        <v>11000</v>
      </c>
      <c r="AB1085" s="131">
        <v>0</v>
      </c>
      <c r="AC1085" s="131">
        <v>11000</v>
      </c>
      <c r="AD1085" s="131">
        <v>0</v>
      </c>
      <c r="AE1085" s="132">
        <v>11000</v>
      </c>
    </row>
    <row r="1086" spans="1:31" x14ac:dyDescent="0.2">
      <c r="A1086" s="133">
        <v>202</v>
      </c>
      <c r="B1086" s="133" t="s">
        <v>1841</v>
      </c>
      <c r="C1086" s="133" t="s">
        <v>1199</v>
      </c>
      <c r="D1086" s="133" t="s">
        <v>1865</v>
      </c>
      <c r="E1086" s="133" t="s">
        <v>1855</v>
      </c>
      <c r="F1086" s="133" t="s">
        <v>1117</v>
      </c>
      <c r="G1086" s="133" t="s">
        <v>1202</v>
      </c>
      <c r="H1086" s="133" t="s">
        <v>1203</v>
      </c>
      <c r="I1086" s="133" t="s">
        <v>1204</v>
      </c>
      <c r="J1086" s="133" t="s">
        <v>1205</v>
      </c>
      <c r="K1086" s="130" t="s">
        <v>1206</v>
      </c>
      <c r="L1086" s="130" t="s">
        <v>1859</v>
      </c>
      <c r="M1086" s="130" t="s">
        <v>1844</v>
      </c>
      <c r="N1086" s="130" t="s">
        <v>120</v>
      </c>
      <c r="O1086" s="130" t="s">
        <v>1860</v>
      </c>
      <c r="P1086" s="130" t="s">
        <v>1866</v>
      </c>
      <c r="Q1086" s="130" t="s">
        <v>1127</v>
      </c>
      <c r="R1086" s="130" t="s">
        <v>1191</v>
      </c>
      <c r="S1086" s="130" t="s">
        <v>1157</v>
      </c>
      <c r="T1086" s="130" t="s">
        <v>1369</v>
      </c>
      <c r="U1086" s="130">
        <v>0</v>
      </c>
      <c r="V1086" s="131">
        <v>500</v>
      </c>
      <c r="W1086" s="131">
        <v>500</v>
      </c>
      <c r="X1086" s="131">
        <v>229.74</v>
      </c>
      <c r="Y1086" s="131">
        <v>270.26</v>
      </c>
      <c r="Z1086" s="131">
        <v>229.74</v>
      </c>
      <c r="AA1086" s="131">
        <v>270.26</v>
      </c>
      <c r="AB1086" s="131">
        <v>229.74</v>
      </c>
      <c r="AC1086" s="131">
        <v>270.26</v>
      </c>
      <c r="AD1086" s="131">
        <v>229.74</v>
      </c>
      <c r="AE1086" s="132">
        <v>270.26</v>
      </c>
    </row>
    <row r="1087" spans="1:31" x14ac:dyDescent="0.2">
      <c r="A1087" s="133">
        <v>202</v>
      </c>
      <c r="B1087" s="133" t="s">
        <v>1841</v>
      </c>
      <c r="C1087" s="133" t="s">
        <v>1199</v>
      </c>
      <c r="D1087" s="133" t="s">
        <v>1865</v>
      </c>
      <c r="E1087" s="133" t="s">
        <v>1855</v>
      </c>
      <c r="F1087" s="133" t="s">
        <v>1117</v>
      </c>
      <c r="G1087" s="133" t="s">
        <v>1202</v>
      </c>
      <c r="H1087" s="133" t="s">
        <v>1203</v>
      </c>
      <c r="I1087" s="130" t="s">
        <v>1224</v>
      </c>
      <c r="J1087" s="130" t="s">
        <v>1306</v>
      </c>
      <c r="K1087" s="130" t="s">
        <v>1307</v>
      </c>
      <c r="L1087" s="130" t="s">
        <v>1859</v>
      </c>
      <c r="M1087" s="130" t="s">
        <v>1844</v>
      </c>
      <c r="N1087" s="130" t="s">
        <v>120</v>
      </c>
      <c r="O1087" s="130" t="s">
        <v>1860</v>
      </c>
      <c r="P1087" s="130" t="s">
        <v>1866</v>
      </c>
      <c r="Q1087" s="130" t="s">
        <v>1127</v>
      </c>
      <c r="R1087" s="130" t="s">
        <v>1191</v>
      </c>
      <c r="S1087" s="130" t="s">
        <v>1157</v>
      </c>
      <c r="T1087" s="130" t="s">
        <v>1369</v>
      </c>
      <c r="U1087" s="130">
        <v>0</v>
      </c>
      <c r="V1087" s="131">
        <v>500</v>
      </c>
      <c r="W1087" s="131">
        <v>500</v>
      </c>
      <c r="X1087" s="131">
        <v>146.05000000000001</v>
      </c>
      <c r="Y1087" s="131">
        <v>353.95</v>
      </c>
      <c r="Z1087" s="131">
        <v>146.05000000000001</v>
      </c>
      <c r="AA1087" s="131">
        <v>353.95</v>
      </c>
      <c r="AB1087" s="131">
        <v>146.05000000000001</v>
      </c>
      <c r="AC1087" s="131">
        <v>353.95</v>
      </c>
      <c r="AD1087" s="131">
        <v>146.05000000000001</v>
      </c>
      <c r="AE1087" s="132">
        <v>353.95</v>
      </c>
    </row>
    <row r="1088" spans="1:31" x14ac:dyDescent="0.2">
      <c r="A1088" s="133">
        <v>202</v>
      </c>
      <c r="B1088" s="133" t="s">
        <v>1841</v>
      </c>
      <c r="C1088" s="133" t="s">
        <v>1199</v>
      </c>
      <c r="D1088" s="133" t="s">
        <v>1865</v>
      </c>
      <c r="E1088" s="133" t="s">
        <v>1855</v>
      </c>
      <c r="F1088" s="133" t="s">
        <v>1117</v>
      </c>
      <c r="G1088" s="133" t="s">
        <v>1202</v>
      </c>
      <c r="H1088" s="133" t="s">
        <v>1203</v>
      </c>
      <c r="I1088" s="133" t="s">
        <v>1224</v>
      </c>
      <c r="J1088" s="133" t="s">
        <v>1306</v>
      </c>
      <c r="K1088" s="130" t="s">
        <v>1308</v>
      </c>
      <c r="L1088" s="130" t="s">
        <v>1859</v>
      </c>
      <c r="M1088" s="130" t="s">
        <v>1844</v>
      </c>
      <c r="N1088" s="130" t="s">
        <v>120</v>
      </c>
      <c r="O1088" s="130" t="s">
        <v>1860</v>
      </c>
      <c r="P1088" s="130" t="s">
        <v>1866</v>
      </c>
      <c r="Q1088" s="130" t="s">
        <v>1127</v>
      </c>
      <c r="R1088" s="130" t="s">
        <v>1191</v>
      </c>
      <c r="S1088" s="130" t="s">
        <v>1157</v>
      </c>
      <c r="T1088" s="130" t="s">
        <v>1369</v>
      </c>
      <c r="U1088" s="130">
        <v>0</v>
      </c>
      <c r="V1088" s="131">
        <v>500</v>
      </c>
      <c r="W1088" s="131">
        <v>500</v>
      </c>
      <c r="X1088" s="131">
        <v>132</v>
      </c>
      <c r="Y1088" s="131">
        <v>368</v>
      </c>
      <c r="Z1088" s="131">
        <v>132</v>
      </c>
      <c r="AA1088" s="131">
        <v>368</v>
      </c>
      <c r="AB1088" s="131">
        <v>132</v>
      </c>
      <c r="AC1088" s="131">
        <v>368</v>
      </c>
      <c r="AD1088" s="131">
        <v>132</v>
      </c>
      <c r="AE1088" s="132">
        <v>368</v>
      </c>
    </row>
    <row r="1089" spans="1:31" x14ac:dyDescent="0.2">
      <c r="A1089" s="133">
        <v>202</v>
      </c>
      <c r="B1089" s="133" t="s">
        <v>1841</v>
      </c>
      <c r="C1089" s="133" t="s">
        <v>1199</v>
      </c>
      <c r="D1089" s="133" t="s">
        <v>1865</v>
      </c>
      <c r="E1089" s="133" t="s">
        <v>1855</v>
      </c>
      <c r="F1089" s="133" t="s">
        <v>1117</v>
      </c>
      <c r="G1089" s="133" t="s">
        <v>1202</v>
      </c>
      <c r="H1089" s="133" t="s">
        <v>1203</v>
      </c>
      <c r="I1089" s="133" t="s">
        <v>1224</v>
      </c>
      <c r="J1089" s="130" t="s">
        <v>1853</v>
      </c>
      <c r="K1089" s="130" t="s">
        <v>1854</v>
      </c>
      <c r="L1089" s="130" t="s">
        <v>1859</v>
      </c>
      <c r="M1089" s="130" t="s">
        <v>1844</v>
      </c>
      <c r="N1089" s="130" t="s">
        <v>120</v>
      </c>
      <c r="O1089" s="130" t="s">
        <v>1860</v>
      </c>
      <c r="P1089" s="130" t="s">
        <v>1866</v>
      </c>
      <c r="Q1089" s="130" t="s">
        <v>1127</v>
      </c>
      <c r="R1089" s="130" t="s">
        <v>1191</v>
      </c>
      <c r="S1089" s="130" t="s">
        <v>1157</v>
      </c>
      <c r="T1089" s="130" t="s">
        <v>1369</v>
      </c>
      <c r="U1089" s="130">
        <v>0</v>
      </c>
      <c r="V1089" s="131">
        <v>5800</v>
      </c>
      <c r="W1089" s="131">
        <v>5800</v>
      </c>
      <c r="X1089" s="131">
        <v>5799.94</v>
      </c>
      <c r="Y1089" s="131">
        <v>6.0000000000400178E-2</v>
      </c>
      <c r="Z1089" s="131">
        <v>0</v>
      </c>
      <c r="AA1089" s="131">
        <v>5800</v>
      </c>
      <c r="AB1089" s="131">
        <v>0</v>
      </c>
      <c r="AC1089" s="131">
        <v>5800</v>
      </c>
      <c r="AD1089" s="131">
        <v>0</v>
      </c>
      <c r="AE1089" s="132">
        <v>5800</v>
      </c>
    </row>
    <row r="1090" spans="1:31" x14ac:dyDescent="0.2">
      <c r="A1090" s="133">
        <v>202</v>
      </c>
      <c r="B1090" s="133" t="s">
        <v>1841</v>
      </c>
      <c r="C1090" s="133" t="s">
        <v>1199</v>
      </c>
      <c r="D1090" s="133" t="s">
        <v>1865</v>
      </c>
      <c r="E1090" s="133" t="s">
        <v>1855</v>
      </c>
      <c r="F1090" s="133" t="s">
        <v>1117</v>
      </c>
      <c r="G1090" s="133" t="s">
        <v>1202</v>
      </c>
      <c r="H1090" s="133" t="s">
        <v>1203</v>
      </c>
      <c r="I1090" s="130" t="s">
        <v>1264</v>
      </c>
      <c r="J1090" s="130" t="s">
        <v>1265</v>
      </c>
      <c r="K1090" s="130" t="s">
        <v>1266</v>
      </c>
      <c r="L1090" s="130" t="s">
        <v>1859</v>
      </c>
      <c r="M1090" s="130" t="s">
        <v>1844</v>
      </c>
      <c r="N1090" s="130" t="s">
        <v>120</v>
      </c>
      <c r="O1090" s="130" t="s">
        <v>1860</v>
      </c>
      <c r="P1090" s="130" t="s">
        <v>1866</v>
      </c>
      <c r="Q1090" s="130" t="s">
        <v>1127</v>
      </c>
      <c r="R1090" s="130" t="s">
        <v>1191</v>
      </c>
      <c r="S1090" s="130" t="s">
        <v>1157</v>
      </c>
      <c r="T1090" s="130" t="s">
        <v>1369</v>
      </c>
      <c r="U1090" s="130">
        <v>0</v>
      </c>
      <c r="V1090" s="131">
        <v>43000</v>
      </c>
      <c r="W1090" s="131">
        <v>43000</v>
      </c>
      <c r="X1090" s="131">
        <v>0</v>
      </c>
      <c r="Y1090" s="131">
        <v>43000</v>
      </c>
      <c r="Z1090" s="131">
        <v>0</v>
      </c>
      <c r="AA1090" s="131">
        <v>43000</v>
      </c>
      <c r="AB1090" s="131">
        <v>0</v>
      </c>
      <c r="AC1090" s="131">
        <v>43000</v>
      </c>
      <c r="AD1090" s="131">
        <v>0</v>
      </c>
      <c r="AE1090" s="132">
        <v>43000</v>
      </c>
    </row>
    <row r="1091" spans="1:31" x14ac:dyDescent="0.2">
      <c r="A1091" s="133">
        <v>202</v>
      </c>
      <c r="B1091" s="133" t="s">
        <v>1841</v>
      </c>
      <c r="C1091" s="133" t="s">
        <v>1199</v>
      </c>
      <c r="D1091" s="133" t="s">
        <v>1865</v>
      </c>
      <c r="E1091" s="133" t="s">
        <v>1855</v>
      </c>
      <c r="F1091" s="133" t="s">
        <v>1117</v>
      </c>
      <c r="G1091" s="133" t="s">
        <v>1202</v>
      </c>
      <c r="H1091" s="133" t="s">
        <v>1203</v>
      </c>
      <c r="I1091" s="133" t="s">
        <v>1264</v>
      </c>
      <c r="J1091" s="130" t="s">
        <v>1532</v>
      </c>
      <c r="K1091" s="130" t="s">
        <v>1249</v>
      </c>
      <c r="L1091" s="130" t="s">
        <v>1859</v>
      </c>
      <c r="M1091" s="130" t="s">
        <v>1844</v>
      </c>
      <c r="N1091" s="130" t="s">
        <v>120</v>
      </c>
      <c r="O1091" s="130" t="s">
        <v>1860</v>
      </c>
      <c r="P1091" s="130" t="s">
        <v>1866</v>
      </c>
      <c r="Q1091" s="130" t="s">
        <v>1127</v>
      </c>
      <c r="R1091" s="130" t="s">
        <v>1191</v>
      </c>
      <c r="S1091" s="130" t="s">
        <v>1157</v>
      </c>
      <c r="T1091" s="130" t="s">
        <v>1369</v>
      </c>
      <c r="U1091" s="130">
        <v>0</v>
      </c>
      <c r="V1091" s="131">
        <v>52</v>
      </c>
      <c r="W1091" s="131">
        <v>52</v>
      </c>
      <c r="X1091" s="131">
        <v>52</v>
      </c>
      <c r="Y1091" s="131">
        <v>0</v>
      </c>
      <c r="Z1091" s="131">
        <v>52</v>
      </c>
      <c r="AA1091" s="131">
        <v>0</v>
      </c>
      <c r="AB1091" s="131">
        <v>52</v>
      </c>
      <c r="AC1091" s="131">
        <v>0</v>
      </c>
      <c r="AD1091" s="131">
        <v>52</v>
      </c>
      <c r="AE1091" s="132">
        <v>0</v>
      </c>
    </row>
    <row r="1092" spans="1:31" x14ac:dyDescent="0.2">
      <c r="A1092" s="133">
        <v>202</v>
      </c>
      <c r="B1092" s="133" t="s">
        <v>1841</v>
      </c>
      <c r="C1092" s="133" t="s">
        <v>1199</v>
      </c>
      <c r="D1092" s="133" t="s">
        <v>1865</v>
      </c>
      <c r="E1092" s="133" t="s">
        <v>1855</v>
      </c>
      <c r="F1092" s="133" t="s">
        <v>1117</v>
      </c>
      <c r="G1092" s="133" t="s">
        <v>1202</v>
      </c>
      <c r="H1092" s="133" t="s">
        <v>1203</v>
      </c>
      <c r="I1092" s="130" t="s">
        <v>1315</v>
      </c>
      <c r="J1092" s="130" t="s">
        <v>1316</v>
      </c>
      <c r="K1092" s="130" t="s">
        <v>1533</v>
      </c>
      <c r="L1092" s="130" t="s">
        <v>1859</v>
      </c>
      <c r="M1092" s="130" t="s">
        <v>1844</v>
      </c>
      <c r="N1092" s="130" t="s">
        <v>120</v>
      </c>
      <c r="O1092" s="130" t="s">
        <v>1860</v>
      </c>
      <c r="P1092" s="130" t="s">
        <v>1866</v>
      </c>
      <c r="Q1092" s="130" t="s">
        <v>1127</v>
      </c>
      <c r="R1092" s="130" t="s">
        <v>1191</v>
      </c>
      <c r="S1092" s="130" t="s">
        <v>1157</v>
      </c>
      <c r="T1092" s="130" t="s">
        <v>1369</v>
      </c>
      <c r="U1092" s="130">
        <v>0</v>
      </c>
      <c r="V1092" s="131">
        <v>1200</v>
      </c>
      <c r="W1092" s="131">
        <v>1200</v>
      </c>
      <c r="X1092" s="131">
        <v>1200</v>
      </c>
      <c r="Y1092" s="131">
        <v>0</v>
      </c>
      <c r="Z1092" s="131">
        <v>1200</v>
      </c>
      <c r="AA1092" s="131">
        <v>0</v>
      </c>
      <c r="AB1092" s="131">
        <v>1200</v>
      </c>
      <c r="AC1092" s="131">
        <v>0</v>
      </c>
      <c r="AD1092" s="131">
        <v>1200</v>
      </c>
      <c r="AE1092" s="132">
        <v>0</v>
      </c>
    </row>
    <row r="1093" spans="1:31" x14ac:dyDescent="0.2">
      <c r="A1093" s="133">
        <v>202</v>
      </c>
      <c r="B1093" s="133" t="s">
        <v>1841</v>
      </c>
      <c r="C1093" s="133" t="s">
        <v>1199</v>
      </c>
      <c r="D1093" s="133" t="s">
        <v>1865</v>
      </c>
      <c r="E1093" s="133" t="s">
        <v>1855</v>
      </c>
      <c r="F1093" s="133" t="s">
        <v>1117</v>
      </c>
      <c r="G1093" s="133" t="s">
        <v>1202</v>
      </c>
      <c r="H1093" s="133" t="s">
        <v>1203</v>
      </c>
      <c r="I1093" s="133" t="s">
        <v>1315</v>
      </c>
      <c r="J1093" s="133" t="s">
        <v>1316</v>
      </c>
      <c r="K1093" s="130" t="s">
        <v>1888</v>
      </c>
      <c r="L1093" s="130" t="s">
        <v>1859</v>
      </c>
      <c r="M1093" s="130" t="s">
        <v>1844</v>
      </c>
      <c r="N1093" s="130" t="s">
        <v>120</v>
      </c>
      <c r="O1093" s="130" t="s">
        <v>1860</v>
      </c>
      <c r="P1093" s="130" t="s">
        <v>1866</v>
      </c>
      <c r="Q1093" s="130" t="s">
        <v>1127</v>
      </c>
      <c r="R1093" s="130" t="s">
        <v>1191</v>
      </c>
      <c r="S1093" s="130" t="s">
        <v>1157</v>
      </c>
      <c r="T1093" s="130" t="s">
        <v>1369</v>
      </c>
      <c r="U1093" s="130">
        <v>0</v>
      </c>
      <c r="V1093" s="131">
        <v>1200</v>
      </c>
      <c r="W1093" s="131">
        <v>1200</v>
      </c>
      <c r="X1093" s="131">
        <v>1200</v>
      </c>
      <c r="Y1093" s="131">
        <v>0</v>
      </c>
      <c r="Z1093" s="131">
        <v>0</v>
      </c>
      <c r="AA1093" s="131">
        <v>1200</v>
      </c>
      <c r="AB1093" s="131">
        <v>0</v>
      </c>
      <c r="AC1093" s="131">
        <v>1200</v>
      </c>
      <c r="AD1093" s="131">
        <v>0</v>
      </c>
      <c r="AE1093" s="132">
        <v>1200</v>
      </c>
    </row>
    <row r="1094" spans="1:31" x14ac:dyDescent="0.2">
      <c r="A1094" s="133">
        <v>202</v>
      </c>
      <c r="B1094" s="133" t="s">
        <v>1841</v>
      </c>
      <c r="C1094" s="133" t="s">
        <v>1199</v>
      </c>
      <c r="D1094" s="133" t="s">
        <v>1865</v>
      </c>
      <c r="E1094" s="133" t="s">
        <v>1855</v>
      </c>
      <c r="F1094" s="133" t="s">
        <v>1117</v>
      </c>
      <c r="G1094" s="133" t="s">
        <v>1202</v>
      </c>
      <c r="H1094" s="133" t="s">
        <v>1203</v>
      </c>
      <c r="I1094" s="133" t="s">
        <v>1315</v>
      </c>
      <c r="J1094" s="133" t="s">
        <v>1316</v>
      </c>
      <c r="K1094" s="130" t="s">
        <v>1317</v>
      </c>
      <c r="L1094" s="130" t="s">
        <v>1859</v>
      </c>
      <c r="M1094" s="130" t="s">
        <v>1844</v>
      </c>
      <c r="N1094" s="130" t="s">
        <v>120</v>
      </c>
      <c r="O1094" s="130" t="s">
        <v>1860</v>
      </c>
      <c r="P1094" s="130" t="s">
        <v>1866</v>
      </c>
      <c r="Q1094" s="130" t="s">
        <v>1127</v>
      </c>
      <c r="R1094" s="130" t="s">
        <v>1191</v>
      </c>
      <c r="S1094" s="130" t="s">
        <v>1157</v>
      </c>
      <c r="T1094" s="130" t="s">
        <v>1369</v>
      </c>
      <c r="U1094" s="130">
        <v>0</v>
      </c>
      <c r="V1094" s="131">
        <v>1300</v>
      </c>
      <c r="W1094" s="131">
        <v>1300</v>
      </c>
      <c r="X1094" s="131">
        <v>1300</v>
      </c>
      <c r="Y1094" s="131">
        <v>0</v>
      </c>
      <c r="Z1094" s="131">
        <v>1300</v>
      </c>
      <c r="AA1094" s="131">
        <v>0</v>
      </c>
      <c r="AB1094" s="131">
        <v>1300</v>
      </c>
      <c r="AC1094" s="131">
        <v>0</v>
      </c>
      <c r="AD1094" s="131">
        <v>1300</v>
      </c>
      <c r="AE1094" s="132">
        <v>0</v>
      </c>
    </row>
    <row r="1095" spans="1:31" x14ac:dyDescent="0.2">
      <c r="A1095" s="133">
        <v>202</v>
      </c>
      <c r="B1095" s="133" t="s">
        <v>1841</v>
      </c>
      <c r="C1095" s="133" t="s">
        <v>1199</v>
      </c>
      <c r="D1095" s="133" t="s">
        <v>1865</v>
      </c>
      <c r="E1095" s="133" t="s">
        <v>1855</v>
      </c>
      <c r="F1095" s="133" t="s">
        <v>1117</v>
      </c>
      <c r="G1095" s="133" t="s">
        <v>1202</v>
      </c>
      <c r="H1095" s="133" t="s">
        <v>1203</v>
      </c>
      <c r="I1095" s="130" t="s">
        <v>1269</v>
      </c>
      <c r="J1095" s="130" t="s">
        <v>1534</v>
      </c>
      <c r="K1095" s="130" t="s">
        <v>1856</v>
      </c>
      <c r="L1095" s="130" t="s">
        <v>1859</v>
      </c>
      <c r="M1095" s="130" t="s">
        <v>1844</v>
      </c>
      <c r="N1095" s="130" t="s">
        <v>120</v>
      </c>
      <c r="O1095" s="130" t="s">
        <v>1860</v>
      </c>
      <c r="P1095" s="130" t="s">
        <v>1866</v>
      </c>
      <c r="Q1095" s="130" t="s">
        <v>1127</v>
      </c>
      <c r="R1095" s="130" t="s">
        <v>1191</v>
      </c>
      <c r="S1095" s="130" t="s">
        <v>1157</v>
      </c>
      <c r="T1095" s="130" t="s">
        <v>1369</v>
      </c>
      <c r="U1095" s="130">
        <v>0</v>
      </c>
      <c r="V1095" s="131">
        <v>400</v>
      </c>
      <c r="W1095" s="131">
        <v>400</v>
      </c>
      <c r="X1095" s="131">
        <v>33</v>
      </c>
      <c r="Y1095" s="131">
        <v>367</v>
      </c>
      <c r="Z1095" s="131">
        <v>33</v>
      </c>
      <c r="AA1095" s="131">
        <v>367</v>
      </c>
      <c r="AB1095" s="131">
        <v>33</v>
      </c>
      <c r="AC1095" s="131">
        <v>367</v>
      </c>
      <c r="AD1095" s="131">
        <v>33</v>
      </c>
      <c r="AE1095" s="132">
        <v>367</v>
      </c>
    </row>
    <row r="1096" spans="1:31" x14ac:dyDescent="0.2">
      <c r="A1096" s="133">
        <v>202</v>
      </c>
      <c r="B1096" s="133" t="s">
        <v>1841</v>
      </c>
      <c r="C1096" s="133" t="s">
        <v>1199</v>
      </c>
      <c r="D1096" s="133" t="s">
        <v>1865</v>
      </c>
      <c r="E1096" s="133" t="s">
        <v>1855</v>
      </c>
      <c r="F1096" s="133" t="s">
        <v>1117</v>
      </c>
      <c r="G1096" s="133" t="s">
        <v>1202</v>
      </c>
      <c r="H1096" s="133" t="s">
        <v>1203</v>
      </c>
      <c r="I1096" s="133" t="s">
        <v>1269</v>
      </c>
      <c r="J1096" s="133" t="s">
        <v>1534</v>
      </c>
      <c r="K1096" s="130" t="s">
        <v>1535</v>
      </c>
      <c r="L1096" s="130" t="s">
        <v>1859</v>
      </c>
      <c r="M1096" s="130" t="s">
        <v>1844</v>
      </c>
      <c r="N1096" s="130" t="s">
        <v>120</v>
      </c>
      <c r="O1096" s="130" t="s">
        <v>1860</v>
      </c>
      <c r="P1096" s="130" t="s">
        <v>1866</v>
      </c>
      <c r="Q1096" s="130" t="s">
        <v>1127</v>
      </c>
      <c r="R1096" s="130" t="s">
        <v>1191</v>
      </c>
      <c r="S1096" s="130" t="s">
        <v>1157</v>
      </c>
      <c r="T1096" s="130" t="s">
        <v>1369</v>
      </c>
      <c r="U1096" s="130">
        <v>0</v>
      </c>
      <c r="V1096" s="131">
        <v>2000</v>
      </c>
      <c r="W1096" s="131">
        <v>2000</v>
      </c>
      <c r="X1096" s="131">
        <v>855</v>
      </c>
      <c r="Y1096" s="131">
        <v>1145</v>
      </c>
      <c r="Z1096" s="131">
        <v>855</v>
      </c>
      <c r="AA1096" s="131">
        <v>1145</v>
      </c>
      <c r="AB1096" s="131">
        <v>855</v>
      </c>
      <c r="AC1096" s="131">
        <v>1145</v>
      </c>
      <c r="AD1096" s="131">
        <v>855</v>
      </c>
      <c r="AE1096" s="132">
        <v>1145</v>
      </c>
    </row>
    <row r="1097" spans="1:31" x14ac:dyDescent="0.2">
      <c r="A1097" s="133">
        <v>202</v>
      </c>
      <c r="B1097" s="133" t="s">
        <v>1841</v>
      </c>
      <c r="C1097" s="133" t="s">
        <v>1199</v>
      </c>
      <c r="D1097" s="133" t="s">
        <v>1865</v>
      </c>
      <c r="E1097" s="133" t="s">
        <v>1855</v>
      </c>
      <c r="F1097" s="133" t="s">
        <v>1117</v>
      </c>
      <c r="G1097" s="133" t="s">
        <v>1202</v>
      </c>
      <c r="H1097" s="133" t="s">
        <v>1203</v>
      </c>
      <c r="I1097" s="130" t="s">
        <v>1209</v>
      </c>
      <c r="J1097" s="130" t="s">
        <v>1873</v>
      </c>
      <c r="K1097" s="130" t="s">
        <v>1874</v>
      </c>
      <c r="L1097" s="130" t="s">
        <v>1859</v>
      </c>
      <c r="M1097" s="130" t="s">
        <v>1844</v>
      </c>
      <c r="N1097" s="130" t="s">
        <v>120</v>
      </c>
      <c r="O1097" s="130" t="s">
        <v>1860</v>
      </c>
      <c r="P1097" s="130" t="s">
        <v>1866</v>
      </c>
      <c r="Q1097" s="130" t="s">
        <v>1127</v>
      </c>
      <c r="R1097" s="130" t="s">
        <v>1191</v>
      </c>
      <c r="S1097" s="130" t="s">
        <v>1157</v>
      </c>
      <c r="T1097" s="130" t="s">
        <v>1369</v>
      </c>
      <c r="U1097" s="130">
        <v>0</v>
      </c>
      <c r="V1097" s="131">
        <v>1400</v>
      </c>
      <c r="W1097" s="131">
        <v>1400</v>
      </c>
      <c r="X1097" s="131">
        <v>1400</v>
      </c>
      <c r="Y1097" s="131">
        <v>0</v>
      </c>
      <c r="Z1097" s="131">
        <v>1400</v>
      </c>
      <c r="AA1097" s="131">
        <v>0</v>
      </c>
      <c r="AB1097" s="131">
        <v>1400</v>
      </c>
      <c r="AC1097" s="131">
        <v>0</v>
      </c>
      <c r="AD1097" s="131">
        <v>1400</v>
      </c>
      <c r="AE1097" s="132">
        <v>0</v>
      </c>
    </row>
    <row r="1098" spans="1:31" x14ac:dyDescent="0.2">
      <c r="A1098" s="133">
        <v>202</v>
      </c>
      <c r="B1098" s="133" t="s">
        <v>1841</v>
      </c>
      <c r="C1098" s="133" t="s">
        <v>1199</v>
      </c>
      <c r="D1098" s="133" t="s">
        <v>1865</v>
      </c>
      <c r="E1098" s="133" t="s">
        <v>1855</v>
      </c>
      <c r="F1098" s="133" t="s">
        <v>1117</v>
      </c>
      <c r="G1098" s="133" t="s">
        <v>1202</v>
      </c>
      <c r="H1098" s="133" t="s">
        <v>1203</v>
      </c>
      <c r="I1098" s="133" t="s">
        <v>1209</v>
      </c>
      <c r="J1098" s="130" t="s">
        <v>1210</v>
      </c>
      <c r="K1098" s="130" t="s">
        <v>1889</v>
      </c>
      <c r="L1098" s="130" t="s">
        <v>1859</v>
      </c>
      <c r="M1098" s="130" t="s">
        <v>1844</v>
      </c>
      <c r="N1098" s="130" t="s">
        <v>120</v>
      </c>
      <c r="O1098" s="130" t="s">
        <v>1860</v>
      </c>
      <c r="P1098" s="130" t="s">
        <v>1866</v>
      </c>
      <c r="Q1098" s="130" t="s">
        <v>1127</v>
      </c>
      <c r="R1098" s="130" t="s">
        <v>1191</v>
      </c>
      <c r="S1098" s="130" t="s">
        <v>1157</v>
      </c>
      <c r="T1098" s="130" t="s">
        <v>1369</v>
      </c>
      <c r="U1098" s="130">
        <v>0</v>
      </c>
      <c r="V1098" s="131">
        <v>500</v>
      </c>
      <c r="W1098" s="131">
        <v>500</v>
      </c>
      <c r="X1098" s="131">
        <v>150</v>
      </c>
      <c r="Y1098" s="131">
        <v>350</v>
      </c>
      <c r="Z1098" s="131">
        <v>150</v>
      </c>
      <c r="AA1098" s="131">
        <v>350</v>
      </c>
      <c r="AB1098" s="131">
        <v>150</v>
      </c>
      <c r="AC1098" s="131">
        <v>350</v>
      </c>
      <c r="AD1098" s="131">
        <v>150</v>
      </c>
      <c r="AE1098" s="132">
        <v>350</v>
      </c>
    </row>
    <row r="1099" spans="1:31" x14ac:dyDescent="0.2">
      <c r="A1099" s="133">
        <v>202</v>
      </c>
      <c r="B1099" s="133" t="s">
        <v>1841</v>
      </c>
      <c r="C1099" s="133" t="s">
        <v>1199</v>
      </c>
      <c r="D1099" s="133" t="s">
        <v>1865</v>
      </c>
      <c r="E1099" s="133" t="s">
        <v>1855</v>
      </c>
      <c r="F1099" s="133" t="s">
        <v>1117</v>
      </c>
      <c r="G1099" s="133" t="s">
        <v>1202</v>
      </c>
      <c r="H1099" s="133" t="s">
        <v>1203</v>
      </c>
      <c r="I1099" s="133" t="s">
        <v>1209</v>
      </c>
      <c r="J1099" s="133" t="s">
        <v>1210</v>
      </c>
      <c r="K1099" s="130" t="s">
        <v>1539</v>
      </c>
      <c r="L1099" s="130" t="s">
        <v>1859</v>
      </c>
      <c r="M1099" s="130" t="s">
        <v>1844</v>
      </c>
      <c r="N1099" s="130" t="s">
        <v>120</v>
      </c>
      <c r="O1099" s="130" t="s">
        <v>1860</v>
      </c>
      <c r="P1099" s="130" t="s">
        <v>1866</v>
      </c>
      <c r="Q1099" s="130" t="s">
        <v>1127</v>
      </c>
      <c r="R1099" s="130" t="s">
        <v>1191</v>
      </c>
      <c r="S1099" s="130" t="s">
        <v>1157</v>
      </c>
      <c r="T1099" s="130" t="s">
        <v>1369</v>
      </c>
      <c r="U1099" s="130">
        <v>0</v>
      </c>
      <c r="V1099" s="131">
        <v>62200</v>
      </c>
      <c r="W1099" s="131">
        <v>62200</v>
      </c>
      <c r="X1099" s="131">
        <v>23238</v>
      </c>
      <c r="Y1099" s="131">
        <v>38962</v>
      </c>
      <c r="Z1099" s="131">
        <v>23238</v>
      </c>
      <c r="AA1099" s="131">
        <v>38962</v>
      </c>
      <c r="AB1099" s="131">
        <v>23238</v>
      </c>
      <c r="AC1099" s="131">
        <v>38962</v>
      </c>
      <c r="AD1099" s="131">
        <v>23238</v>
      </c>
      <c r="AE1099" s="132">
        <v>38962</v>
      </c>
    </row>
    <row r="1100" spans="1:31" x14ac:dyDescent="0.2">
      <c r="A1100" s="133">
        <v>202</v>
      </c>
      <c r="B1100" s="133" t="s">
        <v>1841</v>
      </c>
      <c r="C1100" s="133" t="s">
        <v>1199</v>
      </c>
      <c r="D1100" s="133" t="s">
        <v>1865</v>
      </c>
      <c r="E1100" s="133" t="s">
        <v>1855</v>
      </c>
      <c r="F1100" s="133" t="s">
        <v>1117</v>
      </c>
      <c r="G1100" s="133" t="s">
        <v>1202</v>
      </c>
      <c r="H1100" s="133" t="s">
        <v>1203</v>
      </c>
      <c r="I1100" s="133" t="s">
        <v>1209</v>
      </c>
      <c r="J1100" s="133" t="s">
        <v>1210</v>
      </c>
      <c r="K1100" s="130" t="s">
        <v>1211</v>
      </c>
      <c r="L1100" s="130" t="s">
        <v>1859</v>
      </c>
      <c r="M1100" s="130" t="s">
        <v>1844</v>
      </c>
      <c r="N1100" s="130" t="s">
        <v>120</v>
      </c>
      <c r="O1100" s="130" t="s">
        <v>1860</v>
      </c>
      <c r="P1100" s="130" t="s">
        <v>1866</v>
      </c>
      <c r="Q1100" s="130" t="s">
        <v>1127</v>
      </c>
      <c r="R1100" s="130" t="s">
        <v>1191</v>
      </c>
      <c r="S1100" s="130" t="s">
        <v>1157</v>
      </c>
      <c r="T1100" s="130" t="s">
        <v>1369</v>
      </c>
      <c r="U1100" s="130">
        <v>0</v>
      </c>
      <c r="V1100" s="131">
        <v>43279</v>
      </c>
      <c r="W1100" s="131">
        <v>43279</v>
      </c>
      <c r="X1100" s="131">
        <v>42640</v>
      </c>
      <c r="Y1100" s="131">
        <v>639</v>
      </c>
      <c r="Z1100" s="131">
        <v>524</v>
      </c>
      <c r="AA1100" s="131">
        <v>42755</v>
      </c>
      <c r="AB1100" s="131">
        <v>524</v>
      </c>
      <c r="AC1100" s="131">
        <v>42755</v>
      </c>
      <c r="AD1100" s="131">
        <v>524</v>
      </c>
      <c r="AE1100" s="132">
        <v>42755</v>
      </c>
    </row>
    <row r="1101" spans="1:31" x14ac:dyDescent="0.2">
      <c r="A1101" s="133">
        <v>202</v>
      </c>
      <c r="B1101" s="133" t="s">
        <v>1841</v>
      </c>
      <c r="C1101" s="133" t="s">
        <v>1199</v>
      </c>
      <c r="D1101" s="133" t="s">
        <v>1865</v>
      </c>
      <c r="E1101" s="133" t="s">
        <v>1855</v>
      </c>
      <c r="F1101" s="133" t="s">
        <v>1117</v>
      </c>
      <c r="G1101" s="133" t="s">
        <v>1202</v>
      </c>
      <c r="H1101" s="133" t="s">
        <v>1203</v>
      </c>
      <c r="I1101" s="133" t="s">
        <v>1209</v>
      </c>
      <c r="J1101" s="133" t="s">
        <v>1210</v>
      </c>
      <c r="K1101" s="130" t="s">
        <v>1274</v>
      </c>
      <c r="L1101" s="130" t="s">
        <v>1859</v>
      </c>
      <c r="M1101" s="130" t="s">
        <v>1844</v>
      </c>
      <c r="N1101" s="130" t="s">
        <v>120</v>
      </c>
      <c r="O1101" s="130" t="s">
        <v>1860</v>
      </c>
      <c r="P1101" s="130" t="s">
        <v>1866</v>
      </c>
      <c r="Q1101" s="130" t="s">
        <v>1127</v>
      </c>
      <c r="R1101" s="130" t="s">
        <v>1191</v>
      </c>
      <c r="S1101" s="130" t="s">
        <v>1157</v>
      </c>
      <c r="T1101" s="130" t="s">
        <v>1369</v>
      </c>
      <c r="U1101" s="130">
        <v>0</v>
      </c>
      <c r="V1101" s="131">
        <v>600</v>
      </c>
      <c r="W1101" s="131">
        <v>600</v>
      </c>
      <c r="X1101" s="131">
        <v>598.20000000000005</v>
      </c>
      <c r="Y1101" s="131">
        <v>1.7999999999999545</v>
      </c>
      <c r="Z1101" s="131">
        <v>598.20000000000005</v>
      </c>
      <c r="AA1101" s="131">
        <v>1.7999999999999545</v>
      </c>
      <c r="AB1101" s="131">
        <v>598.20000000000005</v>
      </c>
      <c r="AC1101" s="131">
        <v>1.7999999999999545</v>
      </c>
      <c r="AD1101" s="131">
        <v>598.20000000000005</v>
      </c>
      <c r="AE1101" s="132">
        <v>1.7999999999999545</v>
      </c>
    </row>
    <row r="1102" spans="1:31" x14ac:dyDescent="0.2">
      <c r="A1102" s="133">
        <v>202</v>
      </c>
      <c r="B1102" s="133" t="s">
        <v>1841</v>
      </c>
      <c r="C1102" s="133" t="s">
        <v>1199</v>
      </c>
      <c r="D1102" s="133" t="s">
        <v>1865</v>
      </c>
      <c r="E1102" s="133" t="s">
        <v>1855</v>
      </c>
      <c r="F1102" s="133" t="s">
        <v>1117</v>
      </c>
      <c r="G1102" s="133" t="s">
        <v>1202</v>
      </c>
      <c r="H1102" s="133" t="s">
        <v>1203</v>
      </c>
      <c r="I1102" s="133" t="s">
        <v>1209</v>
      </c>
      <c r="J1102" s="130" t="s">
        <v>1324</v>
      </c>
      <c r="K1102" s="130" t="s">
        <v>1325</v>
      </c>
      <c r="L1102" s="130" t="s">
        <v>1859</v>
      </c>
      <c r="M1102" s="130" t="s">
        <v>1844</v>
      </c>
      <c r="N1102" s="130" t="s">
        <v>120</v>
      </c>
      <c r="O1102" s="130" t="s">
        <v>1860</v>
      </c>
      <c r="P1102" s="130" t="s">
        <v>1866</v>
      </c>
      <c r="Q1102" s="130" t="s">
        <v>1127</v>
      </c>
      <c r="R1102" s="130" t="s">
        <v>1191</v>
      </c>
      <c r="S1102" s="130" t="s">
        <v>1157</v>
      </c>
      <c r="T1102" s="130" t="s">
        <v>1369</v>
      </c>
      <c r="U1102" s="130">
        <v>0</v>
      </c>
      <c r="V1102" s="131">
        <v>66500</v>
      </c>
      <c r="W1102" s="131">
        <v>66500</v>
      </c>
      <c r="X1102" s="131">
        <v>66500</v>
      </c>
      <c r="Y1102" s="131">
        <v>0</v>
      </c>
      <c r="Z1102" s="131">
        <v>66500</v>
      </c>
      <c r="AA1102" s="131">
        <v>0</v>
      </c>
      <c r="AB1102" s="131">
        <v>66500</v>
      </c>
      <c r="AC1102" s="131">
        <v>0</v>
      </c>
      <c r="AD1102" s="131">
        <v>66500</v>
      </c>
      <c r="AE1102" s="132">
        <v>0</v>
      </c>
    </row>
    <row r="1103" spans="1:31" x14ac:dyDescent="0.2">
      <c r="A1103" s="133">
        <v>202</v>
      </c>
      <c r="B1103" s="133" t="s">
        <v>1841</v>
      </c>
      <c r="C1103" s="133" t="s">
        <v>1199</v>
      </c>
      <c r="D1103" s="133" t="s">
        <v>1865</v>
      </c>
      <c r="E1103" s="133" t="s">
        <v>1855</v>
      </c>
      <c r="F1103" s="133" t="s">
        <v>1117</v>
      </c>
      <c r="G1103" s="133" t="s">
        <v>1202</v>
      </c>
      <c r="H1103" s="133" t="s">
        <v>1203</v>
      </c>
      <c r="I1103" s="133" t="s">
        <v>1209</v>
      </c>
      <c r="J1103" s="130" t="s">
        <v>1340</v>
      </c>
      <c r="K1103" s="130" t="s">
        <v>1341</v>
      </c>
      <c r="L1103" s="130" t="s">
        <v>1859</v>
      </c>
      <c r="M1103" s="130" t="s">
        <v>1844</v>
      </c>
      <c r="N1103" s="130" t="s">
        <v>120</v>
      </c>
      <c r="O1103" s="130" t="s">
        <v>1860</v>
      </c>
      <c r="P1103" s="130" t="s">
        <v>1866</v>
      </c>
      <c r="Q1103" s="130" t="s">
        <v>1127</v>
      </c>
      <c r="R1103" s="130" t="s">
        <v>1191</v>
      </c>
      <c r="S1103" s="130" t="s">
        <v>1157</v>
      </c>
      <c r="T1103" s="130" t="s">
        <v>1369</v>
      </c>
      <c r="U1103" s="130">
        <v>0</v>
      </c>
      <c r="V1103" s="131">
        <v>2750</v>
      </c>
      <c r="W1103" s="131">
        <v>2750</v>
      </c>
      <c r="X1103" s="131">
        <v>2750</v>
      </c>
      <c r="Y1103" s="131">
        <v>0</v>
      </c>
      <c r="Z1103" s="131">
        <v>2750</v>
      </c>
      <c r="AA1103" s="131">
        <v>0</v>
      </c>
      <c r="AB1103" s="131">
        <v>2750</v>
      </c>
      <c r="AC1103" s="131">
        <v>0</v>
      </c>
      <c r="AD1103" s="131">
        <v>0</v>
      </c>
      <c r="AE1103" s="132">
        <v>2750</v>
      </c>
    </row>
    <row r="1104" spans="1:31" x14ac:dyDescent="0.2">
      <c r="A1104" s="133">
        <v>202</v>
      </c>
      <c r="B1104" s="133" t="s">
        <v>1841</v>
      </c>
      <c r="C1104" s="133" t="s">
        <v>1199</v>
      </c>
      <c r="D1104" s="133" t="s">
        <v>1865</v>
      </c>
      <c r="E1104" s="133" t="s">
        <v>1855</v>
      </c>
      <c r="F1104" s="133" t="s">
        <v>1117</v>
      </c>
      <c r="G1104" s="133" t="s">
        <v>1202</v>
      </c>
      <c r="H1104" s="133" t="s">
        <v>1203</v>
      </c>
      <c r="I1104" s="130" t="s">
        <v>1309</v>
      </c>
      <c r="J1104" s="130" t="s">
        <v>1310</v>
      </c>
      <c r="K1104" s="130" t="s">
        <v>1310</v>
      </c>
      <c r="L1104" s="130" t="s">
        <v>1859</v>
      </c>
      <c r="M1104" s="130" t="s">
        <v>1844</v>
      </c>
      <c r="N1104" s="130" t="s">
        <v>120</v>
      </c>
      <c r="O1104" s="130" t="s">
        <v>1860</v>
      </c>
      <c r="P1104" s="130" t="s">
        <v>1866</v>
      </c>
      <c r="Q1104" s="130" t="s">
        <v>1127</v>
      </c>
      <c r="R1104" s="130" t="s">
        <v>1191</v>
      </c>
      <c r="S1104" s="130" t="s">
        <v>1157</v>
      </c>
      <c r="T1104" s="130" t="s">
        <v>1369</v>
      </c>
      <c r="U1104" s="130">
        <v>0</v>
      </c>
      <c r="V1104" s="131">
        <v>910000</v>
      </c>
      <c r="W1104" s="131">
        <v>910000</v>
      </c>
      <c r="X1104" s="131">
        <v>541150</v>
      </c>
      <c r="Y1104" s="131">
        <v>368850</v>
      </c>
      <c r="Z1104" s="131">
        <v>541150</v>
      </c>
      <c r="AA1104" s="131">
        <v>368850</v>
      </c>
      <c r="AB1104" s="131">
        <v>528250</v>
      </c>
      <c r="AC1104" s="131">
        <v>381750</v>
      </c>
      <c r="AD1104" s="131">
        <v>193300</v>
      </c>
      <c r="AE1104" s="132">
        <v>716700</v>
      </c>
    </row>
    <row r="1105" spans="1:31" x14ac:dyDescent="0.2">
      <c r="A1105" s="133">
        <v>202</v>
      </c>
      <c r="B1105" s="133" t="s">
        <v>1841</v>
      </c>
      <c r="C1105" s="133" t="s">
        <v>1199</v>
      </c>
      <c r="D1105" s="133" t="s">
        <v>1865</v>
      </c>
      <c r="E1105" s="133" t="s">
        <v>1855</v>
      </c>
      <c r="F1105" s="133" t="s">
        <v>1117</v>
      </c>
      <c r="G1105" s="130" t="s">
        <v>1118</v>
      </c>
      <c r="H1105" s="130" t="s">
        <v>1149</v>
      </c>
      <c r="I1105" s="130" t="s">
        <v>1182</v>
      </c>
      <c r="J1105" s="130" t="s">
        <v>1377</v>
      </c>
      <c r="K1105" s="130" t="s">
        <v>1383</v>
      </c>
      <c r="L1105" s="130" t="s">
        <v>1859</v>
      </c>
      <c r="M1105" s="130" t="s">
        <v>1844</v>
      </c>
      <c r="N1105" s="130" t="s">
        <v>120</v>
      </c>
      <c r="O1105" s="130" t="s">
        <v>1860</v>
      </c>
      <c r="P1105" s="130" t="s">
        <v>1866</v>
      </c>
      <c r="Q1105" s="130" t="s">
        <v>1127</v>
      </c>
      <c r="R1105" s="130" t="s">
        <v>1191</v>
      </c>
      <c r="S1105" s="130" t="s">
        <v>1157</v>
      </c>
      <c r="T1105" s="130" t="s">
        <v>1369</v>
      </c>
      <c r="U1105" s="130">
        <v>0</v>
      </c>
      <c r="V1105" s="131">
        <v>145000</v>
      </c>
      <c r="W1105" s="131">
        <v>145000</v>
      </c>
      <c r="X1105" s="131">
        <v>0</v>
      </c>
      <c r="Y1105" s="131">
        <v>145000</v>
      </c>
      <c r="Z1105" s="131">
        <v>0</v>
      </c>
      <c r="AA1105" s="131">
        <v>145000</v>
      </c>
      <c r="AB1105" s="131">
        <v>0</v>
      </c>
      <c r="AC1105" s="131">
        <v>145000</v>
      </c>
      <c r="AD1105" s="131">
        <v>0</v>
      </c>
      <c r="AE1105" s="132">
        <v>145000</v>
      </c>
    </row>
    <row r="1106" spans="1:31" x14ac:dyDescent="0.2">
      <c r="A1106" s="133">
        <v>202</v>
      </c>
      <c r="B1106" s="133" t="s">
        <v>1841</v>
      </c>
      <c r="C1106" s="133" t="s">
        <v>1199</v>
      </c>
      <c r="D1106" s="133" t="s">
        <v>1865</v>
      </c>
      <c r="E1106" s="133" t="s">
        <v>1855</v>
      </c>
      <c r="F1106" s="133" t="s">
        <v>1117</v>
      </c>
      <c r="G1106" s="133" t="s">
        <v>1118</v>
      </c>
      <c r="H1106" s="133" t="s">
        <v>1149</v>
      </c>
      <c r="I1106" s="133" t="s">
        <v>1182</v>
      </c>
      <c r="J1106" s="133" t="s">
        <v>1377</v>
      </c>
      <c r="K1106" s="130" t="s">
        <v>1378</v>
      </c>
      <c r="L1106" s="130" t="s">
        <v>1859</v>
      </c>
      <c r="M1106" s="130" t="s">
        <v>1844</v>
      </c>
      <c r="N1106" s="130" t="s">
        <v>120</v>
      </c>
      <c r="O1106" s="130" t="s">
        <v>1860</v>
      </c>
      <c r="P1106" s="130" t="s">
        <v>1866</v>
      </c>
      <c r="Q1106" s="130" t="s">
        <v>1127</v>
      </c>
      <c r="R1106" s="130" t="s">
        <v>1191</v>
      </c>
      <c r="S1106" s="130" t="s">
        <v>1157</v>
      </c>
      <c r="T1106" s="130" t="s">
        <v>1369</v>
      </c>
      <c r="U1106" s="130">
        <v>0</v>
      </c>
      <c r="V1106" s="131">
        <v>0</v>
      </c>
      <c r="W1106" s="131">
        <v>0</v>
      </c>
      <c r="X1106" s="131">
        <v>0</v>
      </c>
      <c r="Y1106" s="131">
        <v>0</v>
      </c>
      <c r="Z1106" s="131">
        <v>0</v>
      </c>
      <c r="AA1106" s="131">
        <v>0</v>
      </c>
      <c r="AB1106" s="131">
        <v>0</v>
      </c>
      <c r="AC1106" s="131">
        <v>0</v>
      </c>
      <c r="AD1106" s="131">
        <v>0</v>
      </c>
      <c r="AE1106" s="132">
        <v>0</v>
      </c>
    </row>
    <row r="1107" spans="1:31" x14ac:dyDescent="0.2">
      <c r="A1107" s="130">
        <v>203</v>
      </c>
      <c r="B1107" s="130" t="s">
        <v>1841</v>
      </c>
      <c r="C1107" s="130" t="s">
        <v>1199</v>
      </c>
      <c r="D1107" s="130" t="s">
        <v>1865</v>
      </c>
      <c r="E1107" s="130" t="s">
        <v>1855</v>
      </c>
      <c r="F1107" s="130" t="s">
        <v>1117</v>
      </c>
      <c r="G1107" s="130" t="s">
        <v>1202</v>
      </c>
      <c r="H1107" s="130" t="s">
        <v>1216</v>
      </c>
      <c r="I1107" s="130" t="s">
        <v>1301</v>
      </c>
      <c r="J1107" s="130" t="s">
        <v>1301</v>
      </c>
      <c r="K1107" s="130" t="s">
        <v>1302</v>
      </c>
      <c r="L1107" s="130" t="s">
        <v>1890</v>
      </c>
      <c r="M1107" s="130" t="s">
        <v>1844</v>
      </c>
      <c r="N1107" s="130" t="s">
        <v>120</v>
      </c>
      <c r="O1107" s="130" t="s">
        <v>1860</v>
      </c>
      <c r="P1107" s="130" t="s">
        <v>1866</v>
      </c>
      <c r="Q1107" s="130" t="s">
        <v>1127</v>
      </c>
      <c r="R1107" s="130" t="s">
        <v>1191</v>
      </c>
      <c r="S1107" s="130" t="s">
        <v>1191</v>
      </c>
      <c r="T1107" s="130" t="s">
        <v>1891</v>
      </c>
      <c r="U1107" s="130">
        <v>0</v>
      </c>
      <c r="V1107" s="131">
        <v>4100</v>
      </c>
      <c r="W1107" s="131">
        <v>4100</v>
      </c>
      <c r="X1107" s="131">
        <v>1590</v>
      </c>
      <c r="Y1107" s="131">
        <v>2510</v>
      </c>
      <c r="Z1107" s="131">
        <v>1590</v>
      </c>
      <c r="AA1107" s="131">
        <v>2510</v>
      </c>
      <c r="AB1107" s="131">
        <v>1590</v>
      </c>
      <c r="AC1107" s="131">
        <v>2510</v>
      </c>
      <c r="AD1107" s="131">
        <v>1590</v>
      </c>
      <c r="AE1107" s="132">
        <v>2510</v>
      </c>
    </row>
    <row r="1108" spans="1:31" x14ac:dyDescent="0.2">
      <c r="A1108" s="133">
        <v>203</v>
      </c>
      <c r="B1108" s="133" t="s">
        <v>1841</v>
      </c>
      <c r="C1108" s="133" t="s">
        <v>1199</v>
      </c>
      <c r="D1108" s="133" t="s">
        <v>1865</v>
      </c>
      <c r="E1108" s="133" t="s">
        <v>1855</v>
      </c>
      <c r="F1108" s="133" t="s">
        <v>1117</v>
      </c>
      <c r="G1108" s="133" t="s">
        <v>1202</v>
      </c>
      <c r="H1108" s="133" t="s">
        <v>1216</v>
      </c>
      <c r="I1108" s="130" t="s">
        <v>1217</v>
      </c>
      <c r="J1108" s="130" t="s">
        <v>1218</v>
      </c>
      <c r="K1108" s="130" t="s">
        <v>1219</v>
      </c>
      <c r="L1108" s="130" t="s">
        <v>1890</v>
      </c>
      <c r="M1108" s="130" t="s">
        <v>1844</v>
      </c>
      <c r="N1108" s="130" t="s">
        <v>120</v>
      </c>
      <c r="O1108" s="130" t="s">
        <v>1860</v>
      </c>
      <c r="P1108" s="130" t="s">
        <v>1866</v>
      </c>
      <c r="Q1108" s="130" t="s">
        <v>1127</v>
      </c>
      <c r="R1108" s="130" t="s">
        <v>1191</v>
      </c>
      <c r="S1108" s="130" t="s">
        <v>1191</v>
      </c>
      <c r="T1108" s="130" t="s">
        <v>1891</v>
      </c>
      <c r="U1108" s="130">
        <v>0</v>
      </c>
      <c r="V1108" s="131">
        <v>9500</v>
      </c>
      <c r="W1108" s="131">
        <v>9500</v>
      </c>
      <c r="X1108" s="131">
        <v>7000</v>
      </c>
      <c r="Y1108" s="131">
        <v>2500</v>
      </c>
      <c r="Z1108" s="131">
        <v>7000</v>
      </c>
      <c r="AA1108" s="131">
        <v>2500</v>
      </c>
      <c r="AB1108" s="131">
        <v>7000</v>
      </c>
      <c r="AC1108" s="131">
        <v>2500</v>
      </c>
      <c r="AD1108" s="131">
        <v>0</v>
      </c>
      <c r="AE1108" s="132">
        <v>9500</v>
      </c>
    </row>
    <row r="1109" spans="1:31" x14ac:dyDescent="0.2">
      <c r="A1109" s="133">
        <v>203</v>
      </c>
      <c r="B1109" s="133" t="s">
        <v>1841</v>
      </c>
      <c r="C1109" s="133" t="s">
        <v>1199</v>
      </c>
      <c r="D1109" s="133" t="s">
        <v>1865</v>
      </c>
      <c r="E1109" s="133" t="s">
        <v>1855</v>
      </c>
      <c r="F1109" s="133" t="s">
        <v>1117</v>
      </c>
      <c r="G1109" s="133" t="s">
        <v>1202</v>
      </c>
      <c r="H1109" s="133" t="s">
        <v>1216</v>
      </c>
      <c r="I1109" s="130" t="s">
        <v>1242</v>
      </c>
      <c r="J1109" s="130" t="s">
        <v>1243</v>
      </c>
      <c r="K1109" s="130" t="s">
        <v>1303</v>
      </c>
      <c r="L1109" s="130" t="s">
        <v>1890</v>
      </c>
      <c r="M1109" s="130" t="s">
        <v>1844</v>
      </c>
      <c r="N1109" s="130" t="s">
        <v>120</v>
      </c>
      <c r="O1109" s="130" t="s">
        <v>1860</v>
      </c>
      <c r="P1109" s="130" t="s">
        <v>1866</v>
      </c>
      <c r="Q1109" s="130" t="s">
        <v>1127</v>
      </c>
      <c r="R1109" s="130" t="s">
        <v>1191</v>
      </c>
      <c r="S1109" s="130" t="s">
        <v>1191</v>
      </c>
      <c r="T1109" s="130" t="s">
        <v>1891</v>
      </c>
      <c r="U1109" s="130">
        <v>950000</v>
      </c>
      <c r="V1109" s="131">
        <v>-766800</v>
      </c>
      <c r="W1109" s="131">
        <v>183200</v>
      </c>
      <c r="X1109" s="131">
        <v>182902.61</v>
      </c>
      <c r="Y1109" s="131">
        <v>297.39000000001397</v>
      </c>
      <c r="Z1109" s="131">
        <v>75173.100000000006</v>
      </c>
      <c r="AA1109" s="131">
        <v>108026.9</v>
      </c>
      <c r="AB1109" s="131">
        <v>75173.100000000006</v>
      </c>
      <c r="AC1109" s="131">
        <v>108026.9</v>
      </c>
      <c r="AD1109" s="131">
        <v>75173.100000000006</v>
      </c>
      <c r="AE1109" s="132">
        <v>108026.9</v>
      </c>
    </row>
    <row r="1110" spans="1:31" x14ac:dyDescent="0.2">
      <c r="A1110" s="133">
        <v>203</v>
      </c>
      <c r="B1110" s="133" t="s">
        <v>1841</v>
      </c>
      <c r="C1110" s="133" t="s">
        <v>1199</v>
      </c>
      <c r="D1110" s="133" t="s">
        <v>1865</v>
      </c>
      <c r="E1110" s="133" t="s">
        <v>1855</v>
      </c>
      <c r="F1110" s="133" t="s">
        <v>1117</v>
      </c>
      <c r="G1110" s="133" t="s">
        <v>1202</v>
      </c>
      <c r="H1110" s="133" t="s">
        <v>1216</v>
      </c>
      <c r="I1110" s="133" t="s">
        <v>1242</v>
      </c>
      <c r="J1110" s="133" t="s">
        <v>1243</v>
      </c>
      <c r="K1110" s="130" t="s">
        <v>1244</v>
      </c>
      <c r="L1110" s="130" t="s">
        <v>1890</v>
      </c>
      <c r="M1110" s="130" t="s">
        <v>1844</v>
      </c>
      <c r="N1110" s="130" t="s">
        <v>120</v>
      </c>
      <c r="O1110" s="130" t="s">
        <v>1860</v>
      </c>
      <c r="P1110" s="130" t="s">
        <v>1866</v>
      </c>
      <c r="Q1110" s="130" t="s">
        <v>1127</v>
      </c>
      <c r="R1110" s="130" t="s">
        <v>1191</v>
      </c>
      <c r="S1110" s="130" t="s">
        <v>1191</v>
      </c>
      <c r="T1110" s="130" t="s">
        <v>1891</v>
      </c>
      <c r="U1110" s="130">
        <v>850000</v>
      </c>
      <c r="V1110" s="131">
        <v>1009621</v>
      </c>
      <c r="W1110" s="131">
        <v>1859621</v>
      </c>
      <c r="X1110" s="131">
        <v>1459621</v>
      </c>
      <c r="Y1110" s="131">
        <v>400000</v>
      </c>
      <c r="Z1110" s="131">
        <v>940821</v>
      </c>
      <c r="AA1110" s="131">
        <v>918800</v>
      </c>
      <c r="AB1110" s="131">
        <v>940821</v>
      </c>
      <c r="AC1110" s="131">
        <v>918800</v>
      </c>
      <c r="AD1110" s="131">
        <v>940821</v>
      </c>
      <c r="AE1110" s="132">
        <v>918800</v>
      </c>
    </row>
    <row r="1111" spans="1:31" x14ac:dyDescent="0.2">
      <c r="A1111" s="133">
        <v>203</v>
      </c>
      <c r="B1111" s="133" t="s">
        <v>1841</v>
      </c>
      <c r="C1111" s="133" t="s">
        <v>1199</v>
      </c>
      <c r="D1111" s="133" t="s">
        <v>1865</v>
      </c>
      <c r="E1111" s="133" t="s">
        <v>1855</v>
      </c>
      <c r="F1111" s="133" t="s">
        <v>1117</v>
      </c>
      <c r="G1111" s="133" t="s">
        <v>1202</v>
      </c>
      <c r="H1111" s="133" t="s">
        <v>1216</v>
      </c>
      <c r="I1111" s="130" t="s">
        <v>1222</v>
      </c>
      <c r="J1111" s="130" t="s">
        <v>1304</v>
      </c>
      <c r="K1111" s="130" t="s">
        <v>1305</v>
      </c>
      <c r="L1111" s="130" t="s">
        <v>1890</v>
      </c>
      <c r="M1111" s="130" t="s">
        <v>1844</v>
      </c>
      <c r="N1111" s="130" t="s">
        <v>120</v>
      </c>
      <c r="O1111" s="130" t="s">
        <v>1860</v>
      </c>
      <c r="P1111" s="130" t="s">
        <v>1866</v>
      </c>
      <c r="Q1111" s="130" t="s">
        <v>1127</v>
      </c>
      <c r="R1111" s="130" t="s">
        <v>1191</v>
      </c>
      <c r="S1111" s="130" t="s">
        <v>1191</v>
      </c>
      <c r="T1111" s="130" t="s">
        <v>1891</v>
      </c>
      <c r="U1111" s="130">
        <v>0</v>
      </c>
      <c r="V1111" s="131">
        <v>59300</v>
      </c>
      <c r="W1111" s="131">
        <v>59300</v>
      </c>
      <c r="X1111" s="131">
        <v>28265.5</v>
      </c>
      <c r="Y1111" s="131">
        <v>31034.5</v>
      </c>
      <c r="Z1111" s="131">
        <v>23361.01</v>
      </c>
      <c r="AA1111" s="131">
        <v>35938.990000000005</v>
      </c>
      <c r="AB1111" s="131">
        <v>23361.01</v>
      </c>
      <c r="AC1111" s="131">
        <v>35938.990000000005</v>
      </c>
      <c r="AD1111" s="131">
        <v>21873.02</v>
      </c>
      <c r="AE1111" s="132">
        <v>37426.979999999996</v>
      </c>
    </row>
    <row r="1112" spans="1:31" x14ac:dyDescent="0.2">
      <c r="A1112" s="133">
        <v>203</v>
      </c>
      <c r="B1112" s="133" t="s">
        <v>1841</v>
      </c>
      <c r="C1112" s="133" t="s">
        <v>1199</v>
      </c>
      <c r="D1112" s="133" t="s">
        <v>1865</v>
      </c>
      <c r="E1112" s="133" t="s">
        <v>1855</v>
      </c>
      <c r="F1112" s="133" t="s">
        <v>1117</v>
      </c>
      <c r="G1112" s="133" t="s">
        <v>1202</v>
      </c>
      <c r="H1112" s="133" t="s">
        <v>1216</v>
      </c>
      <c r="I1112" s="133" t="s">
        <v>1222</v>
      </c>
      <c r="J1112" s="130" t="s">
        <v>1245</v>
      </c>
      <c r="K1112" s="130" t="s">
        <v>1246</v>
      </c>
      <c r="L1112" s="130" t="s">
        <v>1890</v>
      </c>
      <c r="M1112" s="130" t="s">
        <v>1844</v>
      </c>
      <c r="N1112" s="130" t="s">
        <v>120</v>
      </c>
      <c r="O1112" s="130" t="s">
        <v>1860</v>
      </c>
      <c r="P1112" s="130" t="s">
        <v>1866</v>
      </c>
      <c r="Q1112" s="130" t="s">
        <v>1127</v>
      </c>
      <c r="R1112" s="130" t="s">
        <v>1191</v>
      </c>
      <c r="S1112" s="130" t="s">
        <v>1191</v>
      </c>
      <c r="T1112" s="130" t="s">
        <v>1891</v>
      </c>
      <c r="U1112" s="130">
        <v>0</v>
      </c>
      <c r="V1112" s="131">
        <v>523</v>
      </c>
      <c r="W1112" s="131">
        <v>523</v>
      </c>
      <c r="X1112" s="131">
        <v>0</v>
      </c>
      <c r="Y1112" s="131">
        <v>523</v>
      </c>
      <c r="Z1112" s="131">
        <v>0</v>
      </c>
      <c r="AA1112" s="131">
        <v>523</v>
      </c>
      <c r="AB1112" s="131">
        <v>0</v>
      </c>
      <c r="AC1112" s="131">
        <v>523</v>
      </c>
      <c r="AD1112" s="131">
        <v>0</v>
      </c>
      <c r="AE1112" s="132">
        <v>523</v>
      </c>
    </row>
    <row r="1113" spans="1:31" x14ac:dyDescent="0.2">
      <c r="A1113" s="133">
        <v>203</v>
      </c>
      <c r="B1113" s="133" t="s">
        <v>1841</v>
      </c>
      <c r="C1113" s="133" t="s">
        <v>1199</v>
      </c>
      <c r="D1113" s="133" t="s">
        <v>1865</v>
      </c>
      <c r="E1113" s="133" t="s">
        <v>1855</v>
      </c>
      <c r="F1113" s="133" t="s">
        <v>1117</v>
      </c>
      <c r="G1113" s="133" t="s">
        <v>1202</v>
      </c>
      <c r="H1113" s="133" t="s">
        <v>1216</v>
      </c>
      <c r="I1113" s="130" t="s">
        <v>1247</v>
      </c>
      <c r="J1113" s="130" t="s">
        <v>1248</v>
      </c>
      <c r="K1113" s="130" t="s">
        <v>1249</v>
      </c>
      <c r="L1113" s="130" t="s">
        <v>1890</v>
      </c>
      <c r="M1113" s="130" t="s">
        <v>1844</v>
      </c>
      <c r="N1113" s="130" t="s">
        <v>120</v>
      </c>
      <c r="O1113" s="130" t="s">
        <v>1860</v>
      </c>
      <c r="P1113" s="130" t="s">
        <v>1866</v>
      </c>
      <c r="Q1113" s="130" t="s">
        <v>1127</v>
      </c>
      <c r="R1113" s="130" t="s">
        <v>1191</v>
      </c>
      <c r="S1113" s="130" t="s">
        <v>1191</v>
      </c>
      <c r="T1113" s="130" t="s">
        <v>1891</v>
      </c>
      <c r="U1113" s="130">
        <v>1500000</v>
      </c>
      <c r="V1113" s="131">
        <v>2561013</v>
      </c>
      <c r="W1113" s="131">
        <v>4061013</v>
      </c>
      <c r="X1113" s="131">
        <v>2881696.74</v>
      </c>
      <c r="Y1113" s="131">
        <v>1179316.2599999998</v>
      </c>
      <c r="Z1113" s="131">
        <v>1703579.01</v>
      </c>
      <c r="AA1113" s="131">
        <v>2357433.9900000002</v>
      </c>
      <c r="AB1113" s="131">
        <v>1688779.0099999998</v>
      </c>
      <c r="AC1113" s="131">
        <v>2372233.9900000002</v>
      </c>
      <c r="AD1113" s="131">
        <v>1580593.3599999999</v>
      </c>
      <c r="AE1113" s="132">
        <v>2480419.64</v>
      </c>
    </row>
    <row r="1114" spans="1:31" x14ac:dyDescent="0.2">
      <c r="A1114" s="133">
        <v>203</v>
      </c>
      <c r="B1114" s="133" t="s">
        <v>1841</v>
      </c>
      <c r="C1114" s="133" t="s">
        <v>1199</v>
      </c>
      <c r="D1114" s="133" t="s">
        <v>1865</v>
      </c>
      <c r="E1114" s="133" t="s">
        <v>1855</v>
      </c>
      <c r="F1114" s="133" t="s">
        <v>1117</v>
      </c>
      <c r="G1114" s="133" t="s">
        <v>1202</v>
      </c>
      <c r="H1114" s="133" t="s">
        <v>1216</v>
      </c>
      <c r="I1114" s="133" t="s">
        <v>1247</v>
      </c>
      <c r="J1114" s="133" t="s">
        <v>1248</v>
      </c>
      <c r="K1114" s="130" t="s">
        <v>1251</v>
      </c>
      <c r="L1114" s="130" t="s">
        <v>1890</v>
      </c>
      <c r="M1114" s="130" t="s">
        <v>1844</v>
      </c>
      <c r="N1114" s="130" t="s">
        <v>120</v>
      </c>
      <c r="O1114" s="130" t="s">
        <v>1860</v>
      </c>
      <c r="P1114" s="130" t="s">
        <v>1866</v>
      </c>
      <c r="Q1114" s="130" t="s">
        <v>1127</v>
      </c>
      <c r="R1114" s="130" t="s">
        <v>1191</v>
      </c>
      <c r="S1114" s="130" t="s">
        <v>1191</v>
      </c>
      <c r="T1114" s="130" t="s">
        <v>1891</v>
      </c>
      <c r="U1114" s="130">
        <v>0</v>
      </c>
      <c r="V1114" s="131">
        <v>60580</v>
      </c>
      <c r="W1114" s="131">
        <v>60580</v>
      </c>
      <c r="X1114" s="131">
        <v>60470</v>
      </c>
      <c r="Y1114" s="131">
        <v>110</v>
      </c>
      <c r="Z1114" s="131">
        <v>37345</v>
      </c>
      <c r="AA1114" s="131">
        <v>23235</v>
      </c>
      <c r="AB1114" s="131">
        <v>37345</v>
      </c>
      <c r="AC1114" s="131">
        <v>23235</v>
      </c>
      <c r="AD1114" s="131">
        <v>37345</v>
      </c>
      <c r="AE1114" s="132">
        <v>23235</v>
      </c>
    </row>
    <row r="1115" spans="1:31" x14ac:dyDescent="0.2">
      <c r="A1115" s="133">
        <v>203</v>
      </c>
      <c r="B1115" s="133" t="s">
        <v>1841</v>
      </c>
      <c r="C1115" s="133" t="s">
        <v>1199</v>
      </c>
      <c r="D1115" s="133" t="s">
        <v>1865</v>
      </c>
      <c r="E1115" s="133" t="s">
        <v>1855</v>
      </c>
      <c r="F1115" s="133" t="s">
        <v>1117</v>
      </c>
      <c r="G1115" s="133" t="s">
        <v>1202</v>
      </c>
      <c r="H1115" s="133" t="s">
        <v>1216</v>
      </c>
      <c r="I1115" s="130" t="s">
        <v>1252</v>
      </c>
      <c r="J1115" s="130" t="s">
        <v>1253</v>
      </c>
      <c r="K1115" s="130" t="s">
        <v>1254</v>
      </c>
      <c r="L1115" s="130" t="s">
        <v>1890</v>
      </c>
      <c r="M1115" s="130" t="s">
        <v>1844</v>
      </c>
      <c r="N1115" s="130" t="s">
        <v>120</v>
      </c>
      <c r="O1115" s="130" t="s">
        <v>1860</v>
      </c>
      <c r="P1115" s="130" t="s">
        <v>1866</v>
      </c>
      <c r="Q1115" s="130" t="s">
        <v>1127</v>
      </c>
      <c r="R1115" s="130" t="s">
        <v>1191</v>
      </c>
      <c r="S1115" s="130" t="s">
        <v>1191</v>
      </c>
      <c r="T1115" s="130" t="s">
        <v>1891</v>
      </c>
      <c r="U1115" s="130">
        <v>0</v>
      </c>
      <c r="V1115" s="131">
        <v>7500</v>
      </c>
      <c r="W1115" s="131">
        <v>7500</v>
      </c>
      <c r="X1115" s="131">
        <v>1078</v>
      </c>
      <c r="Y1115" s="131">
        <v>6422</v>
      </c>
      <c r="Z1115" s="131">
        <v>1078</v>
      </c>
      <c r="AA1115" s="131">
        <v>6422</v>
      </c>
      <c r="AB1115" s="131">
        <v>1078</v>
      </c>
      <c r="AC1115" s="131">
        <v>6422</v>
      </c>
      <c r="AD1115" s="131">
        <v>1078</v>
      </c>
      <c r="AE1115" s="132">
        <v>6422</v>
      </c>
    </row>
    <row r="1116" spans="1:31" x14ac:dyDescent="0.2">
      <c r="A1116" s="133">
        <v>203</v>
      </c>
      <c r="B1116" s="133" t="s">
        <v>1841</v>
      </c>
      <c r="C1116" s="133" t="s">
        <v>1199</v>
      </c>
      <c r="D1116" s="133" t="s">
        <v>1865</v>
      </c>
      <c r="E1116" s="133" t="s">
        <v>1855</v>
      </c>
      <c r="F1116" s="133" t="s">
        <v>1117</v>
      </c>
      <c r="G1116" s="133" t="s">
        <v>1202</v>
      </c>
      <c r="H1116" s="130" t="s">
        <v>1203</v>
      </c>
      <c r="I1116" s="130" t="s">
        <v>1264</v>
      </c>
      <c r="J1116" s="130" t="s">
        <v>1267</v>
      </c>
      <c r="K1116" s="130" t="s">
        <v>1268</v>
      </c>
      <c r="L1116" s="130" t="s">
        <v>1890</v>
      </c>
      <c r="M1116" s="130" t="s">
        <v>1844</v>
      </c>
      <c r="N1116" s="130" t="s">
        <v>120</v>
      </c>
      <c r="O1116" s="130" t="s">
        <v>1860</v>
      </c>
      <c r="P1116" s="130" t="s">
        <v>1866</v>
      </c>
      <c r="Q1116" s="130" t="s">
        <v>1127</v>
      </c>
      <c r="R1116" s="130" t="s">
        <v>1191</v>
      </c>
      <c r="S1116" s="130" t="s">
        <v>1191</v>
      </c>
      <c r="T1116" s="130" t="s">
        <v>1891</v>
      </c>
      <c r="U1116" s="130">
        <v>850000</v>
      </c>
      <c r="V1116" s="131">
        <v>100000</v>
      </c>
      <c r="W1116" s="131">
        <v>950000</v>
      </c>
      <c r="X1116" s="131">
        <v>217045</v>
      </c>
      <c r="Y1116" s="131">
        <v>732955</v>
      </c>
      <c r="Z1116" s="131">
        <v>117045</v>
      </c>
      <c r="AA1116" s="131">
        <v>832955</v>
      </c>
      <c r="AB1116" s="131">
        <v>117045</v>
      </c>
      <c r="AC1116" s="131">
        <v>832955</v>
      </c>
      <c r="AD1116" s="131">
        <v>92445</v>
      </c>
      <c r="AE1116" s="132">
        <v>857555</v>
      </c>
    </row>
    <row r="1117" spans="1:31" x14ac:dyDescent="0.2">
      <c r="A1117" s="133">
        <v>203</v>
      </c>
      <c r="B1117" s="133" t="s">
        <v>1841</v>
      </c>
      <c r="C1117" s="133" t="s">
        <v>1199</v>
      </c>
      <c r="D1117" s="133" t="s">
        <v>1865</v>
      </c>
      <c r="E1117" s="133" t="s">
        <v>1855</v>
      </c>
      <c r="F1117" s="133" t="s">
        <v>1117</v>
      </c>
      <c r="G1117" s="133" t="s">
        <v>1202</v>
      </c>
      <c r="H1117" s="133" t="s">
        <v>1203</v>
      </c>
      <c r="I1117" s="130" t="s">
        <v>1315</v>
      </c>
      <c r="J1117" s="130" t="s">
        <v>1316</v>
      </c>
      <c r="K1117" s="130" t="s">
        <v>1582</v>
      </c>
      <c r="L1117" s="130" t="s">
        <v>1890</v>
      </c>
      <c r="M1117" s="130" t="s">
        <v>1844</v>
      </c>
      <c r="N1117" s="130" t="s">
        <v>120</v>
      </c>
      <c r="O1117" s="130" t="s">
        <v>1860</v>
      </c>
      <c r="P1117" s="130" t="s">
        <v>1866</v>
      </c>
      <c r="Q1117" s="130" t="s">
        <v>1127</v>
      </c>
      <c r="R1117" s="130" t="s">
        <v>1191</v>
      </c>
      <c r="S1117" s="130" t="s">
        <v>1191</v>
      </c>
      <c r="T1117" s="130" t="s">
        <v>1891</v>
      </c>
      <c r="U1117" s="130">
        <v>0</v>
      </c>
      <c r="V1117" s="131">
        <v>82200</v>
      </c>
      <c r="W1117" s="131">
        <v>82200</v>
      </c>
      <c r="X1117" s="131">
        <v>37700</v>
      </c>
      <c r="Y1117" s="131">
        <v>44500</v>
      </c>
      <c r="Z1117" s="131">
        <v>37700</v>
      </c>
      <c r="AA1117" s="131">
        <v>44500</v>
      </c>
      <c r="AB1117" s="131">
        <v>37700</v>
      </c>
      <c r="AC1117" s="131">
        <v>44500</v>
      </c>
      <c r="AD1117" s="131">
        <v>37700</v>
      </c>
      <c r="AE1117" s="132">
        <v>44500</v>
      </c>
    </row>
    <row r="1118" spans="1:31" x14ac:dyDescent="0.2">
      <c r="A1118" s="133">
        <v>203</v>
      </c>
      <c r="B1118" s="133" t="s">
        <v>1841</v>
      </c>
      <c r="C1118" s="133" t="s">
        <v>1199</v>
      </c>
      <c r="D1118" s="133" t="s">
        <v>1865</v>
      </c>
      <c r="E1118" s="133" t="s">
        <v>1855</v>
      </c>
      <c r="F1118" s="133" t="s">
        <v>1117</v>
      </c>
      <c r="G1118" s="133" t="s">
        <v>1202</v>
      </c>
      <c r="H1118" s="133" t="s">
        <v>1203</v>
      </c>
      <c r="I1118" s="130" t="s">
        <v>1209</v>
      </c>
      <c r="J1118" s="130" t="s">
        <v>1210</v>
      </c>
      <c r="K1118" s="130" t="s">
        <v>1539</v>
      </c>
      <c r="L1118" s="130" t="s">
        <v>1890</v>
      </c>
      <c r="M1118" s="130" t="s">
        <v>1844</v>
      </c>
      <c r="N1118" s="130" t="s">
        <v>120</v>
      </c>
      <c r="O1118" s="130" t="s">
        <v>1860</v>
      </c>
      <c r="P1118" s="130" t="s">
        <v>1866</v>
      </c>
      <c r="Q1118" s="130" t="s">
        <v>1127</v>
      </c>
      <c r="R1118" s="130" t="s">
        <v>1191</v>
      </c>
      <c r="S1118" s="130" t="s">
        <v>1191</v>
      </c>
      <c r="T1118" s="130" t="s">
        <v>1891</v>
      </c>
      <c r="U1118" s="130">
        <v>0</v>
      </c>
      <c r="V1118" s="131">
        <v>7700</v>
      </c>
      <c r="W1118" s="131">
        <v>7700</v>
      </c>
      <c r="X1118" s="131">
        <v>7695</v>
      </c>
      <c r="Y1118" s="131">
        <v>5</v>
      </c>
      <c r="Z1118" s="131">
        <v>7695</v>
      </c>
      <c r="AA1118" s="131">
        <v>5</v>
      </c>
      <c r="AB1118" s="131">
        <v>7695</v>
      </c>
      <c r="AC1118" s="131">
        <v>5</v>
      </c>
      <c r="AD1118" s="131">
        <v>3600</v>
      </c>
      <c r="AE1118" s="132">
        <v>4100</v>
      </c>
    </row>
    <row r="1119" spans="1:31" x14ac:dyDescent="0.2">
      <c r="A1119" s="133">
        <v>203</v>
      </c>
      <c r="B1119" s="133" t="s">
        <v>1841</v>
      </c>
      <c r="C1119" s="133" t="s">
        <v>1199</v>
      </c>
      <c r="D1119" s="133" t="s">
        <v>1865</v>
      </c>
      <c r="E1119" s="133" t="s">
        <v>1855</v>
      </c>
      <c r="F1119" s="133" t="s">
        <v>1117</v>
      </c>
      <c r="G1119" s="133" t="s">
        <v>1202</v>
      </c>
      <c r="H1119" s="133" t="s">
        <v>1203</v>
      </c>
      <c r="I1119" s="133" t="s">
        <v>1209</v>
      </c>
      <c r="J1119" s="133" t="s">
        <v>1210</v>
      </c>
      <c r="K1119" s="130" t="s">
        <v>1211</v>
      </c>
      <c r="L1119" s="130" t="s">
        <v>1890</v>
      </c>
      <c r="M1119" s="130" t="s">
        <v>1844</v>
      </c>
      <c r="N1119" s="130" t="s">
        <v>120</v>
      </c>
      <c r="O1119" s="130" t="s">
        <v>1860</v>
      </c>
      <c r="P1119" s="130" t="s">
        <v>1866</v>
      </c>
      <c r="Q1119" s="130" t="s">
        <v>1127</v>
      </c>
      <c r="R1119" s="130" t="s">
        <v>1191</v>
      </c>
      <c r="S1119" s="130" t="s">
        <v>1191</v>
      </c>
      <c r="T1119" s="130" t="s">
        <v>1891</v>
      </c>
      <c r="U1119" s="130">
        <v>0</v>
      </c>
      <c r="V1119" s="131">
        <v>18277</v>
      </c>
      <c r="W1119" s="131">
        <v>18277</v>
      </c>
      <c r="X1119" s="131">
        <v>18199.2</v>
      </c>
      <c r="Y1119" s="131">
        <v>77.799999999999272</v>
      </c>
      <c r="Z1119" s="131">
        <v>18199.2</v>
      </c>
      <c r="AA1119" s="131">
        <v>77.799999999999272</v>
      </c>
      <c r="AB1119" s="131">
        <v>18199.2</v>
      </c>
      <c r="AC1119" s="131">
        <v>77.799999999999272</v>
      </c>
      <c r="AD1119" s="131">
        <v>18199.2</v>
      </c>
      <c r="AE1119" s="132">
        <v>77.799999999999272</v>
      </c>
    </row>
    <row r="1120" spans="1:31" x14ac:dyDescent="0.2">
      <c r="A1120" s="133">
        <v>203</v>
      </c>
      <c r="B1120" s="133" t="s">
        <v>1841</v>
      </c>
      <c r="C1120" s="133" t="s">
        <v>1199</v>
      </c>
      <c r="D1120" s="133" t="s">
        <v>1865</v>
      </c>
      <c r="E1120" s="133" t="s">
        <v>1855</v>
      </c>
      <c r="F1120" s="133" t="s">
        <v>1117</v>
      </c>
      <c r="G1120" s="133" t="s">
        <v>1202</v>
      </c>
      <c r="H1120" s="133" t="s">
        <v>1203</v>
      </c>
      <c r="I1120" s="133" t="s">
        <v>1209</v>
      </c>
      <c r="J1120" s="130" t="s">
        <v>1340</v>
      </c>
      <c r="K1120" s="130" t="s">
        <v>1341</v>
      </c>
      <c r="L1120" s="130" t="s">
        <v>1890</v>
      </c>
      <c r="M1120" s="130" t="s">
        <v>1844</v>
      </c>
      <c r="N1120" s="130" t="s">
        <v>120</v>
      </c>
      <c r="O1120" s="130" t="s">
        <v>1860</v>
      </c>
      <c r="P1120" s="130" t="s">
        <v>1866</v>
      </c>
      <c r="Q1120" s="130" t="s">
        <v>1127</v>
      </c>
      <c r="R1120" s="130" t="s">
        <v>1191</v>
      </c>
      <c r="S1120" s="130" t="s">
        <v>1191</v>
      </c>
      <c r="T1120" s="130" t="s">
        <v>1891</v>
      </c>
      <c r="U1120" s="130">
        <v>0</v>
      </c>
      <c r="V1120" s="131">
        <v>35000</v>
      </c>
      <c r="W1120" s="131">
        <v>35000</v>
      </c>
      <c r="X1120" s="131">
        <v>0</v>
      </c>
      <c r="Y1120" s="131">
        <v>35000</v>
      </c>
      <c r="Z1120" s="131">
        <v>0</v>
      </c>
      <c r="AA1120" s="131">
        <v>35000</v>
      </c>
      <c r="AB1120" s="131">
        <v>0</v>
      </c>
      <c r="AC1120" s="131">
        <v>35000</v>
      </c>
      <c r="AD1120" s="131">
        <v>0</v>
      </c>
      <c r="AE1120" s="132">
        <v>35000</v>
      </c>
    </row>
    <row r="1121" spans="1:31" x14ac:dyDescent="0.2">
      <c r="A1121" s="133">
        <v>203</v>
      </c>
      <c r="B1121" s="133" t="s">
        <v>1841</v>
      </c>
      <c r="C1121" s="133" t="s">
        <v>1199</v>
      </c>
      <c r="D1121" s="133" t="s">
        <v>1865</v>
      </c>
      <c r="E1121" s="133" t="s">
        <v>1855</v>
      </c>
      <c r="F1121" s="133" t="s">
        <v>1117</v>
      </c>
      <c r="G1121" s="133" t="s">
        <v>1202</v>
      </c>
      <c r="H1121" s="133" t="s">
        <v>1203</v>
      </c>
      <c r="I1121" s="130" t="s">
        <v>1309</v>
      </c>
      <c r="J1121" s="130" t="s">
        <v>1310</v>
      </c>
      <c r="K1121" s="130" t="s">
        <v>1310</v>
      </c>
      <c r="L1121" s="130" t="s">
        <v>1890</v>
      </c>
      <c r="M1121" s="130" t="s">
        <v>1844</v>
      </c>
      <c r="N1121" s="130" t="s">
        <v>120</v>
      </c>
      <c r="O1121" s="130" t="s">
        <v>1860</v>
      </c>
      <c r="P1121" s="130" t="s">
        <v>1866</v>
      </c>
      <c r="Q1121" s="130" t="s">
        <v>1127</v>
      </c>
      <c r="R1121" s="130" t="s">
        <v>1191</v>
      </c>
      <c r="S1121" s="130" t="s">
        <v>1191</v>
      </c>
      <c r="T1121" s="130" t="s">
        <v>1891</v>
      </c>
      <c r="U1121" s="130">
        <v>120000</v>
      </c>
      <c r="V1121" s="131">
        <v>790200</v>
      </c>
      <c r="W1121" s="131">
        <v>910200</v>
      </c>
      <c r="X1121" s="131">
        <v>520450</v>
      </c>
      <c r="Y1121" s="131">
        <v>389750</v>
      </c>
      <c r="Z1121" s="131">
        <v>520450</v>
      </c>
      <c r="AA1121" s="131">
        <v>389750</v>
      </c>
      <c r="AB1121" s="131">
        <v>520450</v>
      </c>
      <c r="AC1121" s="131">
        <v>389750</v>
      </c>
      <c r="AD1121" s="131">
        <v>250700</v>
      </c>
      <c r="AE1121" s="132">
        <v>659500</v>
      </c>
    </row>
    <row r="1122" spans="1:31" x14ac:dyDescent="0.2">
      <c r="A1122" s="133">
        <v>203</v>
      </c>
      <c r="B1122" s="133" t="s">
        <v>1841</v>
      </c>
      <c r="C1122" s="133" t="s">
        <v>1199</v>
      </c>
      <c r="D1122" s="133" t="s">
        <v>1865</v>
      </c>
      <c r="E1122" s="133" t="s">
        <v>1855</v>
      </c>
      <c r="F1122" s="133" t="s">
        <v>1117</v>
      </c>
      <c r="G1122" s="130" t="s">
        <v>1118</v>
      </c>
      <c r="H1122" s="130" t="s">
        <v>1149</v>
      </c>
      <c r="I1122" s="130" t="s">
        <v>1182</v>
      </c>
      <c r="J1122" s="130" t="s">
        <v>1382</v>
      </c>
      <c r="K1122" s="130" t="s">
        <v>1383</v>
      </c>
      <c r="L1122" s="130" t="s">
        <v>1890</v>
      </c>
      <c r="M1122" s="130" t="s">
        <v>1844</v>
      </c>
      <c r="N1122" s="130" t="s">
        <v>120</v>
      </c>
      <c r="O1122" s="130" t="s">
        <v>1860</v>
      </c>
      <c r="P1122" s="130" t="s">
        <v>1866</v>
      </c>
      <c r="Q1122" s="130" t="s">
        <v>1127</v>
      </c>
      <c r="R1122" s="130" t="s">
        <v>1191</v>
      </c>
      <c r="S1122" s="130" t="s">
        <v>1191</v>
      </c>
      <c r="T1122" s="130" t="s">
        <v>1891</v>
      </c>
      <c r="U1122" s="130">
        <v>0</v>
      </c>
      <c r="V1122" s="131">
        <v>1500</v>
      </c>
      <c r="W1122" s="131">
        <v>1500</v>
      </c>
      <c r="X1122" s="131">
        <v>1290</v>
      </c>
      <c r="Y1122" s="131">
        <v>210</v>
      </c>
      <c r="Z1122" s="131">
        <v>1290</v>
      </c>
      <c r="AA1122" s="131">
        <v>210</v>
      </c>
      <c r="AB1122" s="131">
        <v>1290</v>
      </c>
      <c r="AC1122" s="131">
        <v>210</v>
      </c>
      <c r="AD1122" s="131">
        <v>1290</v>
      </c>
      <c r="AE1122" s="132">
        <v>210</v>
      </c>
    </row>
    <row r="1123" spans="1:31" x14ac:dyDescent="0.2">
      <c r="A1123" s="133">
        <v>203</v>
      </c>
      <c r="B1123" s="133" t="s">
        <v>1841</v>
      </c>
      <c r="C1123" s="133" t="s">
        <v>1199</v>
      </c>
      <c r="D1123" s="133" t="s">
        <v>1865</v>
      </c>
      <c r="E1123" s="133" t="s">
        <v>1855</v>
      </c>
      <c r="F1123" s="133" t="s">
        <v>1117</v>
      </c>
      <c r="G1123" s="133" t="s">
        <v>1118</v>
      </c>
      <c r="H1123" s="133" t="s">
        <v>1149</v>
      </c>
      <c r="I1123" s="133" t="s">
        <v>1182</v>
      </c>
      <c r="J1123" s="130" t="s">
        <v>1183</v>
      </c>
      <c r="K1123" s="130" t="s">
        <v>1184</v>
      </c>
      <c r="L1123" s="130" t="s">
        <v>1890</v>
      </c>
      <c r="M1123" s="130" t="s">
        <v>1844</v>
      </c>
      <c r="N1123" s="130" t="s">
        <v>120</v>
      </c>
      <c r="O1123" s="130" t="s">
        <v>1860</v>
      </c>
      <c r="P1123" s="130" t="s">
        <v>1866</v>
      </c>
      <c r="Q1123" s="130" t="s">
        <v>1127</v>
      </c>
      <c r="R1123" s="130" t="s">
        <v>1191</v>
      </c>
      <c r="S1123" s="130" t="s">
        <v>1191</v>
      </c>
      <c r="T1123" s="130" t="s">
        <v>1891</v>
      </c>
      <c r="U1123" s="130">
        <v>0</v>
      </c>
      <c r="V1123" s="131">
        <v>82000</v>
      </c>
      <c r="W1123" s="131">
        <v>82000</v>
      </c>
      <c r="X1123" s="131">
        <v>0</v>
      </c>
      <c r="Y1123" s="131">
        <v>82000</v>
      </c>
      <c r="Z1123" s="131">
        <v>0</v>
      </c>
      <c r="AA1123" s="131">
        <v>82000</v>
      </c>
      <c r="AB1123" s="131">
        <v>0</v>
      </c>
      <c r="AC1123" s="131">
        <v>82000</v>
      </c>
      <c r="AD1123" s="131">
        <v>0</v>
      </c>
      <c r="AE1123" s="132">
        <v>82000</v>
      </c>
    </row>
    <row r="1124" spans="1:31" x14ac:dyDescent="0.2">
      <c r="A1124" s="130">
        <v>204</v>
      </c>
      <c r="B1124" s="130" t="s">
        <v>1841</v>
      </c>
      <c r="C1124" s="130" t="s">
        <v>1199</v>
      </c>
      <c r="D1124" s="130" t="s">
        <v>1865</v>
      </c>
      <c r="E1124" s="130" t="s">
        <v>1201</v>
      </c>
      <c r="F1124" s="130" t="s">
        <v>1117</v>
      </c>
      <c r="G1124" s="130" t="s">
        <v>1276</v>
      </c>
      <c r="H1124" s="130" t="s">
        <v>1277</v>
      </c>
      <c r="I1124" s="130" t="s">
        <v>1278</v>
      </c>
      <c r="J1124" s="130" t="s">
        <v>1278</v>
      </c>
      <c r="K1124" s="130" t="s">
        <v>1279</v>
      </c>
      <c r="L1124" s="130" t="s">
        <v>1892</v>
      </c>
      <c r="M1124" s="130" t="s">
        <v>1844</v>
      </c>
      <c r="N1124" s="130" t="s">
        <v>120</v>
      </c>
      <c r="O1124" s="130" t="s">
        <v>1860</v>
      </c>
      <c r="P1124" s="130" t="s">
        <v>1866</v>
      </c>
      <c r="Q1124" s="130" t="s">
        <v>1127</v>
      </c>
      <c r="R1124" s="130" t="s">
        <v>1191</v>
      </c>
      <c r="S1124" s="130" t="s">
        <v>1157</v>
      </c>
      <c r="T1124" s="130" t="s">
        <v>1893</v>
      </c>
      <c r="U1124" s="130">
        <v>206400</v>
      </c>
      <c r="V1124" s="131">
        <v>-4184</v>
      </c>
      <c r="W1124" s="131">
        <v>202216</v>
      </c>
      <c r="X1124" s="131">
        <v>0</v>
      </c>
      <c r="Y1124" s="131">
        <v>202216</v>
      </c>
      <c r="Z1124" s="131">
        <v>0</v>
      </c>
      <c r="AA1124" s="131">
        <v>202216</v>
      </c>
      <c r="AB1124" s="131">
        <v>0</v>
      </c>
      <c r="AC1124" s="131">
        <v>202216</v>
      </c>
      <c r="AD1124" s="131">
        <v>0</v>
      </c>
      <c r="AE1124" s="132">
        <v>202216</v>
      </c>
    </row>
    <row r="1125" spans="1:31" x14ac:dyDescent="0.2">
      <c r="A1125" s="133">
        <v>204</v>
      </c>
      <c r="B1125" s="133" t="s">
        <v>1841</v>
      </c>
      <c r="C1125" s="133" t="s">
        <v>1199</v>
      </c>
      <c r="D1125" s="133" t="s">
        <v>1865</v>
      </c>
      <c r="E1125" s="133" t="s">
        <v>1201</v>
      </c>
      <c r="F1125" s="133" t="s">
        <v>1117</v>
      </c>
      <c r="G1125" s="133" t="s">
        <v>1276</v>
      </c>
      <c r="H1125" s="133" t="s">
        <v>1277</v>
      </c>
      <c r="I1125" s="133" t="s">
        <v>1278</v>
      </c>
      <c r="J1125" s="133" t="s">
        <v>1278</v>
      </c>
      <c r="K1125" s="130" t="s">
        <v>1281</v>
      </c>
      <c r="L1125" s="130" t="s">
        <v>1892</v>
      </c>
      <c r="M1125" s="130" t="s">
        <v>1844</v>
      </c>
      <c r="N1125" s="130" t="s">
        <v>120</v>
      </c>
      <c r="O1125" s="130" t="s">
        <v>1860</v>
      </c>
      <c r="P1125" s="130" t="s">
        <v>1866</v>
      </c>
      <c r="Q1125" s="130" t="s">
        <v>1127</v>
      </c>
      <c r="R1125" s="130" t="s">
        <v>1191</v>
      </c>
      <c r="S1125" s="130" t="s">
        <v>1157</v>
      </c>
      <c r="T1125" s="130" t="s">
        <v>1893</v>
      </c>
      <c r="U1125" s="130">
        <v>82560</v>
      </c>
      <c r="V1125" s="131">
        <v>-35000</v>
      </c>
      <c r="W1125" s="131">
        <v>47560</v>
      </c>
      <c r="X1125" s="131">
        <v>0</v>
      </c>
      <c r="Y1125" s="131">
        <v>47560</v>
      </c>
      <c r="Z1125" s="131">
        <v>0</v>
      </c>
      <c r="AA1125" s="131">
        <v>47560</v>
      </c>
      <c r="AB1125" s="131">
        <v>0</v>
      </c>
      <c r="AC1125" s="131">
        <v>47560</v>
      </c>
      <c r="AD1125" s="131">
        <v>0</v>
      </c>
      <c r="AE1125" s="132">
        <v>47560</v>
      </c>
    </row>
    <row r="1126" spans="1:31" x14ac:dyDescent="0.2">
      <c r="A1126" s="133">
        <v>204</v>
      </c>
      <c r="B1126" s="133" t="s">
        <v>1841</v>
      </c>
      <c r="C1126" s="133" t="s">
        <v>1199</v>
      </c>
      <c r="D1126" s="133" t="s">
        <v>1865</v>
      </c>
      <c r="E1126" s="133" t="s">
        <v>1201</v>
      </c>
      <c r="F1126" s="133" t="s">
        <v>1117</v>
      </c>
      <c r="G1126" s="133" t="s">
        <v>1276</v>
      </c>
      <c r="H1126" s="133" t="s">
        <v>1277</v>
      </c>
      <c r="I1126" s="130" t="s">
        <v>1285</v>
      </c>
      <c r="J1126" s="130" t="s">
        <v>1286</v>
      </c>
      <c r="K1126" s="130" t="s">
        <v>1287</v>
      </c>
      <c r="L1126" s="130" t="s">
        <v>1892</v>
      </c>
      <c r="M1126" s="130" t="s">
        <v>1844</v>
      </c>
      <c r="N1126" s="130" t="s">
        <v>120</v>
      </c>
      <c r="O1126" s="130" t="s">
        <v>1860</v>
      </c>
      <c r="P1126" s="130" t="s">
        <v>1866</v>
      </c>
      <c r="Q1126" s="130" t="s">
        <v>1127</v>
      </c>
      <c r="R1126" s="130" t="s">
        <v>1191</v>
      </c>
      <c r="S1126" s="130" t="s">
        <v>1157</v>
      </c>
      <c r="T1126" s="130" t="s">
        <v>1893</v>
      </c>
      <c r="U1126" s="130">
        <v>74400</v>
      </c>
      <c r="V1126" s="131">
        <v>-74400</v>
      </c>
      <c r="W1126" s="131">
        <v>0</v>
      </c>
      <c r="X1126" s="131">
        <v>0</v>
      </c>
      <c r="Y1126" s="131">
        <v>0</v>
      </c>
      <c r="Z1126" s="131">
        <v>0</v>
      </c>
      <c r="AA1126" s="131">
        <v>0</v>
      </c>
      <c r="AB1126" s="131">
        <v>0</v>
      </c>
      <c r="AC1126" s="131">
        <v>0</v>
      </c>
      <c r="AD1126" s="131">
        <v>0</v>
      </c>
      <c r="AE1126" s="132">
        <v>0</v>
      </c>
    </row>
    <row r="1127" spans="1:31" x14ac:dyDescent="0.2">
      <c r="A1127" s="133">
        <v>204</v>
      </c>
      <c r="B1127" s="133" t="s">
        <v>1841</v>
      </c>
      <c r="C1127" s="133" t="s">
        <v>1199</v>
      </c>
      <c r="D1127" s="133" t="s">
        <v>1865</v>
      </c>
      <c r="E1127" s="133" t="s">
        <v>1201</v>
      </c>
      <c r="F1127" s="133" t="s">
        <v>1117</v>
      </c>
      <c r="G1127" s="133" t="s">
        <v>1276</v>
      </c>
      <c r="H1127" s="133" t="s">
        <v>1277</v>
      </c>
      <c r="I1127" s="133" t="s">
        <v>1285</v>
      </c>
      <c r="J1127" s="133" t="s">
        <v>1286</v>
      </c>
      <c r="K1127" s="130" t="s">
        <v>1894</v>
      </c>
      <c r="L1127" s="130" t="s">
        <v>1892</v>
      </c>
      <c r="M1127" s="130" t="s">
        <v>1844</v>
      </c>
      <c r="N1127" s="130" t="s">
        <v>120</v>
      </c>
      <c r="O1127" s="130" t="s">
        <v>1860</v>
      </c>
      <c r="P1127" s="130" t="s">
        <v>1866</v>
      </c>
      <c r="Q1127" s="130" t="s">
        <v>1127</v>
      </c>
      <c r="R1127" s="130" t="s">
        <v>1191</v>
      </c>
      <c r="S1127" s="130" t="s">
        <v>1157</v>
      </c>
      <c r="T1127" s="130" t="s">
        <v>1893</v>
      </c>
      <c r="U1127" s="130">
        <v>62400</v>
      </c>
      <c r="V1127" s="131">
        <v>-62400</v>
      </c>
      <c r="W1127" s="131">
        <v>0</v>
      </c>
      <c r="X1127" s="131">
        <v>0</v>
      </c>
      <c r="Y1127" s="131">
        <v>0</v>
      </c>
      <c r="Z1127" s="131">
        <v>0</v>
      </c>
      <c r="AA1127" s="131">
        <v>0</v>
      </c>
      <c r="AB1127" s="131">
        <v>0</v>
      </c>
      <c r="AC1127" s="131">
        <v>0</v>
      </c>
      <c r="AD1127" s="131">
        <v>0</v>
      </c>
      <c r="AE1127" s="132">
        <v>0</v>
      </c>
    </row>
    <row r="1128" spans="1:31" x14ac:dyDescent="0.2">
      <c r="A1128" s="133">
        <v>204</v>
      </c>
      <c r="B1128" s="133" t="s">
        <v>1841</v>
      </c>
      <c r="C1128" s="133" t="s">
        <v>1199</v>
      </c>
      <c r="D1128" s="133" t="s">
        <v>1865</v>
      </c>
      <c r="E1128" s="133" t="s">
        <v>1201</v>
      </c>
      <c r="F1128" s="133" t="s">
        <v>1117</v>
      </c>
      <c r="G1128" s="133" t="s">
        <v>1276</v>
      </c>
      <c r="H1128" s="130" t="s">
        <v>1297</v>
      </c>
      <c r="I1128" s="130" t="s">
        <v>1298</v>
      </c>
      <c r="J1128" s="130" t="s">
        <v>1298</v>
      </c>
      <c r="K1128" s="130" t="s">
        <v>1299</v>
      </c>
      <c r="L1128" s="130" t="s">
        <v>1892</v>
      </c>
      <c r="M1128" s="130" t="s">
        <v>1844</v>
      </c>
      <c r="N1128" s="130" t="s">
        <v>120</v>
      </c>
      <c r="O1128" s="130" t="s">
        <v>1860</v>
      </c>
      <c r="P1128" s="130" t="s">
        <v>1866</v>
      </c>
      <c r="Q1128" s="130" t="s">
        <v>1127</v>
      </c>
      <c r="R1128" s="130" t="s">
        <v>1191</v>
      </c>
      <c r="S1128" s="130" t="s">
        <v>1157</v>
      </c>
      <c r="T1128" s="130" t="s">
        <v>1893</v>
      </c>
      <c r="U1128" s="130">
        <v>26096</v>
      </c>
      <c r="V1128" s="131">
        <v>-3376</v>
      </c>
      <c r="W1128" s="131">
        <v>22720</v>
      </c>
      <c r="X1128" s="131">
        <v>0</v>
      </c>
      <c r="Y1128" s="131">
        <v>22720</v>
      </c>
      <c r="Z1128" s="131">
        <v>0</v>
      </c>
      <c r="AA1128" s="131">
        <v>22720</v>
      </c>
      <c r="AB1128" s="131">
        <v>0</v>
      </c>
      <c r="AC1128" s="131">
        <v>22720</v>
      </c>
      <c r="AD1128" s="131">
        <v>0</v>
      </c>
      <c r="AE1128" s="132">
        <v>22720</v>
      </c>
    </row>
    <row r="1129" spans="1:31" x14ac:dyDescent="0.2">
      <c r="A1129" s="133">
        <v>204</v>
      </c>
      <c r="B1129" s="133" t="s">
        <v>1841</v>
      </c>
      <c r="C1129" s="133" t="s">
        <v>1199</v>
      </c>
      <c r="D1129" s="133" t="s">
        <v>1865</v>
      </c>
      <c r="E1129" s="133" t="s">
        <v>1201</v>
      </c>
      <c r="F1129" s="133" t="s">
        <v>1117</v>
      </c>
      <c r="G1129" s="133" t="s">
        <v>1276</v>
      </c>
      <c r="H1129" s="133" t="s">
        <v>1297</v>
      </c>
      <c r="I1129" s="133" t="s">
        <v>1298</v>
      </c>
      <c r="J1129" s="133" t="s">
        <v>1298</v>
      </c>
      <c r="K1129" s="130" t="s">
        <v>1300</v>
      </c>
      <c r="L1129" s="130" t="s">
        <v>1892</v>
      </c>
      <c r="M1129" s="130" t="s">
        <v>1844</v>
      </c>
      <c r="N1129" s="130" t="s">
        <v>120</v>
      </c>
      <c r="O1129" s="130" t="s">
        <v>1860</v>
      </c>
      <c r="P1129" s="130" t="s">
        <v>1866</v>
      </c>
      <c r="Q1129" s="130" t="s">
        <v>1127</v>
      </c>
      <c r="R1129" s="130" t="s">
        <v>1191</v>
      </c>
      <c r="S1129" s="130" t="s">
        <v>1157</v>
      </c>
      <c r="T1129" s="130" t="s">
        <v>1893</v>
      </c>
      <c r="U1129" s="130">
        <v>8860</v>
      </c>
      <c r="V1129" s="131">
        <v>-8860</v>
      </c>
      <c r="W1129" s="131">
        <v>0</v>
      </c>
      <c r="X1129" s="131">
        <v>0</v>
      </c>
      <c r="Y1129" s="131">
        <v>0</v>
      </c>
      <c r="Z1129" s="131">
        <v>0</v>
      </c>
      <c r="AA1129" s="131">
        <v>0</v>
      </c>
      <c r="AB1129" s="131">
        <v>0</v>
      </c>
      <c r="AC1129" s="131">
        <v>0</v>
      </c>
      <c r="AD1129" s="131">
        <v>0</v>
      </c>
      <c r="AE1129" s="132">
        <v>0</v>
      </c>
    </row>
    <row r="1130" spans="1:31" x14ac:dyDescent="0.2">
      <c r="A1130" s="133">
        <v>204</v>
      </c>
      <c r="B1130" s="133" t="s">
        <v>1841</v>
      </c>
      <c r="C1130" s="133" t="s">
        <v>1199</v>
      </c>
      <c r="D1130" s="133" t="s">
        <v>1865</v>
      </c>
      <c r="E1130" s="133" t="s">
        <v>1201</v>
      </c>
      <c r="F1130" s="133" t="s">
        <v>1117</v>
      </c>
      <c r="G1130" s="133" t="s">
        <v>1276</v>
      </c>
      <c r="H1130" s="130" t="s">
        <v>1514</v>
      </c>
      <c r="I1130" s="130" t="s">
        <v>1515</v>
      </c>
      <c r="J1130" s="130" t="s">
        <v>1515</v>
      </c>
      <c r="K1130" s="130" t="s">
        <v>1516</v>
      </c>
      <c r="L1130" s="130" t="s">
        <v>1892</v>
      </c>
      <c r="M1130" s="130" t="s">
        <v>1844</v>
      </c>
      <c r="N1130" s="130" t="s">
        <v>120</v>
      </c>
      <c r="O1130" s="130" t="s">
        <v>1860</v>
      </c>
      <c r="P1130" s="130" t="s">
        <v>1866</v>
      </c>
      <c r="Q1130" s="130" t="s">
        <v>1127</v>
      </c>
      <c r="R1130" s="130" t="s">
        <v>1191</v>
      </c>
      <c r="S1130" s="130" t="s">
        <v>1157</v>
      </c>
      <c r="T1130" s="130" t="s">
        <v>1893</v>
      </c>
      <c r="U1130" s="130">
        <v>7151</v>
      </c>
      <c r="V1130" s="131">
        <v>0</v>
      </c>
      <c r="W1130" s="131">
        <v>7151</v>
      </c>
      <c r="X1130" s="131">
        <v>0</v>
      </c>
      <c r="Y1130" s="131">
        <v>7151</v>
      </c>
      <c r="Z1130" s="131">
        <v>0</v>
      </c>
      <c r="AA1130" s="131">
        <v>7151</v>
      </c>
      <c r="AB1130" s="131">
        <v>0</v>
      </c>
      <c r="AC1130" s="131">
        <v>7151</v>
      </c>
      <c r="AD1130" s="131">
        <v>0</v>
      </c>
      <c r="AE1130" s="132">
        <v>7151</v>
      </c>
    </row>
    <row r="1131" spans="1:31" x14ac:dyDescent="0.2">
      <c r="A1131" s="130">
        <v>205</v>
      </c>
      <c r="B1131" s="130" t="s">
        <v>1841</v>
      </c>
      <c r="C1131" s="130" t="s">
        <v>1199</v>
      </c>
      <c r="D1131" s="130" t="s">
        <v>1865</v>
      </c>
      <c r="E1131" s="130" t="s">
        <v>1201</v>
      </c>
      <c r="F1131" s="130" t="s">
        <v>1117</v>
      </c>
      <c r="G1131" s="130" t="s">
        <v>1276</v>
      </c>
      <c r="H1131" s="130" t="s">
        <v>1297</v>
      </c>
      <c r="I1131" s="130" t="s">
        <v>1298</v>
      </c>
      <c r="J1131" s="130" t="s">
        <v>1298</v>
      </c>
      <c r="K1131" s="130" t="s">
        <v>1895</v>
      </c>
      <c r="L1131" s="130" t="s">
        <v>1896</v>
      </c>
      <c r="M1131" s="130" t="s">
        <v>1844</v>
      </c>
      <c r="N1131" s="130" t="s">
        <v>120</v>
      </c>
      <c r="O1131" s="130" t="s">
        <v>1860</v>
      </c>
      <c r="P1131" s="130" t="s">
        <v>1866</v>
      </c>
      <c r="Q1131" s="130" t="s">
        <v>1127</v>
      </c>
      <c r="R1131" s="130" t="s">
        <v>1191</v>
      </c>
      <c r="S1131" s="130" t="s">
        <v>1191</v>
      </c>
      <c r="T1131" s="130" t="s">
        <v>1897</v>
      </c>
      <c r="U1131" s="130">
        <v>114535</v>
      </c>
      <c r="V1131" s="131">
        <v>0</v>
      </c>
      <c r="W1131" s="131">
        <v>114535</v>
      </c>
      <c r="X1131" s="131">
        <v>114535</v>
      </c>
      <c r="Y1131" s="131">
        <v>0</v>
      </c>
      <c r="Z1131" s="131">
        <v>114535</v>
      </c>
      <c r="AA1131" s="131">
        <v>0</v>
      </c>
      <c r="AB1131" s="131">
        <v>47722.85</v>
      </c>
      <c r="AC1131" s="131">
        <v>66812.149999999994</v>
      </c>
      <c r="AD1131" s="131">
        <v>47722.85</v>
      </c>
      <c r="AE1131" s="132">
        <v>66812.149999999994</v>
      </c>
    </row>
    <row r="1132" spans="1:31" x14ac:dyDescent="0.2">
      <c r="A1132" s="130">
        <v>206</v>
      </c>
      <c r="B1132" s="130" t="s">
        <v>1841</v>
      </c>
      <c r="C1132" s="130" t="s">
        <v>1199</v>
      </c>
      <c r="D1132" s="130" t="s">
        <v>1865</v>
      </c>
      <c r="E1132" s="130" t="s">
        <v>1201</v>
      </c>
      <c r="F1132" s="130" t="s">
        <v>1117</v>
      </c>
      <c r="G1132" s="130" t="s">
        <v>1202</v>
      </c>
      <c r="H1132" s="130" t="s">
        <v>1216</v>
      </c>
      <c r="I1132" s="130" t="s">
        <v>1222</v>
      </c>
      <c r="J1132" s="130" t="s">
        <v>1304</v>
      </c>
      <c r="K1132" s="130" t="s">
        <v>1305</v>
      </c>
      <c r="L1132" s="130" t="s">
        <v>1898</v>
      </c>
      <c r="M1132" s="130" t="s">
        <v>1844</v>
      </c>
      <c r="N1132" s="130" t="s">
        <v>1511</v>
      </c>
      <c r="O1132" s="130" t="s">
        <v>1860</v>
      </c>
      <c r="P1132" s="130" t="s">
        <v>1866</v>
      </c>
      <c r="Q1132" s="130" t="s">
        <v>1127</v>
      </c>
      <c r="R1132" s="130" t="s">
        <v>1191</v>
      </c>
      <c r="S1132" s="130" t="s">
        <v>1157</v>
      </c>
      <c r="T1132" s="130" t="s">
        <v>1142</v>
      </c>
      <c r="U1132" s="130">
        <v>0</v>
      </c>
      <c r="V1132" s="131">
        <v>1252</v>
      </c>
      <c r="W1132" s="131">
        <v>1252</v>
      </c>
      <c r="X1132" s="131">
        <v>0</v>
      </c>
      <c r="Y1132" s="131">
        <v>1252</v>
      </c>
      <c r="Z1132" s="131">
        <v>0</v>
      </c>
      <c r="AA1132" s="131">
        <v>1252</v>
      </c>
      <c r="AB1132" s="131">
        <v>0</v>
      </c>
      <c r="AC1132" s="131">
        <v>1252</v>
      </c>
      <c r="AD1132" s="131">
        <v>0</v>
      </c>
      <c r="AE1132" s="132">
        <v>1252</v>
      </c>
    </row>
    <row r="1133" spans="1:31" x14ac:dyDescent="0.2">
      <c r="A1133" s="133">
        <v>206</v>
      </c>
      <c r="B1133" s="133" t="s">
        <v>1841</v>
      </c>
      <c r="C1133" s="133" t="s">
        <v>1199</v>
      </c>
      <c r="D1133" s="133" t="s">
        <v>1865</v>
      </c>
      <c r="E1133" s="133" t="s">
        <v>1201</v>
      </c>
      <c r="F1133" s="133" t="s">
        <v>1117</v>
      </c>
      <c r="G1133" s="133" t="s">
        <v>1202</v>
      </c>
      <c r="H1133" s="130" t="s">
        <v>1203</v>
      </c>
      <c r="I1133" s="130" t="s">
        <v>1209</v>
      </c>
      <c r="J1133" s="130" t="s">
        <v>1210</v>
      </c>
      <c r="K1133" s="130" t="s">
        <v>1273</v>
      </c>
      <c r="L1133" s="130" t="s">
        <v>1898</v>
      </c>
      <c r="M1133" s="130" t="s">
        <v>1844</v>
      </c>
      <c r="N1133" s="130" t="s">
        <v>1511</v>
      </c>
      <c r="O1133" s="130" t="s">
        <v>1860</v>
      </c>
      <c r="P1133" s="130" t="s">
        <v>1866</v>
      </c>
      <c r="Q1133" s="130" t="s">
        <v>1127</v>
      </c>
      <c r="R1133" s="130" t="s">
        <v>1191</v>
      </c>
      <c r="S1133" s="130" t="s">
        <v>1157</v>
      </c>
      <c r="T1133" s="130" t="s">
        <v>1142</v>
      </c>
      <c r="U1133" s="130">
        <v>1252</v>
      </c>
      <c r="V1133" s="131">
        <v>-1252</v>
      </c>
      <c r="W1133" s="131">
        <v>0</v>
      </c>
      <c r="X1133" s="131">
        <v>0</v>
      </c>
      <c r="Y1133" s="131">
        <v>0</v>
      </c>
      <c r="Z1133" s="131">
        <v>0</v>
      </c>
      <c r="AA1133" s="131">
        <v>0</v>
      </c>
      <c r="AB1133" s="131">
        <v>0</v>
      </c>
      <c r="AC1133" s="131">
        <v>0</v>
      </c>
      <c r="AD1133" s="131">
        <v>0</v>
      </c>
      <c r="AE1133" s="132">
        <v>0</v>
      </c>
    </row>
    <row r="1134" spans="1:31" x14ac:dyDescent="0.2">
      <c r="A1134" s="133">
        <v>206</v>
      </c>
      <c r="B1134" s="133" t="s">
        <v>1841</v>
      </c>
      <c r="C1134" s="133" t="s">
        <v>1199</v>
      </c>
      <c r="D1134" s="133" t="s">
        <v>1865</v>
      </c>
      <c r="E1134" s="130" t="s">
        <v>1855</v>
      </c>
      <c r="F1134" s="130" t="s">
        <v>1117</v>
      </c>
      <c r="G1134" s="130" t="s">
        <v>1202</v>
      </c>
      <c r="H1134" s="130" t="s">
        <v>1216</v>
      </c>
      <c r="I1134" s="130" t="s">
        <v>1301</v>
      </c>
      <c r="J1134" s="130" t="s">
        <v>1301</v>
      </c>
      <c r="K1134" s="130" t="s">
        <v>1302</v>
      </c>
      <c r="L1134" s="130" t="s">
        <v>1898</v>
      </c>
      <c r="M1134" s="130" t="s">
        <v>1844</v>
      </c>
      <c r="N1134" s="130" t="s">
        <v>1511</v>
      </c>
      <c r="O1134" s="130" t="s">
        <v>1860</v>
      </c>
      <c r="P1134" s="130" t="s">
        <v>1866</v>
      </c>
      <c r="Q1134" s="130" t="s">
        <v>1127</v>
      </c>
      <c r="R1134" s="130" t="s">
        <v>1191</v>
      </c>
      <c r="S1134" s="130" t="s">
        <v>1157</v>
      </c>
      <c r="T1134" s="130" t="s">
        <v>1142</v>
      </c>
      <c r="U1134" s="130">
        <v>30000</v>
      </c>
      <c r="V1134" s="131">
        <v>0</v>
      </c>
      <c r="W1134" s="131">
        <v>30000</v>
      </c>
      <c r="X1134" s="131">
        <v>0</v>
      </c>
      <c r="Y1134" s="131">
        <v>30000</v>
      </c>
      <c r="Z1134" s="131">
        <v>0</v>
      </c>
      <c r="AA1134" s="131">
        <v>30000</v>
      </c>
      <c r="AB1134" s="131">
        <v>0</v>
      </c>
      <c r="AC1134" s="131">
        <v>30000</v>
      </c>
      <c r="AD1134" s="131">
        <v>0</v>
      </c>
      <c r="AE1134" s="132">
        <v>30000</v>
      </c>
    </row>
    <row r="1135" spans="1:31" x14ac:dyDescent="0.2">
      <c r="A1135" s="133">
        <v>206</v>
      </c>
      <c r="B1135" s="133" t="s">
        <v>1841</v>
      </c>
      <c r="C1135" s="133" t="s">
        <v>1199</v>
      </c>
      <c r="D1135" s="133" t="s">
        <v>1865</v>
      </c>
      <c r="E1135" s="133" t="s">
        <v>1855</v>
      </c>
      <c r="F1135" s="133" t="s">
        <v>1117</v>
      </c>
      <c r="G1135" s="133" t="s">
        <v>1202</v>
      </c>
      <c r="H1135" s="133" t="s">
        <v>1216</v>
      </c>
      <c r="I1135" s="130" t="s">
        <v>1217</v>
      </c>
      <c r="J1135" s="130" t="s">
        <v>1218</v>
      </c>
      <c r="K1135" s="130" t="s">
        <v>1219</v>
      </c>
      <c r="L1135" s="130" t="s">
        <v>1898</v>
      </c>
      <c r="M1135" s="130" t="s">
        <v>1844</v>
      </c>
      <c r="N1135" s="130" t="s">
        <v>1511</v>
      </c>
      <c r="O1135" s="130" t="s">
        <v>1860</v>
      </c>
      <c r="P1135" s="130" t="s">
        <v>1866</v>
      </c>
      <c r="Q1135" s="130" t="s">
        <v>1127</v>
      </c>
      <c r="R1135" s="130" t="s">
        <v>1191</v>
      </c>
      <c r="S1135" s="130" t="s">
        <v>1157</v>
      </c>
      <c r="T1135" s="130" t="s">
        <v>1142</v>
      </c>
      <c r="U1135" s="130">
        <v>15000</v>
      </c>
      <c r="V1135" s="131">
        <v>0</v>
      </c>
      <c r="W1135" s="131">
        <v>15000</v>
      </c>
      <c r="X1135" s="131">
        <v>0</v>
      </c>
      <c r="Y1135" s="131">
        <v>15000</v>
      </c>
      <c r="Z1135" s="131">
        <v>0</v>
      </c>
      <c r="AA1135" s="131">
        <v>15000</v>
      </c>
      <c r="AB1135" s="131">
        <v>0</v>
      </c>
      <c r="AC1135" s="131">
        <v>15000</v>
      </c>
      <c r="AD1135" s="131">
        <v>0</v>
      </c>
      <c r="AE1135" s="132">
        <v>15000</v>
      </c>
    </row>
    <row r="1136" spans="1:31" x14ac:dyDescent="0.2">
      <c r="A1136" s="133">
        <v>206</v>
      </c>
      <c r="B1136" s="133" t="s">
        <v>1841</v>
      </c>
      <c r="C1136" s="133" t="s">
        <v>1199</v>
      </c>
      <c r="D1136" s="133" t="s">
        <v>1865</v>
      </c>
      <c r="E1136" s="133" t="s">
        <v>1855</v>
      </c>
      <c r="F1136" s="133" t="s">
        <v>1117</v>
      </c>
      <c r="G1136" s="133" t="s">
        <v>1202</v>
      </c>
      <c r="H1136" s="133" t="s">
        <v>1216</v>
      </c>
      <c r="I1136" s="130" t="s">
        <v>1222</v>
      </c>
      <c r="J1136" s="130" t="s">
        <v>1245</v>
      </c>
      <c r="K1136" s="130" t="s">
        <v>1246</v>
      </c>
      <c r="L1136" s="130" t="s">
        <v>1898</v>
      </c>
      <c r="M1136" s="130" t="s">
        <v>1844</v>
      </c>
      <c r="N1136" s="130" t="s">
        <v>1511</v>
      </c>
      <c r="O1136" s="130" t="s">
        <v>1860</v>
      </c>
      <c r="P1136" s="130" t="s">
        <v>1866</v>
      </c>
      <c r="Q1136" s="130" t="s">
        <v>1127</v>
      </c>
      <c r="R1136" s="130" t="s">
        <v>1191</v>
      </c>
      <c r="S1136" s="130" t="s">
        <v>1157</v>
      </c>
      <c r="T1136" s="130" t="s">
        <v>1142</v>
      </c>
      <c r="U1136" s="130">
        <v>5000</v>
      </c>
      <c r="V1136" s="131">
        <v>0</v>
      </c>
      <c r="W1136" s="131">
        <v>5000</v>
      </c>
      <c r="X1136" s="131">
        <v>0</v>
      </c>
      <c r="Y1136" s="131">
        <v>5000</v>
      </c>
      <c r="Z1136" s="131">
        <v>0</v>
      </c>
      <c r="AA1136" s="131">
        <v>5000</v>
      </c>
      <c r="AB1136" s="131">
        <v>0</v>
      </c>
      <c r="AC1136" s="131">
        <v>5000</v>
      </c>
      <c r="AD1136" s="131">
        <v>0</v>
      </c>
      <c r="AE1136" s="132">
        <v>5000</v>
      </c>
    </row>
    <row r="1137" spans="1:31" x14ac:dyDescent="0.2">
      <c r="A1137" s="133">
        <v>206</v>
      </c>
      <c r="B1137" s="133" t="s">
        <v>1841</v>
      </c>
      <c r="C1137" s="133" t="s">
        <v>1199</v>
      </c>
      <c r="D1137" s="133" t="s">
        <v>1865</v>
      </c>
      <c r="E1137" s="133" t="s">
        <v>1855</v>
      </c>
      <c r="F1137" s="133" t="s">
        <v>1117</v>
      </c>
      <c r="G1137" s="133" t="s">
        <v>1202</v>
      </c>
      <c r="H1137" s="130" t="s">
        <v>1203</v>
      </c>
      <c r="I1137" s="130" t="s">
        <v>1209</v>
      </c>
      <c r="J1137" s="130" t="s">
        <v>1210</v>
      </c>
      <c r="K1137" s="130" t="s">
        <v>1539</v>
      </c>
      <c r="L1137" s="130" t="s">
        <v>1898</v>
      </c>
      <c r="M1137" s="130" t="s">
        <v>1844</v>
      </c>
      <c r="N1137" s="130" t="s">
        <v>1511</v>
      </c>
      <c r="O1137" s="130" t="s">
        <v>1860</v>
      </c>
      <c r="P1137" s="130" t="s">
        <v>1866</v>
      </c>
      <c r="Q1137" s="130" t="s">
        <v>1127</v>
      </c>
      <c r="R1137" s="130" t="s">
        <v>1191</v>
      </c>
      <c r="S1137" s="130" t="s">
        <v>1157</v>
      </c>
      <c r="T1137" s="130" t="s">
        <v>1142</v>
      </c>
      <c r="U1137" s="130">
        <v>4000</v>
      </c>
      <c r="V1137" s="131">
        <v>0</v>
      </c>
      <c r="W1137" s="131">
        <v>4000</v>
      </c>
      <c r="X1137" s="131">
        <v>0</v>
      </c>
      <c r="Y1137" s="131">
        <v>4000</v>
      </c>
      <c r="Z1137" s="131">
        <v>0</v>
      </c>
      <c r="AA1137" s="131">
        <v>4000</v>
      </c>
      <c r="AB1137" s="131">
        <v>0</v>
      </c>
      <c r="AC1137" s="131">
        <v>4000</v>
      </c>
      <c r="AD1137" s="131">
        <v>0</v>
      </c>
      <c r="AE1137" s="132">
        <v>4000</v>
      </c>
    </row>
    <row r="1138" spans="1:31" x14ac:dyDescent="0.2">
      <c r="A1138" s="133">
        <v>206</v>
      </c>
      <c r="B1138" s="133" t="s">
        <v>1841</v>
      </c>
      <c r="C1138" s="133" t="s">
        <v>1199</v>
      </c>
      <c r="D1138" s="133" t="s">
        <v>1865</v>
      </c>
      <c r="E1138" s="133" t="s">
        <v>1855</v>
      </c>
      <c r="F1138" s="133" t="s">
        <v>1117</v>
      </c>
      <c r="G1138" s="133" t="s">
        <v>1202</v>
      </c>
      <c r="H1138" s="133" t="s">
        <v>1203</v>
      </c>
      <c r="I1138" s="133" t="s">
        <v>1209</v>
      </c>
      <c r="J1138" s="133" t="s">
        <v>1210</v>
      </c>
      <c r="K1138" s="130" t="s">
        <v>1211</v>
      </c>
      <c r="L1138" s="130" t="s">
        <v>1898</v>
      </c>
      <c r="M1138" s="130" t="s">
        <v>1844</v>
      </c>
      <c r="N1138" s="130" t="s">
        <v>1511</v>
      </c>
      <c r="O1138" s="130" t="s">
        <v>1860</v>
      </c>
      <c r="P1138" s="130" t="s">
        <v>1866</v>
      </c>
      <c r="Q1138" s="130" t="s">
        <v>1127</v>
      </c>
      <c r="R1138" s="130" t="s">
        <v>1191</v>
      </c>
      <c r="S1138" s="130" t="s">
        <v>1157</v>
      </c>
      <c r="T1138" s="130" t="s">
        <v>1142</v>
      </c>
      <c r="U1138" s="130">
        <v>11000</v>
      </c>
      <c r="V1138" s="131">
        <v>0</v>
      </c>
      <c r="W1138" s="131">
        <v>11000</v>
      </c>
      <c r="X1138" s="131">
        <v>1450</v>
      </c>
      <c r="Y1138" s="131">
        <v>9550</v>
      </c>
      <c r="Z1138" s="131">
        <v>1450</v>
      </c>
      <c r="AA1138" s="131">
        <v>9550</v>
      </c>
      <c r="AB1138" s="131">
        <v>1450</v>
      </c>
      <c r="AC1138" s="131">
        <v>9550</v>
      </c>
      <c r="AD1138" s="131">
        <v>1450</v>
      </c>
      <c r="AE1138" s="132">
        <v>9550</v>
      </c>
    </row>
    <row r="1139" spans="1:31" x14ac:dyDescent="0.2">
      <c r="A1139" s="130">
        <v>207</v>
      </c>
      <c r="B1139" s="130" t="s">
        <v>1841</v>
      </c>
      <c r="C1139" s="130" t="s">
        <v>1199</v>
      </c>
      <c r="D1139" s="130" t="s">
        <v>1865</v>
      </c>
      <c r="E1139" s="130" t="s">
        <v>1201</v>
      </c>
      <c r="F1139" s="130" t="s">
        <v>1117</v>
      </c>
      <c r="G1139" s="130" t="s">
        <v>1276</v>
      </c>
      <c r="H1139" s="130" t="s">
        <v>1277</v>
      </c>
      <c r="I1139" s="130" t="s">
        <v>1278</v>
      </c>
      <c r="J1139" s="130" t="s">
        <v>1278</v>
      </c>
      <c r="K1139" s="130" t="s">
        <v>1279</v>
      </c>
      <c r="L1139" s="130" t="s">
        <v>1859</v>
      </c>
      <c r="M1139" s="130" t="s">
        <v>1844</v>
      </c>
      <c r="N1139" s="130" t="s">
        <v>1351</v>
      </c>
      <c r="O1139" s="130" t="s">
        <v>1860</v>
      </c>
      <c r="P1139" s="130" t="s">
        <v>1866</v>
      </c>
      <c r="Q1139" s="130" t="s">
        <v>1127</v>
      </c>
      <c r="R1139" s="130" t="s">
        <v>1191</v>
      </c>
      <c r="S1139" s="130" t="s">
        <v>1157</v>
      </c>
      <c r="T1139" s="130" t="s">
        <v>1847</v>
      </c>
      <c r="U1139" s="130">
        <v>238781</v>
      </c>
      <c r="V1139" s="131">
        <v>-13407</v>
      </c>
      <c r="W1139" s="131">
        <v>225374</v>
      </c>
      <c r="X1139" s="131">
        <v>225374</v>
      </c>
      <c r="Y1139" s="131">
        <v>0</v>
      </c>
      <c r="Z1139" s="131">
        <v>225374</v>
      </c>
      <c r="AA1139" s="131">
        <v>0</v>
      </c>
      <c r="AB1139" s="131">
        <v>98843.85</v>
      </c>
      <c r="AC1139" s="131">
        <v>126530.15</v>
      </c>
      <c r="AD1139" s="131">
        <v>98843.85</v>
      </c>
      <c r="AE1139" s="132">
        <v>126530.15</v>
      </c>
    </row>
    <row r="1140" spans="1:31" x14ac:dyDescent="0.2">
      <c r="A1140" s="133">
        <v>207</v>
      </c>
      <c r="B1140" s="133" t="s">
        <v>1841</v>
      </c>
      <c r="C1140" s="133" t="s">
        <v>1199</v>
      </c>
      <c r="D1140" s="133" t="s">
        <v>1865</v>
      </c>
      <c r="E1140" s="133" t="s">
        <v>1201</v>
      </c>
      <c r="F1140" s="133" t="s">
        <v>1117</v>
      </c>
      <c r="G1140" s="133" t="s">
        <v>1276</v>
      </c>
      <c r="H1140" s="133" t="s">
        <v>1277</v>
      </c>
      <c r="I1140" s="133" t="s">
        <v>1278</v>
      </c>
      <c r="J1140" s="133" t="s">
        <v>1278</v>
      </c>
      <c r="K1140" s="130" t="s">
        <v>1281</v>
      </c>
      <c r="L1140" s="130" t="s">
        <v>1859</v>
      </c>
      <c r="M1140" s="130" t="s">
        <v>1844</v>
      </c>
      <c r="N1140" s="130" t="s">
        <v>1351</v>
      </c>
      <c r="O1140" s="130" t="s">
        <v>1860</v>
      </c>
      <c r="P1140" s="130" t="s">
        <v>1866</v>
      </c>
      <c r="Q1140" s="130" t="s">
        <v>1127</v>
      </c>
      <c r="R1140" s="130" t="s">
        <v>1191</v>
      </c>
      <c r="S1140" s="130" t="s">
        <v>1157</v>
      </c>
      <c r="T1140" s="130" t="s">
        <v>1847</v>
      </c>
      <c r="U1140" s="130">
        <v>46026</v>
      </c>
      <c r="V1140" s="131">
        <v>13407</v>
      </c>
      <c r="W1140" s="131">
        <v>59433</v>
      </c>
      <c r="X1140" s="131">
        <v>59433</v>
      </c>
      <c r="Y1140" s="131">
        <v>0</v>
      </c>
      <c r="Z1140" s="131">
        <v>59433</v>
      </c>
      <c r="AA1140" s="131">
        <v>0</v>
      </c>
      <c r="AB1140" s="131">
        <v>59432.71</v>
      </c>
      <c r="AC1140" s="131">
        <v>0.29000000000087311</v>
      </c>
      <c r="AD1140" s="131">
        <v>59432.71</v>
      </c>
      <c r="AE1140" s="132">
        <v>0.29000000000087311</v>
      </c>
    </row>
    <row r="1141" spans="1:31" x14ac:dyDescent="0.2">
      <c r="A1141" s="133">
        <v>207</v>
      </c>
      <c r="B1141" s="133" t="s">
        <v>1841</v>
      </c>
      <c r="C1141" s="133" t="s">
        <v>1199</v>
      </c>
      <c r="D1141" s="133" t="s">
        <v>1865</v>
      </c>
      <c r="E1141" s="133" t="s">
        <v>1201</v>
      </c>
      <c r="F1141" s="133" t="s">
        <v>1117</v>
      </c>
      <c r="G1141" s="133" t="s">
        <v>1276</v>
      </c>
      <c r="H1141" s="133" t="s">
        <v>1277</v>
      </c>
      <c r="I1141" s="133" t="s">
        <v>1278</v>
      </c>
      <c r="J1141" s="133" t="s">
        <v>1278</v>
      </c>
      <c r="K1141" s="130" t="s">
        <v>1282</v>
      </c>
      <c r="L1141" s="130" t="s">
        <v>1859</v>
      </c>
      <c r="M1141" s="130" t="s">
        <v>1844</v>
      </c>
      <c r="N1141" s="130" t="s">
        <v>1351</v>
      </c>
      <c r="O1141" s="130" t="s">
        <v>1860</v>
      </c>
      <c r="P1141" s="130" t="s">
        <v>1866</v>
      </c>
      <c r="Q1141" s="130" t="s">
        <v>1127</v>
      </c>
      <c r="R1141" s="130" t="s">
        <v>1191</v>
      </c>
      <c r="S1141" s="130" t="s">
        <v>1157</v>
      </c>
      <c r="T1141" s="130" t="s">
        <v>1847</v>
      </c>
      <c r="U1141" s="130">
        <v>15654</v>
      </c>
      <c r="V1141" s="131">
        <v>0</v>
      </c>
      <c r="W1141" s="131">
        <v>15654</v>
      </c>
      <c r="X1141" s="131">
        <v>15654</v>
      </c>
      <c r="Y1141" s="131">
        <v>0</v>
      </c>
      <c r="Z1141" s="131">
        <v>15654</v>
      </c>
      <c r="AA1141" s="131">
        <v>0</v>
      </c>
      <c r="AB1141" s="131">
        <v>10748.4</v>
      </c>
      <c r="AC1141" s="131">
        <v>4905.6000000000004</v>
      </c>
      <c r="AD1141" s="131">
        <v>10748.4</v>
      </c>
      <c r="AE1141" s="132">
        <v>4905.6000000000004</v>
      </c>
    </row>
    <row r="1142" spans="1:31" x14ac:dyDescent="0.2">
      <c r="A1142" s="133">
        <v>207</v>
      </c>
      <c r="B1142" s="133" t="s">
        <v>1841</v>
      </c>
      <c r="C1142" s="133" t="s">
        <v>1199</v>
      </c>
      <c r="D1142" s="133" t="s">
        <v>1865</v>
      </c>
      <c r="E1142" s="133" t="s">
        <v>1201</v>
      </c>
      <c r="F1142" s="133" t="s">
        <v>1117</v>
      </c>
      <c r="G1142" s="133" t="s">
        <v>1276</v>
      </c>
      <c r="H1142" s="133" t="s">
        <v>1277</v>
      </c>
      <c r="I1142" s="133" t="s">
        <v>1278</v>
      </c>
      <c r="J1142" s="130" t="s">
        <v>1283</v>
      </c>
      <c r="K1142" s="130" t="s">
        <v>1284</v>
      </c>
      <c r="L1142" s="130" t="s">
        <v>1859</v>
      </c>
      <c r="M1142" s="130" t="s">
        <v>1844</v>
      </c>
      <c r="N1142" s="130" t="s">
        <v>1351</v>
      </c>
      <c r="O1142" s="130" t="s">
        <v>1860</v>
      </c>
      <c r="P1142" s="130" t="s">
        <v>1866</v>
      </c>
      <c r="Q1142" s="130" t="s">
        <v>1127</v>
      </c>
      <c r="R1142" s="130" t="s">
        <v>1191</v>
      </c>
      <c r="S1142" s="130" t="s">
        <v>1157</v>
      </c>
      <c r="T1142" s="130" t="s">
        <v>1847</v>
      </c>
      <c r="U1142" s="130">
        <v>401784</v>
      </c>
      <c r="V1142" s="131">
        <v>0</v>
      </c>
      <c r="W1142" s="131">
        <v>401784</v>
      </c>
      <c r="X1142" s="131">
        <v>401784</v>
      </c>
      <c r="Y1142" s="131">
        <v>0</v>
      </c>
      <c r="Z1142" s="131">
        <v>401784</v>
      </c>
      <c r="AA1142" s="131">
        <v>0</v>
      </c>
      <c r="AB1142" s="131">
        <v>143995</v>
      </c>
      <c r="AC1142" s="131">
        <v>257789</v>
      </c>
      <c r="AD1142" s="131">
        <v>143995</v>
      </c>
      <c r="AE1142" s="132">
        <v>257789</v>
      </c>
    </row>
    <row r="1143" spans="1:31" x14ac:dyDescent="0.2">
      <c r="A1143" s="133">
        <v>207</v>
      </c>
      <c r="B1143" s="133" t="s">
        <v>1841</v>
      </c>
      <c r="C1143" s="133" t="s">
        <v>1199</v>
      </c>
      <c r="D1143" s="133" t="s">
        <v>1865</v>
      </c>
      <c r="E1143" s="133" t="s">
        <v>1201</v>
      </c>
      <c r="F1143" s="133" t="s">
        <v>1117</v>
      </c>
      <c r="G1143" s="133" t="s">
        <v>1276</v>
      </c>
      <c r="H1143" s="133" t="s">
        <v>1277</v>
      </c>
      <c r="I1143" s="130" t="s">
        <v>1288</v>
      </c>
      <c r="J1143" s="130" t="s">
        <v>1289</v>
      </c>
      <c r="K1143" s="130" t="s">
        <v>1290</v>
      </c>
      <c r="L1143" s="130" t="s">
        <v>1859</v>
      </c>
      <c r="M1143" s="130" t="s">
        <v>1844</v>
      </c>
      <c r="N1143" s="130" t="s">
        <v>1351</v>
      </c>
      <c r="O1143" s="130" t="s">
        <v>1860</v>
      </c>
      <c r="P1143" s="130" t="s">
        <v>1866</v>
      </c>
      <c r="Q1143" s="130" t="s">
        <v>1127</v>
      </c>
      <c r="R1143" s="130" t="s">
        <v>1191</v>
      </c>
      <c r="S1143" s="130" t="s">
        <v>1157</v>
      </c>
      <c r="T1143" s="130" t="s">
        <v>1847</v>
      </c>
      <c r="U1143" s="130">
        <v>8800</v>
      </c>
      <c r="V1143" s="131">
        <v>0</v>
      </c>
      <c r="W1143" s="131">
        <v>8800</v>
      </c>
      <c r="X1143" s="131">
        <v>8800</v>
      </c>
      <c r="Y1143" s="131">
        <v>0</v>
      </c>
      <c r="Z1143" s="131">
        <v>8800</v>
      </c>
      <c r="AA1143" s="131">
        <v>0</v>
      </c>
      <c r="AB1143" s="131">
        <v>0</v>
      </c>
      <c r="AC1143" s="131">
        <v>8800</v>
      </c>
      <c r="AD1143" s="131">
        <v>0</v>
      </c>
      <c r="AE1143" s="132">
        <v>8800</v>
      </c>
    </row>
    <row r="1144" spans="1:31" x14ac:dyDescent="0.2">
      <c r="A1144" s="133">
        <v>207</v>
      </c>
      <c r="B1144" s="133" t="s">
        <v>1841</v>
      </c>
      <c r="C1144" s="133" t="s">
        <v>1199</v>
      </c>
      <c r="D1144" s="133" t="s">
        <v>1865</v>
      </c>
      <c r="E1144" s="133" t="s">
        <v>1201</v>
      </c>
      <c r="F1144" s="133" t="s">
        <v>1117</v>
      </c>
      <c r="G1144" s="133" t="s">
        <v>1276</v>
      </c>
      <c r="H1144" s="133" t="s">
        <v>1277</v>
      </c>
      <c r="I1144" s="133" t="s">
        <v>1288</v>
      </c>
      <c r="J1144" s="133" t="s">
        <v>1289</v>
      </c>
      <c r="K1144" s="130" t="s">
        <v>1291</v>
      </c>
      <c r="L1144" s="130" t="s">
        <v>1859</v>
      </c>
      <c r="M1144" s="130" t="s">
        <v>1844</v>
      </c>
      <c r="N1144" s="130" t="s">
        <v>1351</v>
      </c>
      <c r="O1144" s="130" t="s">
        <v>1860</v>
      </c>
      <c r="P1144" s="130" t="s">
        <v>1866</v>
      </c>
      <c r="Q1144" s="130" t="s">
        <v>1127</v>
      </c>
      <c r="R1144" s="130" t="s">
        <v>1191</v>
      </c>
      <c r="S1144" s="130" t="s">
        <v>1157</v>
      </c>
      <c r="T1144" s="130" t="s">
        <v>1847</v>
      </c>
      <c r="U1144" s="130">
        <v>10000</v>
      </c>
      <c r="V1144" s="131">
        <v>0</v>
      </c>
      <c r="W1144" s="131">
        <v>10000</v>
      </c>
      <c r="X1144" s="131">
        <v>10000</v>
      </c>
      <c r="Y1144" s="131">
        <v>0</v>
      </c>
      <c r="Z1144" s="131">
        <v>10000</v>
      </c>
      <c r="AA1144" s="131">
        <v>0</v>
      </c>
      <c r="AB1144" s="131">
        <v>5600</v>
      </c>
      <c r="AC1144" s="131">
        <v>4400</v>
      </c>
      <c r="AD1144" s="131">
        <v>5600</v>
      </c>
      <c r="AE1144" s="132">
        <v>4400</v>
      </c>
    </row>
    <row r="1145" spans="1:31" x14ac:dyDescent="0.2">
      <c r="A1145" s="133">
        <v>207</v>
      </c>
      <c r="B1145" s="133" t="s">
        <v>1841</v>
      </c>
      <c r="C1145" s="133" t="s">
        <v>1199</v>
      </c>
      <c r="D1145" s="133" t="s">
        <v>1865</v>
      </c>
      <c r="E1145" s="133" t="s">
        <v>1201</v>
      </c>
      <c r="F1145" s="133" t="s">
        <v>1117</v>
      </c>
      <c r="G1145" s="133" t="s">
        <v>1276</v>
      </c>
      <c r="H1145" s="130" t="s">
        <v>1293</v>
      </c>
      <c r="I1145" s="130" t="s">
        <v>1294</v>
      </c>
      <c r="J1145" s="130" t="s">
        <v>1295</v>
      </c>
      <c r="K1145" s="130" t="s">
        <v>1296</v>
      </c>
      <c r="L1145" s="130" t="s">
        <v>1859</v>
      </c>
      <c r="M1145" s="130" t="s">
        <v>1844</v>
      </c>
      <c r="N1145" s="130" t="s">
        <v>1351</v>
      </c>
      <c r="O1145" s="130" t="s">
        <v>1860</v>
      </c>
      <c r="P1145" s="130" t="s">
        <v>1866</v>
      </c>
      <c r="Q1145" s="130" t="s">
        <v>1127</v>
      </c>
      <c r="R1145" s="130" t="s">
        <v>1191</v>
      </c>
      <c r="S1145" s="130" t="s">
        <v>1157</v>
      </c>
      <c r="T1145" s="130" t="s">
        <v>1847</v>
      </c>
      <c r="U1145" s="130">
        <v>7367</v>
      </c>
      <c r="V1145" s="131">
        <v>0</v>
      </c>
      <c r="W1145" s="131">
        <v>7367</v>
      </c>
      <c r="X1145" s="131">
        <v>0</v>
      </c>
      <c r="Y1145" s="131">
        <v>7367</v>
      </c>
      <c r="Z1145" s="131">
        <v>0</v>
      </c>
      <c r="AA1145" s="131">
        <v>7367</v>
      </c>
      <c r="AB1145" s="131">
        <v>0</v>
      </c>
      <c r="AC1145" s="131">
        <v>7367</v>
      </c>
      <c r="AD1145" s="131">
        <v>0</v>
      </c>
      <c r="AE1145" s="132">
        <v>7367</v>
      </c>
    </row>
    <row r="1146" spans="1:31" x14ac:dyDescent="0.2">
      <c r="A1146" s="133">
        <v>207</v>
      </c>
      <c r="B1146" s="133" t="s">
        <v>1841</v>
      </c>
      <c r="C1146" s="133" t="s">
        <v>1199</v>
      </c>
      <c r="D1146" s="133" t="s">
        <v>1865</v>
      </c>
      <c r="E1146" s="133" t="s">
        <v>1201</v>
      </c>
      <c r="F1146" s="133" t="s">
        <v>1117</v>
      </c>
      <c r="G1146" s="133" t="s">
        <v>1276</v>
      </c>
      <c r="H1146" s="130" t="s">
        <v>1297</v>
      </c>
      <c r="I1146" s="130" t="s">
        <v>1298</v>
      </c>
      <c r="J1146" s="130" t="s">
        <v>1298</v>
      </c>
      <c r="K1146" s="130" t="s">
        <v>1299</v>
      </c>
      <c r="L1146" s="130" t="s">
        <v>1859</v>
      </c>
      <c r="M1146" s="130" t="s">
        <v>1844</v>
      </c>
      <c r="N1146" s="130" t="s">
        <v>1351</v>
      </c>
      <c r="O1146" s="130" t="s">
        <v>1860</v>
      </c>
      <c r="P1146" s="130" t="s">
        <v>1866</v>
      </c>
      <c r="Q1146" s="130" t="s">
        <v>1127</v>
      </c>
      <c r="R1146" s="130" t="s">
        <v>1191</v>
      </c>
      <c r="S1146" s="130" t="s">
        <v>1157</v>
      </c>
      <c r="T1146" s="130" t="s">
        <v>1847</v>
      </c>
      <c r="U1146" s="130">
        <v>18279</v>
      </c>
      <c r="V1146" s="131">
        <v>406</v>
      </c>
      <c r="W1146" s="131">
        <v>18685</v>
      </c>
      <c r="X1146" s="131">
        <v>18685</v>
      </c>
      <c r="Y1146" s="131">
        <v>0</v>
      </c>
      <c r="Z1146" s="131">
        <v>18685</v>
      </c>
      <c r="AA1146" s="131">
        <v>0</v>
      </c>
      <c r="AB1146" s="131">
        <v>13605</v>
      </c>
      <c r="AC1146" s="131">
        <v>5080</v>
      </c>
      <c r="AD1146" s="131">
        <v>13605</v>
      </c>
      <c r="AE1146" s="132">
        <v>5080</v>
      </c>
    </row>
    <row r="1147" spans="1:31" x14ac:dyDescent="0.2">
      <c r="A1147" s="133">
        <v>207</v>
      </c>
      <c r="B1147" s="133" t="s">
        <v>1841</v>
      </c>
      <c r="C1147" s="133" t="s">
        <v>1199</v>
      </c>
      <c r="D1147" s="133" t="s">
        <v>1865</v>
      </c>
      <c r="E1147" s="133" t="s">
        <v>1201</v>
      </c>
      <c r="F1147" s="133" t="s">
        <v>1117</v>
      </c>
      <c r="G1147" s="133" t="s">
        <v>1276</v>
      </c>
      <c r="H1147" s="130" t="s">
        <v>1514</v>
      </c>
      <c r="I1147" s="130" t="s">
        <v>1515</v>
      </c>
      <c r="J1147" s="130" t="s">
        <v>1515</v>
      </c>
      <c r="K1147" s="130" t="s">
        <v>1516</v>
      </c>
      <c r="L1147" s="130" t="s">
        <v>1859</v>
      </c>
      <c r="M1147" s="130" t="s">
        <v>1844</v>
      </c>
      <c r="N1147" s="130" t="s">
        <v>1351</v>
      </c>
      <c r="O1147" s="130" t="s">
        <v>1860</v>
      </c>
      <c r="P1147" s="130" t="s">
        <v>1866</v>
      </c>
      <c r="Q1147" s="130" t="s">
        <v>1127</v>
      </c>
      <c r="R1147" s="130" t="s">
        <v>1191</v>
      </c>
      <c r="S1147" s="130" t="s">
        <v>1157</v>
      </c>
      <c r="T1147" s="130" t="s">
        <v>1847</v>
      </c>
      <c r="U1147" s="130">
        <v>0</v>
      </c>
      <c r="V1147" s="131">
        <v>204072</v>
      </c>
      <c r="W1147" s="131">
        <v>204072</v>
      </c>
      <c r="X1147" s="131">
        <v>204071.52</v>
      </c>
      <c r="Y1147" s="131">
        <v>0.48000000001047738</v>
      </c>
      <c r="Z1147" s="131">
        <v>204071.52</v>
      </c>
      <c r="AA1147" s="131">
        <v>0.48000000001047738</v>
      </c>
      <c r="AB1147" s="131">
        <v>204071.52</v>
      </c>
      <c r="AC1147" s="131">
        <v>0.48000000001047738</v>
      </c>
      <c r="AD1147" s="131">
        <v>204071.52</v>
      </c>
      <c r="AE1147" s="132">
        <v>0.48000000001047738</v>
      </c>
    </row>
    <row r="1148" spans="1:31" x14ac:dyDescent="0.2">
      <c r="A1148" s="133">
        <v>207</v>
      </c>
      <c r="B1148" s="133" t="s">
        <v>1841</v>
      </c>
      <c r="C1148" s="133" t="s">
        <v>1199</v>
      </c>
      <c r="D1148" s="133" t="s">
        <v>1865</v>
      </c>
      <c r="E1148" s="133" t="s">
        <v>1201</v>
      </c>
      <c r="F1148" s="133" t="s">
        <v>1117</v>
      </c>
      <c r="G1148" s="133" t="s">
        <v>1276</v>
      </c>
      <c r="H1148" s="133" t="s">
        <v>1514</v>
      </c>
      <c r="I1148" s="133" t="s">
        <v>1515</v>
      </c>
      <c r="J1148" s="133" t="s">
        <v>1515</v>
      </c>
      <c r="K1148" s="130" t="s">
        <v>1518</v>
      </c>
      <c r="L1148" s="130" t="s">
        <v>1859</v>
      </c>
      <c r="M1148" s="130" t="s">
        <v>1844</v>
      </c>
      <c r="N1148" s="130" t="s">
        <v>1351</v>
      </c>
      <c r="O1148" s="130" t="s">
        <v>1860</v>
      </c>
      <c r="P1148" s="130" t="s">
        <v>1866</v>
      </c>
      <c r="Q1148" s="130" t="s">
        <v>1127</v>
      </c>
      <c r="R1148" s="130" t="s">
        <v>1191</v>
      </c>
      <c r="S1148" s="130" t="s">
        <v>1157</v>
      </c>
      <c r="T1148" s="130" t="s">
        <v>1847</v>
      </c>
      <c r="U1148" s="130">
        <v>0</v>
      </c>
      <c r="V1148" s="131">
        <v>3200</v>
      </c>
      <c r="W1148" s="131">
        <v>3200</v>
      </c>
      <c r="X1148" s="131">
        <v>2867</v>
      </c>
      <c r="Y1148" s="131">
        <v>333</v>
      </c>
      <c r="Z1148" s="131">
        <v>2867</v>
      </c>
      <c r="AA1148" s="131">
        <v>333</v>
      </c>
      <c r="AB1148" s="131">
        <v>2866.46</v>
      </c>
      <c r="AC1148" s="131">
        <v>333.53999999999996</v>
      </c>
      <c r="AD1148" s="131">
        <v>2866.46</v>
      </c>
      <c r="AE1148" s="132">
        <v>333.53999999999996</v>
      </c>
    </row>
    <row r="1149" spans="1:31" x14ac:dyDescent="0.2">
      <c r="A1149" s="133">
        <v>207</v>
      </c>
      <c r="B1149" s="133" t="s">
        <v>1841</v>
      </c>
      <c r="C1149" s="133" t="s">
        <v>1199</v>
      </c>
      <c r="D1149" s="133" t="s">
        <v>1865</v>
      </c>
      <c r="E1149" s="133" t="s">
        <v>1201</v>
      </c>
      <c r="F1149" s="133" t="s">
        <v>1117</v>
      </c>
      <c r="G1149" s="130" t="s">
        <v>1233</v>
      </c>
      <c r="H1149" s="130" t="s">
        <v>1234</v>
      </c>
      <c r="I1149" s="130" t="s">
        <v>1850</v>
      </c>
      <c r="J1149" s="130" t="s">
        <v>1851</v>
      </c>
      <c r="K1149" s="130" t="s">
        <v>1852</v>
      </c>
      <c r="L1149" s="130" t="s">
        <v>1859</v>
      </c>
      <c r="M1149" s="130" t="s">
        <v>1844</v>
      </c>
      <c r="N1149" s="130" t="s">
        <v>1351</v>
      </c>
      <c r="O1149" s="130" t="s">
        <v>1860</v>
      </c>
      <c r="P1149" s="130" t="s">
        <v>1866</v>
      </c>
      <c r="Q1149" s="130" t="s">
        <v>1127</v>
      </c>
      <c r="R1149" s="130" t="s">
        <v>1191</v>
      </c>
      <c r="S1149" s="130" t="s">
        <v>1157</v>
      </c>
      <c r="T1149" s="130" t="s">
        <v>1847</v>
      </c>
      <c r="U1149" s="130">
        <v>0</v>
      </c>
      <c r="V1149" s="131">
        <v>3000</v>
      </c>
      <c r="W1149" s="131">
        <v>3000</v>
      </c>
      <c r="X1149" s="131">
        <v>3000</v>
      </c>
      <c r="Y1149" s="131">
        <v>0</v>
      </c>
      <c r="Z1149" s="131">
        <v>3000</v>
      </c>
      <c r="AA1149" s="131">
        <v>0</v>
      </c>
      <c r="AB1149" s="131">
        <v>3000</v>
      </c>
      <c r="AC1149" s="131">
        <v>0</v>
      </c>
      <c r="AD1149" s="131">
        <v>3000</v>
      </c>
      <c r="AE1149" s="132">
        <v>0</v>
      </c>
    </row>
    <row r="1150" spans="1:31" x14ac:dyDescent="0.2">
      <c r="A1150" s="133">
        <v>207</v>
      </c>
      <c r="B1150" s="133" t="s">
        <v>1841</v>
      </c>
      <c r="C1150" s="133" t="s">
        <v>1199</v>
      </c>
      <c r="D1150" s="133" t="s">
        <v>1865</v>
      </c>
      <c r="E1150" s="133" t="s">
        <v>1201</v>
      </c>
      <c r="F1150" s="133" t="s">
        <v>1117</v>
      </c>
      <c r="G1150" s="130" t="s">
        <v>1202</v>
      </c>
      <c r="H1150" s="130" t="s">
        <v>1216</v>
      </c>
      <c r="I1150" s="130" t="s">
        <v>1301</v>
      </c>
      <c r="J1150" s="130" t="s">
        <v>1301</v>
      </c>
      <c r="K1150" s="130" t="s">
        <v>1302</v>
      </c>
      <c r="L1150" s="130" t="s">
        <v>1859</v>
      </c>
      <c r="M1150" s="130" t="s">
        <v>1844</v>
      </c>
      <c r="N1150" s="130" t="s">
        <v>1351</v>
      </c>
      <c r="O1150" s="130" t="s">
        <v>1860</v>
      </c>
      <c r="P1150" s="130" t="s">
        <v>1866</v>
      </c>
      <c r="Q1150" s="130" t="s">
        <v>1127</v>
      </c>
      <c r="R1150" s="130" t="s">
        <v>1191</v>
      </c>
      <c r="S1150" s="130" t="s">
        <v>1157</v>
      </c>
      <c r="T1150" s="130" t="s">
        <v>1847</v>
      </c>
      <c r="U1150" s="130">
        <v>26000</v>
      </c>
      <c r="V1150" s="131">
        <v>9582</v>
      </c>
      <c r="W1150" s="131">
        <v>35582</v>
      </c>
      <c r="X1150" s="131">
        <v>11211</v>
      </c>
      <c r="Y1150" s="131">
        <v>24371</v>
      </c>
      <c r="Z1150" s="131">
        <v>11211</v>
      </c>
      <c r="AA1150" s="131">
        <v>24371</v>
      </c>
      <c r="AB1150" s="131">
        <v>11211</v>
      </c>
      <c r="AC1150" s="131">
        <v>24371</v>
      </c>
      <c r="AD1150" s="131">
        <v>11211</v>
      </c>
      <c r="AE1150" s="132">
        <v>24371</v>
      </c>
    </row>
    <row r="1151" spans="1:31" x14ac:dyDescent="0.2">
      <c r="A1151" s="133">
        <v>207</v>
      </c>
      <c r="B1151" s="133" t="s">
        <v>1841</v>
      </c>
      <c r="C1151" s="133" t="s">
        <v>1199</v>
      </c>
      <c r="D1151" s="133" t="s">
        <v>1865</v>
      </c>
      <c r="E1151" s="133" t="s">
        <v>1201</v>
      </c>
      <c r="F1151" s="133" t="s">
        <v>1117</v>
      </c>
      <c r="G1151" s="133" t="s">
        <v>1202</v>
      </c>
      <c r="H1151" s="133" t="s">
        <v>1216</v>
      </c>
      <c r="I1151" s="130" t="s">
        <v>1239</v>
      </c>
      <c r="J1151" s="130" t="s">
        <v>1240</v>
      </c>
      <c r="K1151" s="130" t="s">
        <v>1519</v>
      </c>
      <c r="L1151" s="130" t="s">
        <v>1859</v>
      </c>
      <c r="M1151" s="130" t="s">
        <v>1844</v>
      </c>
      <c r="N1151" s="130" t="s">
        <v>1351</v>
      </c>
      <c r="O1151" s="130" t="s">
        <v>1860</v>
      </c>
      <c r="P1151" s="130" t="s">
        <v>1866</v>
      </c>
      <c r="Q1151" s="130" t="s">
        <v>1127</v>
      </c>
      <c r="R1151" s="130" t="s">
        <v>1191</v>
      </c>
      <c r="S1151" s="130" t="s">
        <v>1157</v>
      </c>
      <c r="T1151" s="130" t="s">
        <v>1847</v>
      </c>
      <c r="U1151" s="130">
        <v>4000</v>
      </c>
      <c r="V1151" s="131">
        <v>0</v>
      </c>
      <c r="W1151" s="131">
        <v>4000</v>
      </c>
      <c r="X1151" s="131">
        <v>520</v>
      </c>
      <c r="Y1151" s="131">
        <v>3480</v>
      </c>
      <c r="Z1151" s="131">
        <v>520</v>
      </c>
      <c r="AA1151" s="131">
        <v>3480</v>
      </c>
      <c r="AB1151" s="131">
        <v>520</v>
      </c>
      <c r="AC1151" s="131">
        <v>3480</v>
      </c>
      <c r="AD1151" s="131">
        <v>520</v>
      </c>
      <c r="AE1151" s="132">
        <v>3480</v>
      </c>
    </row>
    <row r="1152" spans="1:31" x14ac:dyDescent="0.2">
      <c r="A1152" s="133">
        <v>207</v>
      </c>
      <c r="B1152" s="133" t="s">
        <v>1841</v>
      </c>
      <c r="C1152" s="133" t="s">
        <v>1199</v>
      </c>
      <c r="D1152" s="133" t="s">
        <v>1865</v>
      </c>
      <c r="E1152" s="133" t="s">
        <v>1201</v>
      </c>
      <c r="F1152" s="133" t="s">
        <v>1117</v>
      </c>
      <c r="G1152" s="133" t="s">
        <v>1202</v>
      </c>
      <c r="H1152" s="133" t="s">
        <v>1216</v>
      </c>
      <c r="I1152" s="130" t="s">
        <v>1217</v>
      </c>
      <c r="J1152" s="130" t="s">
        <v>1218</v>
      </c>
      <c r="K1152" s="130" t="s">
        <v>1219</v>
      </c>
      <c r="L1152" s="130" t="s">
        <v>1859</v>
      </c>
      <c r="M1152" s="130" t="s">
        <v>1844</v>
      </c>
      <c r="N1152" s="130" t="s">
        <v>1351</v>
      </c>
      <c r="O1152" s="130" t="s">
        <v>1860</v>
      </c>
      <c r="P1152" s="130" t="s">
        <v>1866</v>
      </c>
      <c r="Q1152" s="130" t="s">
        <v>1127</v>
      </c>
      <c r="R1152" s="130" t="s">
        <v>1191</v>
      </c>
      <c r="S1152" s="130" t="s">
        <v>1157</v>
      </c>
      <c r="T1152" s="130" t="s">
        <v>1847</v>
      </c>
      <c r="U1152" s="130">
        <v>13600</v>
      </c>
      <c r="V1152" s="131">
        <v>4000</v>
      </c>
      <c r="W1152" s="131">
        <v>17600</v>
      </c>
      <c r="X1152" s="131">
        <v>11820</v>
      </c>
      <c r="Y1152" s="131">
        <v>5780</v>
      </c>
      <c r="Z1152" s="131">
        <v>7680</v>
      </c>
      <c r="AA1152" s="131">
        <v>9920</v>
      </c>
      <c r="AB1152" s="131">
        <v>7680</v>
      </c>
      <c r="AC1152" s="131">
        <v>9920</v>
      </c>
      <c r="AD1152" s="131">
        <v>4000</v>
      </c>
      <c r="AE1152" s="132">
        <v>13600</v>
      </c>
    </row>
    <row r="1153" spans="1:31" x14ac:dyDescent="0.2">
      <c r="A1153" s="133">
        <v>207</v>
      </c>
      <c r="B1153" s="133" t="s">
        <v>1841</v>
      </c>
      <c r="C1153" s="133" t="s">
        <v>1199</v>
      </c>
      <c r="D1153" s="133" t="s">
        <v>1865</v>
      </c>
      <c r="E1153" s="133" t="s">
        <v>1201</v>
      </c>
      <c r="F1153" s="133" t="s">
        <v>1117</v>
      </c>
      <c r="G1153" s="133" t="s">
        <v>1202</v>
      </c>
      <c r="H1153" s="133" t="s">
        <v>1216</v>
      </c>
      <c r="I1153" s="130" t="s">
        <v>1242</v>
      </c>
      <c r="J1153" s="130" t="s">
        <v>1243</v>
      </c>
      <c r="K1153" s="130" t="s">
        <v>1303</v>
      </c>
      <c r="L1153" s="130" t="s">
        <v>1859</v>
      </c>
      <c r="M1153" s="130" t="s">
        <v>1844</v>
      </c>
      <c r="N1153" s="130" t="s">
        <v>1351</v>
      </c>
      <c r="O1153" s="130" t="s">
        <v>1860</v>
      </c>
      <c r="P1153" s="130" t="s">
        <v>1866</v>
      </c>
      <c r="Q1153" s="130" t="s">
        <v>1127</v>
      </c>
      <c r="R1153" s="130" t="s">
        <v>1191</v>
      </c>
      <c r="S1153" s="130" t="s">
        <v>1157</v>
      </c>
      <c r="T1153" s="130" t="s">
        <v>1847</v>
      </c>
      <c r="U1153" s="130">
        <v>12260</v>
      </c>
      <c r="V1153" s="131">
        <v>0</v>
      </c>
      <c r="W1153" s="131">
        <v>12260</v>
      </c>
      <c r="X1153" s="131">
        <v>0</v>
      </c>
      <c r="Y1153" s="131">
        <v>12260</v>
      </c>
      <c r="Z1153" s="131">
        <v>0</v>
      </c>
      <c r="AA1153" s="131">
        <v>12260</v>
      </c>
      <c r="AB1153" s="131">
        <v>0</v>
      </c>
      <c r="AC1153" s="131">
        <v>12260</v>
      </c>
      <c r="AD1153" s="131">
        <v>0</v>
      </c>
      <c r="AE1153" s="132">
        <v>12260</v>
      </c>
    </row>
    <row r="1154" spans="1:31" x14ac:dyDescent="0.2">
      <c r="A1154" s="133">
        <v>207</v>
      </c>
      <c r="B1154" s="133" t="s">
        <v>1841</v>
      </c>
      <c r="C1154" s="133" t="s">
        <v>1199</v>
      </c>
      <c r="D1154" s="133" t="s">
        <v>1865</v>
      </c>
      <c r="E1154" s="133" t="s">
        <v>1201</v>
      </c>
      <c r="F1154" s="133" t="s">
        <v>1117</v>
      </c>
      <c r="G1154" s="133" t="s">
        <v>1202</v>
      </c>
      <c r="H1154" s="133" t="s">
        <v>1216</v>
      </c>
      <c r="I1154" s="130" t="s">
        <v>1222</v>
      </c>
      <c r="J1154" s="130" t="s">
        <v>1304</v>
      </c>
      <c r="K1154" s="130" t="s">
        <v>1248</v>
      </c>
      <c r="L1154" s="130" t="s">
        <v>1859</v>
      </c>
      <c r="M1154" s="130" t="s">
        <v>1844</v>
      </c>
      <c r="N1154" s="130" t="s">
        <v>1351</v>
      </c>
      <c r="O1154" s="130" t="s">
        <v>1860</v>
      </c>
      <c r="P1154" s="130" t="s">
        <v>1866</v>
      </c>
      <c r="Q1154" s="130" t="s">
        <v>1127</v>
      </c>
      <c r="R1154" s="130" t="s">
        <v>1191</v>
      </c>
      <c r="S1154" s="130" t="s">
        <v>1157</v>
      </c>
      <c r="T1154" s="130" t="s">
        <v>1847</v>
      </c>
      <c r="U1154" s="130">
        <v>7240</v>
      </c>
      <c r="V1154" s="131">
        <v>0</v>
      </c>
      <c r="W1154" s="131">
        <v>7240</v>
      </c>
      <c r="X1154" s="131">
        <v>0</v>
      </c>
      <c r="Y1154" s="131">
        <v>7240</v>
      </c>
      <c r="Z1154" s="131">
        <v>0</v>
      </c>
      <c r="AA1154" s="131">
        <v>7240</v>
      </c>
      <c r="AB1154" s="131">
        <v>0</v>
      </c>
      <c r="AC1154" s="131">
        <v>7240</v>
      </c>
      <c r="AD1154" s="131">
        <v>0</v>
      </c>
      <c r="AE1154" s="132">
        <v>7240</v>
      </c>
    </row>
    <row r="1155" spans="1:31" x14ac:dyDescent="0.2">
      <c r="A1155" s="133">
        <v>207</v>
      </c>
      <c r="B1155" s="133" t="s">
        <v>1841</v>
      </c>
      <c r="C1155" s="133" t="s">
        <v>1199</v>
      </c>
      <c r="D1155" s="133" t="s">
        <v>1865</v>
      </c>
      <c r="E1155" s="133" t="s">
        <v>1201</v>
      </c>
      <c r="F1155" s="133" t="s">
        <v>1117</v>
      </c>
      <c r="G1155" s="133" t="s">
        <v>1202</v>
      </c>
      <c r="H1155" s="133" t="s">
        <v>1216</v>
      </c>
      <c r="I1155" s="133" t="s">
        <v>1222</v>
      </c>
      <c r="J1155" s="133" t="s">
        <v>1304</v>
      </c>
      <c r="K1155" s="130" t="s">
        <v>1305</v>
      </c>
      <c r="L1155" s="130" t="s">
        <v>1859</v>
      </c>
      <c r="M1155" s="130" t="s">
        <v>1844</v>
      </c>
      <c r="N1155" s="130" t="s">
        <v>1351</v>
      </c>
      <c r="O1155" s="130" t="s">
        <v>1860</v>
      </c>
      <c r="P1155" s="130" t="s">
        <v>1866</v>
      </c>
      <c r="Q1155" s="130" t="s">
        <v>1127</v>
      </c>
      <c r="R1155" s="130" t="s">
        <v>1191</v>
      </c>
      <c r="S1155" s="130" t="s">
        <v>1157</v>
      </c>
      <c r="T1155" s="130" t="s">
        <v>1847</v>
      </c>
      <c r="U1155" s="130">
        <v>6500</v>
      </c>
      <c r="V1155" s="131">
        <v>0</v>
      </c>
      <c r="W1155" s="131">
        <v>6500</v>
      </c>
      <c r="X1155" s="131">
        <v>5964.5</v>
      </c>
      <c r="Y1155" s="131">
        <v>535.5</v>
      </c>
      <c r="Z1155" s="131">
        <v>5702.62</v>
      </c>
      <c r="AA1155" s="131">
        <v>797.38000000000011</v>
      </c>
      <c r="AB1155" s="131">
        <v>5702.62</v>
      </c>
      <c r="AC1155" s="131">
        <v>797.38000000000011</v>
      </c>
      <c r="AD1155" s="131">
        <v>5702.62</v>
      </c>
      <c r="AE1155" s="132">
        <v>797.38000000000011</v>
      </c>
    </row>
    <row r="1156" spans="1:31" x14ac:dyDescent="0.2">
      <c r="A1156" s="133">
        <v>207</v>
      </c>
      <c r="B1156" s="133" t="s">
        <v>1841</v>
      </c>
      <c r="C1156" s="133" t="s">
        <v>1199</v>
      </c>
      <c r="D1156" s="133" t="s">
        <v>1865</v>
      </c>
      <c r="E1156" s="133" t="s">
        <v>1201</v>
      </c>
      <c r="F1156" s="133" t="s">
        <v>1117</v>
      </c>
      <c r="G1156" s="133" t="s">
        <v>1202</v>
      </c>
      <c r="H1156" s="133" t="s">
        <v>1216</v>
      </c>
      <c r="I1156" s="133" t="s">
        <v>1222</v>
      </c>
      <c r="J1156" s="130" t="s">
        <v>1245</v>
      </c>
      <c r="K1156" s="130" t="s">
        <v>1246</v>
      </c>
      <c r="L1156" s="130" t="s">
        <v>1859</v>
      </c>
      <c r="M1156" s="130" t="s">
        <v>1844</v>
      </c>
      <c r="N1156" s="130" t="s">
        <v>1351</v>
      </c>
      <c r="O1156" s="130" t="s">
        <v>1860</v>
      </c>
      <c r="P1156" s="130" t="s">
        <v>1866</v>
      </c>
      <c r="Q1156" s="130" t="s">
        <v>1127</v>
      </c>
      <c r="R1156" s="130" t="s">
        <v>1191</v>
      </c>
      <c r="S1156" s="130" t="s">
        <v>1157</v>
      </c>
      <c r="T1156" s="130" t="s">
        <v>1847</v>
      </c>
      <c r="U1156" s="130">
        <v>2400</v>
      </c>
      <c r="V1156" s="131">
        <v>0</v>
      </c>
      <c r="W1156" s="131">
        <v>2400</v>
      </c>
      <c r="X1156" s="131">
        <v>0</v>
      </c>
      <c r="Y1156" s="131">
        <v>2400</v>
      </c>
      <c r="Z1156" s="131">
        <v>0</v>
      </c>
      <c r="AA1156" s="131">
        <v>2400</v>
      </c>
      <c r="AB1156" s="131">
        <v>0</v>
      </c>
      <c r="AC1156" s="131">
        <v>2400</v>
      </c>
      <c r="AD1156" s="131">
        <v>0</v>
      </c>
      <c r="AE1156" s="132">
        <v>2400</v>
      </c>
    </row>
    <row r="1157" spans="1:31" x14ac:dyDescent="0.2">
      <c r="A1157" s="133">
        <v>207</v>
      </c>
      <c r="B1157" s="133" t="s">
        <v>1841</v>
      </c>
      <c r="C1157" s="133" t="s">
        <v>1199</v>
      </c>
      <c r="D1157" s="133" t="s">
        <v>1865</v>
      </c>
      <c r="E1157" s="133" t="s">
        <v>1201</v>
      </c>
      <c r="F1157" s="133" t="s">
        <v>1117</v>
      </c>
      <c r="G1157" s="133" t="s">
        <v>1202</v>
      </c>
      <c r="H1157" s="133" t="s">
        <v>1216</v>
      </c>
      <c r="I1157" s="133" t="s">
        <v>1222</v>
      </c>
      <c r="J1157" s="130" t="s">
        <v>1230</v>
      </c>
      <c r="K1157" s="130" t="s">
        <v>1231</v>
      </c>
      <c r="L1157" s="130" t="s">
        <v>1859</v>
      </c>
      <c r="M1157" s="130" t="s">
        <v>1844</v>
      </c>
      <c r="N1157" s="130" t="s">
        <v>1351</v>
      </c>
      <c r="O1157" s="130" t="s">
        <v>1860</v>
      </c>
      <c r="P1157" s="130" t="s">
        <v>1866</v>
      </c>
      <c r="Q1157" s="130" t="s">
        <v>1127</v>
      </c>
      <c r="R1157" s="130" t="s">
        <v>1191</v>
      </c>
      <c r="S1157" s="130" t="s">
        <v>1157</v>
      </c>
      <c r="T1157" s="130" t="s">
        <v>1847</v>
      </c>
      <c r="U1157" s="130">
        <v>1000</v>
      </c>
      <c r="V1157" s="131">
        <v>0</v>
      </c>
      <c r="W1157" s="131">
        <v>1000</v>
      </c>
      <c r="X1157" s="131">
        <v>200</v>
      </c>
      <c r="Y1157" s="131">
        <v>800</v>
      </c>
      <c r="Z1157" s="131">
        <v>200</v>
      </c>
      <c r="AA1157" s="131">
        <v>800</v>
      </c>
      <c r="AB1157" s="131">
        <v>200</v>
      </c>
      <c r="AC1157" s="131">
        <v>800</v>
      </c>
      <c r="AD1157" s="131">
        <v>200</v>
      </c>
      <c r="AE1157" s="132">
        <v>800</v>
      </c>
    </row>
    <row r="1158" spans="1:31" x14ac:dyDescent="0.2">
      <c r="A1158" s="133">
        <v>207</v>
      </c>
      <c r="B1158" s="133" t="s">
        <v>1841</v>
      </c>
      <c r="C1158" s="133" t="s">
        <v>1199</v>
      </c>
      <c r="D1158" s="133" t="s">
        <v>1865</v>
      </c>
      <c r="E1158" s="133" t="s">
        <v>1201</v>
      </c>
      <c r="F1158" s="133" t="s">
        <v>1117</v>
      </c>
      <c r="G1158" s="133" t="s">
        <v>1202</v>
      </c>
      <c r="H1158" s="133" t="s">
        <v>1216</v>
      </c>
      <c r="I1158" s="130" t="s">
        <v>1247</v>
      </c>
      <c r="J1158" s="130" t="s">
        <v>1248</v>
      </c>
      <c r="K1158" s="130" t="s">
        <v>1249</v>
      </c>
      <c r="L1158" s="130" t="s">
        <v>1859</v>
      </c>
      <c r="M1158" s="130" t="s">
        <v>1844</v>
      </c>
      <c r="N1158" s="130" t="s">
        <v>1351</v>
      </c>
      <c r="O1158" s="130" t="s">
        <v>1860</v>
      </c>
      <c r="P1158" s="130" t="s">
        <v>1866</v>
      </c>
      <c r="Q1158" s="130" t="s">
        <v>1127</v>
      </c>
      <c r="R1158" s="130" t="s">
        <v>1191</v>
      </c>
      <c r="S1158" s="130" t="s">
        <v>1157</v>
      </c>
      <c r="T1158" s="130" t="s">
        <v>1847</v>
      </c>
      <c r="U1158" s="130">
        <v>2000</v>
      </c>
      <c r="V1158" s="131">
        <v>0</v>
      </c>
      <c r="W1158" s="131">
        <v>2000</v>
      </c>
      <c r="X1158" s="131">
        <v>200</v>
      </c>
      <c r="Y1158" s="131">
        <v>1800</v>
      </c>
      <c r="Z1158" s="131">
        <v>200</v>
      </c>
      <c r="AA1158" s="131">
        <v>1800</v>
      </c>
      <c r="AB1158" s="131">
        <v>200</v>
      </c>
      <c r="AC1158" s="131">
        <v>1800</v>
      </c>
      <c r="AD1158" s="131">
        <v>200</v>
      </c>
      <c r="AE1158" s="132">
        <v>1800</v>
      </c>
    </row>
    <row r="1159" spans="1:31" x14ac:dyDescent="0.2">
      <c r="A1159" s="133">
        <v>207</v>
      </c>
      <c r="B1159" s="133" t="s">
        <v>1841</v>
      </c>
      <c r="C1159" s="133" t="s">
        <v>1199</v>
      </c>
      <c r="D1159" s="133" t="s">
        <v>1865</v>
      </c>
      <c r="E1159" s="133" t="s">
        <v>1201</v>
      </c>
      <c r="F1159" s="133" t="s">
        <v>1117</v>
      </c>
      <c r="G1159" s="133" t="s">
        <v>1202</v>
      </c>
      <c r="H1159" s="133" t="s">
        <v>1216</v>
      </c>
      <c r="I1159" s="130" t="s">
        <v>1525</v>
      </c>
      <c r="J1159" s="130" t="s">
        <v>1576</v>
      </c>
      <c r="K1159" s="130" t="s">
        <v>1577</v>
      </c>
      <c r="L1159" s="130" t="s">
        <v>1859</v>
      </c>
      <c r="M1159" s="130" t="s">
        <v>1844</v>
      </c>
      <c r="N1159" s="130" t="s">
        <v>1351</v>
      </c>
      <c r="O1159" s="130" t="s">
        <v>1860</v>
      </c>
      <c r="P1159" s="130" t="s">
        <v>1866</v>
      </c>
      <c r="Q1159" s="130" t="s">
        <v>1127</v>
      </c>
      <c r="R1159" s="130" t="s">
        <v>1191</v>
      </c>
      <c r="S1159" s="130" t="s">
        <v>1157</v>
      </c>
      <c r="T1159" s="130" t="s">
        <v>1847</v>
      </c>
      <c r="U1159" s="130">
        <v>1000</v>
      </c>
      <c r="V1159" s="131">
        <v>0</v>
      </c>
      <c r="W1159" s="131">
        <v>1000</v>
      </c>
      <c r="X1159" s="131">
        <v>0</v>
      </c>
      <c r="Y1159" s="131">
        <v>1000</v>
      </c>
      <c r="Z1159" s="131">
        <v>0</v>
      </c>
      <c r="AA1159" s="131">
        <v>1000</v>
      </c>
      <c r="AB1159" s="131">
        <v>0</v>
      </c>
      <c r="AC1159" s="131">
        <v>1000</v>
      </c>
      <c r="AD1159" s="131">
        <v>0</v>
      </c>
      <c r="AE1159" s="132">
        <v>1000</v>
      </c>
    </row>
    <row r="1160" spans="1:31" x14ac:dyDescent="0.2">
      <c r="A1160" s="133">
        <v>207</v>
      </c>
      <c r="B1160" s="133" t="s">
        <v>1841</v>
      </c>
      <c r="C1160" s="133" t="s">
        <v>1199</v>
      </c>
      <c r="D1160" s="133" t="s">
        <v>1865</v>
      </c>
      <c r="E1160" s="133" t="s">
        <v>1201</v>
      </c>
      <c r="F1160" s="133" t="s">
        <v>1117</v>
      </c>
      <c r="G1160" s="133" t="s">
        <v>1202</v>
      </c>
      <c r="H1160" s="133" t="s">
        <v>1216</v>
      </c>
      <c r="I1160" s="130" t="s">
        <v>1252</v>
      </c>
      <c r="J1160" s="130" t="s">
        <v>1253</v>
      </c>
      <c r="K1160" s="130" t="s">
        <v>1899</v>
      </c>
      <c r="L1160" s="130" t="s">
        <v>1859</v>
      </c>
      <c r="M1160" s="130" t="s">
        <v>1844</v>
      </c>
      <c r="N1160" s="130" t="s">
        <v>1351</v>
      </c>
      <c r="O1160" s="130" t="s">
        <v>1860</v>
      </c>
      <c r="P1160" s="130" t="s">
        <v>1866</v>
      </c>
      <c r="Q1160" s="130" t="s">
        <v>1127</v>
      </c>
      <c r="R1160" s="130" t="s">
        <v>1191</v>
      </c>
      <c r="S1160" s="130" t="s">
        <v>1157</v>
      </c>
      <c r="T1160" s="130" t="s">
        <v>1847</v>
      </c>
      <c r="U1160" s="130">
        <v>300</v>
      </c>
      <c r="V1160" s="131">
        <v>0</v>
      </c>
      <c r="W1160" s="131">
        <v>300</v>
      </c>
      <c r="X1160" s="131">
        <v>0</v>
      </c>
      <c r="Y1160" s="131">
        <v>300</v>
      </c>
      <c r="Z1160" s="131">
        <v>0</v>
      </c>
      <c r="AA1160" s="131">
        <v>300</v>
      </c>
      <c r="AB1160" s="131">
        <v>0</v>
      </c>
      <c r="AC1160" s="131">
        <v>300</v>
      </c>
      <c r="AD1160" s="131">
        <v>0</v>
      </c>
      <c r="AE1160" s="132">
        <v>300</v>
      </c>
    </row>
    <row r="1161" spans="1:31" x14ac:dyDescent="0.2">
      <c r="A1161" s="133">
        <v>207</v>
      </c>
      <c r="B1161" s="133" t="s">
        <v>1841</v>
      </c>
      <c r="C1161" s="133" t="s">
        <v>1199</v>
      </c>
      <c r="D1161" s="133" t="s">
        <v>1865</v>
      </c>
      <c r="E1161" s="133" t="s">
        <v>1201</v>
      </c>
      <c r="F1161" s="133" t="s">
        <v>1117</v>
      </c>
      <c r="G1161" s="133" t="s">
        <v>1202</v>
      </c>
      <c r="H1161" s="133" t="s">
        <v>1216</v>
      </c>
      <c r="I1161" s="133" t="s">
        <v>1252</v>
      </c>
      <c r="J1161" s="133" t="s">
        <v>1253</v>
      </c>
      <c r="K1161" s="130" t="s">
        <v>1254</v>
      </c>
      <c r="L1161" s="130" t="s">
        <v>1859</v>
      </c>
      <c r="M1161" s="130" t="s">
        <v>1844</v>
      </c>
      <c r="N1161" s="130" t="s">
        <v>1351</v>
      </c>
      <c r="O1161" s="130" t="s">
        <v>1860</v>
      </c>
      <c r="P1161" s="130" t="s">
        <v>1866</v>
      </c>
      <c r="Q1161" s="130" t="s">
        <v>1127</v>
      </c>
      <c r="R1161" s="130" t="s">
        <v>1191</v>
      </c>
      <c r="S1161" s="130" t="s">
        <v>1157</v>
      </c>
      <c r="T1161" s="130" t="s">
        <v>1847</v>
      </c>
      <c r="U1161" s="130">
        <v>2680</v>
      </c>
      <c r="V1161" s="131">
        <v>7200</v>
      </c>
      <c r="W1161" s="131">
        <v>9880</v>
      </c>
      <c r="X1161" s="131">
        <v>545.5</v>
      </c>
      <c r="Y1161" s="131">
        <v>9334.5</v>
      </c>
      <c r="Z1161" s="131">
        <v>545.5</v>
      </c>
      <c r="AA1161" s="131">
        <v>9334.5</v>
      </c>
      <c r="AB1161" s="131">
        <v>545.5</v>
      </c>
      <c r="AC1161" s="131">
        <v>9334.5</v>
      </c>
      <c r="AD1161" s="131">
        <v>545.5</v>
      </c>
      <c r="AE1161" s="132">
        <v>9334.5</v>
      </c>
    </row>
    <row r="1162" spans="1:31" x14ac:dyDescent="0.2">
      <c r="A1162" s="133">
        <v>207</v>
      </c>
      <c r="B1162" s="133" t="s">
        <v>1841</v>
      </c>
      <c r="C1162" s="133" t="s">
        <v>1199</v>
      </c>
      <c r="D1162" s="133" t="s">
        <v>1865</v>
      </c>
      <c r="E1162" s="133" t="s">
        <v>1201</v>
      </c>
      <c r="F1162" s="133" t="s">
        <v>1117</v>
      </c>
      <c r="G1162" s="133" t="s">
        <v>1202</v>
      </c>
      <c r="H1162" s="130" t="s">
        <v>1203</v>
      </c>
      <c r="I1162" s="130" t="s">
        <v>1204</v>
      </c>
      <c r="J1162" s="130" t="s">
        <v>1205</v>
      </c>
      <c r="K1162" s="130" t="s">
        <v>1255</v>
      </c>
      <c r="L1162" s="130" t="s">
        <v>1859</v>
      </c>
      <c r="M1162" s="130" t="s">
        <v>1844</v>
      </c>
      <c r="N1162" s="130" t="s">
        <v>1351</v>
      </c>
      <c r="O1162" s="130" t="s">
        <v>1860</v>
      </c>
      <c r="P1162" s="130" t="s">
        <v>1866</v>
      </c>
      <c r="Q1162" s="130" t="s">
        <v>1127</v>
      </c>
      <c r="R1162" s="130" t="s">
        <v>1191</v>
      </c>
      <c r="S1162" s="130" t="s">
        <v>1157</v>
      </c>
      <c r="T1162" s="130" t="s">
        <v>1847</v>
      </c>
      <c r="U1162" s="130">
        <v>8260</v>
      </c>
      <c r="V1162" s="131">
        <v>4320</v>
      </c>
      <c r="W1162" s="131">
        <v>12580</v>
      </c>
      <c r="X1162" s="131">
        <v>11720</v>
      </c>
      <c r="Y1162" s="131">
        <v>860</v>
      </c>
      <c r="Z1162" s="131">
        <v>9716.2800000000007</v>
      </c>
      <c r="AA1162" s="131">
        <v>2863.7199999999993</v>
      </c>
      <c r="AB1162" s="131">
        <v>7716.2800000000007</v>
      </c>
      <c r="AC1162" s="131">
        <v>4863.7199999999993</v>
      </c>
      <c r="AD1162" s="131">
        <v>7716.2800000000007</v>
      </c>
      <c r="AE1162" s="132">
        <v>4863.7199999999993</v>
      </c>
    </row>
    <row r="1163" spans="1:31" x14ac:dyDescent="0.2">
      <c r="A1163" s="133">
        <v>207</v>
      </c>
      <c r="B1163" s="133" t="s">
        <v>1841</v>
      </c>
      <c r="C1163" s="133" t="s">
        <v>1199</v>
      </c>
      <c r="D1163" s="133" t="s">
        <v>1865</v>
      </c>
      <c r="E1163" s="133" t="s">
        <v>1201</v>
      </c>
      <c r="F1163" s="133" t="s">
        <v>1117</v>
      </c>
      <c r="G1163" s="133" t="s">
        <v>1202</v>
      </c>
      <c r="H1163" s="133" t="s">
        <v>1203</v>
      </c>
      <c r="I1163" s="133" t="s">
        <v>1204</v>
      </c>
      <c r="J1163" s="133" t="s">
        <v>1205</v>
      </c>
      <c r="K1163" s="130" t="s">
        <v>1256</v>
      </c>
      <c r="L1163" s="130" t="s">
        <v>1859</v>
      </c>
      <c r="M1163" s="130" t="s">
        <v>1844</v>
      </c>
      <c r="N1163" s="130" t="s">
        <v>1351</v>
      </c>
      <c r="O1163" s="130" t="s">
        <v>1860</v>
      </c>
      <c r="P1163" s="130" t="s">
        <v>1866</v>
      </c>
      <c r="Q1163" s="130" t="s">
        <v>1127</v>
      </c>
      <c r="R1163" s="130" t="s">
        <v>1191</v>
      </c>
      <c r="S1163" s="130" t="s">
        <v>1157</v>
      </c>
      <c r="T1163" s="130" t="s">
        <v>1847</v>
      </c>
      <c r="U1163" s="130">
        <v>14720</v>
      </c>
      <c r="V1163" s="131">
        <v>0</v>
      </c>
      <c r="W1163" s="131">
        <v>14720</v>
      </c>
      <c r="X1163" s="131">
        <v>8000</v>
      </c>
      <c r="Y1163" s="131">
        <v>6720</v>
      </c>
      <c r="Z1163" s="131">
        <v>7691.3</v>
      </c>
      <c r="AA1163" s="131">
        <v>7028.7</v>
      </c>
      <c r="AB1163" s="131">
        <v>4691.3</v>
      </c>
      <c r="AC1163" s="131">
        <v>10028.700000000001</v>
      </c>
      <c r="AD1163" s="131">
        <v>4691.3</v>
      </c>
      <c r="AE1163" s="132">
        <v>10028.700000000001</v>
      </c>
    </row>
    <row r="1164" spans="1:31" x14ac:dyDescent="0.2">
      <c r="A1164" s="133">
        <v>207</v>
      </c>
      <c r="B1164" s="133" t="s">
        <v>1841</v>
      </c>
      <c r="C1164" s="133" t="s">
        <v>1199</v>
      </c>
      <c r="D1164" s="133" t="s">
        <v>1865</v>
      </c>
      <c r="E1164" s="133" t="s">
        <v>1201</v>
      </c>
      <c r="F1164" s="133" t="s">
        <v>1117</v>
      </c>
      <c r="G1164" s="133" t="s">
        <v>1202</v>
      </c>
      <c r="H1164" s="133" t="s">
        <v>1203</v>
      </c>
      <c r="I1164" s="130" t="s">
        <v>1224</v>
      </c>
      <c r="J1164" s="130" t="s">
        <v>1257</v>
      </c>
      <c r="K1164" s="130" t="s">
        <v>1258</v>
      </c>
      <c r="L1164" s="130" t="s">
        <v>1859</v>
      </c>
      <c r="M1164" s="130" t="s">
        <v>1844</v>
      </c>
      <c r="N1164" s="130" t="s">
        <v>1351</v>
      </c>
      <c r="O1164" s="130" t="s">
        <v>1860</v>
      </c>
      <c r="P1164" s="130" t="s">
        <v>1866</v>
      </c>
      <c r="Q1164" s="130" t="s">
        <v>1127</v>
      </c>
      <c r="R1164" s="130" t="s">
        <v>1191</v>
      </c>
      <c r="S1164" s="130" t="s">
        <v>1157</v>
      </c>
      <c r="T1164" s="130" t="s">
        <v>1847</v>
      </c>
      <c r="U1164" s="130">
        <v>4644</v>
      </c>
      <c r="V1164" s="131">
        <v>0</v>
      </c>
      <c r="W1164" s="131">
        <v>4644</v>
      </c>
      <c r="X1164" s="131">
        <v>4644</v>
      </c>
      <c r="Y1164" s="131">
        <v>0</v>
      </c>
      <c r="Z1164" s="131">
        <v>1857.4</v>
      </c>
      <c r="AA1164" s="131">
        <v>2786.6</v>
      </c>
      <c r="AB1164" s="131">
        <v>1857.4</v>
      </c>
      <c r="AC1164" s="131">
        <v>2786.6</v>
      </c>
      <c r="AD1164" s="131">
        <v>1511.4</v>
      </c>
      <c r="AE1164" s="132">
        <v>3132.6</v>
      </c>
    </row>
    <row r="1165" spans="1:31" x14ac:dyDescent="0.2">
      <c r="A1165" s="133">
        <v>207</v>
      </c>
      <c r="B1165" s="133" t="s">
        <v>1841</v>
      </c>
      <c r="C1165" s="133" t="s">
        <v>1199</v>
      </c>
      <c r="D1165" s="133" t="s">
        <v>1865</v>
      </c>
      <c r="E1165" s="133" t="s">
        <v>1201</v>
      </c>
      <c r="F1165" s="133" t="s">
        <v>1117</v>
      </c>
      <c r="G1165" s="133" t="s">
        <v>1202</v>
      </c>
      <c r="H1165" s="133" t="s">
        <v>1203</v>
      </c>
      <c r="I1165" s="133" t="s">
        <v>1224</v>
      </c>
      <c r="J1165" s="133" t="s">
        <v>1257</v>
      </c>
      <c r="K1165" s="130" t="s">
        <v>1259</v>
      </c>
      <c r="L1165" s="130" t="s">
        <v>1859</v>
      </c>
      <c r="M1165" s="130" t="s">
        <v>1844</v>
      </c>
      <c r="N1165" s="130" t="s">
        <v>1351</v>
      </c>
      <c r="O1165" s="130" t="s">
        <v>1860</v>
      </c>
      <c r="P1165" s="130" t="s">
        <v>1866</v>
      </c>
      <c r="Q1165" s="130" t="s">
        <v>1127</v>
      </c>
      <c r="R1165" s="130" t="s">
        <v>1191</v>
      </c>
      <c r="S1165" s="130" t="s">
        <v>1157</v>
      </c>
      <c r="T1165" s="130" t="s">
        <v>1847</v>
      </c>
      <c r="U1165" s="130">
        <v>1380</v>
      </c>
      <c r="V1165" s="131">
        <v>0</v>
      </c>
      <c r="W1165" s="131">
        <v>1380</v>
      </c>
      <c r="X1165" s="131">
        <v>900</v>
      </c>
      <c r="Y1165" s="131">
        <v>480</v>
      </c>
      <c r="Z1165" s="131">
        <v>323.02</v>
      </c>
      <c r="AA1165" s="131">
        <v>1056.98</v>
      </c>
      <c r="AB1165" s="131">
        <v>323.02</v>
      </c>
      <c r="AC1165" s="131">
        <v>1056.98</v>
      </c>
      <c r="AD1165" s="131">
        <v>323.02</v>
      </c>
      <c r="AE1165" s="132">
        <v>1056.98</v>
      </c>
    </row>
    <row r="1166" spans="1:31" x14ac:dyDescent="0.2">
      <c r="A1166" s="133">
        <v>207</v>
      </c>
      <c r="B1166" s="133" t="s">
        <v>1841</v>
      </c>
      <c r="C1166" s="133" t="s">
        <v>1199</v>
      </c>
      <c r="D1166" s="133" t="s">
        <v>1865</v>
      </c>
      <c r="E1166" s="133" t="s">
        <v>1201</v>
      </c>
      <c r="F1166" s="133" t="s">
        <v>1117</v>
      </c>
      <c r="G1166" s="133" t="s">
        <v>1202</v>
      </c>
      <c r="H1166" s="133" t="s">
        <v>1203</v>
      </c>
      <c r="I1166" s="133" t="s">
        <v>1224</v>
      </c>
      <c r="J1166" s="130" t="s">
        <v>1529</v>
      </c>
      <c r="K1166" s="130" t="s">
        <v>1530</v>
      </c>
      <c r="L1166" s="130" t="s">
        <v>1859</v>
      </c>
      <c r="M1166" s="130" t="s">
        <v>1844</v>
      </c>
      <c r="N1166" s="130" t="s">
        <v>1351</v>
      </c>
      <c r="O1166" s="130" t="s">
        <v>1860</v>
      </c>
      <c r="P1166" s="130" t="s">
        <v>1866</v>
      </c>
      <c r="Q1166" s="130" t="s">
        <v>1127</v>
      </c>
      <c r="R1166" s="130" t="s">
        <v>1191</v>
      </c>
      <c r="S1166" s="130" t="s">
        <v>1157</v>
      </c>
      <c r="T1166" s="130" t="s">
        <v>1847</v>
      </c>
      <c r="U1166" s="130">
        <v>1320</v>
      </c>
      <c r="V1166" s="131">
        <v>0</v>
      </c>
      <c r="W1166" s="131">
        <v>1320</v>
      </c>
      <c r="X1166" s="131">
        <v>1040</v>
      </c>
      <c r="Y1166" s="131">
        <v>280</v>
      </c>
      <c r="Z1166" s="131">
        <v>1040</v>
      </c>
      <c r="AA1166" s="131">
        <v>280</v>
      </c>
      <c r="AB1166" s="131">
        <v>1040</v>
      </c>
      <c r="AC1166" s="131">
        <v>280</v>
      </c>
      <c r="AD1166" s="131">
        <v>1040</v>
      </c>
      <c r="AE1166" s="132">
        <v>280</v>
      </c>
    </row>
    <row r="1167" spans="1:31" x14ac:dyDescent="0.2">
      <c r="A1167" s="133">
        <v>207</v>
      </c>
      <c r="B1167" s="133" t="s">
        <v>1841</v>
      </c>
      <c r="C1167" s="133" t="s">
        <v>1199</v>
      </c>
      <c r="D1167" s="133" t="s">
        <v>1865</v>
      </c>
      <c r="E1167" s="133" t="s">
        <v>1201</v>
      </c>
      <c r="F1167" s="133" t="s">
        <v>1117</v>
      </c>
      <c r="G1167" s="133" t="s">
        <v>1202</v>
      </c>
      <c r="H1167" s="133" t="s">
        <v>1203</v>
      </c>
      <c r="I1167" s="133" t="s">
        <v>1224</v>
      </c>
      <c r="J1167" s="133" t="s">
        <v>1529</v>
      </c>
      <c r="K1167" s="130" t="s">
        <v>1531</v>
      </c>
      <c r="L1167" s="130" t="s">
        <v>1859</v>
      </c>
      <c r="M1167" s="130" t="s">
        <v>1844</v>
      </c>
      <c r="N1167" s="130" t="s">
        <v>1351</v>
      </c>
      <c r="O1167" s="130" t="s">
        <v>1860</v>
      </c>
      <c r="P1167" s="130" t="s">
        <v>1866</v>
      </c>
      <c r="Q1167" s="130" t="s">
        <v>1127</v>
      </c>
      <c r="R1167" s="130" t="s">
        <v>1191</v>
      </c>
      <c r="S1167" s="130" t="s">
        <v>1157</v>
      </c>
      <c r="T1167" s="130" t="s">
        <v>1847</v>
      </c>
      <c r="U1167" s="130">
        <v>4200</v>
      </c>
      <c r="V1167" s="131">
        <v>0</v>
      </c>
      <c r="W1167" s="131">
        <v>4200</v>
      </c>
      <c r="X1167" s="131">
        <v>4200</v>
      </c>
      <c r="Y1167" s="131">
        <v>0</v>
      </c>
      <c r="Z1167" s="131">
        <v>2609.8000000000002</v>
      </c>
      <c r="AA1167" s="131">
        <v>1590.1999999999998</v>
      </c>
      <c r="AB1167" s="131">
        <v>2609.8000000000002</v>
      </c>
      <c r="AC1167" s="131">
        <v>1590.1999999999998</v>
      </c>
      <c r="AD1167" s="131">
        <v>1809.8</v>
      </c>
      <c r="AE1167" s="132">
        <v>2390.1999999999998</v>
      </c>
    </row>
    <row r="1168" spans="1:31" x14ac:dyDescent="0.2">
      <c r="A1168" s="133">
        <v>207</v>
      </c>
      <c r="B1168" s="133" t="s">
        <v>1841</v>
      </c>
      <c r="C1168" s="133" t="s">
        <v>1199</v>
      </c>
      <c r="D1168" s="133" t="s">
        <v>1865</v>
      </c>
      <c r="E1168" s="133" t="s">
        <v>1201</v>
      </c>
      <c r="F1168" s="133" t="s">
        <v>1117</v>
      </c>
      <c r="G1168" s="133" t="s">
        <v>1202</v>
      </c>
      <c r="H1168" s="133" t="s">
        <v>1203</v>
      </c>
      <c r="I1168" s="133" t="s">
        <v>1224</v>
      </c>
      <c r="J1168" s="130" t="s">
        <v>1306</v>
      </c>
      <c r="K1168" s="130" t="s">
        <v>1307</v>
      </c>
      <c r="L1168" s="130" t="s">
        <v>1859</v>
      </c>
      <c r="M1168" s="130" t="s">
        <v>1844</v>
      </c>
      <c r="N1168" s="130" t="s">
        <v>1351</v>
      </c>
      <c r="O1168" s="130" t="s">
        <v>1860</v>
      </c>
      <c r="P1168" s="130" t="s">
        <v>1866</v>
      </c>
      <c r="Q1168" s="130" t="s">
        <v>1127</v>
      </c>
      <c r="R1168" s="130" t="s">
        <v>1191</v>
      </c>
      <c r="S1168" s="130" t="s">
        <v>1157</v>
      </c>
      <c r="T1168" s="130" t="s">
        <v>1847</v>
      </c>
      <c r="U1168" s="130">
        <v>500</v>
      </c>
      <c r="V1168" s="131">
        <v>0</v>
      </c>
      <c r="W1168" s="131">
        <v>500</v>
      </c>
      <c r="X1168" s="131">
        <v>0</v>
      </c>
      <c r="Y1168" s="131">
        <v>500</v>
      </c>
      <c r="Z1168" s="131">
        <v>0</v>
      </c>
      <c r="AA1168" s="131">
        <v>500</v>
      </c>
      <c r="AB1168" s="131">
        <v>0</v>
      </c>
      <c r="AC1168" s="131">
        <v>500</v>
      </c>
      <c r="AD1168" s="131">
        <v>0</v>
      </c>
      <c r="AE1168" s="132">
        <v>500</v>
      </c>
    </row>
    <row r="1169" spans="1:31" x14ac:dyDescent="0.2">
      <c r="A1169" s="133">
        <v>207</v>
      </c>
      <c r="B1169" s="133" t="s">
        <v>1841</v>
      </c>
      <c r="C1169" s="133" t="s">
        <v>1199</v>
      </c>
      <c r="D1169" s="133" t="s">
        <v>1865</v>
      </c>
      <c r="E1169" s="133" t="s">
        <v>1201</v>
      </c>
      <c r="F1169" s="133" t="s">
        <v>1117</v>
      </c>
      <c r="G1169" s="133" t="s">
        <v>1202</v>
      </c>
      <c r="H1169" s="133" t="s">
        <v>1203</v>
      </c>
      <c r="I1169" s="133" t="s">
        <v>1224</v>
      </c>
      <c r="J1169" s="130" t="s">
        <v>1225</v>
      </c>
      <c r="K1169" s="130" t="s">
        <v>1226</v>
      </c>
      <c r="L1169" s="130" t="s">
        <v>1859</v>
      </c>
      <c r="M1169" s="130" t="s">
        <v>1844</v>
      </c>
      <c r="N1169" s="130" t="s">
        <v>1351</v>
      </c>
      <c r="O1169" s="130" t="s">
        <v>1860</v>
      </c>
      <c r="P1169" s="130" t="s">
        <v>1866</v>
      </c>
      <c r="Q1169" s="130" t="s">
        <v>1127</v>
      </c>
      <c r="R1169" s="130" t="s">
        <v>1191</v>
      </c>
      <c r="S1169" s="130" t="s">
        <v>1157</v>
      </c>
      <c r="T1169" s="130" t="s">
        <v>1847</v>
      </c>
      <c r="U1169" s="130">
        <v>1500</v>
      </c>
      <c r="V1169" s="131">
        <v>15000</v>
      </c>
      <c r="W1169" s="131">
        <v>16500</v>
      </c>
      <c r="X1169" s="131">
        <v>15000</v>
      </c>
      <c r="Y1169" s="131">
        <v>1500</v>
      </c>
      <c r="Z1169" s="131">
        <v>15000</v>
      </c>
      <c r="AA1169" s="131">
        <v>1500</v>
      </c>
      <c r="AB1169" s="131">
        <v>15000</v>
      </c>
      <c r="AC1169" s="131">
        <v>1500</v>
      </c>
      <c r="AD1169" s="131">
        <v>15000</v>
      </c>
      <c r="AE1169" s="132">
        <v>1500</v>
      </c>
    </row>
    <row r="1170" spans="1:31" x14ac:dyDescent="0.2">
      <c r="A1170" s="133">
        <v>207</v>
      </c>
      <c r="B1170" s="133" t="s">
        <v>1841</v>
      </c>
      <c r="C1170" s="133" t="s">
        <v>1199</v>
      </c>
      <c r="D1170" s="133" t="s">
        <v>1865</v>
      </c>
      <c r="E1170" s="133" t="s">
        <v>1201</v>
      </c>
      <c r="F1170" s="133" t="s">
        <v>1117</v>
      </c>
      <c r="G1170" s="133" t="s">
        <v>1202</v>
      </c>
      <c r="H1170" s="133" t="s">
        <v>1203</v>
      </c>
      <c r="I1170" s="130" t="s">
        <v>1264</v>
      </c>
      <c r="J1170" s="130" t="s">
        <v>1265</v>
      </c>
      <c r="K1170" s="130" t="s">
        <v>1266</v>
      </c>
      <c r="L1170" s="130" t="s">
        <v>1859</v>
      </c>
      <c r="M1170" s="130" t="s">
        <v>1844</v>
      </c>
      <c r="N1170" s="130" t="s">
        <v>1351</v>
      </c>
      <c r="O1170" s="130" t="s">
        <v>1860</v>
      </c>
      <c r="P1170" s="130" t="s">
        <v>1866</v>
      </c>
      <c r="Q1170" s="130" t="s">
        <v>1127</v>
      </c>
      <c r="R1170" s="130" t="s">
        <v>1191</v>
      </c>
      <c r="S1170" s="130" t="s">
        <v>1157</v>
      </c>
      <c r="T1170" s="130" t="s">
        <v>1847</v>
      </c>
      <c r="U1170" s="130">
        <v>3000</v>
      </c>
      <c r="V1170" s="131">
        <v>0</v>
      </c>
      <c r="W1170" s="131">
        <v>3000</v>
      </c>
      <c r="X1170" s="131">
        <v>0</v>
      </c>
      <c r="Y1170" s="131">
        <v>3000</v>
      </c>
      <c r="Z1170" s="131">
        <v>0</v>
      </c>
      <c r="AA1170" s="131">
        <v>3000</v>
      </c>
      <c r="AB1170" s="131">
        <v>0</v>
      </c>
      <c r="AC1170" s="131">
        <v>3000</v>
      </c>
      <c r="AD1170" s="131">
        <v>0</v>
      </c>
      <c r="AE1170" s="132">
        <v>3000</v>
      </c>
    </row>
    <row r="1171" spans="1:31" x14ac:dyDescent="0.2">
      <c r="A1171" s="133">
        <v>207</v>
      </c>
      <c r="B1171" s="133" t="s">
        <v>1841</v>
      </c>
      <c r="C1171" s="133" t="s">
        <v>1199</v>
      </c>
      <c r="D1171" s="133" t="s">
        <v>1865</v>
      </c>
      <c r="E1171" s="133" t="s">
        <v>1201</v>
      </c>
      <c r="F1171" s="133" t="s">
        <v>1117</v>
      </c>
      <c r="G1171" s="133" t="s">
        <v>1202</v>
      </c>
      <c r="H1171" s="133" t="s">
        <v>1203</v>
      </c>
      <c r="I1171" s="133" t="s">
        <v>1264</v>
      </c>
      <c r="J1171" s="130" t="s">
        <v>1532</v>
      </c>
      <c r="K1171" s="130" t="s">
        <v>1249</v>
      </c>
      <c r="L1171" s="130" t="s">
        <v>1859</v>
      </c>
      <c r="M1171" s="130" t="s">
        <v>1844</v>
      </c>
      <c r="N1171" s="130" t="s">
        <v>1351</v>
      </c>
      <c r="O1171" s="130" t="s">
        <v>1860</v>
      </c>
      <c r="P1171" s="130" t="s">
        <v>1866</v>
      </c>
      <c r="Q1171" s="130" t="s">
        <v>1127</v>
      </c>
      <c r="R1171" s="130" t="s">
        <v>1191</v>
      </c>
      <c r="S1171" s="130" t="s">
        <v>1157</v>
      </c>
      <c r="T1171" s="130" t="s">
        <v>1847</v>
      </c>
      <c r="U1171" s="130">
        <v>2500</v>
      </c>
      <c r="V1171" s="131">
        <v>0</v>
      </c>
      <c r="W1171" s="131">
        <v>2500</v>
      </c>
      <c r="X1171" s="131">
        <v>540</v>
      </c>
      <c r="Y1171" s="131">
        <v>1960</v>
      </c>
      <c r="Z1171" s="131">
        <v>540</v>
      </c>
      <c r="AA1171" s="131">
        <v>1960</v>
      </c>
      <c r="AB1171" s="131">
        <v>540</v>
      </c>
      <c r="AC1171" s="131">
        <v>1960</v>
      </c>
      <c r="AD1171" s="131">
        <v>540</v>
      </c>
      <c r="AE1171" s="132">
        <v>1960</v>
      </c>
    </row>
    <row r="1172" spans="1:31" x14ac:dyDescent="0.2">
      <c r="A1172" s="133">
        <v>207</v>
      </c>
      <c r="B1172" s="133" t="s">
        <v>1841</v>
      </c>
      <c r="C1172" s="133" t="s">
        <v>1199</v>
      </c>
      <c r="D1172" s="133" t="s">
        <v>1865</v>
      </c>
      <c r="E1172" s="133" t="s">
        <v>1201</v>
      </c>
      <c r="F1172" s="133" t="s">
        <v>1117</v>
      </c>
      <c r="G1172" s="133" t="s">
        <v>1202</v>
      </c>
      <c r="H1172" s="133" t="s">
        <v>1203</v>
      </c>
      <c r="I1172" s="133" t="s">
        <v>1264</v>
      </c>
      <c r="J1172" s="130" t="s">
        <v>1267</v>
      </c>
      <c r="K1172" s="130" t="s">
        <v>1268</v>
      </c>
      <c r="L1172" s="130" t="s">
        <v>1859</v>
      </c>
      <c r="M1172" s="130" t="s">
        <v>1844</v>
      </c>
      <c r="N1172" s="130" t="s">
        <v>1351</v>
      </c>
      <c r="O1172" s="130" t="s">
        <v>1860</v>
      </c>
      <c r="P1172" s="130" t="s">
        <v>1866</v>
      </c>
      <c r="Q1172" s="130" t="s">
        <v>1127</v>
      </c>
      <c r="R1172" s="130" t="s">
        <v>1191</v>
      </c>
      <c r="S1172" s="130" t="s">
        <v>1157</v>
      </c>
      <c r="T1172" s="130" t="s">
        <v>1847</v>
      </c>
      <c r="U1172" s="130">
        <v>550</v>
      </c>
      <c r="V1172" s="131">
        <v>0</v>
      </c>
      <c r="W1172" s="131">
        <v>550</v>
      </c>
      <c r="X1172" s="131">
        <v>0</v>
      </c>
      <c r="Y1172" s="131">
        <v>550</v>
      </c>
      <c r="Z1172" s="131">
        <v>0</v>
      </c>
      <c r="AA1172" s="131">
        <v>550</v>
      </c>
      <c r="AB1172" s="131">
        <v>0</v>
      </c>
      <c r="AC1172" s="131">
        <v>550</v>
      </c>
      <c r="AD1172" s="131">
        <v>0</v>
      </c>
      <c r="AE1172" s="132">
        <v>550</v>
      </c>
    </row>
    <row r="1173" spans="1:31" x14ac:dyDescent="0.2">
      <c r="A1173" s="133">
        <v>207</v>
      </c>
      <c r="B1173" s="133" t="s">
        <v>1841</v>
      </c>
      <c r="C1173" s="133" t="s">
        <v>1199</v>
      </c>
      <c r="D1173" s="133" t="s">
        <v>1865</v>
      </c>
      <c r="E1173" s="133" t="s">
        <v>1201</v>
      </c>
      <c r="F1173" s="133" t="s">
        <v>1117</v>
      </c>
      <c r="G1173" s="133" t="s">
        <v>1202</v>
      </c>
      <c r="H1173" s="133" t="s">
        <v>1203</v>
      </c>
      <c r="I1173" s="133" t="s">
        <v>1264</v>
      </c>
      <c r="J1173" s="130" t="s">
        <v>1900</v>
      </c>
      <c r="K1173" s="130" t="s">
        <v>1900</v>
      </c>
      <c r="L1173" s="130" t="s">
        <v>1859</v>
      </c>
      <c r="M1173" s="130" t="s">
        <v>1844</v>
      </c>
      <c r="N1173" s="130" t="s">
        <v>1351</v>
      </c>
      <c r="O1173" s="130" t="s">
        <v>1860</v>
      </c>
      <c r="P1173" s="130" t="s">
        <v>1866</v>
      </c>
      <c r="Q1173" s="130" t="s">
        <v>1127</v>
      </c>
      <c r="R1173" s="130" t="s">
        <v>1191</v>
      </c>
      <c r="S1173" s="130" t="s">
        <v>1157</v>
      </c>
      <c r="T1173" s="130" t="s">
        <v>1847</v>
      </c>
      <c r="U1173" s="130">
        <v>1500</v>
      </c>
      <c r="V1173" s="131">
        <v>0</v>
      </c>
      <c r="W1173" s="131">
        <v>1500</v>
      </c>
      <c r="X1173" s="131">
        <v>0</v>
      </c>
      <c r="Y1173" s="131">
        <v>1500</v>
      </c>
      <c r="Z1173" s="131">
        <v>0</v>
      </c>
      <c r="AA1173" s="131">
        <v>1500</v>
      </c>
      <c r="AB1173" s="131">
        <v>0</v>
      </c>
      <c r="AC1173" s="131">
        <v>1500</v>
      </c>
      <c r="AD1173" s="131">
        <v>0</v>
      </c>
      <c r="AE1173" s="132">
        <v>1500</v>
      </c>
    </row>
    <row r="1174" spans="1:31" x14ac:dyDescent="0.2">
      <c r="A1174" s="133">
        <v>207</v>
      </c>
      <c r="B1174" s="133" t="s">
        <v>1841</v>
      </c>
      <c r="C1174" s="133" t="s">
        <v>1199</v>
      </c>
      <c r="D1174" s="133" t="s">
        <v>1865</v>
      </c>
      <c r="E1174" s="133" t="s">
        <v>1201</v>
      </c>
      <c r="F1174" s="133" t="s">
        <v>1117</v>
      </c>
      <c r="G1174" s="133" t="s">
        <v>1202</v>
      </c>
      <c r="H1174" s="133" t="s">
        <v>1203</v>
      </c>
      <c r="I1174" s="130" t="s">
        <v>1269</v>
      </c>
      <c r="J1174" s="130" t="s">
        <v>1534</v>
      </c>
      <c r="K1174" s="130" t="s">
        <v>1535</v>
      </c>
      <c r="L1174" s="130" t="s">
        <v>1859</v>
      </c>
      <c r="M1174" s="130" t="s">
        <v>1844</v>
      </c>
      <c r="N1174" s="130" t="s">
        <v>1351</v>
      </c>
      <c r="O1174" s="130" t="s">
        <v>1860</v>
      </c>
      <c r="P1174" s="130" t="s">
        <v>1866</v>
      </c>
      <c r="Q1174" s="130" t="s">
        <v>1127</v>
      </c>
      <c r="R1174" s="130" t="s">
        <v>1191</v>
      </c>
      <c r="S1174" s="130" t="s">
        <v>1157</v>
      </c>
      <c r="T1174" s="130" t="s">
        <v>1847</v>
      </c>
      <c r="U1174" s="130">
        <v>150</v>
      </c>
      <c r="V1174" s="131">
        <v>0</v>
      </c>
      <c r="W1174" s="131">
        <v>150</v>
      </c>
      <c r="X1174" s="131">
        <v>0</v>
      </c>
      <c r="Y1174" s="131">
        <v>150</v>
      </c>
      <c r="Z1174" s="131">
        <v>0</v>
      </c>
      <c r="AA1174" s="131">
        <v>150</v>
      </c>
      <c r="AB1174" s="131">
        <v>0</v>
      </c>
      <c r="AC1174" s="131">
        <v>150</v>
      </c>
      <c r="AD1174" s="131">
        <v>0</v>
      </c>
      <c r="AE1174" s="132">
        <v>150</v>
      </c>
    </row>
    <row r="1175" spans="1:31" x14ac:dyDescent="0.2">
      <c r="A1175" s="133">
        <v>207</v>
      </c>
      <c r="B1175" s="133" t="s">
        <v>1841</v>
      </c>
      <c r="C1175" s="133" t="s">
        <v>1199</v>
      </c>
      <c r="D1175" s="133" t="s">
        <v>1865</v>
      </c>
      <c r="E1175" s="133" t="s">
        <v>1201</v>
      </c>
      <c r="F1175" s="133" t="s">
        <v>1117</v>
      </c>
      <c r="G1175" s="133" t="s">
        <v>1202</v>
      </c>
      <c r="H1175" s="133" t="s">
        <v>1203</v>
      </c>
      <c r="I1175" s="133" t="s">
        <v>1269</v>
      </c>
      <c r="J1175" s="130" t="s">
        <v>1270</v>
      </c>
      <c r="K1175" s="130" t="s">
        <v>1272</v>
      </c>
      <c r="L1175" s="130" t="s">
        <v>1859</v>
      </c>
      <c r="M1175" s="130" t="s">
        <v>1844</v>
      </c>
      <c r="N1175" s="130" t="s">
        <v>1351</v>
      </c>
      <c r="O1175" s="130" t="s">
        <v>1860</v>
      </c>
      <c r="P1175" s="130" t="s">
        <v>1866</v>
      </c>
      <c r="Q1175" s="130" t="s">
        <v>1127</v>
      </c>
      <c r="R1175" s="130" t="s">
        <v>1191</v>
      </c>
      <c r="S1175" s="130" t="s">
        <v>1157</v>
      </c>
      <c r="T1175" s="130" t="s">
        <v>1847</v>
      </c>
      <c r="U1175" s="130">
        <v>600</v>
      </c>
      <c r="V1175" s="131">
        <v>0</v>
      </c>
      <c r="W1175" s="131">
        <v>600</v>
      </c>
      <c r="X1175" s="131">
        <v>0</v>
      </c>
      <c r="Y1175" s="131">
        <v>600</v>
      </c>
      <c r="Z1175" s="131">
        <v>0</v>
      </c>
      <c r="AA1175" s="131">
        <v>600</v>
      </c>
      <c r="AB1175" s="131">
        <v>0</v>
      </c>
      <c r="AC1175" s="131">
        <v>600</v>
      </c>
      <c r="AD1175" s="131">
        <v>0</v>
      </c>
      <c r="AE1175" s="132">
        <v>600</v>
      </c>
    </row>
    <row r="1176" spans="1:31" x14ac:dyDescent="0.2">
      <c r="A1176" s="133">
        <v>207</v>
      </c>
      <c r="B1176" s="133" t="s">
        <v>1841</v>
      </c>
      <c r="C1176" s="133" t="s">
        <v>1199</v>
      </c>
      <c r="D1176" s="133" t="s">
        <v>1865</v>
      </c>
      <c r="E1176" s="133" t="s">
        <v>1201</v>
      </c>
      <c r="F1176" s="133" t="s">
        <v>1117</v>
      </c>
      <c r="G1176" s="133" t="s">
        <v>1202</v>
      </c>
      <c r="H1176" s="133" t="s">
        <v>1203</v>
      </c>
      <c r="I1176" s="130" t="s">
        <v>1209</v>
      </c>
      <c r="J1176" s="130" t="s">
        <v>1873</v>
      </c>
      <c r="K1176" s="130" t="s">
        <v>1901</v>
      </c>
      <c r="L1176" s="130" t="s">
        <v>1859</v>
      </c>
      <c r="M1176" s="130" t="s">
        <v>1844</v>
      </c>
      <c r="N1176" s="130" t="s">
        <v>1351</v>
      </c>
      <c r="O1176" s="130" t="s">
        <v>1860</v>
      </c>
      <c r="P1176" s="130" t="s">
        <v>1866</v>
      </c>
      <c r="Q1176" s="130" t="s">
        <v>1127</v>
      </c>
      <c r="R1176" s="130" t="s">
        <v>1191</v>
      </c>
      <c r="S1176" s="130" t="s">
        <v>1157</v>
      </c>
      <c r="T1176" s="130" t="s">
        <v>1847</v>
      </c>
      <c r="U1176" s="130">
        <v>8000</v>
      </c>
      <c r="V1176" s="131">
        <v>0</v>
      </c>
      <c r="W1176" s="131">
        <v>8000</v>
      </c>
      <c r="X1176" s="131">
        <v>0</v>
      </c>
      <c r="Y1176" s="131">
        <v>8000</v>
      </c>
      <c r="Z1176" s="131">
        <v>0</v>
      </c>
      <c r="AA1176" s="131">
        <v>8000</v>
      </c>
      <c r="AB1176" s="131">
        <v>0</v>
      </c>
      <c r="AC1176" s="131">
        <v>8000</v>
      </c>
      <c r="AD1176" s="131">
        <v>0</v>
      </c>
      <c r="AE1176" s="132">
        <v>8000</v>
      </c>
    </row>
    <row r="1177" spans="1:31" x14ac:dyDescent="0.2">
      <c r="A1177" s="133">
        <v>207</v>
      </c>
      <c r="B1177" s="133" t="s">
        <v>1841</v>
      </c>
      <c r="C1177" s="133" t="s">
        <v>1199</v>
      </c>
      <c r="D1177" s="133" t="s">
        <v>1865</v>
      </c>
      <c r="E1177" s="133" t="s">
        <v>1201</v>
      </c>
      <c r="F1177" s="133" t="s">
        <v>1117</v>
      </c>
      <c r="G1177" s="133" t="s">
        <v>1202</v>
      </c>
      <c r="H1177" s="133" t="s">
        <v>1203</v>
      </c>
      <c r="I1177" s="133" t="s">
        <v>1209</v>
      </c>
      <c r="J1177" s="130" t="s">
        <v>1210</v>
      </c>
      <c r="K1177" s="130" t="s">
        <v>1211</v>
      </c>
      <c r="L1177" s="130" t="s">
        <v>1859</v>
      </c>
      <c r="M1177" s="130" t="s">
        <v>1844</v>
      </c>
      <c r="N1177" s="130" t="s">
        <v>1351</v>
      </c>
      <c r="O1177" s="130" t="s">
        <v>1860</v>
      </c>
      <c r="P1177" s="130" t="s">
        <v>1866</v>
      </c>
      <c r="Q1177" s="130" t="s">
        <v>1127</v>
      </c>
      <c r="R1177" s="130" t="s">
        <v>1191</v>
      </c>
      <c r="S1177" s="130" t="s">
        <v>1157</v>
      </c>
      <c r="T1177" s="130" t="s">
        <v>1847</v>
      </c>
      <c r="U1177" s="130">
        <v>8731</v>
      </c>
      <c r="V1177" s="131">
        <v>13500</v>
      </c>
      <c r="W1177" s="131">
        <v>22231</v>
      </c>
      <c r="X1177" s="131">
        <v>14280</v>
      </c>
      <c r="Y1177" s="131">
        <v>7951</v>
      </c>
      <c r="Z1177" s="131">
        <v>14280</v>
      </c>
      <c r="AA1177" s="131">
        <v>7951</v>
      </c>
      <c r="AB1177" s="131">
        <v>14280</v>
      </c>
      <c r="AC1177" s="131">
        <v>7951</v>
      </c>
      <c r="AD1177" s="131">
        <v>14280</v>
      </c>
      <c r="AE1177" s="132">
        <v>7951</v>
      </c>
    </row>
    <row r="1178" spans="1:31" x14ac:dyDescent="0.2">
      <c r="A1178" s="133">
        <v>207</v>
      </c>
      <c r="B1178" s="133" t="s">
        <v>1841</v>
      </c>
      <c r="C1178" s="133" t="s">
        <v>1199</v>
      </c>
      <c r="D1178" s="133" t="s">
        <v>1865</v>
      </c>
      <c r="E1178" s="133" t="s">
        <v>1201</v>
      </c>
      <c r="F1178" s="133" t="s">
        <v>1117</v>
      </c>
      <c r="G1178" s="133" t="s">
        <v>1202</v>
      </c>
      <c r="H1178" s="133" t="s">
        <v>1203</v>
      </c>
      <c r="I1178" s="133" t="s">
        <v>1209</v>
      </c>
      <c r="J1178" s="133" t="s">
        <v>1210</v>
      </c>
      <c r="K1178" s="130" t="s">
        <v>1274</v>
      </c>
      <c r="L1178" s="130" t="s">
        <v>1859</v>
      </c>
      <c r="M1178" s="130" t="s">
        <v>1844</v>
      </c>
      <c r="N1178" s="130" t="s">
        <v>1351</v>
      </c>
      <c r="O1178" s="130" t="s">
        <v>1860</v>
      </c>
      <c r="P1178" s="130" t="s">
        <v>1866</v>
      </c>
      <c r="Q1178" s="130" t="s">
        <v>1127</v>
      </c>
      <c r="R1178" s="130" t="s">
        <v>1191</v>
      </c>
      <c r="S1178" s="130" t="s">
        <v>1157</v>
      </c>
      <c r="T1178" s="130" t="s">
        <v>1847</v>
      </c>
      <c r="U1178" s="130">
        <v>8615</v>
      </c>
      <c r="V1178" s="131">
        <v>0</v>
      </c>
      <c r="W1178" s="131">
        <v>8615</v>
      </c>
      <c r="X1178" s="131">
        <v>8280</v>
      </c>
      <c r="Y1178" s="131">
        <v>335</v>
      </c>
      <c r="Z1178" s="131">
        <v>8280</v>
      </c>
      <c r="AA1178" s="131">
        <v>335</v>
      </c>
      <c r="AB1178" s="131">
        <v>8280</v>
      </c>
      <c r="AC1178" s="131">
        <v>335</v>
      </c>
      <c r="AD1178" s="131">
        <v>8280</v>
      </c>
      <c r="AE1178" s="132">
        <v>335</v>
      </c>
    </row>
    <row r="1179" spans="1:31" x14ac:dyDescent="0.2">
      <c r="A1179" s="133">
        <v>207</v>
      </c>
      <c r="B1179" s="133" t="s">
        <v>1841</v>
      </c>
      <c r="C1179" s="133" t="s">
        <v>1199</v>
      </c>
      <c r="D1179" s="133" t="s">
        <v>1865</v>
      </c>
      <c r="E1179" s="133" t="s">
        <v>1201</v>
      </c>
      <c r="F1179" s="133" t="s">
        <v>1117</v>
      </c>
      <c r="G1179" s="133" t="s">
        <v>1202</v>
      </c>
      <c r="H1179" s="133" t="s">
        <v>1203</v>
      </c>
      <c r="I1179" s="133" t="s">
        <v>1209</v>
      </c>
      <c r="J1179" s="130" t="s">
        <v>1536</v>
      </c>
      <c r="K1179" s="130" t="s">
        <v>1537</v>
      </c>
      <c r="L1179" s="130" t="s">
        <v>1859</v>
      </c>
      <c r="M1179" s="130" t="s">
        <v>1844</v>
      </c>
      <c r="N1179" s="130" t="s">
        <v>1351</v>
      </c>
      <c r="O1179" s="130" t="s">
        <v>1860</v>
      </c>
      <c r="P1179" s="130" t="s">
        <v>1866</v>
      </c>
      <c r="Q1179" s="130" t="s">
        <v>1127</v>
      </c>
      <c r="R1179" s="130" t="s">
        <v>1191</v>
      </c>
      <c r="S1179" s="130" t="s">
        <v>1157</v>
      </c>
      <c r="T1179" s="130" t="s">
        <v>1847</v>
      </c>
      <c r="U1179" s="130">
        <v>850</v>
      </c>
      <c r="V1179" s="131">
        <v>0</v>
      </c>
      <c r="W1179" s="131">
        <v>850</v>
      </c>
      <c r="X1179" s="131">
        <v>0</v>
      </c>
      <c r="Y1179" s="131">
        <v>850</v>
      </c>
      <c r="Z1179" s="131">
        <v>0</v>
      </c>
      <c r="AA1179" s="131">
        <v>850</v>
      </c>
      <c r="AB1179" s="131">
        <v>0</v>
      </c>
      <c r="AC1179" s="131">
        <v>850</v>
      </c>
      <c r="AD1179" s="131">
        <v>0</v>
      </c>
      <c r="AE1179" s="132">
        <v>850</v>
      </c>
    </row>
    <row r="1180" spans="1:31" x14ac:dyDescent="0.2">
      <c r="A1180" s="133">
        <v>207</v>
      </c>
      <c r="B1180" s="133" t="s">
        <v>1841</v>
      </c>
      <c r="C1180" s="133" t="s">
        <v>1199</v>
      </c>
      <c r="D1180" s="133" t="s">
        <v>1865</v>
      </c>
      <c r="E1180" s="130" t="s">
        <v>1855</v>
      </c>
      <c r="F1180" s="130" t="s">
        <v>1117</v>
      </c>
      <c r="G1180" s="130" t="s">
        <v>1202</v>
      </c>
      <c r="H1180" s="130" t="s">
        <v>1216</v>
      </c>
      <c r="I1180" s="130" t="s">
        <v>1301</v>
      </c>
      <c r="J1180" s="130" t="s">
        <v>1301</v>
      </c>
      <c r="K1180" s="130" t="s">
        <v>1302</v>
      </c>
      <c r="L1180" s="130" t="s">
        <v>1859</v>
      </c>
      <c r="M1180" s="130" t="s">
        <v>1844</v>
      </c>
      <c r="N1180" s="130" t="s">
        <v>1351</v>
      </c>
      <c r="O1180" s="130" t="s">
        <v>1860</v>
      </c>
      <c r="P1180" s="130" t="s">
        <v>1866</v>
      </c>
      <c r="Q1180" s="130" t="s">
        <v>1127</v>
      </c>
      <c r="R1180" s="130" t="s">
        <v>1191</v>
      </c>
      <c r="S1180" s="130" t="s">
        <v>1157</v>
      </c>
      <c r="T1180" s="130" t="s">
        <v>1847</v>
      </c>
      <c r="U1180" s="130">
        <v>4000</v>
      </c>
      <c r="V1180" s="131">
        <v>0</v>
      </c>
      <c r="W1180" s="131">
        <v>4000</v>
      </c>
      <c r="X1180" s="131">
        <v>0</v>
      </c>
      <c r="Y1180" s="131">
        <v>4000</v>
      </c>
      <c r="Z1180" s="131">
        <v>0</v>
      </c>
      <c r="AA1180" s="131">
        <v>4000</v>
      </c>
      <c r="AB1180" s="131">
        <v>0</v>
      </c>
      <c r="AC1180" s="131">
        <v>4000</v>
      </c>
      <c r="AD1180" s="131">
        <v>0</v>
      </c>
      <c r="AE1180" s="132">
        <v>4000</v>
      </c>
    </row>
    <row r="1181" spans="1:31" x14ac:dyDescent="0.2">
      <c r="A1181" s="133">
        <v>207</v>
      </c>
      <c r="B1181" s="133" t="s">
        <v>1841</v>
      </c>
      <c r="C1181" s="133" t="s">
        <v>1199</v>
      </c>
      <c r="D1181" s="133" t="s">
        <v>1865</v>
      </c>
      <c r="E1181" s="133" t="s">
        <v>1855</v>
      </c>
      <c r="F1181" s="133" t="s">
        <v>1117</v>
      </c>
      <c r="G1181" s="133" t="s">
        <v>1202</v>
      </c>
      <c r="H1181" s="133" t="s">
        <v>1216</v>
      </c>
      <c r="I1181" s="130" t="s">
        <v>1217</v>
      </c>
      <c r="J1181" s="130" t="s">
        <v>1218</v>
      </c>
      <c r="K1181" s="130" t="s">
        <v>1219</v>
      </c>
      <c r="L1181" s="130" t="s">
        <v>1859</v>
      </c>
      <c r="M1181" s="130" t="s">
        <v>1844</v>
      </c>
      <c r="N1181" s="130" t="s">
        <v>1351</v>
      </c>
      <c r="O1181" s="130" t="s">
        <v>1860</v>
      </c>
      <c r="P1181" s="130" t="s">
        <v>1866</v>
      </c>
      <c r="Q1181" s="130" t="s">
        <v>1127</v>
      </c>
      <c r="R1181" s="130" t="s">
        <v>1191</v>
      </c>
      <c r="S1181" s="130" t="s">
        <v>1157</v>
      </c>
      <c r="T1181" s="130" t="s">
        <v>1847</v>
      </c>
      <c r="U1181" s="130">
        <v>450</v>
      </c>
      <c r="V1181" s="131">
        <v>0</v>
      </c>
      <c r="W1181" s="131">
        <v>450</v>
      </c>
      <c r="X1181" s="131">
        <v>0</v>
      </c>
      <c r="Y1181" s="131">
        <v>450</v>
      </c>
      <c r="Z1181" s="131">
        <v>0</v>
      </c>
      <c r="AA1181" s="131">
        <v>450</v>
      </c>
      <c r="AB1181" s="131">
        <v>0</v>
      </c>
      <c r="AC1181" s="131">
        <v>450</v>
      </c>
      <c r="AD1181" s="131">
        <v>0</v>
      </c>
      <c r="AE1181" s="132">
        <v>450</v>
      </c>
    </row>
    <row r="1182" spans="1:31" x14ac:dyDescent="0.2">
      <c r="A1182" s="133">
        <v>207</v>
      </c>
      <c r="B1182" s="133" t="s">
        <v>1841</v>
      </c>
      <c r="C1182" s="133" t="s">
        <v>1199</v>
      </c>
      <c r="D1182" s="133" t="s">
        <v>1865</v>
      </c>
      <c r="E1182" s="133" t="s">
        <v>1855</v>
      </c>
      <c r="F1182" s="133" t="s">
        <v>1117</v>
      </c>
      <c r="G1182" s="133" t="s">
        <v>1202</v>
      </c>
      <c r="H1182" s="133" t="s">
        <v>1216</v>
      </c>
      <c r="I1182" s="130" t="s">
        <v>1242</v>
      </c>
      <c r="J1182" s="130" t="s">
        <v>1243</v>
      </c>
      <c r="K1182" s="130" t="s">
        <v>1303</v>
      </c>
      <c r="L1182" s="130" t="s">
        <v>1859</v>
      </c>
      <c r="M1182" s="130" t="s">
        <v>1844</v>
      </c>
      <c r="N1182" s="130" t="s">
        <v>1351</v>
      </c>
      <c r="O1182" s="130" t="s">
        <v>1860</v>
      </c>
      <c r="P1182" s="130" t="s">
        <v>1866</v>
      </c>
      <c r="Q1182" s="130" t="s">
        <v>1127</v>
      </c>
      <c r="R1182" s="130" t="s">
        <v>1191</v>
      </c>
      <c r="S1182" s="130" t="s">
        <v>1157</v>
      </c>
      <c r="T1182" s="130" t="s">
        <v>1847</v>
      </c>
      <c r="U1182" s="130">
        <v>500</v>
      </c>
      <c r="V1182" s="131">
        <v>0</v>
      </c>
      <c r="W1182" s="131">
        <v>500</v>
      </c>
      <c r="X1182" s="131">
        <v>0</v>
      </c>
      <c r="Y1182" s="131">
        <v>500</v>
      </c>
      <c r="Z1182" s="131">
        <v>0</v>
      </c>
      <c r="AA1182" s="131">
        <v>500</v>
      </c>
      <c r="AB1182" s="131">
        <v>0</v>
      </c>
      <c r="AC1182" s="131">
        <v>500</v>
      </c>
      <c r="AD1182" s="131">
        <v>0</v>
      </c>
      <c r="AE1182" s="132">
        <v>500</v>
      </c>
    </row>
    <row r="1183" spans="1:31" x14ac:dyDescent="0.2">
      <c r="A1183" s="133">
        <v>207</v>
      </c>
      <c r="B1183" s="133" t="s">
        <v>1841</v>
      </c>
      <c r="C1183" s="133" t="s">
        <v>1199</v>
      </c>
      <c r="D1183" s="133" t="s">
        <v>1865</v>
      </c>
      <c r="E1183" s="133" t="s">
        <v>1855</v>
      </c>
      <c r="F1183" s="133" t="s">
        <v>1117</v>
      </c>
      <c r="G1183" s="133" t="s">
        <v>1202</v>
      </c>
      <c r="H1183" s="133" t="s">
        <v>1216</v>
      </c>
      <c r="I1183" s="130" t="s">
        <v>1222</v>
      </c>
      <c r="J1183" s="130" t="s">
        <v>1304</v>
      </c>
      <c r="K1183" s="130" t="s">
        <v>1305</v>
      </c>
      <c r="L1183" s="130" t="s">
        <v>1859</v>
      </c>
      <c r="M1183" s="130" t="s">
        <v>1844</v>
      </c>
      <c r="N1183" s="130" t="s">
        <v>1351</v>
      </c>
      <c r="O1183" s="130" t="s">
        <v>1860</v>
      </c>
      <c r="P1183" s="130" t="s">
        <v>1866</v>
      </c>
      <c r="Q1183" s="130" t="s">
        <v>1127</v>
      </c>
      <c r="R1183" s="130" t="s">
        <v>1191</v>
      </c>
      <c r="S1183" s="130" t="s">
        <v>1157</v>
      </c>
      <c r="T1183" s="130" t="s">
        <v>1847</v>
      </c>
      <c r="U1183" s="130">
        <v>10200</v>
      </c>
      <c r="V1183" s="131">
        <v>600</v>
      </c>
      <c r="W1183" s="131">
        <v>10800</v>
      </c>
      <c r="X1183" s="131">
        <v>0</v>
      </c>
      <c r="Y1183" s="131">
        <v>10800</v>
      </c>
      <c r="Z1183" s="131">
        <v>0</v>
      </c>
      <c r="AA1183" s="131">
        <v>10800</v>
      </c>
      <c r="AB1183" s="131">
        <v>0</v>
      </c>
      <c r="AC1183" s="131">
        <v>10800</v>
      </c>
      <c r="AD1183" s="131">
        <v>0</v>
      </c>
      <c r="AE1183" s="132">
        <v>10800</v>
      </c>
    </row>
    <row r="1184" spans="1:31" x14ac:dyDescent="0.2">
      <c r="A1184" s="133">
        <v>207</v>
      </c>
      <c r="B1184" s="133" t="s">
        <v>1841</v>
      </c>
      <c r="C1184" s="133" t="s">
        <v>1199</v>
      </c>
      <c r="D1184" s="133" t="s">
        <v>1865</v>
      </c>
      <c r="E1184" s="133" t="s">
        <v>1855</v>
      </c>
      <c r="F1184" s="133" t="s">
        <v>1117</v>
      </c>
      <c r="G1184" s="133" t="s">
        <v>1202</v>
      </c>
      <c r="H1184" s="130" t="s">
        <v>1203</v>
      </c>
      <c r="I1184" s="130" t="s">
        <v>1204</v>
      </c>
      <c r="J1184" s="130" t="s">
        <v>1205</v>
      </c>
      <c r="K1184" s="130" t="s">
        <v>1255</v>
      </c>
      <c r="L1184" s="130" t="s">
        <v>1859</v>
      </c>
      <c r="M1184" s="130" t="s">
        <v>1844</v>
      </c>
      <c r="N1184" s="130" t="s">
        <v>1351</v>
      </c>
      <c r="O1184" s="130" t="s">
        <v>1860</v>
      </c>
      <c r="P1184" s="130" t="s">
        <v>1866</v>
      </c>
      <c r="Q1184" s="130" t="s">
        <v>1127</v>
      </c>
      <c r="R1184" s="130" t="s">
        <v>1191</v>
      </c>
      <c r="S1184" s="130" t="s">
        <v>1157</v>
      </c>
      <c r="T1184" s="130" t="s">
        <v>1847</v>
      </c>
      <c r="U1184" s="130">
        <v>200</v>
      </c>
      <c r="V1184" s="131">
        <v>0</v>
      </c>
      <c r="W1184" s="131">
        <v>200</v>
      </c>
      <c r="X1184" s="131">
        <v>0</v>
      </c>
      <c r="Y1184" s="131">
        <v>200</v>
      </c>
      <c r="Z1184" s="131">
        <v>0</v>
      </c>
      <c r="AA1184" s="131">
        <v>200</v>
      </c>
      <c r="AB1184" s="131">
        <v>0</v>
      </c>
      <c r="AC1184" s="131">
        <v>200</v>
      </c>
      <c r="AD1184" s="131">
        <v>0</v>
      </c>
      <c r="AE1184" s="132">
        <v>200</v>
      </c>
    </row>
    <row r="1185" spans="1:31" x14ac:dyDescent="0.2">
      <c r="A1185" s="133">
        <v>207</v>
      </c>
      <c r="B1185" s="133" t="s">
        <v>1841</v>
      </c>
      <c r="C1185" s="133" t="s">
        <v>1199</v>
      </c>
      <c r="D1185" s="133" t="s">
        <v>1865</v>
      </c>
      <c r="E1185" s="133" t="s">
        <v>1855</v>
      </c>
      <c r="F1185" s="133" t="s">
        <v>1117</v>
      </c>
      <c r="G1185" s="133" t="s">
        <v>1202</v>
      </c>
      <c r="H1185" s="133" t="s">
        <v>1203</v>
      </c>
      <c r="I1185" s="130" t="s">
        <v>1224</v>
      </c>
      <c r="J1185" s="130" t="s">
        <v>1529</v>
      </c>
      <c r="K1185" s="130" t="s">
        <v>1848</v>
      </c>
      <c r="L1185" s="130" t="s">
        <v>1859</v>
      </c>
      <c r="M1185" s="130" t="s">
        <v>1844</v>
      </c>
      <c r="N1185" s="130" t="s">
        <v>1351</v>
      </c>
      <c r="O1185" s="130" t="s">
        <v>1860</v>
      </c>
      <c r="P1185" s="130" t="s">
        <v>1866</v>
      </c>
      <c r="Q1185" s="130" t="s">
        <v>1127</v>
      </c>
      <c r="R1185" s="130" t="s">
        <v>1191</v>
      </c>
      <c r="S1185" s="130" t="s">
        <v>1157</v>
      </c>
      <c r="T1185" s="130" t="s">
        <v>1847</v>
      </c>
      <c r="U1185" s="130">
        <v>200</v>
      </c>
      <c r="V1185" s="131">
        <v>0</v>
      </c>
      <c r="W1185" s="131">
        <v>200</v>
      </c>
      <c r="X1185" s="131">
        <v>0</v>
      </c>
      <c r="Y1185" s="131">
        <v>200</v>
      </c>
      <c r="Z1185" s="131">
        <v>0</v>
      </c>
      <c r="AA1185" s="131">
        <v>200</v>
      </c>
      <c r="AB1185" s="131">
        <v>0</v>
      </c>
      <c r="AC1185" s="131">
        <v>200</v>
      </c>
      <c r="AD1185" s="131">
        <v>0</v>
      </c>
      <c r="AE1185" s="132">
        <v>200</v>
      </c>
    </row>
    <row r="1186" spans="1:31" x14ac:dyDescent="0.2">
      <c r="A1186" s="133">
        <v>207</v>
      </c>
      <c r="B1186" s="133" t="s">
        <v>1841</v>
      </c>
      <c r="C1186" s="133" t="s">
        <v>1199</v>
      </c>
      <c r="D1186" s="133" t="s">
        <v>1865</v>
      </c>
      <c r="E1186" s="133" t="s">
        <v>1855</v>
      </c>
      <c r="F1186" s="133" t="s">
        <v>1117</v>
      </c>
      <c r="G1186" s="133" t="s">
        <v>1202</v>
      </c>
      <c r="H1186" s="133" t="s">
        <v>1203</v>
      </c>
      <c r="I1186" s="130" t="s">
        <v>1264</v>
      </c>
      <c r="J1186" s="130" t="s">
        <v>1265</v>
      </c>
      <c r="K1186" s="130" t="s">
        <v>1266</v>
      </c>
      <c r="L1186" s="130" t="s">
        <v>1859</v>
      </c>
      <c r="M1186" s="130" t="s">
        <v>1844</v>
      </c>
      <c r="N1186" s="130" t="s">
        <v>1351</v>
      </c>
      <c r="O1186" s="130" t="s">
        <v>1860</v>
      </c>
      <c r="P1186" s="130" t="s">
        <v>1866</v>
      </c>
      <c r="Q1186" s="130" t="s">
        <v>1127</v>
      </c>
      <c r="R1186" s="130" t="s">
        <v>1191</v>
      </c>
      <c r="S1186" s="130" t="s">
        <v>1157</v>
      </c>
      <c r="T1186" s="130" t="s">
        <v>1847</v>
      </c>
      <c r="U1186" s="130">
        <v>950</v>
      </c>
      <c r="V1186" s="131">
        <v>0</v>
      </c>
      <c r="W1186" s="131">
        <v>950</v>
      </c>
      <c r="X1186" s="131">
        <v>0</v>
      </c>
      <c r="Y1186" s="131">
        <v>950</v>
      </c>
      <c r="Z1186" s="131">
        <v>0</v>
      </c>
      <c r="AA1186" s="131">
        <v>950</v>
      </c>
      <c r="AB1186" s="131">
        <v>0</v>
      </c>
      <c r="AC1186" s="131">
        <v>950</v>
      </c>
      <c r="AD1186" s="131">
        <v>0</v>
      </c>
      <c r="AE1186" s="132">
        <v>950</v>
      </c>
    </row>
    <row r="1187" spans="1:31" x14ac:dyDescent="0.2">
      <c r="A1187" s="133">
        <v>207</v>
      </c>
      <c r="B1187" s="133" t="s">
        <v>1841</v>
      </c>
      <c r="C1187" s="133" t="s">
        <v>1199</v>
      </c>
      <c r="D1187" s="133" t="s">
        <v>1865</v>
      </c>
      <c r="E1187" s="133" t="s">
        <v>1855</v>
      </c>
      <c r="F1187" s="133" t="s">
        <v>1117</v>
      </c>
      <c r="G1187" s="133" t="s">
        <v>1202</v>
      </c>
      <c r="H1187" s="133" t="s">
        <v>1203</v>
      </c>
      <c r="I1187" s="133" t="s">
        <v>1264</v>
      </c>
      <c r="J1187" s="130" t="s">
        <v>1532</v>
      </c>
      <c r="K1187" s="130" t="s">
        <v>1249</v>
      </c>
      <c r="L1187" s="130" t="s">
        <v>1859</v>
      </c>
      <c r="M1187" s="130" t="s">
        <v>1844</v>
      </c>
      <c r="N1187" s="130" t="s">
        <v>1351</v>
      </c>
      <c r="O1187" s="130" t="s">
        <v>1860</v>
      </c>
      <c r="P1187" s="130" t="s">
        <v>1866</v>
      </c>
      <c r="Q1187" s="130" t="s">
        <v>1127</v>
      </c>
      <c r="R1187" s="130" t="s">
        <v>1191</v>
      </c>
      <c r="S1187" s="130" t="s">
        <v>1157</v>
      </c>
      <c r="T1187" s="130" t="s">
        <v>1847</v>
      </c>
      <c r="U1187" s="130">
        <v>1500</v>
      </c>
      <c r="V1187" s="131">
        <v>0</v>
      </c>
      <c r="W1187" s="131">
        <v>1500</v>
      </c>
      <c r="X1187" s="131">
        <v>0</v>
      </c>
      <c r="Y1187" s="131">
        <v>1500</v>
      </c>
      <c r="Z1187" s="131">
        <v>0</v>
      </c>
      <c r="AA1187" s="131">
        <v>1500</v>
      </c>
      <c r="AB1187" s="131">
        <v>0</v>
      </c>
      <c r="AC1187" s="131">
        <v>1500</v>
      </c>
      <c r="AD1187" s="131">
        <v>0</v>
      </c>
      <c r="AE1187" s="132">
        <v>1500</v>
      </c>
    </row>
    <row r="1188" spans="1:31" x14ac:dyDescent="0.2">
      <c r="A1188" s="133">
        <v>207</v>
      </c>
      <c r="B1188" s="133" t="s">
        <v>1841</v>
      </c>
      <c r="C1188" s="133" t="s">
        <v>1199</v>
      </c>
      <c r="D1188" s="133" t="s">
        <v>1865</v>
      </c>
      <c r="E1188" s="133" t="s">
        <v>1855</v>
      </c>
      <c r="F1188" s="133" t="s">
        <v>1117</v>
      </c>
      <c r="G1188" s="133" t="s">
        <v>1202</v>
      </c>
      <c r="H1188" s="133" t="s">
        <v>1203</v>
      </c>
      <c r="I1188" s="130" t="s">
        <v>1209</v>
      </c>
      <c r="J1188" s="130" t="s">
        <v>1210</v>
      </c>
      <c r="K1188" s="130" t="s">
        <v>1274</v>
      </c>
      <c r="L1188" s="130" t="s">
        <v>1859</v>
      </c>
      <c r="M1188" s="130" t="s">
        <v>1844</v>
      </c>
      <c r="N1188" s="130" t="s">
        <v>1351</v>
      </c>
      <c r="O1188" s="130" t="s">
        <v>1860</v>
      </c>
      <c r="P1188" s="130" t="s">
        <v>1866</v>
      </c>
      <c r="Q1188" s="130" t="s">
        <v>1127</v>
      </c>
      <c r="R1188" s="130" t="s">
        <v>1191</v>
      </c>
      <c r="S1188" s="130" t="s">
        <v>1157</v>
      </c>
      <c r="T1188" s="130" t="s">
        <v>1847</v>
      </c>
      <c r="U1188" s="130">
        <v>2000</v>
      </c>
      <c r="V1188" s="131">
        <v>-600</v>
      </c>
      <c r="W1188" s="131">
        <v>1400</v>
      </c>
      <c r="X1188" s="131">
        <v>0</v>
      </c>
      <c r="Y1188" s="131">
        <v>1400</v>
      </c>
      <c r="Z1188" s="131">
        <v>0</v>
      </c>
      <c r="AA1188" s="131">
        <v>1400</v>
      </c>
      <c r="AB1188" s="131">
        <v>0</v>
      </c>
      <c r="AC1188" s="131">
        <v>1400</v>
      </c>
      <c r="AD1188" s="131">
        <v>0</v>
      </c>
      <c r="AE1188" s="132">
        <v>1400</v>
      </c>
    </row>
    <row r="1189" spans="1:31" x14ac:dyDescent="0.2">
      <c r="A1189" s="130">
        <v>208</v>
      </c>
      <c r="B1189" s="130" t="s">
        <v>1841</v>
      </c>
      <c r="C1189" s="130" t="s">
        <v>1199</v>
      </c>
      <c r="D1189" s="130" t="s">
        <v>1865</v>
      </c>
      <c r="E1189" s="130" t="s">
        <v>1201</v>
      </c>
      <c r="F1189" s="130" t="s">
        <v>1117</v>
      </c>
      <c r="G1189" s="130" t="s">
        <v>1276</v>
      </c>
      <c r="H1189" s="130" t="s">
        <v>1277</v>
      </c>
      <c r="I1189" s="130" t="s">
        <v>1278</v>
      </c>
      <c r="J1189" s="130" t="s">
        <v>1278</v>
      </c>
      <c r="K1189" s="130" t="s">
        <v>1279</v>
      </c>
      <c r="L1189" s="130" t="s">
        <v>1859</v>
      </c>
      <c r="M1189" s="130" t="s">
        <v>1844</v>
      </c>
      <c r="N1189" s="130" t="s">
        <v>1902</v>
      </c>
      <c r="O1189" s="130" t="s">
        <v>1860</v>
      </c>
      <c r="P1189" s="130" t="s">
        <v>1866</v>
      </c>
      <c r="Q1189" s="130" t="s">
        <v>1127</v>
      </c>
      <c r="R1189" s="130" t="s">
        <v>1191</v>
      </c>
      <c r="S1189" s="130" t="s">
        <v>1157</v>
      </c>
      <c r="T1189" s="130" t="s">
        <v>1847</v>
      </c>
      <c r="U1189" s="130">
        <v>49282</v>
      </c>
      <c r="V1189" s="131">
        <v>370</v>
      </c>
      <c r="W1189" s="131">
        <v>49652</v>
      </c>
      <c r="X1189" s="131">
        <v>47943.040000000001</v>
      </c>
      <c r="Y1189" s="131">
        <v>1708.9599999999991</v>
      </c>
      <c r="Z1189" s="131">
        <v>47943.040000000001</v>
      </c>
      <c r="AA1189" s="131">
        <v>1708.9599999999991</v>
      </c>
      <c r="AB1189" s="131">
        <v>16481.849999999999</v>
      </c>
      <c r="AC1189" s="131">
        <v>33170.15</v>
      </c>
      <c r="AD1189" s="131">
        <v>16481.849999999999</v>
      </c>
      <c r="AE1189" s="132">
        <v>33170.15</v>
      </c>
    </row>
    <row r="1190" spans="1:31" x14ac:dyDescent="0.2">
      <c r="A1190" s="133">
        <v>208</v>
      </c>
      <c r="B1190" s="133" t="s">
        <v>1841</v>
      </c>
      <c r="C1190" s="133" t="s">
        <v>1199</v>
      </c>
      <c r="D1190" s="133" t="s">
        <v>1865</v>
      </c>
      <c r="E1190" s="133" t="s">
        <v>1201</v>
      </c>
      <c r="F1190" s="133" t="s">
        <v>1117</v>
      </c>
      <c r="G1190" s="133" t="s">
        <v>1276</v>
      </c>
      <c r="H1190" s="133" t="s">
        <v>1277</v>
      </c>
      <c r="I1190" s="133" t="s">
        <v>1278</v>
      </c>
      <c r="J1190" s="133" t="s">
        <v>1278</v>
      </c>
      <c r="K1190" s="130" t="s">
        <v>1282</v>
      </c>
      <c r="L1190" s="130" t="s">
        <v>1859</v>
      </c>
      <c r="M1190" s="130" t="s">
        <v>1844</v>
      </c>
      <c r="N1190" s="130" t="s">
        <v>1902</v>
      </c>
      <c r="O1190" s="130" t="s">
        <v>1860</v>
      </c>
      <c r="P1190" s="130" t="s">
        <v>1866</v>
      </c>
      <c r="Q1190" s="130" t="s">
        <v>1127</v>
      </c>
      <c r="R1190" s="130" t="s">
        <v>1191</v>
      </c>
      <c r="S1190" s="130" t="s">
        <v>1157</v>
      </c>
      <c r="T1190" s="130" t="s">
        <v>1847</v>
      </c>
      <c r="U1190" s="130">
        <v>16466</v>
      </c>
      <c r="V1190" s="131">
        <v>0</v>
      </c>
      <c r="W1190" s="131">
        <v>16466</v>
      </c>
      <c r="X1190" s="131">
        <v>16466</v>
      </c>
      <c r="Y1190" s="131">
        <v>0</v>
      </c>
      <c r="Z1190" s="131">
        <v>16466</v>
      </c>
      <c r="AA1190" s="131">
        <v>0</v>
      </c>
      <c r="AB1190" s="131">
        <v>9170.75</v>
      </c>
      <c r="AC1190" s="131">
        <v>7295.25</v>
      </c>
      <c r="AD1190" s="131">
        <v>9170.75</v>
      </c>
      <c r="AE1190" s="132">
        <v>7295.25</v>
      </c>
    </row>
    <row r="1191" spans="1:31" x14ac:dyDescent="0.2">
      <c r="A1191" s="133">
        <v>208</v>
      </c>
      <c r="B1191" s="133" t="s">
        <v>1841</v>
      </c>
      <c r="C1191" s="133" t="s">
        <v>1199</v>
      </c>
      <c r="D1191" s="133" t="s">
        <v>1865</v>
      </c>
      <c r="E1191" s="133" t="s">
        <v>1201</v>
      </c>
      <c r="F1191" s="133" t="s">
        <v>1117</v>
      </c>
      <c r="G1191" s="133" t="s">
        <v>1276</v>
      </c>
      <c r="H1191" s="133" t="s">
        <v>1277</v>
      </c>
      <c r="I1191" s="133" t="s">
        <v>1278</v>
      </c>
      <c r="J1191" s="130" t="s">
        <v>1283</v>
      </c>
      <c r="K1191" s="130" t="s">
        <v>1284</v>
      </c>
      <c r="L1191" s="130" t="s">
        <v>1859</v>
      </c>
      <c r="M1191" s="130" t="s">
        <v>1844</v>
      </c>
      <c r="N1191" s="130" t="s">
        <v>1902</v>
      </c>
      <c r="O1191" s="130" t="s">
        <v>1860</v>
      </c>
      <c r="P1191" s="130" t="s">
        <v>1866</v>
      </c>
      <c r="Q1191" s="130" t="s">
        <v>1127</v>
      </c>
      <c r="R1191" s="130" t="s">
        <v>1191</v>
      </c>
      <c r="S1191" s="130" t="s">
        <v>1157</v>
      </c>
      <c r="T1191" s="130" t="s">
        <v>1847</v>
      </c>
      <c r="U1191" s="130">
        <v>99319</v>
      </c>
      <c r="V1191" s="131">
        <v>0</v>
      </c>
      <c r="W1191" s="131">
        <v>99319</v>
      </c>
      <c r="X1191" s="131">
        <v>99319</v>
      </c>
      <c r="Y1191" s="131">
        <v>0</v>
      </c>
      <c r="Z1191" s="131">
        <v>99319</v>
      </c>
      <c r="AA1191" s="131">
        <v>0</v>
      </c>
      <c r="AB1191" s="131">
        <v>23280.5</v>
      </c>
      <c r="AC1191" s="131">
        <v>76038.5</v>
      </c>
      <c r="AD1191" s="131">
        <v>23280.5</v>
      </c>
      <c r="AE1191" s="132">
        <v>76038.5</v>
      </c>
    </row>
    <row r="1192" spans="1:31" x14ac:dyDescent="0.2">
      <c r="A1192" s="133">
        <v>208</v>
      </c>
      <c r="B1192" s="133" t="s">
        <v>1841</v>
      </c>
      <c r="C1192" s="133" t="s">
        <v>1199</v>
      </c>
      <c r="D1192" s="133" t="s">
        <v>1865</v>
      </c>
      <c r="E1192" s="133" t="s">
        <v>1201</v>
      </c>
      <c r="F1192" s="133" t="s">
        <v>1117</v>
      </c>
      <c r="G1192" s="133" t="s">
        <v>1276</v>
      </c>
      <c r="H1192" s="133" t="s">
        <v>1277</v>
      </c>
      <c r="I1192" s="130" t="s">
        <v>1288</v>
      </c>
      <c r="J1192" s="130" t="s">
        <v>1289</v>
      </c>
      <c r="K1192" s="130" t="s">
        <v>1290</v>
      </c>
      <c r="L1192" s="130" t="s">
        <v>1859</v>
      </c>
      <c r="M1192" s="130" t="s">
        <v>1844</v>
      </c>
      <c r="N1192" s="130" t="s">
        <v>1902</v>
      </c>
      <c r="O1192" s="130" t="s">
        <v>1860</v>
      </c>
      <c r="P1192" s="130" t="s">
        <v>1866</v>
      </c>
      <c r="Q1192" s="130" t="s">
        <v>1127</v>
      </c>
      <c r="R1192" s="130" t="s">
        <v>1191</v>
      </c>
      <c r="S1192" s="130" t="s">
        <v>1157</v>
      </c>
      <c r="T1192" s="130" t="s">
        <v>1847</v>
      </c>
      <c r="U1192" s="130">
        <v>3600</v>
      </c>
      <c r="V1192" s="131">
        <v>0</v>
      </c>
      <c r="W1192" s="131">
        <v>3600</v>
      </c>
      <c r="X1192" s="131">
        <v>3600</v>
      </c>
      <c r="Y1192" s="131">
        <v>0</v>
      </c>
      <c r="Z1192" s="131">
        <v>3600</v>
      </c>
      <c r="AA1192" s="131">
        <v>0</v>
      </c>
      <c r="AB1192" s="131">
        <v>0</v>
      </c>
      <c r="AC1192" s="131">
        <v>3600</v>
      </c>
      <c r="AD1192" s="131">
        <v>0</v>
      </c>
      <c r="AE1192" s="132">
        <v>3600</v>
      </c>
    </row>
    <row r="1193" spans="1:31" x14ac:dyDescent="0.2">
      <c r="A1193" s="133">
        <v>208</v>
      </c>
      <c r="B1193" s="133" t="s">
        <v>1841</v>
      </c>
      <c r="C1193" s="133" t="s">
        <v>1199</v>
      </c>
      <c r="D1193" s="133" t="s">
        <v>1865</v>
      </c>
      <c r="E1193" s="133" t="s">
        <v>1201</v>
      </c>
      <c r="F1193" s="133" t="s">
        <v>1117</v>
      </c>
      <c r="G1193" s="133" t="s">
        <v>1276</v>
      </c>
      <c r="H1193" s="133" t="s">
        <v>1277</v>
      </c>
      <c r="I1193" s="133" t="s">
        <v>1288</v>
      </c>
      <c r="J1193" s="133" t="s">
        <v>1289</v>
      </c>
      <c r="K1193" s="130" t="s">
        <v>1291</v>
      </c>
      <c r="L1193" s="130" t="s">
        <v>1859</v>
      </c>
      <c r="M1193" s="130" t="s">
        <v>1844</v>
      </c>
      <c r="N1193" s="130" t="s">
        <v>1902</v>
      </c>
      <c r="O1193" s="130" t="s">
        <v>1860</v>
      </c>
      <c r="P1193" s="130" t="s">
        <v>1866</v>
      </c>
      <c r="Q1193" s="130" t="s">
        <v>1127</v>
      </c>
      <c r="R1193" s="130" t="s">
        <v>1191</v>
      </c>
      <c r="S1193" s="130" t="s">
        <v>1157</v>
      </c>
      <c r="T1193" s="130" t="s">
        <v>1847</v>
      </c>
      <c r="U1193" s="130">
        <v>2400</v>
      </c>
      <c r="V1193" s="131">
        <v>0</v>
      </c>
      <c r="W1193" s="131">
        <v>2400</v>
      </c>
      <c r="X1193" s="131">
        <v>2400</v>
      </c>
      <c r="Y1193" s="131">
        <v>0</v>
      </c>
      <c r="Z1193" s="131">
        <v>2400</v>
      </c>
      <c r="AA1193" s="131">
        <v>0</v>
      </c>
      <c r="AB1193" s="131">
        <v>1200</v>
      </c>
      <c r="AC1193" s="131">
        <v>1200</v>
      </c>
      <c r="AD1193" s="131">
        <v>1200</v>
      </c>
      <c r="AE1193" s="132">
        <v>1200</v>
      </c>
    </row>
    <row r="1194" spans="1:31" x14ac:dyDescent="0.2">
      <c r="A1194" s="133">
        <v>208</v>
      </c>
      <c r="B1194" s="133" t="s">
        <v>1841</v>
      </c>
      <c r="C1194" s="133" t="s">
        <v>1199</v>
      </c>
      <c r="D1194" s="133" t="s">
        <v>1865</v>
      </c>
      <c r="E1194" s="133" t="s">
        <v>1201</v>
      </c>
      <c r="F1194" s="133" t="s">
        <v>1117</v>
      </c>
      <c r="G1194" s="133" t="s">
        <v>1276</v>
      </c>
      <c r="H1194" s="130" t="s">
        <v>1293</v>
      </c>
      <c r="I1194" s="130" t="s">
        <v>1294</v>
      </c>
      <c r="J1194" s="130" t="s">
        <v>1295</v>
      </c>
      <c r="K1194" s="130" t="s">
        <v>1296</v>
      </c>
      <c r="L1194" s="130" t="s">
        <v>1859</v>
      </c>
      <c r="M1194" s="130" t="s">
        <v>1844</v>
      </c>
      <c r="N1194" s="130" t="s">
        <v>1902</v>
      </c>
      <c r="O1194" s="130" t="s">
        <v>1860</v>
      </c>
      <c r="P1194" s="130" t="s">
        <v>1866</v>
      </c>
      <c r="Q1194" s="130" t="s">
        <v>1127</v>
      </c>
      <c r="R1194" s="130" t="s">
        <v>1191</v>
      </c>
      <c r="S1194" s="130" t="s">
        <v>1157</v>
      </c>
      <c r="T1194" s="130" t="s">
        <v>1847</v>
      </c>
      <c r="U1194" s="130">
        <v>14112</v>
      </c>
      <c r="V1194" s="131">
        <v>0</v>
      </c>
      <c r="W1194" s="131">
        <v>14112</v>
      </c>
      <c r="X1194" s="131">
        <v>7620</v>
      </c>
      <c r="Y1194" s="131">
        <v>6492</v>
      </c>
      <c r="Z1194" s="131">
        <v>7620</v>
      </c>
      <c r="AA1194" s="131">
        <v>6492</v>
      </c>
      <c r="AB1194" s="131">
        <v>7620</v>
      </c>
      <c r="AC1194" s="131">
        <v>6492</v>
      </c>
      <c r="AD1194" s="131">
        <v>0</v>
      </c>
      <c r="AE1194" s="132">
        <v>14112</v>
      </c>
    </row>
    <row r="1195" spans="1:31" x14ac:dyDescent="0.2">
      <c r="A1195" s="133">
        <v>208</v>
      </c>
      <c r="B1195" s="133" t="s">
        <v>1841</v>
      </c>
      <c r="C1195" s="133" t="s">
        <v>1199</v>
      </c>
      <c r="D1195" s="133" t="s">
        <v>1865</v>
      </c>
      <c r="E1195" s="133" t="s">
        <v>1201</v>
      </c>
      <c r="F1195" s="133" t="s">
        <v>1117</v>
      </c>
      <c r="G1195" s="133" t="s">
        <v>1276</v>
      </c>
      <c r="H1195" s="130" t="s">
        <v>1297</v>
      </c>
      <c r="I1195" s="130" t="s">
        <v>1298</v>
      </c>
      <c r="J1195" s="130" t="s">
        <v>1298</v>
      </c>
      <c r="K1195" s="130" t="s">
        <v>1299</v>
      </c>
      <c r="L1195" s="130" t="s">
        <v>1859</v>
      </c>
      <c r="M1195" s="130" t="s">
        <v>1844</v>
      </c>
      <c r="N1195" s="130" t="s">
        <v>1902</v>
      </c>
      <c r="O1195" s="130" t="s">
        <v>1860</v>
      </c>
      <c r="P1195" s="130" t="s">
        <v>1866</v>
      </c>
      <c r="Q1195" s="130" t="s">
        <v>1127</v>
      </c>
      <c r="R1195" s="130" t="s">
        <v>1191</v>
      </c>
      <c r="S1195" s="130" t="s">
        <v>1157</v>
      </c>
      <c r="T1195" s="130" t="s">
        <v>1847</v>
      </c>
      <c r="U1195" s="130">
        <v>8821</v>
      </c>
      <c r="V1195" s="131">
        <v>201</v>
      </c>
      <c r="W1195" s="131">
        <v>9022</v>
      </c>
      <c r="X1195" s="131">
        <v>9022</v>
      </c>
      <c r="Y1195" s="131">
        <v>0</v>
      </c>
      <c r="Z1195" s="131">
        <v>9022</v>
      </c>
      <c r="AA1195" s="131">
        <v>0</v>
      </c>
      <c r="AB1195" s="131">
        <v>2343</v>
      </c>
      <c r="AC1195" s="131">
        <v>6679</v>
      </c>
      <c r="AD1195" s="131">
        <v>2343</v>
      </c>
      <c r="AE1195" s="132">
        <v>6679</v>
      </c>
    </row>
    <row r="1196" spans="1:31" x14ac:dyDescent="0.2">
      <c r="A1196" s="133">
        <v>208</v>
      </c>
      <c r="B1196" s="133" t="s">
        <v>1841</v>
      </c>
      <c r="C1196" s="133" t="s">
        <v>1199</v>
      </c>
      <c r="D1196" s="133" t="s">
        <v>1865</v>
      </c>
      <c r="E1196" s="133" t="s">
        <v>1201</v>
      </c>
      <c r="F1196" s="133" t="s">
        <v>1117</v>
      </c>
      <c r="G1196" s="133" t="s">
        <v>1276</v>
      </c>
      <c r="H1196" s="130" t="s">
        <v>1514</v>
      </c>
      <c r="I1196" s="130" t="s">
        <v>1515</v>
      </c>
      <c r="J1196" s="130" t="s">
        <v>1515</v>
      </c>
      <c r="K1196" s="130" t="s">
        <v>1516</v>
      </c>
      <c r="L1196" s="130" t="s">
        <v>1859</v>
      </c>
      <c r="M1196" s="130" t="s">
        <v>1844</v>
      </c>
      <c r="N1196" s="130" t="s">
        <v>1902</v>
      </c>
      <c r="O1196" s="130" t="s">
        <v>1860</v>
      </c>
      <c r="P1196" s="130" t="s">
        <v>1866</v>
      </c>
      <c r="Q1196" s="130" t="s">
        <v>1127</v>
      </c>
      <c r="R1196" s="130" t="s">
        <v>1191</v>
      </c>
      <c r="S1196" s="130" t="s">
        <v>1157</v>
      </c>
      <c r="T1196" s="130" t="s">
        <v>1847</v>
      </c>
      <c r="U1196" s="130">
        <v>0</v>
      </c>
      <c r="V1196" s="131">
        <v>42959</v>
      </c>
      <c r="W1196" s="131">
        <v>42959</v>
      </c>
      <c r="X1196" s="131">
        <v>42959</v>
      </c>
      <c r="Y1196" s="131">
        <v>0</v>
      </c>
      <c r="Z1196" s="131">
        <v>42959</v>
      </c>
      <c r="AA1196" s="131">
        <v>0</v>
      </c>
      <c r="AB1196" s="131">
        <v>42959</v>
      </c>
      <c r="AC1196" s="131">
        <v>0</v>
      </c>
      <c r="AD1196" s="131">
        <v>42959</v>
      </c>
      <c r="AE1196" s="132">
        <v>0</v>
      </c>
    </row>
    <row r="1197" spans="1:31" x14ac:dyDescent="0.2">
      <c r="A1197" s="133">
        <v>208</v>
      </c>
      <c r="B1197" s="133" t="s">
        <v>1841</v>
      </c>
      <c r="C1197" s="133" t="s">
        <v>1199</v>
      </c>
      <c r="D1197" s="133" t="s">
        <v>1865</v>
      </c>
      <c r="E1197" s="133" t="s">
        <v>1201</v>
      </c>
      <c r="F1197" s="133" t="s">
        <v>1117</v>
      </c>
      <c r="G1197" s="133" t="s">
        <v>1276</v>
      </c>
      <c r="H1197" s="133" t="s">
        <v>1514</v>
      </c>
      <c r="I1197" s="133" t="s">
        <v>1515</v>
      </c>
      <c r="J1197" s="133" t="s">
        <v>1515</v>
      </c>
      <c r="K1197" s="130" t="s">
        <v>1518</v>
      </c>
      <c r="L1197" s="130" t="s">
        <v>1859</v>
      </c>
      <c r="M1197" s="130" t="s">
        <v>1844</v>
      </c>
      <c r="N1197" s="130" t="s">
        <v>1902</v>
      </c>
      <c r="O1197" s="130" t="s">
        <v>1860</v>
      </c>
      <c r="P1197" s="130" t="s">
        <v>1866</v>
      </c>
      <c r="Q1197" s="130" t="s">
        <v>1127</v>
      </c>
      <c r="R1197" s="130" t="s">
        <v>1191</v>
      </c>
      <c r="S1197" s="130" t="s">
        <v>1157</v>
      </c>
      <c r="T1197" s="130" t="s">
        <v>1847</v>
      </c>
      <c r="U1197" s="130">
        <v>0</v>
      </c>
      <c r="V1197" s="131">
        <v>2230</v>
      </c>
      <c r="W1197" s="131">
        <v>2230</v>
      </c>
      <c r="X1197" s="131">
        <v>2229.6999999999998</v>
      </c>
      <c r="Y1197" s="131">
        <v>0.3000000000001819</v>
      </c>
      <c r="Z1197" s="131">
        <v>2229.6999999999998</v>
      </c>
      <c r="AA1197" s="131">
        <v>0.3000000000001819</v>
      </c>
      <c r="AB1197" s="131">
        <v>2229.6999999999998</v>
      </c>
      <c r="AC1197" s="131">
        <v>0.3000000000001819</v>
      </c>
      <c r="AD1197" s="131">
        <v>2229.6999999999998</v>
      </c>
      <c r="AE1197" s="132">
        <v>0.3000000000001819</v>
      </c>
    </row>
    <row r="1198" spans="1:31" x14ac:dyDescent="0.2">
      <c r="A1198" s="133">
        <v>208</v>
      </c>
      <c r="B1198" s="133" t="s">
        <v>1841</v>
      </c>
      <c r="C1198" s="133" t="s">
        <v>1199</v>
      </c>
      <c r="D1198" s="133" t="s">
        <v>1865</v>
      </c>
      <c r="E1198" s="133" t="s">
        <v>1201</v>
      </c>
      <c r="F1198" s="133" t="s">
        <v>1117</v>
      </c>
      <c r="G1198" s="130" t="s">
        <v>1202</v>
      </c>
      <c r="H1198" s="130" t="s">
        <v>1216</v>
      </c>
      <c r="I1198" s="130" t="s">
        <v>1301</v>
      </c>
      <c r="J1198" s="130" t="s">
        <v>1301</v>
      </c>
      <c r="K1198" s="130" t="s">
        <v>1302</v>
      </c>
      <c r="L1198" s="130" t="s">
        <v>1859</v>
      </c>
      <c r="M1198" s="130" t="s">
        <v>1844</v>
      </c>
      <c r="N1198" s="130" t="s">
        <v>1902</v>
      </c>
      <c r="O1198" s="130" t="s">
        <v>1860</v>
      </c>
      <c r="P1198" s="130" t="s">
        <v>1866</v>
      </c>
      <c r="Q1198" s="130" t="s">
        <v>1127</v>
      </c>
      <c r="R1198" s="130" t="s">
        <v>1191</v>
      </c>
      <c r="S1198" s="130" t="s">
        <v>1157</v>
      </c>
      <c r="T1198" s="130" t="s">
        <v>1847</v>
      </c>
      <c r="U1198" s="130">
        <v>13200</v>
      </c>
      <c r="V1198" s="131">
        <v>0</v>
      </c>
      <c r="W1198" s="131">
        <v>13200</v>
      </c>
      <c r="X1198" s="131">
        <v>13200</v>
      </c>
      <c r="Y1198" s="131">
        <v>0</v>
      </c>
      <c r="Z1198" s="131">
        <v>12980</v>
      </c>
      <c r="AA1198" s="131">
        <v>220</v>
      </c>
      <c r="AB1198" s="131">
        <v>12980</v>
      </c>
      <c r="AC1198" s="131">
        <v>220</v>
      </c>
      <c r="AD1198" s="131">
        <v>12980</v>
      </c>
      <c r="AE1198" s="132">
        <v>220</v>
      </c>
    </row>
    <row r="1199" spans="1:31" x14ac:dyDescent="0.2">
      <c r="A1199" s="133">
        <v>208</v>
      </c>
      <c r="B1199" s="133" t="s">
        <v>1841</v>
      </c>
      <c r="C1199" s="133" t="s">
        <v>1199</v>
      </c>
      <c r="D1199" s="133" t="s">
        <v>1865</v>
      </c>
      <c r="E1199" s="133" t="s">
        <v>1201</v>
      </c>
      <c r="F1199" s="133" t="s">
        <v>1117</v>
      </c>
      <c r="G1199" s="133" t="s">
        <v>1202</v>
      </c>
      <c r="H1199" s="133" t="s">
        <v>1216</v>
      </c>
      <c r="I1199" s="130" t="s">
        <v>1217</v>
      </c>
      <c r="J1199" s="130" t="s">
        <v>1218</v>
      </c>
      <c r="K1199" s="130" t="s">
        <v>1219</v>
      </c>
      <c r="L1199" s="130" t="s">
        <v>1859</v>
      </c>
      <c r="M1199" s="130" t="s">
        <v>1844</v>
      </c>
      <c r="N1199" s="130" t="s">
        <v>1902</v>
      </c>
      <c r="O1199" s="130" t="s">
        <v>1860</v>
      </c>
      <c r="P1199" s="130" t="s">
        <v>1866</v>
      </c>
      <c r="Q1199" s="130" t="s">
        <v>1127</v>
      </c>
      <c r="R1199" s="130" t="s">
        <v>1191</v>
      </c>
      <c r="S1199" s="130" t="s">
        <v>1157</v>
      </c>
      <c r="T1199" s="130" t="s">
        <v>1847</v>
      </c>
      <c r="U1199" s="130">
        <v>5000</v>
      </c>
      <c r="V1199" s="131">
        <v>0</v>
      </c>
      <c r="W1199" s="131">
        <v>5000</v>
      </c>
      <c r="X1199" s="131">
        <v>0</v>
      </c>
      <c r="Y1199" s="131">
        <v>5000</v>
      </c>
      <c r="Z1199" s="131">
        <v>0</v>
      </c>
      <c r="AA1199" s="131">
        <v>5000</v>
      </c>
      <c r="AB1199" s="131">
        <v>0</v>
      </c>
      <c r="AC1199" s="131">
        <v>5000</v>
      </c>
      <c r="AD1199" s="131">
        <v>0</v>
      </c>
      <c r="AE1199" s="132">
        <v>5000</v>
      </c>
    </row>
    <row r="1200" spans="1:31" x14ac:dyDescent="0.2">
      <c r="A1200" s="133">
        <v>208</v>
      </c>
      <c r="B1200" s="133" t="s">
        <v>1841</v>
      </c>
      <c r="C1200" s="133" t="s">
        <v>1199</v>
      </c>
      <c r="D1200" s="133" t="s">
        <v>1865</v>
      </c>
      <c r="E1200" s="133" t="s">
        <v>1201</v>
      </c>
      <c r="F1200" s="133" t="s">
        <v>1117</v>
      </c>
      <c r="G1200" s="133" t="s">
        <v>1202</v>
      </c>
      <c r="H1200" s="133" t="s">
        <v>1216</v>
      </c>
      <c r="I1200" s="130" t="s">
        <v>1242</v>
      </c>
      <c r="J1200" s="130" t="s">
        <v>1243</v>
      </c>
      <c r="K1200" s="130" t="s">
        <v>1303</v>
      </c>
      <c r="L1200" s="130" t="s">
        <v>1859</v>
      </c>
      <c r="M1200" s="130" t="s">
        <v>1844</v>
      </c>
      <c r="N1200" s="130" t="s">
        <v>1902</v>
      </c>
      <c r="O1200" s="130" t="s">
        <v>1860</v>
      </c>
      <c r="P1200" s="130" t="s">
        <v>1866</v>
      </c>
      <c r="Q1200" s="130" t="s">
        <v>1127</v>
      </c>
      <c r="R1200" s="130" t="s">
        <v>1191</v>
      </c>
      <c r="S1200" s="130" t="s">
        <v>1157</v>
      </c>
      <c r="T1200" s="130" t="s">
        <v>1847</v>
      </c>
      <c r="U1200" s="130">
        <v>8700</v>
      </c>
      <c r="V1200" s="131">
        <v>0</v>
      </c>
      <c r="W1200" s="131">
        <v>8700</v>
      </c>
      <c r="X1200" s="131">
        <v>8700</v>
      </c>
      <c r="Y1200" s="131">
        <v>0</v>
      </c>
      <c r="Z1200" s="131">
        <v>8700</v>
      </c>
      <c r="AA1200" s="131">
        <v>0</v>
      </c>
      <c r="AB1200" s="131">
        <v>8700</v>
      </c>
      <c r="AC1200" s="131">
        <v>0</v>
      </c>
      <c r="AD1200" s="131">
        <v>0</v>
      </c>
      <c r="AE1200" s="132">
        <v>8700</v>
      </c>
    </row>
    <row r="1201" spans="1:31" x14ac:dyDescent="0.2">
      <c r="A1201" s="133">
        <v>208</v>
      </c>
      <c r="B1201" s="133" t="s">
        <v>1841</v>
      </c>
      <c r="C1201" s="133" t="s">
        <v>1199</v>
      </c>
      <c r="D1201" s="133" t="s">
        <v>1865</v>
      </c>
      <c r="E1201" s="133" t="s">
        <v>1201</v>
      </c>
      <c r="F1201" s="133" t="s">
        <v>1117</v>
      </c>
      <c r="G1201" s="133" t="s">
        <v>1202</v>
      </c>
      <c r="H1201" s="133" t="s">
        <v>1216</v>
      </c>
      <c r="I1201" s="133" t="s">
        <v>1242</v>
      </c>
      <c r="J1201" s="133" t="s">
        <v>1243</v>
      </c>
      <c r="K1201" s="130" t="s">
        <v>1244</v>
      </c>
      <c r="L1201" s="130" t="s">
        <v>1859</v>
      </c>
      <c r="M1201" s="130" t="s">
        <v>1844</v>
      </c>
      <c r="N1201" s="130" t="s">
        <v>1902</v>
      </c>
      <c r="O1201" s="130" t="s">
        <v>1860</v>
      </c>
      <c r="P1201" s="130" t="s">
        <v>1866</v>
      </c>
      <c r="Q1201" s="130" t="s">
        <v>1127</v>
      </c>
      <c r="R1201" s="130" t="s">
        <v>1191</v>
      </c>
      <c r="S1201" s="130" t="s">
        <v>1157</v>
      </c>
      <c r="T1201" s="130" t="s">
        <v>1847</v>
      </c>
      <c r="U1201" s="130">
        <v>5070</v>
      </c>
      <c r="V1201" s="131">
        <v>0</v>
      </c>
      <c r="W1201" s="131">
        <v>5070</v>
      </c>
      <c r="X1201" s="131">
        <v>2000</v>
      </c>
      <c r="Y1201" s="131">
        <v>3070</v>
      </c>
      <c r="Z1201" s="131">
        <v>1000</v>
      </c>
      <c r="AA1201" s="131">
        <v>4070</v>
      </c>
      <c r="AB1201" s="131">
        <v>1000</v>
      </c>
      <c r="AC1201" s="131">
        <v>4070</v>
      </c>
      <c r="AD1201" s="131">
        <v>1000</v>
      </c>
      <c r="AE1201" s="132">
        <v>4070</v>
      </c>
    </row>
    <row r="1202" spans="1:31" x14ac:dyDescent="0.2">
      <c r="A1202" s="133">
        <v>208</v>
      </c>
      <c r="B1202" s="133" t="s">
        <v>1841</v>
      </c>
      <c r="C1202" s="133" t="s">
        <v>1199</v>
      </c>
      <c r="D1202" s="133" t="s">
        <v>1865</v>
      </c>
      <c r="E1202" s="133" t="s">
        <v>1201</v>
      </c>
      <c r="F1202" s="133" t="s">
        <v>1117</v>
      </c>
      <c r="G1202" s="133" t="s">
        <v>1202</v>
      </c>
      <c r="H1202" s="133" t="s">
        <v>1216</v>
      </c>
      <c r="I1202" s="130" t="s">
        <v>1222</v>
      </c>
      <c r="J1202" s="130" t="s">
        <v>1304</v>
      </c>
      <c r="K1202" s="130" t="s">
        <v>1248</v>
      </c>
      <c r="L1202" s="130" t="s">
        <v>1859</v>
      </c>
      <c r="M1202" s="130" t="s">
        <v>1844</v>
      </c>
      <c r="N1202" s="130" t="s">
        <v>1902</v>
      </c>
      <c r="O1202" s="130" t="s">
        <v>1860</v>
      </c>
      <c r="P1202" s="130" t="s">
        <v>1866</v>
      </c>
      <c r="Q1202" s="130" t="s">
        <v>1127</v>
      </c>
      <c r="R1202" s="130" t="s">
        <v>1191</v>
      </c>
      <c r="S1202" s="130" t="s">
        <v>1157</v>
      </c>
      <c r="T1202" s="130" t="s">
        <v>1847</v>
      </c>
      <c r="U1202" s="130">
        <v>5489</v>
      </c>
      <c r="V1202" s="131">
        <v>0</v>
      </c>
      <c r="W1202" s="131">
        <v>5489</v>
      </c>
      <c r="X1202" s="131">
        <v>1180</v>
      </c>
      <c r="Y1202" s="131">
        <v>4309</v>
      </c>
      <c r="Z1202" s="131">
        <v>0</v>
      </c>
      <c r="AA1202" s="131">
        <v>5489</v>
      </c>
      <c r="AB1202" s="131">
        <v>0</v>
      </c>
      <c r="AC1202" s="131">
        <v>5489</v>
      </c>
      <c r="AD1202" s="131">
        <v>0</v>
      </c>
      <c r="AE1202" s="132">
        <v>5489</v>
      </c>
    </row>
    <row r="1203" spans="1:31" x14ac:dyDescent="0.2">
      <c r="A1203" s="133">
        <v>208</v>
      </c>
      <c r="B1203" s="133" t="s">
        <v>1841</v>
      </c>
      <c r="C1203" s="133" t="s">
        <v>1199</v>
      </c>
      <c r="D1203" s="133" t="s">
        <v>1865</v>
      </c>
      <c r="E1203" s="133" t="s">
        <v>1201</v>
      </c>
      <c r="F1203" s="133" t="s">
        <v>1117</v>
      </c>
      <c r="G1203" s="133" t="s">
        <v>1202</v>
      </c>
      <c r="H1203" s="133" t="s">
        <v>1216</v>
      </c>
      <c r="I1203" s="133" t="s">
        <v>1222</v>
      </c>
      <c r="J1203" s="133" t="s">
        <v>1304</v>
      </c>
      <c r="K1203" s="130" t="s">
        <v>1305</v>
      </c>
      <c r="L1203" s="130" t="s">
        <v>1859</v>
      </c>
      <c r="M1203" s="130" t="s">
        <v>1844</v>
      </c>
      <c r="N1203" s="130" t="s">
        <v>1902</v>
      </c>
      <c r="O1203" s="130" t="s">
        <v>1860</v>
      </c>
      <c r="P1203" s="130" t="s">
        <v>1866</v>
      </c>
      <c r="Q1203" s="130" t="s">
        <v>1127</v>
      </c>
      <c r="R1203" s="130" t="s">
        <v>1191</v>
      </c>
      <c r="S1203" s="130" t="s">
        <v>1157</v>
      </c>
      <c r="T1203" s="130" t="s">
        <v>1847</v>
      </c>
      <c r="U1203" s="130">
        <v>7000</v>
      </c>
      <c r="V1203" s="131">
        <v>0</v>
      </c>
      <c r="W1203" s="131">
        <v>7000</v>
      </c>
      <c r="X1203" s="131">
        <v>6900</v>
      </c>
      <c r="Y1203" s="131">
        <v>100</v>
      </c>
      <c r="Z1203" s="131">
        <v>5438.15</v>
      </c>
      <c r="AA1203" s="131">
        <v>1561.8500000000004</v>
      </c>
      <c r="AB1203" s="131">
        <v>5438.15</v>
      </c>
      <c r="AC1203" s="131">
        <v>1561.8500000000004</v>
      </c>
      <c r="AD1203" s="131">
        <v>2068.7800000000002</v>
      </c>
      <c r="AE1203" s="132">
        <v>4931.2199999999993</v>
      </c>
    </row>
    <row r="1204" spans="1:31" x14ac:dyDescent="0.2">
      <c r="A1204" s="133">
        <v>208</v>
      </c>
      <c r="B1204" s="133" t="s">
        <v>1841</v>
      </c>
      <c r="C1204" s="133" t="s">
        <v>1199</v>
      </c>
      <c r="D1204" s="133" t="s">
        <v>1865</v>
      </c>
      <c r="E1204" s="133" t="s">
        <v>1201</v>
      </c>
      <c r="F1204" s="133" t="s">
        <v>1117</v>
      </c>
      <c r="G1204" s="133" t="s">
        <v>1202</v>
      </c>
      <c r="H1204" s="133" t="s">
        <v>1216</v>
      </c>
      <c r="I1204" s="133" t="s">
        <v>1222</v>
      </c>
      <c r="J1204" s="130" t="s">
        <v>1245</v>
      </c>
      <c r="K1204" s="130" t="s">
        <v>1246</v>
      </c>
      <c r="L1204" s="130" t="s">
        <v>1859</v>
      </c>
      <c r="M1204" s="130" t="s">
        <v>1844</v>
      </c>
      <c r="N1204" s="130" t="s">
        <v>1902</v>
      </c>
      <c r="O1204" s="130" t="s">
        <v>1860</v>
      </c>
      <c r="P1204" s="130" t="s">
        <v>1866</v>
      </c>
      <c r="Q1204" s="130" t="s">
        <v>1127</v>
      </c>
      <c r="R1204" s="130" t="s">
        <v>1191</v>
      </c>
      <c r="S1204" s="130" t="s">
        <v>1157</v>
      </c>
      <c r="T1204" s="130" t="s">
        <v>1847</v>
      </c>
      <c r="U1204" s="130">
        <v>4350</v>
      </c>
      <c r="V1204" s="131">
        <v>0</v>
      </c>
      <c r="W1204" s="131">
        <v>4350</v>
      </c>
      <c r="X1204" s="131">
        <v>900</v>
      </c>
      <c r="Y1204" s="131">
        <v>3450</v>
      </c>
      <c r="Z1204" s="131">
        <v>500</v>
      </c>
      <c r="AA1204" s="131">
        <v>3850</v>
      </c>
      <c r="AB1204" s="131">
        <v>500</v>
      </c>
      <c r="AC1204" s="131">
        <v>3850</v>
      </c>
      <c r="AD1204" s="131">
        <v>500</v>
      </c>
      <c r="AE1204" s="132">
        <v>3850</v>
      </c>
    </row>
    <row r="1205" spans="1:31" x14ac:dyDescent="0.2">
      <c r="A1205" s="133">
        <v>208</v>
      </c>
      <c r="B1205" s="133" t="s">
        <v>1841</v>
      </c>
      <c r="C1205" s="133" t="s">
        <v>1199</v>
      </c>
      <c r="D1205" s="133" t="s">
        <v>1865</v>
      </c>
      <c r="E1205" s="133" t="s">
        <v>1201</v>
      </c>
      <c r="F1205" s="133" t="s">
        <v>1117</v>
      </c>
      <c r="G1205" s="133" t="s">
        <v>1202</v>
      </c>
      <c r="H1205" s="133" t="s">
        <v>1216</v>
      </c>
      <c r="I1205" s="130" t="s">
        <v>1247</v>
      </c>
      <c r="J1205" s="130" t="s">
        <v>1248</v>
      </c>
      <c r="K1205" s="130" t="s">
        <v>1249</v>
      </c>
      <c r="L1205" s="130" t="s">
        <v>1859</v>
      </c>
      <c r="M1205" s="130" t="s">
        <v>1844</v>
      </c>
      <c r="N1205" s="130" t="s">
        <v>1902</v>
      </c>
      <c r="O1205" s="130" t="s">
        <v>1860</v>
      </c>
      <c r="P1205" s="130" t="s">
        <v>1866</v>
      </c>
      <c r="Q1205" s="130" t="s">
        <v>1127</v>
      </c>
      <c r="R1205" s="130" t="s">
        <v>1191</v>
      </c>
      <c r="S1205" s="130" t="s">
        <v>1157</v>
      </c>
      <c r="T1205" s="130" t="s">
        <v>1847</v>
      </c>
      <c r="U1205" s="130">
        <v>4760</v>
      </c>
      <c r="V1205" s="131">
        <v>0</v>
      </c>
      <c r="W1205" s="131">
        <v>4760</v>
      </c>
      <c r="X1205" s="131">
        <v>300</v>
      </c>
      <c r="Y1205" s="131">
        <v>4460</v>
      </c>
      <c r="Z1205" s="131">
        <v>300</v>
      </c>
      <c r="AA1205" s="131">
        <v>4460</v>
      </c>
      <c r="AB1205" s="131">
        <v>300</v>
      </c>
      <c r="AC1205" s="131">
        <v>4460</v>
      </c>
      <c r="AD1205" s="131">
        <v>300</v>
      </c>
      <c r="AE1205" s="132">
        <v>4460</v>
      </c>
    </row>
    <row r="1206" spans="1:31" x14ac:dyDescent="0.2">
      <c r="A1206" s="133">
        <v>208</v>
      </c>
      <c r="B1206" s="133" t="s">
        <v>1841</v>
      </c>
      <c r="C1206" s="133" t="s">
        <v>1199</v>
      </c>
      <c r="D1206" s="133" t="s">
        <v>1865</v>
      </c>
      <c r="E1206" s="133" t="s">
        <v>1201</v>
      </c>
      <c r="F1206" s="133" t="s">
        <v>1117</v>
      </c>
      <c r="G1206" s="133" t="s">
        <v>1202</v>
      </c>
      <c r="H1206" s="133" t="s">
        <v>1216</v>
      </c>
      <c r="I1206" s="133" t="s">
        <v>1247</v>
      </c>
      <c r="J1206" s="133" t="s">
        <v>1248</v>
      </c>
      <c r="K1206" s="130" t="s">
        <v>1251</v>
      </c>
      <c r="L1206" s="130" t="s">
        <v>1859</v>
      </c>
      <c r="M1206" s="130" t="s">
        <v>1844</v>
      </c>
      <c r="N1206" s="130" t="s">
        <v>1902</v>
      </c>
      <c r="O1206" s="130" t="s">
        <v>1860</v>
      </c>
      <c r="P1206" s="130" t="s">
        <v>1866</v>
      </c>
      <c r="Q1206" s="130" t="s">
        <v>1127</v>
      </c>
      <c r="R1206" s="130" t="s">
        <v>1191</v>
      </c>
      <c r="S1206" s="130" t="s">
        <v>1157</v>
      </c>
      <c r="T1206" s="130" t="s">
        <v>1847</v>
      </c>
      <c r="U1206" s="130">
        <v>3500</v>
      </c>
      <c r="V1206" s="131">
        <v>0</v>
      </c>
      <c r="W1206" s="131">
        <v>3500</v>
      </c>
      <c r="X1206" s="131">
        <v>0</v>
      </c>
      <c r="Y1206" s="131">
        <v>3500</v>
      </c>
      <c r="Z1206" s="131">
        <v>0</v>
      </c>
      <c r="AA1206" s="131">
        <v>3500</v>
      </c>
      <c r="AB1206" s="131">
        <v>0</v>
      </c>
      <c r="AC1206" s="131">
        <v>3500</v>
      </c>
      <c r="AD1206" s="131">
        <v>0</v>
      </c>
      <c r="AE1206" s="132">
        <v>3500</v>
      </c>
    </row>
    <row r="1207" spans="1:31" x14ac:dyDescent="0.2">
      <c r="A1207" s="133">
        <v>208</v>
      </c>
      <c r="B1207" s="133" t="s">
        <v>1841</v>
      </c>
      <c r="C1207" s="133" t="s">
        <v>1199</v>
      </c>
      <c r="D1207" s="133" t="s">
        <v>1865</v>
      </c>
      <c r="E1207" s="133" t="s">
        <v>1201</v>
      </c>
      <c r="F1207" s="133" t="s">
        <v>1117</v>
      </c>
      <c r="G1207" s="133" t="s">
        <v>1202</v>
      </c>
      <c r="H1207" s="133" t="s">
        <v>1216</v>
      </c>
      <c r="I1207" s="133" t="s">
        <v>1247</v>
      </c>
      <c r="J1207" s="133" t="s">
        <v>1248</v>
      </c>
      <c r="K1207" s="130" t="s">
        <v>1522</v>
      </c>
      <c r="L1207" s="130" t="s">
        <v>1859</v>
      </c>
      <c r="M1207" s="130" t="s">
        <v>1844</v>
      </c>
      <c r="N1207" s="130" t="s">
        <v>1902</v>
      </c>
      <c r="O1207" s="130" t="s">
        <v>1860</v>
      </c>
      <c r="P1207" s="130" t="s">
        <v>1866</v>
      </c>
      <c r="Q1207" s="130" t="s">
        <v>1127</v>
      </c>
      <c r="R1207" s="130" t="s">
        <v>1191</v>
      </c>
      <c r="S1207" s="130" t="s">
        <v>1157</v>
      </c>
      <c r="T1207" s="130" t="s">
        <v>1847</v>
      </c>
      <c r="U1207" s="130">
        <v>1392</v>
      </c>
      <c r="V1207" s="131">
        <v>0</v>
      </c>
      <c r="W1207" s="131">
        <v>1392</v>
      </c>
      <c r="X1207" s="131">
        <v>0</v>
      </c>
      <c r="Y1207" s="131">
        <v>1392</v>
      </c>
      <c r="Z1207" s="131">
        <v>0</v>
      </c>
      <c r="AA1207" s="131">
        <v>1392</v>
      </c>
      <c r="AB1207" s="131">
        <v>0</v>
      </c>
      <c r="AC1207" s="131">
        <v>1392</v>
      </c>
      <c r="AD1207" s="131">
        <v>0</v>
      </c>
      <c r="AE1207" s="132">
        <v>1392</v>
      </c>
    </row>
    <row r="1208" spans="1:31" x14ac:dyDescent="0.2">
      <c r="A1208" s="133">
        <v>208</v>
      </c>
      <c r="B1208" s="133" t="s">
        <v>1841</v>
      </c>
      <c r="C1208" s="133" t="s">
        <v>1199</v>
      </c>
      <c r="D1208" s="133" t="s">
        <v>1865</v>
      </c>
      <c r="E1208" s="133" t="s">
        <v>1201</v>
      </c>
      <c r="F1208" s="133" t="s">
        <v>1117</v>
      </c>
      <c r="G1208" s="133" t="s">
        <v>1202</v>
      </c>
      <c r="H1208" s="133" t="s">
        <v>1216</v>
      </c>
      <c r="I1208" s="130" t="s">
        <v>1252</v>
      </c>
      <c r="J1208" s="130" t="s">
        <v>1253</v>
      </c>
      <c r="K1208" s="130" t="s">
        <v>1254</v>
      </c>
      <c r="L1208" s="130" t="s">
        <v>1859</v>
      </c>
      <c r="M1208" s="130" t="s">
        <v>1844</v>
      </c>
      <c r="N1208" s="130" t="s">
        <v>1902</v>
      </c>
      <c r="O1208" s="130" t="s">
        <v>1860</v>
      </c>
      <c r="P1208" s="130" t="s">
        <v>1866</v>
      </c>
      <c r="Q1208" s="130" t="s">
        <v>1127</v>
      </c>
      <c r="R1208" s="130" t="s">
        <v>1191</v>
      </c>
      <c r="S1208" s="130" t="s">
        <v>1157</v>
      </c>
      <c r="T1208" s="130" t="s">
        <v>1847</v>
      </c>
      <c r="U1208" s="130">
        <v>600</v>
      </c>
      <c r="V1208" s="131">
        <v>0</v>
      </c>
      <c r="W1208" s="131">
        <v>600</v>
      </c>
      <c r="X1208" s="131">
        <v>300</v>
      </c>
      <c r="Y1208" s="131">
        <v>300</v>
      </c>
      <c r="Z1208" s="131">
        <v>300</v>
      </c>
      <c r="AA1208" s="131">
        <v>300</v>
      </c>
      <c r="AB1208" s="131">
        <v>300</v>
      </c>
      <c r="AC1208" s="131">
        <v>300</v>
      </c>
      <c r="AD1208" s="131">
        <v>300</v>
      </c>
      <c r="AE1208" s="132">
        <v>300</v>
      </c>
    </row>
    <row r="1209" spans="1:31" x14ac:dyDescent="0.2">
      <c r="A1209" s="133">
        <v>208</v>
      </c>
      <c r="B1209" s="133" t="s">
        <v>1841</v>
      </c>
      <c r="C1209" s="133" t="s">
        <v>1199</v>
      </c>
      <c r="D1209" s="133" t="s">
        <v>1865</v>
      </c>
      <c r="E1209" s="133" t="s">
        <v>1201</v>
      </c>
      <c r="F1209" s="133" t="s">
        <v>1117</v>
      </c>
      <c r="G1209" s="133" t="s">
        <v>1202</v>
      </c>
      <c r="H1209" s="130" t="s">
        <v>1203</v>
      </c>
      <c r="I1209" s="130" t="s">
        <v>1204</v>
      </c>
      <c r="J1209" s="130" t="s">
        <v>1205</v>
      </c>
      <c r="K1209" s="130" t="s">
        <v>1255</v>
      </c>
      <c r="L1209" s="130" t="s">
        <v>1859</v>
      </c>
      <c r="M1209" s="130" t="s">
        <v>1844</v>
      </c>
      <c r="N1209" s="130" t="s">
        <v>1902</v>
      </c>
      <c r="O1209" s="130" t="s">
        <v>1860</v>
      </c>
      <c r="P1209" s="130" t="s">
        <v>1866</v>
      </c>
      <c r="Q1209" s="130" t="s">
        <v>1127</v>
      </c>
      <c r="R1209" s="130" t="s">
        <v>1191</v>
      </c>
      <c r="S1209" s="130" t="s">
        <v>1157</v>
      </c>
      <c r="T1209" s="130" t="s">
        <v>1847</v>
      </c>
      <c r="U1209" s="130">
        <v>11040</v>
      </c>
      <c r="V1209" s="131">
        <v>0</v>
      </c>
      <c r="W1209" s="131">
        <v>11040</v>
      </c>
      <c r="X1209" s="131">
        <v>11040</v>
      </c>
      <c r="Y1209" s="131">
        <v>0</v>
      </c>
      <c r="Z1209" s="131">
        <v>1021.06</v>
      </c>
      <c r="AA1209" s="131">
        <v>10018.94</v>
      </c>
      <c r="AB1209" s="131">
        <v>1021.06</v>
      </c>
      <c r="AC1209" s="131">
        <v>10018.94</v>
      </c>
      <c r="AD1209" s="131">
        <v>1021.06</v>
      </c>
      <c r="AE1209" s="132">
        <v>10018.94</v>
      </c>
    </row>
    <row r="1210" spans="1:31" x14ac:dyDescent="0.2">
      <c r="A1210" s="133">
        <v>208</v>
      </c>
      <c r="B1210" s="133" t="s">
        <v>1841</v>
      </c>
      <c r="C1210" s="133" t="s">
        <v>1199</v>
      </c>
      <c r="D1210" s="133" t="s">
        <v>1865</v>
      </c>
      <c r="E1210" s="133" t="s">
        <v>1201</v>
      </c>
      <c r="F1210" s="133" t="s">
        <v>1117</v>
      </c>
      <c r="G1210" s="133" t="s">
        <v>1202</v>
      </c>
      <c r="H1210" s="133" t="s">
        <v>1203</v>
      </c>
      <c r="I1210" s="133" t="s">
        <v>1204</v>
      </c>
      <c r="J1210" s="133" t="s">
        <v>1205</v>
      </c>
      <c r="K1210" s="130" t="s">
        <v>1256</v>
      </c>
      <c r="L1210" s="130" t="s">
        <v>1859</v>
      </c>
      <c r="M1210" s="130" t="s">
        <v>1844</v>
      </c>
      <c r="N1210" s="130" t="s">
        <v>1902</v>
      </c>
      <c r="O1210" s="130" t="s">
        <v>1860</v>
      </c>
      <c r="P1210" s="130" t="s">
        <v>1866</v>
      </c>
      <c r="Q1210" s="130" t="s">
        <v>1127</v>
      </c>
      <c r="R1210" s="130" t="s">
        <v>1191</v>
      </c>
      <c r="S1210" s="130" t="s">
        <v>1157</v>
      </c>
      <c r="T1210" s="130" t="s">
        <v>1847</v>
      </c>
      <c r="U1210" s="130">
        <v>11000</v>
      </c>
      <c r="V1210" s="131">
        <v>0</v>
      </c>
      <c r="W1210" s="131">
        <v>11000</v>
      </c>
      <c r="X1210" s="131">
        <v>11000</v>
      </c>
      <c r="Y1210" s="131">
        <v>0</v>
      </c>
      <c r="Z1210" s="131">
        <v>774</v>
      </c>
      <c r="AA1210" s="131">
        <v>10226</v>
      </c>
      <c r="AB1210" s="131">
        <v>774</v>
      </c>
      <c r="AC1210" s="131">
        <v>10226</v>
      </c>
      <c r="AD1210" s="131">
        <v>774</v>
      </c>
      <c r="AE1210" s="132">
        <v>10226</v>
      </c>
    </row>
    <row r="1211" spans="1:31" x14ac:dyDescent="0.2">
      <c r="A1211" s="133">
        <v>208</v>
      </c>
      <c r="B1211" s="133" t="s">
        <v>1841</v>
      </c>
      <c r="C1211" s="133" t="s">
        <v>1199</v>
      </c>
      <c r="D1211" s="133" t="s">
        <v>1865</v>
      </c>
      <c r="E1211" s="133" t="s">
        <v>1201</v>
      </c>
      <c r="F1211" s="133" t="s">
        <v>1117</v>
      </c>
      <c r="G1211" s="133" t="s">
        <v>1202</v>
      </c>
      <c r="H1211" s="133" t="s">
        <v>1203</v>
      </c>
      <c r="I1211" s="130" t="s">
        <v>1224</v>
      </c>
      <c r="J1211" s="130" t="s">
        <v>1257</v>
      </c>
      <c r="K1211" s="130" t="s">
        <v>1258</v>
      </c>
      <c r="L1211" s="130" t="s">
        <v>1859</v>
      </c>
      <c r="M1211" s="130" t="s">
        <v>1844</v>
      </c>
      <c r="N1211" s="130" t="s">
        <v>1902</v>
      </c>
      <c r="O1211" s="130" t="s">
        <v>1860</v>
      </c>
      <c r="P1211" s="130" t="s">
        <v>1866</v>
      </c>
      <c r="Q1211" s="130" t="s">
        <v>1127</v>
      </c>
      <c r="R1211" s="130" t="s">
        <v>1191</v>
      </c>
      <c r="S1211" s="130" t="s">
        <v>1157</v>
      </c>
      <c r="T1211" s="130" t="s">
        <v>1847</v>
      </c>
      <c r="U1211" s="130">
        <v>2289</v>
      </c>
      <c r="V1211" s="131">
        <v>0</v>
      </c>
      <c r="W1211" s="131">
        <v>2289</v>
      </c>
      <c r="X1211" s="131">
        <v>2289</v>
      </c>
      <c r="Y1211" s="131">
        <v>0</v>
      </c>
      <c r="Z1211" s="131">
        <v>1614.9</v>
      </c>
      <c r="AA1211" s="131">
        <v>674.09999999999991</v>
      </c>
      <c r="AB1211" s="131">
        <v>1614.9</v>
      </c>
      <c r="AC1211" s="131">
        <v>674.09999999999991</v>
      </c>
      <c r="AD1211" s="131">
        <v>1614.9</v>
      </c>
      <c r="AE1211" s="132">
        <v>674.09999999999991</v>
      </c>
    </row>
    <row r="1212" spans="1:31" x14ac:dyDescent="0.2">
      <c r="A1212" s="133">
        <v>208</v>
      </c>
      <c r="B1212" s="133" t="s">
        <v>1841</v>
      </c>
      <c r="C1212" s="133" t="s">
        <v>1199</v>
      </c>
      <c r="D1212" s="133" t="s">
        <v>1865</v>
      </c>
      <c r="E1212" s="133" t="s">
        <v>1201</v>
      </c>
      <c r="F1212" s="133" t="s">
        <v>1117</v>
      </c>
      <c r="G1212" s="133" t="s">
        <v>1202</v>
      </c>
      <c r="H1212" s="133" t="s">
        <v>1203</v>
      </c>
      <c r="I1212" s="133" t="s">
        <v>1224</v>
      </c>
      <c r="J1212" s="133" t="s">
        <v>1257</v>
      </c>
      <c r="K1212" s="130" t="s">
        <v>1259</v>
      </c>
      <c r="L1212" s="130" t="s">
        <v>1859</v>
      </c>
      <c r="M1212" s="130" t="s">
        <v>1844</v>
      </c>
      <c r="N1212" s="130" t="s">
        <v>1902</v>
      </c>
      <c r="O1212" s="130" t="s">
        <v>1860</v>
      </c>
      <c r="P1212" s="130" t="s">
        <v>1866</v>
      </c>
      <c r="Q1212" s="130" t="s">
        <v>1127</v>
      </c>
      <c r="R1212" s="130" t="s">
        <v>1191</v>
      </c>
      <c r="S1212" s="130" t="s">
        <v>1157</v>
      </c>
      <c r="T1212" s="130" t="s">
        <v>1847</v>
      </c>
      <c r="U1212" s="130">
        <v>600</v>
      </c>
      <c r="V1212" s="131">
        <v>0</v>
      </c>
      <c r="W1212" s="131">
        <v>600</v>
      </c>
      <c r="X1212" s="131">
        <v>600</v>
      </c>
      <c r="Y1212" s="131">
        <v>0</v>
      </c>
      <c r="Z1212" s="131">
        <v>454.3</v>
      </c>
      <c r="AA1212" s="131">
        <v>145.69999999999999</v>
      </c>
      <c r="AB1212" s="131">
        <v>454.29999999999995</v>
      </c>
      <c r="AC1212" s="131">
        <v>145.70000000000005</v>
      </c>
      <c r="AD1212" s="131">
        <v>454.29999999999995</v>
      </c>
      <c r="AE1212" s="132">
        <v>145.70000000000005</v>
      </c>
    </row>
    <row r="1213" spans="1:31" x14ac:dyDescent="0.2">
      <c r="A1213" s="133">
        <v>208</v>
      </c>
      <c r="B1213" s="133" t="s">
        <v>1841</v>
      </c>
      <c r="C1213" s="133" t="s">
        <v>1199</v>
      </c>
      <c r="D1213" s="133" t="s">
        <v>1865</v>
      </c>
      <c r="E1213" s="133" t="s">
        <v>1201</v>
      </c>
      <c r="F1213" s="133" t="s">
        <v>1117</v>
      </c>
      <c r="G1213" s="133" t="s">
        <v>1202</v>
      </c>
      <c r="H1213" s="133" t="s">
        <v>1203</v>
      </c>
      <c r="I1213" s="133" t="s">
        <v>1224</v>
      </c>
      <c r="J1213" s="130" t="s">
        <v>1529</v>
      </c>
      <c r="K1213" s="130" t="s">
        <v>1530</v>
      </c>
      <c r="L1213" s="130" t="s">
        <v>1859</v>
      </c>
      <c r="M1213" s="130" t="s">
        <v>1844</v>
      </c>
      <c r="N1213" s="130" t="s">
        <v>1902</v>
      </c>
      <c r="O1213" s="130" t="s">
        <v>1860</v>
      </c>
      <c r="P1213" s="130" t="s">
        <v>1866</v>
      </c>
      <c r="Q1213" s="130" t="s">
        <v>1127</v>
      </c>
      <c r="R1213" s="130" t="s">
        <v>1191</v>
      </c>
      <c r="S1213" s="130" t="s">
        <v>1157</v>
      </c>
      <c r="T1213" s="130" t="s">
        <v>1847</v>
      </c>
      <c r="U1213" s="130">
        <v>960</v>
      </c>
      <c r="V1213" s="131">
        <v>0</v>
      </c>
      <c r="W1213" s="131">
        <v>960</v>
      </c>
      <c r="X1213" s="131">
        <v>0</v>
      </c>
      <c r="Y1213" s="131">
        <v>960</v>
      </c>
      <c r="Z1213" s="131">
        <v>0</v>
      </c>
      <c r="AA1213" s="131">
        <v>960</v>
      </c>
      <c r="AB1213" s="131">
        <v>0</v>
      </c>
      <c r="AC1213" s="131">
        <v>960</v>
      </c>
      <c r="AD1213" s="131">
        <v>0</v>
      </c>
      <c r="AE1213" s="132">
        <v>960</v>
      </c>
    </row>
    <row r="1214" spans="1:31" x14ac:dyDescent="0.2">
      <c r="A1214" s="133">
        <v>208</v>
      </c>
      <c r="B1214" s="133" t="s">
        <v>1841</v>
      </c>
      <c r="C1214" s="133" t="s">
        <v>1199</v>
      </c>
      <c r="D1214" s="133" t="s">
        <v>1865</v>
      </c>
      <c r="E1214" s="133" t="s">
        <v>1201</v>
      </c>
      <c r="F1214" s="133" t="s">
        <v>1117</v>
      </c>
      <c r="G1214" s="133" t="s">
        <v>1202</v>
      </c>
      <c r="H1214" s="133" t="s">
        <v>1203</v>
      </c>
      <c r="I1214" s="133" t="s">
        <v>1224</v>
      </c>
      <c r="J1214" s="133" t="s">
        <v>1529</v>
      </c>
      <c r="K1214" s="130" t="s">
        <v>1531</v>
      </c>
      <c r="L1214" s="130" t="s">
        <v>1859</v>
      </c>
      <c r="M1214" s="130" t="s">
        <v>1844</v>
      </c>
      <c r="N1214" s="130" t="s">
        <v>1902</v>
      </c>
      <c r="O1214" s="130" t="s">
        <v>1860</v>
      </c>
      <c r="P1214" s="130" t="s">
        <v>1866</v>
      </c>
      <c r="Q1214" s="130" t="s">
        <v>1127</v>
      </c>
      <c r="R1214" s="130" t="s">
        <v>1191</v>
      </c>
      <c r="S1214" s="130" t="s">
        <v>1157</v>
      </c>
      <c r="T1214" s="130" t="s">
        <v>1847</v>
      </c>
      <c r="U1214" s="130">
        <v>5400</v>
      </c>
      <c r="V1214" s="131">
        <v>0</v>
      </c>
      <c r="W1214" s="131">
        <v>5400</v>
      </c>
      <c r="X1214" s="131">
        <v>0</v>
      </c>
      <c r="Y1214" s="131">
        <v>5400</v>
      </c>
      <c r="Z1214" s="131">
        <v>0</v>
      </c>
      <c r="AA1214" s="131">
        <v>5400</v>
      </c>
      <c r="AB1214" s="131">
        <v>0</v>
      </c>
      <c r="AC1214" s="131">
        <v>5400</v>
      </c>
      <c r="AD1214" s="131">
        <v>0</v>
      </c>
      <c r="AE1214" s="132">
        <v>5400</v>
      </c>
    </row>
    <row r="1215" spans="1:31" x14ac:dyDescent="0.2">
      <c r="A1215" s="133">
        <v>208</v>
      </c>
      <c r="B1215" s="133" t="s">
        <v>1841</v>
      </c>
      <c r="C1215" s="133" t="s">
        <v>1199</v>
      </c>
      <c r="D1215" s="133" t="s">
        <v>1865</v>
      </c>
      <c r="E1215" s="133" t="s">
        <v>1201</v>
      </c>
      <c r="F1215" s="133" t="s">
        <v>1117</v>
      </c>
      <c r="G1215" s="133" t="s">
        <v>1202</v>
      </c>
      <c r="H1215" s="133" t="s">
        <v>1203</v>
      </c>
      <c r="I1215" s="133" t="s">
        <v>1224</v>
      </c>
      <c r="J1215" s="130" t="s">
        <v>1306</v>
      </c>
      <c r="K1215" s="130" t="s">
        <v>1307</v>
      </c>
      <c r="L1215" s="130" t="s">
        <v>1859</v>
      </c>
      <c r="M1215" s="130" t="s">
        <v>1844</v>
      </c>
      <c r="N1215" s="130" t="s">
        <v>1902</v>
      </c>
      <c r="O1215" s="130" t="s">
        <v>1860</v>
      </c>
      <c r="P1215" s="130" t="s">
        <v>1866</v>
      </c>
      <c r="Q1215" s="130" t="s">
        <v>1127</v>
      </c>
      <c r="R1215" s="130" t="s">
        <v>1191</v>
      </c>
      <c r="S1215" s="130" t="s">
        <v>1157</v>
      </c>
      <c r="T1215" s="130" t="s">
        <v>1847</v>
      </c>
      <c r="U1215" s="130">
        <v>600</v>
      </c>
      <c r="V1215" s="131">
        <v>0</v>
      </c>
      <c r="W1215" s="131">
        <v>600</v>
      </c>
      <c r="X1215" s="131">
        <v>0</v>
      </c>
      <c r="Y1215" s="131">
        <v>600</v>
      </c>
      <c r="Z1215" s="131">
        <v>0</v>
      </c>
      <c r="AA1215" s="131">
        <v>600</v>
      </c>
      <c r="AB1215" s="131">
        <v>0</v>
      </c>
      <c r="AC1215" s="131">
        <v>600</v>
      </c>
      <c r="AD1215" s="131">
        <v>0</v>
      </c>
      <c r="AE1215" s="132">
        <v>600</v>
      </c>
    </row>
    <row r="1216" spans="1:31" x14ac:dyDescent="0.2">
      <c r="A1216" s="133">
        <v>208</v>
      </c>
      <c r="B1216" s="133" t="s">
        <v>1841</v>
      </c>
      <c r="C1216" s="133" t="s">
        <v>1199</v>
      </c>
      <c r="D1216" s="133" t="s">
        <v>1865</v>
      </c>
      <c r="E1216" s="133" t="s">
        <v>1201</v>
      </c>
      <c r="F1216" s="133" t="s">
        <v>1117</v>
      </c>
      <c r="G1216" s="133" t="s">
        <v>1202</v>
      </c>
      <c r="H1216" s="133" t="s">
        <v>1203</v>
      </c>
      <c r="I1216" s="133" t="s">
        <v>1224</v>
      </c>
      <c r="J1216" s="130" t="s">
        <v>1225</v>
      </c>
      <c r="K1216" s="130" t="s">
        <v>1226</v>
      </c>
      <c r="L1216" s="130" t="s">
        <v>1859</v>
      </c>
      <c r="M1216" s="130" t="s">
        <v>1844</v>
      </c>
      <c r="N1216" s="130" t="s">
        <v>1902</v>
      </c>
      <c r="O1216" s="130" t="s">
        <v>1860</v>
      </c>
      <c r="P1216" s="130" t="s">
        <v>1866</v>
      </c>
      <c r="Q1216" s="130" t="s">
        <v>1127</v>
      </c>
      <c r="R1216" s="130" t="s">
        <v>1191</v>
      </c>
      <c r="S1216" s="130" t="s">
        <v>1157</v>
      </c>
      <c r="T1216" s="130" t="s">
        <v>1847</v>
      </c>
      <c r="U1216" s="130">
        <v>400</v>
      </c>
      <c r="V1216" s="131">
        <v>0</v>
      </c>
      <c r="W1216" s="131">
        <v>400</v>
      </c>
      <c r="X1216" s="131">
        <v>0</v>
      </c>
      <c r="Y1216" s="131">
        <v>400</v>
      </c>
      <c r="Z1216" s="131">
        <v>0</v>
      </c>
      <c r="AA1216" s="131">
        <v>400</v>
      </c>
      <c r="AB1216" s="131">
        <v>0</v>
      </c>
      <c r="AC1216" s="131">
        <v>400</v>
      </c>
      <c r="AD1216" s="131">
        <v>0</v>
      </c>
      <c r="AE1216" s="132">
        <v>400</v>
      </c>
    </row>
    <row r="1217" spans="1:31" x14ac:dyDescent="0.2">
      <c r="A1217" s="133">
        <v>208</v>
      </c>
      <c r="B1217" s="133" t="s">
        <v>1841</v>
      </c>
      <c r="C1217" s="133" t="s">
        <v>1199</v>
      </c>
      <c r="D1217" s="133" t="s">
        <v>1865</v>
      </c>
      <c r="E1217" s="133" t="s">
        <v>1201</v>
      </c>
      <c r="F1217" s="133" t="s">
        <v>1117</v>
      </c>
      <c r="G1217" s="133" t="s">
        <v>1202</v>
      </c>
      <c r="H1217" s="133" t="s">
        <v>1203</v>
      </c>
      <c r="I1217" s="130" t="s">
        <v>1264</v>
      </c>
      <c r="J1217" s="130" t="s">
        <v>1265</v>
      </c>
      <c r="K1217" s="130" t="s">
        <v>1266</v>
      </c>
      <c r="L1217" s="130" t="s">
        <v>1859</v>
      </c>
      <c r="M1217" s="130" t="s">
        <v>1844</v>
      </c>
      <c r="N1217" s="130" t="s">
        <v>1902</v>
      </c>
      <c r="O1217" s="130" t="s">
        <v>1860</v>
      </c>
      <c r="P1217" s="130" t="s">
        <v>1866</v>
      </c>
      <c r="Q1217" s="130" t="s">
        <v>1127</v>
      </c>
      <c r="R1217" s="130" t="s">
        <v>1191</v>
      </c>
      <c r="S1217" s="130" t="s">
        <v>1157</v>
      </c>
      <c r="T1217" s="130" t="s">
        <v>1847</v>
      </c>
      <c r="U1217" s="130">
        <v>600</v>
      </c>
      <c r="V1217" s="131">
        <v>0</v>
      </c>
      <c r="W1217" s="131">
        <v>600</v>
      </c>
      <c r="X1217" s="131">
        <v>600</v>
      </c>
      <c r="Y1217" s="131">
        <v>0</v>
      </c>
      <c r="Z1217" s="131">
        <v>400</v>
      </c>
      <c r="AA1217" s="131">
        <v>200</v>
      </c>
      <c r="AB1217" s="131">
        <v>400</v>
      </c>
      <c r="AC1217" s="131">
        <v>200</v>
      </c>
      <c r="AD1217" s="131">
        <v>400</v>
      </c>
      <c r="AE1217" s="132">
        <v>200</v>
      </c>
    </row>
    <row r="1218" spans="1:31" x14ac:dyDescent="0.2">
      <c r="A1218" s="133">
        <v>208</v>
      </c>
      <c r="B1218" s="133" t="s">
        <v>1841</v>
      </c>
      <c r="C1218" s="133" t="s">
        <v>1199</v>
      </c>
      <c r="D1218" s="133" t="s">
        <v>1865</v>
      </c>
      <c r="E1218" s="133" t="s">
        <v>1201</v>
      </c>
      <c r="F1218" s="133" t="s">
        <v>1117</v>
      </c>
      <c r="G1218" s="133" t="s">
        <v>1202</v>
      </c>
      <c r="H1218" s="133" t="s">
        <v>1203</v>
      </c>
      <c r="I1218" s="130" t="s">
        <v>1269</v>
      </c>
      <c r="J1218" s="130" t="s">
        <v>1270</v>
      </c>
      <c r="K1218" s="130" t="s">
        <v>1272</v>
      </c>
      <c r="L1218" s="130" t="s">
        <v>1859</v>
      </c>
      <c r="M1218" s="130" t="s">
        <v>1844</v>
      </c>
      <c r="N1218" s="130" t="s">
        <v>1902</v>
      </c>
      <c r="O1218" s="130" t="s">
        <v>1860</v>
      </c>
      <c r="P1218" s="130" t="s">
        <v>1866</v>
      </c>
      <c r="Q1218" s="130" t="s">
        <v>1127</v>
      </c>
      <c r="R1218" s="130" t="s">
        <v>1191</v>
      </c>
      <c r="S1218" s="130" t="s">
        <v>1157</v>
      </c>
      <c r="T1218" s="130" t="s">
        <v>1847</v>
      </c>
      <c r="U1218" s="130">
        <v>850</v>
      </c>
      <c r="V1218" s="131">
        <v>0</v>
      </c>
      <c r="W1218" s="131">
        <v>850</v>
      </c>
      <c r="X1218" s="131">
        <v>0</v>
      </c>
      <c r="Y1218" s="131">
        <v>850</v>
      </c>
      <c r="Z1218" s="131">
        <v>0</v>
      </c>
      <c r="AA1218" s="131">
        <v>850</v>
      </c>
      <c r="AB1218" s="131">
        <v>0</v>
      </c>
      <c r="AC1218" s="131">
        <v>850</v>
      </c>
      <c r="AD1218" s="131">
        <v>0</v>
      </c>
      <c r="AE1218" s="132">
        <v>850</v>
      </c>
    </row>
    <row r="1219" spans="1:31" x14ac:dyDescent="0.2">
      <c r="A1219" s="133">
        <v>208</v>
      </c>
      <c r="B1219" s="133" t="s">
        <v>1841</v>
      </c>
      <c r="C1219" s="133" t="s">
        <v>1199</v>
      </c>
      <c r="D1219" s="133" t="s">
        <v>1865</v>
      </c>
      <c r="E1219" s="133" t="s">
        <v>1201</v>
      </c>
      <c r="F1219" s="133" t="s">
        <v>1117</v>
      </c>
      <c r="G1219" s="133" t="s">
        <v>1202</v>
      </c>
      <c r="H1219" s="133" t="s">
        <v>1203</v>
      </c>
      <c r="I1219" s="130" t="s">
        <v>1309</v>
      </c>
      <c r="J1219" s="130" t="s">
        <v>1310</v>
      </c>
      <c r="K1219" s="130" t="s">
        <v>1310</v>
      </c>
      <c r="L1219" s="130" t="s">
        <v>1859</v>
      </c>
      <c r="M1219" s="130" t="s">
        <v>1844</v>
      </c>
      <c r="N1219" s="130" t="s">
        <v>1902</v>
      </c>
      <c r="O1219" s="130" t="s">
        <v>1860</v>
      </c>
      <c r="P1219" s="130" t="s">
        <v>1866</v>
      </c>
      <c r="Q1219" s="130" t="s">
        <v>1127</v>
      </c>
      <c r="R1219" s="130" t="s">
        <v>1191</v>
      </c>
      <c r="S1219" s="130" t="s">
        <v>1157</v>
      </c>
      <c r="T1219" s="130" t="s">
        <v>1847</v>
      </c>
      <c r="U1219" s="130">
        <v>17200</v>
      </c>
      <c r="V1219" s="131">
        <v>0</v>
      </c>
      <c r="W1219" s="131">
        <v>17200</v>
      </c>
      <c r="X1219" s="131">
        <v>0</v>
      </c>
      <c r="Y1219" s="131">
        <v>17200</v>
      </c>
      <c r="Z1219" s="131">
        <v>0</v>
      </c>
      <c r="AA1219" s="131">
        <v>17200</v>
      </c>
      <c r="AB1219" s="131">
        <v>0</v>
      </c>
      <c r="AC1219" s="131">
        <v>17200</v>
      </c>
      <c r="AD1219" s="131">
        <v>0</v>
      </c>
      <c r="AE1219" s="132">
        <v>17200</v>
      </c>
    </row>
    <row r="1220" spans="1:31" x14ac:dyDescent="0.2">
      <c r="A1220" s="133">
        <v>208</v>
      </c>
      <c r="B1220" s="133" t="s">
        <v>1841</v>
      </c>
      <c r="C1220" s="133" t="s">
        <v>1199</v>
      </c>
      <c r="D1220" s="133" t="s">
        <v>1865</v>
      </c>
      <c r="E1220" s="130" t="s">
        <v>1855</v>
      </c>
      <c r="F1220" s="130" t="s">
        <v>1117</v>
      </c>
      <c r="G1220" s="130" t="s">
        <v>1202</v>
      </c>
      <c r="H1220" s="130" t="s">
        <v>1216</v>
      </c>
      <c r="I1220" s="130" t="s">
        <v>1239</v>
      </c>
      <c r="J1220" s="130" t="s">
        <v>1240</v>
      </c>
      <c r="K1220" s="130" t="s">
        <v>1519</v>
      </c>
      <c r="L1220" s="130" t="s">
        <v>1859</v>
      </c>
      <c r="M1220" s="130" t="s">
        <v>1844</v>
      </c>
      <c r="N1220" s="130" t="s">
        <v>1902</v>
      </c>
      <c r="O1220" s="130" t="s">
        <v>1860</v>
      </c>
      <c r="P1220" s="130" t="s">
        <v>1866</v>
      </c>
      <c r="Q1220" s="130" t="s">
        <v>1127</v>
      </c>
      <c r="R1220" s="130" t="s">
        <v>1191</v>
      </c>
      <c r="S1220" s="130" t="s">
        <v>1157</v>
      </c>
      <c r="T1220" s="130" t="s">
        <v>1847</v>
      </c>
      <c r="U1220" s="130">
        <v>0</v>
      </c>
      <c r="V1220" s="131">
        <v>30000</v>
      </c>
      <c r="W1220" s="131">
        <v>30000</v>
      </c>
      <c r="X1220" s="131">
        <v>18912.5</v>
      </c>
      <c r="Y1220" s="131">
        <v>11087.5</v>
      </c>
      <c r="Z1220" s="131">
        <v>18912.5</v>
      </c>
      <c r="AA1220" s="131">
        <v>11087.5</v>
      </c>
      <c r="AB1220" s="131">
        <v>18912.5</v>
      </c>
      <c r="AC1220" s="131">
        <v>11087.5</v>
      </c>
      <c r="AD1220" s="131">
        <v>0</v>
      </c>
      <c r="AE1220" s="132">
        <v>30000</v>
      </c>
    </row>
    <row r="1221" spans="1:31" x14ac:dyDescent="0.2">
      <c r="A1221" s="133">
        <v>208</v>
      </c>
      <c r="B1221" s="133" t="s">
        <v>1841</v>
      </c>
      <c r="C1221" s="133" t="s">
        <v>1199</v>
      </c>
      <c r="D1221" s="133" t="s">
        <v>1865</v>
      </c>
      <c r="E1221" s="133" t="s">
        <v>1855</v>
      </c>
      <c r="F1221" s="133" t="s">
        <v>1117</v>
      </c>
      <c r="G1221" s="133" t="s">
        <v>1202</v>
      </c>
      <c r="H1221" s="133" t="s">
        <v>1216</v>
      </c>
      <c r="I1221" s="130" t="s">
        <v>1217</v>
      </c>
      <c r="J1221" s="130" t="s">
        <v>1218</v>
      </c>
      <c r="K1221" s="130" t="s">
        <v>1219</v>
      </c>
      <c r="L1221" s="130" t="s">
        <v>1859</v>
      </c>
      <c r="M1221" s="130" t="s">
        <v>1844</v>
      </c>
      <c r="N1221" s="130" t="s">
        <v>1902</v>
      </c>
      <c r="O1221" s="130" t="s">
        <v>1860</v>
      </c>
      <c r="P1221" s="130" t="s">
        <v>1866</v>
      </c>
      <c r="Q1221" s="130" t="s">
        <v>1127</v>
      </c>
      <c r="R1221" s="130" t="s">
        <v>1191</v>
      </c>
      <c r="S1221" s="130" t="s">
        <v>1157</v>
      </c>
      <c r="T1221" s="130" t="s">
        <v>1847</v>
      </c>
      <c r="U1221" s="130">
        <v>0</v>
      </c>
      <c r="V1221" s="131">
        <v>21900</v>
      </c>
      <c r="W1221" s="131">
        <v>21900</v>
      </c>
      <c r="X1221" s="131">
        <v>11200</v>
      </c>
      <c r="Y1221" s="131">
        <v>10700</v>
      </c>
      <c r="Z1221" s="131">
        <v>11200</v>
      </c>
      <c r="AA1221" s="131">
        <v>10700</v>
      </c>
      <c r="AB1221" s="131">
        <v>11200</v>
      </c>
      <c r="AC1221" s="131">
        <v>10700</v>
      </c>
      <c r="AD1221" s="131">
        <v>0</v>
      </c>
      <c r="AE1221" s="132">
        <v>21900</v>
      </c>
    </row>
    <row r="1222" spans="1:31" x14ac:dyDescent="0.2">
      <c r="A1222" s="133">
        <v>208</v>
      </c>
      <c r="B1222" s="133" t="s">
        <v>1841</v>
      </c>
      <c r="C1222" s="133" t="s">
        <v>1199</v>
      </c>
      <c r="D1222" s="133" t="s">
        <v>1865</v>
      </c>
      <c r="E1222" s="133" t="s">
        <v>1855</v>
      </c>
      <c r="F1222" s="133" t="s">
        <v>1117</v>
      </c>
      <c r="G1222" s="133" t="s">
        <v>1202</v>
      </c>
      <c r="H1222" s="133" t="s">
        <v>1216</v>
      </c>
      <c r="I1222" s="130" t="s">
        <v>1242</v>
      </c>
      <c r="J1222" s="130" t="s">
        <v>1243</v>
      </c>
      <c r="K1222" s="130" t="s">
        <v>1303</v>
      </c>
      <c r="L1222" s="130" t="s">
        <v>1859</v>
      </c>
      <c r="M1222" s="130" t="s">
        <v>1844</v>
      </c>
      <c r="N1222" s="130" t="s">
        <v>1902</v>
      </c>
      <c r="O1222" s="130" t="s">
        <v>1860</v>
      </c>
      <c r="P1222" s="130" t="s">
        <v>1866</v>
      </c>
      <c r="Q1222" s="130" t="s">
        <v>1127</v>
      </c>
      <c r="R1222" s="130" t="s">
        <v>1191</v>
      </c>
      <c r="S1222" s="130" t="s">
        <v>1157</v>
      </c>
      <c r="T1222" s="130" t="s">
        <v>1847</v>
      </c>
      <c r="U1222" s="130">
        <v>500</v>
      </c>
      <c r="V1222" s="131">
        <v>25000</v>
      </c>
      <c r="W1222" s="131">
        <v>25500</v>
      </c>
      <c r="X1222" s="131">
        <v>0</v>
      </c>
      <c r="Y1222" s="131">
        <v>25500</v>
      </c>
      <c r="Z1222" s="131">
        <v>0</v>
      </c>
      <c r="AA1222" s="131">
        <v>25500</v>
      </c>
      <c r="AB1222" s="131">
        <v>0</v>
      </c>
      <c r="AC1222" s="131">
        <v>25500</v>
      </c>
      <c r="AD1222" s="131">
        <v>0</v>
      </c>
      <c r="AE1222" s="132">
        <v>25500</v>
      </c>
    </row>
    <row r="1223" spans="1:31" x14ac:dyDescent="0.2">
      <c r="A1223" s="133">
        <v>208</v>
      </c>
      <c r="B1223" s="133" t="s">
        <v>1841</v>
      </c>
      <c r="C1223" s="133" t="s">
        <v>1199</v>
      </c>
      <c r="D1223" s="133" t="s">
        <v>1865</v>
      </c>
      <c r="E1223" s="133" t="s">
        <v>1855</v>
      </c>
      <c r="F1223" s="133" t="s">
        <v>1117</v>
      </c>
      <c r="G1223" s="133" t="s">
        <v>1202</v>
      </c>
      <c r="H1223" s="133" t="s">
        <v>1216</v>
      </c>
      <c r="I1223" s="133" t="s">
        <v>1242</v>
      </c>
      <c r="J1223" s="133" t="s">
        <v>1243</v>
      </c>
      <c r="K1223" s="130" t="s">
        <v>1244</v>
      </c>
      <c r="L1223" s="130" t="s">
        <v>1859</v>
      </c>
      <c r="M1223" s="130" t="s">
        <v>1844</v>
      </c>
      <c r="N1223" s="130" t="s">
        <v>1902</v>
      </c>
      <c r="O1223" s="130" t="s">
        <v>1860</v>
      </c>
      <c r="P1223" s="130" t="s">
        <v>1866</v>
      </c>
      <c r="Q1223" s="130" t="s">
        <v>1127</v>
      </c>
      <c r="R1223" s="130" t="s">
        <v>1191</v>
      </c>
      <c r="S1223" s="130" t="s">
        <v>1157</v>
      </c>
      <c r="T1223" s="130" t="s">
        <v>1847</v>
      </c>
      <c r="U1223" s="130">
        <v>200</v>
      </c>
      <c r="V1223" s="131">
        <v>0</v>
      </c>
      <c r="W1223" s="131">
        <v>200</v>
      </c>
      <c r="X1223" s="131">
        <v>0</v>
      </c>
      <c r="Y1223" s="131">
        <v>200</v>
      </c>
      <c r="Z1223" s="131">
        <v>0</v>
      </c>
      <c r="AA1223" s="131">
        <v>200</v>
      </c>
      <c r="AB1223" s="131">
        <v>0</v>
      </c>
      <c r="AC1223" s="131">
        <v>200</v>
      </c>
      <c r="AD1223" s="131">
        <v>0</v>
      </c>
      <c r="AE1223" s="132">
        <v>200</v>
      </c>
    </row>
    <row r="1224" spans="1:31" x14ac:dyDescent="0.2">
      <c r="A1224" s="133">
        <v>208</v>
      </c>
      <c r="B1224" s="133" t="s">
        <v>1841</v>
      </c>
      <c r="C1224" s="133" t="s">
        <v>1199</v>
      </c>
      <c r="D1224" s="133" t="s">
        <v>1865</v>
      </c>
      <c r="E1224" s="133" t="s">
        <v>1855</v>
      </c>
      <c r="F1224" s="133" t="s">
        <v>1117</v>
      </c>
      <c r="G1224" s="133" t="s">
        <v>1202</v>
      </c>
      <c r="H1224" s="133" t="s">
        <v>1216</v>
      </c>
      <c r="I1224" s="130" t="s">
        <v>1222</v>
      </c>
      <c r="J1224" s="130" t="s">
        <v>1304</v>
      </c>
      <c r="K1224" s="130" t="s">
        <v>1248</v>
      </c>
      <c r="L1224" s="130" t="s">
        <v>1859</v>
      </c>
      <c r="M1224" s="130" t="s">
        <v>1844</v>
      </c>
      <c r="N1224" s="130" t="s">
        <v>1902</v>
      </c>
      <c r="O1224" s="130" t="s">
        <v>1860</v>
      </c>
      <c r="P1224" s="130" t="s">
        <v>1866</v>
      </c>
      <c r="Q1224" s="130" t="s">
        <v>1127</v>
      </c>
      <c r="R1224" s="130" t="s">
        <v>1191</v>
      </c>
      <c r="S1224" s="130" t="s">
        <v>1157</v>
      </c>
      <c r="T1224" s="130" t="s">
        <v>1847</v>
      </c>
      <c r="U1224" s="130">
        <v>600</v>
      </c>
      <c r="V1224" s="131">
        <v>0</v>
      </c>
      <c r="W1224" s="131">
        <v>600</v>
      </c>
      <c r="X1224" s="131">
        <v>0</v>
      </c>
      <c r="Y1224" s="131">
        <v>600</v>
      </c>
      <c r="Z1224" s="131">
        <v>0</v>
      </c>
      <c r="AA1224" s="131">
        <v>600</v>
      </c>
      <c r="AB1224" s="131">
        <v>0</v>
      </c>
      <c r="AC1224" s="131">
        <v>600</v>
      </c>
      <c r="AD1224" s="131">
        <v>0</v>
      </c>
      <c r="AE1224" s="132">
        <v>600</v>
      </c>
    </row>
    <row r="1225" spans="1:31" x14ac:dyDescent="0.2">
      <c r="A1225" s="133">
        <v>208</v>
      </c>
      <c r="B1225" s="133" t="s">
        <v>1841</v>
      </c>
      <c r="C1225" s="133" t="s">
        <v>1199</v>
      </c>
      <c r="D1225" s="133" t="s">
        <v>1865</v>
      </c>
      <c r="E1225" s="133" t="s">
        <v>1855</v>
      </c>
      <c r="F1225" s="133" t="s">
        <v>1117</v>
      </c>
      <c r="G1225" s="133" t="s">
        <v>1202</v>
      </c>
      <c r="H1225" s="133" t="s">
        <v>1216</v>
      </c>
      <c r="I1225" s="133" t="s">
        <v>1222</v>
      </c>
      <c r="J1225" s="133" t="s">
        <v>1304</v>
      </c>
      <c r="K1225" s="130" t="s">
        <v>1305</v>
      </c>
      <c r="L1225" s="130" t="s">
        <v>1859</v>
      </c>
      <c r="M1225" s="130" t="s">
        <v>1844</v>
      </c>
      <c r="N1225" s="130" t="s">
        <v>1902</v>
      </c>
      <c r="O1225" s="130" t="s">
        <v>1860</v>
      </c>
      <c r="P1225" s="130" t="s">
        <v>1866</v>
      </c>
      <c r="Q1225" s="130" t="s">
        <v>1127</v>
      </c>
      <c r="R1225" s="130" t="s">
        <v>1191</v>
      </c>
      <c r="S1225" s="130" t="s">
        <v>1157</v>
      </c>
      <c r="T1225" s="130" t="s">
        <v>1847</v>
      </c>
      <c r="U1225" s="130">
        <v>5135</v>
      </c>
      <c r="V1225" s="131">
        <v>20000</v>
      </c>
      <c r="W1225" s="131">
        <v>25135</v>
      </c>
      <c r="X1225" s="131">
        <v>15500</v>
      </c>
      <c r="Y1225" s="131">
        <v>9635</v>
      </c>
      <c r="Z1225" s="131">
        <v>14196.63</v>
      </c>
      <c r="AA1225" s="131">
        <v>10938.37</v>
      </c>
      <c r="AB1225" s="131">
        <v>14196.63</v>
      </c>
      <c r="AC1225" s="131">
        <v>10938.37</v>
      </c>
      <c r="AD1225" s="131">
        <v>0</v>
      </c>
      <c r="AE1225" s="132">
        <v>25135</v>
      </c>
    </row>
    <row r="1226" spans="1:31" x14ac:dyDescent="0.2">
      <c r="A1226" s="133">
        <v>208</v>
      </c>
      <c r="B1226" s="133" t="s">
        <v>1841</v>
      </c>
      <c r="C1226" s="133" t="s">
        <v>1199</v>
      </c>
      <c r="D1226" s="133" t="s">
        <v>1865</v>
      </c>
      <c r="E1226" s="133" t="s">
        <v>1855</v>
      </c>
      <c r="F1226" s="133" t="s">
        <v>1117</v>
      </c>
      <c r="G1226" s="133" t="s">
        <v>1202</v>
      </c>
      <c r="H1226" s="133" t="s">
        <v>1216</v>
      </c>
      <c r="I1226" s="133" t="s">
        <v>1222</v>
      </c>
      <c r="J1226" s="130" t="s">
        <v>1245</v>
      </c>
      <c r="K1226" s="130" t="s">
        <v>1246</v>
      </c>
      <c r="L1226" s="130" t="s">
        <v>1859</v>
      </c>
      <c r="M1226" s="130" t="s">
        <v>1844</v>
      </c>
      <c r="N1226" s="130" t="s">
        <v>1902</v>
      </c>
      <c r="O1226" s="130" t="s">
        <v>1860</v>
      </c>
      <c r="P1226" s="130" t="s">
        <v>1866</v>
      </c>
      <c r="Q1226" s="130" t="s">
        <v>1127</v>
      </c>
      <c r="R1226" s="130" t="s">
        <v>1191</v>
      </c>
      <c r="S1226" s="130" t="s">
        <v>1157</v>
      </c>
      <c r="T1226" s="130" t="s">
        <v>1847</v>
      </c>
      <c r="U1226" s="130">
        <v>250</v>
      </c>
      <c r="V1226" s="131">
        <v>0</v>
      </c>
      <c r="W1226" s="131">
        <v>250</v>
      </c>
      <c r="X1226" s="131">
        <v>0</v>
      </c>
      <c r="Y1226" s="131">
        <v>250</v>
      </c>
      <c r="Z1226" s="131">
        <v>0</v>
      </c>
      <c r="AA1226" s="131">
        <v>250</v>
      </c>
      <c r="AB1226" s="131">
        <v>0</v>
      </c>
      <c r="AC1226" s="131">
        <v>250</v>
      </c>
      <c r="AD1226" s="131">
        <v>0</v>
      </c>
      <c r="AE1226" s="132">
        <v>250</v>
      </c>
    </row>
    <row r="1227" spans="1:31" x14ac:dyDescent="0.2">
      <c r="A1227" s="133">
        <v>208</v>
      </c>
      <c r="B1227" s="133" t="s">
        <v>1841</v>
      </c>
      <c r="C1227" s="133" t="s">
        <v>1199</v>
      </c>
      <c r="D1227" s="133" t="s">
        <v>1865</v>
      </c>
      <c r="E1227" s="133" t="s">
        <v>1855</v>
      </c>
      <c r="F1227" s="133" t="s">
        <v>1117</v>
      </c>
      <c r="G1227" s="133" t="s">
        <v>1202</v>
      </c>
      <c r="H1227" s="133" t="s">
        <v>1216</v>
      </c>
      <c r="I1227" s="130" t="s">
        <v>1247</v>
      </c>
      <c r="J1227" s="130" t="s">
        <v>1248</v>
      </c>
      <c r="K1227" s="130" t="s">
        <v>1249</v>
      </c>
      <c r="L1227" s="130" t="s">
        <v>1859</v>
      </c>
      <c r="M1227" s="130" t="s">
        <v>1844</v>
      </c>
      <c r="N1227" s="130" t="s">
        <v>1902</v>
      </c>
      <c r="O1227" s="130" t="s">
        <v>1860</v>
      </c>
      <c r="P1227" s="130" t="s">
        <v>1866</v>
      </c>
      <c r="Q1227" s="130" t="s">
        <v>1127</v>
      </c>
      <c r="R1227" s="130" t="s">
        <v>1191</v>
      </c>
      <c r="S1227" s="130" t="s">
        <v>1157</v>
      </c>
      <c r="T1227" s="130" t="s">
        <v>1847</v>
      </c>
      <c r="U1227" s="130">
        <v>1200</v>
      </c>
      <c r="V1227" s="131">
        <v>0</v>
      </c>
      <c r="W1227" s="131">
        <v>1200</v>
      </c>
      <c r="X1227" s="131">
        <v>0</v>
      </c>
      <c r="Y1227" s="131">
        <v>1200</v>
      </c>
      <c r="Z1227" s="131">
        <v>0</v>
      </c>
      <c r="AA1227" s="131">
        <v>1200</v>
      </c>
      <c r="AB1227" s="131">
        <v>0</v>
      </c>
      <c r="AC1227" s="131">
        <v>1200</v>
      </c>
      <c r="AD1227" s="131">
        <v>0</v>
      </c>
      <c r="AE1227" s="132">
        <v>1200</v>
      </c>
    </row>
    <row r="1228" spans="1:31" x14ac:dyDescent="0.2">
      <c r="A1228" s="133">
        <v>208</v>
      </c>
      <c r="B1228" s="133" t="s">
        <v>1841</v>
      </c>
      <c r="C1228" s="133" t="s">
        <v>1199</v>
      </c>
      <c r="D1228" s="133" t="s">
        <v>1865</v>
      </c>
      <c r="E1228" s="133" t="s">
        <v>1855</v>
      </c>
      <c r="F1228" s="133" t="s">
        <v>1117</v>
      </c>
      <c r="G1228" s="133" t="s">
        <v>1202</v>
      </c>
      <c r="H1228" s="133" t="s">
        <v>1216</v>
      </c>
      <c r="I1228" s="133" t="s">
        <v>1247</v>
      </c>
      <c r="J1228" s="133" t="s">
        <v>1248</v>
      </c>
      <c r="K1228" s="130" t="s">
        <v>1251</v>
      </c>
      <c r="L1228" s="130" t="s">
        <v>1859</v>
      </c>
      <c r="M1228" s="130" t="s">
        <v>1844</v>
      </c>
      <c r="N1228" s="130" t="s">
        <v>1902</v>
      </c>
      <c r="O1228" s="130" t="s">
        <v>1860</v>
      </c>
      <c r="P1228" s="130" t="s">
        <v>1866</v>
      </c>
      <c r="Q1228" s="130" t="s">
        <v>1127</v>
      </c>
      <c r="R1228" s="130" t="s">
        <v>1191</v>
      </c>
      <c r="S1228" s="130" t="s">
        <v>1157</v>
      </c>
      <c r="T1228" s="130" t="s">
        <v>1847</v>
      </c>
      <c r="U1228" s="130">
        <v>500</v>
      </c>
      <c r="V1228" s="131">
        <v>19000</v>
      </c>
      <c r="W1228" s="131">
        <v>19500</v>
      </c>
      <c r="X1228" s="131">
        <v>0</v>
      </c>
      <c r="Y1228" s="131">
        <v>19500</v>
      </c>
      <c r="Z1228" s="131">
        <v>0</v>
      </c>
      <c r="AA1228" s="131">
        <v>19500</v>
      </c>
      <c r="AB1228" s="131">
        <v>0</v>
      </c>
      <c r="AC1228" s="131">
        <v>19500</v>
      </c>
      <c r="AD1228" s="131">
        <v>0</v>
      </c>
      <c r="AE1228" s="132">
        <v>19500</v>
      </c>
    </row>
    <row r="1229" spans="1:31" x14ac:dyDescent="0.2">
      <c r="A1229" s="133">
        <v>208</v>
      </c>
      <c r="B1229" s="133" t="s">
        <v>1841</v>
      </c>
      <c r="C1229" s="133" t="s">
        <v>1199</v>
      </c>
      <c r="D1229" s="133" t="s">
        <v>1865</v>
      </c>
      <c r="E1229" s="133" t="s">
        <v>1855</v>
      </c>
      <c r="F1229" s="133" t="s">
        <v>1117</v>
      </c>
      <c r="G1229" s="133" t="s">
        <v>1202</v>
      </c>
      <c r="H1229" s="133" t="s">
        <v>1216</v>
      </c>
      <c r="I1229" s="133" t="s">
        <v>1247</v>
      </c>
      <c r="J1229" s="133" t="s">
        <v>1248</v>
      </c>
      <c r="K1229" s="130" t="s">
        <v>1522</v>
      </c>
      <c r="L1229" s="130" t="s">
        <v>1859</v>
      </c>
      <c r="M1229" s="130" t="s">
        <v>1844</v>
      </c>
      <c r="N1229" s="130" t="s">
        <v>1902</v>
      </c>
      <c r="O1229" s="130" t="s">
        <v>1860</v>
      </c>
      <c r="P1229" s="130" t="s">
        <v>1866</v>
      </c>
      <c r="Q1229" s="130" t="s">
        <v>1127</v>
      </c>
      <c r="R1229" s="130" t="s">
        <v>1191</v>
      </c>
      <c r="S1229" s="130" t="s">
        <v>1157</v>
      </c>
      <c r="T1229" s="130" t="s">
        <v>1847</v>
      </c>
      <c r="U1229" s="130">
        <v>100</v>
      </c>
      <c r="V1229" s="131">
        <v>0</v>
      </c>
      <c r="W1229" s="131">
        <v>100</v>
      </c>
      <c r="X1229" s="131">
        <v>0</v>
      </c>
      <c r="Y1229" s="131">
        <v>100</v>
      </c>
      <c r="Z1229" s="131">
        <v>0</v>
      </c>
      <c r="AA1229" s="131">
        <v>100</v>
      </c>
      <c r="AB1229" s="131">
        <v>0</v>
      </c>
      <c r="AC1229" s="131">
        <v>100</v>
      </c>
      <c r="AD1229" s="131">
        <v>0</v>
      </c>
      <c r="AE1229" s="132">
        <v>100</v>
      </c>
    </row>
    <row r="1230" spans="1:31" x14ac:dyDescent="0.2">
      <c r="A1230" s="133">
        <v>208</v>
      </c>
      <c r="B1230" s="133" t="s">
        <v>1841</v>
      </c>
      <c r="C1230" s="133" t="s">
        <v>1199</v>
      </c>
      <c r="D1230" s="133" t="s">
        <v>1865</v>
      </c>
      <c r="E1230" s="133" t="s">
        <v>1855</v>
      </c>
      <c r="F1230" s="133" t="s">
        <v>1117</v>
      </c>
      <c r="G1230" s="133" t="s">
        <v>1202</v>
      </c>
      <c r="H1230" s="133" t="s">
        <v>1216</v>
      </c>
      <c r="I1230" s="130" t="s">
        <v>1252</v>
      </c>
      <c r="J1230" s="130" t="s">
        <v>1253</v>
      </c>
      <c r="K1230" s="130" t="s">
        <v>1528</v>
      </c>
      <c r="L1230" s="130" t="s">
        <v>1859</v>
      </c>
      <c r="M1230" s="130" t="s">
        <v>1844</v>
      </c>
      <c r="N1230" s="130" t="s">
        <v>1902</v>
      </c>
      <c r="O1230" s="130" t="s">
        <v>1860</v>
      </c>
      <c r="P1230" s="130" t="s">
        <v>1866</v>
      </c>
      <c r="Q1230" s="130" t="s">
        <v>1127</v>
      </c>
      <c r="R1230" s="130" t="s">
        <v>1191</v>
      </c>
      <c r="S1230" s="130" t="s">
        <v>1157</v>
      </c>
      <c r="T1230" s="130" t="s">
        <v>1847</v>
      </c>
      <c r="U1230" s="130">
        <v>300</v>
      </c>
      <c r="V1230" s="131">
        <v>0</v>
      </c>
      <c r="W1230" s="131">
        <v>300</v>
      </c>
      <c r="X1230" s="131">
        <v>0</v>
      </c>
      <c r="Y1230" s="131">
        <v>300</v>
      </c>
      <c r="Z1230" s="131">
        <v>0</v>
      </c>
      <c r="AA1230" s="131">
        <v>300</v>
      </c>
      <c r="AB1230" s="131">
        <v>0</v>
      </c>
      <c r="AC1230" s="131">
        <v>300</v>
      </c>
      <c r="AD1230" s="131">
        <v>0</v>
      </c>
      <c r="AE1230" s="132">
        <v>300</v>
      </c>
    </row>
    <row r="1231" spans="1:31" x14ac:dyDescent="0.2">
      <c r="A1231" s="133">
        <v>208</v>
      </c>
      <c r="B1231" s="133" t="s">
        <v>1841</v>
      </c>
      <c r="C1231" s="133" t="s">
        <v>1199</v>
      </c>
      <c r="D1231" s="133" t="s">
        <v>1865</v>
      </c>
      <c r="E1231" s="133" t="s">
        <v>1855</v>
      </c>
      <c r="F1231" s="133" t="s">
        <v>1117</v>
      </c>
      <c r="G1231" s="133" t="s">
        <v>1202</v>
      </c>
      <c r="H1231" s="130" t="s">
        <v>1203</v>
      </c>
      <c r="I1231" s="130" t="s">
        <v>1204</v>
      </c>
      <c r="J1231" s="130" t="s">
        <v>1205</v>
      </c>
      <c r="K1231" s="130" t="s">
        <v>1255</v>
      </c>
      <c r="L1231" s="130" t="s">
        <v>1859</v>
      </c>
      <c r="M1231" s="130" t="s">
        <v>1844</v>
      </c>
      <c r="N1231" s="130" t="s">
        <v>1902</v>
      </c>
      <c r="O1231" s="130" t="s">
        <v>1860</v>
      </c>
      <c r="P1231" s="130" t="s">
        <v>1866</v>
      </c>
      <c r="Q1231" s="130" t="s">
        <v>1127</v>
      </c>
      <c r="R1231" s="130" t="s">
        <v>1191</v>
      </c>
      <c r="S1231" s="130" t="s">
        <v>1157</v>
      </c>
      <c r="T1231" s="130" t="s">
        <v>1847</v>
      </c>
      <c r="U1231" s="130">
        <v>3500</v>
      </c>
      <c r="V1231" s="131">
        <v>0</v>
      </c>
      <c r="W1231" s="131">
        <v>3500</v>
      </c>
      <c r="X1231" s="131">
        <v>0</v>
      </c>
      <c r="Y1231" s="131">
        <v>3500</v>
      </c>
      <c r="Z1231" s="131">
        <v>0</v>
      </c>
      <c r="AA1231" s="131">
        <v>3500</v>
      </c>
      <c r="AB1231" s="131">
        <v>0</v>
      </c>
      <c r="AC1231" s="131">
        <v>3500</v>
      </c>
      <c r="AD1231" s="131">
        <v>0</v>
      </c>
      <c r="AE1231" s="132">
        <v>3500</v>
      </c>
    </row>
    <row r="1232" spans="1:31" x14ac:dyDescent="0.2">
      <c r="A1232" s="133">
        <v>208</v>
      </c>
      <c r="B1232" s="133" t="s">
        <v>1841</v>
      </c>
      <c r="C1232" s="133" t="s">
        <v>1199</v>
      </c>
      <c r="D1232" s="133" t="s">
        <v>1865</v>
      </c>
      <c r="E1232" s="133" t="s">
        <v>1855</v>
      </c>
      <c r="F1232" s="133" t="s">
        <v>1117</v>
      </c>
      <c r="G1232" s="133" t="s">
        <v>1202</v>
      </c>
      <c r="H1232" s="133" t="s">
        <v>1203</v>
      </c>
      <c r="I1232" s="133" t="s">
        <v>1204</v>
      </c>
      <c r="J1232" s="133" t="s">
        <v>1205</v>
      </c>
      <c r="K1232" s="130" t="s">
        <v>1256</v>
      </c>
      <c r="L1232" s="130" t="s">
        <v>1859</v>
      </c>
      <c r="M1232" s="130" t="s">
        <v>1844</v>
      </c>
      <c r="N1232" s="130" t="s">
        <v>1902</v>
      </c>
      <c r="O1232" s="130" t="s">
        <v>1860</v>
      </c>
      <c r="P1232" s="130" t="s">
        <v>1866</v>
      </c>
      <c r="Q1232" s="130" t="s">
        <v>1127</v>
      </c>
      <c r="R1232" s="130" t="s">
        <v>1191</v>
      </c>
      <c r="S1232" s="130" t="s">
        <v>1157</v>
      </c>
      <c r="T1232" s="130" t="s">
        <v>1847</v>
      </c>
      <c r="U1232" s="130">
        <v>5600</v>
      </c>
      <c r="V1232" s="131">
        <v>0</v>
      </c>
      <c r="W1232" s="131">
        <v>5600</v>
      </c>
      <c r="X1232" s="131">
        <v>0</v>
      </c>
      <c r="Y1232" s="131">
        <v>5600</v>
      </c>
      <c r="Z1232" s="131">
        <v>0</v>
      </c>
      <c r="AA1232" s="131">
        <v>5600</v>
      </c>
      <c r="AB1232" s="131">
        <v>0</v>
      </c>
      <c r="AC1232" s="131">
        <v>5600</v>
      </c>
      <c r="AD1232" s="131">
        <v>0</v>
      </c>
      <c r="AE1232" s="132">
        <v>5600</v>
      </c>
    </row>
    <row r="1233" spans="1:31" x14ac:dyDescent="0.2">
      <c r="A1233" s="133">
        <v>208</v>
      </c>
      <c r="B1233" s="133" t="s">
        <v>1841</v>
      </c>
      <c r="C1233" s="133" t="s">
        <v>1199</v>
      </c>
      <c r="D1233" s="133" t="s">
        <v>1865</v>
      </c>
      <c r="E1233" s="133" t="s">
        <v>1855</v>
      </c>
      <c r="F1233" s="133" t="s">
        <v>1117</v>
      </c>
      <c r="G1233" s="133" t="s">
        <v>1202</v>
      </c>
      <c r="H1233" s="133" t="s">
        <v>1203</v>
      </c>
      <c r="I1233" s="133" t="s">
        <v>1204</v>
      </c>
      <c r="J1233" s="133" t="s">
        <v>1205</v>
      </c>
      <c r="K1233" s="130" t="s">
        <v>1206</v>
      </c>
      <c r="L1233" s="130" t="s">
        <v>1859</v>
      </c>
      <c r="M1233" s="130" t="s">
        <v>1844</v>
      </c>
      <c r="N1233" s="130" t="s">
        <v>1902</v>
      </c>
      <c r="O1233" s="130" t="s">
        <v>1860</v>
      </c>
      <c r="P1233" s="130" t="s">
        <v>1866</v>
      </c>
      <c r="Q1233" s="130" t="s">
        <v>1127</v>
      </c>
      <c r="R1233" s="130" t="s">
        <v>1191</v>
      </c>
      <c r="S1233" s="130" t="s">
        <v>1157</v>
      </c>
      <c r="T1233" s="130" t="s">
        <v>1847</v>
      </c>
      <c r="U1233" s="130">
        <v>800</v>
      </c>
      <c r="V1233" s="131">
        <v>0</v>
      </c>
      <c r="W1233" s="131">
        <v>800</v>
      </c>
      <c r="X1233" s="131">
        <v>0</v>
      </c>
      <c r="Y1233" s="131">
        <v>800</v>
      </c>
      <c r="Z1233" s="131">
        <v>0</v>
      </c>
      <c r="AA1233" s="131">
        <v>800</v>
      </c>
      <c r="AB1233" s="131">
        <v>0</v>
      </c>
      <c r="AC1233" s="131">
        <v>800</v>
      </c>
      <c r="AD1233" s="131">
        <v>0</v>
      </c>
      <c r="AE1233" s="132">
        <v>800</v>
      </c>
    </row>
    <row r="1234" spans="1:31" x14ac:dyDescent="0.2">
      <c r="A1234" s="133">
        <v>208</v>
      </c>
      <c r="B1234" s="133" t="s">
        <v>1841</v>
      </c>
      <c r="C1234" s="133" t="s">
        <v>1199</v>
      </c>
      <c r="D1234" s="133" t="s">
        <v>1865</v>
      </c>
      <c r="E1234" s="133" t="s">
        <v>1855</v>
      </c>
      <c r="F1234" s="133" t="s">
        <v>1117</v>
      </c>
      <c r="G1234" s="133" t="s">
        <v>1202</v>
      </c>
      <c r="H1234" s="133" t="s">
        <v>1203</v>
      </c>
      <c r="I1234" s="130" t="s">
        <v>1224</v>
      </c>
      <c r="J1234" s="130" t="s">
        <v>1257</v>
      </c>
      <c r="K1234" s="130" t="s">
        <v>1258</v>
      </c>
      <c r="L1234" s="130" t="s">
        <v>1859</v>
      </c>
      <c r="M1234" s="130" t="s">
        <v>1844</v>
      </c>
      <c r="N1234" s="130" t="s">
        <v>1902</v>
      </c>
      <c r="O1234" s="130" t="s">
        <v>1860</v>
      </c>
      <c r="P1234" s="130" t="s">
        <v>1866</v>
      </c>
      <c r="Q1234" s="130" t="s">
        <v>1127</v>
      </c>
      <c r="R1234" s="130" t="s">
        <v>1191</v>
      </c>
      <c r="S1234" s="130" t="s">
        <v>1157</v>
      </c>
      <c r="T1234" s="130" t="s">
        <v>1847</v>
      </c>
      <c r="U1234" s="130">
        <v>13000</v>
      </c>
      <c r="V1234" s="131">
        <v>0</v>
      </c>
      <c r="W1234" s="131">
        <v>13000</v>
      </c>
      <c r="X1234" s="131">
        <v>13000</v>
      </c>
      <c r="Y1234" s="131">
        <v>0</v>
      </c>
      <c r="Z1234" s="131">
        <v>4584.1000000000004</v>
      </c>
      <c r="AA1234" s="131">
        <v>8415.9</v>
      </c>
      <c r="AB1234" s="131">
        <v>4584.0999999999995</v>
      </c>
      <c r="AC1234" s="131">
        <v>8415.9000000000015</v>
      </c>
      <c r="AD1234" s="131">
        <v>4584.0999999999995</v>
      </c>
      <c r="AE1234" s="132">
        <v>8415.9000000000015</v>
      </c>
    </row>
    <row r="1235" spans="1:31" x14ac:dyDescent="0.2">
      <c r="A1235" s="133">
        <v>208</v>
      </c>
      <c r="B1235" s="133" t="s">
        <v>1841</v>
      </c>
      <c r="C1235" s="133" t="s">
        <v>1199</v>
      </c>
      <c r="D1235" s="133" t="s">
        <v>1865</v>
      </c>
      <c r="E1235" s="133" t="s">
        <v>1855</v>
      </c>
      <c r="F1235" s="133" t="s">
        <v>1117</v>
      </c>
      <c r="G1235" s="133" t="s">
        <v>1202</v>
      </c>
      <c r="H1235" s="133" t="s">
        <v>1203</v>
      </c>
      <c r="I1235" s="133" t="s">
        <v>1224</v>
      </c>
      <c r="J1235" s="133" t="s">
        <v>1257</v>
      </c>
      <c r="K1235" s="130" t="s">
        <v>1259</v>
      </c>
      <c r="L1235" s="130" t="s">
        <v>1859</v>
      </c>
      <c r="M1235" s="130" t="s">
        <v>1844</v>
      </c>
      <c r="N1235" s="130" t="s">
        <v>1902</v>
      </c>
      <c r="O1235" s="130" t="s">
        <v>1860</v>
      </c>
      <c r="P1235" s="130" t="s">
        <v>1866</v>
      </c>
      <c r="Q1235" s="130" t="s">
        <v>1127</v>
      </c>
      <c r="R1235" s="130" t="s">
        <v>1191</v>
      </c>
      <c r="S1235" s="130" t="s">
        <v>1157</v>
      </c>
      <c r="T1235" s="130" t="s">
        <v>1847</v>
      </c>
      <c r="U1235" s="130">
        <v>2800</v>
      </c>
      <c r="V1235" s="131">
        <v>0</v>
      </c>
      <c r="W1235" s="131">
        <v>2800</v>
      </c>
      <c r="X1235" s="131">
        <v>2800</v>
      </c>
      <c r="Y1235" s="131">
        <v>0</v>
      </c>
      <c r="Z1235" s="131">
        <v>278.38</v>
      </c>
      <c r="AA1235" s="131">
        <v>2521.62</v>
      </c>
      <c r="AB1235" s="131">
        <v>278.38</v>
      </c>
      <c r="AC1235" s="131">
        <v>2521.62</v>
      </c>
      <c r="AD1235" s="131">
        <v>278.38</v>
      </c>
      <c r="AE1235" s="132">
        <v>2521.62</v>
      </c>
    </row>
    <row r="1236" spans="1:31" x14ac:dyDescent="0.2">
      <c r="A1236" s="133">
        <v>208</v>
      </c>
      <c r="B1236" s="133" t="s">
        <v>1841</v>
      </c>
      <c r="C1236" s="133" t="s">
        <v>1199</v>
      </c>
      <c r="D1236" s="133" t="s">
        <v>1865</v>
      </c>
      <c r="E1236" s="133" t="s">
        <v>1855</v>
      </c>
      <c r="F1236" s="133" t="s">
        <v>1117</v>
      </c>
      <c r="G1236" s="133" t="s">
        <v>1202</v>
      </c>
      <c r="H1236" s="133" t="s">
        <v>1203</v>
      </c>
      <c r="I1236" s="133" t="s">
        <v>1224</v>
      </c>
      <c r="J1236" s="130" t="s">
        <v>1529</v>
      </c>
      <c r="K1236" s="130" t="s">
        <v>1531</v>
      </c>
      <c r="L1236" s="130" t="s">
        <v>1859</v>
      </c>
      <c r="M1236" s="130" t="s">
        <v>1844</v>
      </c>
      <c r="N1236" s="130" t="s">
        <v>1902</v>
      </c>
      <c r="O1236" s="130" t="s">
        <v>1860</v>
      </c>
      <c r="P1236" s="130" t="s">
        <v>1866</v>
      </c>
      <c r="Q1236" s="130" t="s">
        <v>1127</v>
      </c>
      <c r="R1236" s="130" t="s">
        <v>1191</v>
      </c>
      <c r="S1236" s="130" t="s">
        <v>1157</v>
      </c>
      <c r="T1236" s="130" t="s">
        <v>1847</v>
      </c>
      <c r="U1236" s="130">
        <v>10800</v>
      </c>
      <c r="V1236" s="131">
        <v>0</v>
      </c>
      <c r="W1236" s="131">
        <v>10800</v>
      </c>
      <c r="X1236" s="131">
        <v>0</v>
      </c>
      <c r="Y1236" s="131">
        <v>10800</v>
      </c>
      <c r="Z1236" s="131">
        <v>0</v>
      </c>
      <c r="AA1236" s="131">
        <v>10800</v>
      </c>
      <c r="AB1236" s="131">
        <v>0</v>
      </c>
      <c r="AC1236" s="131">
        <v>10800</v>
      </c>
      <c r="AD1236" s="131">
        <v>0</v>
      </c>
      <c r="AE1236" s="132">
        <v>10800</v>
      </c>
    </row>
    <row r="1237" spans="1:31" x14ac:dyDescent="0.2">
      <c r="A1237" s="133">
        <v>208</v>
      </c>
      <c r="B1237" s="133" t="s">
        <v>1841</v>
      </c>
      <c r="C1237" s="133" t="s">
        <v>1199</v>
      </c>
      <c r="D1237" s="133" t="s">
        <v>1865</v>
      </c>
      <c r="E1237" s="133" t="s">
        <v>1855</v>
      </c>
      <c r="F1237" s="133" t="s">
        <v>1117</v>
      </c>
      <c r="G1237" s="133" t="s">
        <v>1202</v>
      </c>
      <c r="H1237" s="133" t="s">
        <v>1203</v>
      </c>
      <c r="I1237" s="133" t="s">
        <v>1224</v>
      </c>
      <c r="J1237" s="130" t="s">
        <v>1306</v>
      </c>
      <c r="K1237" s="130" t="s">
        <v>1307</v>
      </c>
      <c r="L1237" s="130" t="s">
        <v>1859</v>
      </c>
      <c r="M1237" s="130" t="s">
        <v>1844</v>
      </c>
      <c r="N1237" s="130" t="s">
        <v>1902</v>
      </c>
      <c r="O1237" s="130" t="s">
        <v>1860</v>
      </c>
      <c r="P1237" s="130" t="s">
        <v>1866</v>
      </c>
      <c r="Q1237" s="130" t="s">
        <v>1127</v>
      </c>
      <c r="R1237" s="130" t="s">
        <v>1191</v>
      </c>
      <c r="S1237" s="130" t="s">
        <v>1157</v>
      </c>
      <c r="T1237" s="130" t="s">
        <v>1847</v>
      </c>
      <c r="U1237" s="130">
        <v>200</v>
      </c>
      <c r="V1237" s="131">
        <v>1000</v>
      </c>
      <c r="W1237" s="131">
        <v>1200</v>
      </c>
      <c r="X1237" s="131">
        <v>0</v>
      </c>
      <c r="Y1237" s="131">
        <v>1200</v>
      </c>
      <c r="Z1237" s="131">
        <v>0</v>
      </c>
      <c r="AA1237" s="131">
        <v>1200</v>
      </c>
      <c r="AB1237" s="131">
        <v>0</v>
      </c>
      <c r="AC1237" s="131">
        <v>1200</v>
      </c>
      <c r="AD1237" s="131">
        <v>0</v>
      </c>
      <c r="AE1237" s="132">
        <v>1200</v>
      </c>
    </row>
    <row r="1238" spans="1:31" x14ac:dyDescent="0.2">
      <c r="A1238" s="133">
        <v>208</v>
      </c>
      <c r="B1238" s="133" t="s">
        <v>1841</v>
      </c>
      <c r="C1238" s="133" t="s">
        <v>1199</v>
      </c>
      <c r="D1238" s="133" t="s">
        <v>1865</v>
      </c>
      <c r="E1238" s="133" t="s">
        <v>1855</v>
      </c>
      <c r="F1238" s="133" t="s">
        <v>1117</v>
      </c>
      <c r="G1238" s="133" t="s">
        <v>1202</v>
      </c>
      <c r="H1238" s="133" t="s">
        <v>1203</v>
      </c>
      <c r="I1238" s="133" t="s">
        <v>1224</v>
      </c>
      <c r="J1238" s="130" t="s">
        <v>1225</v>
      </c>
      <c r="K1238" s="130" t="s">
        <v>1226</v>
      </c>
      <c r="L1238" s="130" t="s">
        <v>1859</v>
      </c>
      <c r="M1238" s="130" t="s">
        <v>1844</v>
      </c>
      <c r="N1238" s="130" t="s">
        <v>1902</v>
      </c>
      <c r="O1238" s="130" t="s">
        <v>1860</v>
      </c>
      <c r="P1238" s="130" t="s">
        <v>1866</v>
      </c>
      <c r="Q1238" s="130" t="s">
        <v>1127</v>
      </c>
      <c r="R1238" s="130" t="s">
        <v>1191</v>
      </c>
      <c r="S1238" s="130" t="s">
        <v>1157</v>
      </c>
      <c r="T1238" s="130" t="s">
        <v>1847</v>
      </c>
      <c r="U1238" s="130">
        <v>1200</v>
      </c>
      <c r="V1238" s="131">
        <v>0</v>
      </c>
      <c r="W1238" s="131">
        <v>1200</v>
      </c>
      <c r="X1238" s="131">
        <v>0</v>
      </c>
      <c r="Y1238" s="131">
        <v>1200</v>
      </c>
      <c r="Z1238" s="131">
        <v>0</v>
      </c>
      <c r="AA1238" s="131">
        <v>1200</v>
      </c>
      <c r="AB1238" s="131">
        <v>0</v>
      </c>
      <c r="AC1238" s="131">
        <v>1200</v>
      </c>
      <c r="AD1238" s="131">
        <v>0</v>
      </c>
      <c r="AE1238" s="132">
        <v>1200</v>
      </c>
    </row>
    <row r="1239" spans="1:31" x14ac:dyDescent="0.2">
      <c r="A1239" s="133">
        <v>208</v>
      </c>
      <c r="B1239" s="133" t="s">
        <v>1841</v>
      </c>
      <c r="C1239" s="133" t="s">
        <v>1199</v>
      </c>
      <c r="D1239" s="133" t="s">
        <v>1865</v>
      </c>
      <c r="E1239" s="133" t="s">
        <v>1855</v>
      </c>
      <c r="F1239" s="133" t="s">
        <v>1117</v>
      </c>
      <c r="G1239" s="133" t="s">
        <v>1202</v>
      </c>
      <c r="H1239" s="133" t="s">
        <v>1203</v>
      </c>
      <c r="I1239" s="130" t="s">
        <v>1315</v>
      </c>
      <c r="J1239" s="130" t="s">
        <v>1316</v>
      </c>
      <c r="K1239" s="130" t="s">
        <v>1582</v>
      </c>
      <c r="L1239" s="130" t="s">
        <v>1859</v>
      </c>
      <c r="M1239" s="130" t="s">
        <v>1844</v>
      </c>
      <c r="N1239" s="130" t="s">
        <v>1902</v>
      </c>
      <c r="O1239" s="130" t="s">
        <v>1860</v>
      </c>
      <c r="P1239" s="130" t="s">
        <v>1866</v>
      </c>
      <c r="Q1239" s="130" t="s">
        <v>1127</v>
      </c>
      <c r="R1239" s="130" t="s">
        <v>1191</v>
      </c>
      <c r="S1239" s="130" t="s">
        <v>1157</v>
      </c>
      <c r="T1239" s="130" t="s">
        <v>1847</v>
      </c>
      <c r="U1239" s="130">
        <v>0</v>
      </c>
      <c r="V1239" s="131">
        <v>43200</v>
      </c>
      <c r="W1239" s="131">
        <v>43200</v>
      </c>
      <c r="X1239" s="131">
        <v>0</v>
      </c>
      <c r="Y1239" s="131">
        <v>43200</v>
      </c>
      <c r="Z1239" s="131">
        <v>0</v>
      </c>
      <c r="AA1239" s="131">
        <v>43200</v>
      </c>
      <c r="AB1239" s="131">
        <v>0</v>
      </c>
      <c r="AC1239" s="131">
        <v>43200</v>
      </c>
      <c r="AD1239" s="131">
        <v>0</v>
      </c>
      <c r="AE1239" s="132">
        <v>43200</v>
      </c>
    </row>
    <row r="1240" spans="1:31" x14ac:dyDescent="0.2">
      <c r="A1240" s="133">
        <v>208</v>
      </c>
      <c r="B1240" s="133" t="s">
        <v>1841</v>
      </c>
      <c r="C1240" s="133" t="s">
        <v>1199</v>
      </c>
      <c r="D1240" s="133" t="s">
        <v>1865</v>
      </c>
      <c r="E1240" s="133" t="s">
        <v>1855</v>
      </c>
      <c r="F1240" s="133" t="s">
        <v>1117</v>
      </c>
      <c r="G1240" s="133" t="s">
        <v>1202</v>
      </c>
      <c r="H1240" s="133" t="s">
        <v>1203</v>
      </c>
      <c r="I1240" s="130" t="s">
        <v>1209</v>
      </c>
      <c r="J1240" s="130" t="s">
        <v>1210</v>
      </c>
      <c r="K1240" s="130" t="s">
        <v>1211</v>
      </c>
      <c r="L1240" s="130" t="s">
        <v>1859</v>
      </c>
      <c r="M1240" s="130" t="s">
        <v>1844</v>
      </c>
      <c r="N1240" s="130" t="s">
        <v>1902</v>
      </c>
      <c r="O1240" s="130" t="s">
        <v>1860</v>
      </c>
      <c r="P1240" s="130" t="s">
        <v>1866</v>
      </c>
      <c r="Q1240" s="130" t="s">
        <v>1127</v>
      </c>
      <c r="R1240" s="130" t="s">
        <v>1191</v>
      </c>
      <c r="S1240" s="130" t="s">
        <v>1157</v>
      </c>
      <c r="T1240" s="130" t="s">
        <v>1847</v>
      </c>
      <c r="U1240" s="130">
        <v>1000</v>
      </c>
      <c r="V1240" s="131">
        <v>0</v>
      </c>
      <c r="W1240" s="131">
        <v>1000</v>
      </c>
      <c r="X1240" s="131">
        <v>0</v>
      </c>
      <c r="Y1240" s="131">
        <v>1000</v>
      </c>
      <c r="Z1240" s="131">
        <v>0</v>
      </c>
      <c r="AA1240" s="131">
        <v>1000</v>
      </c>
      <c r="AB1240" s="131">
        <v>0</v>
      </c>
      <c r="AC1240" s="131">
        <v>1000</v>
      </c>
      <c r="AD1240" s="131">
        <v>0</v>
      </c>
      <c r="AE1240" s="132">
        <v>1000</v>
      </c>
    </row>
    <row r="1241" spans="1:31" x14ac:dyDescent="0.2">
      <c r="A1241" s="133">
        <v>208</v>
      </c>
      <c r="B1241" s="133" t="s">
        <v>1841</v>
      </c>
      <c r="C1241" s="133" t="s">
        <v>1199</v>
      </c>
      <c r="D1241" s="133" t="s">
        <v>1865</v>
      </c>
      <c r="E1241" s="133" t="s">
        <v>1855</v>
      </c>
      <c r="F1241" s="133" t="s">
        <v>1117</v>
      </c>
      <c r="G1241" s="133" t="s">
        <v>1202</v>
      </c>
      <c r="H1241" s="133" t="s">
        <v>1203</v>
      </c>
      <c r="I1241" s="133" t="s">
        <v>1209</v>
      </c>
      <c r="J1241" s="130" t="s">
        <v>2105</v>
      </c>
      <c r="K1241" s="130" t="s">
        <v>2106</v>
      </c>
      <c r="L1241" s="130" t="s">
        <v>1859</v>
      </c>
      <c r="M1241" s="130" t="s">
        <v>1844</v>
      </c>
      <c r="N1241" s="130" t="s">
        <v>1902</v>
      </c>
      <c r="O1241" s="130" t="s">
        <v>1860</v>
      </c>
      <c r="P1241" s="130" t="s">
        <v>1866</v>
      </c>
      <c r="Q1241" s="130" t="s">
        <v>1127</v>
      </c>
      <c r="R1241" s="130" t="s">
        <v>1191</v>
      </c>
      <c r="S1241" s="130" t="s">
        <v>1157</v>
      </c>
      <c r="T1241" s="130" t="s">
        <v>1847</v>
      </c>
      <c r="U1241" s="130">
        <v>0</v>
      </c>
      <c r="V1241" s="131">
        <v>16800</v>
      </c>
      <c r="W1241" s="131">
        <v>16800</v>
      </c>
      <c r="X1241" s="131">
        <v>16800</v>
      </c>
      <c r="Y1241" s="131">
        <v>0</v>
      </c>
      <c r="Z1241" s="131">
        <v>16800</v>
      </c>
      <c r="AA1241" s="131">
        <v>0</v>
      </c>
      <c r="AB1241" s="131">
        <v>16800</v>
      </c>
      <c r="AC1241" s="131">
        <v>0</v>
      </c>
      <c r="AD1241" s="131">
        <v>0</v>
      </c>
      <c r="AE1241" s="132">
        <v>16800</v>
      </c>
    </row>
    <row r="1242" spans="1:31" x14ac:dyDescent="0.2">
      <c r="A1242" s="133">
        <v>208</v>
      </c>
      <c r="B1242" s="133" t="s">
        <v>1841</v>
      </c>
      <c r="C1242" s="133" t="s">
        <v>1199</v>
      </c>
      <c r="D1242" s="133" t="s">
        <v>1865</v>
      </c>
      <c r="E1242" s="133" t="s">
        <v>1855</v>
      </c>
      <c r="F1242" s="133" t="s">
        <v>1117</v>
      </c>
      <c r="G1242" s="133" t="s">
        <v>1202</v>
      </c>
      <c r="H1242" s="133" t="s">
        <v>1203</v>
      </c>
      <c r="I1242" s="130" t="s">
        <v>1309</v>
      </c>
      <c r="J1242" s="130" t="s">
        <v>1310</v>
      </c>
      <c r="K1242" s="130" t="s">
        <v>1310</v>
      </c>
      <c r="L1242" s="130" t="s">
        <v>1859</v>
      </c>
      <c r="M1242" s="130" t="s">
        <v>1844</v>
      </c>
      <c r="N1242" s="130" t="s">
        <v>1902</v>
      </c>
      <c r="O1242" s="130" t="s">
        <v>1860</v>
      </c>
      <c r="P1242" s="130" t="s">
        <v>1866</v>
      </c>
      <c r="Q1242" s="130" t="s">
        <v>1127</v>
      </c>
      <c r="R1242" s="130" t="s">
        <v>1191</v>
      </c>
      <c r="S1242" s="130" t="s">
        <v>1157</v>
      </c>
      <c r="T1242" s="130" t="s">
        <v>1847</v>
      </c>
      <c r="U1242" s="130">
        <v>372315</v>
      </c>
      <c r="V1242" s="131">
        <v>847364</v>
      </c>
      <c r="W1242" s="131">
        <v>1219679</v>
      </c>
      <c r="X1242" s="131">
        <v>851316</v>
      </c>
      <c r="Y1242" s="131">
        <v>368363</v>
      </c>
      <c r="Z1242" s="131">
        <v>851316</v>
      </c>
      <c r="AA1242" s="131">
        <v>368363</v>
      </c>
      <c r="AB1242" s="131">
        <v>851316</v>
      </c>
      <c r="AC1242" s="131">
        <v>368363</v>
      </c>
      <c r="AD1242" s="131">
        <v>439816</v>
      </c>
      <c r="AE1242" s="132">
        <v>779863</v>
      </c>
    </row>
    <row r="1243" spans="1:31" x14ac:dyDescent="0.2">
      <c r="A1243" s="133">
        <v>208</v>
      </c>
      <c r="B1243" s="133" t="s">
        <v>1841</v>
      </c>
      <c r="C1243" s="133" t="s">
        <v>1199</v>
      </c>
      <c r="D1243" s="133" t="s">
        <v>1865</v>
      </c>
      <c r="E1243" s="133" t="s">
        <v>1855</v>
      </c>
      <c r="F1243" s="133" t="s">
        <v>1117</v>
      </c>
      <c r="G1243" s="130" t="s">
        <v>1118</v>
      </c>
      <c r="H1243" s="130" t="s">
        <v>1149</v>
      </c>
      <c r="I1243" s="130" t="s">
        <v>1182</v>
      </c>
      <c r="J1243" s="130" t="s">
        <v>1347</v>
      </c>
      <c r="K1243" s="130" t="s">
        <v>1348</v>
      </c>
      <c r="L1243" s="130" t="s">
        <v>1859</v>
      </c>
      <c r="M1243" s="130" t="s">
        <v>1844</v>
      </c>
      <c r="N1243" s="130" t="s">
        <v>1902</v>
      </c>
      <c r="O1243" s="130" t="s">
        <v>1860</v>
      </c>
      <c r="P1243" s="130" t="s">
        <v>1866</v>
      </c>
      <c r="Q1243" s="130" t="s">
        <v>1127</v>
      </c>
      <c r="R1243" s="130" t="s">
        <v>1191</v>
      </c>
      <c r="S1243" s="130" t="s">
        <v>1157</v>
      </c>
      <c r="T1243" s="130" t="s">
        <v>1847</v>
      </c>
      <c r="U1243" s="130">
        <v>0</v>
      </c>
      <c r="V1243" s="131">
        <v>30000</v>
      </c>
      <c r="W1243" s="131">
        <v>30000</v>
      </c>
      <c r="X1243" s="131">
        <v>0</v>
      </c>
      <c r="Y1243" s="131">
        <v>30000</v>
      </c>
      <c r="Z1243" s="131">
        <v>0</v>
      </c>
      <c r="AA1243" s="131">
        <v>30000</v>
      </c>
      <c r="AB1243" s="131">
        <v>0</v>
      </c>
      <c r="AC1243" s="131">
        <v>30000</v>
      </c>
      <c r="AD1243" s="131">
        <v>0</v>
      </c>
      <c r="AE1243" s="132">
        <v>30000</v>
      </c>
    </row>
    <row r="1244" spans="1:31" x14ac:dyDescent="0.2">
      <c r="A1244" s="133">
        <v>208</v>
      </c>
      <c r="B1244" s="133" t="s">
        <v>1841</v>
      </c>
      <c r="C1244" s="133" t="s">
        <v>1199</v>
      </c>
      <c r="D1244" s="133" t="s">
        <v>1865</v>
      </c>
      <c r="E1244" s="130" t="s">
        <v>1903</v>
      </c>
      <c r="F1244" s="130" t="s">
        <v>1117</v>
      </c>
      <c r="G1244" s="130" t="s">
        <v>1202</v>
      </c>
      <c r="H1244" s="130" t="s">
        <v>1216</v>
      </c>
      <c r="I1244" s="130" t="s">
        <v>1222</v>
      </c>
      <c r="J1244" s="130" t="s">
        <v>1304</v>
      </c>
      <c r="K1244" s="130" t="s">
        <v>1305</v>
      </c>
      <c r="L1244" s="130" t="s">
        <v>1859</v>
      </c>
      <c r="M1244" s="130" t="s">
        <v>1844</v>
      </c>
      <c r="N1244" s="130" t="s">
        <v>1902</v>
      </c>
      <c r="O1244" s="130" t="s">
        <v>1860</v>
      </c>
      <c r="P1244" s="130" t="s">
        <v>1866</v>
      </c>
      <c r="Q1244" s="130" t="s">
        <v>1127</v>
      </c>
      <c r="R1244" s="130" t="s">
        <v>1191</v>
      </c>
      <c r="S1244" s="130" t="s">
        <v>1157</v>
      </c>
      <c r="T1244" s="130" t="s">
        <v>1847</v>
      </c>
      <c r="U1244" s="130">
        <v>0</v>
      </c>
      <c r="V1244" s="131">
        <v>0</v>
      </c>
      <c r="W1244" s="131">
        <v>0</v>
      </c>
      <c r="X1244" s="131">
        <v>0</v>
      </c>
      <c r="Y1244" s="131">
        <v>0</v>
      </c>
      <c r="Z1244" s="131">
        <v>0</v>
      </c>
      <c r="AA1244" s="131">
        <v>0</v>
      </c>
      <c r="AB1244" s="131">
        <v>0</v>
      </c>
      <c r="AC1244" s="131">
        <v>0</v>
      </c>
      <c r="AD1244" s="131">
        <v>0</v>
      </c>
      <c r="AE1244" s="132">
        <v>0</v>
      </c>
    </row>
    <row r="1245" spans="1:31" x14ac:dyDescent="0.2">
      <c r="A1245" s="130">
        <v>209</v>
      </c>
      <c r="B1245" s="130" t="s">
        <v>1841</v>
      </c>
      <c r="C1245" s="130" t="s">
        <v>1199</v>
      </c>
      <c r="D1245" s="130" t="s">
        <v>1904</v>
      </c>
      <c r="E1245" s="130" t="s">
        <v>1201</v>
      </c>
      <c r="F1245" s="130" t="s">
        <v>1117</v>
      </c>
      <c r="G1245" s="130" t="s">
        <v>1276</v>
      </c>
      <c r="H1245" s="130" t="s">
        <v>1277</v>
      </c>
      <c r="I1245" s="130" t="s">
        <v>1278</v>
      </c>
      <c r="J1245" s="130" t="s">
        <v>1278</v>
      </c>
      <c r="K1245" s="130" t="s">
        <v>1279</v>
      </c>
      <c r="L1245" s="130" t="s">
        <v>1905</v>
      </c>
      <c r="M1245" s="130" t="s">
        <v>1844</v>
      </c>
      <c r="N1245" s="130" t="s">
        <v>120</v>
      </c>
      <c r="O1245" s="130" t="s">
        <v>1860</v>
      </c>
      <c r="P1245" s="130" t="s">
        <v>1866</v>
      </c>
      <c r="Q1245" s="130" t="s">
        <v>1127</v>
      </c>
      <c r="R1245" s="130" t="s">
        <v>1191</v>
      </c>
      <c r="S1245" s="130" t="s">
        <v>1157</v>
      </c>
      <c r="T1245" s="130" t="s">
        <v>1847</v>
      </c>
      <c r="U1245" s="130">
        <v>57118</v>
      </c>
      <c r="V1245" s="131">
        <v>0</v>
      </c>
      <c r="W1245" s="131">
        <v>57118</v>
      </c>
      <c r="X1245" s="131">
        <v>57118</v>
      </c>
      <c r="Y1245" s="131">
        <v>0</v>
      </c>
      <c r="Z1245" s="131">
        <v>57118</v>
      </c>
      <c r="AA1245" s="131">
        <v>0</v>
      </c>
      <c r="AB1245" s="131">
        <v>28324.77</v>
      </c>
      <c r="AC1245" s="131">
        <v>28793.23</v>
      </c>
      <c r="AD1245" s="131">
        <v>28324.77</v>
      </c>
      <c r="AE1245" s="132">
        <v>28793.23</v>
      </c>
    </row>
    <row r="1246" spans="1:31" x14ac:dyDescent="0.2">
      <c r="A1246" s="133">
        <v>209</v>
      </c>
      <c r="B1246" s="133" t="s">
        <v>1841</v>
      </c>
      <c r="C1246" s="133" t="s">
        <v>1199</v>
      </c>
      <c r="D1246" s="133" t="s">
        <v>1904</v>
      </c>
      <c r="E1246" s="133" t="s">
        <v>1201</v>
      </c>
      <c r="F1246" s="133" t="s">
        <v>1117</v>
      </c>
      <c r="G1246" s="133" t="s">
        <v>1276</v>
      </c>
      <c r="H1246" s="133" t="s">
        <v>1277</v>
      </c>
      <c r="I1246" s="133" t="s">
        <v>1278</v>
      </c>
      <c r="J1246" s="133" t="s">
        <v>1278</v>
      </c>
      <c r="K1246" s="130" t="s">
        <v>1281</v>
      </c>
      <c r="L1246" s="130" t="s">
        <v>1905</v>
      </c>
      <c r="M1246" s="130" t="s">
        <v>1844</v>
      </c>
      <c r="N1246" s="130" t="s">
        <v>120</v>
      </c>
      <c r="O1246" s="130" t="s">
        <v>1860</v>
      </c>
      <c r="P1246" s="130" t="s">
        <v>1866</v>
      </c>
      <c r="Q1246" s="130" t="s">
        <v>1127</v>
      </c>
      <c r="R1246" s="130" t="s">
        <v>1191</v>
      </c>
      <c r="S1246" s="130" t="s">
        <v>1157</v>
      </c>
      <c r="T1246" s="130" t="s">
        <v>1847</v>
      </c>
      <c r="U1246" s="130">
        <v>30025</v>
      </c>
      <c r="V1246" s="131">
        <v>-19500</v>
      </c>
      <c r="W1246" s="131">
        <v>10525</v>
      </c>
      <c r="X1246" s="131">
        <v>10525</v>
      </c>
      <c r="Y1246" s="131">
        <v>0</v>
      </c>
      <c r="Z1246" s="131">
        <v>10525</v>
      </c>
      <c r="AA1246" s="131">
        <v>0</v>
      </c>
      <c r="AB1246" s="131">
        <v>0</v>
      </c>
      <c r="AC1246" s="131">
        <v>10525</v>
      </c>
      <c r="AD1246" s="131">
        <v>0</v>
      </c>
      <c r="AE1246" s="132">
        <v>10525</v>
      </c>
    </row>
    <row r="1247" spans="1:31" x14ac:dyDescent="0.2">
      <c r="A1247" s="133">
        <v>209</v>
      </c>
      <c r="B1247" s="133" t="s">
        <v>1841</v>
      </c>
      <c r="C1247" s="133" t="s">
        <v>1199</v>
      </c>
      <c r="D1247" s="133" t="s">
        <v>1904</v>
      </c>
      <c r="E1247" s="133" t="s">
        <v>1201</v>
      </c>
      <c r="F1247" s="133" t="s">
        <v>1117</v>
      </c>
      <c r="G1247" s="133" t="s">
        <v>1276</v>
      </c>
      <c r="H1247" s="133" t="s">
        <v>1277</v>
      </c>
      <c r="I1247" s="133" t="s">
        <v>1278</v>
      </c>
      <c r="J1247" s="133" t="s">
        <v>1278</v>
      </c>
      <c r="K1247" s="130" t="s">
        <v>1282</v>
      </c>
      <c r="L1247" s="130" t="s">
        <v>1905</v>
      </c>
      <c r="M1247" s="130" t="s">
        <v>1844</v>
      </c>
      <c r="N1247" s="130" t="s">
        <v>120</v>
      </c>
      <c r="O1247" s="130" t="s">
        <v>1860</v>
      </c>
      <c r="P1247" s="130" t="s">
        <v>1866</v>
      </c>
      <c r="Q1247" s="130" t="s">
        <v>1127</v>
      </c>
      <c r="R1247" s="130" t="s">
        <v>1191</v>
      </c>
      <c r="S1247" s="130" t="s">
        <v>1157</v>
      </c>
      <c r="T1247" s="130" t="s">
        <v>1847</v>
      </c>
      <c r="U1247" s="130">
        <v>19715</v>
      </c>
      <c r="V1247" s="131">
        <v>0</v>
      </c>
      <c r="W1247" s="131">
        <v>19715</v>
      </c>
      <c r="X1247" s="131">
        <v>19715</v>
      </c>
      <c r="Y1247" s="131">
        <v>0</v>
      </c>
      <c r="Z1247" s="131">
        <v>19715</v>
      </c>
      <c r="AA1247" s="131">
        <v>0</v>
      </c>
      <c r="AB1247" s="131">
        <v>10797.8</v>
      </c>
      <c r="AC1247" s="131">
        <v>8917.2000000000007</v>
      </c>
      <c r="AD1247" s="131">
        <v>10797.8</v>
      </c>
      <c r="AE1247" s="132">
        <v>8917.2000000000007</v>
      </c>
    </row>
    <row r="1248" spans="1:31" x14ac:dyDescent="0.2">
      <c r="A1248" s="133">
        <v>209</v>
      </c>
      <c r="B1248" s="133" t="s">
        <v>1841</v>
      </c>
      <c r="C1248" s="133" t="s">
        <v>1199</v>
      </c>
      <c r="D1248" s="133" t="s">
        <v>1904</v>
      </c>
      <c r="E1248" s="133" t="s">
        <v>1201</v>
      </c>
      <c r="F1248" s="133" t="s">
        <v>1117</v>
      </c>
      <c r="G1248" s="133" t="s">
        <v>1276</v>
      </c>
      <c r="H1248" s="133" t="s">
        <v>1277</v>
      </c>
      <c r="I1248" s="133" t="s">
        <v>1278</v>
      </c>
      <c r="J1248" s="130" t="s">
        <v>1283</v>
      </c>
      <c r="K1248" s="130" t="s">
        <v>1284</v>
      </c>
      <c r="L1248" s="130" t="s">
        <v>1905</v>
      </c>
      <c r="M1248" s="130" t="s">
        <v>1844</v>
      </c>
      <c r="N1248" s="130" t="s">
        <v>120</v>
      </c>
      <c r="O1248" s="130" t="s">
        <v>1860</v>
      </c>
      <c r="P1248" s="130" t="s">
        <v>1866</v>
      </c>
      <c r="Q1248" s="130" t="s">
        <v>1127</v>
      </c>
      <c r="R1248" s="130" t="s">
        <v>1191</v>
      </c>
      <c r="S1248" s="130" t="s">
        <v>1157</v>
      </c>
      <c r="T1248" s="130" t="s">
        <v>1847</v>
      </c>
      <c r="U1248" s="130">
        <v>166809</v>
      </c>
      <c r="V1248" s="131">
        <v>0</v>
      </c>
      <c r="W1248" s="131">
        <v>166809</v>
      </c>
      <c r="X1248" s="131">
        <v>166809</v>
      </c>
      <c r="Y1248" s="131">
        <v>0</v>
      </c>
      <c r="Z1248" s="131">
        <v>166809</v>
      </c>
      <c r="AA1248" s="131">
        <v>0</v>
      </c>
      <c r="AB1248" s="131">
        <v>59719.69</v>
      </c>
      <c r="AC1248" s="131">
        <v>107089.31</v>
      </c>
      <c r="AD1248" s="131">
        <v>59719.69</v>
      </c>
      <c r="AE1248" s="132">
        <v>107089.31</v>
      </c>
    </row>
    <row r="1249" spans="1:31" x14ac:dyDescent="0.2">
      <c r="A1249" s="133">
        <v>209</v>
      </c>
      <c r="B1249" s="133" t="s">
        <v>1841</v>
      </c>
      <c r="C1249" s="133" t="s">
        <v>1199</v>
      </c>
      <c r="D1249" s="133" t="s">
        <v>1904</v>
      </c>
      <c r="E1249" s="133" t="s">
        <v>1201</v>
      </c>
      <c r="F1249" s="133" t="s">
        <v>1117</v>
      </c>
      <c r="G1249" s="133" t="s">
        <v>1276</v>
      </c>
      <c r="H1249" s="133" t="s">
        <v>1277</v>
      </c>
      <c r="I1249" s="130" t="s">
        <v>1285</v>
      </c>
      <c r="J1249" s="130" t="s">
        <v>1286</v>
      </c>
      <c r="K1249" s="130" t="s">
        <v>1287</v>
      </c>
      <c r="L1249" s="130" t="s">
        <v>1905</v>
      </c>
      <c r="M1249" s="130" t="s">
        <v>1844</v>
      </c>
      <c r="N1249" s="130" t="s">
        <v>120</v>
      </c>
      <c r="O1249" s="130" t="s">
        <v>1860</v>
      </c>
      <c r="P1249" s="130" t="s">
        <v>1866</v>
      </c>
      <c r="Q1249" s="130" t="s">
        <v>1127</v>
      </c>
      <c r="R1249" s="130" t="s">
        <v>1191</v>
      </c>
      <c r="S1249" s="130" t="s">
        <v>1157</v>
      </c>
      <c r="T1249" s="130" t="s">
        <v>1847</v>
      </c>
      <c r="U1249" s="130">
        <v>22371</v>
      </c>
      <c r="V1249" s="131">
        <v>1200</v>
      </c>
      <c r="W1249" s="131">
        <v>23571</v>
      </c>
      <c r="X1249" s="131">
        <v>23571</v>
      </c>
      <c r="Y1249" s="131">
        <v>0</v>
      </c>
      <c r="Z1249" s="131">
        <v>23571</v>
      </c>
      <c r="AA1249" s="131">
        <v>0</v>
      </c>
      <c r="AB1249" s="131">
        <v>3928.38</v>
      </c>
      <c r="AC1249" s="131">
        <v>19642.62</v>
      </c>
      <c r="AD1249" s="131">
        <v>3928.38</v>
      </c>
      <c r="AE1249" s="132">
        <v>19642.62</v>
      </c>
    </row>
    <row r="1250" spans="1:31" x14ac:dyDescent="0.2">
      <c r="A1250" s="133">
        <v>209</v>
      </c>
      <c r="B1250" s="133" t="s">
        <v>1841</v>
      </c>
      <c r="C1250" s="133" t="s">
        <v>1199</v>
      </c>
      <c r="D1250" s="133" t="s">
        <v>1904</v>
      </c>
      <c r="E1250" s="133" t="s">
        <v>1201</v>
      </c>
      <c r="F1250" s="133" t="s">
        <v>1117</v>
      </c>
      <c r="G1250" s="133" t="s">
        <v>1276</v>
      </c>
      <c r="H1250" s="133" t="s">
        <v>1277</v>
      </c>
      <c r="I1250" s="130" t="s">
        <v>1288</v>
      </c>
      <c r="J1250" s="130" t="s">
        <v>1289</v>
      </c>
      <c r="K1250" s="130" t="s">
        <v>1290</v>
      </c>
      <c r="L1250" s="130" t="s">
        <v>1905</v>
      </c>
      <c r="M1250" s="130" t="s">
        <v>1844</v>
      </c>
      <c r="N1250" s="130" t="s">
        <v>120</v>
      </c>
      <c r="O1250" s="130" t="s">
        <v>1860</v>
      </c>
      <c r="P1250" s="130" t="s">
        <v>1866</v>
      </c>
      <c r="Q1250" s="130" t="s">
        <v>1127</v>
      </c>
      <c r="R1250" s="130" t="s">
        <v>1191</v>
      </c>
      <c r="S1250" s="130" t="s">
        <v>1157</v>
      </c>
      <c r="T1250" s="130" t="s">
        <v>1847</v>
      </c>
      <c r="U1250" s="130">
        <v>3600</v>
      </c>
      <c r="V1250" s="131">
        <v>0</v>
      </c>
      <c r="W1250" s="131">
        <v>3600</v>
      </c>
      <c r="X1250" s="131">
        <v>3600</v>
      </c>
      <c r="Y1250" s="131">
        <v>0</v>
      </c>
      <c r="Z1250" s="131">
        <v>3600</v>
      </c>
      <c r="AA1250" s="131">
        <v>0</v>
      </c>
      <c r="AB1250" s="131">
        <v>0</v>
      </c>
      <c r="AC1250" s="131">
        <v>3600</v>
      </c>
      <c r="AD1250" s="131">
        <v>0</v>
      </c>
      <c r="AE1250" s="132">
        <v>3600</v>
      </c>
    </row>
    <row r="1251" spans="1:31" x14ac:dyDescent="0.2">
      <c r="A1251" s="133">
        <v>209</v>
      </c>
      <c r="B1251" s="133" t="s">
        <v>1841</v>
      </c>
      <c r="C1251" s="133" t="s">
        <v>1199</v>
      </c>
      <c r="D1251" s="133" t="s">
        <v>1904</v>
      </c>
      <c r="E1251" s="133" t="s">
        <v>1201</v>
      </c>
      <c r="F1251" s="133" t="s">
        <v>1117</v>
      </c>
      <c r="G1251" s="133" t="s">
        <v>1276</v>
      </c>
      <c r="H1251" s="133" t="s">
        <v>1277</v>
      </c>
      <c r="I1251" s="133" t="s">
        <v>1288</v>
      </c>
      <c r="J1251" s="133" t="s">
        <v>1289</v>
      </c>
      <c r="K1251" s="130" t="s">
        <v>1291</v>
      </c>
      <c r="L1251" s="130" t="s">
        <v>1905</v>
      </c>
      <c r="M1251" s="130" t="s">
        <v>1844</v>
      </c>
      <c r="N1251" s="130" t="s">
        <v>120</v>
      </c>
      <c r="O1251" s="130" t="s">
        <v>1860</v>
      </c>
      <c r="P1251" s="130" t="s">
        <v>1866</v>
      </c>
      <c r="Q1251" s="130" t="s">
        <v>1127</v>
      </c>
      <c r="R1251" s="130" t="s">
        <v>1191</v>
      </c>
      <c r="S1251" s="130" t="s">
        <v>1157</v>
      </c>
      <c r="T1251" s="130" t="s">
        <v>1847</v>
      </c>
      <c r="U1251" s="130">
        <v>2400</v>
      </c>
      <c r="V1251" s="131">
        <v>0</v>
      </c>
      <c r="W1251" s="131">
        <v>2400</v>
      </c>
      <c r="X1251" s="131">
        <v>2400</v>
      </c>
      <c r="Y1251" s="131">
        <v>0</v>
      </c>
      <c r="Z1251" s="131">
        <v>2400</v>
      </c>
      <c r="AA1251" s="131">
        <v>0</v>
      </c>
      <c r="AB1251" s="131">
        <v>2000</v>
      </c>
      <c r="AC1251" s="131">
        <v>400</v>
      </c>
      <c r="AD1251" s="131">
        <v>2000</v>
      </c>
      <c r="AE1251" s="132">
        <v>400</v>
      </c>
    </row>
    <row r="1252" spans="1:31" x14ac:dyDescent="0.2">
      <c r="A1252" s="133">
        <v>209</v>
      </c>
      <c r="B1252" s="133" t="s">
        <v>1841</v>
      </c>
      <c r="C1252" s="133" t="s">
        <v>1199</v>
      </c>
      <c r="D1252" s="133" t="s">
        <v>1904</v>
      </c>
      <c r="E1252" s="133" t="s">
        <v>1201</v>
      </c>
      <c r="F1252" s="133" t="s">
        <v>1117</v>
      </c>
      <c r="G1252" s="133" t="s">
        <v>1276</v>
      </c>
      <c r="H1252" s="133" t="s">
        <v>1277</v>
      </c>
      <c r="I1252" s="133" t="s">
        <v>1288</v>
      </c>
      <c r="J1252" s="133" t="s">
        <v>1289</v>
      </c>
      <c r="K1252" s="130" t="s">
        <v>1292</v>
      </c>
      <c r="L1252" s="130" t="s">
        <v>1905</v>
      </c>
      <c r="M1252" s="130" t="s">
        <v>1844</v>
      </c>
      <c r="N1252" s="130" t="s">
        <v>120</v>
      </c>
      <c r="O1252" s="130" t="s">
        <v>1860</v>
      </c>
      <c r="P1252" s="130" t="s">
        <v>1866</v>
      </c>
      <c r="Q1252" s="130" t="s">
        <v>1127</v>
      </c>
      <c r="R1252" s="130" t="s">
        <v>1191</v>
      </c>
      <c r="S1252" s="130" t="s">
        <v>1157</v>
      </c>
      <c r="T1252" s="130" t="s">
        <v>1847</v>
      </c>
      <c r="U1252" s="130">
        <v>600</v>
      </c>
      <c r="V1252" s="131">
        <v>0</v>
      </c>
      <c r="W1252" s="131">
        <v>600</v>
      </c>
      <c r="X1252" s="131">
        <v>600</v>
      </c>
      <c r="Y1252" s="131">
        <v>0</v>
      </c>
      <c r="Z1252" s="131">
        <v>600</v>
      </c>
      <c r="AA1252" s="131">
        <v>0</v>
      </c>
      <c r="AB1252" s="131">
        <v>0</v>
      </c>
      <c r="AC1252" s="131">
        <v>600</v>
      </c>
      <c r="AD1252" s="131">
        <v>0</v>
      </c>
      <c r="AE1252" s="132">
        <v>600</v>
      </c>
    </row>
    <row r="1253" spans="1:31" x14ac:dyDescent="0.2">
      <c r="A1253" s="133">
        <v>209</v>
      </c>
      <c r="B1253" s="133" t="s">
        <v>1841</v>
      </c>
      <c r="C1253" s="133" t="s">
        <v>1199</v>
      </c>
      <c r="D1253" s="133" t="s">
        <v>1904</v>
      </c>
      <c r="E1253" s="133" t="s">
        <v>1201</v>
      </c>
      <c r="F1253" s="133" t="s">
        <v>1117</v>
      </c>
      <c r="G1253" s="133" t="s">
        <v>1276</v>
      </c>
      <c r="H1253" s="130" t="s">
        <v>1293</v>
      </c>
      <c r="I1253" s="130" t="s">
        <v>1294</v>
      </c>
      <c r="J1253" s="130" t="s">
        <v>1295</v>
      </c>
      <c r="K1253" s="130" t="s">
        <v>1296</v>
      </c>
      <c r="L1253" s="130" t="s">
        <v>1905</v>
      </c>
      <c r="M1253" s="130" t="s">
        <v>1844</v>
      </c>
      <c r="N1253" s="130" t="s">
        <v>120</v>
      </c>
      <c r="O1253" s="130" t="s">
        <v>1860</v>
      </c>
      <c r="P1253" s="130" t="s">
        <v>1866</v>
      </c>
      <c r="Q1253" s="130" t="s">
        <v>1127</v>
      </c>
      <c r="R1253" s="130" t="s">
        <v>1191</v>
      </c>
      <c r="S1253" s="130" t="s">
        <v>1157</v>
      </c>
      <c r="T1253" s="130" t="s">
        <v>1847</v>
      </c>
      <c r="U1253" s="130">
        <v>4752</v>
      </c>
      <c r="V1253" s="131">
        <v>0</v>
      </c>
      <c r="W1253" s="131">
        <v>4752</v>
      </c>
      <c r="X1253" s="131">
        <v>0</v>
      </c>
      <c r="Y1253" s="131">
        <v>4752</v>
      </c>
      <c r="Z1253" s="131">
        <v>0</v>
      </c>
      <c r="AA1253" s="131">
        <v>4752</v>
      </c>
      <c r="AB1253" s="131">
        <v>0</v>
      </c>
      <c r="AC1253" s="131">
        <v>4752</v>
      </c>
      <c r="AD1253" s="131">
        <v>0</v>
      </c>
      <c r="AE1253" s="132">
        <v>4752</v>
      </c>
    </row>
    <row r="1254" spans="1:31" x14ac:dyDescent="0.2">
      <c r="A1254" s="133">
        <v>209</v>
      </c>
      <c r="B1254" s="133" t="s">
        <v>1841</v>
      </c>
      <c r="C1254" s="133" t="s">
        <v>1199</v>
      </c>
      <c r="D1254" s="133" t="s">
        <v>1904</v>
      </c>
      <c r="E1254" s="133" t="s">
        <v>1201</v>
      </c>
      <c r="F1254" s="133" t="s">
        <v>1117</v>
      </c>
      <c r="G1254" s="133" t="s">
        <v>1276</v>
      </c>
      <c r="H1254" s="130" t="s">
        <v>1297</v>
      </c>
      <c r="I1254" s="130" t="s">
        <v>1298</v>
      </c>
      <c r="J1254" s="130" t="s">
        <v>1298</v>
      </c>
      <c r="K1254" s="130" t="s">
        <v>1299</v>
      </c>
      <c r="L1254" s="130" t="s">
        <v>1905</v>
      </c>
      <c r="M1254" s="130" t="s">
        <v>1844</v>
      </c>
      <c r="N1254" s="130" t="s">
        <v>120</v>
      </c>
      <c r="O1254" s="130" t="s">
        <v>1860</v>
      </c>
      <c r="P1254" s="130" t="s">
        <v>1866</v>
      </c>
      <c r="Q1254" s="130" t="s">
        <v>1127</v>
      </c>
      <c r="R1254" s="130" t="s">
        <v>1191</v>
      </c>
      <c r="S1254" s="130" t="s">
        <v>1157</v>
      </c>
      <c r="T1254" s="130" t="s">
        <v>1847</v>
      </c>
      <c r="U1254" s="130">
        <v>15540</v>
      </c>
      <c r="V1254" s="131">
        <v>0</v>
      </c>
      <c r="W1254" s="131">
        <v>15540</v>
      </c>
      <c r="X1254" s="131">
        <v>15540</v>
      </c>
      <c r="Y1254" s="131">
        <v>0</v>
      </c>
      <c r="Z1254" s="131">
        <v>15540</v>
      </c>
      <c r="AA1254" s="131">
        <v>0</v>
      </c>
      <c r="AB1254" s="131">
        <v>3013.5199999999995</v>
      </c>
      <c r="AC1254" s="131">
        <v>12526.48</v>
      </c>
      <c r="AD1254" s="131">
        <v>3013.5199999999995</v>
      </c>
      <c r="AE1254" s="132">
        <v>12526.48</v>
      </c>
    </row>
    <row r="1255" spans="1:31" x14ac:dyDescent="0.2">
      <c r="A1255" s="133">
        <v>209</v>
      </c>
      <c r="B1255" s="133" t="s">
        <v>1841</v>
      </c>
      <c r="C1255" s="133" t="s">
        <v>1199</v>
      </c>
      <c r="D1255" s="133" t="s">
        <v>1904</v>
      </c>
      <c r="E1255" s="133" t="s">
        <v>1201</v>
      </c>
      <c r="F1255" s="133" t="s">
        <v>1117</v>
      </c>
      <c r="G1255" s="133" t="s">
        <v>1276</v>
      </c>
      <c r="H1255" s="133" t="s">
        <v>1297</v>
      </c>
      <c r="I1255" s="133" t="s">
        <v>1298</v>
      </c>
      <c r="J1255" s="133" t="s">
        <v>1298</v>
      </c>
      <c r="K1255" s="130" t="s">
        <v>1300</v>
      </c>
      <c r="L1255" s="130" t="s">
        <v>1905</v>
      </c>
      <c r="M1255" s="130" t="s">
        <v>1844</v>
      </c>
      <c r="N1255" s="130" t="s">
        <v>120</v>
      </c>
      <c r="O1255" s="130" t="s">
        <v>1860</v>
      </c>
      <c r="P1255" s="130" t="s">
        <v>1866</v>
      </c>
      <c r="Q1255" s="130" t="s">
        <v>1127</v>
      </c>
      <c r="R1255" s="130" t="s">
        <v>1191</v>
      </c>
      <c r="S1255" s="130" t="s">
        <v>1157</v>
      </c>
      <c r="T1255" s="130" t="s">
        <v>1847</v>
      </c>
      <c r="U1255" s="130">
        <v>1851</v>
      </c>
      <c r="V1255" s="131">
        <v>271</v>
      </c>
      <c r="W1255" s="131">
        <v>2122</v>
      </c>
      <c r="X1255" s="131">
        <v>2122</v>
      </c>
      <c r="Y1255" s="131">
        <v>0</v>
      </c>
      <c r="Z1255" s="131">
        <v>2122</v>
      </c>
      <c r="AA1255" s="131">
        <v>0</v>
      </c>
      <c r="AB1255" s="131">
        <v>353.56</v>
      </c>
      <c r="AC1255" s="131">
        <v>1768.44</v>
      </c>
      <c r="AD1255" s="131">
        <v>353.56</v>
      </c>
      <c r="AE1255" s="132">
        <v>1768.44</v>
      </c>
    </row>
    <row r="1256" spans="1:31" x14ac:dyDescent="0.2">
      <c r="A1256" s="133">
        <v>209</v>
      </c>
      <c r="B1256" s="133" t="s">
        <v>1841</v>
      </c>
      <c r="C1256" s="133" t="s">
        <v>1199</v>
      </c>
      <c r="D1256" s="133" t="s">
        <v>1904</v>
      </c>
      <c r="E1256" s="133" t="s">
        <v>1201</v>
      </c>
      <c r="F1256" s="133" t="s">
        <v>1117</v>
      </c>
      <c r="G1256" s="130" t="s">
        <v>1233</v>
      </c>
      <c r="H1256" s="130" t="s">
        <v>1234</v>
      </c>
      <c r="I1256" s="130" t="s">
        <v>1850</v>
      </c>
      <c r="J1256" s="130" t="s">
        <v>1851</v>
      </c>
      <c r="K1256" s="130" t="s">
        <v>1852</v>
      </c>
      <c r="L1256" s="130" t="s">
        <v>1905</v>
      </c>
      <c r="M1256" s="130" t="s">
        <v>1844</v>
      </c>
      <c r="N1256" s="130" t="s">
        <v>120</v>
      </c>
      <c r="O1256" s="130" t="s">
        <v>1860</v>
      </c>
      <c r="P1256" s="130" t="s">
        <v>1866</v>
      </c>
      <c r="Q1256" s="130" t="s">
        <v>1127</v>
      </c>
      <c r="R1256" s="130" t="s">
        <v>1191</v>
      </c>
      <c r="S1256" s="130" t="s">
        <v>1157</v>
      </c>
      <c r="T1256" s="130" t="s">
        <v>1847</v>
      </c>
      <c r="U1256" s="130">
        <v>0</v>
      </c>
      <c r="V1256" s="131">
        <v>3000</v>
      </c>
      <c r="W1256" s="131">
        <v>3000</v>
      </c>
      <c r="X1256" s="131">
        <v>3000</v>
      </c>
      <c r="Y1256" s="131">
        <v>0</v>
      </c>
      <c r="Z1256" s="131">
        <v>3000</v>
      </c>
      <c r="AA1256" s="131">
        <v>0</v>
      </c>
      <c r="AB1256" s="131">
        <v>3000</v>
      </c>
      <c r="AC1256" s="131">
        <v>0</v>
      </c>
      <c r="AD1256" s="131">
        <v>3000</v>
      </c>
      <c r="AE1256" s="132">
        <v>0</v>
      </c>
    </row>
    <row r="1257" spans="1:31" x14ac:dyDescent="0.2">
      <c r="A1257" s="133">
        <v>209</v>
      </c>
      <c r="B1257" s="133" t="s">
        <v>1841</v>
      </c>
      <c r="C1257" s="133" t="s">
        <v>1199</v>
      </c>
      <c r="D1257" s="133" t="s">
        <v>1904</v>
      </c>
      <c r="E1257" s="133" t="s">
        <v>1201</v>
      </c>
      <c r="F1257" s="133" t="s">
        <v>1117</v>
      </c>
      <c r="G1257" s="130" t="s">
        <v>1202</v>
      </c>
      <c r="H1257" s="130" t="s">
        <v>1216</v>
      </c>
      <c r="I1257" s="130" t="s">
        <v>1301</v>
      </c>
      <c r="J1257" s="130" t="s">
        <v>1301</v>
      </c>
      <c r="K1257" s="130" t="s">
        <v>1302</v>
      </c>
      <c r="L1257" s="130" t="s">
        <v>1905</v>
      </c>
      <c r="M1257" s="130" t="s">
        <v>1844</v>
      </c>
      <c r="N1257" s="130" t="s">
        <v>120</v>
      </c>
      <c r="O1257" s="130" t="s">
        <v>1860</v>
      </c>
      <c r="P1257" s="130" t="s">
        <v>1866</v>
      </c>
      <c r="Q1257" s="130" t="s">
        <v>1127</v>
      </c>
      <c r="R1257" s="130" t="s">
        <v>1191</v>
      </c>
      <c r="S1257" s="130" t="s">
        <v>1157</v>
      </c>
      <c r="T1257" s="130" t="s">
        <v>1847</v>
      </c>
      <c r="U1257" s="130">
        <v>16768</v>
      </c>
      <c r="V1257" s="131">
        <v>0</v>
      </c>
      <c r="W1257" s="131">
        <v>16768</v>
      </c>
      <c r="X1257" s="131">
        <v>10760</v>
      </c>
      <c r="Y1257" s="131">
        <v>6008</v>
      </c>
      <c r="Z1257" s="131">
        <v>9510.4</v>
      </c>
      <c r="AA1257" s="131">
        <v>7257.6</v>
      </c>
      <c r="AB1257" s="131">
        <v>9510.4</v>
      </c>
      <c r="AC1257" s="131">
        <v>7257.6</v>
      </c>
      <c r="AD1257" s="131">
        <v>9510.4</v>
      </c>
      <c r="AE1257" s="132">
        <v>7257.6</v>
      </c>
    </row>
    <row r="1258" spans="1:31" x14ac:dyDescent="0.2">
      <c r="A1258" s="133">
        <v>209</v>
      </c>
      <c r="B1258" s="133" t="s">
        <v>1841</v>
      </c>
      <c r="C1258" s="133" t="s">
        <v>1199</v>
      </c>
      <c r="D1258" s="133" t="s">
        <v>1904</v>
      </c>
      <c r="E1258" s="133" t="s">
        <v>1201</v>
      </c>
      <c r="F1258" s="133" t="s">
        <v>1117</v>
      </c>
      <c r="G1258" s="133" t="s">
        <v>1202</v>
      </c>
      <c r="H1258" s="133" t="s">
        <v>1216</v>
      </c>
      <c r="I1258" s="130" t="s">
        <v>1239</v>
      </c>
      <c r="J1258" s="130" t="s">
        <v>1240</v>
      </c>
      <c r="K1258" s="130" t="s">
        <v>1906</v>
      </c>
      <c r="L1258" s="130" t="s">
        <v>1905</v>
      </c>
      <c r="M1258" s="130" t="s">
        <v>1844</v>
      </c>
      <c r="N1258" s="130" t="s">
        <v>120</v>
      </c>
      <c r="O1258" s="130" t="s">
        <v>1860</v>
      </c>
      <c r="P1258" s="130" t="s">
        <v>1866</v>
      </c>
      <c r="Q1258" s="130" t="s">
        <v>1127</v>
      </c>
      <c r="R1258" s="130" t="s">
        <v>1191</v>
      </c>
      <c r="S1258" s="130" t="s">
        <v>1157</v>
      </c>
      <c r="T1258" s="130" t="s">
        <v>1847</v>
      </c>
      <c r="U1258" s="130">
        <v>1500</v>
      </c>
      <c r="V1258" s="131">
        <v>0</v>
      </c>
      <c r="W1258" s="131">
        <v>1500</v>
      </c>
      <c r="X1258" s="131">
        <v>0</v>
      </c>
      <c r="Y1258" s="131">
        <v>1500</v>
      </c>
      <c r="Z1258" s="131">
        <v>0</v>
      </c>
      <c r="AA1258" s="131">
        <v>1500</v>
      </c>
      <c r="AB1258" s="131">
        <v>0</v>
      </c>
      <c r="AC1258" s="131">
        <v>1500</v>
      </c>
      <c r="AD1258" s="131">
        <v>0</v>
      </c>
      <c r="AE1258" s="132">
        <v>1500</v>
      </c>
    </row>
    <row r="1259" spans="1:31" x14ac:dyDescent="0.2">
      <c r="A1259" s="133">
        <v>209</v>
      </c>
      <c r="B1259" s="133" t="s">
        <v>1841</v>
      </c>
      <c r="C1259" s="133" t="s">
        <v>1199</v>
      </c>
      <c r="D1259" s="133" t="s">
        <v>1904</v>
      </c>
      <c r="E1259" s="133" t="s">
        <v>1201</v>
      </c>
      <c r="F1259" s="133" t="s">
        <v>1117</v>
      </c>
      <c r="G1259" s="133" t="s">
        <v>1202</v>
      </c>
      <c r="H1259" s="133" t="s">
        <v>1216</v>
      </c>
      <c r="I1259" s="130" t="s">
        <v>1222</v>
      </c>
      <c r="J1259" s="130" t="s">
        <v>1304</v>
      </c>
      <c r="K1259" s="130" t="s">
        <v>1248</v>
      </c>
      <c r="L1259" s="130" t="s">
        <v>1905</v>
      </c>
      <c r="M1259" s="130" t="s">
        <v>1844</v>
      </c>
      <c r="N1259" s="130" t="s">
        <v>120</v>
      </c>
      <c r="O1259" s="130" t="s">
        <v>1860</v>
      </c>
      <c r="P1259" s="130" t="s">
        <v>1866</v>
      </c>
      <c r="Q1259" s="130" t="s">
        <v>1127</v>
      </c>
      <c r="R1259" s="130" t="s">
        <v>1191</v>
      </c>
      <c r="S1259" s="130" t="s">
        <v>1157</v>
      </c>
      <c r="T1259" s="130" t="s">
        <v>1847</v>
      </c>
      <c r="U1259" s="130">
        <v>12391</v>
      </c>
      <c r="V1259" s="131">
        <v>-9000</v>
      </c>
      <c r="W1259" s="131">
        <v>3391</v>
      </c>
      <c r="X1259" s="131">
        <v>2590</v>
      </c>
      <c r="Y1259" s="131">
        <v>801</v>
      </c>
      <c r="Z1259" s="131">
        <v>2270</v>
      </c>
      <c r="AA1259" s="131">
        <v>1121</v>
      </c>
      <c r="AB1259" s="131">
        <v>2270</v>
      </c>
      <c r="AC1259" s="131">
        <v>1121</v>
      </c>
      <c r="AD1259" s="131">
        <v>2270</v>
      </c>
      <c r="AE1259" s="132">
        <v>1121</v>
      </c>
    </row>
    <row r="1260" spans="1:31" x14ac:dyDescent="0.2">
      <c r="A1260" s="133">
        <v>209</v>
      </c>
      <c r="B1260" s="133" t="s">
        <v>1841</v>
      </c>
      <c r="C1260" s="133" t="s">
        <v>1199</v>
      </c>
      <c r="D1260" s="133" t="s">
        <v>1904</v>
      </c>
      <c r="E1260" s="133" t="s">
        <v>1201</v>
      </c>
      <c r="F1260" s="133" t="s">
        <v>1117</v>
      </c>
      <c r="G1260" s="133" t="s">
        <v>1202</v>
      </c>
      <c r="H1260" s="133" t="s">
        <v>1216</v>
      </c>
      <c r="I1260" s="133" t="s">
        <v>1222</v>
      </c>
      <c r="J1260" s="133" t="s">
        <v>1304</v>
      </c>
      <c r="K1260" s="130" t="s">
        <v>1305</v>
      </c>
      <c r="L1260" s="130" t="s">
        <v>1905</v>
      </c>
      <c r="M1260" s="130" t="s">
        <v>1844</v>
      </c>
      <c r="N1260" s="130" t="s">
        <v>120</v>
      </c>
      <c r="O1260" s="130" t="s">
        <v>1860</v>
      </c>
      <c r="P1260" s="130" t="s">
        <v>1866</v>
      </c>
      <c r="Q1260" s="130" t="s">
        <v>1127</v>
      </c>
      <c r="R1260" s="130" t="s">
        <v>1191</v>
      </c>
      <c r="S1260" s="130" t="s">
        <v>1157</v>
      </c>
      <c r="T1260" s="130" t="s">
        <v>1847</v>
      </c>
      <c r="U1260" s="130">
        <v>14849</v>
      </c>
      <c r="V1260" s="131">
        <v>8000</v>
      </c>
      <c r="W1260" s="131">
        <v>22849</v>
      </c>
      <c r="X1260" s="131">
        <v>3980</v>
      </c>
      <c r="Y1260" s="131">
        <v>18869</v>
      </c>
      <c r="Z1260" s="131">
        <v>3049</v>
      </c>
      <c r="AA1260" s="131">
        <v>19800</v>
      </c>
      <c r="AB1260" s="131">
        <v>3049</v>
      </c>
      <c r="AC1260" s="131">
        <v>19800</v>
      </c>
      <c r="AD1260" s="131">
        <v>3049</v>
      </c>
      <c r="AE1260" s="132">
        <v>19800</v>
      </c>
    </row>
    <row r="1261" spans="1:31" x14ac:dyDescent="0.2">
      <c r="A1261" s="133">
        <v>209</v>
      </c>
      <c r="B1261" s="133" t="s">
        <v>1841</v>
      </c>
      <c r="C1261" s="133" t="s">
        <v>1199</v>
      </c>
      <c r="D1261" s="133" t="s">
        <v>1904</v>
      </c>
      <c r="E1261" s="133" t="s">
        <v>1201</v>
      </c>
      <c r="F1261" s="133" t="s">
        <v>1117</v>
      </c>
      <c r="G1261" s="133" t="s">
        <v>1202</v>
      </c>
      <c r="H1261" s="133" t="s">
        <v>1216</v>
      </c>
      <c r="I1261" s="133" t="s">
        <v>1222</v>
      </c>
      <c r="J1261" s="130" t="s">
        <v>1245</v>
      </c>
      <c r="K1261" s="130" t="s">
        <v>1246</v>
      </c>
      <c r="L1261" s="130" t="s">
        <v>1905</v>
      </c>
      <c r="M1261" s="130" t="s">
        <v>1844</v>
      </c>
      <c r="N1261" s="130" t="s">
        <v>120</v>
      </c>
      <c r="O1261" s="130" t="s">
        <v>1860</v>
      </c>
      <c r="P1261" s="130" t="s">
        <v>1866</v>
      </c>
      <c r="Q1261" s="130" t="s">
        <v>1127</v>
      </c>
      <c r="R1261" s="130" t="s">
        <v>1191</v>
      </c>
      <c r="S1261" s="130" t="s">
        <v>1157</v>
      </c>
      <c r="T1261" s="130" t="s">
        <v>1847</v>
      </c>
      <c r="U1261" s="130">
        <v>3768</v>
      </c>
      <c r="V1261" s="131">
        <v>0</v>
      </c>
      <c r="W1261" s="131">
        <v>3768</v>
      </c>
      <c r="X1261" s="131">
        <v>2060</v>
      </c>
      <c r="Y1261" s="131">
        <v>1708</v>
      </c>
      <c r="Z1261" s="131">
        <v>961.8</v>
      </c>
      <c r="AA1261" s="131">
        <v>2806.2</v>
      </c>
      <c r="AB1261" s="131">
        <v>961.8</v>
      </c>
      <c r="AC1261" s="131">
        <v>2806.2</v>
      </c>
      <c r="AD1261" s="131">
        <v>961.8</v>
      </c>
      <c r="AE1261" s="132">
        <v>2806.2</v>
      </c>
    </row>
    <row r="1262" spans="1:31" x14ac:dyDescent="0.2">
      <c r="A1262" s="133">
        <v>209</v>
      </c>
      <c r="B1262" s="133" t="s">
        <v>1841</v>
      </c>
      <c r="C1262" s="133" t="s">
        <v>1199</v>
      </c>
      <c r="D1262" s="133" t="s">
        <v>1904</v>
      </c>
      <c r="E1262" s="133" t="s">
        <v>1201</v>
      </c>
      <c r="F1262" s="133" t="s">
        <v>1117</v>
      </c>
      <c r="G1262" s="133" t="s">
        <v>1202</v>
      </c>
      <c r="H1262" s="133" t="s">
        <v>1216</v>
      </c>
      <c r="I1262" s="133" t="s">
        <v>1222</v>
      </c>
      <c r="J1262" s="130" t="s">
        <v>1230</v>
      </c>
      <c r="K1262" s="130" t="s">
        <v>1231</v>
      </c>
      <c r="L1262" s="130" t="s">
        <v>1905</v>
      </c>
      <c r="M1262" s="130" t="s">
        <v>1844</v>
      </c>
      <c r="N1262" s="130" t="s">
        <v>120</v>
      </c>
      <c r="O1262" s="130" t="s">
        <v>1860</v>
      </c>
      <c r="P1262" s="130" t="s">
        <v>1866</v>
      </c>
      <c r="Q1262" s="130" t="s">
        <v>1127</v>
      </c>
      <c r="R1262" s="130" t="s">
        <v>1191</v>
      </c>
      <c r="S1262" s="130" t="s">
        <v>1157</v>
      </c>
      <c r="T1262" s="130" t="s">
        <v>1847</v>
      </c>
      <c r="U1262" s="130">
        <v>790</v>
      </c>
      <c r="V1262" s="131">
        <v>850</v>
      </c>
      <c r="W1262" s="131">
        <v>1640</v>
      </c>
      <c r="X1262" s="131">
        <v>1530</v>
      </c>
      <c r="Y1262" s="131">
        <v>110</v>
      </c>
      <c r="Z1262" s="131">
        <v>1010</v>
      </c>
      <c r="AA1262" s="131">
        <v>630</v>
      </c>
      <c r="AB1262" s="131">
        <v>1010</v>
      </c>
      <c r="AC1262" s="131">
        <v>630</v>
      </c>
      <c r="AD1262" s="131">
        <v>1010</v>
      </c>
      <c r="AE1262" s="132">
        <v>630</v>
      </c>
    </row>
    <row r="1263" spans="1:31" x14ac:dyDescent="0.2">
      <c r="A1263" s="133">
        <v>209</v>
      </c>
      <c r="B1263" s="133" t="s">
        <v>1841</v>
      </c>
      <c r="C1263" s="133" t="s">
        <v>1199</v>
      </c>
      <c r="D1263" s="133" t="s">
        <v>1904</v>
      </c>
      <c r="E1263" s="133" t="s">
        <v>1201</v>
      </c>
      <c r="F1263" s="133" t="s">
        <v>1117</v>
      </c>
      <c r="G1263" s="133" t="s">
        <v>1202</v>
      </c>
      <c r="H1263" s="130" t="s">
        <v>1203</v>
      </c>
      <c r="I1263" s="130" t="s">
        <v>1204</v>
      </c>
      <c r="J1263" s="130" t="s">
        <v>1205</v>
      </c>
      <c r="K1263" s="130" t="s">
        <v>1255</v>
      </c>
      <c r="L1263" s="130" t="s">
        <v>1905</v>
      </c>
      <c r="M1263" s="130" t="s">
        <v>1844</v>
      </c>
      <c r="N1263" s="130" t="s">
        <v>120</v>
      </c>
      <c r="O1263" s="130" t="s">
        <v>1860</v>
      </c>
      <c r="P1263" s="130" t="s">
        <v>1866</v>
      </c>
      <c r="Q1263" s="130" t="s">
        <v>1127</v>
      </c>
      <c r="R1263" s="130" t="s">
        <v>1191</v>
      </c>
      <c r="S1263" s="130" t="s">
        <v>1157</v>
      </c>
      <c r="T1263" s="130" t="s">
        <v>1847</v>
      </c>
      <c r="U1263" s="130">
        <v>3039</v>
      </c>
      <c r="V1263" s="131">
        <v>-1550</v>
      </c>
      <c r="W1263" s="131">
        <v>1489</v>
      </c>
      <c r="X1263" s="131">
        <v>0</v>
      </c>
      <c r="Y1263" s="131">
        <v>1489</v>
      </c>
      <c r="Z1263" s="131">
        <v>0</v>
      </c>
      <c r="AA1263" s="131">
        <v>1489</v>
      </c>
      <c r="AB1263" s="131">
        <v>0</v>
      </c>
      <c r="AC1263" s="131">
        <v>1489</v>
      </c>
      <c r="AD1263" s="131">
        <v>0</v>
      </c>
      <c r="AE1263" s="132">
        <v>1489</v>
      </c>
    </row>
    <row r="1264" spans="1:31" x14ac:dyDescent="0.2">
      <c r="A1264" s="133">
        <v>209</v>
      </c>
      <c r="B1264" s="133" t="s">
        <v>1841</v>
      </c>
      <c r="C1264" s="133" t="s">
        <v>1199</v>
      </c>
      <c r="D1264" s="133" t="s">
        <v>1904</v>
      </c>
      <c r="E1264" s="133" t="s">
        <v>1201</v>
      </c>
      <c r="F1264" s="133" t="s">
        <v>1117</v>
      </c>
      <c r="G1264" s="133" t="s">
        <v>1202</v>
      </c>
      <c r="H1264" s="133" t="s">
        <v>1203</v>
      </c>
      <c r="I1264" s="133" t="s">
        <v>1204</v>
      </c>
      <c r="J1264" s="133" t="s">
        <v>1205</v>
      </c>
      <c r="K1264" s="130" t="s">
        <v>1256</v>
      </c>
      <c r="L1264" s="130" t="s">
        <v>1905</v>
      </c>
      <c r="M1264" s="130" t="s">
        <v>1844</v>
      </c>
      <c r="N1264" s="130" t="s">
        <v>120</v>
      </c>
      <c r="O1264" s="130" t="s">
        <v>1860</v>
      </c>
      <c r="P1264" s="130" t="s">
        <v>1866</v>
      </c>
      <c r="Q1264" s="130" t="s">
        <v>1127</v>
      </c>
      <c r="R1264" s="130" t="s">
        <v>1191</v>
      </c>
      <c r="S1264" s="130" t="s">
        <v>1157</v>
      </c>
      <c r="T1264" s="130" t="s">
        <v>1847</v>
      </c>
      <c r="U1264" s="130">
        <v>4338</v>
      </c>
      <c r="V1264" s="131">
        <v>-1450</v>
      </c>
      <c r="W1264" s="131">
        <v>2888</v>
      </c>
      <c r="X1264" s="131">
        <v>0</v>
      </c>
      <c r="Y1264" s="131">
        <v>2888</v>
      </c>
      <c r="Z1264" s="131">
        <v>0</v>
      </c>
      <c r="AA1264" s="131">
        <v>2888</v>
      </c>
      <c r="AB1264" s="131">
        <v>0</v>
      </c>
      <c r="AC1264" s="131">
        <v>2888</v>
      </c>
      <c r="AD1264" s="131">
        <v>0</v>
      </c>
      <c r="AE1264" s="132">
        <v>2888</v>
      </c>
    </row>
    <row r="1265" spans="1:31" x14ac:dyDescent="0.2">
      <c r="A1265" s="133">
        <v>209</v>
      </c>
      <c r="B1265" s="133" t="s">
        <v>1841</v>
      </c>
      <c r="C1265" s="133" t="s">
        <v>1199</v>
      </c>
      <c r="D1265" s="133" t="s">
        <v>1904</v>
      </c>
      <c r="E1265" s="133" t="s">
        <v>1201</v>
      </c>
      <c r="F1265" s="133" t="s">
        <v>1117</v>
      </c>
      <c r="G1265" s="133" t="s">
        <v>1202</v>
      </c>
      <c r="H1265" s="133" t="s">
        <v>1203</v>
      </c>
      <c r="I1265" s="130" t="s">
        <v>1209</v>
      </c>
      <c r="J1265" s="130" t="s">
        <v>1210</v>
      </c>
      <c r="K1265" s="130" t="s">
        <v>1539</v>
      </c>
      <c r="L1265" s="130" t="s">
        <v>1905</v>
      </c>
      <c r="M1265" s="130" t="s">
        <v>1844</v>
      </c>
      <c r="N1265" s="130" t="s">
        <v>120</v>
      </c>
      <c r="O1265" s="130" t="s">
        <v>1860</v>
      </c>
      <c r="P1265" s="130" t="s">
        <v>1866</v>
      </c>
      <c r="Q1265" s="130" t="s">
        <v>1127</v>
      </c>
      <c r="R1265" s="130" t="s">
        <v>1191</v>
      </c>
      <c r="S1265" s="130" t="s">
        <v>1157</v>
      </c>
      <c r="T1265" s="130" t="s">
        <v>1847</v>
      </c>
      <c r="U1265" s="130">
        <v>1400</v>
      </c>
      <c r="V1265" s="131">
        <v>2950</v>
      </c>
      <c r="W1265" s="131">
        <v>4350</v>
      </c>
      <c r="X1265" s="131">
        <v>3410</v>
      </c>
      <c r="Y1265" s="131">
        <v>940</v>
      </c>
      <c r="Z1265" s="131">
        <v>1945.6</v>
      </c>
      <c r="AA1265" s="131">
        <v>2404.4</v>
      </c>
      <c r="AB1265" s="131">
        <v>1945.6</v>
      </c>
      <c r="AC1265" s="131">
        <v>2404.4</v>
      </c>
      <c r="AD1265" s="131">
        <v>1945.6</v>
      </c>
      <c r="AE1265" s="132">
        <v>2404.4</v>
      </c>
    </row>
    <row r="1266" spans="1:31" x14ac:dyDescent="0.2">
      <c r="A1266" s="133">
        <v>209</v>
      </c>
      <c r="B1266" s="133" t="s">
        <v>1841</v>
      </c>
      <c r="C1266" s="133" t="s">
        <v>1199</v>
      </c>
      <c r="D1266" s="133" t="s">
        <v>1904</v>
      </c>
      <c r="E1266" s="133" t="s">
        <v>1201</v>
      </c>
      <c r="F1266" s="133" t="s">
        <v>1117</v>
      </c>
      <c r="G1266" s="133" t="s">
        <v>1202</v>
      </c>
      <c r="H1266" s="133" t="s">
        <v>1203</v>
      </c>
      <c r="I1266" s="133" t="s">
        <v>1209</v>
      </c>
      <c r="J1266" s="133" t="s">
        <v>1210</v>
      </c>
      <c r="K1266" s="130" t="s">
        <v>1211</v>
      </c>
      <c r="L1266" s="130" t="s">
        <v>1905</v>
      </c>
      <c r="M1266" s="130" t="s">
        <v>1844</v>
      </c>
      <c r="N1266" s="130" t="s">
        <v>120</v>
      </c>
      <c r="O1266" s="130" t="s">
        <v>1860</v>
      </c>
      <c r="P1266" s="130" t="s">
        <v>1866</v>
      </c>
      <c r="Q1266" s="130" t="s">
        <v>1127</v>
      </c>
      <c r="R1266" s="130" t="s">
        <v>1191</v>
      </c>
      <c r="S1266" s="130" t="s">
        <v>1157</v>
      </c>
      <c r="T1266" s="130" t="s">
        <v>1847</v>
      </c>
      <c r="U1266" s="130">
        <v>1200</v>
      </c>
      <c r="V1266" s="131">
        <v>1450</v>
      </c>
      <c r="W1266" s="131">
        <v>2650</v>
      </c>
      <c r="X1266" s="131">
        <v>2320</v>
      </c>
      <c r="Y1266" s="131">
        <v>330</v>
      </c>
      <c r="Z1266" s="131">
        <v>1340</v>
      </c>
      <c r="AA1266" s="131">
        <v>1310</v>
      </c>
      <c r="AB1266" s="131">
        <v>1340</v>
      </c>
      <c r="AC1266" s="131">
        <v>1310</v>
      </c>
      <c r="AD1266" s="131">
        <v>1340</v>
      </c>
      <c r="AE1266" s="132">
        <v>1310</v>
      </c>
    </row>
    <row r="1267" spans="1:31" x14ac:dyDescent="0.2">
      <c r="A1267" s="133">
        <v>209</v>
      </c>
      <c r="B1267" s="133" t="s">
        <v>1841</v>
      </c>
      <c r="C1267" s="133" t="s">
        <v>1199</v>
      </c>
      <c r="D1267" s="133" t="s">
        <v>1904</v>
      </c>
      <c r="E1267" s="133" t="s">
        <v>1201</v>
      </c>
      <c r="F1267" s="133" t="s">
        <v>1117</v>
      </c>
      <c r="G1267" s="133" t="s">
        <v>1202</v>
      </c>
      <c r="H1267" s="133" t="s">
        <v>1203</v>
      </c>
      <c r="I1267" s="133" t="s">
        <v>1209</v>
      </c>
      <c r="J1267" s="133" t="s">
        <v>1210</v>
      </c>
      <c r="K1267" s="130" t="s">
        <v>1274</v>
      </c>
      <c r="L1267" s="130" t="s">
        <v>1905</v>
      </c>
      <c r="M1267" s="130" t="s">
        <v>1844</v>
      </c>
      <c r="N1267" s="130" t="s">
        <v>120</v>
      </c>
      <c r="O1267" s="130" t="s">
        <v>1860</v>
      </c>
      <c r="P1267" s="130" t="s">
        <v>1866</v>
      </c>
      <c r="Q1267" s="130" t="s">
        <v>1127</v>
      </c>
      <c r="R1267" s="130" t="s">
        <v>1191</v>
      </c>
      <c r="S1267" s="130" t="s">
        <v>1157</v>
      </c>
      <c r="T1267" s="130" t="s">
        <v>1847</v>
      </c>
      <c r="U1267" s="130">
        <v>766</v>
      </c>
      <c r="V1267" s="131">
        <v>0</v>
      </c>
      <c r="W1267" s="131">
        <v>766</v>
      </c>
      <c r="X1267" s="131">
        <v>500</v>
      </c>
      <c r="Y1267" s="131">
        <v>266</v>
      </c>
      <c r="Z1267" s="131">
        <v>250</v>
      </c>
      <c r="AA1267" s="131">
        <v>516</v>
      </c>
      <c r="AB1267" s="131">
        <v>250</v>
      </c>
      <c r="AC1267" s="131">
        <v>516</v>
      </c>
      <c r="AD1267" s="131">
        <v>250</v>
      </c>
      <c r="AE1267" s="132">
        <v>516</v>
      </c>
    </row>
    <row r="1268" spans="1:31" x14ac:dyDescent="0.2">
      <c r="A1268" s="133">
        <v>209</v>
      </c>
      <c r="B1268" s="133" t="s">
        <v>1841</v>
      </c>
      <c r="C1268" s="133" t="s">
        <v>1199</v>
      </c>
      <c r="D1268" s="133" t="s">
        <v>1904</v>
      </c>
      <c r="E1268" s="133" t="s">
        <v>1201</v>
      </c>
      <c r="F1268" s="133" t="s">
        <v>1117</v>
      </c>
      <c r="G1268" s="133" t="s">
        <v>1202</v>
      </c>
      <c r="H1268" s="133" t="s">
        <v>1203</v>
      </c>
      <c r="I1268" s="133" t="s">
        <v>1209</v>
      </c>
      <c r="J1268" s="130" t="s">
        <v>1340</v>
      </c>
      <c r="K1268" s="130" t="s">
        <v>1341</v>
      </c>
      <c r="L1268" s="130" t="s">
        <v>1905</v>
      </c>
      <c r="M1268" s="130" t="s">
        <v>1844</v>
      </c>
      <c r="N1268" s="130" t="s">
        <v>120</v>
      </c>
      <c r="O1268" s="130" t="s">
        <v>1860</v>
      </c>
      <c r="P1268" s="130" t="s">
        <v>1866</v>
      </c>
      <c r="Q1268" s="130" t="s">
        <v>1127</v>
      </c>
      <c r="R1268" s="130" t="s">
        <v>1191</v>
      </c>
      <c r="S1268" s="130" t="s">
        <v>1157</v>
      </c>
      <c r="T1268" s="130" t="s">
        <v>1847</v>
      </c>
      <c r="U1268" s="130">
        <v>1800</v>
      </c>
      <c r="V1268" s="131">
        <v>-1250</v>
      </c>
      <c r="W1268" s="131">
        <v>550</v>
      </c>
      <c r="X1268" s="131">
        <v>0</v>
      </c>
      <c r="Y1268" s="131">
        <v>550</v>
      </c>
      <c r="Z1268" s="131">
        <v>0</v>
      </c>
      <c r="AA1268" s="131">
        <v>550</v>
      </c>
      <c r="AB1268" s="131">
        <v>0</v>
      </c>
      <c r="AC1268" s="131">
        <v>550</v>
      </c>
      <c r="AD1268" s="131">
        <v>0</v>
      </c>
      <c r="AE1268" s="132">
        <v>550</v>
      </c>
    </row>
    <row r="1269" spans="1:31" x14ac:dyDescent="0.2">
      <c r="A1269" s="133">
        <v>209</v>
      </c>
      <c r="B1269" s="133" t="s">
        <v>1841</v>
      </c>
      <c r="C1269" s="133" t="s">
        <v>1199</v>
      </c>
      <c r="D1269" s="133" t="s">
        <v>1904</v>
      </c>
      <c r="E1269" s="133" t="s">
        <v>1201</v>
      </c>
      <c r="F1269" s="133" t="s">
        <v>1117</v>
      </c>
      <c r="G1269" s="133" t="s">
        <v>1202</v>
      </c>
      <c r="H1269" s="133" t="s">
        <v>1203</v>
      </c>
      <c r="I1269" s="130" t="s">
        <v>1309</v>
      </c>
      <c r="J1269" s="130" t="s">
        <v>1310</v>
      </c>
      <c r="K1269" s="130" t="s">
        <v>1310</v>
      </c>
      <c r="L1269" s="130" t="s">
        <v>1905</v>
      </c>
      <c r="M1269" s="130" t="s">
        <v>1844</v>
      </c>
      <c r="N1269" s="130" t="s">
        <v>120</v>
      </c>
      <c r="O1269" s="130" t="s">
        <v>1860</v>
      </c>
      <c r="P1269" s="130" t="s">
        <v>1866</v>
      </c>
      <c r="Q1269" s="130" t="s">
        <v>1127</v>
      </c>
      <c r="R1269" s="130" t="s">
        <v>1191</v>
      </c>
      <c r="S1269" s="130" t="s">
        <v>1157</v>
      </c>
      <c r="T1269" s="130" t="s">
        <v>1847</v>
      </c>
      <c r="U1269" s="130">
        <v>37391</v>
      </c>
      <c r="V1269" s="131">
        <v>0</v>
      </c>
      <c r="W1269" s="131">
        <v>37391</v>
      </c>
      <c r="X1269" s="131">
        <v>12600</v>
      </c>
      <c r="Y1269" s="131">
        <v>24791</v>
      </c>
      <c r="Z1269" s="131">
        <v>12600</v>
      </c>
      <c r="AA1269" s="131">
        <v>24791</v>
      </c>
      <c r="AB1269" s="131">
        <v>12600</v>
      </c>
      <c r="AC1269" s="131">
        <v>24791</v>
      </c>
      <c r="AD1269" s="131">
        <v>10400</v>
      </c>
      <c r="AE1269" s="132">
        <v>26991</v>
      </c>
    </row>
    <row r="1270" spans="1:31" x14ac:dyDescent="0.2">
      <c r="A1270" s="130">
        <v>210</v>
      </c>
      <c r="B1270" s="130" t="s">
        <v>1841</v>
      </c>
      <c r="C1270" s="130" t="s">
        <v>1199</v>
      </c>
      <c r="D1270" s="130" t="s">
        <v>1907</v>
      </c>
      <c r="E1270" s="130" t="s">
        <v>1201</v>
      </c>
      <c r="F1270" s="130" t="s">
        <v>1117</v>
      </c>
      <c r="G1270" s="130" t="s">
        <v>1880</v>
      </c>
      <c r="H1270" s="130" t="s">
        <v>1908</v>
      </c>
      <c r="I1270" s="130" t="s">
        <v>1909</v>
      </c>
      <c r="J1270" s="130" t="s">
        <v>1910</v>
      </c>
      <c r="K1270" s="130" t="s">
        <v>1911</v>
      </c>
      <c r="L1270" s="130" t="s">
        <v>1912</v>
      </c>
      <c r="M1270" s="130" t="s">
        <v>1844</v>
      </c>
      <c r="N1270" s="130" t="s">
        <v>120</v>
      </c>
      <c r="O1270" s="130" t="s">
        <v>1860</v>
      </c>
      <c r="P1270" s="130" t="s">
        <v>1913</v>
      </c>
      <c r="Q1270" s="130" t="s">
        <v>1127</v>
      </c>
      <c r="R1270" s="130" t="s">
        <v>1191</v>
      </c>
      <c r="S1270" s="130" t="s">
        <v>1191</v>
      </c>
      <c r="T1270" s="130" t="s">
        <v>1893</v>
      </c>
      <c r="U1270" s="130">
        <v>77042</v>
      </c>
      <c r="V1270" s="131">
        <v>0</v>
      </c>
      <c r="W1270" s="131">
        <v>77042</v>
      </c>
      <c r="X1270" s="131">
        <v>0</v>
      </c>
      <c r="Y1270" s="131">
        <v>77042</v>
      </c>
      <c r="Z1270" s="131">
        <v>0</v>
      </c>
      <c r="AA1270" s="131">
        <v>77042</v>
      </c>
      <c r="AB1270" s="131">
        <v>0</v>
      </c>
      <c r="AC1270" s="131">
        <v>77042</v>
      </c>
      <c r="AD1270" s="131">
        <v>0</v>
      </c>
      <c r="AE1270" s="132">
        <v>77042</v>
      </c>
    </row>
    <row r="1271" spans="1:31" x14ac:dyDescent="0.2">
      <c r="A1271" s="130">
        <v>211</v>
      </c>
      <c r="B1271" s="130" t="s">
        <v>1841</v>
      </c>
      <c r="C1271" s="130" t="s">
        <v>1199</v>
      </c>
      <c r="D1271" s="130" t="s">
        <v>1914</v>
      </c>
      <c r="E1271" s="130" t="s">
        <v>1201</v>
      </c>
      <c r="F1271" s="130" t="s">
        <v>1117</v>
      </c>
      <c r="G1271" s="130" t="s">
        <v>1276</v>
      </c>
      <c r="H1271" s="130" t="s">
        <v>1277</v>
      </c>
      <c r="I1271" s="130" t="s">
        <v>1278</v>
      </c>
      <c r="J1271" s="130" t="s">
        <v>1278</v>
      </c>
      <c r="K1271" s="130" t="s">
        <v>1279</v>
      </c>
      <c r="L1271" s="130" t="s">
        <v>1915</v>
      </c>
      <c r="M1271" s="130" t="s">
        <v>1844</v>
      </c>
      <c r="N1271" s="130" t="s">
        <v>120</v>
      </c>
      <c r="O1271" s="130" t="s">
        <v>1860</v>
      </c>
      <c r="P1271" s="130" t="s">
        <v>1916</v>
      </c>
      <c r="Q1271" s="130" t="s">
        <v>1127</v>
      </c>
      <c r="R1271" s="130" t="s">
        <v>1191</v>
      </c>
      <c r="S1271" s="130" t="s">
        <v>1157</v>
      </c>
      <c r="T1271" s="130" t="s">
        <v>1142</v>
      </c>
      <c r="U1271" s="130">
        <v>45734</v>
      </c>
      <c r="V1271" s="131">
        <v>0</v>
      </c>
      <c r="W1271" s="131">
        <v>45734</v>
      </c>
      <c r="X1271" s="131">
        <v>45734</v>
      </c>
      <c r="Y1271" s="131">
        <v>0</v>
      </c>
      <c r="Z1271" s="131">
        <v>45734</v>
      </c>
      <c r="AA1271" s="131">
        <v>0</v>
      </c>
      <c r="AB1271" s="131">
        <v>25615.149999999998</v>
      </c>
      <c r="AC1271" s="131">
        <v>20118.850000000002</v>
      </c>
      <c r="AD1271" s="131">
        <v>25615.149999999998</v>
      </c>
      <c r="AE1271" s="132">
        <v>20118.850000000002</v>
      </c>
    </row>
    <row r="1272" spans="1:31" x14ac:dyDescent="0.2">
      <c r="A1272" s="133">
        <v>211</v>
      </c>
      <c r="B1272" s="133" t="s">
        <v>1841</v>
      </c>
      <c r="C1272" s="133" t="s">
        <v>1199</v>
      </c>
      <c r="D1272" s="133" t="s">
        <v>1914</v>
      </c>
      <c r="E1272" s="133" t="s">
        <v>1201</v>
      </c>
      <c r="F1272" s="133" t="s">
        <v>1117</v>
      </c>
      <c r="G1272" s="133" t="s">
        <v>1276</v>
      </c>
      <c r="H1272" s="133" t="s">
        <v>1277</v>
      </c>
      <c r="I1272" s="133" t="s">
        <v>1278</v>
      </c>
      <c r="J1272" s="133" t="s">
        <v>1278</v>
      </c>
      <c r="K1272" s="130" t="s">
        <v>1281</v>
      </c>
      <c r="L1272" s="130" t="s">
        <v>1915</v>
      </c>
      <c r="M1272" s="130" t="s">
        <v>1844</v>
      </c>
      <c r="N1272" s="130" t="s">
        <v>120</v>
      </c>
      <c r="O1272" s="130" t="s">
        <v>1860</v>
      </c>
      <c r="P1272" s="130" t="s">
        <v>1916</v>
      </c>
      <c r="Q1272" s="130" t="s">
        <v>1127</v>
      </c>
      <c r="R1272" s="130" t="s">
        <v>1191</v>
      </c>
      <c r="S1272" s="130" t="s">
        <v>1157</v>
      </c>
      <c r="T1272" s="130" t="s">
        <v>1142</v>
      </c>
      <c r="U1272" s="130">
        <v>29428</v>
      </c>
      <c r="V1272" s="131">
        <v>0</v>
      </c>
      <c r="W1272" s="131">
        <v>29428</v>
      </c>
      <c r="X1272" s="131">
        <v>29428</v>
      </c>
      <c r="Y1272" s="131">
        <v>0</v>
      </c>
      <c r="Z1272" s="131">
        <v>29428</v>
      </c>
      <c r="AA1272" s="131">
        <v>0</v>
      </c>
      <c r="AB1272" s="131">
        <v>0</v>
      </c>
      <c r="AC1272" s="131">
        <v>29428</v>
      </c>
      <c r="AD1272" s="131">
        <v>0</v>
      </c>
      <c r="AE1272" s="132">
        <v>29428</v>
      </c>
    </row>
    <row r="1273" spans="1:31" x14ac:dyDescent="0.2">
      <c r="A1273" s="133">
        <v>211</v>
      </c>
      <c r="B1273" s="133" t="s">
        <v>1841</v>
      </c>
      <c r="C1273" s="133" t="s">
        <v>1199</v>
      </c>
      <c r="D1273" s="133" t="s">
        <v>1914</v>
      </c>
      <c r="E1273" s="133" t="s">
        <v>1201</v>
      </c>
      <c r="F1273" s="133" t="s">
        <v>1117</v>
      </c>
      <c r="G1273" s="133" t="s">
        <v>1276</v>
      </c>
      <c r="H1273" s="133" t="s">
        <v>1277</v>
      </c>
      <c r="I1273" s="133" t="s">
        <v>1278</v>
      </c>
      <c r="J1273" s="130" t="s">
        <v>1283</v>
      </c>
      <c r="K1273" s="130" t="s">
        <v>1284</v>
      </c>
      <c r="L1273" s="130" t="s">
        <v>1915</v>
      </c>
      <c r="M1273" s="130" t="s">
        <v>1844</v>
      </c>
      <c r="N1273" s="130" t="s">
        <v>120</v>
      </c>
      <c r="O1273" s="130" t="s">
        <v>1860</v>
      </c>
      <c r="P1273" s="130" t="s">
        <v>1916</v>
      </c>
      <c r="Q1273" s="130" t="s">
        <v>1127</v>
      </c>
      <c r="R1273" s="130" t="s">
        <v>1191</v>
      </c>
      <c r="S1273" s="130" t="s">
        <v>1157</v>
      </c>
      <c r="T1273" s="130" t="s">
        <v>1142</v>
      </c>
      <c r="U1273" s="130">
        <v>115861</v>
      </c>
      <c r="V1273" s="131">
        <v>0</v>
      </c>
      <c r="W1273" s="131">
        <v>115861</v>
      </c>
      <c r="X1273" s="131">
        <v>115861</v>
      </c>
      <c r="Y1273" s="131">
        <v>0</v>
      </c>
      <c r="Z1273" s="131">
        <v>115861</v>
      </c>
      <c r="AA1273" s="131">
        <v>0</v>
      </c>
      <c r="AB1273" s="131">
        <v>23058.95</v>
      </c>
      <c r="AC1273" s="131">
        <v>92802.05</v>
      </c>
      <c r="AD1273" s="131">
        <v>23058.95</v>
      </c>
      <c r="AE1273" s="132">
        <v>92802.05</v>
      </c>
    </row>
    <row r="1274" spans="1:31" x14ac:dyDescent="0.2">
      <c r="A1274" s="133">
        <v>211</v>
      </c>
      <c r="B1274" s="133" t="s">
        <v>1841</v>
      </c>
      <c r="C1274" s="133" t="s">
        <v>1199</v>
      </c>
      <c r="D1274" s="133" t="s">
        <v>1914</v>
      </c>
      <c r="E1274" s="133" t="s">
        <v>1201</v>
      </c>
      <c r="F1274" s="133" t="s">
        <v>1117</v>
      </c>
      <c r="G1274" s="133" t="s">
        <v>1276</v>
      </c>
      <c r="H1274" s="133" t="s">
        <v>1277</v>
      </c>
      <c r="I1274" s="130" t="s">
        <v>1285</v>
      </c>
      <c r="J1274" s="130" t="s">
        <v>1286</v>
      </c>
      <c r="K1274" s="130" t="s">
        <v>1287</v>
      </c>
      <c r="L1274" s="130" t="s">
        <v>1915</v>
      </c>
      <c r="M1274" s="130" t="s">
        <v>1844</v>
      </c>
      <c r="N1274" s="130" t="s">
        <v>120</v>
      </c>
      <c r="O1274" s="130" t="s">
        <v>1860</v>
      </c>
      <c r="P1274" s="130" t="s">
        <v>1916</v>
      </c>
      <c r="Q1274" s="130" t="s">
        <v>1127</v>
      </c>
      <c r="R1274" s="130" t="s">
        <v>1191</v>
      </c>
      <c r="S1274" s="130" t="s">
        <v>1157</v>
      </c>
      <c r="T1274" s="130" t="s">
        <v>1142</v>
      </c>
      <c r="U1274" s="130">
        <v>74311</v>
      </c>
      <c r="V1274" s="131">
        <v>3600</v>
      </c>
      <c r="W1274" s="131">
        <v>77911</v>
      </c>
      <c r="X1274" s="131">
        <v>77911</v>
      </c>
      <c r="Y1274" s="131">
        <v>0</v>
      </c>
      <c r="Z1274" s="131">
        <v>77911</v>
      </c>
      <c r="AA1274" s="131">
        <v>0</v>
      </c>
      <c r="AB1274" s="131">
        <v>32462.85</v>
      </c>
      <c r="AC1274" s="131">
        <v>45448.15</v>
      </c>
      <c r="AD1274" s="131">
        <v>32462.85</v>
      </c>
      <c r="AE1274" s="132">
        <v>45448.15</v>
      </c>
    </row>
    <row r="1275" spans="1:31" x14ac:dyDescent="0.2">
      <c r="A1275" s="133">
        <v>211</v>
      </c>
      <c r="B1275" s="133" t="s">
        <v>1841</v>
      </c>
      <c r="C1275" s="133" t="s">
        <v>1199</v>
      </c>
      <c r="D1275" s="133" t="s">
        <v>1914</v>
      </c>
      <c r="E1275" s="133" t="s">
        <v>1201</v>
      </c>
      <c r="F1275" s="133" t="s">
        <v>1117</v>
      </c>
      <c r="G1275" s="133" t="s">
        <v>1276</v>
      </c>
      <c r="H1275" s="133" t="s">
        <v>1277</v>
      </c>
      <c r="I1275" s="130" t="s">
        <v>1288</v>
      </c>
      <c r="J1275" s="130" t="s">
        <v>1289</v>
      </c>
      <c r="K1275" s="130" t="s">
        <v>1290</v>
      </c>
      <c r="L1275" s="130" t="s">
        <v>1915</v>
      </c>
      <c r="M1275" s="130" t="s">
        <v>1844</v>
      </c>
      <c r="N1275" s="130" t="s">
        <v>120</v>
      </c>
      <c r="O1275" s="130" t="s">
        <v>1860</v>
      </c>
      <c r="P1275" s="130" t="s">
        <v>1916</v>
      </c>
      <c r="Q1275" s="130" t="s">
        <v>1127</v>
      </c>
      <c r="R1275" s="130" t="s">
        <v>1191</v>
      </c>
      <c r="S1275" s="130" t="s">
        <v>1157</v>
      </c>
      <c r="T1275" s="130" t="s">
        <v>1142</v>
      </c>
      <c r="U1275" s="130">
        <v>3600</v>
      </c>
      <c r="V1275" s="131">
        <v>0</v>
      </c>
      <c r="W1275" s="131">
        <v>3600</v>
      </c>
      <c r="X1275" s="131">
        <v>3600</v>
      </c>
      <c r="Y1275" s="131">
        <v>0</v>
      </c>
      <c r="Z1275" s="131">
        <v>3600</v>
      </c>
      <c r="AA1275" s="131">
        <v>0</v>
      </c>
      <c r="AB1275" s="131">
        <v>0</v>
      </c>
      <c r="AC1275" s="131">
        <v>3600</v>
      </c>
      <c r="AD1275" s="131">
        <v>0</v>
      </c>
      <c r="AE1275" s="132">
        <v>3600</v>
      </c>
    </row>
    <row r="1276" spans="1:31" x14ac:dyDescent="0.2">
      <c r="A1276" s="133">
        <v>211</v>
      </c>
      <c r="B1276" s="133" t="s">
        <v>1841</v>
      </c>
      <c r="C1276" s="133" t="s">
        <v>1199</v>
      </c>
      <c r="D1276" s="133" t="s">
        <v>1914</v>
      </c>
      <c r="E1276" s="133" t="s">
        <v>1201</v>
      </c>
      <c r="F1276" s="133" t="s">
        <v>1117</v>
      </c>
      <c r="G1276" s="133" t="s">
        <v>1276</v>
      </c>
      <c r="H1276" s="133" t="s">
        <v>1277</v>
      </c>
      <c r="I1276" s="133" t="s">
        <v>1288</v>
      </c>
      <c r="J1276" s="133" t="s">
        <v>1289</v>
      </c>
      <c r="K1276" s="130" t="s">
        <v>1291</v>
      </c>
      <c r="L1276" s="130" t="s">
        <v>1915</v>
      </c>
      <c r="M1276" s="130" t="s">
        <v>1844</v>
      </c>
      <c r="N1276" s="130" t="s">
        <v>120</v>
      </c>
      <c r="O1276" s="130" t="s">
        <v>1860</v>
      </c>
      <c r="P1276" s="130" t="s">
        <v>1916</v>
      </c>
      <c r="Q1276" s="130" t="s">
        <v>1127</v>
      </c>
      <c r="R1276" s="130" t="s">
        <v>1191</v>
      </c>
      <c r="S1276" s="130" t="s">
        <v>1157</v>
      </c>
      <c r="T1276" s="130" t="s">
        <v>1142</v>
      </c>
      <c r="U1276" s="130">
        <v>2400</v>
      </c>
      <c r="V1276" s="131">
        <v>-800</v>
      </c>
      <c r="W1276" s="131">
        <v>1600</v>
      </c>
      <c r="X1276" s="131">
        <v>1600</v>
      </c>
      <c r="Y1276" s="131">
        <v>0</v>
      </c>
      <c r="Z1276" s="131">
        <v>1600</v>
      </c>
      <c r="AA1276" s="131">
        <v>0</v>
      </c>
      <c r="AB1276" s="131">
        <v>1200</v>
      </c>
      <c r="AC1276" s="131">
        <v>400</v>
      </c>
      <c r="AD1276" s="131">
        <v>1200</v>
      </c>
      <c r="AE1276" s="132">
        <v>400</v>
      </c>
    </row>
    <row r="1277" spans="1:31" x14ac:dyDescent="0.2">
      <c r="A1277" s="133">
        <v>211</v>
      </c>
      <c r="B1277" s="133" t="s">
        <v>1841</v>
      </c>
      <c r="C1277" s="133" t="s">
        <v>1199</v>
      </c>
      <c r="D1277" s="133" t="s">
        <v>1914</v>
      </c>
      <c r="E1277" s="133" t="s">
        <v>1201</v>
      </c>
      <c r="F1277" s="133" t="s">
        <v>1117</v>
      </c>
      <c r="G1277" s="133" t="s">
        <v>1276</v>
      </c>
      <c r="H1277" s="133" t="s">
        <v>1277</v>
      </c>
      <c r="I1277" s="133" t="s">
        <v>1288</v>
      </c>
      <c r="J1277" s="133" t="s">
        <v>1289</v>
      </c>
      <c r="K1277" s="130" t="s">
        <v>1292</v>
      </c>
      <c r="L1277" s="130" t="s">
        <v>1915</v>
      </c>
      <c r="M1277" s="130" t="s">
        <v>1844</v>
      </c>
      <c r="N1277" s="130" t="s">
        <v>120</v>
      </c>
      <c r="O1277" s="130" t="s">
        <v>1860</v>
      </c>
      <c r="P1277" s="130" t="s">
        <v>1916</v>
      </c>
      <c r="Q1277" s="130" t="s">
        <v>1127</v>
      </c>
      <c r="R1277" s="130" t="s">
        <v>1191</v>
      </c>
      <c r="S1277" s="130" t="s">
        <v>1157</v>
      </c>
      <c r="T1277" s="130" t="s">
        <v>1142</v>
      </c>
      <c r="U1277" s="130">
        <v>1800</v>
      </c>
      <c r="V1277" s="131">
        <v>0</v>
      </c>
      <c r="W1277" s="131">
        <v>1800</v>
      </c>
      <c r="X1277" s="131">
        <v>1800</v>
      </c>
      <c r="Y1277" s="131">
        <v>0</v>
      </c>
      <c r="Z1277" s="131">
        <v>1800</v>
      </c>
      <c r="AA1277" s="131">
        <v>0</v>
      </c>
      <c r="AB1277" s="131">
        <v>0</v>
      </c>
      <c r="AC1277" s="131">
        <v>1800</v>
      </c>
      <c r="AD1277" s="131">
        <v>0</v>
      </c>
      <c r="AE1277" s="132">
        <v>1800</v>
      </c>
    </row>
    <row r="1278" spans="1:31" x14ac:dyDescent="0.2">
      <c r="A1278" s="133">
        <v>211</v>
      </c>
      <c r="B1278" s="133" t="s">
        <v>1841</v>
      </c>
      <c r="C1278" s="133" t="s">
        <v>1199</v>
      </c>
      <c r="D1278" s="133" t="s">
        <v>1914</v>
      </c>
      <c r="E1278" s="133" t="s">
        <v>1201</v>
      </c>
      <c r="F1278" s="133" t="s">
        <v>1117</v>
      </c>
      <c r="G1278" s="133" t="s">
        <v>1276</v>
      </c>
      <c r="H1278" s="130" t="s">
        <v>1293</v>
      </c>
      <c r="I1278" s="130" t="s">
        <v>1294</v>
      </c>
      <c r="J1278" s="130" t="s">
        <v>1295</v>
      </c>
      <c r="K1278" s="130" t="s">
        <v>1296</v>
      </c>
      <c r="L1278" s="130" t="s">
        <v>1915</v>
      </c>
      <c r="M1278" s="130" t="s">
        <v>1844</v>
      </c>
      <c r="N1278" s="130" t="s">
        <v>120</v>
      </c>
      <c r="O1278" s="130" t="s">
        <v>1860</v>
      </c>
      <c r="P1278" s="130" t="s">
        <v>1916</v>
      </c>
      <c r="Q1278" s="130" t="s">
        <v>1127</v>
      </c>
      <c r="R1278" s="130" t="s">
        <v>1191</v>
      </c>
      <c r="S1278" s="130" t="s">
        <v>1157</v>
      </c>
      <c r="T1278" s="130" t="s">
        <v>1142</v>
      </c>
      <c r="U1278" s="130">
        <v>3696</v>
      </c>
      <c r="V1278" s="131">
        <v>0</v>
      </c>
      <c r="W1278" s="131">
        <v>3696</v>
      </c>
      <c r="X1278" s="131">
        <v>0</v>
      </c>
      <c r="Y1278" s="131">
        <v>3696</v>
      </c>
      <c r="Z1278" s="131">
        <v>0</v>
      </c>
      <c r="AA1278" s="131">
        <v>3696</v>
      </c>
      <c r="AB1278" s="131">
        <v>0</v>
      </c>
      <c r="AC1278" s="131">
        <v>3696</v>
      </c>
      <c r="AD1278" s="131">
        <v>0</v>
      </c>
      <c r="AE1278" s="132">
        <v>3696</v>
      </c>
    </row>
    <row r="1279" spans="1:31" x14ac:dyDescent="0.2">
      <c r="A1279" s="133">
        <v>211</v>
      </c>
      <c r="B1279" s="133" t="s">
        <v>1841</v>
      </c>
      <c r="C1279" s="133" t="s">
        <v>1199</v>
      </c>
      <c r="D1279" s="133" t="s">
        <v>1914</v>
      </c>
      <c r="E1279" s="133" t="s">
        <v>1201</v>
      </c>
      <c r="F1279" s="133" t="s">
        <v>1117</v>
      </c>
      <c r="G1279" s="133" t="s">
        <v>1276</v>
      </c>
      <c r="H1279" s="130" t="s">
        <v>1297</v>
      </c>
      <c r="I1279" s="130" t="s">
        <v>1298</v>
      </c>
      <c r="J1279" s="130" t="s">
        <v>1298</v>
      </c>
      <c r="K1279" s="130" t="s">
        <v>1299</v>
      </c>
      <c r="L1279" s="130" t="s">
        <v>1915</v>
      </c>
      <c r="M1279" s="130" t="s">
        <v>1844</v>
      </c>
      <c r="N1279" s="130" t="s">
        <v>120</v>
      </c>
      <c r="O1279" s="130" t="s">
        <v>1860</v>
      </c>
      <c r="P1279" s="130" t="s">
        <v>1916</v>
      </c>
      <c r="Q1279" s="130" t="s">
        <v>1127</v>
      </c>
      <c r="R1279" s="130" t="s">
        <v>1191</v>
      </c>
      <c r="S1279" s="130" t="s">
        <v>1157</v>
      </c>
      <c r="T1279" s="130" t="s">
        <v>1142</v>
      </c>
      <c r="U1279" s="130">
        <v>6026</v>
      </c>
      <c r="V1279" s="131">
        <v>267</v>
      </c>
      <c r="W1279" s="131">
        <v>6293</v>
      </c>
      <c r="X1279" s="131">
        <v>6293</v>
      </c>
      <c r="Y1279" s="131">
        <v>0</v>
      </c>
      <c r="Z1279" s="131">
        <v>6293</v>
      </c>
      <c r="AA1279" s="131">
        <v>0</v>
      </c>
      <c r="AB1279" s="131">
        <v>2348.7000000000003</v>
      </c>
      <c r="AC1279" s="131">
        <v>3944.2999999999997</v>
      </c>
      <c r="AD1279" s="131">
        <v>2348.7000000000003</v>
      </c>
      <c r="AE1279" s="132">
        <v>3944.2999999999997</v>
      </c>
    </row>
    <row r="1280" spans="1:31" x14ac:dyDescent="0.2">
      <c r="A1280" s="133">
        <v>211</v>
      </c>
      <c r="B1280" s="133" t="s">
        <v>1841</v>
      </c>
      <c r="C1280" s="133" t="s">
        <v>1199</v>
      </c>
      <c r="D1280" s="133" t="s">
        <v>1914</v>
      </c>
      <c r="E1280" s="133" t="s">
        <v>1201</v>
      </c>
      <c r="F1280" s="133" t="s">
        <v>1117</v>
      </c>
      <c r="G1280" s="133" t="s">
        <v>1276</v>
      </c>
      <c r="H1280" s="133" t="s">
        <v>1297</v>
      </c>
      <c r="I1280" s="133" t="s">
        <v>1298</v>
      </c>
      <c r="J1280" s="133" t="s">
        <v>1298</v>
      </c>
      <c r="K1280" s="130" t="s">
        <v>1300</v>
      </c>
      <c r="L1280" s="130" t="s">
        <v>1915</v>
      </c>
      <c r="M1280" s="130" t="s">
        <v>1844</v>
      </c>
      <c r="N1280" s="130" t="s">
        <v>120</v>
      </c>
      <c r="O1280" s="130" t="s">
        <v>1860</v>
      </c>
      <c r="P1280" s="130" t="s">
        <v>1916</v>
      </c>
      <c r="Q1280" s="130" t="s">
        <v>1127</v>
      </c>
      <c r="R1280" s="130" t="s">
        <v>1191</v>
      </c>
      <c r="S1280" s="130" t="s">
        <v>1157</v>
      </c>
      <c r="T1280" s="130" t="s">
        <v>1142</v>
      </c>
      <c r="U1280" s="130">
        <v>6202</v>
      </c>
      <c r="V1280" s="131">
        <v>914</v>
      </c>
      <c r="W1280" s="131">
        <v>7116</v>
      </c>
      <c r="X1280" s="131">
        <v>7116</v>
      </c>
      <c r="Y1280" s="131">
        <v>0</v>
      </c>
      <c r="Z1280" s="131">
        <v>7116</v>
      </c>
      <c r="AA1280" s="131">
        <v>0</v>
      </c>
      <c r="AB1280" s="131">
        <v>2881.5499999999997</v>
      </c>
      <c r="AC1280" s="131">
        <v>4234.4500000000007</v>
      </c>
      <c r="AD1280" s="131">
        <v>2881.5499999999997</v>
      </c>
      <c r="AE1280" s="132">
        <v>4234.4500000000007</v>
      </c>
    </row>
    <row r="1281" spans="1:31" x14ac:dyDescent="0.2">
      <c r="A1281" s="133">
        <v>211</v>
      </c>
      <c r="B1281" s="133" t="s">
        <v>1841</v>
      </c>
      <c r="C1281" s="133" t="s">
        <v>1199</v>
      </c>
      <c r="D1281" s="133" t="s">
        <v>1914</v>
      </c>
      <c r="E1281" s="133" t="s">
        <v>1201</v>
      </c>
      <c r="F1281" s="133" t="s">
        <v>1117</v>
      </c>
      <c r="G1281" s="133" t="s">
        <v>1276</v>
      </c>
      <c r="H1281" s="130" t="s">
        <v>1514</v>
      </c>
      <c r="I1281" s="130" t="s">
        <v>1515</v>
      </c>
      <c r="J1281" s="130" t="s">
        <v>1515</v>
      </c>
      <c r="K1281" s="130" t="s">
        <v>1518</v>
      </c>
      <c r="L1281" s="130" t="s">
        <v>1915</v>
      </c>
      <c r="M1281" s="130" t="s">
        <v>1844</v>
      </c>
      <c r="N1281" s="130" t="s">
        <v>120</v>
      </c>
      <c r="O1281" s="130" t="s">
        <v>1860</v>
      </c>
      <c r="P1281" s="130" t="s">
        <v>1916</v>
      </c>
      <c r="Q1281" s="130" t="s">
        <v>1127</v>
      </c>
      <c r="R1281" s="130" t="s">
        <v>1191</v>
      </c>
      <c r="S1281" s="130" t="s">
        <v>1157</v>
      </c>
      <c r="T1281" s="130" t="s">
        <v>1142</v>
      </c>
      <c r="U1281" s="130">
        <v>0</v>
      </c>
      <c r="V1281" s="131">
        <v>2815</v>
      </c>
      <c r="W1281" s="131">
        <v>2815</v>
      </c>
      <c r="X1281" s="131">
        <v>2814.48</v>
      </c>
      <c r="Y1281" s="131">
        <v>0.51999999999998181</v>
      </c>
      <c r="Z1281" s="131">
        <v>2814.48</v>
      </c>
      <c r="AA1281" s="131">
        <v>0.51999999999998181</v>
      </c>
      <c r="AB1281" s="131">
        <v>2814.48</v>
      </c>
      <c r="AC1281" s="131">
        <v>0.51999999999998181</v>
      </c>
      <c r="AD1281" s="131">
        <v>2814.48</v>
      </c>
      <c r="AE1281" s="132">
        <v>0.51999999999998181</v>
      </c>
    </row>
    <row r="1282" spans="1:31" x14ac:dyDescent="0.2">
      <c r="A1282" s="133">
        <v>211</v>
      </c>
      <c r="B1282" s="133" t="s">
        <v>1841</v>
      </c>
      <c r="C1282" s="133" t="s">
        <v>1199</v>
      </c>
      <c r="D1282" s="133" t="s">
        <v>1914</v>
      </c>
      <c r="E1282" s="133" t="s">
        <v>1201</v>
      </c>
      <c r="F1282" s="133" t="s">
        <v>1117</v>
      </c>
      <c r="G1282" s="130" t="s">
        <v>1202</v>
      </c>
      <c r="H1282" s="130" t="s">
        <v>1216</v>
      </c>
      <c r="I1282" s="130" t="s">
        <v>1301</v>
      </c>
      <c r="J1282" s="130" t="s">
        <v>1301</v>
      </c>
      <c r="K1282" s="130" t="s">
        <v>1302</v>
      </c>
      <c r="L1282" s="130" t="s">
        <v>1915</v>
      </c>
      <c r="M1282" s="130" t="s">
        <v>1844</v>
      </c>
      <c r="N1282" s="130" t="s">
        <v>120</v>
      </c>
      <c r="O1282" s="130" t="s">
        <v>1860</v>
      </c>
      <c r="P1282" s="130" t="s">
        <v>1916</v>
      </c>
      <c r="Q1282" s="130" t="s">
        <v>1127</v>
      </c>
      <c r="R1282" s="130" t="s">
        <v>1191</v>
      </c>
      <c r="S1282" s="130" t="s">
        <v>1157</v>
      </c>
      <c r="T1282" s="130" t="s">
        <v>1142</v>
      </c>
      <c r="U1282" s="130">
        <v>11950</v>
      </c>
      <c r="V1282" s="131">
        <v>0</v>
      </c>
      <c r="W1282" s="131">
        <v>11950</v>
      </c>
      <c r="X1282" s="131">
        <v>9000</v>
      </c>
      <c r="Y1282" s="131">
        <v>2950</v>
      </c>
      <c r="Z1282" s="131">
        <v>9000</v>
      </c>
      <c r="AA1282" s="131">
        <v>2950</v>
      </c>
      <c r="AB1282" s="131">
        <v>9000</v>
      </c>
      <c r="AC1282" s="131">
        <v>2950</v>
      </c>
      <c r="AD1282" s="131">
        <v>9000</v>
      </c>
      <c r="AE1282" s="132">
        <v>2950</v>
      </c>
    </row>
    <row r="1283" spans="1:31" x14ac:dyDescent="0.2">
      <c r="A1283" s="133">
        <v>211</v>
      </c>
      <c r="B1283" s="133" t="s">
        <v>1841</v>
      </c>
      <c r="C1283" s="133" t="s">
        <v>1199</v>
      </c>
      <c r="D1283" s="133" t="s">
        <v>1914</v>
      </c>
      <c r="E1283" s="133" t="s">
        <v>1201</v>
      </c>
      <c r="F1283" s="133" t="s">
        <v>1117</v>
      </c>
      <c r="G1283" s="133" t="s">
        <v>1202</v>
      </c>
      <c r="H1283" s="133" t="s">
        <v>1216</v>
      </c>
      <c r="I1283" s="130" t="s">
        <v>1242</v>
      </c>
      <c r="J1283" s="130" t="s">
        <v>1243</v>
      </c>
      <c r="K1283" s="130" t="s">
        <v>1303</v>
      </c>
      <c r="L1283" s="130" t="s">
        <v>1915</v>
      </c>
      <c r="M1283" s="130" t="s">
        <v>1844</v>
      </c>
      <c r="N1283" s="130" t="s">
        <v>120</v>
      </c>
      <c r="O1283" s="130" t="s">
        <v>1860</v>
      </c>
      <c r="P1283" s="130" t="s">
        <v>1916</v>
      </c>
      <c r="Q1283" s="130" t="s">
        <v>1127</v>
      </c>
      <c r="R1283" s="130" t="s">
        <v>1191</v>
      </c>
      <c r="S1283" s="130" t="s">
        <v>1157</v>
      </c>
      <c r="T1283" s="130" t="s">
        <v>1142</v>
      </c>
      <c r="U1283" s="130">
        <v>4201</v>
      </c>
      <c r="V1283" s="131">
        <v>0</v>
      </c>
      <c r="W1283" s="131">
        <v>4201</v>
      </c>
      <c r="X1283" s="131">
        <v>3844.8</v>
      </c>
      <c r="Y1283" s="131">
        <v>356.19999999999982</v>
      </c>
      <c r="Z1283" s="131">
        <v>3844.8</v>
      </c>
      <c r="AA1283" s="131">
        <v>356.19999999999982</v>
      </c>
      <c r="AB1283" s="131">
        <v>3844.8</v>
      </c>
      <c r="AC1283" s="131">
        <v>356.19999999999982</v>
      </c>
      <c r="AD1283" s="131">
        <v>0</v>
      </c>
      <c r="AE1283" s="132">
        <v>4201</v>
      </c>
    </row>
    <row r="1284" spans="1:31" x14ac:dyDescent="0.2">
      <c r="A1284" s="133">
        <v>211</v>
      </c>
      <c r="B1284" s="133" t="s">
        <v>1841</v>
      </c>
      <c r="C1284" s="133" t="s">
        <v>1199</v>
      </c>
      <c r="D1284" s="133" t="s">
        <v>1914</v>
      </c>
      <c r="E1284" s="133" t="s">
        <v>1201</v>
      </c>
      <c r="F1284" s="133" t="s">
        <v>1117</v>
      </c>
      <c r="G1284" s="133" t="s">
        <v>1202</v>
      </c>
      <c r="H1284" s="133" t="s">
        <v>1216</v>
      </c>
      <c r="I1284" s="130" t="s">
        <v>1222</v>
      </c>
      <c r="J1284" s="130" t="s">
        <v>1304</v>
      </c>
      <c r="K1284" s="130" t="s">
        <v>1248</v>
      </c>
      <c r="L1284" s="130" t="s">
        <v>1915</v>
      </c>
      <c r="M1284" s="130" t="s">
        <v>1844</v>
      </c>
      <c r="N1284" s="130" t="s">
        <v>120</v>
      </c>
      <c r="O1284" s="130" t="s">
        <v>1860</v>
      </c>
      <c r="P1284" s="130" t="s">
        <v>1916</v>
      </c>
      <c r="Q1284" s="130" t="s">
        <v>1127</v>
      </c>
      <c r="R1284" s="130" t="s">
        <v>1191</v>
      </c>
      <c r="S1284" s="130" t="s">
        <v>1157</v>
      </c>
      <c r="T1284" s="130" t="s">
        <v>1142</v>
      </c>
      <c r="U1284" s="130">
        <v>4850</v>
      </c>
      <c r="V1284" s="131">
        <v>-4850</v>
      </c>
      <c r="W1284" s="131">
        <v>0</v>
      </c>
      <c r="X1284" s="131">
        <v>0</v>
      </c>
      <c r="Y1284" s="131">
        <v>0</v>
      </c>
      <c r="Z1284" s="131">
        <v>0</v>
      </c>
      <c r="AA1284" s="131">
        <v>0</v>
      </c>
      <c r="AB1284" s="131">
        <v>0</v>
      </c>
      <c r="AC1284" s="131">
        <v>0</v>
      </c>
      <c r="AD1284" s="131">
        <v>0</v>
      </c>
      <c r="AE1284" s="132">
        <v>0</v>
      </c>
    </row>
    <row r="1285" spans="1:31" x14ac:dyDescent="0.2">
      <c r="A1285" s="133">
        <v>211</v>
      </c>
      <c r="B1285" s="133" t="s">
        <v>1841</v>
      </c>
      <c r="C1285" s="133" t="s">
        <v>1199</v>
      </c>
      <c r="D1285" s="133" t="s">
        <v>1914</v>
      </c>
      <c r="E1285" s="133" t="s">
        <v>1201</v>
      </c>
      <c r="F1285" s="133" t="s">
        <v>1117</v>
      </c>
      <c r="G1285" s="133" t="s">
        <v>1202</v>
      </c>
      <c r="H1285" s="133" t="s">
        <v>1216</v>
      </c>
      <c r="I1285" s="133" t="s">
        <v>1222</v>
      </c>
      <c r="J1285" s="133" t="s">
        <v>1304</v>
      </c>
      <c r="K1285" s="130" t="s">
        <v>1305</v>
      </c>
      <c r="L1285" s="130" t="s">
        <v>1915</v>
      </c>
      <c r="M1285" s="130" t="s">
        <v>1844</v>
      </c>
      <c r="N1285" s="130" t="s">
        <v>120</v>
      </c>
      <c r="O1285" s="130" t="s">
        <v>1860</v>
      </c>
      <c r="P1285" s="130" t="s">
        <v>1916</v>
      </c>
      <c r="Q1285" s="130" t="s">
        <v>1127</v>
      </c>
      <c r="R1285" s="130" t="s">
        <v>1191</v>
      </c>
      <c r="S1285" s="130" t="s">
        <v>1157</v>
      </c>
      <c r="T1285" s="130" t="s">
        <v>1142</v>
      </c>
      <c r="U1285" s="130">
        <v>23000</v>
      </c>
      <c r="V1285" s="131">
        <v>-22000</v>
      </c>
      <c r="W1285" s="131">
        <v>1000</v>
      </c>
      <c r="X1285" s="131">
        <v>0</v>
      </c>
      <c r="Y1285" s="131">
        <v>1000</v>
      </c>
      <c r="Z1285" s="131">
        <v>0</v>
      </c>
      <c r="AA1285" s="131">
        <v>1000</v>
      </c>
      <c r="AB1285" s="131">
        <v>0</v>
      </c>
      <c r="AC1285" s="131">
        <v>1000</v>
      </c>
      <c r="AD1285" s="131">
        <v>0</v>
      </c>
      <c r="AE1285" s="132">
        <v>1000</v>
      </c>
    </row>
    <row r="1286" spans="1:31" x14ac:dyDescent="0.2">
      <c r="A1286" s="133">
        <v>211</v>
      </c>
      <c r="B1286" s="133" t="s">
        <v>1841</v>
      </c>
      <c r="C1286" s="133" t="s">
        <v>1199</v>
      </c>
      <c r="D1286" s="133" t="s">
        <v>1914</v>
      </c>
      <c r="E1286" s="133" t="s">
        <v>1201</v>
      </c>
      <c r="F1286" s="133" t="s">
        <v>1117</v>
      </c>
      <c r="G1286" s="133" t="s">
        <v>1202</v>
      </c>
      <c r="H1286" s="133" t="s">
        <v>1216</v>
      </c>
      <c r="I1286" s="133" t="s">
        <v>1222</v>
      </c>
      <c r="J1286" s="130" t="s">
        <v>1245</v>
      </c>
      <c r="K1286" s="130" t="s">
        <v>1246</v>
      </c>
      <c r="L1286" s="130" t="s">
        <v>1915</v>
      </c>
      <c r="M1286" s="130" t="s">
        <v>1844</v>
      </c>
      <c r="N1286" s="130" t="s">
        <v>120</v>
      </c>
      <c r="O1286" s="130" t="s">
        <v>1860</v>
      </c>
      <c r="P1286" s="130" t="s">
        <v>1916</v>
      </c>
      <c r="Q1286" s="130" t="s">
        <v>1127</v>
      </c>
      <c r="R1286" s="130" t="s">
        <v>1191</v>
      </c>
      <c r="S1286" s="130" t="s">
        <v>1157</v>
      </c>
      <c r="T1286" s="130" t="s">
        <v>1142</v>
      </c>
      <c r="U1286" s="130">
        <v>1000</v>
      </c>
      <c r="V1286" s="131">
        <v>-1000</v>
      </c>
      <c r="W1286" s="131">
        <v>0</v>
      </c>
      <c r="X1286" s="131">
        <v>0</v>
      </c>
      <c r="Y1286" s="131">
        <v>0</v>
      </c>
      <c r="Z1286" s="131">
        <v>0</v>
      </c>
      <c r="AA1286" s="131">
        <v>0</v>
      </c>
      <c r="AB1286" s="131">
        <v>0</v>
      </c>
      <c r="AC1286" s="131">
        <v>0</v>
      </c>
      <c r="AD1286" s="131">
        <v>0</v>
      </c>
      <c r="AE1286" s="132">
        <v>0</v>
      </c>
    </row>
    <row r="1287" spans="1:31" x14ac:dyDescent="0.2">
      <c r="A1287" s="133">
        <v>211</v>
      </c>
      <c r="B1287" s="133" t="s">
        <v>1841</v>
      </c>
      <c r="C1287" s="133" t="s">
        <v>1199</v>
      </c>
      <c r="D1287" s="133" t="s">
        <v>1914</v>
      </c>
      <c r="E1287" s="133" t="s">
        <v>1201</v>
      </c>
      <c r="F1287" s="133" t="s">
        <v>1117</v>
      </c>
      <c r="G1287" s="133" t="s">
        <v>1202</v>
      </c>
      <c r="H1287" s="133" t="s">
        <v>1216</v>
      </c>
      <c r="I1287" s="130" t="s">
        <v>1247</v>
      </c>
      <c r="J1287" s="130" t="s">
        <v>1248</v>
      </c>
      <c r="K1287" s="130" t="s">
        <v>1249</v>
      </c>
      <c r="L1287" s="130" t="s">
        <v>1915</v>
      </c>
      <c r="M1287" s="130" t="s">
        <v>1844</v>
      </c>
      <c r="N1287" s="130" t="s">
        <v>120</v>
      </c>
      <c r="O1287" s="130" t="s">
        <v>1860</v>
      </c>
      <c r="P1287" s="130" t="s">
        <v>1916</v>
      </c>
      <c r="Q1287" s="130" t="s">
        <v>1127</v>
      </c>
      <c r="R1287" s="130" t="s">
        <v>1191</v>
      </c>
      <c r="S1287" s="130" t="s">
        <v>1157</v>
      </c>
      <c r="T1287" s="130" t="s">
        <v>1142</v>
      </c>
      <c r="U1287" s="130">
        <v>3000</v>
      </c>
      <c r="V1287" s="131">
        <v>0</v>
      </c>
      <c r="W1287" s="131">
        <v>3000</v>
      </c>
      <c r="X1287" s="131">
        <v>3000</v>
      </c>
      <c r="Y1287" s="131">
        <v>0</v>
      </c>
      <c r="Z1287" s="131">
        <v>1000</v>
      </c>
      <c r="AA1287" s="131">
        <v>2000</v>
      </c>
      <c r="AB1287" s="131">
        <v>1000</v>
      </c>
      <c r="AC1287" s="131">
        <v>2000</v>
      </c>
      <c r="AD1287" s="131">
        <v>1000</v>
      </c>
      <c r="AE1287" s="132">
        <v>2000</v>
      </c>
    </row>
    <row r="1288" spans="1:31" x14ac:dyDescent="0.2">
      <c r="A1288" s="133">
        <v>211</v>
      </c>
      <c r="B1288" s="133" t="s">
        <v>1841</v>
      </c>
      <c r="C1288" s="133" t="s">
        <v>1199</v>
      </c>
      <c r="D1288" s="133" t="s">
        <v>1914</v>
      </c>
      <c r="E1288" s="133" t="s">
        <v>1201</v>
      </c>
      <c r="F1288" s="133" t="s">
        <v>1117</v>
      </c>
      <c r="G1288" s="133" t="s">
        <v>1202</v>
      </c>
      <c r="H1288" s="130" t="s">
        <v>1203</v>
      </c>
      <c r="I1288" s="130" t="s">
        <v>1204</v>
      </c>
      <c r="J1288" s="130" t="s">
        <v>1205</v>
      </c>
      <c r="K1288" s="130" t="s">
        <v>1256</v>
      </c>
      <c r="L1288" s="130" t="s">
        <v>1915</v>
      </c>
      <c r="M1288" s="130" t="s">
        <v>1844</v>
      </c>
      <c r="N1288" s="130" t="s">
        <v>120</v>
      </c>
      <c r="O1288" s="130" t="s">
        <v>1860</v>
      </c>
      <c r="P1288" s="130" t="s">
        <v>1916</v>
      </c>
      <c r="Q1288" s="130" t="s">
        <v>1127</v>
      </c>
      <c r="R1288" s="130" t="s">
        <v>1191</v>
      </c>
      <c r="S1288" s="130" t="s">
        <v>1157</v>
      </c>
      <c r="T1288" s="130" t="s">
        <v>1142</v>
      </c>
      <c r="U1288" s="130">
        <v>3634</v>
      </c>
      <c r="V1288" s="131">
        <v>-2000</v>
      </c>
      <c r="W1288" s="131">
        <v>1634</v>
      </c>
      <c r="X1288" s="131">
        <v>1000</v>
      </c>
      <c r="Y1288" s="131">
        <v>634</v>
      </c>
      <c r="Z1288" s="131">
        <v>696</v>
      </c>
      <c r="AA1288" s="131">
        <v>938</v>
      </c>
      <c r="AB1288" s="131">
        <v>696</v>
      </c>
      <c r="AC1288" s="131">
        <v>938</v>
      </c>
      <c r="AD1288" s="131">
        <v>696</v>
      </c>
      <c r="AE1288" s="132">
        <v>938</v>
      </c>
    </row>
    <row r="1289" spans="1:31" x14ac:dyDescent="0.2">
      <c r="A1289" s="133">
        <v>211</v>
      </c>
      <c r="B1289" s="133" t="s">
        <v>1841</v>
      </c>
      <c r="C1289" s="133" t="s">
        <v>1199</v>
      </c>
      <c r="D1289" s="133" t="s">
        <v>1914</v>
      </c>
      <c r="E1289" s="133" t="s">
        <v>1201</v>
      </c>
      <c r="F1289" s="133" t="s">
        <v>1117</v>
      </c>
      <c r="G1289" s="133" t="s">
        <v>1202</v>
      </c>
      <c r="H1289" s="133" t="s">
        <v>1203</v>
      </c>
      <c r="I1289" s="130" t="s">
        <v>1224</v>
      </c>
      <c r="J1289" s="130" t="s">
        <v>1529</v>
      </c>
      <c r="K1289" s="130" t="s">
        <v>1530</v>
      </c>
      <c r="L1289" s="130" t="s">
        <v>1915</v>
      </c>
      <c r="M1289" s="130" t="s">
        <v>1844</v>
      </c>
      <c r="N1289" s="130" t="s">
        <v>120</v>
      </c>
      <c r="O1289" s="130" t="s">
        <v>1860</v>
      </c>
      <c r="P1289" s="130" t="s">
        <v>1916</v>
      </c>
      <c r="Q1289" s="130" t="s">
        <v>1127</v>
      </c>
      <c r="R1289" s="130" t="s">
        <v>1191</v>
      </c>
      <c r="S1289" s="130" t="s">
        <v>1157</v>
      </c>
      <c r="T1289" s="130" t="s">
        <v>1142</v>
      </c>
      <c r="U1289" s="130">
        <v>1400</v>
      </c>
      <c r="V1289" s="131">
        <v>0</v>
      </c>
      <c r="W1289" s="131">
        <v>1400</v>
      </c>
      <c r="X1289" s="131">
        <v>0</v>
      </c>
      <c r="Y1289" s="131">
        <v>1400</v>
      </c>
      <c r="Z1289" s="131">
        <v>0</v>
      </c>
      <c r="AA1289" s="131">
        <v>1400</v>
      </c>
      <c r="AB1289" s="131">
        <v>0</v>
      </c>
      <c r="AC1289" s="131">
        <v>1400</v>
      </c>
      <c r="AD1289" s="131">
        <v>0</v>
      </c>
      <c r="AE1289" s="132">
        <v>1400</v>
      </c>
    </row>
    <row r="1290" spans="1:31" x14ac:dyDescent="0.2">
      <c r="A1290" s="133">
        <v>211</v>
      </c>
      <c r="B1290" s="133" t="s">
        <v>1841</v>
      </c>
      <c r="C1290" s="133" t="s">
        <v>1199</v>
      </c>
      <c r="D1290" s="133" t="s">
        <v>1914</v>
      </c>
      <c r="E1290" s="133" t="s">
        <v>1201</v>
      </c>
      <c r="F1290" s="133" t="s">
        <v>1117</v>
      </c>
      <c r="G1290" s="133" t="s">
        <v>1202</v>
      </c>
      <c r="H1290" s="133" t="s">
        <v>1203</v>
      </c>
      <c r="I1290" s="133" t="s">
        <v>1224</v>
      </c>
      <c r="J1290" s="130" t="s">
        <v>1306</v>
      </c>
      <c r="K1290" s="130" t="s">
        <v>1307</v>
      </c>
      <c r="L1290" s="130" t="s">
        <v>1915</v>
      </c>
      <c r="M1290" s="130" t="s">
        <v>1844</v>
      </c>
      <c r="N1290" s="130" t="s">
        <v>120</v>
      </c>
      <c r="O1290" s="130" t="s">
        <v>1860</v>
      </c>
      <c r="P1290" s="130" t="s">
        <v>1916</v>
      </c>
      <c r="Q1290" s="130" t="s">
        <v>1127</v>
      </c>
      <c r="R1290" s="130" t="s">
        <v>1191</v>
      </c>
      <c r="S1290" s="130" t="s">
        <v>1157</v>
      </c>
      <c r="T1290" s="130" t="s">
        <v>1142</v>
      </c>
      <c r="U1290" s="130">
        <v>800</v>
      </c>
      <c r="V1290" s="131">
        <v>-800</v>
      </c>
      <c r="W1290" s="131">
        <v>0</v>
      </c>
      <c r="X1290" s="131">
        <v>0</v>
      </c>
      <c r="Y1290" s="131">
        <v>0</v>
      </c>
      <c r="Z1290" s="131">
        <v>0</v>
      </c>
      <c r="AA1290" s="131">
        <v>0</v>
      </c>
      <c r="AB1290" s="131">
        <v>0</v>
      </c>
      <c r="AC1290" s="131">
        <v>0</v>
      </c>
      <c r="AD1290" s="131">
        <v>0</v>
      </c>
      <c r="AE1290" s="132">
        <v>0</v>
      </c>
    </row>
    <row r="1291" spans="1:31" x14ac:dyDescent="0.2">
      <c r="A1291" s="133">
        <v>211</v>
      </c>
      <c r="B1291" s="133" t="s">
        <v>1841</v>
      </c>
      <c r="C1291" s="133" t="s">
        <v>1199</v>
      </c>
      <c r="D1291" s="133" t="s">
        <v>1914</v>
      </c>
      <c r="E1291" s="133" t="s">
        <v>1201</v>
      </c>
      <c r="F1291" s="133" t="s">
        <v>1117</v>
      </c>
      <c r="G1291" s="133" t="s">
        <v>1202</v>
      </c>
      <c r="H1291" s="133" t="s">
        <v>1203</v>
      </c>
      <c r="I1291" s="133" t="s">
        <v>1224</v>
      </c>
      <c r="J1291" s="130" t="s">
        <v>1225</v>
      </c>
      <c r="K1291" s="130" t="s">
        <v>1226</v>
      </c>
      <c r="L1291" s="130" t="s">
        <v>1915</v>
      </c>
      <c r="M1291" s="130" t="s">
        <v>1844</v>
      </c>
      <c r="N1291" s="130" t="s">
        <v>120</v>
      </c>
      <c r="O1291" s="130" t="s">
        <v>1860</v>
      </c>
      <c r="P1291" s="130" t="s">
        <v>1916</v>
      </c>
      <c r="Q1291" s="130" t="s">
        <v>1127</v>
      </c>
      <c r="R1291" s="130" t="s">
        <v>1191</v>
      </c>
      <c r="S1291" s="130" t="s">
        <v>1157</v>
      </c>
      <c r="T1291" s="130" t="s">
        <v>1142</v>
      </c>
      <c r="U1291" s="130">
        <v>500</v>
      </c>
      <c r="V1291" s="131">
        <v>-500</v>
      </c>
      <c r="W1291" s="131">
        <v>0</v>
      </c>
      <c r="X1291" s="131">
        <v>0</v>
      </c>
      <c r="Y1291" s="131">
        <v>0</v>
      </c>
      <c r="Z1291" s="131">
        <v>0</v>
      </c>
      <c r="AA1291" s="131">
        <v>0</v>
      </c>
      <c r="AB1291" s="131">
        <v>0</v>
      </c>
      <c r="AC1291" s="131">
        <v>0</v>
      </c>
      <c r="AD1291" s="131">
        <v>0</v>
      </c>
      <c r="AE1291" s="132">
        <v>0</v>
      </c>
    </row>
    <row r="1292" spans="1:31" x14ac:dyDescent="0.2">
      <c r="A1292" s="133">
        <v>211</v>
      </c>
      <c r="B1292" s="133" t="s">
        <v>1841</v>
      </c>
      <c r="C1292" s="133" t="s">
        <v>1199</v>
      </c>
      <c r="D1292" s="133" t="s">
        <v>1914</v>
      </c>
      <c r="E1292" s="133" t="s">
        <v>1201</v>
      </c>
      <c r="F1292" s="133" t="s">
        <v>1117</v>
      </c>
      <c r="G1292" s="133" t="s">
        <v>1202</v>
      </c>
      <c r="H1292" s="133" t="s">
        <v>1203</v>
      </c>
      <c r="I1292" s="130" t="s">
        <v>1264</v>
      </c>
      <c r="J1292" s="130" t="s">
        <v>1532</v>
      </c>
      <c r="K1292" s="130" t="s">
        <v>1249</v>
      </c>
      <c r="L1292" s="130" t="s">
        <v>1915</v>
      </c>
      <c r="M1292" s="130" t="s">
        <v>1844</v>
      </c>
      <c r="N1292" s="130" t="s">
        <v>120</v>
      </c>
      <c r="O1292" s="130" t="s">
        <v>1860</v>
      </c>
      <c r="P1292" s="130" t="s">
        <v>1916</v>
      </c>
      <c r="Q1292" s="130" t="s">
        <v>1127</v>
      </c>
      <c r="R1292" s="130" t="s">
        <v>1191</v>
      </c>
      <c r="S1292" s="130" t="s">
        <v>1157</v>
      </c>
      <c r="T1292" s="130" t="s">
        <v>1142</v>
      </c>
      <c r="U1292" s="130">
        <v>2515</v>
      </c>
      <c r="V1292" s="131">
        <v>0</v>
      </c>
      <c r="W1292" s="131">
        <v>2515</v>
      </c>
      <c r="X1292" s="131">
        <v>2515</v>
      </c>
      <c r="Y1292" s="131">
        <v>0</v>
      </c>
      <c r="Z1292" s="131">
        <v>710</v>
      </c>
      <c r="AA1292" s="131">
        <v>1805</v>
      </c>
      <c r="AB1292" s="131">
        <v>710</v>
      </c>
      <c r="AC1292" s="131">
        <v>1805</v>
      </c>
      <c r="AD1292" s="131">
        <v>710</v>
      </c>
      <c r="AE1292" s="132">
        <v>1805</v>
      </c>
    </row>
    <row r="1293" spans="1:31" x14ac:dyDescent="0.2">
      <c r="A1293" s="133">
        <v>211</v>
      </c>
      <c r="B1293" s="133" t="s">
        <v>1841</v>
      </c>
      <c r="C1293" s="133" t="s">
        <v>1199</v>
      </c>
      <c r="D1293" s="133" t="s">
        <v>1914</v>
      </c>
      <c r="E1293" s="133" t="s">
        <v>1201</v>
      </c>
      <c r="F1293" s="133" t="s">
        <v>1117</v>
      </c>
      <c r="G1293" s="133" t="s">
        <v>1202</v>
      </c>
      <c r="H1293" s="133" t="s">
        <v>1203</v>
      </c>
      <c r="I1293" s="133" t="s">
        <v>1264</v>
      </c>
      <c r="J1293" s="130" t="s">
        <v>1267</v>
      </c>
      <c r="K1293" s="130" t="s">
        <v>1268</v>
      </c>
      <c r="L1293" s="130" t="s">
        <v>1915</v>
      </c>
      <c r="M1293" s="130" t="s">
        <v>1844</v>
      </c>
      <c r="N1293" s="130" t="s">
        <v>120</v>
      </c>
      <c r="O1293" s="130" t="s">
        <v>1860</v>
      </c>
      <c r="P1293" s="130" t="s">
        <v>1916</v>
      </c>
      <c r="Q1293" s="130" t="s">
        <v>1127</v>
      </c>
      <c r="R1293" s="130" t="s">
        <v>1191</v>
      </c>
      <c r="S1293" s="130" t="s">
        <v>1157</v>
      </c>
      <c r="T1293" s="130" t="s">
        <v>1142</v>
      </c>
      <c r="U1293" s="130">
        <v>890</v>
      </c>
      <c r="V1293" s="131">
        <v>0</v>
      </c>
      <c r="W1293" s="131">
        <v>890</v>
      </c>
      <c r="X1293" s="131">
        <v>0</v>
      </c>
      <c r="Y1293" s="131">
        <v>890</v>
      </c>
      <c r="Z1293" s="131">
        <v>0</v>
      </c>
      <c r="AA1293" s="131">
        <v>890</v>
      </c>
      <c r="AB1293" s="131">
        <v>0</v>
      </c>
      <c r="AC1293" s="131">
        <v>890</v>
      </c>
      <c r="AD1293" s="131">
        <v>0</v>
      </c>
      <c r="AE1293" s="132">
        <v>890</v>
      </c>
    </row>
    <row r="1294" spans="1:31" x14ac:dyDescent="0.2">
      <c r="A1294" s="133">
        <v>211</v>
      </c>
      <c r="B1294" s="133" t="s">
        <v>1841</v>
      </c>
      <c r="C1294" s="133" t="s">
        <v>1199</v>
      </c>
      <c r="D1294" s="133" t="s">
        <v>1914</v>
      </c>
      <c r="E1294" s="133" t="s">
        <v>1201</v>
      </c>
      <c r="F1294" s="133" t="s">
        <v>1117</v>
      </c>
      <c r="G1294" s="133" t="s">
        <v>1202</v>
      </c>
      <c r="H1294" s="133" t="s">
        <v>1203</v>
      </c>
      <c r="I1294" s="130" t="s">
        <v>1269</v>
      </c>
      <c r="J1294" s="130" t="s">
        <v>1270</v>
      </c>
      <c r="K1294" s="130" t="s">
        <v>1272</v>
      </c>
      <c r="L1294" s="130" t="s">
        <v>1915</v>
      </c>
      <c r="M1294" s="130" t="s">
        <v>1844</v>
      </c>
      <c r="N1294" s="130" t="s">
        <v>120</v>
      </c>
      <c r="O1294" s="130" t="s">
        <v>1860</v>
      </c>
      <c r="P1294" s="130" t="s">
        <v>1916</v>
      </c>
      <c r="Q1294" s="130" t="s">
        <v>1127</v>
      </c>
      <c r="R1294" s="130" t="s">
        <v>1191</v>
      </c>
      <c r="S1294" s="130" t="s">
        <v>1157</v>
      </c>
      <c r="T1294" s="130" t="s">
        <v>1142</v>
      </c>
      <c r="U1294" s="130">
        <v>360</v>
      </c>
      <c r="V1294" s="131">
        <v>0</v>
      </c>
      <c r="W1294" s="131">
        <v>360</v>
      </c>
      <c r="X1294" s="131">
        <v>360</v>
      </c>
      <c r="Y1294" s="131">
        <v>0</v>
      </c>
      <c r="Z1294" s="131">
        <v>150</v>
      </c>
      <c r="AA1294" s="131">
        <v>210</v>
      </c>
      <c r="AB1294" s="131">
        <v>150</v>
      </c>
      <c r="AC1294" s="131">
        <v>210</v>
      </c>
      <c r="AD1294" s="131">
        <v>150</v>
      </c>
      <c r="AE1294" s="132">
        <v>210</v>
      </c>
    </row>
    <row r="1295" spans="1:31" x14ac:dyDescent="0.2">
      <c r="A1295" s="133">
        <v>211</v>
      </c>
      <c r="B1295" s="133" t="s">
        <v>1841</v>
      </c>
      <c r="C1295" s="133" t="s">
        <v>1199</v>
      </c>
      <c r="D1295" s="133" t="s">
        <v>1914</v>
      </c>
      <c r="E1295" s="133" t="s">
        <v>1201</v>
      </c>
      <c r="F1295" s="133" t="s">
        <v>1117</v>
      </c>
      <c r="G1295" s="133" t="s">
        <v>1202</v>
      </c>
      <c r="H1295" s="133" t="s">
        <v>1203</v>
      </c>
      <c r="I1295" s="130" t="s">
        <v>1209</v>
      </c>
      <c r="J1295" s="130" t="s">
        <v>1324</v>
      </c>
      <c r="K1295" s="130" t="s">
        <v>1325</v>
      </c>
      <c r="L1295" s="130" t="s">
        <v>1915</v>
      </c>
      <c r="M1295" s="130" t="s">
        <v>1844</v>
      </c>
      <c r="N1295" s="130" t="s">
        <v>120</v>
      </c>
      <c r="O1295" s="130" t="s">
        <v>1860</v>
      </c>
      <c r="P1295" s="130" t="s">
        <v>1916</v>
      </c>
      <c r="Q1295" s="130" t="s">
        <v>1127</v>
      </c>
      <c r="R1295" s="130" t="s">
        <v>1191</v>
      </c>
      <c r="S1295" s="130" t="s">
        <v>1157</v>
      </c>
      <c r="T1295" s="130" t="s">
        <v>1142</v>
      </c>
      <c r="U1295" s="130">
        <v>2000</v>
      </c>
      <c r="V1295" s="131">
        <v>-2000</v>
      </c>
      <c r="W1295" s="131">
        <v>0</v>
      </c>
      <c r="X1295" s="131">
        <v>0</v>
      </c>
      <c r="Y1295" s="131">
        <v>0</v>
      </c>
      <c r="Z1295" s="131">
        <v>0</v>
      </c>
      <c r="AA1295" s="131">
        <v>0</v>
      </c>
      <c r="AB1295" s="131">
        <v>0</v>
      </c>
      <c r="AC1295" s="131">
        <v>0</v>
      </c>
      <c r="AD1295" s="131">
        <v>0</v>
      </c>
      <c r="AE1295" s="132">
        <v>0</v>
      </c>
    </row>
    <row r="1296" spans="1:31" x14ac:dyDescent="0.2">
      <c r="A1296" s="133">
        <v>211</v>
      </c>
      <c r="B1296" s="133" t="s">
        <v>1841</v>
      </c>
      <c r="C1296" s="133" t="s">
        <v>1199</v>
      </c>
      <c r="D1296" s="133" t="s">
        <v>1914</v>
      </c>
      <c r="E1296" s="133" t="s">
        <v>1201</v>
      </c>
      <c r="F1296" s="133" t="s">
        <v>1117</v>
      </c>
      <c r="G1296" s="133" t="s">
        <v>1202</v>
      </c>
      <c r="H1296" s="133" t="s">
        <v>1203</v>
      </c>
      <c r="I1296" s="130" t="s">
        <v>1309</v>
      </c>
      <c r="J1296" s="130" t="s">
        <v>1310</v>
      </c>
      <c r="K1296" s="130" t="s">
        <v>1310</v>
      </c>
      <c r="L1296" s="130" t="s">
        <v>1915</v>
      </c>
      <c r="M1296" s="130" t="s">
        <v>1844</v>
      </c>
      <c r="N1296" s="130" t="s">
        <v>120</v>
      </c>
      <c r="O1296" s="130" t="s">
        <v>1860</v>
      </c>
      <c r="P1296" s="130" t="s">
        <v>1916</v>
      </c>
      <c r="Q1296" s="130" t="s">
        <v>1127</v>
      </c>
      <c r="R1296" s="130" t="s">
        <v>1191</v>
      </c>
      <c r="S1296" s="130" t="s">
        <v>1157</v>
      </c>
      <c r="T1296" s="130" t="s">
        <v>1142</v>
      </c>
      <c r="U1296" s="130">
        <v>10000</v>
      </c>
      <c r="V1296" s="131">
        <v>153150</v>
      </c>
      <c r="W1296" s="131">
        <v>163150</v>
      </c>
      <c r="X1296" s="131">
        <v>43000</v>
      </c>
      <c r="Y1296" s="131">
        <v>120150</v>
      </c>
      <c r="Z1296" s="131">
        <v>43000</v>
      </c>
      <c r="AA1296" s="131">
        <v>120150</v>
      </c>
      <c r="AB1296" s="131">
        <v>43000</v>
      </c>
      <c r="AC1296" s="131">
        <v>120150</v>
      </c>
      <c r="AD1296" s="131">
        <v>35000</v>
      </c>
      <c r="AE1296" s="132">
        <v>128150</v>
      </c>
    </row>
    <row r="1297" spans="1:31" x14ac:dyDescent="0.2">
      <c r="A1297" s="130">
        <v>212</v>
      </c>
      <c r="B1297" s="130" t="s">
        <v>1841</v>
      </c>
      <c r="C1297" s="130" t="s">
        <v>1199</v>
      </c>
      <c r="D1297" s="130" t="s">
        <v>1917</v>
      </c>
      <c r="E1297" s="130" t="s">
        <v>1201</v>
      </c>
      <c r="F1297" s="130" t="s">
        <v>1117</v>
      </c>
      <c r="G1297" s="130" t="s">
        <v>1276</v>
      </c>
      <c r="H1297" s="130" t="s">
        <v>1277</v>
      </c>
      <c r="I1297" s="130" t="s">
        <v>1278</v>
      </c>
      <c r="J1297" s="130" t="s">
        <v>1278</v>
      </c>
      <c r="K1297" s="130" t="s">
        <v>1279</v>
      </c>
      <c r="L1297" s="130" t="s">
        <v>1918</v>
      </c>
      <c r="M1297" s="130" t="s">
        <v>1844</v>
      </c>
      <c r="N1297" s="130" t="s">
        <v>120</v>
      </c>
      <c r="O1297" s="130" t="s">
        <v>1919</v>
      </c>
      <c r="P1297" s="130" t="s">
        <v>1920</v>
      </c>
      <c r="Q1297" s="130" t="s">
        <v>1127</v>
      </c>
      <c r="R1297" s="130" t="s">
        <v>1191</v>
      </c>
      <c r="S1297" s="130" t="s">
        <v>1157</v>
      </c>
      <c r="T1297" s="130" t="s">
        <v>1847</v>
      </c>
      <c r="U1297" s="130">
        <v>13698</v>
      </c>
      <c r="V1297" s="131">
        <v>0</v>
      </c>
      <c r="W1297" s="131">
        <v>13698</v>
      </c>
      <c r="X1297" s="131">
        <v>13698</v>
      </c>
      <c r="Y1297" s="131">
        <v>0</v>
      </c>
      <c r="Z1297" s="131">
        <v>13698</v>
      </c>
      <c r="AA1297" s="131">
        <v>0</v>
      </c>
      <c r="AB1297" s="131">
        <v>8007.75</v>
      </c>
      <c r="AC1297" s="131">
        <v>5690.25</v>
      </c>
      <c r="AD1297" s="131">
        <v>8007.75</v>
      </c>
      <c r="AE1297" s="132">
        <v>5690.25</v>
      </c>
    </row>
    <row r="1298" spans="1:31" x14ac:dyDescent="0.2">
      <c r="A1298" s="133">
        <v>212</v>
      </c>
      <c r="B1298" s="133" t="s">
        <v>1841</v>
      </c>
      <c r="C1298" s="133" t="s">
        <v>1199</v>
      </c>
      <c r="D1298" s="133" t="s">
        <v>1917</v>
      </c>
      <c r="E1298" s="133" t="s">
        <v>1201</v>
      </c>
      <c r="F1298" s="133" t="s">
        <v>1117</v>
      </c>
      <c r="G1298" s="133" t="s">
        <v>1276</v>
      </c>
      <c r="H1298" s="133" t="s">
        <v>1277</v>
      </c>
      <c r="I1298" s="133" t="s">
        <v>1278</v>
      </c>
      <c r="J1298" s="133" t="s">
        <v>1278</v>
      </c>
      <c r="K1298" s="130" t="s">
        <v>1282</v>
      </c>
      <c r="L1298" s="130" t="s">
        <v>1918</v>
      </c>
      <c r="M1298" s="130" t="s">
        <v>1844</v>
      </c>
      <c r="N1298" s="130" t="s">
        <v>120</v>
      </c>
      <c r="O1298" s="130" t="s">
        <v>1919</v>
      </c>
      <c r="P1298" s="130" t="s">
        <v>1920</v>
      </c>
      <c r="Q1298" s="130" t="s">
        <v>1127</v>
      </c>
      <c r="R1298" s="130" t="s">
        <v>1191</v>
      </c>
      <c r="S1298" s="130" t="s">
        <v>1157</v>
      </c>
      <c r="T1298" s="130" t="s">
        <v>1847</v>
      </c>
      <c r="U1298" s="130">
        <v>19313</v>
      </c>
      <c r="V1298" s="131">
        <v>0</v>
      </c>
      <c r="W1298" s="131">
        <v>19313</v>
      </c>
      <c r="X1298" s="131">
        <v>19313</v>
      </c>
      <c r="Y1298" s="131">
        <v>0</v>
      </c>
      <c r="Z1298" s="131">
        <v>19313</v>
      </c>
      <c r="AA1298" s="131">
        <v>0</v>
      </c>
      <c r="AB1298" s="131">
        <v>10797.8</v>
      </c>
      <c r="AC1298" s="131">
        <v>8515.2000000000007</v>
      </c>
      <c r="AD1298" s="131">
        <v>10797.8</v>
      </c>
      <c r="AE1298" s="132">
        <v>8515.2000000000007</v>
      </c>
    </row>
    <row r="1299" spans="1:31" x14ac:dyDescent="0.2">
      <c r="A1299" s="133">
        <v>212</v>
      </c>
      <c r="B1299" s="133" t="s">
        <v>1841</v>
      </c>
      <c r="C1299" s="133" t="s">
        <v>1199</v>
      </c>
      <c r="D1299" s="133" t="s">
        <v>1917</v>
      </c>
      <c r="E1299" s="133" t="s">
        <v>1201</v>
      </c>
      <c r="F1299" s="133" t="s">
        <v>1117</v>
      </c>
      <c r="G1299" s="133" t="s">
        <v>1276</v>
      </c>
      <c r="H1299" s="133" t="s">
        <v>1277</v>
      </c>
      <c r="I1299" s="133" t="s">
        <v>1278</v>
      </c>
      <c r="J1299" s="130" t="s">
        <v>1283</v>
      </c>
      <c r="K1299" s="130" t="s">
        <v>1284</v>
      </c>
      <c r="L1299" s="130" t="s">
        <v>1918</v>
      </c>
      <c r="M1299" s="130" t="s">
        <v>1844</v>
      </c>
      <c r="N1299" s="130" t="s">
        <v>120</v>
      </c>
      <c r="O1299" s="130" t="s">
        <v>1919</v>
      </c>
      <c r="P1299" s="130" t="s">
        <v>1920</v>
      </c>
      <c r="Q1299" s="130" t="s">
        <v>1127</v>
      </c>
      <c r="R1299" s="130" t="s">
        <v>1191</v>
      </c>
      <c r="S1299" s="130" t="s">
        <v>1157</v>
      </c>
      <c r="T1299" s="130" t="s">
        <v>1847</v>
      </c>
      <c r="U1299" s="130">
        <v>72582</v>
      </c>
      <c r="V1299" s="131">
        <v>0</v>
      </c>
      <c r="W1299" s="131">
        <v>72582</v>
      </c>
      <c r="X1299" s="131">
        <v>72582</v>
      </c>
      <c r="Y1299" s="131">
        <v>0</v>
      </c>
      <c r="Z1299" s="131">
        <v>72582</v>
      </c>
      <c r="AA1299" s="131">
        <v>0</v>
      </c>
      <c r="AB1299" s="131">
        <v>32258.95</v>
      </c>
      <c r="AC1299" s="131">
        <v>40323.050000000003</v>
      </c>
      <c r="AD1299" s="131">
        <v>32258.95</v>
      </c>
      <c r="AE1299" s="132">
        <v>40323.050000000003</v>
      </c>
    </row>
    <row r="1300" spans="1:31" x14ac:dyDescent="0.2">
      <c r="A1300" s="133">
        <v>212</v>
      </c>
      <c r="B1300" s="133" t="s">
        <v>1841</v>
      </c>
      <c r="C1300" s="133" t="s">
        <v>1199</v>
      </c>
      <c r="D1300" s="133" t="s">
        <v>1917</v>
      </c>
      <c r="E1300" s="133" t="s">
        <v>1201</v>
      </c>
      <c r="F1300" s="133" t="s">
        <v>1117</v>
      </c>
      <c r="G1300" s="133" t="s">
        <v>1276</v>
      </c>
      <c r="H1300" s="133" t="s">
        <v>1277</v>
      </c>
      <c r="I1300" s="130" t="s">
        <v>1285</v>
      </c>
      <c r="J1300" s="130" t="s">
        <v>1286</v>
      </c>
      <c r="K1300" s="130" t="s">
        <v>1287</v>
      </c>
      <c r="L1300" s="130" t="s">
        <v>1918</v>
      </c>
      <c r="M1300" s="130" t="s">
        <v>1844</v>
      </c>
      <c r="N1300" s="130" t="s">
        <v>120</v>
      </c>
      <c r="O1300" s="130" t="s">
        <v>1919</v>
      </c>
      <c r="P1300" s="130" t="s">
        <v>1920</v>
      </c>
      <c r="Q1300" s="130" t="s">
        <v>1127</v>
      </c>
      <c r="R1300" s="130" t="s">
        <v>1191</v>
      </c>
      <c r="S1300" s="130" t="s">
        <v>1157</v>
      </c>
      <c r="T1300" s="130" t="s">
        <v>1847</v>
      </c>
      <c r="U1300" s="130">
        <v>183852</v>
      </c>
      <c r="V1300" s="131">
        <v>6000</v>
      </c>
      <c r="W1300" s="131">
        <v>189852</v>
      </c>
      <c r="X1300" s="131">
        <v>189852</v>
      </c>
      <c r="Y1300" s="131">
        <v>0</v>
      </c>
      <c r="Z1300" s="131">
        <v>189852</v>
      </c>
      <c r="AA1300" s="131">
        <v>0</v>
      </c>
      <c r="AB1300" s="131">
        <v>67441.75</v>
      </c>
      <c r="AC1300" s="131">
        <v>122410.25</v>
      </c>
      <c r="AD1300" s="131">
        <v>67441.75</v>
      </c>
      <c r="AE1300" s="132">
        <v>122410.25</v>
      </c>
    </row>
    <row r="1301" spans="1:31" x14ac:dyDescent="0.2">
      <c r="A1301" s="133">
        <v>212</v>
      </c>
      <c r="B1301" s="133" t="s">
        <v>1841</v>
      </c>
      <c r="C1301" s="133" t="s">
        <v>1199</v>
      </c>
      <c r="D1301" s="133" t="s">
        <v>1917</v>
      </c>
      <c r="E1301" s="133" t="s">
        <v>1201</v>
      </c>
      <c r="F1301" s="133" t="s">
        <v>1117</v>
      </c>
      <c r="G1301" s="133" t="s">
        <v>1276</v>
      </c>
      <c r="H1301" s="133" t="s">
        <v>1277</v>
      </c>
      <c r="I1301" s="130" t="s">
        <v>1288</v>
      </c>
      <c r="J1301" s="130" t="s">
        <v>1289</v>
      </c>
      <c r="K1301" s="130" t="s">
        <v>1290</v>
      </c>
      <c r="L1301" s="130" t="s">
        <v>1918</v>
      </c>
      <c r="M1301" s="130" t="s">
        <v>1844</v>
      </c>
      <c r="N1301" s="130" t="s">
        <v>120</v>
      </c>
      <c r="O1301" s="130" t="s">
        <v>1919</v>
      </c>
      <c r="P1301" s="130" t="s">
        <v>1920</v>
      </c>
      <c r="Q1301" s="130" t="s">
        <v>1127</v>
      </c>
      <c r="R1301" s="130" t="s">
        <v>1191</v>
      </c>
      <c r="S1301" s="130" t="s">
        <v>1157</v>
      </c>
      <c r="T1301" s="130" t="s">
        <v>1847</v>
      </c>
      <c r="U1301" s="130">
        <v>1200</v>
      </c>
      <c r="V1301" s="131">
        <v>0</v>
      </c>
      <c r="W1301" s="131">
        <v>1200</v>
      </c>
      <c r="X1301" s="131">
        <v>1200</v>
      </c>
      <c r="Y1301" s="131">
        <v>0</v>
      </c>
      <c r="Z1301" s="131">
        <v>1200</v>
      </c>
      <c r="AA1301" s="131">
        <v>0</v>
      </c>
      <c r="AB1301" s="131">
        <v>0</v>
      </c>
      <c r="AC1301" s="131">
        <v>1200</v>
      </c>
      <c r="AD1301" s="131">
        <v>0</v>
      </c>
      <c r="AE1301" s="132">
        <v>1200</v>
      </c>
    </row>
    <row r="1302" spans="1:31" x14ac:dyDescent="0.2">
      <c r="A1302" s="133">
        <v>212</v>
      </c>
      <c r="B1302" s="133" t="s">
        <v>1841</v>
      </c>
      <c r="C1302" s="133" t="s">
        <v>1199</v>
      </c>
      <c r="D1302" s="133" t="s">
        <v>1917</v>
      </c>
      <c r="E1302" s="133" t="s">
        <v>1201</v>
      </c>
      <c r="F1302" s="133" t="s">
        <v>1117</v>
      </c>
      <c r="G1302" s="133" t="s">
        <v>1276</v>
      </c>
      <c r="H1302" s="133" t="s">
        <v>1277</v>
      </c>
      <c r="I1302" s="133" t="s">
        <v>1288</v>
      </c>
      <c r="J1302" s="133" t="s">
        <v>1289</v>
      </c>
      <c r="K1302" s="130" t="s">
        <v>1291</v>
      </c>
      <c r="L1302" s="130" t="s">
        <v>1918</v>
      </c>
      <c r="M1302" s="130" t="s">
        <v>1844</v>
      </c>
      <c r="N1302" s="130" t="s">
        <v>120</v>
      </c>
      <c r="O1302" s="130" t="s">
        <v>1919</v>
      </c>
      <c r="P1302" s="130" t="s">
        <v>1920</v>
      </c>
      <c r="Q1302" s="130" t="s">
        <v>1127</v>
      </c>
      <c r="R1302" s="130" t="s">
        <v>1191</v>
      </c>
      <c r="S1302" s="130" t="s">
        <v>1157</v>
      </c>
      <c r="T1302" s="130" t="s">
        <v>1847</v>
      </c>
      <c r="U1302" s="130">
        <v>800</v>
      </c>
      <c r="V1302" s="131">
        <v>0</v>
      </c>
      <c r="W1302" s="131">
        <v>800</v>
      </c>
      <c r="X1302" s="131">
        <v>800</v>
      </c>
      <c r="Y1302" s="131">
        <v>0</v>
      </c>
      <c r="Z1302" s="131">
        <v>800</v>
      </c>
      <c r="AA1302" s="131">
        <v>0</v>
      </c>
      <c r="AB1302" s="131">
        <v>800</v>
      </c>
      <c r="AC1302" s="131">
        <v>0</v>
      </c>
      <c r="AD1302" s="131">
        <v>800</v>
      </c>
      <c r="AE1302" s="132">
        <v>0</v>
      </c>
    </row>
    <row r="1303" spans="1:31" x14ac:dyDescent="0.2">
      <c r="A1303" s="133">
        <v>212</v>
      </c>
      <c r="B1303" s="133" t="s">
        <v>1841</v>
      </c>
      <c r="C1303" s="133" t="s">
        <v>1199</v>
      </c>
      <c r="D1303" s="133" t="s">
        <v>1917</v>
      </c>
      <c r="E1303" s="133" t="s">
        <v>1201</v>
      </c>
      <c r="F1303" s="133" t="s">
        <v>1117</v>
      </c>
      <c r="G1303" s="133" t="s">
        <v>1276</v>
      </c>
      <c r="H1303" s="133" t="s">
        <v>1277</v>
      </c>
      <c r="I1303" s="133" t="s">
        <v>1288</v>
      </c>
      <c r="J1303" s="133" t="s">
        <v>1289</v>
      </c>
      <c r="K1303" s="130" t="s">
        <v>1292</v>
      </c>
      <c r="L1303" s="130" t="s">
        <v>1918</v>
      </c>
      <c r="M1303" s="130" t="s">
        <v>1844</v>
      </c>
      <c r="N1303" s="130" t="s">
        <v>120</v>
      </c>
      <c r="O1303" s="130" t="s">
        <v>1919</v>
      </c>
      <c r="P1303" s="130" t="s">
        <v>1920</v>
      </c>
      <c r="Q1303" s="130" t="s">
        <v>1127</v>
      </c>
      <c r="R1303" s="130" t="s">
        <v>1191</v>
      </c>
      <c r="S1303" s="130" t="s">
        <v>1157</v>
      </c>
      <c r="T1303" s="130" t="s">
        <v>1847</v>
      </c>
      <c r="U1303" s="130">
        <v>3000</v>
      </c>
      <c r="V1303" s="131">
        <v>0</v>
      </c>
      <c r="W1303" s="131">
        <v>3000</v>
      </c>
      <c r="X1303" s="131">
        <v>3000</v>
      </c>
      <c r="Y1303" s="131">
        <v>0</v>
      </c>
      <c r="Z1303" s="131">
        <v>3000</v>
      </c>
      <c r="AA1303" s="131">
        <v>0</v>
      </c>
      <c r="AB1303" s="131">
        <v>0</v>
      </c>
      <c r="AC1303" s="131">
        <v>3000</v>
      </c>
      <c r="AD1303" s="131">
        <v>0</v>
      </c>
      <c r="AE1303" s="132">
        <v>3000</v>
      </c>
    </row>
    <row r="1304" spans="1:31" x14ac:dyDescent="0.2">
      <c r="A1304" s="133">
        <v>212</v>
      </c>
      <c r="B1304" s="133" t="s">
        <v>1841</v>
      </c>
      <c r="C1304" s="133" t="s">
        <v>1199</v>
      </c>
      <c r="D1304" s="133" t="s">
        <v>1917</v>
      </c>
      <c r="E1304" s="133" t="s">
        <v>1201</v>
      </c>
      <c r="F1304" s="133" t="s">
        <v>1117</v>
      </c>
      <c r="G1304" s="133" t="s">
        <v>1276</v>
      </c>
      <c r="H1304" s="130" t="s">
        <v>1293</v>
      </c>
      <c r="I1304" s="130" t="s">
        <v>1294</v>
      </c>
      <c r="J1304" s="130" t="s">
        <v>1295</v>
      </c>
      <c r="K1304" s="130" t="s">
        <v>1296</v>
      </c>
      <c r="L1304" s="130" t="s">
        <v>1918</v>
      </c>
      <c r="M1304" s="130" t="s">
        <v>1844</v>
      </c>
      <c r="N1304" s="130" t="s">
        <v>120</v>
      </c>
      <c r="O1304" s="130" t="s">
        <v>1919</v>
      </c>
      <c r="P1304" s="130" t="s">
        <v>1920</v>
      </c>
      <c r="Q1304" s="130" t="s">
        <v>1127</v>
      </c>
      <c r="R1304" s="130" t="s">
        <v>1191</v>
      </c>
      <c r="S1304" s="130" t="s">
        <v>1157</v>
      </c>
      <c r="T1304" s="130" t="s">
        <v>1847</v>
      </c>
      <c r="U1304" s="130">
        <v>1056</v>
      </c>
      <c r="V1304" s="131">
        <v>0</v>
      </c>
      <c r="W1304" s="131">
        <v>1056</v>
      </c>
      <c r="X1304" s="131">
        <v>0</v>
      </c>
      <c r="Y1304" s="131">
        <v>1056</v>
      </c>
      <c r="Z1304" s="131">
        <v>0</v>
      </c>
      <c r="AA1304" s="131">
        <v>1056</v>
      </c>
      <c r="AB1304" s="131">
        <v>0</v>
      </c>
      <c r="AC1304" s="131">
        <v>1056</v>
      </c>
      <c r="AD1304" s="131">
        <v>0</v>
      </c>
      <c r="AE1304" s="132">
        <v>1056</v>
      </c>
    </row>
    <row r="1305" spans="1:31" x14ac:dyDescent="0.2">
      <c r="A1305" s="133">
        <v>212</v>
      </c>
      <c r="B1305" s="133" t="s">
        <v>1841</v>
      </c>
      <c r="C1305" s="133" t="s">
        <v>1199</v>
      </c>
      <c r="D1305" s="133" t="s">
        <v>1917</v>
      </c>
      <c r="E1305" s="133" t="s">
        <v>1201</v>
      </c>
      <c r="F1305" s="133" t="s">
        <v>1117</v>
      </c>
      <c r="G1305" s="133" t="s">
        <v>1276</v>
      </c>
      <c r="H1305" s="130" t="s">
        <v>1297</v>
      </c>
      <c r="I1305" s="130" t="s">
        <v>1298</v>
      </c>
      <c r="J1305" s="130" t="s">
        <v>1298</v>
      </c>
      <c r="K1305" s="130" t="s">
        <v>1299</v>
      </c>
      <c r="L1305" s="130" t="s">
        <v>1918</v>
      </c>
      <c r="M1305" s="130" t="s">
        <v>1844</v>
      </c>
      <c r="N1305" s="130" t="s">
        <v>120</v>
      </c>
      <c r="O1305" s="130" t="s">
        <v>1919</v>
      </c>
      <c r="P1305" s="130" t="s">
        <v>1920</v>
      </c>
      <c r="Q1305" s="130" t="s">
        <v>1127</v>
      </c>
      <c r="R1305" s="130" t="s">
        <v>1191</v>
      </c>
      <c r="S1305" s="130" t="s">
        <v>1157</v>
      </c>
      <c r="T1305" s="130" t="s">
        <v>1847</v>
      </c>
      <c r="U1305" s="130">
        <v>3049</v>
      </c>
      <c r="V1305" s="131">
        <v>0</v>
      </c>
      <c r="W1305" s="131">
        <v>3049</v>
      </c>
      <c r="X1305" s="131">
        <v>3049</v>
      </c>
      <c r="Y1305" s="131">
        <v>0</v>
      </c>
      <c r="Z1305" s="131">
        <v>3049</v>
      </c>
      <c r="AA1305" s="131">
        <v>0</v>
      </c>
      <c r="AB1305" s="131">
        <v>1410.75</v>
      </c>
      <c r="AC1305" s="131">
        <v>1638.25</v>
      </c>
      <c r="AD1305" s="131">
        <v>1410.75</v>
      </c>
      <c r="AE1305" s="132">
        <v>1638.25</v>
      </c>
    </row>
    <row r="1306" spans="1:31" x14ac:dyDescent="0.2">
      <c r="A1306" s="133">
        <v>212</v>
      </c>
      <c r="B1306" s="133" t="s">
        <v>1841</v>
      </c>
      <c r="C1306" s="133" t="s">
        <v>1199</v>
      </c>
      <c r="D1306" s="133" t="s">
        <v>1917</v>
      </c>
      <c r="E1306" s="133" t="s">
        <v>1201</v>
      </c>
      <c r="F1306" s="133" t="s">
        <v>1117</v>
      </c>
      <c r="G1306" s="133" t="s">
        <v>1276</v>
      </c>
      <c r="H1306" s="133" t="s">
        <v>1297</v>
      </c>
      <c r="I1306" s="133" t="s">
        <v>1298</v>
      </c>
      <c r="J1306" s="133" t="s">
        <v>1298</v>
      </c>
      <c r="K1306" s="130" t="s">
        <v>1300</v>
      </c>
      <c r="L1306" s="130" t="s">
        <v>1918</v>
      </c>
      <c r="M1306" s="130" t="s">
        <v>1844</v>
      </c>
      <c r="N1306" s="130" t="s">
        <v>120</v>
      </c>
      <c r="O1306" s="130" t="s">
        <v>1919</v>
      </c>
      <c r="P1306" s="130" t="s">
        <v>1920</v>
      </c>
      <c r="Q1306" s="130" t="s">
        <v>1127</v>
      </c>
      <c r="R1306" s="130" t="s">
        <v>1191</v>
      </c>
      <c r="S1306" s="130" t="s">
        <v>1157</v>
      </c>
      <c r="T1306" s="130" t="s">
        <v>1847</v>
      </c>
      <c r="U1306" s="130">
        <v>12686</v>
      </c>
      <c r="V1306" s="131">
        <v>679</v>
      </c>
      <c r="W1306" s="131">
        <v>13365</v>
      </c>
      <c r="X1306" s="131">
        <v>13365</v>
      </c>
      <c r="Y1306" s="131">
        <v>0</v>
      </c>
      <c r="Z1306" s="131">
        <v>13365</v>
      </c>
      <c r="AA1306" s="131">
        <v>0</v>
      </c>
      <c r="AB1306" s="131">
        <v>4839.1900000000005</v>
      </c>
      <c r="AC1306" s="131">
        <v>8525.81</v>
      </c>
      <c r="AD1306" s="131">
        <v>4839.1900000000005</v>
      </c>
      <c r="AE1306" s="132">
        <v>8525.81</v>
      </c>
    </row>
    <row r="1307" spans="1:31" x14ac:dyDescent="0.2">
      <c r="A1307" s="133">
        <v>212</v>
      </c>
      <c r="B1307" s="133" t="s">
        <v>1841</v>
      </c>
      <c r="C1307" s="133" t="s">
        <v>1199</v>
      </c>
      <c r="D1307" s="133" t="s">
        <v>1917</v>
      </c>
      <c r="E1307" s="133" t="s">
        <v>1201</v>
      </c>
      <c r="F1307" s="133" t="s">
        <v>1117</v>
      </c>
      <c r="G1307" s="130" t="s">
        <v>1202</v>
      </c>
      <c r="H1307" s="130" t="s">
        <v>1216</v>
      </c>
      <c r="I1307" s="130" t="s">
        <v>1301</v>
      </c>
      <c r="J1307" s="130" t="s">
        <v>1301</v>
      </c>
      <c r="K1307" s="130" t="s">
        <v>1302</v>
      </c>
      <c r="L1307" s="130" t="s">
        <v>1918</v>
      </c>
      <c r="M1307" s="130" t="s">
        <v>1844</v>
      </c>
      <c r="N1307" s="130" t="s">
        <v>120</v>
      </c>
      <c r="O1307" s="130" t="s">
        <v>1919</v>
      </c>
      <c r="P1307" s="130" t="s">
        <v>1920</v>
      </c>
      <c r="Q1307" s="130" t="s">
        <v>1127</v>
      </c>
      <c r="R1307" s="130" t="s">
        <v>1191</v>
      </c>
      <c r="S1307" s="130" t="s">
        <v>1157</v>
      </c>
      <c r="T1307" s="130" t="s">
        <v>1847</v>
      </c>
      <c r="U1307" s="130">
        <v>5350</v>
      </c>
      <c r="V1307" s="131">
        <v>-500</v>
      </c>
      <c r="W1307" s="131">
        <v>4850</v>
      </c>
      <c r="X1307" s="131">
        <v>2300</v>
      </c>
      <c r="Y1307" s="131">
        <v>2550</v>
      </c>
      <c r="Z1307" s="131">
        <v>2300</v>
      </c>
      <c r="AA1307" s="131">
        <v>2550</v>
      </c>
      <c r="AB1307" s="131">
        <v>2300</v>
      </c>
      <c r="AC1307" s="131">
        <v>2550</v>
      </c>
      <c r="AD1307" s="131">
        <v>2300</v>
      </c>
      <c r="AE1307" s="132">
        <v>2550</v>
      </c>
    </row>
    <row r="1308" spans="1:31" x14ac:dyDescent="0.2">
      <c r="A1308" s="133">
        <v>212</v>
      </c>
      <c r="B1308" s="133" t="s">
        <v>1841</v>
      </c>
      <c r="C1308" s="133" t="s">
        <v>1199</v>
      </c>
      <c r="D1308" s="133" t="s">
        <v>1917</v>
      </c>
      <c r="E1308" s="133" t="s">
        <v>1201</v>
      </c>
      <c r="F1308" s="133" t="s">
        <v>1117</v>
      </c>
      <c r="G1308" s="133" t="s">
        <v>1202</v>
      </c>
      <c r="H1308" s="133" t="s">
        <v>1216</v>
      </c>
      <c r="I1308" s="130" t="s">
        <v>1222</v>
      </c>
      <c r="J1308" s="130" t="s">
        <v>1304</v>
      </c>
      <c r="K1308" s="130" t="s">
        <v>1248</v>
      </c>
      <c r="L1308" s="130" t="s">
        <v>1918</v>
      </c>
      <c r="M1308" s="130" t="s">
        <v>1844</v>
      </c>
      <c r="N1308" s="130" t="s">
        <v>120</v>
      </c>
      <c r="O1308" s="130" t="s">
        <v>1919</v>
      </c>
      <c r="P1308" s="130" t="s">
        <v>1920</v>
      </c>
      <c r="Q1308" s="130" t="s">
        <v>1127</v>
      </c>
      <c r="R1308" s="130" t="s">
        <v>1191</v>
      </c>
      <c r="S1308" s="130" t="s">
        <v>1157</v>
      </c>
      <c r="T1308" s="130" t="s">
        <v>1847</v>
      </c>
      <c r="U1308" s="130">
        <v>2500</v>
      </c>
      <c r="V1308" s="131">
        <v>0</v>
      </c>
      <c r="W1308" s="131">
        <v>2500</v>
      </c>
      <c r="X1308" s="131">
        <v>0</v>
      </c>
      <c r="Y1308" s="131">
        <v>2500</v>
      </c>
      <c r="Z1308" s="131">
        <v>0</v>
      </c>
      <c r="AA1308" s="131">
        <v>2500</v>
      </c>
      <c r="AB1308" s="131">
        <v>0</v>
      </c>
      <c r="AC1308" s="131">
        <v>2500</v>
      </c>
      <c r="AD1308" s="131">
        <v>0</v>
      </c>
      <c r="AE1308" s="132">
        <v>2500</v>
      </c>
    </row>
    <row r="1309" spans="1:31" x14ac:dyDescent="0.2">
      <c r="A1309" s="133">
        <v>212</v>
      </c>
      <c r="B1309" s="133" t="s">
        <v>1841</v>
      </c>
      <c r="C1309" s="133" t="s">
        <v>1199</v>
      </c>
      <c r="D1309" s="133" t="s">
        <v>1917</v>
      </c>
      <c r="E1309" s="133" t="s">
        <v>1201</v>
      </c>
      <c r="F1309" s="133" t="s">
        <v>1117</v>
      </c>
      <c r="G1309" s="133" t="s">
        <v>1202</v>
      </c>
      <c r="H1309" s="133" t="s">
        <v>1216</v>
      </c>
      <c r="I1309" s="133" t="s">
        <v>1222</v>
      </c>
      <c r="J1309" s="133" t="s">
        <v>1304</v>
      </c>
      <c r="K1309" s="130" t="s">
        <v>1305</v>
      </c>
      <c r="L1309" s="130" t="s">
        <v>1918</v>
      </c>
      <c r="M1309" s="130" t="s">
        <v>1844</v>
      </c>
      <c r="N1309" s="130" t="s">
        <v>120</v>
      </c>
      <c r="O1309" s="130" t="s">
        <v>1919</v>
      </c>
      <c r="P1309" s="130" t="s">
        <v>1920</v>
      </c>
      <c r="Q1309" s="130" t="s">
        <v>1127</v>
      </c>
      <c r="R1309" s="130" t="s">
        <v>1191</v>
      </c>
      <c r="S1309" s="130" t="s">
        <v>1157</v>
      </c>
      <c r="T1309" s="130" t="s">
        <v>1847</v>
      </c>
      <c r="U1309" s="130">
        <v>5800</v>
      </c>
      <c r="V1309" s="131">
        <v>0</v>
      </c>
      <c r="W1309" s="131">
        <v>5800</v>
      </c>
      <c r="X1309" s="131">
        <v>2407.35</v>
      </c>
      <c r="Y1309" s="131">
        <v>3392.65</v>
      </c>
      <c r="Z1309" s="131">
        <v>2407.35</v>
      </c>
      <c r="AA1309" s="131">
        <v>3392.65</v>
      </c>
      <c r="AB1309" s="131">
        <v>2407.35</v>
      </c>
      <c r="AC1309" s="131">
        <v>3392.65</v>
      </c>
      <c r="AD1309" s="131">
        <v>500</v>
      </c>
      <c r="AE1309" s="132">
        <v>5300</v>
      </c>
    </row>
    <row r="1310" spans="1:31" x14ac:dyDescent="0.2">
      <c r="A1310" s="133">
        <v>212</v>
      </c>
      <c r="B1310" s="133" t="s">
        <v>1841</v>
      </c>
      <c r="C1310" s="133" t="s">
        <v>1199</v>
      </c>
      <c r="D1310" s="133" t="s">
        <v>1917</v>
      </c>
      <c r="E1310" s="133" t="s">
        <v>1201</v>
      </c>
      <c r="F1310" s="133" t="s">
        <v>1117</v>
      </c>
      <c r="G1310" s="133" t="s">
        <v>1202</v>
      </c>
      <c r="H1310" s="133" t="s">
        <v>1216</v>
      </c>
      <c r="I1310" s="133" t="s">
        <v>1222</v>
      </c>
      <c r="J1310" s="130" t="s">
        <v>1245</v>
      </c>
      <c r="K1310" s="130" t="s">
        <v>1246</v>
      </c>
      <c r="L1310" s="130" t="s">
        <v>1918</v>
      </c>
      <c r="M1310" s="130" t="s">
        <v>1844</v>
      </c>
      <c r="N1310" s="130" t="s">
        <v>120</v>
      </c>
      <c r="O1310" s="130" t="s">
        <v>1919</v>
      </c>
      <c r="P1310" s="130" t="s">
        <v>1920</v>
      </c>
      <c r="Q1310" s="130" t="s">
        <v>1127</v>
      </c>
      <c r="R1310" s="130" t="s">
        <v>1191</v>
      </c>
      <c r="S1310" s="130" t="s">
        <v>1157</v>
      </c>
      <c r="T1310" s="130" t="s">
        <v>1847</v>
      </c>
      <c r="U1310" s="130">
        <v>500</v>
      </c>
      <c r="V1310" s="131">
        <v>0</v>
      </c>
      <c r="W1310" s="131">
        <v>500</v>
      </c>
      <c r="X1310" s="131">
        <v>0</v>
      </c>
      <c r="Y1310" s="131">
        <v>500</v>
      </c>
      <c r="Z1310" s="131">
        <v>0</v>
      </c>
      <c r="AA1310" s="131">
        <v>500</v>
      </c>
      <c r="AB1310" s="131">
        <v>0</v>
      </c>
      <c r="AC1310" s="131">
        <v>500</v>
      </c>
      <c r="AD1310" s="131">
        <v>0</v>
      </c>
      <c r="AE1310" s="132">
        <v>500</v>
      </c>
    </row>
    <row r="1311" spans="1:31" x14ac:dyDescent="0.2">
      <c r="A1311" s="133">
        <v>212</v>
      </c>
      <c r="B1311" s="133" t="s">
        <v>1841</v>
      </c>
      <c r="C1311" s="133" t="s">
        <v>1199</v>
      </c>
      <c r="D1311" s="133" t="s">
        <v>1917</v>
      </c>
      <c r="E1311" s="133" t="s">
        <v>1201</v>
      </c>
      <c r="F1311" s="133" t="s">
        <v>1117</v>
      </c>
      <c r="G1311" s="133" t="s">
        <v>1202</v>
      </c>
      <c r="H1311" s="130" t="s">
        <v>1203</v>
      </c>
      <c r="I1311" s="130" t="s">
        <v>1204</v>
      </c>
      <c r="J1311" s="130" t="s">
        <v>1205</v>
      </c>
      <c r="K1311" s="130" t="s">
        <v>1255</v>
      </c>
      <c r="L1311" s="130" t="s">
        <v>1918</v>
      </c>
      <c r="M1311" s="130" t="s">
        <v>1844</v>
      </c>
      <c r="N1311" s="130" t="s">
        <v>120</v>
      </c>
      <c r="O1311" s="130" t="s">
        <v>1919</v>
      </c>
      <c r="P1311" s="130" t="s">
        <v>1920</v>
      </c>
      <c r="Q1311" s="130" t="s">
        <v>1127</v>
      </c>
      <c r="R1311" s="130" t="s">
        <v>1191</v>
      </c>
      <c r="S1311" s="130" t="s">
        <v>1157</v>
      </c>
      <c r="T1311" s="130" t="s">
        <v>1847</v>
      </c>
      <c r="U1311" s="130">
        <v>3000</v>
      </c>
      <c r="V1311" s="131">
        <v>0</v>
      </c>
      <c r="W1311" s="131">
        <v>3000</v>
      </c>
      <c r="X1311" s="131">
        <v>1296.9000000000001</v>
      </c>
      <c r="Y1311" s="131">
        <v>1703.1</v>
      </c>
      <c r="Z1311" s="131">
        <v>1296.9000000000001</v>
      </c>
      <c r="AA1311" s="131">
        <v>1703.1</v>
      </c>
      <c r="AB1311" s="131">
        <v>1296.9000000000001</v>
      </c>
      <c r="AC1311" s="131">
        <v>1703.1</v>
      </c>
      <c r="AD1311" s="131">
        <v>1296.9000000000001</v>
      </c>
      <c r="AE1311" s="132">
        <v>1703.1</v>
      </c>
    </row>
    <row r="1312" spans="1:31" x14ac:dyDescent="0.2">
      <c r="A1312" s="133">
        <v>212</v>
      </c>
      <c r="B1312" s="133" t="s">
        <v>1841</v>
      </c>
      <c r="C1312" s="133" t="s">
        <v>1199</v>
      </c>
      <c r="D1312" s="133" t="s">
        <v>1917</v>
      </c>
      <c r="E1312" s="133" t="s">
        <v>1201</v>
      </c>
      <c r="F1312" s="133" t="s">
        <v>1117</v>
      </c>
      <c r="G1312" s="133" t="s">
        <v>1202</v>
      </c>
      <c r="H1312" s="133" t="s">
        <v>1203</v>
      </c>
      <c r="I1312" s="133" t="s">
        <v>1204</v>
      </c>
      <c r="J1312" s="133" t="s">
        <v>1205</v>
      </c>
      <c r="K1312" s="130" t="s">
        <v>1256</v>
      </c>
      <c r="L1312" s="130" t="s">
        <v>1918</v>
      </c>
      <c r="M1312" s="130" t="s">
        <v>1844</v>
      </c>
      <c r="N1312" s="130" t="s">
        <v>120</v>
      </c>
      <c r="O1312" s="130" t="s">
        <v>1919</v>
      </c>
      <c r="P1312" s="130" t="s">
        <v>1920</v>
      </c>
      <c r="Q1312" s="130" t="s">
        <v>1127</v>
      </c>
      <c r="R1312" s="130" t="s">
        <v>1191</v>
      </c>
      <c r="S1312" s="130" t="s">
        <v>1157</v>
      </c>
      <c r="T1312" s="130" t="s">
        <v>1847</v>
      </c>
      <c r="U1312" s="130">
        <v>2500</v>
      </c>
      <c r="V1312" s="131">
        <v>0</v>
      </c>
      <c r="W1312" s="131">
        <v>2500</v>
      </c>
      <c r="X1312" s="131">
        <v>1556</v>
      </c>
      <c r="Y1312" s="131">
        <v>944</v>
      </c>
      <c r="Z1312" s="131">
        <v>1556</v>
      </c>
      <c r="AA1312" s="131">
        <v>944</v>
      </c>
      <c r="AB1312" s="131">
        <v>1556</v>
      </c>
      <c r="AC1312" s="131">
        <v>944</v>
      </c>
      <c r="AD1312" s="131">
        <v>1556</v>
      </c>
      <c r="AE1312" s="132">
        <v>944</v>
      </c>
    </row>
    <row r="1313" spans="1:31" x14ac:dyDescent="0.2">
      <c r="A1313" s="133">
        <v>212</v>
      </c>
      <c r="B1313" s="133" t="s">
        <v>1841</v>
      </c>
      <c r="C1313" s="133" t="s">
        <v>1199</v>
      </c>
      <c r="D1313" s="133" t="s">
        <v>1917</v>
      </c>
      <c r="E1313" s="133" t="s">
        <v>1201</v>
      </c>
      <c r="F1313" s="133" t="s">
        <v>1117</v>
      </c>
      <c r="G1313" s="133" t="s">
        <v>1202</v>
      </c>
      <c r="H1313" s="133" t="s">
        <v>1203</v>
      </c>
      <c r="I1313" s="130" t="s">
        <v>1224</v>
      </c>
      <c r="J1313" s="130" t="s">
        <v>1306</v>
      </c>
      <c r="K1313" s="130" t="s">
        <v>1307</v>
      </c>
      <c r="L1313" s="130" t="s">
        <v>1918</v>
      </c>
      <c r="M1313" s="130" t="s">
        <v>1844</v>
      </c>
      <c r="N1313" s="130" t="s">
        <v>120</v>
      </c>
      <c r="O1313" s="130" t="s">
        <v>1919</v>
      </c>
      <c r="P1313" s="130" t="s">
        <v>1920</v>
      </c>
      <c r="Q1313" s="130" t="s">
        <v>1127</v>
      </c>
      <c r="R1313" s="130" t="s">
        <v>1191</v>
      </c>
      <c r="S1313" s="130" t="s">
        <v>1157</v>
      </c>
      <c r="T1313" s="130" t="s">
        <v>1847</v>
      </c>
      <c r="U1313" s="130">
        <v>1500</v>
      </c>
      <c r="V1313" s="131">
        <v>-1000</v>
      </c>
      <c r="W1313" s="131">
        <v>500</v>
      </c>
      <c r="X1313" s="131">
        <v>400</v>
      </c>
      <c r="Y1313" s="131">
        <v>100</v>
      </c>
      <c r="Z1313" s="131">
        <v>400</v>
      </c>
      <c r="AA1313" s="131">
        <v>100</v>
      </c>
      <c r="AB1313" s="131">
        <v>400</v>
      </c>
      <c r="AC1313" s="131">
        <v>100</v>
      </c>
      <c r="AD1313" s="131">
        <v>400</v>
      </c>
      <c r="AE1313" s="132">
        <v>100</v>
      </c>
    </row>
    <row r="1314" spans="1:31" x14ac:dyDescent="0.2">
      <c r="A1314" s="133">
        <v>212</v>
      </c>
      <c r="B1314" s="133" t="s">
        <v>1841</v>
      </c>
      <c r="C1314" s="133" t="s">
        <v>1199</v>
      </c>
      <c r="D1314" s="133" t="s">
        <v>1917</v>
      </c>
      <c r="E1314" s="133" t="s">
        <v>1201</v>
      </c>
      <c r="F1314" s="133" t="s">
        <v>1117</v>
      </c>
      <c r="G1314" s="133" t="s">
        <v>1202</v>
      </c>
      <c r="H1314" s="133" t="s">
        <v>1203</v>
      </c>
      <c r="I1314" s="130" t="s">
        <v>1209</v>
      </c>
      <c r="J1314" s="130" t="s">
        <v>1210</v>
      </c>
      <c r="K1314" s="130" t="s">
        <v>1274</v>
      </c>
      <c r="L1314" s="130" t="s">
        <v>1918</v>
      </c>
      <c r="M1314" s="130" t="s">
        <v>1844</v>
      </c>
      <c r="N1314" s="130" t="s">
        <v>120</v>
      </c>
      <c r="O1314" s="130" t="s">
        <v>1919</v>
      </c>
      <c r="P1314" s="130" t="s">
        <v>1920</v>
      </c>
      <c r="Q1314" s="130" t="s">
        <v>1127</v>
      </c>
      <c r="R1314" s="130" t="s">
        <v>1191</v>
      </c>
      <c r="S1314" s="130" t="s">
        <v>1157</v>
      </c>
      <c r="T1314" s="130" t="s">
        <v>1847</v>
      </c>
      <c r="U1314" s="130">
        <v>5000</v>
      </c>
      <c r="V1314" s="131">
        <v>0</v>
      </c>
      <c r="W1314" s="131">
        <v>5000</v>
      </c>
      <c r="X1314" s="131">
        <v>1100</v>
      </c>
      <c r="Y1314" s="131">
        <v>3900</v>
      </c>
      <c r="Z1314" s="131">
        <v>1100</v>
      </c>
      <c r="AA1314" s="131">
        <v>3900</v>
      </c>
      <c r="AB1314" s="131">
        <v>1100</v>
      </c>
      <c r="AC1314" s="131">
        <v>3900</v>
      </c>
      <c r="AD1314" s="131">
        <v>1100</v>
      </c>
      <c r="AE1314" s="132">
        <v>3900</v>
      </c>
    </row>
    <row r="1315" spans="1:31" x14ac:dyDescent="0.2">
      <c r="A1315" s="133">
        <v>212</v>
      </c>
      <c r="B1315" s="133" t="s">
        <v>1841</v>
      </c>
      <c r="C1315" s="133" t="s">
        <v>1199</v>
      </c>
      <c r="D1315" s="133" t="s">
        <v>1917</v>
      </c>
      <c r="E1315" s="133" t="s">
        <v>1201</v>
      </c>
      <c r="F1315" s="133" t="s">
        <v>1117</v>
      </c>
      <c r="G1315" s="133" t="s">
        <v>1202</v>
      </c>
      <c r="H1315" s="133" t="s">
        <v>1203</v>
      </c>
      <c r="I1315" s="130" t="s">
        <v>1309</v>
      </c>
      <c r="J1315" s="130" t="s">
        <v>1310</v>
      </c>
      <c r="K1315" s="130" t="s">
        <v>1310</v>
      </c>
      <c r="L1315" s="130" t="s">
        <v>1918</v>
      </c>
      <c r="M1315" s="130" t="s">
        <v>1844</v>
      </c>
      <c r="N1315" s="130" t="s">
        <v>120</v>
      </c>
      <c r="O1315" s="130" t="s">
        <v>1919</v>
      </c>
      <c r="P1315" s="130" t="s">
        <v>1920</v>
      </c>
      <c r="Q1315" s="130" t="s">
        <v>1127</v>
      </c>
      <c r="R1315" s="130" t="s">
        <v>1191</v>
      </c>
      <c r="S1315" s="130" t="s">
        <v>1157</v>
      </c>
      <c r="T1315" s="130" t="s">
        <v>1847</v>
      </c>
      <c r="U1315" s="130">
        <v>23970</v>
      </c>
      <c r="V1315" s="131">
        <v>1500</v>
      </c>
      <c r="W1315" s="131">
        <v>25470</v>
      </c>
      <c r="X1315" s="131">
        <v>25400</v>
      </c>
      <c r="Y1315" s="131">
        <v>70</v>
      </c>
      <c r="Z1315" s="131">
        <v>25400</v>
      </c>
      <c r="AA1315" s="131">
        <v>70</v>
      </c>
      <c r="AB1315" s="131">
        <v>25400</v>
      </c>
      <c r="AC1315" s="131">
        <v>70</v>
      </c>
      <c r="AD1315" s="131">
        <v>25400</v>
      </c>
      <c r="AE1315" s="132">
        <v>70</v>
      </c>
    </row>
    <row r="1316" spans="1:31" x14ac:dyDescent="0.2">
      <c r="A1316" s="133">
        <v>212</v>
      </c>
      <c r="B1316" s="133" t="s">
        <v>1841</v>
      </c>
      <c r="C1316" s="133" t="s">
        <v>1199</v>
      </c>
      <c r="D1316" s="133" t="s">
        <v>1917</v>
      </c>
      <c r="E1316" s="130" t="s">
        <v>1855</v>
      </c>
      <c r="F1316" s="130" t="s">
        <v>1117</v>
      </c>
      <c r="G1316" s="130" t="s">
        <v>1202</v>
      </c>
      <c r="H1316" s="130" t="s">
        <v>1203</v>
      </c>
      <c r="I1316" s="130" t="s">
        <v>1309</v>
      </c>
      <c r="J1316" s="130" t="s">
        <v>1310</v>
      </c>
      <c r="K1316" s="130" t="s">
        <v>1310</v>
      </c>
      <c r="L1316" s="130" t="s">
        <v>1918</v>
      </c>
      <c r="M1316" s="130" t="s">
        <v>1844</v>
      </c>
      <c r="N1316" s="130" t="s">
        <v>120</v>
      </c>
      <c r="O1316" s="130" t="s">
        <v>1919</v>
      </c>
      <c r="P1316" s="130" t="s">
        <v>1920</v>
      </c>
      <c r="Q1316" s="130" t="s">
        <v>1127</v>
      </c>
      <c r="R1316" s="130" t="s">
        <v>1191</v>
      </c>
      <c r="S1316" s="130" t="s">
        <v>1157</v>
      </c>
      <c r="T1316" s="130" t="s">
        <v>1847</v>
      </c>
      <c r="U1316" s="130">
        <v>0</v>
      </c>
      <c r="V1316" s="131">
        <v>60000</v>
      </c>
      <c r="W1316" s="131">
        <v>60000</v>
      </c>
      <c r="X1316" s="131">
        <v>51200</v>
      </c>
      <c r="Y1316" s="131">
        <v>8800</v>
      </c>
      <c r="Z1316" s="131">
        <v>51200</v>
      </c>
      <c r="AA1316" s="131">
        <v>8800</v>
      </c>
      <c r="AB1316" s="131">
        <v>51200</v>
      </c>
      <c r="AC1316" s="131">
        <v>8800</v>
      </c>
      <c r="AD1316" s="131">
        <v>22300</v>
      </c>
      <c r="AE1316" s="132">
        <v>37700</v>
      </c>
    </row>
    <row r="1317" spans="1:31" x14ac:dyDescent="0.2">
      <c r="A1317" s="130">
        <v>213</v>
      </c>
      <c r="B1317" s="130" t="s">
        <v>121</v>
      </c>
      <c r="C1317" s="130" t="s">
        <v>1147</v>
      </c>
      <c r="D1317" s="130" t="s">
        <v>1921</v>
      </c>
      <c r="E1317" s="130" t="s">
        <v>1116</v>
      </c>
      <c r="F1317" s="130" t="s">
        <v>1117</v>
      </c>
      <c r="G1317" s="130" t="s">
        <v>1118</v>
      </c>
      <c r="H1317" s="130" t="s">
        <v>1133</v>
      </c>
      <c r="I1317" s="130" t="s">
        <v>1134</v>
      </c>
      <c r="J1317" s="130" t="s">
        <v>1922</v>
      </c>
      <c r="K1317" s="130" t="s">
        <v>1923</v>
      </c>
      <c r="L1317" s="130" t="s">
        <v>1924</v>
      </c>
      <c r="M1317" s="130" t="s">
        <v>1925</v>
      </c>
      <c r="N1317" s="130" t="s">
        <v>120</v>
      </c>
      <c r="O1317" s="130" t="s">
        <v>1860</v>
      </c>
      <c r="P1317" s="130" t="s">
        <v>1866</v>
      </c>
      <c r="Q1317" s="130" t="s">
        <v>1127</v>
      </c>
      <c r="R1317" s="130" t="s">
        <v>1191</v>
      </c>
      <c r="S1317" s="130" t="s">
        <v>1191</v>
      </c>
      <c r="T1317" s="130" t="s">
        <v>1926</v>
      </c>
      <c r="U1317" s="130">
        <v>11115575</v>
      </c>
      <c r="V1317" s="131">
        <v>-11115575</v>
      </c>
      <c r="W1317" s="131">
        <v>0</v>
      </c>
      <c r="X1317" s="131">
        <v>0</v>
      </c>
      <c r="Y1317" s="131">
        <v>0</v>
      </c>
      <c r="Z1317" s="131">
        <v>0</v>
      </c>
      <c r="AA1317" s="131">
        <v>0</v>
      </c>
      <c r="AB1317" s="131">
        <v>0</v>
      </c>
      <c r="AC1317" s="131">
        <v>0</v>
      </c>
      <c r="AD1317" s="131">
        <v>0</v>
      </c>
      <c r="AE1317" s="132">
        <v>0</v>
      </c>
    </row>
    <row r="1318" spans="1:31" x14ac:dyDescent="0.2">
      <c r="A1318" s="133">
        <v>213</v>
      </c>
      <c r="B1318" s="133" t="s">
        <v>121</v>
      </c>
      <c r="C1318" s="133" t="s">
        <v>1147</v>
      </c>
      <c r="D1318" s="133" t="s">
        <v>1921</v>
      </c>
      <c r="E1318" s="133" t="s">
        <v>1116</v>
      </c>
      <c r="F1318" s="133" t="s">
        <v>1117</v>
      </c>
      <c r="G1318" s="133" t="s">
        <v>1118</v>
      </c>
      <c r="H1318" s="133" t="s">
        <v>1133</v>
      </c>
      <c r="I1318" s="133" t="s">
        <v>1134</v>
      </c>
      <c r="J1318" s="130" t="s">
        <v>1135</v>
      </c>
      <c r="K1318" s="130" t="s">
        <v>1206</v>
      </c>
      <c r="L1318" s="130" t="s">
        <v>1924</v>
      </c>
      <c r="M1318" s="130" t="s">
        <v>1925</v>
      </c>
      <c r="N1318" s="130" t="s">
        <v>120</v>
      </c>
      <c r="O1318" s="130" t="s">
        <v>1860</v>
      </c>
      <c r="P1318" s="130" t="s">
        <v>1866</v>
      </c>
      <c r="Q1318" s="130" t="s">
        <v>1127</v>
      </c>
      <c r="R1318" s="130" t="s">
        <v>1191</v>
      </c>
      <c r="S1318" s="130" t="s">
        <v>1191</v>
      </c>
      <c r="T1318" s="130" t="s">
        <v>1926</v>
      </c>
      <c r="U1318" s="130">
        <v>0</v>
      </c>
      <c r="V1318" s="131">
        <v>2390611</v>
      </c>
      <c r="W1318" s="131">
        <v>2390611</v>
      </c>
      <c r="X1318" s="131">
        <v>0</v>
      </c>
      <c r="Y1318" s="131">
        <v>2390611</v>
      </c>
      <c r="Z1318" s="131">
        <v>0</v>
      </c>
      <c r="AA1318" s="131">
        <v>2390611</v>
      </c>
      <c r="AB1318" s="131">
        <v>0</v>
      </c>
      <c r="AC1318" s="131">
        <v>2390611</v>
      </c>
      <c r="AD1318" s="131">
        <v>0</v>
      </c>
      <c r="AE1318" s="132">
        <v>2390611</v>
      </c>
    </row>
    <row r="1319" spans="1:31" x14ac:dyDescent="0.2">
      <c r="A1319" s="133">
        <v>213</v>
      </c>
      <c r="B1319" s="133" t="s">
        <v>121</v>
      </c>
      <c r="C1319" s="133" t="s">
        <v>1147</v>
      </c>
      <c r="D1319" s="133" t="s">
        <v>1921</v>
      </c>
      <c r="E1319" s="130" t="s">
        <v>1143</v>
      </c>
      <c r="F1319" s="130" t="s">
        <v>1117</v>
      </c>
      <c r="G1319" s="130" t="s">
        <v>1118</v>
      </c>
      <c r="H1319" s="130" t="s">
        <v>1133</v>
      </c>
      <c r="I1319" s="130" t="s">
        <v>1134</v>
      </c>
      <c r="J1319" s="130" t="s">
        <v>1922</v>
      </c>
      <c r="K1319" s="130" t="s">
        <v>1923</v>
      </c>
      <c r="L1319" s="130" t="s">
        <v>1924</v>
      </c>
      <c r="M1319" s="130" t="s">
        <v>1925</v>
      </c>
      <c r="N1319" s="130" t="s">
        <v>120</v>
      </c>
      <c r="O1319" s="130" t="s">
        <v>1860</v>
      </c>
      <c r="P1319" s="130" t="s">
        <v>1866</v>
      </c>
      <c r="Q1319" s="130" t="s">
        <v>1127</v>
      </c>
      <c r="R1319" s="130" t="s">
        <v>1191</v>
      </c>
      <c r="S1319" s="130" t="s">
        <v>1191</v>
      </c>
      <c r="T1319" s="130" t="s">
        <v>1926</v>
      </c>
      <c r="U1319" s="130">
        <v>11115575</v>
      </c>
      <c r="V1319" s="131">
        <v>-4136752</v>
      </c>
      <c r="W1319" s="131">
        <v>6978823</v>
      </c>
      <c r="X1319" s="131">
        <v>0</v>
      </c>
      <c r="Y1319" s="131">
        <v>6978823</v>
      </c>
      <c r="Z1319" s="131">
        <v>0</v>
      </c>
      <c r="AA1319" s="131">
        <v>6978823</v>
      </c>
      <c r="AB1319" s="131">
        <v>0</v>
      </c>
      <c r="AC1319" s="131">
        <v>6978823</v>
      </c>
      <c r="AD1319" s="131">
        <v>0</v>
      </c>
      <c r="AE1319" s="132">
        <v>6978823</v>
      </c>
    </row>
    <row r="1320" spans="1:31" x14ac:dyDescent="0.2">
      <c r="A1320" s="133">
        <v>213</v>
      </c>
      <c r="B1320" s="133" t="s">
        <v>121</v>
      </c>
      <c r="C1320" s="133" t="s">
        <v>1147</v>
      </c>
      <c r="D1320" s="133" t="s">
        <v>1921</v>
      </c>
      <c r="E1320" s="133" t="s">
        <v>1143</v>
      </c>
      <c r="F1320" s="133" t="s">
        <v>1117</v>
      </c>
      <c r="G1320" s="133" t="s">
        <v>1118</v>
      </c>
      <c r="H1320" s="133" t="s">
        <v>1133</v>
      </c>
      <c r="I1320" s="133" t="s">
        <v>1134</v>
      </c>
      <c r="J1320" s="130" t="s">
        <v>1135</v>
      </c>
      <c r="K1320" s="130" t="s">
        <v>1206</v>
      </c>
      <c r="L1320" s="130" t="s">
        <v>1924</v>
      </c>
      <c r="M1320" s="130" t="s">
        <v>1925</v>
      </c>
      <c r="N1320" s="130" t="s">
        <v>120</v>
      </c>
      <c r="O1320" s="130" t="s">
        <v>1860</v>
      </c>
      <c r="P1320" s="130" t="s">
        <v>1866</v>
      </c>
      <c r="Q1320" s="130" t="s">
        <v>1127</v>
      </c>
      <c r="R1320" s="130" t="s">
        <v>1191</v>
      </c>
      <c r="S1320" s="130" t="s">
        <v>1191</v>
      </c>
      <c r="T1320" s="130" t="s">
        <v>1926</v>
      </c>
      <c r="U1320" s="130">
        <v>0</v>
      </c>
      <c r="V1320" s="131">
        <v>0</v>
      </c>
      <c r="W1320" s="131">
        <v>0</v>
      </c>
      <c r="X1320" s="131">
        <v>0</v>
      </c>
      <c r="Y1320" s="131">
        <v>0</v>
      </c>
      <c r="Z1320" s="131">
        <v>0</v>
      </c>
      <c r="AA1320" s="131">
        <v>0</v>
      </c>
      <c r="AB1320" s="131">
        <v>0</v>
      </c>
      <c r="AC1320" s="131">
        <v>0</v>
      </c>
      <c r="AD1320" s="131">
        <v>0</v>
      </c>
      <c r="AE1320" s="132">
        <v>0</v>
      </c>
    </row>
    <row r="1321" spans="1:31" x14ac:dyDescent="0.2">
      <c r="A1321" s="130">
        <v>214</v>
      </c>
      <c r="B1321" s="130" t="s">
        <v>121</v>
      </c>
      <c r="C1321" s="130" t="s">
        <v>1147</v>
      </c>
      <c r="D1321" s="130" t="s">
        <v>1921</v>
      </c>
      <c r="E1321" s="130" t="s">
        <v>1116</v>
      </c>
      <c r="F1321" s="130" t="s">
        <v>1117</v>
      </c>
      <c r="G1321" s="130" t="s">
        <v>1118</v>
      </c>
      <c r="H1321" s="130" t="s">
        <v>1133</v>
      </c>
      <c r="I1321" s="130" t="s">
        <v>1134</v>
      </c>
      <c r="J1321" s="130" t="s">
        <v>1922</v>
      </c>
      <c r="K1321" s="130" t="s">
        <v>1923</v>
      </c>
      <c r="L1321" s="130" t="s">
        <v>1924</v>
      </c>
      <c r="M1321" s="130" t="s">
        <v>1925</v>
      </c>
      <c r="N1321" s="130" t="s">
        <v>127</v>
      </c>
      <c r="O1321" s="130" t="s">
        <v>1860</v>
      </c>
      <c r="P1321" s="130" t="s">
        <v>1866</v>
      </c>
      <c r="Q1321" s="130" t="s">
        <v>1127</v>
      </c>
      <c r="R1321" s="130" t="s">
        <v>1191</v>
      </c>
      <c r="S1321" s="130" t="s">
        <v>1191</v>
      </c>
      <c r="T1321" s="130" t="s">
        <v>1926</v>
      </c>
      <c r="U1321" s="130">
        <v>5985312</v>
      </c>
      <c r="V1321" s="131">
        <v>-1980030</v>
      </c>
      <c r="W1321" s="131">
        <v>4005282</v>
      </c>
      <c r="X1321" s="131">
        <v>0</v>
      </c>
      <c r="Y1321" s="131">
        <v>4005282</v>
      </c>
      <c r="Z1321" s="131">
        <v>0</v>
      </c>
      <c r="AA1321" s="131">
        <v>4005282</v>
      </c>
      <c r="AB1321" s="131">
        <v>0</v>
      </c>
      <c r="AC1321" s="131">
        <v>4005282</v>
      </c>
      <c r="AD1321" s="131">
        <v>0</v>
      </c>
      <c r="AE1321" s="132">
        <v>4005282</v>
      </c>
    </row>
    <row r="1322" spans="1:31" x14ac:dyDescent="0.2">
      <c r="A1322" s="130">
        <v>215</v>
      </c>
      <c r="B1322" s="130" t="s">
        <v>121</v>
      </c>
      <c r="C1322" s="130" t="s">
        <v>1147</v>
      </c>
      <c r="D1322" s="130" t="s">
        <v>1921</v>
      </c>
      <c r="E1322" s="130" t="s">
        <v>1143</v>
      </c>
      <c r="F1322" s="130" t="s">
        <v>1117</v>
      </c>
      <c r="G1322" s="130" t="s">
        <v>1118</v>
      </c>
      <c r="H1322" s="130" t="s">
        <v>1133</v>
      </c>
      <c r="I1322" s="130" t="s">
        <v>1134</v>
      </c>
      <c r="J1322" s="130" t="s">
        <v>1922</v>
      </c>
      <c r="K1322" s="130" t="s">
        <v>1923</v>
      </c>
      <c r="L1322" s="130" t="s">
        <v>1924</v>
      </c>
      <c r="M1322" s="130" t="s">
        <v>1925</v>
      </c>
      <c r="N1322" s="130" t="s">
        <v>365</v>
      </c>
      <c r="O1322" s="130" t="s">
        <v>1860</v>
      </c>
      <c r="P1322" s="130" t="s">
        <v>1866</v>
      </c>
      <c r="Q1322" s="130" t="s">
        <v>1127</v>
      </c>
      <c r="R1322" s="130" t="s">
        <v>1191</v>
      </c>
      <c r="S1322" s="130" t="s">
        <v>1191</v>
      </c>
      <c r="T1322" s="130" t="s">
        <v>1926</v>
      </c>
      <c r="U1322" s="130">
        <v>5985312</v>
      </c>
      <c r="V1322" s="131">
        <v>-5985312</v>
      </c>
      <c r="W1322" s="131">
        <v>0</v>
      </c>
      <c r="X1322" s="131">
        <v>0</v>
      </c>
      <c r="Y1322" s="131">
        <v>0</v>
      </c>
      <c r="Z1322" s="131">
        <v>0</v>
      </c>
      <c r="AA1322" s="131">
        <v>0</v>
      </c>
      <c r="AB1322" s="131">
        <v>0</v>
      </c>
      <c r="AC1322" s="131">
        <v>0</v>
      </c>
      <c r="AD1322" s="131">
        <v>0</v>
      </c>
      <c r="AE1322" s="132">
        <v>0</v>
      </c>
    </row>
    <row r="1323" spans="1:31" x14ac:dyDescent="0.2">
      <c r="A1323" s="130">
        <v>216</v>
      </c>
      <c r="B1323" s="130" t="s">
        <v>125</v>
      </c>
      <c r="C1323" s="130" t="s">
        <v>1147</v>
      </c>
      <c r="D1323" s="130" t="s">
        <v>1927</v>
      </c>
      <c r="E1323" s="130" t="s">
        <v>1116</v>
      </c>
      <c r="F1323" s="130" t="s">
        <v>1117</v>
      </c>
      <c r="G1323" s="130" t="s">
        <v>1118</v>
      </c>
      <c r="H1323" s="130" t="s">
        <v>1133</v>
      </c>
      <c r="I1323" s="130" t="s">
        <v>1134</v>
      </c>
      <c r="J1323" s="130" t="s">
        <v>1922</v>
      </c>
      <c r="K1323" s="130" t="s">
        <v>1923</v>
      </c>
      <c r="L1323" s="130" t="s">
        <v>1928</v>
      </c>
      <c r="M1323" s="130" t="s">
        <v>1925</v>
      </c>
      <c r="N1323" s="130" t="s">
        <v>124</v>
      </c>
      <c r="O1323" s="130" t="s">
        <v>1929</v>
      </c>
      <c r="P1323" s="130" t="s">
        <v>1930</v>
      </c>
      <c r="Q1323" s="130" t="s">
        <v>1127</v>
      </c>
      <c r="R1323" s="130" t="s">
        <v>1191</v>
      </c>
      <c r="S1323" s="130" t="s">
        <v>1157</v>
      </c>
      <c r="T1323" s="130" t="s">
        <v>1208</v>
      </c>
      <c r="U1323" s="130">
        <v>11000000</v>
      </c>
      <c r="V1323" s="131">
        <v>-10071791</v>
      </c>
      <c r="W1323" s="131">
        <v>928209</v>
      </c>
      <c r="X1323" s="131">
        <v>879625.49</v>
      </c>
      <c r="Y1323" s="131">
        <v>48583.510000000009</v>
      </c>
      <c r="Z1323" s="131">
        <v>865735.33</v>
      </c>
      <c r="AA1323" s="131">
        <v>62473.670000000042</v>
      </c>
      <c r="AB1323" s="131">
        <v>436083.38</v>
      </c>
      <c r="AC1323" s="131">
        <v>492125.62</v>
      </c>
      <c r="AD1323" s="131">
        <v>329013.59999999998</v>
      </c>
      <c r="AE1323" s="132">
        <v>599195.4</v>
      </c>
    </row>
    <row r="1324" spans="1:31" x14ac:dyDescent="0.2">
      <c r="A1324" s="133">
        <v>216</v>
      </c>
      <c r="B1324" s="133" t="s">
        <v>125</v>
      </c>
      <c r="C1324" s="133" t="s">
        <v>1147</v>
      </c>
      <c r="D1324" s="133" t="s">
        <v>1927</v>
      </c>
      <c r="E1324" s="133" t="s">
        <v>1116</v>
      </c>
      <c r="F1324" s="133" t="s">
        <v>1117</v>
      </c>
      <c r="G1324" s="133" t="s">
        <v>1118</v>
      </c>
      <c r="H1324" s="133" t="s">
        <v>1133</v>
      </c>
      <c r="I1324" s="133" t="s">
        <v>1134</v>
      </c>
      <c r="J1324" s="130" t="s">
        <v>1135</v>
      </c>
      <c r="K1324" s="130" t="s">
        <v>1206</v>
      </c>
      <c r="L1324" s="130" t="s">
        <v>1928</v>
      </c>
      <c r="M1324" s="130" t="s">
        <v>1925</v>
      </c>
      <c r="N1324" s="130" t="s">
        <v>124</v>
      </c>
      <c r="O1324" s="130" t="s">
        <v>1929</v>
      </c>
      <c r="P1324" s="130" t="s">
        <v>1930</v>
      </c>
      <c r="Q1324" s="130" t="s">
        <v>1127</v>
      </c>
      <c r="R1324" s="130" t="s">
        <v>1191</v>
      </c>
      <c r="S1324" s="130" t="s">
        <v>1157</v>
      </c>
      <c r="T1324" s="130" t="s">
        <v>1208</v>
      </c>
      <c r="U1324" s="130">
        <v>0</v>
      </c>
      <c r="V1324" s="131">
        <v>0</v>
      </c>
      <c r="W1324" s="131">
        <v>0</v>
      </c>
      <c r="X1324" s="131">
        <v>0</v>
      </c>
      <c r="Y1324" s="131">
        <v>0</v>
      </c>
      <c r="Z1324" s="131">
        <v>0</v>
      </c>
      <c r="AA1324" s="131">
        <v>0</v>
      </c>
      <c r="AB1324" s="131">
        <v>0</v>
      </c>
      <c r="AC1324" s="131">
        <v>0</v>
      </c>
      <c r="AD1324" s="131">
        <v>0</v>
      </c>
      <c r="AE1324" s="132">
        <v>0</v>
      </c>
    </row>
    <row r="1325" spans="1:31" x14ac:dyDescent="0.2">
      <c r="A1325" s="130">
        <v>217</v>
      </c>
      <c r="B1325" s="130" t="s">
        <v>166</v>
      </c>
      <c r="C1325" s="130" t="s">
        <v>1114</v>
      </c>
      <c r="D1325" s="130" t="s">
        <v>1473</v>
      </c>
      <c r="E1325" s="130" t="s">
        <v>1116</v>
      </c>
      <c r="F1325" s="130" t="s">
        <v>1117</v>
      </c>
      <c r="G1325" s="130" t="s">
        <v>1118</v>
      </c>
      <c r="H1325" s="130" t="s">
        <v>1119</v>
      </c>
      <c r="I1325" s="130" t="s">
        <v>1169</v>
      </c>
      <c r="J1325" s="130" t="s">
        <v>1170</v>
      </c>
      <c r="K1325" s="130" t="s">
        <v>1131</v>
      </c>
      <c r="L1325" s="130" t="s">
        <v>1931</v>
      </c>
      <c r="M1325" s="130" t="s">
        <v>1925</v>
      </c>
      <c r="N1325" s="130" t="s">
        <v>165</v>
      </c>
      <c r="O1325" s="130" t="s">
        <v>1476</v>
      </c>
      <c r="P1325" s="130" t="s">
        <v>1477</v>
      </c>
      <c r="Q1325" s="130" t="s">
        <v>1127</v>
      </c>
      <c r="R1325" s="130" t="s">
        <v>1175</v>
      </c>
      <c r="S1325" s="130" t="s">
        <v>1401</v>
      </c>
      <c r="T1325" s="130" t="s">
        <v>1130</v>
      </c>
      <c r="U1325" s="130">
        <v>0</v>
      </c>
      <c r="V1325" s="131">
        <v>877019</v>
      </c>
      <c r="W1325" s="131">
        <v>877019</v>
      </c>
      <c r="X1325" s="131">
        <v>877019</v>
      </c>
      <c r="Y1325" s="131">
        <v>0</v>
      </c>
      <c r="Z1325" s="131">
        <v>877019</v>
      </c>
      <c r="AA1325" s="131">
        <v>0</v>
      </c>
      <c r="AB1325" s="131">
        <v>457195.44999999995</v>
      </c>
      <c r="AC1325" s="131">
        <v>419823.55000000005</v>
      </c>
      <c r="AD1325" s="131">
        <v>457195.44999999995</v>
      </c>
      <c r="AE1325" s="132">
        <v>419823.55000000005</v>
      </c>
    </row>
    <row r="1326" spans="1:31" x14ac:dyDescent="0.2">
      <c r="A1326" s="133">
        <v>217</v>
      </c>
      <c r="B1326" s="133" t="s">
        <v>166</v>
      </c>
      <c r="C1326" s="133" t="s">
        <v>1114</v>
      </c>
      <c r="D1326" s="133" t="s">
        <v>1473</v>
      </c>
      <c r="E1326" s="133" t="s">
        <v>1116</v>
      </c>
      <c r="F1326" s="133" t="s">
        <v>1117</v>
      </c>
      <c r="G1326" s="133" t="s">
        <v>1118</v>
      </c>
      <c r="H1326" s="133" t="s">
        <v>1119</v>
      </c>
      <c r="I1326" s="133" t="s">
        <v>1169</v>
      </c>
      <c r="J1326" s="133" t="s">
        <v>1170</v>
      </c>
      <c r="K1326" s="130" t="s">
        <v>1177</v>
      </c>
      <c r="L1326" s="130" t="s">
        <v>1931</v>
      </c>
      <c r="M1326" s="130" t="s">
        <v>1925</v>
      </c>
      <c r="N1326" s="130" t="s">
        <v>165</v>
      </c>
      <c r="O1326" s="130" t="s">
        <v>1476</v>
      </c>
      <c r="P1326" s="130" t="s">
        <v>1477</v>
      </c>
      <c r="Q1326" s="130" t="s">
        <v>1127</v>
      </c>
      <c r="R1326" s="130" t="s">
        <v>1175</v>
      </c>
      <c r="S1326" s="130" t="s">
        <v>1401</v>
      </c>
      <c r="T1326" s="130" t="s">
        <v>1130</v>
      </c>
      <c r="U1326" s="130">
        <v>6269000</v>
      </c>
      <c r="V1326" s="131">
        <v>-1326049</v>
      </c>
      <c r="W1326" s="131">
        <v>4942951</v>
      </c>
      <c r="X1326" s="131">
        <v>3532689.48</v>
      </c>
      <c r="Y1326" s="131">
        <v>1410261.52</v>
      </c>
      <c r="Z1326" s="131">
        <v>477376.9</v>
      </c>
      <c r="AA1326" s="131">
        <v>4465574.0999999996</v>
      </c>
      <c r="AB1326" s="131">
        <v>477376.9</v>
      </c>
      <c r="AC1326" s="131">
        <v>4465574.0999999996</v>
      </c>
      <c r="AD1326" s="131">
        <v>388906.85</v>
      </c>
      <c r="AE1326" s="132">
        <v>4554044.1500000004</v>
      </c>
    </row>
    <row r="1327" spans="1:31" x14ac:dyDescent="0.2">
      <c r="A1327" s="133">
        <v>217</v>
      </c>
      <c r="B1327" s="133" t="s">
        <v>166</v>
      </c>
      <c r="C1327" s="133" t="s">
        <v>1114</v>
      </c>
      <c r="D1327" s="133" t="s">
        <v>1473</v>
      </c>
      <c r="E1327" s="133" t="s">
        <v>1116</v>
      </c>
      <c r="F1327" s="133" t="s">
        <v>1117</v>
      </c>
      <c r="G1327" s="133" t="s">
        <v>1118</v>
      </c>
      <c r="H1327" s="133" t="s">
        <v>1119</v>
      </c>
      <c r="I1327" s="133" t="s">
        <v>1169</v>
      </c>
      <c r="J1327" s="133" t="s">
        <v>1170</v>
      </c>
      <c r="K1327" s="130" t="s">
        <v>1132</v>
      </c>
      <c r="L1327" s="130" t="s">
        <v>1931</v>
      </c>
      <c r="M1327" s="130" t="s">
        <v>1925</v>
      </c>
      <c r="N1327" s="130" t="s">
        <v>165</v>
      </c>
      <c r="O1327" s="130" t="s">
        <v>1476</v>
      </c>
      <c r="P1327" s="130" t="s">
        <v>1477</v>
      </c>
      <c r="Q1327" s="130" t="s">
        <v>1127</v>
      </c>
      <c r="R1327" s="130" t="s">
        <v>1175</v>
      </c>
      <c r="S1327" s="130" t="s">
        <v>1401</v>
      </c>
      <c r="T1327" s="130" t="s">
        <v>1130</v>
      </c>
      <c r="U1327" s="130">
        <v>0</v>
      </c>
      <c r="V1327" s="131">
        <v>128400</v>
      </c>
      <c r="W1327" s="131">
        <v>128400</v>
      </c>
      <c r="X1327" s="131">
        <v>46000</v>
      </c>
      <c r="Y1327" s="131">
        <v>82400</v>
      </c>
      <c r="Z1327" s="131">
        <v>46000</v>
      </c>
      <c r="AA1327" s="131">
        <v>82400</v>
      </c>
      <c r="AB1327" s="131">
        <v>46000</v>
      </c>
      <c r="AC1327" s="131">
        <v>82400</v>
      </c>
      <c r="AD1327" s="131">
        <v>25000</v>
      </c>
      <c r="AE1327" s="132">
        <v>103400</v>
      </c>
    </row>
    <row r="1328" spans="1:31" x14ac:dyDescent="0.2">
      <c r="A1328" s="133">
        <v>217</v>
      </c>
      <c r="B1328" s="133" t="s">
        <v>166</v>
      </c>
      <c r="C1328" s="133" t="s">
        <v>1114</v>
      </c>
      <c r="D1328" s="133" t="s">
        <v>1473</v>
      </c>
      <c r="E1328" s="133" t="s">
        <v>1116</v>
      </c>
      <c r="F1328" s="133" t="s">
        <v>1117</v>
      </c>
      <c r="G1328" s="133" t="s">
        <v>1118</v>
      </c>
      <c r="H1328" s="130" t="s">
        <v>1133</v>
      </c>
      <c r="I1328" s="130" t="s">
        <v>1134</v>
      </c>
      <c r="J1328" s="130" t="s">
        <v>1135</v>
      </c>
      <c r="K1328" s="130" t="s">
        <v>1178</v>
      </c>
      <c r="L1328" s="130" t="s">
        <v>1931</v>
      </c>
      <c r="M1328" s="130" t="s">
        <v>1925</v>
      </c>
      <c r="N1328" s="130" t="s">
        <v>165</v>
      </c>
      <c r="O1328" s="130" t="s">
        <v>1476</v>
      </c>
      <c r="P1328" s="130" t="s">
        <v>1477</v>
      </c>
      <c r="Q1328" s="130" t="s">
        <v>1127</v>
      </c>
      <c r="R1328" s="130" t="s">
        <v>1175</v>
      </c>
      <c r="S1328" s="130" t="s">
        <v>1401</v>
      </c>
      <c r="T1328" s="130" t="s">
        <v>1130</v>
      </c>
      <c r="U1328" s="130">
        <v>0</v>
      </c>
      <c r="V1328" s="131">
        <v>272991</v>
      </c>
      <c r="W1328" s="131">
        <v>272991</v>
      </c>
      <c r="X1328" s="131">
        <v>100000</v>
      </c>
      <c r="Y1328" s="131">
        <v>172991</v>
      </c>
      <c r="Z1328" s="131">
        <v>100000</v>
      </c>
      <c r="AA1328" s="131">
        <v>172991</v>
      </c>
      <c r="AB1328" s="131">
        <v>53155.649999999994</v>
      </c>
      <c r="AC1328" s="131">
        <v>219835.35</v>
      </c>
      <c r="AD1328" s="131">
        <v>50876.88</v>
      </c>
      <c r="AE1328" s="132">
        <v>222114.12</v>
      </c>
    </row>
    <row r="1329" spans="1:31" x14ac:dyDescent="0.2">
      <c r="A1329" s="133">
        <v>217</v>
      </c>
      <c r="B1329" s="133" t="s">
        <v>166</v>
      </c>
      <c r="C1329" s="133" t="s">
        <v>1114</v>
      </c>
      <c r="D1329" s="133" t="s">
        <v>1473</v>
      </c>
      <c r="E1329" s="133" t="s">
        <v>1116</v>
      </c>
      <c r="F1329" s="133" t="s">
        <v>1117</v>
      </c>
      <c r="G1329" s="133" t="s">
        <v>1118</v>
      </c>
      <c r="H1329" s="133" t="s">
        <v>1133</v>
      </c>
      <c r="I1329" s="133" t="s">
        <v>1134</v>
      </c>
      <c r="J1329" s="133" t="s">
        <v>1135</v>
      </c>
      <c r="K1329" s="130" t="s">
        <v>1179</v>
      </c>
      <c r="L1329" s="130" t="s">
        <v>1931</v>
      </c>
      <c r="M1329" s="130" t="s">
        <v>1925</v>
      </c>
      <c r="N1329" s="130" t="s">
        <v>165</v>
      </c>
      <c r="O1329" s="130" t="s">
        <v>1476</v>
      </c>
      <c r="P1329" s="130" t="s">
        <v>1477</v>
      </c>
      <c r="Q1329" s="130" t="s">
        <v>1127</v>
      </c>
      <c r="R1329" s="130" t="s">
        <v>1175</v>
      </c>
      <c r="S1329" s="130" t="s">
        <v>1401</v>
      </c>
      <c r="T1329" s="130" t="s">
        <v>1130</v>
      </c>
      <c r="U1329" s="130">
        <v>0</v>
      </c>
      <c r="V1329" s="131">
        <v>18718</v>
      </c>
      <c r="W1329" s="131">
        <v>18718</v>
      </c>
      <c r="X1329" s="131">
        <v>4350</v>
      </c>
      <c r="Y1329" s="131">
        <v>14368</v>
      </c>
      <c r="Z1329" s="131">
        <v>4350</v>
      </c>
      <c r="AA1329" s="131">
        <v>14368</v>
      </c>
      <c r="AB1329" s="131">
        <v>4350</v>
      </c>
      <c r="AC1329" s="131">
        <v>14368</v>
      </c>
      <c r="AD1329" s="131">
        <v>0</v>
      </c>
      <c r="AE1329" s="132">
        <v>18718</v>
      </c>
    </row>
    <row r="1330" spans="1:31" x14ac:dyDescent="0.2">
      <c r="A1330" s="133">
        <v>217</v>
      </c>
      <c r="B1330" s="133" t="s">
        <v>166</v>
      </c>
      <c r="C1330" s="133" t="s">
        <v>1114</v>
      </c>
      <c r="D1330" s="133" t="s">
        <v>1473</v>
      </c>
      <c r="E1330" s="133" t="s">
        <v>1116</v>
      </c>
      <c r="F1330" s="133" t="s">
        <v>1117</v>
      </c>
      <c r="G1330" s="133" t="s">
        <v>1118</v>
      </c>
      <c r="H1330" s="133" t="s">
        <v>1133</v>
      </c>
      <c r="I1330" s="133" t="s">
        <v>1134</v>
      </c>
      <c r="J1330" s="133" t="s">
        <v>1135</v>
      </c>
      <c r="K1330" s="130" t="s">
        <v>1144</v>
      </c>
      <c r="L1330" s="130" t="s">
        <v>1931</v>
      </c>
      <c r="M1330" s="130" t="s">
        <v>1925</v>
      </c>
      <c r="N1330" s="130" t="s">
        <v>165</v>
      </c>
      <c r="O1330" s="130" t="s">
        <v>1476</v>
      </c>
      <c r="P1330" s="130" t="s">
        <v>1477</v>
      </c>
      <c r="Q1330" s="130" t="s">
        <v>1127</v>
      </c>
      <c r="R1330" s="130" t="s">
        <v>1175</v>
      </c>
      <c r="S1330" s="130" t="s">
        <v>1401</v>
      </c>
      <c r="T1330" s="130" t="s">
        <v>1130</v>
      </c>
      <c r="U1330" s="130">
        <v>0</v>
      </c>
      <c r="V1330" s="131">
        <v>28921</v>
      </c>
      <c r="W1330" s="131">
        <v>28921</v>
      </c>
      <c r="X1330" s="131">
        <v>8100</v>
      </c>
      <c r="Y1330" s="131">
        <v>20821</v>
      </c>
      <c r="Z1330" s="131">
        <v>8100</v>
      </c>
      <c r="AA1330" s="131">
        <v>20821</v>
      </c>
      <c r="AB1330" s="131">
        <v>0</v>
      </c>
      <c r="AC1330" s="131">
        <v>28921</v>
      </c>
      <c r="AD1330" s="131">
        <v>0</v>
      </c>
      <c r="AE1330" s="132">
        <v>28921</v>
      </c>
    </row>
    <row r="1331" spans="1:31" x14ac:dyDescent="0.2">
      <c r="A1331" s="130">
        <v>218</v>
      </c>
      <c r="B1331" s="130" t="s">
        <v>128</v>
      </c>
      <c r="C1331" s="130" t="s">
        <v>1147</v>
      </c>
      <c r="D1331" s="130" t="s">
        <v>1346</v>
      </c>
      <c r="E1331" s="130" t="s">
        <v>1116</v>
      </c>
      <c r="F1331" s="130" t="s">
        <v>1117</v>
      </c>
      <c r="G1331" s="130" t="s">
        <v>1118</v>
      </c>
      <c r="H1331" s="130" t="s">
        <v>1159</v>
      </c>
      <c r="I1331" s="130" t="s">
        <v>1160</v>
      </c>
      <c r="J1331" s="130" t="s">
        <v>1163</v>
      </c>
      <c r="K1331" s="130" t="s">
        <v>1164</v>
      </c>
      <c r="L1331" s="130" t="s">
        <v>1932</v>
      </c>
      <c r="M1331" s="130" t="s">
        <v>1925</v>
      </c>
      <c r="N1331" s="130" t="s">
        <v>127</v>
      </c>
      <c r="O1331" s="130" t="s">
        <v>1933</v>
      </c>
      <c r="P1331" s="130" t="s">
        <v>1934</v>
      </c>
      <c r="Q1331" s="130" t="s">
        <v>1127</v>
      </c>
      <c r="R1331" s="130" t="s">
        <v>1140</v>
      </c>
      <c r="S1331" s="130" t="s">
        <v>1157</v>
      </c>
      <c r="T1331" s="130" t="s">
        <v>1354</v>
      </c>
      <c r="U1331" s="130">
        <v>0</v>
      </c>
      <c r="V1331" s="131">
        <v>586123</v>
      </c>
      <c r="W1331" s="131">
        <v>586123</v>
      </c>
      <c r="X1331" s="131">
        <v>586123</v>
      </c>
      <c r="Y1331" s="131">
        <v>0</v>
      </c>
      <c r="Z1331" s="131">
        <v>586123</v>
      </c>
      <c r="AA1331" s="131">
        <v>0</v>
      </c>
      <c r="AB1331" s="131">
        <v>481254.19999999995</v>
      </c>
      <c r="AC1331" s="131">
        <v>104868.80000000005</v>
      </c>
      <c r="AD1331" s="131">
        <v>481254.19999999995</v>
      </c>
      <c r="AE1331" s="132">
        <v>104868.80000000005</v>
      </c>
    </row>
    <row r="1332" spans="1:31" x14ac:dyDescent="0.2">
      <c r="A1332" s="133">
        <v>218</v>
      </c>
      <c r="B1332" s="133" t="s">
        <v>128</v>
      </c>
      <c r="C1332" s="133" t="s">
        <v>1147</v>
      </c>
      <c r="D1332" s="133" t="s">
        <v>1346</v>
      </c>
      <c r="E1332" s="133" t="s">
        <v>1116</v>
      </c>
      <c r="F1332" s="133" t="s">
        <v>1117</v>
      </c>
      <c r="G1332" s="133" t="s">
        <v>1118</v>
      </c>
      <c r="H1332" s="133" t="s">
        <v>1159</v>
      </c>
      <c r="I1332" s="133" t="s">
        <v>1160</v>
      </c>
      <c r="J1332" s="133" t="s">
        <v>1163</v>
      </c>
      <c r="K1332" s="130" t="s">
        <v>1165</v>
      </c>
      <c r="L1332" s="130" t="s">
        <v>1932</v>
      </c>
      <c r="M1332" s="130" t="s">
        <v>1925</v>
      </c>
      <c r="N1332" s="130" t="s">
        <v>127</v>
      </c>
      <c r="O1332" s="130" t="s">
        <v>1933</v>
      </c>
      <c r="P1332" s="130" t="s">
        <v>1934</v>
      </c>
      <c r="Q1332" s="130" t="s">
        <v>1127</v>
      </c>
      <c r="R1332" s="130" t="s">
        <v>1140</v>
      </c>
      <c r="S1332" s="130" t="s">
        <v>1157</v>
      </c>
      <c r="T1332" s="130" t="s">
        <v>1354</v>
      </c>
      <c r="U1332" s="130">
        <v>630478</v>
      </c>
      <c r="V1332" s="131">
        <v>-303093</v>
      </c>
      <c r="W1332" s="131">
        <v>327385</v>
      </c>
      <c r="X1332" s="131">
        <v>191349.3</v>
      </c>
      <c r="Y1332" s="131">
        <v>136035.70000000001</v>
      </c>
      <c r="Z1332" s="131">
        <v>92252.800000000003</v>
      </c>
      <c r="AA1332" s="131">
        <v>235132.2</v>
      </c>
      <c r="AB1332" s="131">
        <v>92252.800000000003</v>
      </c>
      <c r="AC1332" s="131">
        <v>235132.2</v>
      </c>
      <c r="AD1332" s="131">
        <v>29952.799999999999</v>
      </c>
      <c r="AE1332" s="132">
        <v>297432.2</v>
      </c>
    </row>
    <row r="1333" spans="1:31" x14ac:dyDescent="0.2">
      <c r="A1333" s="133">
        <v>218</v>
      </c>
      <c r="B1333" s="133" t="s">
        <v>128</v>
      </c>
      <c r="C1333" s="133" t="s">
        <v>1147</v>
      </c>
      <c r="D1333" s="133" t="s">
        <v>1346</v>
      </c>
      <c r="E1333" s="133" t="s">
        <v>1116</v>
      </c>
      <c r="F1333" s="133" t="s">
        <v>1117</v>
      </c>
      <c r="G1333" s="133" t="s">
        <v>1118</v>
      </c>
      <c r="H1333" s="133" t="s">
        <v>1159</v>
      </c>
      <c r="I1333" s="133" t="s">
        <v>1160</v>
      </c>
      <c r="J1333" s="133" t="s">
        <v>1163</v>
      </c>
      <c r="K1333" s="130" t="s">
        <v>1162</v>
      </c>
      <c r="L1333" s="130" t="s">
        <v>1932</v>
      </c>
      <c r="M1333" s="130" t="s">
        <v>1925</v>
      </c>
      <c r="N1333" s="130" t="s">
        <v>127</v>
      </c>
      <c r="O1333" s="130" t="s">
        <v>1933</v>
      </c>
      <c r="P1333" s="130" t="s">
        <v>1934</v>
      </c>
      <c r="Q1333" s="130" t="s">
        <v>1127</v>
      </c>
      <c r="R1333" s="130" t="s">
        <v>1140</v>
      </c>
      <c r="S1333" s="130" t="s">
        <v>1157</v>
      </c>
      <c r="T1333" s="130" t="s">
        <v>1354</v>
      </c>
      <c r="U1333" s="130">
        <v>0</v>
      </c>
      <c r="V1333" s="131">
        <v>171363</v>
      </c>
      <c r="W1333" s="131">
        <v>171363</v>
      </c>
      <c r="X1333" s="131">
        <v>165711.6</v>
      </c>
      <c r="Y1333" s="131">
        <v>5651.3999999999942</v>
      </c>
      <c r="Z1333" s="131">
        <v>165711.6</v>
      </c>
      <c r="AA1333" s="131">
        <v>5651.3999999999942</v>
      </c>
      <c r="AB1333" s="131">
        <v>165711.6</v>
      </c>
      <c r="AC1333" s="131">
        <v>5651.3999999999942</v>
      </c>
      <c r="AD1333" s="131">
        <v>123592</v>
      </c>
      <c r="AE1333" s="132">
        <v>47771</v>
      </c>
    </row>
    <row r="1334" spans="1:31" x14ac:dyDescent="0.2">
      <c r="A1334" s="133">
        <v>218</v>
      </c>
      <c r="B1334" s="133" t="s">
        <v>128</v>
      </c>
      <c r="C1334" s="133" t="s">
        <v>1147</v>
      </c>
      <c r="D1334" s="133" t="s">
        <v>1346</v>
      </c>
      <c r="E1334" s="133" t="s">
        <v>1116</v>
      </c>
      <c r="F1334" s="133" t="s">
        <v>1117</v>
      </c>
      <c r="G1334" s="133" t="s">
        <v>1118</v>
      </c>
      <c r="H1334" s="130" t="s">
        <v>1133</v>
      </c>
      <c r="I1334" s="130" t="s">
        <v>1134</v>
      </c>
      <c r="J1334" s="130" t="s">
        <v>1135</v>
      </c>
      <c r="K1334" s="130" t="s">
        <v>1178</v>
      </c>
      <c r="L1334" s="130" t="s">
        <v>1932</v>
      </c>
      <c r="M1334" s="130" t="s">
        <v>1925</v>
      </c>
      <c r="N1334" s="130" t="s">
        <v>127</v>
      </c>
      <c r="O1334" s="130" t="s">
        <v>1933</v>
      </c>
      <c r="P1334" s="130" t="s">
        <v>1934</v>
      </c>
      <c r="Q1334" s="130" t="s">
        <v>1127</v>
      </c>
      <c r="R1334" s="130" t="s">
        <v>1140</v>
      </c>
      <c r="S1334" s="130" t="s">
        <v>1157</v>
      </c>
      <c r="T1334" s="130" t="s">
        <v>1354</v>
      </c>
      <c r="U1334" s="130">
        <v>0</v>
      </c>
      <c r="V1334" s="131">
        <v>56110</v>
      </c>
      <c r="W1334" s="131">
        <v>56110</v>
      </c>
      <c r="X1334" s="131">
        <v>50100</v>
      </c>
      <c r="Y1334" s="131">
        <v>6010</v>
      </c>
      <c r="Z1334" s="131">
        <v>50100</v>
      </c>
      <c r="AA1334" s="131">
        <v>6010</v>
      </c>
      <c r="AB1334" s="131">
        <v>49358.110000000008</v>
      </c>
      <c r="AC1334" s="131">
        <v>6751.8899999999921</v>
      </c>
      <c r="AD1334" s="131">
        <v>49358.110000000008</v>
      </c>
      <c r="AE1334" s="132">
        <v>6751.8899999999921</v>
      </c>
    </row>
    <row r="1335" spans="1:31" x14ac:dyDescent="0.2">
      <c r="A1335" s="133">
        <v>218</v>
      </c>
      <c r="B1335" s="133" t="s">
        <v>128</v>
      </c>
      <c r="C1335" s="133" t="s">
        <v>1147</v>
      </c>
      <c r="D1335" s="133" t="s">
        <v>1346</v>
      </c>
      <c r="E1335" s="133" t="s">
        <v>1116</v>
      </c>
      <c r="F1335" s="133" t="s">
        <v>1117</v>
      </c>
      <c r="G1335" s="133" t="s">
        <v>1118</v>
      </c>
      <c r="H1335" s="133" t="s">
        <v>1133</v>
      </c>
      <c r="I1335" s="133" t="s">
        <v>1134</v>
      </c>
      <c r="J1335" s="133" t="s">
        <v>1135</v>
      </c>
      <c r="K1335" s="130" t="s">
        <v>1179</v>
      </c>
      <c r="L1335" s="130" t="s">
        <v>1932</v>
      </c>
      <c r="M1335" s="130" t="s">
        <v>1925</v>
      </c>
      <c r="N1335" s="130" t="s">
        <v>127</v>
      </c>
      <c r="O1335" s="130" t="s">
        <v>1933</v>
      </c>
      <c r="P1335" s="130" t="s">
        <v>1934</v>
      </c>
      <c r="Q1335" s="130" t="s">
        <v>1127</v>
      </c>
      <c r="R1335" s="130" t="s">
        <v>1140</v>
      </c>
      <c r="S1335" s="130" t="s">
        <v>1157</v>
      </c>
      <c r="T1335" s="130" t="s">
        <v>1354</v>
      </c>
      <c r="U1335" s="130">
        <v>0</v>
      </c>
      <c r="V1335" s="131">
        <v>6659</v>
      </c>
      <c r="W1335" s="131">
        <v>6659</v>
      </c>
      <c r="X1335" s="131">
        <v>1765</v>
      </c>
      <c r="Y1335" s="131">
        <v>4894</v>
      </c>
      <c r="Z1335" s="131">
        <v>1765</v>
      </c>
      <c r="AA1335" s="131">
        <v>4894</v>
      </c>
      <c r="AB1335" s="131">
        <v>1765</v>
      </c>
      <c r="AC1335" s="131">
        <v>4894</v>
      </c>
      <c r="AD1335" s="131">
        <v>0</v>
      </c>
      <c r="AE1335" s="132">
        <v>6659</v>
      </c>
    </row>
    <row r="1336" spans="1:31" x14ac:dyDescent="0.2">
      <c r="A1336" s="133">
        <v>218</v>
      </c>
      <c r="B1336" s="133" t="s">
        <v>128</v>
      </c>
      <c r="C1336" s="133" t="s">
        <v>1147</v>
      </c>
      <c r="D1336" s="133" t="s">
        <v>1346</v>
      </c>
      <c r="E1336" s="133" t="s">
        <v>1116</v>
      </c>
      <c r="F1336" s="133" t="s">
        <v>1117</v>
      </c>
      <c r="G1336" s="133" t="s">
        <v>1118</v>
      </c>
      <c r="H1336" s="133" t="s">
        <v>1133</v>
      </c>
      <c r="I1336" s="133" t="s">
        <v>1134</v>
      </c>
      <c r="J1336" s="133" t="s">
        <v>1135</v>
      </c>
      <c r="K1336" s="130" t="s">
        <v>1144</v>
      </c>
      <c r="L1336" s="130" t="s">
        <v>1932</v>
      </c>
      <c r="M1336" s="130" t="s">
        <v>1925</v>
      </c>
      <c r="N1336" s="130" t="s">
        <v>127</v>
      </c>
      <c r="O1336" s="130" t="s">
        <v>1933</v>
      </c>
      <c r="P1336" s="130" t="s">
        <v>1934</v>
      </c>
      <c r="Q1336" s="130" t="s">
        <v>1127</v>
      </c>
      <c r="R1336" s="130" t="s">
        <v>1140</v>
      </c>
      <c r="S1336" s="130" t="s">
        <v>1157</v>
      </c>
      <c r="T1336" s="130" t="s">
        <v>1354</v>
      </c>
      <c r="U1336" s="130">
        <v>0</v>
      </c>
      <c r="V1336" s="131">
        <v>2805</v>
      </c>
      <c r="W1336" s="131">
        <v>2805</v>
      </c>
      <c r="X1336" s="131">
        <v>2805</v>
      </c>
      <c r="Y1336" s="131">
        <v>0</v>
      </c>
      <c r="Z1336" s="131">
        <v>2805</v>
      </c>
      <c r="AA1336" s="131">
        <v>0</v>
      </c>
      <c r="AB1336" s="131">
        <v>2805</v>
      </c>
      <c r="AC1336" s="131">
        <v>0</v>
      </c>
      <c r="AD1336" s="131">
        <v>2805</v>
      </c>
      <c r="AE1336" s="132">
        <v>0</v>
      </c>
    </row>
    <row r="1337" spans="1:31" x14ac:dyDescent="0.2">
      <c r="A1337" s="130">
        <v>219</v>
      </c>
      <c r="B1337" s="130" t="s">
        <v>1935</v>
      </c>
      <c r="C1337" s="130" t="s">
        <v>1114</v>
      </c>
      <c r="D1337" s="130" t="s">
        <v>1936</v>
      </c>
      <c r="E1337" s="130" t="s">
        <v>1201</v>
      </c>
      <c r="F1337" s="130" t="s">
        <v>1117</v>
      </c>
      <c r="G1337" s="130" t="s">
        <v>1118</v>
      </c>
      <c r="H1337" s="130" t="s">
        <v>1119</v>
      </c>
      <c r="I1337" s="130" t="s">
        <v>1120</v>
      </c>
      <c r="J1337" s="130" t="s">
        <v>1121</v>
      </c>
      <c r="K1337" s="130" t="s">
        <v>1122</v>
      </c>
      <c r="L1337" s="130" t="s">
        <v>1937</v>
      </c>
      <c r="M1337" s="130" t="s">
        <v>1925</v>
      </c>
      <c r="N1337" s="130" t="s">
        <v>152</v>
      </c>
      <c r="O1337" s="130" t="s">
        <v>1125</v>
      </c>
      <c r="P1337" s="130" t="s">
        <v>1126</v>
      </c>
      <c r="Q1337" s="130" t="s">
        <v>1127</v>
      </c>
      <c r="R1337" s="130" t="s">
        <v>1409</v>
      </c>
      <c r="S1337" s="130" t="s">
        <v>1460</v>
      </c>
      <c r="T1337" s="130" t="s">
        <v>1130</v>
      </c>
      <c r="U1337" s="130">
        <v>56150305</v>
      </c>
      <c r="V1337" s="131">
        <v>-3689091</v>
      </c>
      <c r="W1337" s="131">
        <v>52461214</v>
      </c>
      <c r="X1337" s="131">
        <v>51891586.990000002</v>
      </c>
      <c r="Y1337" s="131">
        <v>569627.00999999791</v>
      </c>
      <c r="Z1337" s="131">
        <v>7366130.0999999996</v>
      </c>
      <c r="AA1337" s="131">
        <v>45095083.899999999</v>
      </c>
      <c r="AB1337" s="131">
        <v>7366130.0999999996</v>
      </c>
      <c r="AC1337" s="131">
        <v>45095083.899999999</v>
      </c>
      <c r="AD1337" s="131">
        <v>7366130.0999999996</v>
      </c>
      <c r="AE1337" s="132">
        <v>45095083.899999999</v>
      </c>
    </row>
    <row r="1338" spans="1:31" x14ac:dyDescent="0.2">
      <c r="A1338" s="133">
        <v>219</v>
      </c>
      <c r="B1338" s="133" t="s">
        <v>1935</v>
      </c>
      <c r="C1338" s="133" t="s">
        <v>1114</v>
      </c>
      <c r="D1338" s="133" t="s">
        <v>1936</v>
      </c>
      <c r="E1338" s="133" t="s">
        <v>1201</v>
      </c>
      <c r="F1338" s="133" t="s">
        <v>1117</v>
      </c>
      <c r="G1338" s="133" t="s">
        <v>1118</v>
      </c>
      <c r="H1338" s="130" t="s">
        <v>1133</v>
      </c>
      <c r="I1338" s="130" t="s">
        <v>1134</v>
      </c>
      <c r="J1338" s="130" t="s">
        <v>1135</v>
      </c>
      <c r="K1338" s="130" t="s">
        <v>1178</v>
      </c>
      <c r="L1338" s="130" t="s">
        <v>1937</v>
      </c>
      <c r="M1338" s="130" t="s">
        <v>1925</v>
      </c>
      <c r="N1338" s="130" t="s">
        <v>152</v>
      </c>
      <c r="O1338" s="130" t="s">
        <v>1125</v>
      </c>
      <c r="P1338" s="130" t="s">
        <v>1126</v>
      </c>
      <c r="Q1338" s="130" t="s">
        <v>1127</v>
      </c>
      <c r="R1338" s="130" t="s">
        <v>1409</v>
      </c>
      <c r="S1338" s="130" t="s">
        <v>1460</v>
      </c>
      <c r="T1338" s="130" t="s">
        <v>1130</v>
      </c>
      <c r="U1338" s="130">
        <v>0</v>
      </c>
      <c r="V1338" s="131">
        <v>640000</v>
      </c>
      <c r="W1338" s="131">
        <v>640000</v>
      </c>
      <c r="X1338" s="131">
        <v>640000</v>
      </c>
      <c r="Y1338" s="131">
        <v>0</v>
      </c>
      <c r="Z1338" s="131">
        <v>640000</v>
      </c>
      <c r="AA1338" s="131">
        <v>0</v>
      </c>
      <c r="AB1338" s="131">
        <v>311010.33999999997</v>
      </c>
      <c r="AC1338" s="131">
        <v>328989.66000000003</v>
      </c>
      <c r="AD1338" s="131">
        <v>311010.33999999997</v>
      </c>
      <c r="AE1338" s="132">
        <v>328989.66000000003</v>
      </c>
    </row>
    <row r="1339" spans="1:31" x14ac:dyDescent="0.2">
      <c r="A1339" s="133">
        <v>219</v>
      </c>
      <c r="B1339" s="133" t="s">
        <v>1935</v>
      </c>
      <c r="C1339" s="133" t="s">
        <v>1114</v>
      </c>
      <c r="D1339" s="133" t="s">
        <v>1936</v>
      </c>
      <c r="E1339" s="133" t="s">
        <v>1201</v>
      </c>
      <c r="F1339" s="133" t="s">
        <v>1117</v>
      </c>
      <c r="G1339" s="133" t="s">
        <v>1118</v>
      </c>
      <c r="H1339" s="133" t="s">
        <v>1133</v>
      </c>
      <c r="I1339" s="133" t="s">
        <v>1134</v>
      </c>
      <c r="J1339" s="133" t="s">
        <v>1135</v>
      </c>
      <c r="K1339" s="130" t="s">
        <v>1179</v>
      </c>
      <c r="L1339" s="130" t="s">
        <v>1937</v>
      </c>
      <c r="M1339" s="130" t="s">
        <v>1925</v>
      </c>
      <c r="N1339" s="130" t="s">
        <v>152</v>
      </c>
      <c r="O1339" s="130" t="s">
        <v>1125</v>
      </c>
      <c r="P1339" s="130" t="s">
        <v>1126</v>
      </c>
      <c r="Q1339" s="130" t="s">
        <v>1127</v>
      </c>
      <c r="R1339" s="130" t="s">
        <v>1409</v>
      </c>
      <c r="S1339" s="130" t="s">
        <v>1460</v>
      </c>
      <c r="T1339" s="130" t="s">
        <v>1130</v>
      </c>
      <c r="U1339" s="130">
        <v>0</v>
      </c>
      <c r="V1339" s="131">
        <v>50015</v>
      </c>
      <c r="W1339" s="131">
        <v>50015</v>
      </c>
      <c r="X1339" s="131">
        <v>5600</v>
      </c>
      <c r="Y1339" s="131">
        <v>44415</v>
      </c>
      <c r="Z1339" s="131">
        <v>2300</v>
      </c>
      <c r="AA1339" s="131">
        <v>47715</v>
      </c>
      <c r="AB1339" s="131">
        <v>2300</v>
      </c>
      <c r="AC1339" s="131">
        <v>47715</v>
      </c>
      <c r="AD1339" s="131">
        <v>2300</v>
      </c>
      <c r="AE1339" s="132">
        <v>47715</v>
      </c>
    </row>
    <row r="1340" spans="1:31" x14ac:dyDescent="0.2">
      <c r="A1340" s="133">
        <v>219</v>
      </c>
      <c r="B1340" s="133" t="s">
        <v>1935</v>
      </c>
      <c r="C1340" s="133" t="s">
        <v>1114</v>
      </c>
      <c r="D1340" s="133" t="s">
        <v>1936</v>
      </c>
      <c r="E1340" s="133" t="s">
        <v>1201</v>
      </c>
      <c r="F1340" s="133" t="s">
        <v>1117</v>
      </c>
      <c r="G1340" s="133" t="s">
        <v>1118</v>
      </c>
      <c r="H1340" s="133" t="s">
        <v>1133</v>
      </c>
      <c r="I1340" s="133" t="s">
        <v>1134</v>
      </c>
      <c r="J1340" s="133" t="s">
        <v>1135</v>
      </c>
      <c r="K1340" s="130" t="s">
        <v>1144</v>
      </c>
      <c r="L1340" s="130" t="s">
        <v>1937</v>
      </c>
      <c r="M1340" s="130" t="s">
        <v>1925</v>
      </c>
      <c r="N1340" s="130" t="s">
        <v>152</v>
      </c>
      <c r="O1340" s="130" t="s">
        <v>1125</v>
      </c>
      <c r="P1340" s="130" t="s">
        <v>1126</v>
      </c>
      <c r="Q1340" s="130" t="s">
        <v>1127</v>
      </c>
      <c r="R1340" s="130" t="s">
        <v>1409</v>
      </c>
      <c r="S1340" s="130" t="s">
        <v>1460</v>
      </c>
      <c r="T1340" s="130" t="s">
        <v>1130</v>
      </c>
      <c r="U1340" s="130">
        <v>0</v>
      </c>
      <c r="V1340" s="131">
        <v>2999076</v>
      </c>
      <c r="W1340" s="131">
        <v>2999076</v>
      </c>
      <c r="X1340" s="131">
        <v>1896381.94</v>
      </c>
      <c r="Y1340" s="131">
        <v>1102694.06</v>
      </c>
      <c r="Z1340" s="131">
        <v>497555.27</v>
      </c>
      <c r="AA1340" s="131">
        <v>2501520.73</v>
      </c>
      <c r="AB1340" s="131">
        <v>497555.27</v>
      </c>
      <c r="AC1340" s="131">
        <v>2501520.73</v>
      </c>
      <c r="AD1340" s="131">
        <v>497555.27</v>
      </c>
      <c r="AE1340" s="132">
        <v>2501520.73</v>
      </c>
    </row>
    <row r="1341" spans="1:31" x14ac:dyDescent="0.2">
      <c r="A1341" s="130">
        <v>220</v>
      </c>
      <c r="B1341" s="130" t="s">
        <v>154</v>
      </c>
      <c r="C1341" s="130" t="s">
        <v>1114</v>
      </c>
      <c r="D1341" s="130" t="s">
        <v>1138</v>
      </c>
      <c r="E1341" s="130" t="s">
        <v>1201</v>
      </c>
      <c r="F1341" s="130" t="s">
        <v>1117</v>
      </c>
      <c r="G1341" s="130" t="s">
        <v>1118</v>
      </c>
      <c r="H1341" s="130" t="s">
        <v>1119</v>
      </c>
      <c r="I1341" s="130" t="s">
        <v>1120</v>
      </c>
      <c r="J1341" s="130" t="s">
        <v>1121</v>
      </c>
      <c r="K1341" s="130" t="s">
        <v>1131</v>
      </c>
      <c r="L1341" s="130" t="s">
        <v>1938</v>
      </c>
      <c r="M1341" s="130" t="s">
        <v>1925</v>
      </c>
      <c r="N1341" s="130" t="s">
        <v>152</v>
      </c>
      <c r="O1341" s="130" t="s">
        <v>1125</v>
      </c>
      <c r="P1341" s="130" t="s">
        <v>1126</v>
      </c>
      <c r="Q1341" s="130" t="s">
        <v>1127</v>
      </c>
      <c r="R1341" s="130" t="s">
        <v>1413</v>
      </c>
      <c r="S1341" s="130" t="s">
        <v>1414</v>
      </c>
      <c r="T1341" s="130" t="s">
        <v>1939</v>
      </c>
      <c r="U1341" s="130">
        <v>0</v>
      </c>
      <c r="V1341" s="131">
        <v>84000</v>
      </c>
      <c r="W1341" s="131">
        <v>84000</v>
      </c>
      <c r="X1341" s="131">
        <v>84000</v>
      </c>
      <c r="Y1341" s="131">
        <v>0</v>
      </c>
      <c r="Z1341" s="131">
        <v>84000</v>
      </c>
      <c r="AA1341" s="131">
        <v>0</v>
      </c>
      <c r="AB1341" s="131">
        <v>51472.280000000006</v>
      </c>
      <c r="AC1341" s="131">
        <v>32527.719999999994</v>
      </c>
      <c r="AD1341" s="131">
        <v>51472.280000000006</v>
      </c>
      <c r="AE1341" s="132">
        <v>32527.719999999994</v>
      </c>
    </row>
    <row r="1342" spans="1:31" x14ac:dyDescent="0.2">
      <c r="A1342" s="133">
        <v>220</v>
      </c>
      <c r="B1342" s="133" t="s">
        <v>154</v>
      </c>
      <c r="C1342" s="133" t="s">
        <v>1114</v>
      </c>
      <c r="D1342" s="133" t="s">
        <v>1138</v>
      </c>
      <c r="E1342" s="133" t="s">
        <v>1201</v>
      </c>
      <c r="F1342" s="133" t="s">
        <v>1117</v>
      </c>
      <c r="G1342" s="133" t="s">
        <v>1118</v>
      </c>
      <c r="H1342" s="133" t="s">
        <v>1119</v>
      </c>
      <c r="I1342" s="133" t="s">
        <v>1120</v>
      </c>
      <c r="J1342" s="133" t="s">
        <v>1121</v>
      </c>
      <c r="K1342" s="130" t="s">
        <v>1177</v>
      </c>
      <c r="L1342" s="130" t="s">
        <v>1938</v>
      </c>
      <c r="M1342" s="130" t="s">
        <v>1925</v>
      </c>
      <c r="N1342" s="130" t="s">
        <v>152</v>
      </c>
      <c r="O1342" s="130" t="s">
        <v>1125</v>
      </c>
      <c r="P1342" s="130" t="s">
        <v>1126</v>
      </c>
      <c r="Q1342" s="130" t="s">
        <v>1127</v>
      </c>
      <c r="R1342" s="130" t="s">
        <v>1413</v>
      </c>
      <c r="S1342" s="130" t="s">
        <v>1414</v>
      </c>
      <c r="T1342" s="130" t="s">
        <v>1939</v>
      </c>
      <c r="U1342" s="130">
        <v>0</v>
      </c>
      <c r="V1342" s="131">
        <v>0</v>
      </c>
      <c r="W1342" s="131">
        <v>0</v>
      </c>
      <c r="X1342" s="131">
        <v>0</v>
      </c>
      <c r="Y1342" s="131">
        <v>0</v>
      </c>
      <c r="Z1342" s="131">
        <v>0</v>
      </c>
      <c r="AA1342" s="131">
        <v>0</v>
      </c>
      <c r="AB1342" s="131">
        <v>0</v>
      </c>
      <c r="AC1342" s="131">
        <v>0</v>
      </c>
      <c r="AD1342" s="131">
        <v>0</v>
      </c>
      <c r="AE1342" s="132">
        <v>0</v>
      </c>
    </row>
    <row r="1343" spans="1:31" x14ac:dyDescent="0.2">
      <c r="A1343" s="133">
        <v>220</v>
      </c>
      <c r="B1343" s="133" t="s">
        <v>154</v>
      </c>
      <c r="C1343" s="133" t="s">
        <v>1114</v>
      </c>
      <c r="D1343" s="133" t="s">
        <v>1138</v>
      </c>
      <c r="E1343" s="133" t="s">
        <v>1201</v>
      </c>
      <c r="F1343" s="133" t="s">
        <v>1117</v>
      </c>
      <c r="G1343" s="133" t="s">
        <v>1118</v>
      </c>
      <c r="H1343" s="133" t="s">
        <v>1119</v>
      </c>
      <c r="I1343" s="133" t="s">
        <v>1120</v>
      </c>
      <c r="J1343" s="133" t="s">
        <v>1121</v>
      </c>
      <c r="K1343" s="130" t="s">
        <v>1132</v>
      </c>
      <c r="L1343" s="130" t="s">
        <v>1938</v>
      </c>
      <c r="M1343" s="130" t="s">
        <v>1925</v>
      </c>
      <c r="N1343" s="130" t="s">
        <v>152</v>
      </c>
      <c r="O1343" s="130" t="s">
        <v>1125</v>
      </c>
      <c r="P1343" s="130" t="s">
        <v>1126</v>
      </c>
      <c r="Q1343" s="130" t="s">
        <v>1127</v>
      </c>
      <c r="R1343" s="130" t="s">
        <v>1413</v>
      </c>
      <c r="S1343" s="130" t="s">
        <v>1414</v>
      </c>
      <c r="T1343" s="130" t="s">
        <v>1939</v>
      </c>
      <c r="U1343" s="130">
        <v>54666680</v>
      </c>
      <c r="V1343" s="131">
        <v>-623698</v>
      </c>
      <c r="W1343" s="131">
        <v>54042982</v>
      </c>
      <c r="X1343" s="131">
        <v>544.9</v>
      </c>
      <c r="Y1343" s="131">
        <v>54042437.100000001</v>
      </c>
      <c r="Z1343" s="131">
        <v>260.39999999999998</v>
      </c>
      <c r="AA1343" s="131">
        <v>54042721.600000001</v>
      </c>
      <c r="AB1343" s="131">
        <v>260.39999999999998</v>
      </c>
      <c r="AC1343" s="131">
        <v>54042721.600000001</v>
      </c>
      <c r="AD1343" s="131">
        <v>260.39999999999998</v>
      </c>
      <c r="AE1343" s="132">
        <v>54042721.600000001</v>
      </c>
    </row>
    <row r="1344" spans="1:31" x14ac:dyDescent="0.2">
      <c r="A1344" s="133">
        <v>220</v>
      </c>
      <c r="B1344" s="133" t="s">
        <v>154</v>
      </c>
      <c r="C1344" s="133" t="s">
        <v>1114</v>
      </c>
      <c r="D1344" s="133" t="s">
        <v>1138</v>
      </c>
      <c r="E1344" s="133" t="s">
        <v>1201</v>
      </c>
      <c r="F1344" s="133" t="s">
        <v>1117</v>
      </c>
      <c r="G1344" s="133" t="s">
        <v>1118</v>
      </c>
      <c r="H1344" s="130" t="s">
        <v>1133</v>
      </c>
      <c r="I1344" s="130" t="s">
        <v>1134</v>
      </c>
      <c r="J1344" s="130" t="s">
        <v>1166</v>
      </c>
      <c r="K1344" s="130" t="s">
        <v>1167</v>
      </c>
      <c r="L1344" s="130" t="s">
        <v>1938</v>
      </c>
      <c r="M1344" s="130" t="s">
        <v>1925</v>
      </c>
      <c r="N1344" s="130" t="s">
        <v>152</v>
      </c>
      <c r="O1344" s="130" t="s">
        <v>1125</v>
      </c>
      <c r="P1344" s="130" t="s">
        <v>1126</v>
      </c>
      <c r="Q1344" s="130" t="s">
        <v>1127</v>
      </c>
      <c r="R1344" s="130" t="s">
        <v>1413</v>
      </c>
      <c r="S1344" s="130" t="s">
        <v>1414</v>
      </c>
      <c r="T1344" s="130" t="s">
        <v>1939</v>
      </c>
      <c r="U1344" s="130">
        <v>0</v>
      </c>
      <c r="V1344" s="131">
        <v>525594</v>
      </c>
      <c r="W1344" s="131">
        <v>525594</v>
      </c>
      <c r="X1344" s="131">
        <v>70000</v>
      </c>
      <c r="Y1344" s="131">
        <v>455594</v>
      </c>
      <c r="Z1344" s="131">
        <v>70000</v>
      </c>
      <c r="AA1344" s="131">
        <v>455594</v>
      </c>
      <c r="AB1344" s="131">
        <v>70000</v>
      </c>
      <c r="AC1344" s="131">
        <v>455594</v>
      </c>
      <c r="AD1344" s="131">
        <v>0</v>
      </c>
      <c r="AE1344" s="132">
        <v>525594</v>
      </c>
    </row>
    <row r="1345" spans="1:31" x14ac:dyDescent="0.2">
      <c r="A1345" s="133">
        <v>220</v>
      </c>
      <c r="B1345" s="133" t="s">
        <v>154</v>
      </c>
      <c r="C1345" s="133" t="s">
        <v>1114</v>
      </c>
      <c r="D1345" s="133" t="s">
        <v>1138</v>
      </c>
      <c r="E1345" s="133" t="s">
        <v>1201</v>
      </c>
      <c r="F1345" s="133" t="s">
        <v>1117</v>
      </c>
      <c r="G1345" s="133" t="s">
        <v>1118</v>
      </c>
      <c r="H1345" s="133" t="s">
        <v>1133</v>
      </c>
      <c r="I1345" s="133" t="s">
        <v>1134</v>
      </c>
      <c r="J1345" s="130" t="s">
        <v>1135</v>
      </c>
      <c r="K1345" s="130" t="s">
        <v>1136</v>
      </c>
      <c r="L1345" s="130" t="s">
        <v>1938</v>
      </c>
      <c r="M1345" s="130" t="s">
        <v>1925</v>
      </c>
      <c r="N1345" s="130" t="s">
        <v>152</v>
      </c>
      <c r="O1345" s="130" t="s">
        <v>1125</v>
      </c>
      <c r="P1345" s="130" t="s">
        <v>1126</v>
      </c>
      <c r="Q1345" s="130" t="s">
        <v>1127</v>
      </c>
      <c r="R1345" s="130" t="s">
        <v>1413</v>
      </c>
      <c r="S1345" s="130" t="s">
        <v>1414</v>
      </c>
      <c r="T1345" s="130" t="s">
        <v>1939</v>
      </c>
      <c r="U1345" s="130">
        <v>0</v>
      </c>
      <c r="V1345" s="131">
        <v>14104</v>
      </c>
      <c r="W1345" s="131">
        <v>14104</v>
      </c>
      <c r="X1345" s="131">
        <v>14104</v>
      </c>
      <c r="Y1345" s="131">
        <v>0</v>
      </c>
      <c r="Z1345" s="131">
        <v>12353.85</v>
      </c>
      <c r="AA1345" s="131">
        <v>1750.1499999999996</v>
      </c>
      <c r="AB1345" s="131">
        <v>12353.85</v>
      </c>
      <c r="AC1345" s="131">
        <v>1750.1499999999996</v>
      </c>
      <c r="AD1345" s="131">
        <v>12353.85</v>
      </c>
      <c r="AE1345" s="132">
        <v>1750.1499999999996</v>
      </c>
    </row>
    <row r="1346" spans="1:31" x14ac:dyDescent="0.2">
      <c r="A1346" s="130">
        <v>221</v>
      </c>
      <c r="B1346" s="130" t="s">
        <v>1940</v>
      </c>
      <c r="C1346" s="130" t="s">
        <v>1114</v>
      </c>
      <c r="D1346" s="130" t="s">
        <v>1839</v>
      </c>
      <c r="E1346" s="130" t="s">
        <v>1116</v>
      </c>
      <c r="F1346" s="130" t="s">
        <v>1117</v>
      </c>
      <c r="G1346" s="130" t="s">
        <v>1118</v>
      </c>
      <c r="H1346" s="130" t="s">
        <v>1119</v>
      </c>
      <c r="I1346" s="130" t="s">
        <v>1120</v>
      </c>
      <c r="J1346" s="130" t="s">
        <v>1121</v>
      </c>
      <c r="K1346" s="130" t="s">
        <v>1131</v>
      </c>
      <c r="L1346" s="130" t="s">
        <v>1941</v>
      </c>
      <c r="M1346" s="130" t="s">
        <v>1925</v>
      </c>
      <c r="N1346" s="130" t="s">
        <v>152</v>
      </c>
      <c r="O1346" s="130" t="s">
        <v>1125</v>
      </c>
      <c r="P1346" s="130" t="s">
        <v>1126</v>
      </c>
      <c r="Q1346" s="130" t="s">
        <v>1127</v>
      </c>
      <c r="R1346" s="130" t="s">
        <v>1191</v>
      </c>
      <c r="S1346" s="130" t="s">
        <v>1819</v>
      </c>
      <c r="T1346" s="130" t="s">
        <v>1130</v>
      </c>
      <c r="U1346" s="130">
        <v>0</v>
      </c>
      <c r="V1346" s="131">
        <v>1203957</v>
      </c>
      <c r="W1346" s="131">
        <v>1203957</v>
      </c>
      <c r="X1346" s="131">
        <v>1203957</v>
      </c>
      <c r="Y1346" s="131">
        <v>0</v>
      </c>
      <c r="Z1346" s="131">
        <v>1203957</v>
      </c>
      <c r="AA1346" s="131">
        <v>0</v>
      </c>
      <c r="AB1346" s="131">
        <v>766144.54</v>
      </c>
      <c r="AC1346" s="131">
        <v>437812.45999999996</v>
      </c>
      <c r="AD1346" s="131">
        <v>766144.54</v>
      </c>
      <c r="AE1346" s="132">
        <v>437812.45999999996</v>
      </c>
    </row>
    <row r="1347" spans="1:31" x14ac:dyDescent="0.2">
      <c r="A1347" s="133">
        <v>221</v>
      </c>
      <c r="B1347" s="133" t="s">
        <v>1940</v>
      </c>
      <c r="C1347" s="133" t="s">
        <v>1114</v>
      </c>
      <c r="D1347" s="133" t="s">
        <v>1839</v>
      </c>
      <c r="E1347" s="133" t="s">
        <v>1116</v>
      </c>
      <c r="F1347" s="133" t="s">
        <v>1117</v>
      </c>
      <c r="G1347" s="133" t="s">
        <v>1118</v>
      </c>
      <c r="H1347" s="133" t="s">
        <v>1119</v>
      </c>
      <c r="I1347" s="133" t="s">
        <v>1120</v>
      </c>
      <c r="J1347" s="133" t="s">
        <v>1121</v>
      </c>
      <c r="K1347" s="130" t="s">
        <v>1177</v>
      </c>
      <c r="L1347" s="130" t="s">
        <v>1941</v>
      </c>
      <c r="M1347" s="130" t="s">
        <v>1925</v>
      </c>
      <c r="N1347" s="130" t="s">
        <v>152</v>
      </c>
      <c r="O1347" s="130" t="s">
        <v>1125</v>
      </c>
      <c r="P1347" s="130" t="s">
        <v>1126</v>
      </c>
      <c r="Q1347" s="130" t="s">
        <v>1127</v>
      </c>
      <c r="R1347" s="130" t="s">
        <v>1191</v>
      </c>
      <c r="S1347" s="130" t="s">
        <v>1819</v>
      </c>
      <c r="T1347" s="130" t="s">
        <v>1130</v>
      </c>
      <c r="U1347" s="130">
        <v>821892</v>
      </c>
      <c r="V1347" s="131">
        <v>-363005</v>
      </c>
      <c r="W1347" s="131">
        <v>458887</v>
      </c>
      <c r="X1347" s="131">
        <v>249138.4</v>
      </c>
      <c r="Y1347" s="131">
        <v>209748.6</v>
      </c>
      <c r="Z1347" s="131">
        <v>246956.44</v>
      </c>
      <c r="AA1347" s="131">
        <v>211930.56</v>
      </c>
      <c r="AB1347" s="131">
        <v>246956.44</v>
      </c>
      <c r="AC1347" s="131">
        <v>211930.56</v>
      </c>
      <c r="AD1347" s="131">
        <v>134934.53999999998</v>
      </c>
      <c r="AE1347" s="132">
        <v>323952.46000000002</v>
      </c>
    </row>
    <row r="1348" spans="1:31" x14ac:dyDescent="0.2">
      <c r="A1348" s="133">
        <v>221</v>
      </c>
      <c r="B1348" s="133" t="s">
        <v>1940</v>
      </c>
      <c r="C1348" s="133" t="s">
        <v>1114</v>
      </c>
      <c r="D1348" s="133" t="s">
        <v>1839</v>
      </c>
      <c r="E1348" s="133" t="s">
        <v>1116</v>
      </c>
      <c r="F1348" s="133" t="s">
        <v>1117</v>
      </c>
      <c r="G1348" s="133" t="s">
        <v>1118</v>
      </c>
      <c r="H1348" s="133" t="s">
        <v>1119</v>
      </c>
      <c r="I1348" s="133" t="s">
        <v>1120</v>
      </c>
      <c r="J1348" s="133" t="s">
        <v>1121</v>
      </c>
      <c r="K1348" s="130" t="s">
        <v>1132</v>
      </c>
      <c r="L1348" s="130" t="s">
        <v>1941</v>
      </c>
      <c r="M1348" s="130" t="s">
        <v>1925</v>
      </c>
      <c r="N1348" s="130" t="s">
        <v>152</v>
      </c>
      <c r="O1348" s="130" t="s">
        <v>1125</v>
      </c>
      <c r="P1348" s="130" t="s">
        <v>1126</v>
      </c>
      <c r="Q1348" s="130" t="s">
        <v>1127</v>
      </c>
      <c r="R1348" s="130" t="s">
        <v>1191</v>
      </c>
      <c r="S1348" s="130" t="s">
        <v>1819</v>
      </c>
      <c r="T1348" s="130" t="s">
        <v>1130</v>
      </c>
      <c r="U1348" s="130">
        <v>0</v>
      </c>
      <c r="V1348" s="131">
        <v>388833</v>
      </c>
      <c r="W1348" s="131">
        <v>388833</v>
      </c>
      <c r="X1348" s="131">
        <v>128794.8</v>
      </c>
      <c r="Y1348" s="131">
        <v>260038.2</v>
      </c>
      <c r="Z1348" s="131">
        <v>53894.8</v>
      </c>
      <c r="AA1348" s="131">
        <v>334938.2</v>
      </c>
      <c r="AB1348" s="131">
        <v>53894.8</v>
      </c>
      <c r="AC1348" s="131">
        <v>334938.2</v>
      </c>
      <c r="AD1348" s="131">
        <v>13002</v>
      </c>
      <c r="AE1348" s="132">
        <v>375831</v>
      </c>
    </row>
    <row r="1349" spans="1:31" x14ac:dyDescent="0.2">
      <c r="A1349" s="133">
        <v>221</v>
      </c>
      <c r="B1349" s="133" t="s">
        <v>1940</v>
      </c>
      <c r="C1349" s="133" t="s">
        <v>1114</v>
      </c>
      <c r="D1349" s="133" t="s">
        <v>1839</v>
      </c>
      <c r="E1349" s="133" t="s">
        <v>1116</v>
      </c>
      <c r="F1349" s="133" t="s">
        <v>1117</v>
      </c>
      <c r="G1349" s="133" t="s">
        <v>1118</v>
      </c>
      <c r="H1349" s="130" t="s">
        <v>1149</v>
      </c>
      <c r="I1349" s="130" t="s">
        <v>1182</v>
      </c>
      <c r="J1349" s="130" t="s">
        <v>1347</v>
      </c>
      <c r="K1349" s="130" t="s">
        <v>1348</v>
      </c>
      <c r="L1349" s="130" t="s">
        <v>1941</v>
      </c>
      <c r="M1349" s="130" t="s">
        <v>1925</v>
      </c>
      <c r="N1349" s="130" t="s">
        <v>152</v>
      </c>
      <c r="O1349" s="130" t="s">
        <v>1125</v>
      </c>
      <c r="P1349" s="130" t="s">
        <v>1126</v>
      </c>
      <c r="Q1349" s="130" t="s">
        <v>1127</v>
      </c>
      <c r="R1349" s="130" t="s">
        <v>1191</v>
      </c>
      <c r="S1349" s="130" t="s">
        <v>1819</v>
      </c>
      <c r="T1349" s="130" t="s">
        <v>1130</v>
      </c>
      <c r="U1349" s="130">
        <v>0</v>
      </c>
      <c r="V1349" s="131">
        <v>60795</v>
      </c>
      <c r="W1349" s="131">
        <v>60795</v>
      </c>
      <c r="X1349" s="131">
        <v>23682.6</v>
      </c>
      <c r="Y1349" s="131">
        <v>37112.400000000001</v>
      </c>
      <c r="Z1349" s="131">
        <v>0</v>
      </c>
      <c r="AA1349" s="131">
        <v>60795</v>
      </c>
      <c r="AB1349" s="131">
        <v>0</v>
      </c>
      <c r="AC1349" s="131">
        <v>60795</v>
      </c>
      <c r="AD1349" s="131">
        <v>0</v>
      </c>
      <c r="AE1349" s="132">
        <v>60795</v>
      </c>
    </row>
    <row r="1350" spans="1:31" x14ac:dyDescent="0.2">
      <c r="A1350" s="133">
        <v>221</v>
      </c>
      <c r="B1350" s="133" t="s">
        <v>1940</v>
      </c>
      <c r="C1350" s="133" t="s">
        <v>1114</v>
      </c>
      <c r="D1350" s="133" t="s">
        <v>1839</v>
      </c>
      <c r="E1350" s="133" t="s">
        <v>1116</v>
      </c>
      <c r="F1350" s="133" t="s">
        <v>1117</v>
      </c>
      <c r="G1350" s="133" t="s">
        <v>1118</v>
      </c>
      <c r="H1350" s="133" t="s">
        <v>1149</v>
      </c>
      <c r="I1350" s="133" t="s">
        <v>1182</v>
      </c>
      <c r="J1350" s="133" t="s">
        <v>1347</v>
      </c>
      <c r="K1350" s="130" t="s">
        <v>1355</v>
      </c>
      <c r="L1350" s="130" t="s">
        <v>1941</v>
      </c>
      <c r="M1350" s="130" t="s">
        <v>1925</v>
      </c>
      <c r="N1350" s="130" t="s">
        <v>152</v>
      </c>
      <c r="O1350" s="130" t="s">
        <v>1125</v>
      </c>
      <c r="P1350" s="130" t="s">
        <v>1126</v>
      </c>
      <c r="Q1350" s="130" t="s">
        <v>1127</v>
      </c>
      <c r="R1350" s="130" t="s">
        <v>1191</v>
      </c>
      <c r="S1350" s="130" t="s">
        <v>1819</v>
      </c>
      <c r="T1350" s="130" t="s">
        <v>1130</v>
      </c>
      <c r="U1350" s="130">
        <v>0</v>
      </c>
      <c r="V1350" s="131">
        <v>3702</v>
      </c>
      <c r="W1350" s="131">
        <v>3702</v>
      </c>
      <c r="X1350" s="131">
        <v>0</v>
      </c>
      <c r="Y1350" s="131">
        <v>3702</v>
      </c>
      <c r="Z1350" s="131">
        <v>0</v>
      </c>
      <c r="AA1350" s="131">
        <v>3702</v>
      </c>
      <c r="AB1350" s="131">
        <v>0</v>
      </c>
      <c r="AC1350" s="131">
        <v>3702</v>
      </c>
      <c r="AD1350" s="131">
        <v>0</v>
      </c>
      <c r="AE1350" s="132">
        <v>3702</v>
      </c>
    </row>
    <row r="1351" spans="1:31" x14ac:dyDescent="0.2">
      <c r="A1351" s="133">
        <v>221</v>
      </c>
      <c r="B1351" s="133" t="s">
        <v>1940</v>
      </c>
      <c r="C1351" s="133" t="s">
        <v>1114</v>
      </c>
      <c r="D1351" s="133" t="s">
        <v>1839</v>
      </c>
      <c r="E1351" s="133" t="s">
        <v>1116</v>
      </c>
      <c r="F1351" s="133" t="s">
        <v>1117</v>
      </c>
      <c r="G1351" s="133" t="s">
        <v>1118</v>
      </c>
      <c r="H1351" s="133" t="s">
        <v>1149</v>
      </c>
      <c r="I1351" s="133" t="s">
        <v>1182</v>
      </c>
      <c r="J1351" s="130" t="s">
        <v>1942</v>
      </c>
      <c r="K1351" s="130" t="s">
        <v>1943</v>
      </c>
      <c r="L1351" s="130" t="s">
        <v>1941</v>
      </c>
      <c r="M1351" s="130" t="s">
        <v>1925</v>
      </c>
      <c r="N1351" s="130" t="s">
        <v>152</v>
      </c>
      <c r="O1351" s="130" t="s">
        <v>1125</v>
      </c>
      <c r="P1351" s="130" t="s">
        <v>1126</v>
      </c>
      <c r="Q1351" s="130" t="s">
        <v>1127</v>
      </c>
      <c r="R1351" s="130" t="s">
        <v>1191</v>
      </c>
      <c r="S1351" s="130" t="s">
        <v>1819</v>
      </c>
      <c r="T1351" s="130" t="s">
        <v>1130</v>
      </c>
      <c r="U1351" s="130">
        <v>0</v>
      </c>
      <c r="V1351" s="131">
        <v>241097</v>
      </c>
      <c r="W1351" s="131">
        <v>241097</v>
      </c>
      <c r="X1351" s="131">
        <v>167323.5</v>
      </c>
      <c r="Y1351" s="131">
        <v>73773.5</v>
      </c>
      <c r="Z1351" s="131">
        <v>0</v>
      </c>
      <c r="AA1351" s="131">
        <v>241097</v>
      </c>
      <c r="AB1351" s="131">
        <v>0</v>
      </c>
      <c r="AC1351" s="131">
        <v>241097</v>
      </c>
      <c r="AD1351" s="131">
        <v>0</v>
      </c>
      <c r="AE1351" s="132">
        <v>241097</v>
      </c>
    </row>
    <row r="1352" spans="1:31" x14ac:dyDescent="0.2">
      <c r="A1352" s="133">
        <v>221</v>
      </c>
      <c r="B1352" s="133" t="s">
        <v>1940</v>
      </c>
      <c r="C1352" s="133" t="s">
        <v>1114</v>
      </c>
      <c r="D1352" s="133" t="s">
        <v>1839</v>
      </c>
      <c r="E1352" s="133" t="s">
        <v>1116</v>
      </c>
      <c r="F1352" s="133" t="s">
        <v>1117</v>
      </c>
      <c r="G1352" s="133" t="s">
        <v>1118</v>
      </c>
      <c r="H1352" s="133" t="s">
        <v>1149</v>
      </c>
      <c r="I1352" s="133" t="s">
        <v>1182</v>
      </c>
      <c r="J1352" s="133" t="s">
        <v>1942</v>
      </c>
      <c r="K1352" s="130" t="s">
        <v>1944</v>
      </c>
      <c r="L1352" s="130" t="s">
        <v>1941</v>
      </c>
      <c r="M1352" s="130" t="s">
        <v>1925</v>
      </c>
      <c r="N1352" s="130" t="s">
        <v>152</v>
      </c>
      <c r="O1352" s="130" t="s">
        <v>1125</v>
      </c>
      <c r="P1352" s="130" t="s">
        <v>1126</v>
      </c>
      <c r="Q1352" s="130" t="s">
        <v>1127</v>
      </c>
      <c r="R1352" s="130" t="s">
        <v>1191</v>
      </c>
      <c r="S1352" s="130" t="s">
        <v>1819</v>
      </c>
      <c r="T1352" s="130" t="s">
        <v>1130</v>
      </c>
      <c r="U1352" s="130">
        <v>0</v>
      </c>
      <c r="V1352" s="131">
        <v>359229</v>
      </c>
      <c r="W1352" s="131">
        <v>359229</v>
      </c>
      <c r="X1352" s="131">
        <v>250042.5</v>
      </c>
      <c r="Y1352" s="131">
        <v>109186.5</v>
      </c>
      <c r="Z1352" s="131">
        <v>50253</v>
      </c>
      <c r="AA1352" s="131">
        <v>308976</v>
      </c>
      <c r="AB1352" s="131">
        <v>50253</v>
      </c>
      <c r="AC1352" s="131">
        <v>308976</v>
      </c>
      <c r="AD1352" s="131">
        <v>0</v>
      </c>
      <c r="AE1352" s="132">
        <v>359229</v>
      </c>
    </row>
    <row r="1353" spans="1:31" x14ac:dyDescent="0.2">
      <c r="A1353" s="133">
        <v>221</v>
      </c>
      <c r="B1353" s="133" t="s">
        <v>1940</v>
      </c>
      <c r="C1353" s="133" t="s">
        <v>1114</v>
      </c>
      <c r="D1353" s="133" t="s">
        <v>1839</v>
      </c>
      <c r="E1353" s="133" t="s">
        <v>1116</v>
      </c>
      <c r="F1353" s="133" t="s">
        <v>1117</v>
      </c>
      <c r="G1353" s="133" t="s">
        <v>1118</v>
      </c>
      <c r="H1353" s="130" t="s">
        <v>1133</v>
      </c>
      <c r="I1353" s="130" t="s">
        <v>1134</v>
      </c>
      <c r="J1353" s="130" t="s">
        <v>1166</v>
      </c>
      <c r="K1353" s="130" t="s">
        <v>1167</v>
      </c>
      <c r="L1353" s="130" t="s">
        <v>1941</v>
      </c>
      <c r="M1353" s="130" t="s">
        <v>1925</v>
      </c>
      <c r="N1353" s="130" t="s">
        <v>152</v>
      </c>
      <c r="O1353" s="130" t="s">
        <v>1125</v>
      </c>
      <c r="P1353" s="130" t="s">
        <v>1126</v>
      </c>
      <c r="Q1353" s="130" t="s">
        <v>1127</v>
      </c>
      <c r="R1353" s="130" t="s">
        <v>1191</v>
      </c>
      <c r="S1353" s="130" t="s">
        <v>1819</v>
      </c>
      <c r="T1353" s="130" t="s">
        <v>1130</v>
      </c>
      <c r="U1353" s="130">
        <v>0</v>
      </c>
      <c r="V1353" s="131">
        <v>28499</v>
      </c>
      <c r="W1353" s="131">
        <v>28499</v>
      </c>
      <c r="X1353" s="131">
        <v>0</v>
      </c>
      <c r="Y1353" s="131">
        <v>28499</v>
      </c>
      <c r="Z1353" s="131">
        <v>0</v>
      </c>
      <c r="AA1353" s="131">
        <v>28499</v>
      </c>
      <c r="AB1353" s="131">
        <v>0</v>
      </c>
      <c r="AC1353" s="131">
        <v>28499</v>
      </c>
      <c r="AD1353" s="131">
        <v>0</v>
      </c>
      <c r="AE1353" s="132">
        <v>28499</v>
      </c>
    </row>
    <row r="1354" spans="1:31" x14ac:dyDescent="0.2">
      <c r="A1354" s="133">
        <v>221</v>
      </c>
      <c r="B1354" s="133" t="s">
        <v>1940</v>
      </c>
      <c r="C1354" s="133" t="s">
        <v>1114</v>
      </c>
      <c r="D1354" s="133" t="s">
        <v>1839</v>
      </c>
      <c r="E1354" s="133" t="s">
        <v>1116</v>
      </c>
      <c r="F1354" s="133" t="s">
        <v>1117</v>
      </c>
      <c r="G1354" s="133" t="s">
        <v>1118</v>
      </c>
      <c r="H1354" s="133" t="s">
        <v>1133</v>
      </c>
      <c r="I1354" s="133" t="s">
        <v>1134</v>
      </c>
      <c r="J1354" s="130" t="s">
        <v>1135</v>
      </c>
      <c r="K1354" s="130" t="s">
        <v>1178</v>
      </c>
      <c r="L1354" s="130" t="s">
        <v>1941</v>
      </c>
      <c r="M1354" s="130" t="s">
        <v>1925</v>
      </c>
      <c r="N1354" s="130" t="s">
        <v>152</v>
      </c>
      <c r="O1354" s="130" t="s">
        <v>1125</v>
      </c>
      <c r="P1354" s="130" t="s">
        <v>1126</v>
      </c>
      <c r="Q1354" s="130" t="s">
        <v>1127</v>
      </c>
      <c r="R1354" s="130" t="s">
        <v>1191</v>
      </c>
      <c r="S1354" s="130" t="s">
        <v>1819</v>
      </c>
      <c r="T1354" s="130" t="s">
        <v>1130</v>
      </c>
      <c r="U1354" s="130">
        <v>0</v>
      </c>
      <c r="V1354" s="131">
        <v>317105</v>
      </c>
      <c r="W1354" s="131">
        <v>317105</v>
      </c>
      <c r="X1354" s="131">
        <v>185000</v>
      </c>
      <c r="Y1354" s="131">
        <v>132105</v>
      </c>
      <c r="Z1354" s="131">
        <v>185000</v>
      </c>
      <c r="AA1354" s="131">
        <v>132105</v>
      </c>
      <c r="AB1354" s="131">
        <v>167964.3</v>
      </c>
      <c r="AC1354" s="131">
        <v>149140.70000000001</v>
      </c>
      <c r="AD1354" s="131">
        <v>167964.3</v>
      </c>
      <c r="AE1354" s="132">
        <v>149140.70000000001</v>
      </c>
    </row>
    <row r="1355" spans="1:31" x14ac:dyDescent="0.2">
      <c r="A1355" s="133">
        <v>221</v>
      </c>
      <c r="B1355" s="133" t="s">
        <v>1940</v>
      </c>
      <c r="C1355" s="133" t="s">
        <v>1114</v>
      </c>
      <c r="D1355" s="133" t="s">
        <v>1839</v>
      </c>
      <c r="E1355" s="133" t="s">
        <v>1116</v>
      </c>
      <c r="F1355" s="133" t="s">
        <v>1117</v>
      </c>
      <c r="G1355" s="133" t="s">
        <v>1118</v>
      </c>
      <c r="H1355" s="133" t="s">
        <v>1133</v>
      </c>
      <c r="I1355" s="133" t="s">
        <v>1134</v>
      </c>
      <c r="J1355" s="133" t="s">
        <v>1135</v>
      </c>
      <c r="K1355" s="130" t="s">
        <v>1179</v>
      </c>
      <c r="L1355" s="130" t="s">
        <v>1941</v>
      </c>
      <c r="M1355" s="130" t="s">
        <v>1925</v>
      </c>
      <c r="N1355" s="130" t="s">
        <v>152</v>
      </c>
      <c r="O1355" s="130" t="s">
        <v>1125</v>
      </c>
      <c r="P1355" s="130" t="s">
        <v>1126</v>
      </c>
      <c r="Q1355" s="130" t="s">
        <v>1127</v>
      </c>
      <c r="R1355" s="130" t="s">
        <v>1191</v>
      </c>
      <c r="S1355" s="130" t="s">
        <v>1819</v>
      </c>
      <c r="T1355" s="130" t="s">
        <v>1130</v>
      </c>
      <c r="U1355" s="130">
        <v>0</v>
      </c>
      <c r="V1355" s="131">
        <v>22069</v>
      </c>
      <c r="W1355" s="131">
        <v>22069</v>
      </c>
      <c r="X1355" s="131">
        <v>0</v>
      </c>
      <c r="Y1355" s="131">
        <v>22069</v>
      </c>
      <c r="Z1355" s="131">
        <v>0</v>
      </c>
      <c r="AA1355" s="131">
        <v>22069</v>
      </c>
      <c r="AB1355" s="131">
        <v>0</v>
      </c>
      <c r="AC1355" s="131">
        <v>22069</v>
      </c>
      <c r="AD1355" s="131">
        <v>0</v>
      </c>
      <c r="AE1355" s="132">
        <v>22069</v>
      </c>
    </row>
    <row r="1356" spans="1:31" x14ac:dyDescent="0.2">
      <c r="A1356" s="133">
        <v>221</v>
      </c>
      <c r="B1356" s="133" t="s">
        <v>1940</v>
      </c>
      <c r="C1356" s="133" t="s">
        <v>1114</v>
      </c>
      <c r="D1356" s="133" t="s">
        <v>1839</v>
      </c>
      <c r="E1356" s="133" t="s">
        <v>1116</v>
      </c>
      <c r="F1356" s="133" t="s">
        <v>1117</v>
      </c>
      <c r="G1356" s="133" t="s">
        <v>1118</v>
      </c>
      <c r="H1356" s="133" t="s">
        <v>1133</v>
      </c>
      <c r="I1356" s="133" t="s">
        <v>1134</v>
      </c>
      <c r="J1356" s="133" t="s">
        <v>1135</v>
      </c>
      <c r="K1356" s="130" t="s">
        <v>1144</v>
      </c>
      <c r="L1356" s="130" t="s">
        <v>1941</v>
      </c>
      <c r="M1356" s="130" t="s">
        <v>1925</v>
      </c>
      <c r="N1356" s="130" t="s">
        <v>152</v>
      </c>
      <c r="O1356" s="130" t="s">
        <v>1125</v>
      </c>
      <c r="P1356" s="130" t="s">
        <v>1126</v>
      </c>
      <c r="Q1356" s="130" t="s">
        <v>1127</v>
      </c>
      <c r="R1356" s="130" t="s">
        <v>1191</v>
      </c>
      <c r="S1356" s="130" t="s">
        <v>1819</v>
      </c>
      <c r="T1356" s="130" t="s">
        <v>1130</v>
      </c>
      <c r="U1356" s="130">
        <v>0</v>
      </c>
      <c r="V1356" s="131">
        <v>56196</v>
      </c>
      <c r="W1356" s="131">
        <v>56196</v>
      </c>
      <c r="X1356" s="131">
        <v>10030</v>
      </c>
      <c r="Y1356" s="131">
        <v>46166</v>
      </c>
      <c r="Z1356" s="131">
        <v>10030</v>
      </c>
      <c r="AA1356" s="131">
        <v>46166</v>
      </c>
      <c r="AB1356" s="131">
        <v>10030</v>
      </c>
      <c r="AC1356" s="131">
        <v>46166</v>
      </c>
      <c r="AD1356" s="131">
        <v>10030</v>
      </c>
      <c r="AE1356" s="132">
        <v>46166</v>
      </c>
    </row>
    <row r="1357" spans="1:31" x14ac:dyDescent="0.2">
      <c r="A1357" s="130">
        <v>222</v>
      </c>
      <c r="B1357" s="130" t="s">
        <v>155</v>
      </c>
      <c r="C1357" s="130" t="s">
        <v>1114</v>
      </c>
      <c r="D1357" s="130" t="s">
        <v>1839</v>
      </c>
      <c r="E1357" s="130" t="s">
        <v>1116</v>
      </c>
      <c r="F1357" s="130" t="s">
        <v>1117</v>
      </c>
      <c r="G1357" s="130" t="s">
        <v>1118</v>
      </c>
      <c r="H1357" s="130" t="s">
        <v>1119</v>
      </c>
      <c r="I1357" s="130" t="s">
        <v>1120</v>
      </c>
      <c r="J1357" s="130" t="s">
        <v>1121</v>
      </c>
      <c r="K1357" s="130" t="s">
        <v>1122</v>
      </c>
      <c r="L1357" s="130" t="s">
        <v>1945</v>
      </c>
      <c r="M1357" s="130" t="s">
        <v>1925</v>
      </c>
      <c r="N1357" s="130" t="s">
        <v>152</v>
      </c>
      <c r="O1357" s="130" t="s">
        <v>1125</v>
      </c>
      <c r="P1357" s="130" t="s">
        <v>1126</v>
      </c>
      <c r="Q1357" s="130" t="s">
        <v>1127</v>
      </c>
      <c r="R1357" s="130" t="s">
        <v>1140</v>
      </c>
      <c r="S1357" s="130" t="s">
        <v>1946</v>
      </c>
      <c r="T1357" s="130" t="s">
        <v>1130</v>
      </c>
      <c r="U1357" s="130">
        <v>1199085</v>
      </c>
      <c r="V1357" s="131">
        <v>-1115563</v>
      </c>
      <c r="W1357" s="131">
        <v>83522</v>
      </c>
      <c r="X1357" s="131">
        <v>0</v>
      </c>
      <c r="Y1357" s="131">
        <v>83522</v>
      </c>
      <c r="Z1357" s="131">
        <v>0</v>
      </c>
      <c r="AA1357" s="131">
        <v>83522</v>
      </c>
      <c r="AB1357" s="131">
        <v>0</v>
      </c>
      <c r="AC1357" s="131">
        <v>83522</v>
      </c>
      <c r="AD1357" s="131">
        <v>0</v>
      </c>
      <c r="AE1357" s="132">
        <v>83522</v>
      </c>
    </row>
    <row r="1358" spans="1:31" x14ac:dyDescent="0.2">
      <c r="A1358" s="133">
        <v>222</v>
      </c>
      <c r="B1358" s="133" t="s">
        <v>155</v>
      </c>
      <c r="C1358" s="133" t="s">
        <v>1114</v>
      </c>
      <c r="D1358" s="133" t="s">
        <v>1839</v>
      </c>
      <c r="E1358" s="133" t="s">
        <v>1116</v>
      </c>
      <c r="F1358" s="133" t="s">
        <v>1117</v>
      </c>
      <c r="G1358" s="133" t="s">
        <v>1118</v>
      </c>
      <c r="H1358" s="130" t="s">
        <v>1133</v>
      </c>
      <c r="I1358" s="130" t="s">
        <v>1134</v>
      </c>
      <c r="J1358" s="130" t="s">
        <v>1166</v>
      </c>
      <c r="K1358" s="130" t="s">
        <v>1167</v>
      </c>
      <c r="L1358" s="130" t="s">
        <v>1945</v>
      </c>
      <c r="M1358" s="130" t="s">
        <v>1925</v>
      </c>
      <c r="N1358" s="130" t="s">
        <v>152</v>
      </c>
      <c r="O1358" s="130" t="s">
        <v>1125</v>
      </c>
      <c r="P1358" s="130" t="s">
        <v>1126</v>
      </c>
      <c r="Q1358" s="130" t="s">
        <v>1127</v>
      </c>
      <c r="R1358" s="130" t="s">
        <v>1140</v>
      </c>
      <c r="S1358" s="130" t="s">
        <v>1946</v>
      </c>
      <c r="T1358" s="130" t="s">
        <v>1130</v>
      </c>
      <c r="U1358" s="130">
        <v>0</v>
      </c>
      <c r="V1358" s="131">
        <v>295366</v>
      </c>
      <c r="W1358" s="131">
        <v>295366</v>
      </c>
      <c r="X1358" s="131">
        <v>189206</v>
      </c>
      <c r="Y1358" s="131">
        <v>106160</v>
      </c>
      <c r="Z1358" s="131">
        <v>128808</v>
      </c>
      <c r="AA1358" s="131">
        <v>166558</v>
      </c>
      <c r="AB1358" s="131">
        <v>93665.72</v>
      </c>
      <c r="AC1358" s="131">
        <v>201700.28</v>
      </c>
      <c r="AD1358" s="131">
        <v>64857.72</v>
      </c>
      <c r="AE1358" s="132">
        <v>230508.28</v>
      </c>
    </row>
    <row r="1359" spans="1:31" x14ac:dyDescent="0.2">
      <c r="A1359" s="133">
        <v>222</v>
      </c>
      <c r="B1359" s="133" t="s">
        <v>155</v>
      </c>
      <c r="C1359" s="133" t="s">
        <v>1114</v>
      </c>
      <c r="D1359" s="133" t="s">
        <v>1839</v>
      </c>
      <c r="E1359" s="133" t="s">
        <v>1116</v>
      </c>
      <c r="F1359" s="133" t="s">
        <v>1117</v>
      </c>
      <c r="G1359" s="133" t="s">
        <v>1118</v>
      </c>
      <c r="H1359" s="133" t="s">
        <v>1133</v>
      </c>
      <c r="I1359" s="133" t="s">
        <v>1134</v>
      </c>
      <c r="J1359" s="130" t="s">
        <v>1135</v>
      </c>
      <c r="K1359" s="130" t="s">
        <v>1178</v>
      </c>
      <c r="L1359" s="130" t="s">
        <v>1945</v>
      </c>
      <c r="M1359" s="130" t="s">
        <v>1925</v>
      </c>
      <c r="N1359" s="130" t="s">
        <v>152</v>
      </c>
      <c r="O1359" s="130" t="s">
        <v>1125</v>
      </c>
      <c r="P1359" s="130" t="s">
        <v>1126</v>
      </c>
      <c r="Q1359" s="130" t="s">
        <v>1127</v>
      </c>
      <c r="R1359" s="130" t="s">
        <v>1140</v>
      </c>
      <c r="S1359" s="130" t="s">
        <v>1946</v>
      </c>
      <c r="T1359" s="130" t="s">
        <v>1130</v>
      </c>
      <c r="U1359" s="130">
        <v>0</v>
      </c>
      <c r="V1359" s="131">
        <v>28200</v>
      </c>
      <c r="W1359" s="131">
        <v>28200</v>
      </c>
      <c r="X1359" s="131">
        <v>28200</v>
      </c>
      <c r="Y1359" s="131">
        <v>0</v>
      </c>
      <c r="Z1359" s="131">
        <v>28200</v>
      </c>
      <c r="AA1359" s="131">
        <v>0</v>
      </c>
      <c r="AB1359" s="131">
        <v>11807.240000000002</v>
      </c>
      <c r="AC1359" s="131">
        <v>16392.759999999998</v>
      </c>
      <c r="AD1359" s="131">
        <v>11807.240000000002</v>
      </c>
      <c r="AE1359" s="132">
        <v>16392.759999999998</v>
      </c>
    </row>
    <row r="1360" spans="1:31" x14ac:dyDescent="0.2">
      <c r="A1360" s="130">
        <v>223</v>
      </c>
      <c r="B1360" s="130" t="s">
        <v>177</v>
      </c>
      <c r="C1360" s="130" t="s">
        <v>1114</v>
      </c>
      <c r="D1360" s="130" t="s">
        <v>1554</v>
      </c>
      <c r="E1360" s="130" t="s">
        <v>1116</v>
      </c>
      <c r="F1360" s="130" t="s">
        <v>1117</v>
      </c>
      <c r="G1360" s="130" t="s">
        <v>1118</v>
      </c>
      <c r="H1360" s="130" t="s">
        <v>1119</v>
      </c>
      <c r="I1360" s="130" t="s">
        <v>1120</v>
      </c>
      <c r="J1360" s="130" t="s">
        <v>1358</v>
      </c>
      <c r="K1360" s="130" t="s">
        <v>1122</v>
      </c>
      <c r="L1360" s="130" t="s">
        <v>1947</v>
      </c>
      <c r="M1360" s="130" t="s">
        <v>1925</v>
      </c>
      <c r="N1360" s="130" t="s">
        <v>168</v>
      </c>
      <c r="O1360" s="130" t="s">
        <v>1551</v>
      </c>
      <c r="P1360" s="130" t="s">
        <v>1552</v>
      </c>
      <c r="Q1360" s="130" t="s">
        <v>1127</v>
      </c>
      <c r="R1360" s="130" t="s">
        <v>1128</v>
      </c>
      <c r="S1360" s="130" t="s">
        <v>1129</v>
      </c>
      <c r="T1360" s="130" t="s">
        <v>1130</v>
      </c>
      <c r="U1360" s="130">
        <v>2546207</v>
      </c>
      <c r="V1360" s="131">
        <v>-2546207</v>
      </c>
      <c r="W1360" s="131">
        <v>0</v>
      </c>
      <c r="X1360" s="131">
        <v>0</v>
      </c>
      <c r="Y1360" s="131">
        <v>0</v>
      </c>
      <c r="Z1360" s="131">
        <v>0</v>
      </c>
      <c r="AA1360" s="131">
        <v>0</v>
      </c>
      <c r="AB1360" s="131">
        <v>0</v>
      </c>
      <c r="AC1360" s="131">
        <v>0</v>
      </c>
      <c r="AD1360" s="131">
        <v>0</v>
      </c>
      <c r="AE1360" s="132">
        <v>0</v>
      </c>
    </row>
    <row r="1361" spans="1:31" x14ac:dyDescent="0.2">
      <c r="A1361" s="133">
        <v>223</v>
      </c>
      <c r="B1361" s="133" t="s">
        <v>177</v>
      </c>
      <c r="C1361" s="133" t="s">
        <v>1114</v>
      </c>
      <c r="D1361" s="133" t="s">
        <v>1554</v>
      </c>
      <c r="E1361" s="133" t="s">
        <v>1116</v>
      </c>
      <c r="F1361" s="133" t="s">
        <v>1117</v>
      </c>
      <c r="G1361" s="133" t="s">
        <v>1118</v>
      </c>
      <c r="H1361" s="133" t="s">
        <v>1119</v>
      </c>
      <c r="I1361" s="133" t="s">
        <v>1120</v>
      </c>
      <c r="J1361" s="133" t="s">
        <v>1358</v>
      </c>
      <c r="K1361" s="130" t="s">
        <v>1131</v>
      </c>
      <c r="L1361" s="130" t="s">
        <v>1947</v>
      </c>
      <c r="M1361" s="130" t="s">
        <v>1925</v>
      </c>
      <c r="N1361" s="130" t="s">
        <v>168</v>
      </c>
      <c r="O1361" s="130" t="s">
        <v>1551</v>
      </c>
      <c r="P1361" s="130" t="s">
        <v>1552</v>
      </c>
      <c r="Q1361" s="130" t="s">
        <v>1127</v>
      </c>
      <c r="R1361" s="130" t="s">
        <v>1128</v>
      </c>
      <c r="S1361" s="130" t="s">
        <v>1129</v>
      </c>
      <c r="T1361" s="130" t="s">
        <v>1130</v>
      </c>
      <c r="U1361" s="130">
        <v>0</v>
      </c>
      <c r="V1361" s="131">
        <v>759883</v>
      </c>
      <c r="W1361" s="131">
        <v>759883</v>
      </c>
      <c r="X1361" s="131">
        <v>759883</v>
      </c>
      <c r="Y1361" s="131">
        <v>0</v>
      </c>
      <c r="Z1361" s="131">
        <v>755938</v>
      </c>
      <c r="AA1361" s="131">
        <v>3945</v>
      </c>
      <c r="AB1361" s="131">
        <v>725657.63</v>
      </c>
      <c r="AC1361" s="131">
        <v>34225.369999999995</v>
      </c>
      <c r="AD1361" s="131">
        <v>725657.63</v>
      </c>
      <c r="AE1361" s="132">
        <v>34225.369999999995</v>
      </c>
    </row>
    <row r="1362" spans="1:31" x14ac:dyDescent="0.2">
      <c r="A1362" s="133">
        <v>223</v>
      </c>
      <c r="B1362" s="133" t="s">
        <v>177</v>
      </c>
      <c r="C1362" s="133" t="s">
        <v>1114</v>
      </c>
      <c r="D1362" s="133" t="s">
        <v>1554</v>
      </c>
      <c r="E1362" s="133" t="s">
        <v>1116</v>
      </c>
      <c r="F1362" s="133" t="s">
        <v>1117</v>
      </c>
      <c r="G1362" s="133" t="s">
        <v>1118</v>
      </c>
      <c r="H1362" s="133" t="s">
        <v>1119</v>
      </c>
      <c r="I1362" s="133" t="s">
        <v>1120</v>
      </c>
      <c r="J1362" s="133" t="s">
        <v>1358</v>
      </c>
      <c r="K1362" s="130" t="s">
        <v>1177</v>
      </c>
      <c r="L1362" s="130" t="s">
        <v>1947</v>
      </c>
      <c r="M1362" s="130" t="s">
        <v>1925</v>
      </c>
      <c r="N1362" s="130" t="s">
        <v>168</v>
      </c>
      <c r="O1362" s="130" t="s">
        <v>1551</v>
      </c>
      <c r="P1362" s="130" t="s">
        <v>1552</v>
      </c>
      <c r="Q1362" s="130" t="s">
        <v>1127</v>
      </c>
      <c r="R1362" s="130" t="s">
        <v>1128</v>
      </c>
      <c r="S1362" s="130" t="s">
        <v>1129</v>
      </c>
      <c r="T1362" s="130" t="s">
        <v>1130</v>
      </c>
      <c r="U1362" s="130">
        <v>0</v>
      </c>
      <c r="V1362" s="131">
        <v>6872521</v>
      </c>
      <c r="W1362" s="131">
        <v>6872521</v>
      </c>
      <c r="X1362" s="131">
        <v>6690641.4000000004</v>
      </c>
      <c r="Y1362" s="131">
        <v>181879.59999999963</v>
      </c>
      <c r="Z1362" s="131">
        <v>4542238.1500000004</v>
      </c>
      <c r="AA1362" s="131">
        <v>2330282.8499999996</v>
      </c>
      <c r="AB1362" s="131">
        <v>4542238.1500000004</v>
      </c>
      <c r="AC1362" s="131">
        <v>2330282.8499999996</v>
      </c>
      <c r="AD1362" s="131">
        <v>4179701.96</v>
      </c>
      <c r="AE1362" s="132">
        <v>2692819.04</v>
      </c>
    </row>
    <row r="1363" spans="1:31" x14ac:dyDescent="0.2">
      <c r="A1363" s="133">
        <v>223</v>
      </c>
      <c r="B1363" s="133" t="s">
        <v>177</v>
      </c>
      <c r="C1363" s="133" t="s">
        <v>1114</v>
      </c>
      <c r="D1363" s="133" t="s">
        <v>1554</v>
      </c>
      <c r="E1363" s="133" t="s">
        <v>1116</v>
      </c>
      <c r="F1363" s="133" t="s">
        <v>1117</v>
      </c>
      <c r="G1363" s="133" t="s">
        <v>1118</v>
      </c>
      <c r="H1363" s="133" t="s">
        <v>1119</v>
      </c>
      <c r="I1363" s="133" t="s">
        <v>1120</v>
      </c>
      <c r="J1363" s="133" t="s">
        <v>1358</v>
      </c>
      <c r="K1363" s="130" t="s">
        <v>1132</v>
      </c>
      <c r="L1363" s="130" t="s">
        <v>1947</v>
      </c>
      <c r="M1363" s="130" t="s">
        <v>1925</v>
      </c>
      <c r="N1363" s="130" t="s">
        <v>168</v>
      </c>
      <c r="O1363" s="130" t="s">
        <v>1551</v>
      </c>
      <c r="P1363" s="130" t="s">
        <v>1552</v>
      </c>
      <c r="Q1363" s="130" t="s">
        <v>1127</v>
      </c>
      <c r="R1363" s="130" t="s">
        <v>1128</v>
      </c>
      <c r="S1363" s="130" t="s">
        <v>1129</v>
      </c>
      <c r="T1363" s="130" t="s">
        <v>1130</v>
      </c>
      <c r="U1363" s="130">
        <v>0</v>
      </c>
      <c r="V1363" s="131">
        <v>2554673</v>
      </c>
      <c r="W1363" s="131">
        <v>2554673</v>
      </c>
      <c r="X1363" s="131">
        <v>1390490.17</v>
      </c>
      <c r="Y1363" s="131">
        <v>1164182.83</v>
      </c>
      <c r="Z1363" s="131">
        <v>377990.17</v>
      </c>
      <c r="AA1363" s="131">
        <v>2176682.83</v>
      </c>
      <c r="AB1363" s="131">
        <v>377990.17</v>
      </c>
      <c r="AC1363" s="131">
        <v>2176682.83</v>
      </c>
      <c r="AD1363" s="131">
        <v>337270.3</v>
      </c>
      <c r="AE1363" s="132">
        <v>2217402.7000000002</v>
      </c>
    </row>
    <row r="1364" spans="1:31" x14ac:dyDescent="0.2">
      <c r="A1364" s="133">
        <v>223</v>
      </c>
      <c r="B1364" s="133" t="s">
        <v>177</v>
      </c>
      <c r="C1364" s="133" t="s">
        <v>1114</v>
      </c>
      <c r="D1364" s="133" t="s">
        <v>1554</v>
      </c>
      <c r="E1364" s="133" t="s">
        <v>1116</v>
      </c>
      <c r="F1364" s="133" t="s">
        <v>1117</v>
      </c>
      <c r="G1364" s="133" t="s">
        <v>1118</v>
      </c>
      <c r="H1364" s="130" t="s">
        <v>1133</v>
      </c>
      <c r="I1364" s="130" t="s">
        <v>1134</v>
      </c>
      <c r="J1364" s="130" t="s">
        <v>1135</v>
      </c>
      <c r="K1364" s="130" t="s">
        <v>1178</v>
      </c>
      <c r="L1364" s="130" t="s">
        <v>1947</v>
      </c>
      <c r="M1364" s="130" t="s">
        <v>1925</v>
      </c>
      <c r="N1364" s="130" t="s">
        <v>168</v>
      </c>
      <c r="O1364" s="130" t="s">
        <v>1551</v>
      </c>
      <c r="P1364" s="130" t="s">
        <v>1552</v>
      </c>
      <c r="Q1364" s="130" t="s">
        <v>1127</v>
      </c>
      <c r="R1364" s="130" t="s">
        <v>1128</v>
      </c>
      <c r="S1364" s="130" t="s">
        <v>1129</v>
      </c>
      <c r="T1364" s="130" t="s">
        <v>1130</v>
      </c>
      <c r="U1364" s="130">
        <v>0</v>
      </c>
      <c r="V1364" s="131">
        <v>275500</v>
      </c>
      <c r="W1364" s="131">
        <v>275500</v>
      </c>
      <c r="X1364" s="131">
        <v>275500</v>
      </c>
      <c r="Y1364" s="131">
        <v>0</v>
      </c>
      <c r="Z1364" s="131">
        <v>221800</v>
      </c>
      <c r="AA1364" s="131">
        <v>53700</v>
      </c>
      <c r="AB1364" s="131">
        <v>206905.74</v>
      </c>
      <c r="AC1364" s="131">
        <v>68594.260000000009</v>
      </c>
      <c r="AD1364" s="131">
        <v>206905.74</v>
      </c>
      <c r="AE1364" s="132">
        <v>68594.260000000009</v>
      </c>
    </row>
    <row r="1365" spans="1:31" x14ac:dyDescent="0.2">
      <c r="A1365" s="133">
        <v>223</v>
      </c>
      <c r="B1365" s="133" t="s">
        <v>177</v>
      </c>
      <c r="C1365" s="133" t="s">
        <v>1114</v>
      </c>
      <c r="D1365" s="133" t="s">
        <v>1554</v>
      </c>
      <c r="E1365" s="133" t="s">
        <v>1116</v>
      </c>
      <c r="F1365" s="133" t="s">
        <v>1117</v>
      </c>
      <c r="G1365" s="133" t="s">
        <v>1118</v>
      </c>
      <c r="H1365" s="133" t="s">
        <v>1133</v>
      </c>
      <c r="I1365" s="133" t="s">
        <v>1134</v>
      </c>
      <c r="J1365" s="133" t="s">
        <v>1135</v>
      </c>
      <c r="K1365" s="130" t="s">
        <v>1179</v>
      </c>
      <c r="L1365" s="130" t="s">
        <v>1947</v>
      </c>
      <c r="M1365" s="130" t="s">
        <v>1925</v>
      </c>
      <c r="N1365" s="130" t="s">
        <v>168</v>
      </c>
      <c r="O1365" s="130" t="s">
        <v>1551</v>
      </c>
      <c r="P1365" s="130" t="s">
        <v>1552</v>
      </c>
      <c r="Q1365" s="130" t="s">
        <v>1127</v>
      </c>
      <c r="R1365" s="130" t="s">
        <v>1128</v>
      </c>
      <c r="S1365" s="130" t="s">
        <v>1129</v>
      </c>
      <c r="T1365" s="130" t="s">
        <v>1130</v>
      </c>
      <c r="U1365" s="130">
        <v>0</v>
      </c>
      <c r="V1365" s="131">
        <v>30000</v>
      </c>
      <c r="W1365" s="131">
        <v>30000</v>
      </c>
      <c r="X1365" s="131">
        <v>4740</v>
      </c>
      <c r="Y1365" s="131">
        <v>25260</v>
      </c>
      <c r="Z1365" s="131">
        <v>4740</v>
      </c>
      <c r="AA1365" s="131">
        <v>25260</v>
      </c>
      <c r="AB1365" s="131">
        <v>4740</v>
      </c>
      <c r="AC1365" s="131">
        <v>25260</v>
      </c>
      <c r="AD1365" s="131">
        <v>3525</v>
      </c>
      <c r="AE1365" s="132">
        <v>26475</v>
      </c>
    </row>
    <row r="1366" spans="1:31" x14ac:dyDescent="0.2">
      <c r="A1366" s="133">
        <v>223</v>
      </c>
      <c r="B1366" s="133" t="s">
        <v>177</v>
      </c>
      <c r="C1366" s="133" t="s">
        <v>1114</v>
      </c>
      <c r="D1366" s="133" t="s">
        <v>1554</v>
      </c>
      <c r="E1366" s="133" t="s">
        <v>1116</v>
      </c>
      <c r="F1366" s="133" t="s">
        <v>1117</v>
      </c>
      <c r="G1366" s="133" t="s">
        <v>1118</v>
      </c>
      <c r="H1366" s="133" t="s">
        <v>1133</v>
      </c>
      <c r="I1366" s="133" t="s">
        <v>1134</v>
      </c>
      <c r="J1366" s="133" t="s">
        <v>1135</v>
      </c>
      <c r="K1366" s="130" t="s">
        <v>1144</v>
      </c>
      <c r="L1366" s="130" t="s">
        <v>1947</v>
      </c>
      <c r="M1366" s="130" t="s">
        <v>1925</v>
      </c>
      <c r="N1366" s="130" t="s">
        <v>168</v>
      </c>
      <c r="O1366" s="130" t="s">
        <v>1551</v>
      </c>
      <c r="P1366" s="130" t="s">
        <v>1552</v>
      </c>
      <c r="Q1366" s="130" t="s">
        <v>1127</v>
      </c>
      <c r="R1366" s="130" t="s">
        <v>1128</v>
      </c>
      <c r="S1366" s="130" t="s">
        <v>1129</v>
      </c>
      <c r="T1366" s="130" t="s">
        <v>1130</v>
      </c>
      <c r="U1366" s="130">
        <v>0</v>
      </c>
      <c r="V1366" s="131">
        <v>27000</v>
      </c>
      <c r="W1366" s="131">
        <v>27000</v>
      </c>
      <c r="X1366" s="131">
        <v>9700</v>
      </c>
      <c r="Y1366" s="131">
        <v>17300</v>
      </c>
      <c r="Z1366" s="131">
        <v>9700</v>
      </c>
      <c r="AA1366" s="131">
        <v>17300</v>
      </c>
      <c r="AB1366" s="131">
        <v>9700</v>
      </c>
      <c r="AC1366" s="131">
        <v>17300</v>
      </c>
      <c r="AD1366" s="131">
        <v>7000</v>
      </c>
      <c r="AE1366" s="132">
        <v>20000</v>
      </c>
    </row>
    <row r="1367" spans="1:31" x14ac:dyDescent="0.2">
      <c r="A1367" s="130">
        <v>224</v>
      </c>
      <c r="B1367" s="130" t="s">
        <v>178</v>
      </c>
      <c r="C1367" s="130" t="s">
        <v>1114</v>
      </c>
      <c r="D1367" s="130" t="s">
        <v>1548</v>
      </c>
      <c r="E1367" s="130" t="s">
        <v>1116</v>
      </c>
      <c r="F1367" s="130" t="s">
        <v>1117</v>
      </c>
      <c r="G1367" s="130" t="s">
        <v>1118</v>
      </c>
      <c r="H1367" s="130" t="s">
        <v>1119</v>
      </c>
      <c r="I1367" s="130" t="s">
        <v>1120</v>
      </c>
      <c r="J1367" s="130" t="s">
        <v>1358</v>
      </c>
      <c r="K1367" s="130" t="s">
        <v>1122</v>
      </c>
      <c r="L1367" s="130" t="s">
        <v>1948</v>
      </c>
      <c r="M1367" s="130" t="s">
        <v>1925</v>
      </c>
      <c r="N1367" s="130" t="s">
        <v>168</v>
      </c>
      <c r="O1367" s="130" t="s">
        <v>1551</v>
      </c>
      <c r="P1367" s="130" t="s">
        <v>1552</v>
      </c>
      <c r="Q1367" s="130" t="s">
        <v>1127</v>
      </c>
      <c r="R1367" s="130" t="s">
        <v>1380</v>
      </c>
      <c r="S1367" s="130" t="s">
        <v>1481</v>
      </c>
      <c r="T1367" s="130" t="s">
        <v>1130</v>
      </c>
      <c r="U1367" s="130">
        <v>5597990</v>
      </c>
      <c r="V1367" s="131">
        <v>-5597990</v>
      </c>
      <c r="W1367" s="131">
        <v>0</v>
      </c>
      <c r="X1367" s="131">
        <v>0</v>
      </c>
      <c r="Y1367" s="131">
        <v>0</v>
      </c>
      <c r="Z1367" s="131">
        <v>0</v>
      </c>
      <c r="AA1367" s="131">
        <v>0</v>
      </c>
      <c r="AB1367" s="131">
        <v>0</v>
      </c>
      <c r="AC1367" s="131">
        <v>0</v>
      </c>
      <c r="AD1367" s="131">
        <v>0</v>
      </c>
      <c r="AE1367" s="132">
        <v>0</v>
      </c>
    </row>
    <row r="1368" spans="1:31" x14ac:dyDescent="0.2">
      <c r="A1368" s="133">
        <v>224</v>
      </c>
      <c r="B1368" s="133" t="s">
        <v>178</v>
      </c>
      <c r="C1368" s="133" t="s">
        <v>1114</v>
      </c>
      <c r="D1368" s="133" t="s">
        <v>1548</v>
      </c>
      <c r="E1368" s="133" t="s">
        <v>1116</v>
      </c>
      <c r="F1368" s="133" t="s">
        <v>1117</v>
      </c>
      <c r="G1368" s="133" t="s">
        <v>1118</v>
      </c>
      <c r="H1368" s="133" t="s">
        <v>1119</v>
      </c>
      <c r="I1368" s="133" t="s">
        <v>1120</v>
      </c>
      <c r="J1368" s="133" t="s">
        <v>1358</v>
      </c>
      <c r="K1368" s="130" t="s">
        <v>1131</v>
      </c>
      <c r="L1368" s="130" t="s">
        <v>1948</v>
      </c>
      <c r="M1368" s="130" t="s">
        <v>1925</v>
      </c>
      <c r="N1368" s="130" t="s">
        <v>168</v>
      </c>
      <c r="O1368" s="130" t="s">
        <v>1551</v>
      </c>
      <c r="P1368" s="130" t="s">
        <v>1552</v>
      </c>
      <c r="Q1368" s="130" t="s">
        <v>1127</v>
      </c>
      <c r="R1368" s="130" t="s">
        <v>1380</v>
      </c>
      <c r="S1368" s="130" t="s">
        <v>1481</v>
      </c>
      <c r="T1368" s="130" t="s">
        <v>1130</v>
      </c>
      <c r="U1368" s="130">
        <v>0</v>
      </c>
      <c r="V1368" s="131">
        <v>827918</v>
      </c>
      <c r="W1368" s="131">
        <v>827918</v>
      </c>
      <c r="X1368" s="131">
        <v>827894.41</v>
      </c>
      <c r="Y1368" s="131">
        <v>23.589999999967404</v>
      </c>
      <c r="Z1368" s="131">
        <v>827894.41</v>
      </c>
      <c r="AA1368" s="131">
        <v>23.589999999967404</v>
      </c>
      <c r="AB1368" s="131">
        <v>799432.79</v>
      </c>
      <c r="AC1368" s="131">
        <v>28485.209999999963</v>
      </c>
      <c r="AD1368" s="131">
        <v>799432.79</v>
      </c>
      <c r="AE1368" s="132">
        <v>28485.209999999963</v>
      </c>
    </row>
    <row r="1369" spans="1:31" x14ac:dyDescent="0.2">
      <c r="A1369" s="133">
        <v>224</v>
      </c>
      <c r="B1369" s="133" t="s">
        <v>178</v>
      </c>
      <c r="C1369" s="133" t="s">
        <v>1114</v>
      </c>
      <c r="D1369" s="133" t="s">
        <v>1548</v>
      </c>
      <c r="E1369" s="133" t="s">
        <v>1116</v>
      </c>
      <c r="F1369" s="133" t="s">
        <v>1117</v>
      </c>
      <c r="G1369" s="133" t="s">
        <v>1118</v>
      </c>
      <c r="H1369" s="133" t="s">
        <v>1119</v>
      </c>
      <c r="I1369" s="133" t="s">
        <v>1120</v>
      </c>
      <c r="J1369" s="133" t="s">
        <v>1358</v>
      </c>
      <c r="K1369" s="130" t="s">
        <v>1177</v>
      </c>
      <c r="L1369" s="130" t="s">
        <v>1948</v>
      </c>
      <c r="M1369" s="130" t="s">
        <v>1925</v>
      </c>
      <c r="N1369" s="130" t="s">
        <v>168</v>
      </c>
      <c r="O1369" s="130" t="s">
        <v>1551</v>
      </c>
      <c r="P1369" s="130" t="s">
        <v>1552</v>
      </c>
      <c r="Q1369" s="130" t="s">
        <v>1127</v>
      </c>
      <c r="R1369" s="130" t="s">
        <v>1380</v>
      </c>
      <c r="S1369" s="130" t="s">
        <v>1481</v>
      </c>
      <c r="T1369" s="130" t="s">
        <v>1130</v>
      </c>
      <c r="U1369" s="130">
        <v>0</v>
      </c>
      <c r="V1369" s="131">
        <v>4442638</v>
      </c>
      <c r="W1369" s="131">
        <v>4442638</v>
      </c>
      <c r="X1369" s="131">
        <v>4299165.83</v>
      </c>
      <c r="Y1369" s="131">
        <v>143472.16999999993</v>
      </c>
      <c r="Z1369" s="131">
        <v>4142976.1</v>
      </c>
      <c r="AA1369" s="131">
        <v>299661.89999999991</v>
      </c>
      <c r="AB1369" s="131">
        <v>2276054.5000000005</v>
      </c>
      <c r="AC1369" s="131">
        <v>2166583.4999999995</v>
      </c>
      <c r="AD1369" s="131">
        <v>1787312.4</v>
      </c>
      <c r="AE1369" s="132">
        <v>2655325.6</v>
      </c>
    </row>
    <row r="1370" spans="1:31" x14ac:dyDescent="0.2">
      <c r="A1370" s="133">
        <v>224</v>
      </c>
      <c r="B1370" s="133" t="s">
        <v>178</v>
      </c>
      <c r="C1370" s="133" t="s">
        <v>1114</v>
      </c>
      <c r="D1370" s="133" t="s">
        <v>1548</v>
      </c>
      <c r="E1370" s="133" t="s">
        <v>1116</v>
      </c>
      <c r="F1370" s="133" t="s">
        <v>1117</v>
      </c>
      <c r="G1370" s="133" t="s">
        <v>1118</v>
      </c>
      <c r="H1370" s="133" t="s">
        <v>1119</v>
      </c>
      <c r="I1370" s="133" t="s">
        <v>1120</v>
      </c>
      <c r="J1370" s="133" t="s">
        <v>1358</v>
      </c>
      <c r="K1370" s="130" t="s">
        <v>1132</v>
      </c>
      <c r="L1370" s="130" t="s">
        <v>1948</v>
      </c>
      <c r="M1370" s="130" t="s">
        <v>1925</v>
      </c>
      <c r="N1370" s="130" t="s">
        <v>168</v>
      </c>
      <c r="O1370" s="130" t="s">
        <v>1551</v>
      </c>
      <c r="P1370" s="130" t="s">
        <v>1552</v>
      </c>
      <c r="Q1370" s="130" t="s">
        <v>1127</v>
      </c>
      <c r="R1370" s="130" t="s">
        <v>1380</v>
      </c>
      <c r="S1370" s="130" t="s">
        <v>1481</v>
      </c>
      <c r="T1370" s="130" t="s">
        <v>1130</v>
      </c>
      <c r="U1370" s="130">
        <v>0</v>
      </c>
      <c r="V1370" s="131">
        <v>146395</v>
      </c>
      <c r="W1370" s="131">
        <v>146395</v>
      </c>
      <c r="X1370" s="131">
        <v>139708.87</v>
      </c>
      <c r="Y1370" s="131">
        <v>6686.1300000000047</v>
      </c>
      <c r="Z1370" s="131">
        <v>134070.45000000001</v>
      </c>
      <c r="AA1370" s="131">
        <v>12324.549999999988</v>
      </c>
      <c r="AB1370" s="131">
        <v>131531.65</v>
      </c>
      <c r="AC1370" s="131">
        <v>14863.350000000006</v>
      </c>
      <c r="AD1370" s="131">
        <v>66193.72</v>
      </c>
      <c r="AE1370" s="132">
        <v>80201.279999999999</v>
      </c>
    </row>
    <row r="1371" spans="1:31" x14ac:dyDescent="0.2">
      <c r="A1371" s="133">
        <v>224</v>
      </c>
      <c r="B1371" s="133" t="s">
        <v>178</v>
      </c>
      <c r="C1371" s="133" t="s">
        <v>1114</v>
      </c>
      <c r="D1371" s="133" t="s">
        <v>1548</v>
      </c>
      <c r="E1371" s="133" t="s">
        <v>1116</v>
      </c>
      <c r="F1371" s="133" t="s">
        <v>1117</v>
      </c>
      <c r="G1371" s="133" t="s">
        <v>1118</v>
      </c>
      <c r="H1371" s="130" t="s">
        <v>1149</v>
      </c>
      <c r="I1371" s="130" t="s">
        <v>1150</v>
      </c>
      <c r="J1371" s="130" t="s">
        <v>1150</v>
      </c>
      <c r="K1371" s="130" t="s">
        <v>1151</v>
      </c>
      <c r="L1371" s="130" t="s">
        <v>1948</v>
      </c>
      <c r="M1371" s="130" t="s">
        <v>1925</v>
      </c>
      <c r="N1371" s="130" t="s">
        <v>168</v>
      </c>
      <c r="O1371" s="130" t="s">
        <v>1551</v>
      </c>
      <c r="P1371" s="130" t="s">
        <v>1552</v>
      </c>
      <c r="Q1371" s="130" t="s">
        <v>1127</v>
      </c>
      <c r="R1371" s="130" t="s">
        <v>1380</v>
      </c>
      <c r="S1371" s="130" t="s">
        <v>1481</v>
      </c>
      <c r="T1371" s="130" t="s">
        <v>1130</v>
      </c>
      <c r="U1371" s="130">
        <v>0</v>
      </c>
      <c r="V1371" s="131">
        <v>1799791</v>
      </c>
      <c r="W1371" s="131">
        <v>1799791</v>
      </c>
      <c r="X1371" s="131">
        <v>1755268.42</v>
      </c>
      <c r="Y1371" s="131">
        <v>44522.580000000075</v>
      </c>
      <c r="Z1371" s="131">
        <v>1088000</v>
      </c>
      <c r="AA1371" s="131">
        <v>711791</v>
      </c>
      <c r="AB1371" s="131">
        <v>1088000</v>
      </c>
      <c r="AC1371" s="131">
        <v>711791</v>
      </c>
      <c r="AD1371" s="131">
        <v>0</v>
      </c>
      <c r="AE1371" s="132">
        <v>1799791</v>
      </c>
    </row>
    <row r="1372" spans="1:31" x14ac:dyDescent="0.2">
      <c r="A1372" s="133">
        <v>224</v>
      </c>
      <c r="B1372" s="133" t="s">
        <v>178</v>
      </c>
      <c r="C1372" s="133" t="s">
        <v>1114</v>
      </c>
      <c r="D1372" s="133" t="s">
        <v>1548</v>
      </c>
      <c r="E1372" s="133" t="s">
        <v>1116</v>
      </c>
      <c r="F1372" s="133" t="s">
        <v>1117</v>
      </c>
      <c r="G1372" s="133" t="s">
        <v>1118</v>
      </c>
      <c r="H1372" s="133" t="s">
        <v>1149</v>
      </c>
      <c r="I1372" s="130" t="s">
        <v>1182</v>
      </c>
      <c r="J1372" s="130" t="s">
        <v>1382</v>
      </c>
      <c r="K1372" s="130" t="s">
        <v>1383</v>
      </c>
      <c r="L1372" s="130" t="s">
        <v>1948</v>
      </c>
      <c r="M1372" s="130" t="s">
        <v>1925</v>
      </c>
      <c r="N1372" s="130" t="s">
        <v>168</v>
      </c>
      <c r="O1372" s="130" t="s">
        <v>1551</v>
      </c>
      <c r="P1372" s="130" t="s">
        <v>1552</v>
      </c>
      <c r="Q1372" s="130" t="s">
        <v>1127</v>
      </c>
      <c r="R1372" s="130" t="s">
        <v>1380</v>
      </c>
      <c r="S1372" s="130" t="s">
        <v>1481</v>
      </c>
      <c r="T1372" s="130" t="s">
        <v>1130</v>
      </c>
      <c r="U1372" s="130">
        <v>0</v>
      </c>
      <c r="V1372" s="131">
        <v>307409</v>
      </c>
      <c r="W1372" s="131">
        <v>307409</v>
      </c>
      <c r="X1372" s="131">
        <v>230797.69</v>
      </c>
      <c r="Y1372" s="131">
        <v>76611.31</v>
      </c>
      <c r="Z1372" s="131">
        <v>228823.93</v>
      </c>
      <c r="AA1372" s="131">
        <v>78585.070000000007</v>
      </c>
      <c r="AB1372" s="131">
        <v>228823.93</v>
      </c>
      <c r="AC1372" s="131">
        <v>78585.070000000007</v>
      </c>
      <c r="AD1372" s="131">
        <v>33023.93</v>
      </c>
      <c r="AE1372" s="132">
        <v>274385.07</v>
      </c>
    </row>
    <row r="1373" spans="1:31" x14ac:dyDescent="0.2">
      <c r="A1373" s="133">
        <v>224</v>
      </c>
      <c r="B1373" s="133" t="s">
        <v>178</v>
      </c>
      <c r="C1373" s="133" t="s">
        <v>1114</v>
      </c>
      <c r="D1373" s="133" t="s">
        <v>1548</v>
      </c>
      <c r="E1373" s="133" t="s">
        <v>1116</v>
      </c>
      <c r="F1373" s="133" t="s">
        <v>1117</v>
      </c>
      <c r="G1373" s="133" t="s">
        <v>1118</v>
      </c>
      <c r="H1373" s="133" t="s">
        <v>1149</v>
      </c>
      <c r="I1373" s="133" t="s">
        <v>1182</v>
      </c>
      <c r="J1373" s="133" t="s">
        <v>1382</v>
      </c>
      <c r="K1373" s="130" t="s">
        <v>1378</v>
      </c>
      <c r="L1373" s="130" t="s">
        <v>1948</v>
      </c>
      <c r="M1373" s="130" t="s">
        <v>1925</v>
      </c>
      <c r="N1373" s="130" t="s">
        <v>168</v>
      </c>
      <c r="O1373" s="130" t="s">
        <v>1551</v>
      </c>
      <c r="P1373" s="130" t="s">
        <v>1552</v>
      </c>
      <c r="Q1373" s="130" t="s">
        <v>1127</v>
      </c>
      <c r="R1373" s="130" t="s">
        <v>1380</v>
      </c>
      <c r="S1373" s="130" t="s">
        <v>1481</v>
      </c>
      <c r="T1373" s="130" t="s">
        <v>1130</v>
      </c>
      <c r="U1373" s="130">
        <v>0</v>
      </c>
      <c r="V1373" s="131">
        <v>291575</v>
      </c>
      <c r="W1373" s="131">
        <v>291575</v>
      </c>
      <c r="X1373" s="131">
        <v>255382.5</v>
      </c>
      <c r="Y1373" s="131">
        <v>36192.5</v>
      </c>
      <c r="Z1373" s="131">
        <v>0</v>
      </c>
      <c r="AA1373" s="131">
        <v>291575</v>
      </c>
      <c r="AB1373" s="131">
        <v>0</v>
      </c>
      <c r="AC1373" s="131">
        <v>291575</v>
      </c>
      <c r="AD1373" s="131">
        <v>0</v>
      </c>
      <c r="AE1373" s="132">
        <v>291575</v>
      </c>
    </row>
    <row r="1374" spans="1:31" x14ac:dyDescent="0.2">
      <c r="A1374" s="133">
        <v>224</v>
      </c>
      <c r="B1374" s="133" t="s">
        <v>178</v>
      </c>
      <c r="C1374" s="133" t="s">
        <v>1114</v>
      </c>
      <c r="D1374" s="133" t="s">
        <v>1548</v>
      </c>
      <c r="E1374" s="133" t="s">
        <v>1116</v>
      </c>
      <c r="F1374" s="133" t="s">
        <v>1117</v>
      </c>
      <c r="G1374" s="133" t="s">
        <v>1118</v>
      </c>
      <c r="H1374" s="130" t="s">
        <v>1133</v>
      </c>
      <c r="I1374" s="130" t="s">
        <v>1134</v>
      </c>
      <c r="J1374" s="130" t="s">
        <v>1135</v>
      </c>
      <c r="K1374" s="130" t="s">
        <v>1178</v>
      </c>
      <c r="L1374" s="130" t="s">
        <v>1948</v>
      </c>
      <c r="M1374" s="130" t="s">
        <v>1925</v>
      </c>
      <c r="N1374" s="130" t="s">
        <v>168</v>
      </c>
      <c r="O1374" s="130" t="s">
        <v>1551</v>
      </c>
      <c r="P1374" s="130" t="s">
        <v>1552</v>
      </c>
      <c r="Q1374" s="130" t="s">
        <v>1127</v>
      </c>
      <c r="R1374" s="130" t="s">
        <v>1380</v>
      </c>
      <c r="S1374" s="130" t="s">
        <v>1481</v>
      </c>
      <c r="T1374" s="130" t="s">
        <v>1130</v>
      </c>
      <c r="U1374" s="130">
        <v>0</v>
      </c>
      <c r="V1374" s="131">
        <v>302333</v>
      </c>
      <c r="W1374" s="131">
        <v>302333</v>
      </c>
      <c r="X1374" s="131">
        <v>302333</v>
      </c>
      <c r="Y1374" s="131">
        <v>0</v>
      </c>
      <c r="Z1374" s="131">
        <v>302333</v>
      </c>
      <c r="AA1374" s="131">
        <v>0</v>
      </c>
      <c r="AB1374" s="131">
        <v>188592.02000000002</v>
      </c>
      <c r="AC1374" s="131">
        <v>113740.97999999998</v>
      </c>
      <c r="AD1374" s="131">
        <v>188592.02000000002</v>
      </c>
      <c r="AE1374" s="132">
        <v>113740.97999999998</v>
      </c>
    </row>
    <row r="1375" spans="1:31" x14ac:dyDescent="0.2">
      <c r="A1375" s="133">
        <v>224</v>
      </c>
      <c r="B1375" s="133" t="s">
        <v>178</v>
      </c>
      <c r="C1375" s="133" t="s">
        <v>1114</v>
      </c>
      <c r="D1375" s="133" t="s">
        <v>1548</v>
      </c>
      <c r="E1375" s="133" t="s">
        <v>1116</v>
      </c>
      <c r="F1375" s="133" t="s">
        <v>1117</v>
      </c>
      <c r="G1375" s="133" t="s">
        <v>1118</v>
      </c>
      <c r="H1375" s="133" t="s">
        <v>1133</v>
      </c>
      <c r="I1375" s="133" t="s">
        <v>1134</v>
      </c>
      <c r="J1375" s="133" t="s">
        <v>1135</v>
      </c>
      <c r="K1375" s="130" t="s">
        <v>1179</v>
      </c>
      <c r="L1375" s="130" t="s">
        <v>1948</v>
      </c>
      <c r="M1375" s="130" t="s">
        <v>1925</v>
      </c>
      <c r="N1375" s="130" t="s">
        <v>168</v>
      </c>
      <c r="O1375" s="130" t="s">
        <v>1551</v>
      </c>
      <c r="P1375" s="130" t="s">
        <v>1552</v>
      </c>
      <c r="Q1375" s="130" t="s">
        <v>1127</v>
      </c>
      <c r="R1375" s="130" t="s">
        <v>1380</v>
      </c>
      <c r="S1375" s="130" t="s">
        <v>1481</v>
      </c>
      <c r="T1375" s="130" t="s">
        <v>1130</v>
      </c>
      <c r="U1375" s="130">
        <v>0</v>
      </c>
      <c r="V1375" s="131">
        <v>31454</v>
      </c>
      <c r="W1375" s="131">
        <v>31454</v>
      </c>
      <c r="X1375" s="131">
        <v>25616</v>
      </c>
      <c r="Y1375" s="131">
        <v>5838</v>
      </c>
      <c r="Z1375" s="131">
        <v>25616</v>
      </c>
      <c r="AA1375" s="131">
        <v>5838</v>
      </c>
      <c r="AB1375" s="131">
        <v>25616</v>
      </c>
      <c r="AC1375" s="131">
        <v>5838</v>
      </c>
      <c r="AD1375" s="131">
        <v>16768.2</v>
      </c>
      <c r="AE1375" s="132">
        <v>14685.8</v>
      </c>
    </row>
    <row r="1376" spans="1:31" x14ac:dyDescent="0.2">
      <c r="A1376" s="133">
        <v>224</v>
      </c>
      <c r="B1376" s="133" t="s">
        <v>178</v>
      </c>
      <c r="C1376" s="133" t="s">
        <v>1114</v>
      </c>
      <c r="D1376" s="133" t="s">
        <v>1548</v>
      </c>
      <c r="E1376" s="133" t="s">
        <v>1116</v>
      </c>
      <c r="F1376" s="133" t="s">
        <v>1117</v>
      </c>
      <c r="G1376" s="133" t="s">
        <v>1118</v>
      </c>
      <c r="H1376" s="133" t="s">
        <v>1133</v>
      </c>
      <c r="I1376" s="133" t="s">
        <v>1134</v>
      </c>
      <c r="J1376" s="133" t="s">
        <v>1135</v>
      </c>
      <c r="K1376" s="130" t="s">
        <v>1144</v>
      </c>
      <c r="L1376" s="130" t="s">
        <v>1948</v>
      </c>
      <c r="M1376" s="130" t="s">
        <v>1925</v>
      </c>
      <c r="N1376" s="130" t="s">
        <v>168</v>
      </c>
      <c r="O1376" s="130" t="s">
        <v>1551</v>
      </c>
      <c r="P1376" s="130" t="s">
        <v>1552</v>
      </c>
      <c r="Q1376" s="130" t="s">
        <v>1127</v>
      </c>
      <c r="R1376" s="130" t="s">
        <v>1380</v>
      </c>
      <c r="S1376" s="130" t="s">
        <v>1481</v>
      </c>
      <c r="T1376" s="130" t="s">
        <v>1130</v>
      </c>
      <c r="U1376" s="130">
        <v>0</v>
      </c>
      <c r="V1376" s="131">
        <v>29850</v>
      </c>
      <c r="W1376" s="131">
        <v>29850</v>
      </c>
      <c r="X1376" s="131">
        <v>24850</v>
      </c>
      <c r="Y1376" s="131">
        <v>5000</v>
      </c>
      <c r="Z1376" s="131">
        <v>24850</v>
      </c>
      <c r="AA1376" s="131">
        <v>5000</v>
      </c>
      <c r="AB1376" s="131">
        <v>24850</v>
      </c>
      <c r="AC1376" s="131">
        <v>5000</v>
      </c>
      <c r="AD1376" s="131">
        <v>3100</v>
      </c>
      <c r="AE1376" s="132">
        <v>26750</v>
      </c>
    </row>
    <row r="1377" spans="1:31" x14ac:dyDescent="0.2">
      <c r="A1377" s="130">
        <v>225</v>
      </c>
      <c r="B1377" s="130" t="s">
        <v>126</v>
      </c>
      <c r="C1377" s="130" t="s">
        <v>1114</v>
      </c>
      <c r="D1377" s="130" t="s">
        <v>1949</v>
      </c>
      <c r="E1377" s="130" t="s">
        <v>1116</v>
      </c>
      <c r="F1377" s="130" t="s">
        <v>1117</v>
      </c>
      <c r="G1377" s="130" t="s">
        <v>1118</v>
      </c>
      <c r="H1377" s="130" t="s">
        <v>1119</v>
      </c>
      <c r="I1377" s="130" t="s">
        <v>1120</v>
      </c>
      <c r="J1377" s="130" t="s">
        <v>1950</v>
      </c>
      <c r="K1377" s="130" t="s">
        <v>1122</v>
      </c>
      <c r="L1377" s="130" t="s">
        <v>1951</v>
      </c>
      <c r="M1377" s="130" t="s">
        <v>1925</v>
      </c>
      <c r="N1377" s="130" t="s">
        <v>124</v>
      </c>
      <c r="O1377" s="130" t="s">
        <v>1929</v>
      </c>
      <c r="P1377" s="130" t="s">
        <v>1952</v>
      </c>
      <c r="Q1377" s="130" t="s">
        <v>1127</v>
      </c>
      <c r="R1377" s="130" t="s">
        <v>1191</v>
      </c>
      <c r="S1377" s="130" t="s">
        <v>1191</v>
      </c>
      <c r="T1377" s="130" t="s">
        <v>1130</v>
      </c>
      <c r="U1377" s="130">
        <v>800000</v>
      </c>
      <c r="V1377" s="131">
        <v>-753571</v>
      </c>
      <c r="W1377" s="131">
        <v>46429</v>
      </c>
      <c r="X1377" s="131">
        <v>0</v>
      </c>
      <c r="Y1377" s="131">
        <v>46429</v>
      </c>
      <c r="Z1377" s="131">
        <v>0</v>
      </c>
      <c r="AA1377" s="131">
        <v>46429</v>
      </c>
      <c r="AB1377" s="131">
        <v>0</v>
      </c>
      <c r="AC1377" s="131">
        <v>46429</v>
      </c>
      <c r="AD1377" s="131">
        <v>0</v>
      </c>
      <c r="AE1377" s="132">
        <v>46429</v>
      </c>
    </row>
    <row r="1378" spans="1:31" x14ac:dyDescent="0.2">
      <c r="A1378" s="130">
        <v>226</v>
      </c>
      <c r="B1378" s="130" t="s">
        <v>1953</v>
      </c>
      <c r="C1378" s="130" t="s">
        <v>1114</v>
      </c>
      <c r="D1378" s="130" t="s">
        <v>1954</v>
      </c>
      <c r="E1378" s="130" t="s">
        <v>1116</v>
      </c>
      <c r="F1378" s="130" t="s">
        <v>1117</v>
      </c>
      <c r="G1378" s="130" t="s">
        <v>1118</v>
      </c>
      <c r="H1378" s="130" t="s">
        <v>1119</v>
      </c>
      <c r="I1378" s="130" t="s">
        <v>1120</v>
      </c>
      <c r="J1378" s="130" t="s">
        <v>1121</v>
      </c>
      <c r="K1378" s="130" t="s">
        <v>1122</v>
      </c>
      <c r="L1378" s="130" t="s">
        <v>1955</v>
      </c>
      <c r="M1378" s="130" t="s">
        <v>1925</v>
      </c>
      <c r="N1378" s="130" t="s">
        <v>152</v>
      </c>
      <c r="O1378" s="130" t="s">
        <v>1125</v>
      </c>
      <c r="P1378" s="130" t="s">
        <v>1126</v>
      </c>
      <c r="Q1378" s="130" t="s">
        <v>1127</v>
      </c>
      <c r="R1378" s="130" t="s">
        <v>1191</v>
      </c>
      <c r="S1378" s="130" t="s">
        <v>1191</v>
      </c>
      <c r="T1378" s="130" t="s">
        <v>1130</v>
      </c>
      <c r="U1378" s="130">
        <v>12200258</v>
      </c>
      <c r="V1378" s="131">
        <v>313653</v>
      </c>
      <c r="W1378" s="131">
        <v>12513911</v>
      </c>
      <c r="X1378" s="131">
        <v>12431185</v>
      </c>
      <c r="Y1378" s="131">
        <v>82726</v>
      </c>
      <c r="Z1378" s="131">
        <v>12431185</v>
      </c>
      <c r="AA1378" s="131">
        <v>82726</v>
      </c>
      <c r="AB1378" s="131">
        <v>6484927.2300000004</v>
      </c>
      <c r="AC1378" s="131">
        <v>6028983.7699999996</v>
      </c>
      <c r="AD1378" s="131">
        <v>6484927.2300000004</v>
      </c>
      <c r="AE1378" s="132">
        <v>6028983.7699999996</v>
      </c>
    </row>
    <row r="1379" spans="1:31" x14ac:dyDescent="0.2">
      <c r="A1379" s="133">
        <v>226</v>
      </c>
      <c r="B1379" s="133" t="s">
        <v>1953</v>
      </c>
      <c r="C1379" s="133" t="s">
        <v>1114</v>
      </c>
      <c r="D1379" s="133" t="s">
        <v>1954</v>
      </c>
      <c r="E1379" s="133" t="s">
        <v>1116</v>
      </c>
      <c r="F1379" s="133" t="s">
        <v>1117</v>
      </c>
      <c r="G1379" s="133" t="s">
        <v>1118</v>
      </c>
      <c r="H1379" s="130" t="s">
        <v>1133</v>
      </c>
      <c r="I1379" s="130" t="s">
        <v>1134</v>
      </c>
      <c r="J1379" s="130" t="s">
        <v>1135</v>
      </c>
      <c r="K1379" s="130" t="s">
        <v>1144</v>
      </c>
      <c r="L1379" s="130" t="s">
        <v>1955</v>
      </c>
      <c r="M1379" s="130" t="s">
        <v>1925</v>
      </c>
      <c r="N1379" s="130" t="s">
        <v>152</v>
      </c>
      <c r="O1379" s="130" t="s">
        <v>1125</v>
      </c>
      <c r="P1379" s="130" t="s">
        <v>1126</v>
      </c>
      <c r="Q1379" s="130" t="s">
        <v>1127</v>
      </c>
      <c r="R1379" s="130" t="s">
        <v>1191</v>
      </c>
      <c r="S1379" s="130" t="s">
        <v>1191</v>
      </c>
      <c r="T1379" s="130" t="s">
        <v>1130</v>
      </c>
      <c r="U1379" s="130">
        <v>0</v>
      </c>
      <c r="V1379" s="131">
        <v>1109199</v>
      </c>
      <c r="W1379" s="131">
        <v>1109199</v>
      </c>
      <c r="X1379" s="131">
        <v>0</v>
      </c>
      <c r="Y1379" s="131">
        <v>1109199</v>
      </c>
      <c r="Z1379" s="131">
        <v>0</v>
      </c>
      <c r="AA1379" s="131">
        <v>1109199</v>
      </c>
      <c r="AB1379" s="131">
        <v>0</v>
      </c>
      <c r="AC1379" s="131">
        <v>1109199</v>
      </c>
      <c r="AD1379" s="131">
        <v>0</v>
      </c>
      <c r="AE1379" s="132">
        <v>1109199</v>
      </c>
    </row>
    <row r="1380" spans="1:31" x14ac:dyDescent="0.2">
      <c r="A1380" s="130">
        <v>227</v>
      </c>
      <c r="B1380" s="130" t="s">
        <v>1956</v>
      </c>
      <c r="C1380" s="130" t="s">
        <v>1114</v>
      </c>
      <c r="D1380" s="130" t="s">
        <v>1954</v>
      </c>
      <c r="E1380" s="130" t="s">
        <v>1116</v>
      </c>
      <c r="F1380" s="130" t="s">
        <v>1117</v>
      </c>
      <c r="G1380" s="130" t="s">
        <v>1118</v>
      </c>
      <c r="H1380" s="130" t="s">
        <v>1119</v>
      </c>
      <c r="I1380" s="130" t="s">
        <v>1120</v>
      </c>
      <c r="J1380" s="130" t="s">
        <v>1121</v>
      </c>
      <c r="K1380" s="130" t="s">
        <v>1122</v>
      </c>
      <c r="L1380" s="130" t="s">
        <v>1957</v>
      </c>
      <c r="M1380" s="130" t="s">
        <v>1925</v>
      </c>
      <c r="N1380" s="130" t="s">
        <v>152</v>
      </c>
      <c r="O1380" s="130" t="s">
        <v>1125</v>
      </c>
      <c r="P1380" s="130" t="s">
        <v>1126</v>
      </c>
      <c r="Q1380" s="130" t="s">
        <v>1127</v>
      </c>
      <c r="R1380" s="130" t="s">
        <v>1191</v>
      </c>
      <c r="S1380" s="130" t="s">
        <v>1827</v>
      </c>
      <c r="T1380" s="130" t="s">
        <v>1130</v>
      </c>
      <c r="U1380" s="130">
        <v>8282615</v>
      </c>
      <c r="V1380" s="131">
        <v>-672739</v>
      </c>
      <c r="W1380" s="131">
        <v>7609876</v>
      </c>
      <c r="X1380" s="131">
        <v>7609876</v>
      </c>
      <c r="Y1380" s="131">
        <v>0</v>
      </c>
      <c r="Z1380" s="131">
        <v>0</v>
      </c>
      <c r="AA1380" s="131">
        <v>7609876</v>
      </c>
      <c r="AB1380" s="131">
        <v>0</v>
      </c>
      <c r="AC1380" s="131">
        <v>7609876</v>
      </c>
      <c r="AD1380" s="131">
        <v>0</v>
      </c>
      <c r="AE1380" s="132">
        <v>7609876</v>
      </c>
    </row>
    <row r="1381" spans="1:31" x14ac:dyDescent="0.2">
      <c r="A1381" s="133">
        <v>227</v>
      </c>
      <c r="B1381" s="133" t="s">
        <v>1956</v>
      </c>
      <c r="C1381" s="133" t="s">
        <v>1114</v>
      </c>
      <c r="D1381" s="133" t="s">
        <v>1954</v>
      </c>
      <c r="E1381" s="133" t="s">
        <v>1116</v>
      </c>
      <c r="F1381" s="133" t="s">
        <v>1117</v>
      </c>
      <c r="G1381" s="133" t="s">
        <v>1118</v>
      </c>
      <c r="H1381" s="130" t="s">
        <v>1133</v>
      </c>
      <c r="I1381" s="130" t="s">
        <v>1134</v>
      </c>
      <c r="J1381" s="130" t="s">
        <v>1135</v>
      </c>
      <c r="K1381" s="130" t="s">
        <v>1144</v>
      </c>
      <c r="L1381" s="130" t="s">
        <v>1957</v>
      </c>
      <c r="M1381" s="130" t="s">
        <v>1925</v>
      </c>
      <c r="N1381" s="130" t="s">
        <v>152</v>
      </c>
      <c r="O1381" s="130" t="s">
        <v>1125</v>
      </c>
      <c r="P1381" s="130" t="s">
        <v>1126</v>
      </c>
      <c r="Q1381" s="130" t="s">
        <v>1127</v>
      </c>
      <c r="R1381" s="130" t="s">
        <v>1191</v>
      </c>
      <c r="S1381" s="130" t="s">
        <v>1827</v>
      </c>
      <c r="T1381" s="130" t="s">
        <v>1130</v>
      </c>
      <c r="U1381" s="130">
        <v>0</v>
      </c>
      <c r="V1381" s="131">
        <v>594676</v>
      </c>
      <c r="W1381" s="131">
        <v>594676</v>
      </c>
      <c r="X1381" s="131">
        <v>0</v>
      </c>
      <c r="Y1381" s="131">
        <v>594676</v>
      </c>
      <c r="Z1381" s="131">
        <v>0</v>
      </c>
      <c r="AA1381" s="131">
        <v>594676</v>
      </c>
      <c r="AB1381" s="131">
        <v>0</v>
      </c>
      <c r="AC1381" s="131">
        <v>594676</v>
      </c>
      <c r="AD1381" s="131">
        <v>0</v>
      </c>
      <c r="AE1381" s="132">
        <v>594676</v>
      </c>
    </row>
    <row r="1382" spans="1:31" x14ac:dyDescent="0.2">
      <c r="A1382" s="133">
        <v>227</v>
      </c>
      <c r="B1382" s="133" t="s">
        <v>1956</v>
      </c>
      <c r="C1382" s="133" t="s">
        <v>1114</v>
      </c>
      <c r="D1382" s="133" t="s">
        <v>1954</v>
      </c>
      <c r="E1382" s="130" t="s">
        <v>1143</v>
      </c>
      <c r="F1382" s="130" t="s">
        <v>1117</v>
      </c>
      <c r="G1382" s="130" t="s">
        <v>1118</v>
      </c>
      <c r="H1382" s="130" t="s">
        <v>1119</v>
      </c>
      <c r="I1382" s="130" t="s">
        <v>1120</v>
      </c>
      <c r="J1382" s="130" t="s">
        <v>1121</v>
      </c>
      <c r="K1382" s="130" t="s">
        <v>1122</v>
      </c>
      <c r="L1382" s="130" t="s">
        <v>1957</v>
      </c>
      <c r="M1382" s="130" t="s">
        <v>1925</v>
      </c>
      <c r="N1382" s="130" t="s">
        <v>152</v>
      </c>
      <c r="O1382" s="130" t="s">
        <v>1125</v>
      </c>
      <c r="P1382" s="130" t="s">
        <v>1126</v>
      </c>
      <c r="Q1382" s="130" t="s">
        <v>1127</v>
      </c>
      <c r="R1382" s="130" t="s">
        <v>1191</v>
      </c>
      <c r="S1382" s="130" t="s">
        <v>1827</v>
      </c>
      <c r="T1382" s="130" t="s">
        <v>1130</v>
      </c>
      <c r="U1382" s="130">
        <v>0</v>
      </c>
      <c r="V1382" s="131">
        <v>2000000</v>
      </c>
      <c r="W1382" s="131">
        <v>2000000</v>
      </c>
      <c r="X1382" s="131">
        <v>2000000</v>
      </c>
      <c r="Y1382" s="131">
        <v>0</v>
      </c>
      <c r="Z1382" s="131">
        <v>0</v>
      </c>
      <c r="AA1382" s="131">
        <v>2000000</v>
      </c>
      <c r="AB1382" s="131">
        <v>0</v>
      </c>
      <c r="AC1382" s="131">
        <v>2000000</v>
      </c>
      <c r="AD1382" s="131">
        <v>0</v>
      </c>
      <c r="AE1382" s="132">
        <v>2000000</v>
      </c>
    </row>
    <row r="1383" spans="1:31" x14ac:dyDescent="0.2">
      <c r="A1383" s="130">
        <v>228</v>
      </c>
      <c r="B1383" s="130" t="s">
        <v>157</v>
      </c>
      <c r="C1383" s="130" t="s">
        <v>1114</v>
      </c>
      <c r="D1383" s="130" t="s">
        <v>1954</v>
      </c>
      <c r="E1383" s="130" t="s">
        <v>1116</v>
      </c>
      <c r="F1383" s="130" t="s">
        <v>1117</v>
      </c>
      <c r="G1383" s="130" t="s">
        <v>1118</v>
      </c>
      <c r="H1383" s="130" t="s">
        <v>1119</v>
      </c>
      <c r="I1383" s="130" t="s">
        <v>1120</v>
      </c>
      <c r="J1383" s="130" t="s">
        <v>1121</v>
      </c>
      <c r="K1383" s="130" t="s">
        <v>1122</v>
      </c>
      <c r="L1383" s="130" t="s">
        <v>1958</v>
      </c>
      <c r="M1383" s="130" t="s">
        <v>1925</v>
      </c>
      <c r="N1383" s="130" t="s">
        <v>152</v>
      </c>
      <c r="O1383" s="130" t="s">
        <v>1125</v>
      </c>
      <c r="P1383" s="130" t="s">
        <v>1126</v>
      </c>
      <c r="Q1383" s="130" t="s">
        <v>1127</v>
      </c>
      <c r="R1383" s="130" t="s">
        <v>1409</v>
      </c>
      <c r="S1383" s="130" t="s">
        <v>1638</v>
      </c>
      <c r="T1383" s="130" t="s">
        <v>1130</v>
      </c>
      <c r="U1383" s="130">
        <v>8000000</v>
      </c>
      <c r="V1383" s="131">
        <v>-8000000</v>
      </c>
      <c r="W1383" s="131">
        <v>0</v>
      </c>
      <c r="X1383" s="131">
        <v>0</v>
      </c>
      <c r="Y1383" s="131">
        <v>0</v>
      </c>
      <c r="Z1383" s="131">
        <v>0</v>
      </c>
      <c r="AA1383" s="131">
        <v>0</v>
      </c>
      <c r="AB1383" s="131">
        <v>0</v>
      </c>
      <c r="AC1383" s="131">
        <v>0</v>
      </c>
      <c r="AD1383" s="131">
        <v>0</v>
      </c>
      <c r="AE1383" s="132">
        <v>0</v>
      </c>
    </row>
    <row r="1384" spans="1:31" x14ac:dyDescent="0.2">
      <c r="A1384" s="133">
        <v>228</v>
      </c>
      <c r="B1384" s="133" t="s">
        <v>157</v>
      </c>
      <c r="C1384" s="133" t="s">
        <v>1114</v>
      </c>
      <c r="D1384" s="133" t="s">
        <v>1954</v>
      </c>
      <c r="E1384" s="133" t="s">
        <v>1116</v>
      </c>
      <c r="F1384" s="133" t="s">
        <v>1117</v>
      </c>
      <c r="G1384" s="133" t="s">
        <v>1118</v>
      </c>
      <c r="H1384" s="133" t="s">
        <v>1119</v>
      </c>
      <c r="I1384" s="133" t="s">
        <v>1120</v>
      </c>
      <c r="J1384" s="133" t="s">
        <v>1121</v>
      </c>
      <c r="K1384" s="130" t="s">
        <v>1131</v>
      </c>
      <c r="L1384" s="130" t="s">
        <v>1958</v>
      </c>
      <c r="M1384" s="130" t="s">
        <v>1925</v>
      </c>
      <c r="N1384" s="130" t="s">
        <v>152</v>
      </c>
      <c r="O1384" s="130" t="s">
        <v>1125</v>
      </c>
      <c r="P1384" s="130" t="s">
        <v>1126</v>
      </c>
      <c r="Q1384" s="130" t="s">
        <v>1127</v>
      </c>
      <c r="R1384" s="130" t="s">
        <v>1409</v>
      </c>
      <c r="S1384" s="130" t="s">
        <v>1638</v>
      </c>
      <c r="T1384" s="130" t="s">
        <v>1130</v>
      </c>
      <c r="U1384" s="130">
        <v>0</v>
      </c>
      <c r="V1384" s="131">
        <v>2500000</v>
      </c>
      <c r="W1384" s="131">
        <v>2500000</v>
      </c>
      <c r="X1384" s="131">
        <v>2000000</v>
      </c>
      <c r="Y1384" s="131">
        <v>500000</v>
      </c>
      <c r="Z1384" s="131">
        <v>2000000</v>
      </c>
      <c r="AA1384" s="131">
        <v>500000</v>
      </c>
      <c r="AB1384" s="131">
        <v>642796.59000000008</v>
      </c>
      <c r="AC1384" s="131">
        <v>1857203.41</v>
      </c>
      <c r="AD1384" s="131">
        <v>626905.11</v>
      </c>
      <c r="AE1384" s="132">
        <v>1873094.8900000001</v>
      </c>
    </row>
    <row r="1385" spans="1:31" x14ac:dyDescent="0.2">
      <c r="A1385" s="133">
        <v>228</v>
      </c>
      <c r="B1385" s="133" t="s">
        <v>157</v>
      </c>
      <c r="C1385" s="133" t="s">
        <v>1114</v>
      </c>
      <c r="D1385" s="133" t="s">
        <v>1954</v>
      </c>
      <c r="E1385" s="133" t="s">
        <v>1116</v>
      </c>
      <c r="F1385" s="133" t="s">
        <v>1117</v>
      </c>
      <c r="G1385" s="133" t="s">
        <v>1118</v>
      </c>
      <c r="H1385" s="133" t="s">
        <v>1119</v>
      </c>
      <c r="I1385" s="133" t="s">
        <v>1120</v>
      </c>
      <c r="J1385" s="133" t="s">
        <v>1121</v>
      </c>
      <c r="K1385" s="130" t="s">
        <v>1177</v>
      </c>
      <c r="L1385" s="130" t="s">
        <v>1958</v>
      </c>
      <c r="M1385" s="130" t="s">
        <v>1925</v>
      </c>
      <c r="N1385" s="130" t="s">
        <v>152</v>
      </c>
      <c r="O1385" s="130" t="s">
        <v>1125</v>
      </c>
      <c r="P1385" s="130" t="s">
        <v>1126</v>
      </c>
      <c r="Q1385" s="130" t="s">
        <v>1127</v>
      </c>
      <c r="R1385" s="130" t="s">
        <v>1409</v>
      </c>
      <c r="S1385" s="130" t="s">
        <v>1638</v>
      </c>
      <c r="T1385" s="130" t="s">
        <v>1130</v>
      </c>
      <c r="U1385" s="130">
        <v>0</v>
      </c>
      <c r="V1385" s="131">
        <v>3757000</v>
      </c>
      <c r="W1385" s="131">
        <v>3757000</v>
      </c>
      <c r="X1385" s="131">
        <v>3285897.21</v>
      </c>
      <c r="Y1385" s="131">
        <v>471102.79000000004</v>
      </c>
      <c r="Z1385" s="131">
        <v>1269044.26</v>
      </c>
      <c r="AA1385" s="131">
        <v>2487955.7400000002</v>
      </c>
      <c r="AB1385" s="131">
        <v>635444.26</v>
      </c>
      <c r="AC1385" s="131">
        <v>3121555.74</v>
      </c>
      <c r="AD1385" s="131">
        <v>486849.96</v>
      </c>
      <c r="AE1385" s="132">
        <v>3270150.04</v>
      </c>
    </row>
    <row r="1386" spans="1:31" x14ac:dyDescent="0.2">
      <c r="A1386" s="133">
        <v>228</v>
      </c>
      <c r="B1386" s="133" t="s">
        <v>157</v>
      </c>
      <c r="C1386" s="133" t="s">
        <v>1114</v>
      </c>
      <c r="D1386" s="133" t="s">
        <v>1954</v>
      </c>
      <c r="E1386" s="133" t="s">
        <v>1116</v>
      </c>
      <c r="F1386" s="133" t="s">
        <v>1117</v>
      </c>
      <c r="G1386" s="133" t="s">
        <v>1118</v>
      </c>
      <c r="H1386" s="133" t="s">
        <v>1119</v>
      </c>
      <c r="I1386" s="133" t="s">
        <v>1120</v>
      </c>
      <c r="J1386" s="133" t="s">
        <v>1121</v>
      </c>
      <c r="K1386" s="130" t="s">
        <v>1132</v>
      </c>
      <c r="L1386" s="130" t="s">
        <v>1958</v>
      </c>
      <c r="M1386" s="130" t="s">
        <v>1925</v>
      </c>
      <c r="N1386" s="130" t="s">
        <v>152</v>
      </c>
      <c r="O1386" s="130" t="s">
        <v>1125</v>
      </c>
      <c r="P1386" s="130" t="s">
        <v>1126</v>
      </c>
      <c r="Q1386" s="130" t="s">
        <v>1127</v>
      </c>
      <c r="R1386" s="130" t="s">
        <v>1409</v>
      </c>
      <c r="S1386" s="130" t="s">
        <v>1638</v>
      </c>
      <c r="T1386" s="130" t="s">
        <v>1130</v>
      </c>
      <c r="U1386" s="130">
        <v>0</v>
      </c>
      <c r="V1386" s="131">
        <v>524759</v>
      </c>
      <c r="W1386" s="131">
        <v>524759</v>
      </c>
      <c r="X1386" s="131">
        <v>274729</v>
      </c>
      <c r="Y1386" s="131">
        <v>250030</v>
      </c>
      <c r="Z1386" s="131">
        <v>274729</v>
      </c>
      <c r="AA1386" s="131">
        <v>250030</v>
      </c>
      <c r="AB1386" s="131">
        <v>274729</v>
      </c>
      <c r="AC1386" s="131">
        <v>250030</v>
      </c>
      <c r="AD1386" s="131">
        <v>12789</v>
      </c>
      <c r="AE1386" s="132">
        <v>511970</v>
      </c>
    </row>
    <row r="1387" spans="1:31" x14ac:dyDescent="0.2">
      <c r="A1387" s="133">
        <v>228</v>
      </c>
      <c r="B1387" s="133" t="s">
        <v>157</v>
      </c>
      <c r="C1387" s="133" t="s">
        <v>1114</v>
      </c>
      <c r="D1387" s="133" t="s">
        <v>1954</v>
      </c>
      <c r="E1387" s="133" t="s">
        <v>1116</v>
      </c>
      <c r="F1387" s="133" t="s">
        <v>1117</v>
      </c>
      <c r="G1387" s="133" t="s">
        <v>1118</v>
      </c>
      <c r="H1387" s="130" t="s">
        <v>1149</v>
      </c>
      <c r="I1387" s="130" t="s">
        <v>1150</v>
      </c>
      <c r="J1387" s="130" t="s">
        <v>1150</v>
      </c>
      <c r="K1387" s="130" t="s">
        <v>1151</v>
      </c>
      <c r="L1387" s="130" t="s">
        <v>1958</v>
      </c>
      <c r="M1387" s="130" t="s">
        <v>1925</v>
      </c>
      <c r="N1387" s="130" t="s">
        <v>152</v>
      </c>
      <c r="O1387" s="130" t="s">
        <v>1125</v>
      </c>
      <c r="P1387" s="130" t="s">
        <v>1126</v>
      </c>
      <c r="Q1387" s="130" t="s">
        <v>1127</v>
      </c>
      <c r="R1387" s="130" t="s">
        <v>1409</v>
      </c>
      <c r="S1387" s="130" t="s">
        <v>1638</v>
      </c>
      <c r="T1387" s="130" t="s">
        <v>1130</v>
      </c>
      <c r="U1387" s="130">
        <v>0</v>
      </c>
      <c r="V1387" s="131">
        <v>450000</v>
      </c>
      <c r="W1387" s="131">
        <v>450000</v>
      </c>
      <c r="X1387" s="131">
        <v>0</v>
      </c>
      <c r="Y1387" s="131">
        <v>450000</v>
      </c>
      <c r="Z1387" s="131">
        <v>0</v>
      </c>
      <c r="AA1387" s="131">
        <v>450000</v>
      </c>
      <c r="AB1387" s="131">
        <v>0</v>
      </c>
      <c r="AC1387" s="131">
        <v>450000</v>
      </c>
      <c r="AD1387" s="131">
        <v>0</v>
      </c>
      <c r="AE1387" s="132">
        <v>450000</v>
      </c>
    </row>
    <row r="1388" spans="1:31" x14ac:dyDescent="0.2">
      <c r="A1388" s="133">
        <v>228</v>
      </c>
      <c r="B1388" s="133" t="s">
        <v>157</v>
      </c>
      <c r="C1388" s="133" t="s">
        <v>1114</v>
      </c>
      <c r="D1388" s="133" t="s">
        <v>1954</v>
      </c>
      <c r="E1388" s="133" t="s">
        <v>1116</v>
      </c>
      <c r="F1388" s="133" t="s">
        <v>1117</v>
      </c>
      <c r="G1388" s="133" t="s">
        <v>1118</v>
      </c>
      <c r="H1388" s="133" t="s">
        <v>1149</v>
      </c>
      <c r="I1388" s="130" t="s">
        <v>1182</v>
      </c>
      <c r="J1388" s="130" t="s">
        <v>1377</v>
      </c>
      <c r="K1388" s="130" t="s">
        <v>1378</v>
      </c>
      <c r="L1388" s="130" t="s">
        <v>1958</v>
      </c>
      <c r="M1388" s="130" t="s">
        <v>1925</v>
      </c>
      <c r="N1388" s="130" t="s">
        <v>152</v>
      </c>
      <c r="O1388" s="130" t="s">
        <v>1125</v>
      </c>
      <c r="P1388" s="130" t="s">
        <v>1126</v>
      </c>
      <c r="Q1388" s="130" t="s">
        <v>1127</v>
      </c>
      <c r="R1388" s="130" t="s">
        <v>1409</v>
      </c>
      <c r="S1388" s="130" t="s">
        <v>1638</v>
      </c>
      <c r="T1388" s="130" t="s">
        <v>1130</v>
      </c>
      <c r="U1388" s="130">
        <v>0</v>
      </c>
      <c r="V1388" s="131">
        <v>20876</v>
      </c>
      <c r="W1388" s="131">
        <v>20876</v>
      </c>
      <c r="X1388" s="131">
        <v>0</v>
      </c>
      <c r="Y1388" s="131">
        <v>20876</v>
      </c>
      <c r="Z1388" s="131">
        <v>0</v>
      </c>
      <c r="AA1388" s="131">
        <v>20876</v>
      </c>
      <c r="AB1388" s="131">
        <v>0</v>
      </c>
      <c r="AC1388" s="131">
        <v>20876</v>
      </c>
      <c r="AD1388" s="131">
        <v>0</v>
      </c>
      <c r="AE1388" s="132">
        <v>20876</v>
      </c>
    </row>
    <row r="1389" spans="1:31" x14ac:dyDescent="0.2">
      <c r="A1389" s="133">
        <v>228</v>
      </c>
      <c r="B1389" s="133" t="s">
        <v>157</v>
      </c>
      <c r="C1389" s="133" t="s">
        <v>1114</v>
      </c>
      <c r="D1389" s="133" t="s">
        <v>1954</v>
      </c>
      <c r="E1389" s="133" t="s">
        <v>1116</v>
      </c>
      <c r="F1389" s="133" t="s">
        <v>1117</v>
      </c>
      <c r="G1389" s="133" t="s">
        <v>1118</v>
      </c>
      <c r="H1389" s="133" t="s">
        <v>1149</v>
      </c>
      <c r="I1389" s="133" t="s">
        <v>1182</v>
      </c>
      <c r="J1389" s="130" t="s">
        <v>1347</v>
      </c>
      <c r="K1389" s="130" t="s">
        <v>1348</v>
      </c>
      <c r="L1389" s="130" t="s">
        <v>1958</v>
      </c>
      <c r="M1389" s="130" t="s">
        <v>1925</v>
      </c>
      <c r="N1389" s="130" t="s">
        <v>152</v>
      </c>
      <c r="O1389" s="130" t="s">
        <v>1125</v>
      </c>
      <c r="P1389" s="130" t="s">
        <v>1126</v>
      </c>
      <c r="Q1389" s="130" t="s">
        <v>1127</v>
      </c>
      <c r="R1389" s="130" t="s">
        <v>1409</v>
      </c>
      <c r="S1389" s="130" t="s">
        <v>1638</v>
      </c>
      <c r="T1389" s="130" t="s">
        <v>1130</v>
      </c>
      <c r="U1389" s="130">
        <v>0</v>
      </c>
      <c r="V1389" s="131">
        <v>22365</v>
      </c>
      <c r="W1389" s="131">
        <v>22365</v>
      </c>
      <c r="X1389" s="131">
        <v>0</v>
      </c>
      <c r="Y1389" s="131">
        <v>22365</v>
      </c>
      <c r="Z1389" s="131">
        <v>0</v>
      </c>
      <c r="AA1389" s="131">
        <v>22365</v>
      </c>
      <c r="AB1389" s="131">
        <v>0</v>
      </c>
      <c r="AC1389" s="131">
        <v>22365</v>
      </c>
      <c r="AD1389" s="131">
        <v>0</v>
      </c>
      <c r="AE1389" s="132">
        <v>22365</v>
      </c>
    </row>
    <row r="1390" spans="1:31" x14ac:dyDescent="0.2">
      <c r="A1390" s="133">
        <v>228</v>
      </c>
      <c r="B1390" s="133" t="s">
        <v>157</v>
      </c>
      <c r="C1390" s="133" t="s">
        <v>1114</v>
      </c>
      <c r="D1390" s="133" t="s">
        <v>1954</v>
      </c>
      <c r="E1390" s="133" t="s">
        <v>1116</v>
      </c>
      <c r="F1390" s="133" t="s">
        <v>1117</v>
      </c>
      <c r="G1390" s="133" t="s">
        <v>1118</v>
      </c>
      <c r="H1390" s="130" t="s">
        <v>1133</v>
      </c>
      <c r="I1390" s="130" t="s">
        <v>1134</v>
      </c>
      <c r="J1390" s="130" t="s">
        <v>1135</v>
      </c>
      <c r="K1390" s="130" t="s">
        <v>1178</v>
      </c>
      <c r="L1390" s="130" t="s">
        <v>1958</v>
      </c>
      <c r="M1390" s="130" t="s">
        <v>1925</v>
      </c>
      <c r="N1390" s="130" t="s">
        <v>152</v>
      </c>
      <c r="O1390" s="130" t="s">
        <v>1125</v>
      </c>
      <c r="P1390" s="130" t="s">
        <v>1126</v>
      </c>
      <c r="Q1390" s="130" t="s">
        <v>1127</v>
      </c>
      <c r="R1390" s="130" t="s">
        <v>1409</v>
      </c>
      <c r="S1390" s="130" t="s">
        <v>1638</v>
      </c>
      <c r="T1390" s="130" t="s">
        <v>1130</v>
      </c>
      <c r="U1390" s="130">
        <v>0</v>
      </c>
      <c r="V1390" s="131">
        <v>570000</v>
      </c>
      <c r="W1390" s="131">
        <v>570000</v>
      </c>
      <c r="X1390" s="131">
        <v>430000</v>
      </c>
      <c r="Y1390" s="131">
        <v>140000</v>
      </c>
      <c r="Z1390" s="131">
        <v>430000</v>
      </c>
      <c r="AA1390" s="131">
        <v>140000</v>
      </c>
      <c r="AB1390" s="131">
        <v>77137.23000000001</v>
      </c>
      <c r="AC1390" s="131">
        <v>492862.77</v>
      </c>
      <c r="AD1390" s="131">
        <v>77137.23000000001</v>
      </c>
      <c r="AE1390" s="132">
        <v>492862.77</v>
      </c>
    </row>
    <row r="1391" spans="1:31" x14ac:dyDescent="0.2">
      <c r="A1391" s="133">
        <v>228</v>
      </c>
      <c r="B1391" s="133" t="s">
        <v>157</v>
      </c>
      <c r="C1391" s="133" t="s">
        <v>1114</v>
      </c>
      <c r="D1391" s="133" t="s">
        <v>1954</v>
      </c>
      <c r="E1391" s="133" t="s">
        <v>1116</v>
      </c>
      <c r="F1391" s="133" t="s">
        <v>1117</v>
      </c>
      <c r="G1391" s="133" t="s">
        <v>1118</v>
      </c>
      <c r="H1391" s="133" t="s">
        <v>1133</v>
      </c>
      <c r="I1391" s="133" t="s">
        <v>1134</v>
      </c>
      <c r="J1391" s="133" t="s">
        <v>1135</v>
      </c>
      <c r="K1391" s="130" t="s">
        <v>1179</v>
      </c>
      <c r="L1391" s="130" t="s">
        <v>1958</v>
      </c>
      <c r="M1391" s="130" t="s">
        <v>1925</v>
      </c>
      <c r="N1391" s="130" t="s">
        <v>152</v>
      </c>
      <c r="O1391" s="130" t="s">
        <v>1125</v>
      </c>
      <c r="P1391" s="130" t="s">
        <v>1126</v>
      </c>
      <c r="Q1391" s="130" t="s">
        <v>1127</v>
      </c>
      <c r="R1391" s="130" t="s">
        <v>1409</v>
      </c>
      <c r="S1391" s="130" t="s">
        <v>1638</v>
      </c>
      <c r="T1391" s="130" t="s">
        <v>1130</v>
      </c>
      <c r="U1391" s="130">
        <v>0</v>
      </c>
      <c r="V1391" s="131">
        <v>65000</v>
      </c>
      <c r="W1391" s="131">
        <v>65000</v>
      </c>
      <c r="X1391" s="131">
        <v>59550</v>
      </c>
      <c r="Y1391" s="131">
        <v>5450</v>
      </c>
      <c r="Z1391" s="131">
        <v>58874.17</v>
      </c>
      <c r="AA1391" s="131">
        <v>6125.8300000000017</v>
      </c>
      <c r="AB1391" s="131">
        <v>58874.17</v>
      </c>
      <c r="AC1391" s="131">
        <v>6125.8300000000017</v>
      </c>
      <c r="AD1391" s="131">
        <v>8278</v>
      </c>
      <c r="AE1391" s="132">
        <v>56722</v>
      </c>
    </row>
    <row r="1392" spans="1:31" x14ac:dyDescent="0.2">
      <c r="A1392" s="133">
        <v>228</v>
      </c>
      <c r="B1392" s="133" t="s">
        <v>157</v>
      </c>
      <c r="C1392" s="133" t="s">
        <v>1114</v>
      </c>
      <c r="D1392" s="133" t="s">
        <v>1954</v>
      </c>
      <c r="E1392" s="133" t="s">
        <v>1116</v>
      </c>
      <c r="F1392" s="133" t="s">
        <v>1117</v>
      </c>
      <c r="G1392" s="133" t="s">
        <v>1118</v>
      </c>
      <c r="H1392" s="133" t="s">
        <v>1133</v>
      </c>
      <c r="I1392" s="133" t="s">
        <v>1134</v>
      </c>
      <c r="J1392" s="133" t="s">
        <v>1135</v>
      </c>
      <c r="K1392" s="130" t="s">
        <v>1144</v>
      </c>
      <c r="L1392" s="130" t="s">
        <v>1958</v>
      </c>
      <c r="M1392" s="130" t="s">
        <v>1925</v>
      </c>
      <c r="N1392" s="130" t="s">
        <v>152</v>
      </c>
      <c r="O1392" s="130" t="s">
        <v>1125</v>
      </c>
      <c r="P1392" s="130" t="s">
        <v>1126</v>
      </c>
      <c r="Q1392" s="130" t="s">
        <v>1127</v>
      </c>
      <c r="R1392" s="130" t="s">
        <v>1409</v>
      </c>
      <c r="S1392" s="130" t="s">
        <v>1638</v>
      </c>
      <c r="T1392" s="130" t="s">
        <v>1130</v>
      </c>
      <c r="U1392" s="130">
        <v>0</v>
      </c>
      <c r="V1392" s="131">
        <v>90000</v>
      </c>
      <c r="W1392" s="131">
        <v>90000</v>
      </c>
      <c r="X1392" s="131">
        <v>78650</v>
      </c>
      <c r="Y1392" s="131">
        <v>11350</v>
      </c>
      <c r="Z1392" s="131">
        <v>78650</v>
      </c>
      <c r="AA1392" s="131">
        <v>11350</v>
      </c>
      <c r="AB1392" s="131">
        <v>78650</v>
      </c>
      <c r="AC1392" s="131">
        <v>11350</v>
      </c>
      <c r="AD1392" s="131">
        <v>8710</v>
      </c>
      <c r="AE1392" s="132">
        <v>81290</v>
      </c>
    </row>
    <row r="1393" spans="1:31" x14ac:dyDescent="0.2">
      <c r="A1393" s="130">
        <v>229</v>
      </c>
      <c r="B1393" s="130" t="s">
        <v>1959</v>
      </c>
      <c r="C1393" s="130" t="s">
        <v>1114</v>
      </c>
      <c r="D1393" s="130" t="s">
        <v>1548</v>
      </c>
      <c r="E1393" s="130" t="s">
        <v>1116</v>
      </c>
      <c r="F1393" s="130" t="s">
        <v>1117</v>
      </c>
      <c r="G1393" s="130" t="s">
        <v>1118</v>
      </c>
      <c r="H1393" s="130" t="s">
        <v>1119</v>
      </c>
      <c r="I1393" s="130" t="s">
        <v>1120</v>
      </c>
      <c r="J1393" s="130" t="s">
        <v>1358</v>
      </c>
      <c r="K1393" s="130" t="s">
        <v>1122</v>
      </c>
      <c r="L1393" s="130" t="s">
        <v>1960</v>
      </c>
      <c r="M1393" s="130" t="s">
        <v>1925</v>
      </c>
      <c r="N1393" s="130" t="s">
        <v>168</v>
      </c>
      <c r="O1393" s="130" t="s">
        <v>1961</v>
      </c>
      <c r="P1393" s="130" t="s">
        <v>1962</v>
      </c>
      <c r="Q1393" s="130" t="s">
        <v>1127</v>
      </c>
      <c r="R1393" s="130" t="s">
        <v>1409</v>
      </c>
      <c r="S1393" s="130" t="s">
        <v>1460</v>
      </c>
      <c r="T1393" s="130" t="s">
        <v>1130</v>
      </c>
      <c r="U1393" s="130">
        <v>12500000</v>
      </c>
      <c r="V1393" s="131">
        <v>-12500000</v>
      </c>
      <c r="W1393" s="131">
        <v>0</v>
      </c>
      <c r="X1393" s="131">
        <v>0</v>
      </c>
      <c r="Y1393" s="131">
        <v>0</v>
      </c>
      <c r="Z1393" s="131">
        <v>0</v>
      </c>
      <c r="AA1393" s="131">
        <v>0</v>
      </c>
      <c r="AB1393" s="131">
        <v>0</v>
      </c>
      <c r="AC1393" s="131">
        <v>0</v>
      </c>
      <c r="AD1393" s="131">
        <v>0</v>
      </c>
      <c r="AE1393" s="132">
        <v>0</v>
      </c>
    </row>
    <row r="1394" spans="1:31" x14ac:dyDescent="0.2">
      <c r="A1394" s="133">
        <v>229</v>
      </c>
      <c r="B1394" s="133" t="s">
        <v>1959</v>
      </c>
      <c r="C1394" s="133" t="s">
        <v>1114</v>
      </c>
      <c r="D1394" s="133" t="s">
        <v>1548</v>
      </c>
      <c r="E1394" s="133" t="s">
        <v>1116</v>
      </c>
      <c r="F1394" s="133" t="s">
        <v>1117</v>
      </c>
      <c r="G1394" s="133" t="s">
        <v>1118</v>
      </c>
      <c r="H1394" s="133" t="s">
        <v>1119</v>
      </c>
      <c r="I1394" s="133" t="s">
        <v>1120</v>
      </c>
      <c r="J1394" s="133" t="s">
        <v>1358</v>
      </c>
      <c r="K1394" s="130" t="s">
        <v>1131</v>
      </c>
      <c r="L1394" s="130" t="s">
        <v>1960</v>
      </c>
      <c r="M1394" s="130" t="s">
        <v>1925</v>
      </c>
      <c r="N1394" s="130" t="s">
        <v>168</v>
      </c>
      <c r="O1394" s="130" t="s">
        <v>1961</v>
      </c>
      <c r="P1394" s="130" t="s">
        <v>1962</v>
      </c>
      <c r="Q1394" s="130" t="s">
        <v>1127</v>
      </c>
      <c r="R1394" s="130" t="s">
        <v>1409</v>
      </c>
      <c r="S1394" s="130" t="s">
        <v>1460</v>
      </c>
      <c r="T1394" s="130" t="s">
        <v>1130</v>
      </c>
      <c r="U1394" s="130">
        <v>0</v>
      </c>
      <c r="V1394" s="131">
        <v>3800000</v>
      </c>
      <c r="W1394" s="131">
        <v>3800000</v>
      </c>
      <c r="X1394" s="131">
        <v>3500000</v>
      </c>
      <c r="Y1394" s="131">
        <v>300000</v>
      </c>
      <c r="Z1394" s="131">
        <v>3500000</v>
      </c>
      <c r="AA1394" s="131">
        <v>300000</v>
      </c>
      <c r="AB1394" s="131">
        <v>2432452.16</v>
      </c>
      <c r="AC1394" s="131">
        <v>1367547.8399999999</v>
      </c>
      <c r="AD1394" s="131">
        <v>2432452.16</v>
      </c>
      <c r="AE1394" s="132">
        <v>1367547.8399999999</v>
      </c>
    </row>
    <row r="1395" spans="1:31" x14ac:dyDescent="0.2">
      <c r="A1395" s="133">
        <v>229</v>
      </c>
      <c r="B1395" s="133" t="s">
        <v>1959</v>
      </c>
      <c r="C1395" s="133" t="s">
        <v>1114</v>
      </c>
      <c r="D1395" s="133" t="s">
        <v>1548</v>
      </c>
      <c r="E1395" s="133" t="s">
        <v>1116</v>
      </c>
      <c r="F1395" s="133" t="s">
        <v>1117</v>
      </c>
      <c r="G1395" s="133" t="s">
        <v>1118</v>
      </c>
      <c r="H1395" s="133" t="s">
        <v>1119</v>
      </c>
      <c r="I1395" s="133" t="s">
        <v>1120</v>
      </c>
      <c r="J1395" s="133" t="s">
        <v>1358</v>
      </c>
      <c r="K1395" s="130" t="s">
        <v>1177</v>
      </c>
      <c r="L1395" s="130" t="s">
        <v>1960</v>
      </c>
      <c r="M1395" s="130" t="s">
        <v>1925</v>
      </c>
      <c r="N1395" s="130" t="s">
        <v>168</v>
      </c>
      <c r="O1395" s="130" t="s">
        <v>1961</v>
      </c>
      <c r="P1395" s="130" t="s">
        <v>1962</v>
      </c>
      <c r="Q1395" s="130" t="s">
        <v>1127</v>
      </c>
      <c r="R1395" s="130" t="s">
        <v>1409</v>
      </c>
      <c r="S1395" s="130" t="s">
        <v>1460</v>
      </c>
      <c r="T1395" s="130" t="s">
        <v>1130</v>
      </c>
      <c r="U1395" s="130">
        <v>0</v>
      </c>
      <c r="V1395" s="131">
        <v>8762418</v>
      </c>
      <c r="W1395" s="131">
        <v>8762418</v>
      </c>
      <c r="X1395" s="131">
        <v>7919383.6200000001</v>
      </c>
      <c r="Y1395" s="131">
        <v>843034.37999999989</v>
      </c>
      <c r="Z1395" s="131">
        <v>2845802.86</v>
      </c>
      <c r="AA1395" s="131">
        <v>5916615.1400000006</v>
      </c>
      <c r="AB1395" s="131">
        <v>2155506.39</v>
      </c>
      <c r="AC1395" s="131">
        <v>6606911.6099999994</v>
      </c>
      <c r="AD1395" s="131">
        <v>1602163.79</v>
      </c>
      <c r="AE1395" s="132">
        <v>7160254.21</v>
      </c>
    </row>
    <row r="1396" spans="1:31" x14ac:dyDescent="0.2">
      <c r="A1396" s="133">
        <v>229</v>
      </c>
      <c r="B1396" s="133" t="s">
        <v>1959</v>
      </c>
      <c r="C1396" s="133" t="s">
        <v>1114</v>
      </c>
      <c r="D1396" s="133" t="s">
        <v>1548</v>
      </c>
      <c r="E1396" s="133" t="s">
        <v>1116</v>
      </c>
      <c r="F1396" s="133" t="s">
        <v>1117</v>
      </c>
      <c r="G1396" s="133" t="s">
        <v>1118</v>
      </c>
      <c r="H1396" s="133" t="s">
        <v>1119</v>
      </c>
      <c r="I1396" s="133" t="s">
        <v>1120</v>
      </c>
      <c r="J1396" s="133" t="s">
        <v>1358</v>
      </c>
      <c r="K1396" s="130" t="s">
        <v>1132</v>
      </c>
      <c r="L1396" s="130" t="s">
        <v>1960</v>
      </c>
      <c r="M1396" s="130" t="s">
        <v>1925</v>
      </c>
      <c r="N1396" s="130" t="s">
        <v>168</v>
      </c>
      <c r="O1396" s="130" t="s">
        <v>1961</v>
      </c>
      <c r="P1396" s="130" t="s">
        <v>1962</v>
      </c>
      <c r="Q1396" s="130" t="s">
        <v>1127</v>
      </c>
      <c r="R1396" s="130" t="s">
        <v>1409</v>
      </c>
      <c r="S1396" s="130" t="s">
        <v>1460</v>
      </c>
      <c r="T1396" s="130" t="s">
        <v>1130</v>
      </c>
      <c r="U1396" s="130">
        <v>0</v>
      </c>
      <c r="V1396" s="131">
        <v>281000</v>
      </c>
      <c r="W1396" s="131">
        <v>281000</v>
      </c>
      <c r="X1396" s="131">
        <v>280352.44</v>
      </c>
      <c r="Y1396" s="131">
        <v>647.55999999999767</v>
      </c>
      <c r="Z1396" s="131">
        <v>279852.44</v>
      </c>
      <c r="AA1396" s="131">
        <v>1147.5599999999977</v>
      </c>
      <c r="AB1396" s="131">
        <v>279852.44</v>
      </c>
      <c r="AC1396" s="131">
        <v>1147.5599999999977</v>
      </c>
      <c r="AD1396" s="131">
        <v>241362.44</v>
      </c>
      <c r="AE1396" s="132">
        <v>39637.56</v>
      </c>
    </row>
    <row r="1397" spans="1:31" x14ac:dyDescent="0.2">
      <c r="A1397" s="133">
        <v>229</v>
      </c>
      <c r="B1397" s="133" t="s">
        <v>1959</v>
      </c>
      <c r="C1397" s="133" t="s">
        <v>1114</v>
      </c>
      <c r="D1397" s="133" t="s">
        <v>1548</v>
      </c>
      <c r="E1397" s="133" t="s">
        <v>1116</v>
      </c>
      <c r="F1397" s="133" t="s">
        <v>1117</v>
      </c>
      <c r="G1397" s="133" t="s">
        <v>1118</v>
      </c>
      <c r="H1397" s="130" t="s">
        <v>1149</v>
      </c>
      <c r="I1397" s="130" t="s">
        <v>1182</v>
      </c>
      <c r="J1397" s="130" t="s">
        <v>1377</v>
      </c>
      <c r="K1397" s="130" t="s">
        <v>1378</v>
      </c>
      <c r="L1397" s="130" t="s">
        <v>1960</v>
      </c>
      <c r="M1397" s="130" t="s">
        <v>1925</v>
      </c>
      <c r="N1397" s="130" t="s">
        <v>168</v>
      </c>
      <c r="O1397" s="130" t="s">
        <v>1961</v>
      </c>
      <c r="P1397" s="130" t="s">
        <v>1962</v>
      </c>
      <c r="Q1397" s="130" t="s">
        <v>1127</v>
      </c>
      <c r="R1397" s="130" t="s">
        <v>1409</v>
      </c>
      <c r="S1397" s="130" t="s">
        <v>1460</v>
      </c>
      <c r="T1397" s="130" t="s">
        <v>1130</v>
      </c>
      <c r="U1397" s="130">
        <v>0</v>
      </c>
      <c r="V1397" s="131">
        <v>0</v>
      </c>
      <c r="W1397" s="131">
        <v>0</v>
      </c>
      <c r="X1397" s="131">
        <v>0</v>
      </c>
      <c r="Y1397" s="131">
        <v>0</v>
      </c>
      <c r="Z1397" s="131">
        <v>0</v>
      </c>
      <c r="AA1397" s="131">
        <v>0</v>
      </c>
      <c r="AB1397" s="131">
        <v>0</v>
      </c>
      <c r="AC1397" s="131">
        <v>0</v>
      </c>
      <c r="AD1397" s="131">
        <v>0</v>
      </c>
      <c r="AE1397" s="132">
        <v>0</v>
      </c>
    </row>
    <row r="1398" spans="1:31" x14ac:dyDescent="0.2">
      <c r="A1398" s="133">
        <v>229</v>
      </c>
      <c r="B1398" s="133" t="s">
        <v>1959</v>
      </c>
      <c r="C1398" s="133" t="s">
        <v>1114</v>
      </c>
      <c r="D1398" s="133" t="s">
        <v>1548</v>
      </c>
      <c r="E1398" s="133" t="s">
        <v>1116</v>
      </c>
      <c r="F1398" s="133" t="s">
        <v>1117</v>
      </c>
      <c r="G1398" s="133" t="s">
        <v>1118</v>
      </c>
      <c r="H1398" s="133" t="s">
        <v>1149</v>
      </c>
      <c r="I1398" s="133" t="s">
        <v>1182</v>
      </c>
      <c r="J1398" s="130" t="s">
        <v>1382</v>
      </c>
      <c r="K1398" s="130" t="s">
        <v>1383</v>
      </c>
      <c r="L1398" s="130" t="s">
        <v>1960</v>
      </c>
      <c r="M1398" s="130" t="s">
        <v>1925</v>
      </c>
      <c r="N1398" s="130" t="s">
        <v>168</v>
      </c>
      <c r="O1398" s="130" t="s">
        <v>1961</v>
      </c>
      <c r="P1398" s="130" t="s">
        <v>1962</v>
      </c>
      <c r="Q1398" s="130" t="s">
        <v>1127</v>
      </c>
      <c r="R1398" s="130" t="s">
        <v>1409</v>
      </c>
      <c r="S1398" s="130" t="s">
        <v>1460</v>
      </c>
      <c r="T1398" s="130" t="s">
        <v>1130</v>
      </c>
      <c r="U1398" s="130">
        <v>0</v>
      </c>
      <c r="V1398" s="131">
        <v>972713</v>
      </c>
      <c r="W1398" s="131">
        <v>972713</v>
      </c>
      <c r="X1398" s="131">
        <v>892652</v>
      </c>
      <c r="Y1398" s="131">
        <v>80061</v>
      </c>
      <c r="Z1398" s="131">
        <v>0</v>
      </c>
      <c r="AA1398" s="131">
        <v>972713</v>
      </c>
      <c r="AB1398" s="131">
        <v>0</v>
      </c>
      <c r="AC1398" s="131">
        <v>972713</v>
      </c>
      <c r="AD1398" s="131">
        <v>0</v>
      </c>
      <c r="AE1398" s="132">
        <v>972713</v>
      </c>
    </row>
    <row r="1399" spans="1:31" x14ac:dyDescent="0.2">
      <c r="A1399" s="133">
        <v>229</v>
      </c>
      <c r="B1399" s="133" t="s">
        <v>1959</v>
      </c>
      <c r="C1399" s="133" t="s">
        <v>1114</v>
      </c>
      <c r="D1399" s="133" t="s">
        <v>1548</v>
      </c>
      <c r="E1399" s="133" t="s">
        <v>1116</v>
      </c>
      <c r="F1399" s="133" t="s">
        <v>1117</v>
      </c>
      <c r="G1399" s="133" t="s">
        <v>1118</v>
      </c>
      <c r="H1399" s="133" t="s">
        <v>1149</v>
      </c>
      <c r="I1399" s="133" t="s">
        <v>1182</v>
      </c>
      <c r="J1399" s="133" t="s">
        <v>1382</v>
      </c>
      <c r="K1399" s="130" t="s">
        <v>1378</v>
      </c>
      <c r="L1399" s="130" t="s">
        <v>1960</v>
      </c>
      <c r="M1399" s="130" t="s">
        <v>1925</v>
      </c>
      <c r="N1399" s="130" t="s">
        <v>168</v>
      </c>
      <c r="O1399" s="130" t="s">
        <v>1961</v>
      </c>
      <c r="P1399" s="130" t="s">
        <v>1962</v>
      </c>
      <c r="Q1399" s="130" t="s">
        <v>1127</v>
      </c>
      <c r="R1399" s="130" t="s">
        <v>1409</v>
      </c>
      <c r="S1399" s="130" t="s">
        <v>1460</v>
      </c>
      <c r="T1399" s="130" t="s">
        <v>1130</v>
      </c>
      <c r="U1399" s="130">
        <v>0</v>
      </c>
      <c r="V1399" s="131">
        <v>303189</v>
      </c>
      <c r="W1399" s="131">
        <v>303189</v>
      </c>
      <c r="X1399" s="131">
        <v>0</v>
      </c>
      <c r="Y1399" s="131">
        <v>303189</v>
      </c>
      <c r="Z1399" s="131">
        <v>0</v>
      </c>
      <c r="AA1399" s="131">
        <v>303189</v>
      </c>
      <c r="AB1399" s="131">
        <v>0</v>
      </c>
      <c r="AC1399" s="131">
        <v>303189</v>
      </c>
      <c r="AD1399" s="131">
        <v>0</v>
      </c>
      <c r="AE1399" s="132">
        <v>303189</v>
      </c>
    </row>
    <row r="1400" spans="1:31" x14ac:dyDescent="0.2">
      <c r="A1400" s="133">
        <v>229</v>
      </c>
      <c r="B1400" s="133" t="s">
        <v>1959</v>
      </c>
      <c r="C1400" s="133" t="s">
        <v>1114</v>
      </c>
      <c r="D1400" s="133" t="s">
        <v>1548</v>
      </c>
      <c r="E1400" s="133" t="s">
        <v>1116</v>
      </c>
      <c r="F1400" s="133" t="s">
        <v>1117</v>
      </c>
      <c r="G1400" s="133" t="s">
        <v>1118</v>
      </c>
      <c r="H1400" s="130" t="s">
        <v>1133</v>
      </c>
      <c r="I1400" s="130" t="s">
        <v>1134</v>
      </c>
      <c r="J1400" s="130" t="s">
        <v>1135</v>
      </c>
      <c r="K1400" s="130" t="s">
        <v>1178</v>
      </c>
      <c r="L1400" s="130" t="s">
        <v>1960</v>
      </c>
      <c r="M1400" s="130" t="s">
        <v>1925</v>
      </c>
      <c r="N1400" s="130" t="s">
        <v>168</v>
      </c>
      <c r="O1400" s="130" t="s">
        <v>1961</v>
      </c>
      <c r="P1400" s="130" t="s">
        <v>1962</v>
      </c>
      <c r="Q1400" s="130" t="s">
        <v>1127</v>
      </c>
      <c r="R1400" s="130" t="s">
        <v>1409</v>
      </c>
      <c r="S1400" s="130" t="s">
        <v>1460</v>
      </c>
      <c r="T1400" s="130" t="s">
        <v>1130</v>
      </c>
      <c r="U1400" s="130">
        <v>0</v>
      </c>
      <c r="V1400" s="131">
        <v>410000</v>
      </c>
      <c r="W1400" s="131">
        <v>410000</v>
      </c>
      <c r="X1400" s="131">
        <v>410000</v>
      </c>
      <c r="Y1400" s="131">
        <v>0</v>
      </c>
      <c r="Z1400" s="131">
        <v>410000</v>
      </c>
      <c r="AA1400" s="131">
        <v>0</v>
      </c>
      <c r="AB1400" s="131">
        <v>114793.87</v>
      </c>
      <c r="AC1400" s="131">
        <v>295206.13</v>
      </c>
      <c r="AD1400" s="131">
        <v>114793.87</v>
      </c>
      <c r="AE1400" s="132">
        <v>295206.13</v>
      </c>
    </row>
    <row r="1401" spans="1:31" x14ac:dyDescent="0.2">
      <c r="A1401" s="133">
        <v>229</v>
      </c>
      <c r="B1401" s="133" t="s">
        <v>1959</v>
      </c>
      <c r="C1401" s="133" t="s">
        <v>1114</v>
      </c>
      <c r="D1401" s="133" t="s">
        <v>1548</v>
      </c>
      <c r="E1401" s="133" t="s">
        <v>1116</v>
      </c>
      <c r="F1401" s="133" t="s">
        <v>1117</v>
      </c>
      <c r="G1401" s="133" t="s">
        <v>1118</v>
      </c>
      <c r="H1401" s="133" t="s">
        <v>1133</v>
      </c>
      <c r="I1401" s="133" t="s">
        <v>1134</v>
      </c>
      <c r="J1401" s="133" t="s">
        <v>1135</v>
      </c>
      <c r="K1401" s="130" t="s">
        <v>1179</v>
      </c>
      <c r="L1401" s="130" t="s">
        <v>1960</v>
      </c>
      <c r="M1401" s="130" t="s">
        <v>1925</v>
      </c>
      <c r="N1401" s="130" t="s">
        <v>168</v>
      </c>
      <c r="O1401" s="130" t="s">
        <v>1961</v>
      </c>
      <c r="P1401" s="130" t="s">
        <v>1962</v>
      </c>
      <c r="Q1401" s="130" t="s">
        <v>1127</v>
      </c>
      <c r="R1401" s="130" t="s">
        <v>1409</v>
      </c>
      <c r="S1401" s="130" t="s">
        <v>1460</v>
      </c>
      <c r="T1401" s="130" t="s">
        <v>1130</v>
      </c>
      <c r="U1401" s="130">
        <v>0</v>
      </c>
      <c r="V1401" s="131">
        <v>29000</v>
      </c>
      <c r="W1401" s="131">
        <v>29000</v>
      </c>
      <c r="X1401" s="131">
        <v>7660</v>
      </c>
      <c r="Y1401" s="131">
        <v>21340</v>
      </c>
      <c r="Z1401" s="131">
        <v>7597.6</v>
      </c>
      <c r="AA1401" s="131">
        <v>21402.400000000001</v>
      </c>
      <c r="AB1401" s="131">
        <v>7597.6</v>
      </c>
      <c r="AC1401" s="131">
        <v>21402.400000000001</v>
      </c>
      <c r="AD1401" s="131">
        <v>7597.6</v>
      </c>
      <c r="AE1401" s="132">
        <v>21402.400000000001</v>
      </c>
    </row>
    <row r="1402" spans="1:31" x14ac:dyDescent="0.2">
      <c r="A1402" s="133">
        <v>229</v>
      </c>
      <c r="B1402" s="133" t="s">
        <v>1959</v>
      </c>
      <c r="C1402" s="133" t="s">
        <v>1114</v>
      </c>
      <c r="D1402" s="133" t="s">
        <v>1548</v>
      </c>
      <c r="E1402" s="133" t="s">
        <v>1116</v>
      </c>
      <c r="F1402" s="133" t="s">
        <v>1117</v>
      </c>
      <c r="G1402" s="133" t="s">
        <v>1118</v>
      </c>
      <c r="H1402" s="133" t="s">
        <v>1133</v>
      </c>
      <c r="I1402" s="133" t="s">
        <v>1134</v>
      </c>
      <c r="J1402" s="133" t="s">
        <v>1135</v>
      </c>
      <c r="K1402" s="130" t="s">
        <v>1144</v>
      </c>
      <c r="L1402" s="130" t="s">
        <v>1960</v>
      </c>
      <c r="M1402" s="130" t="s">
        <v>1925</v>
      </c>
      <c r="N1402" s="130" t="s">
        <v>168</v>
      </c>
      <c r="O1402" s="130" t="s">
        <v>1961</v>
      </c>
      <c r="P1402" s="130" t="s">
        <v>1962</v>
      </c>
      <c r="Q1402" s="130" t="s">
        <v>1127</v>
      </c>
      <c r="R1402" s="130" t="s">
        <v>1409</v>
      </c>
      <c r="S1402" s="130" t="s">
        <v>1460</v>
      </c>
      <c r="T1402" s="130" t="s">
        <v>1130</v>
      </c>
      <c r="U1402" s="130">
        <v>0</v>
      </c>
      <c r="V1402" s="131">
        <v>50000</v>
      </c>
      <c r="W1402" s="131">
        <v>50000</v>
      </c>
      <c r="X1402" s="131">
        <v>42500</v>
      </c>
      <c r="Y1402" s="131">
        <v>7500</v>
      </c>
      <c r="Z1402" s="131">
        <v>42500</v>
      </c>
      <c r="AA1402" s="131">
        <v>7500</v>
      </c>
      <c r="AB1402" s="131">
        <v>42500</v>
      </c>
      <c r="AC1402" s="131">
        <v>7500</v>
      </c>
      <c r="AD1402" s="131">
        <v>13260</v>
      </c>
      <c r="AE1402" s="132">
        <v>36740</v>
      </c>
    </row>
    <row r="1403" spans="1:31" x14ac:dyDescent="0.2">
      <c r="A1403" s="130">
        <v>230</v>
      </c>
      <c r="B1403" s="130" t="s">
        <v>1963</v>
      </c>
      <c r="C1403" s="130" t="s">
        <v>1114</v>
      </c>
      <c r="D1403" s="130" t="s">
        <v>1936</v>
      </c>
      <c r="E1403" s="130" t="s">
        <v>1116</v>
      </c>
      <c r="F1403" s="130" t="s">
        <v>1117</v>
      </c>
      <c r="G1403" s="130" t="s">
        <v>1118</v>
      </c>
      <c r="H1403" s="130" t="s">
        <v>1119</v>
      </c>
      <c r="I1403" s="130" t="s">
        <v>1120</v>
      </c>
      <c r="J1403" s="130" t="s">
        <v>1121</v>
      </c>
      <c r="K1403" s="130" t="s">
        <v>1122</v>
      </c>
      <c r="L1403" s="130" t="s">
        <v>1964</v>
      </c>
      <c r="M1403" s="130" t="s">
        <v>1925</v>
      </c>
      <c r="N1403" s="130" t="s">
        <v>152</v>
      </c>
      <c r="O1403" s="130" t="s">
        <v>1125</v>
      </c>
      <c r="P1403" s="130" t="s">
        <v>1126</v>
      </c>
      <c r="Q1403" s="130" t="s">
        <v>1127</v>
      </c>
      <c r="R1403" s="130" t="s">
        <v>1175</v>
      </c>
      <c r="S1403" s="130" t="s">
        <v>1401</v>
      </c>
      <c r="T1403" s="130" t="s">
        <v>1130</v>
      </c>
      <c r="U1403" s="130">
        <v>1950000</v>
      </c>
      <c r="V1403" s="131">
        <v>0</v>
      </c>
      <c r="W1403" s="131">
        <v>1950000</v>
      </c>
      <c r="X1403" s="131">
        <v>0</v>
      </c>
      <c r="Y1403" s="131">
        <v>1950000</v>
      </c>
      <c r="Z1403" s="131">
        <v>0</v>
      </c>
      <c r="AA1403" s="131">
        <v>1950000</v>
      </c>
      <c r="AB1403" s="131">
        <v>0</v>
      </c>
      <c r="AC1403" s="131">
        <v>1950000</v>
      </c>
      <c r="AD1403" s="131">
        <v>0</v>
      </c>
      <c r="AE1403" s="132">
        <v>1950000</v>
      </c>
    </row>
    <row r="1404" spans="1:31" x14ac:dyDescent="0.2">
      <c r="A1404" s="130">
        <v>231</v>
      </c>
      <c r="B1404" s="130" t="s">
        <v>1965</v>
      </c>
      <c r="C1404" s="130" t="s">
        <v>1114</v>
      </c>
      <c r="D1404" s="130" t="s">
        <v>1966</v>
      </c>
      <c r="E1404" s="130" t="s">
        <v>1116</v>
      </c>
      <c r="F1404" s="130" t="s">
        <v>1117</v>
      </c>
      <c r="G1404" s="130" t="s">
        <v>1118</v>
      </c>
      <c r="H1404" s="130" t="s">
        <v>1119</v>
      </c>
      <c r="I1404" s="130" t="s">
        <v>1120</v>
      </c>
      <c r="J1404" s="130" t="s">
        <v>1950</v>
      </c>
      <c r="K1404" s="130" t="s">
        <v>1122</v>
      </c>
      <c r="L1404" s="130" t="s">
        <v>1967</v>
      </c>
      <c r="M1404" s="130" t="s">
        <v>1925</v>
      </c>
      <c r="N1404" s="130" t="s">
        <v>120</v>
      </c>
      <c r="O1404" s="130" t="s">
        <v>1860</v>
      </c>
      <c r="P1404" s="130" t="s">
        <v>1968</v>
      </c>
      <c r="Q1404" s="130" t="s">
        <v>1127</v>
      </c>
      <c r="R1404" s="130" t="s">
        <v>1380</v>
      </c>
      <c r="S1404" s="130" t="s">
        <v>1481</v>
      </c>
      <c r="T1404" s="130" t="s">
        <v>1130</v>
      </c>
      <c r="U1404" s="130">
        <v>154969</v>
      </c>
      <c r="V1404" s="131">
        <v>-154969</v>
      </c>
      <c r="W1404" s="131">
        <v>0</v>
      </c>
      <c r="X1404" s="131">
        <v>0</v>
      </c>
      <c r="Y1404" s="131">
        <v>0</v>
      </c>
      <c r="Z1404" s="131">
        <v>0</v>
      </c>
      <c r="AA1404" s="131">
        <v>0</v>
      </c>
      <c r="AB1404" s="131">
        <v>0</v>
      </c>
      <c r="AC1404" s="131">
        <v>0</v>
      </c>
      <c r="AD1404" s="131">
        <v>0</v>
      </c>
      <c r="AE1404" s="132">
        <v>0</v>
      </c>
    </row>
    <row r="1405" spans="1:31" x14ac:dyDescent="0.2">
      <c r="A1405" s="130">
        <v>232</v>
      </c>
      <c r="B1405" s="130" t="s">
        <v>122</v>
      </c>
      <c r="C1405" s="130" t="s">
        <v>1114</v>
      </c>
      <c r="D1405" s="130" t="s">
        <v>1949</v>
      </c>
      <c r="E1405" s="130" t="s">
        <v>1116</v>
      </c>
      <c r="F1405" s="130" t="s">
        <v>1117</v>
      </c>
      <c r="G1405" s="130" t="s">
        <v>1118</v>
      </c>
      <c r="H1405" s="130" t="s">
        <v>1119</v>
      </c>
      <c r="I1405" s="130" t="s">
        <v>1120</v>
      </c>
      <c r="J1405" s="130" t="s">
        <v>1950</v>
      </c>
      <c r="K1405" s="130" t="s">
        <v>1122</v>
      </c>
      <c r="L1405" s="130" t="s">
        <v>1969</v>
      </c>
      <c r="M1405" s="130" t="s">
        <v>1925</v>
      </c>
      <c r="N1405" s="130" t="s">
        <v>120</v>
      </c>
      <c r="O1405" s="130" t="s">
        <v>1845</v>
      </c>
      <c r="P1405" s="130" t="s">
        <v>1846</v>
      </c>
      <c r="Q1405" s="130" t="s">
        <v>1127</v>
      </c>
      <c r="R1405" s="130" t="s">
        <v>1191</v>
      </c>
      <c r="S1405" s="130" t="s">
        <v>1191</v>
      </c>
      <c r="T1405" s="130" t="s">
        <v>1130</v>
      </c>
      <c r="U1405" s="130">
        <v>10763553</v>
      </c>
      <c r="V1405" s="131">
        <v>-10763553</v>
      </c>
      <c r="W1405" s="131">
        <v>0</v>
      </c>
      <c r="X1405" s="131">
        <v>0</v>
      </c>
      <c r="Y1405" s="131">
        <v>0</v>
      </c>
      <c r="Z1405" s="131">
        <v>0</v>
      </c>
      <c r="AA1405" s="131">
        <v>0</v>
      </c>
      <c r="AB1405" s="131">
        <v>0</v>
      </c>
      <c r="AC1405" s="131">
        <v>0</v>
      </c>
      <c r="AD1405" s="131">
        <v>0</v>
      </c>
      <c r="AE1405" s="132">
        <v>0</v>
      </c>
    </row>
    <row r="1406" spans="1:31" x14ac:dyDescent="0.2">
      <c r="A1406" s="130">
        <v>233</v>
      </c>
      <c r="B1406" s="130" t="s">
        <v>1970</v>
      </c>
      <c r="C1406" s="130" t="s">
        <v>1114</v>
      </c>
      <c r="D1406" s="130" t="s">
        <v>1936</v>
      </c>
      <c r="E1406" s="130" t="s">
        <v>1116</v>
      </c>
      <c r="F1406" s="130" t="s">
        <v>1117</v>
      </c>
      <c r="G1406" s="130" t="s">
        <v>1118</v>
      </c>
      <c r="H1406" s="130" t="s">
        <v>1119</v>
      </c>
      <c r="I1406" s="130" t="s">
        <v>1120</v>
      </c>
      <c r="J1406" s="130" t="s">
        <v>1121</v>
      </c>
      <c r="K1406" s="130" t="s">
        <v>1122</v>
      </c>
      <c r="L1406" s="130" t="s">
        <v>1971</v>
      </c>
      <c r="M1406" s="130" t="s">
        <v>1925</v>
      </c>
      <c r="N1406" s="130" t="s">
        <v>152</v>
      </c>
      <c r="O1406" s="130" t="s">
        <v>1125</v>
      </c>
      <c r="P1406" s="130" t="s">
        <v>1968</v>
      </c>
      <c r="Q1406" s="130" t="s">
        <v>1127</v>
      </c>
      <c r="R1406" s="130" t="s">
        <v>1417</v>
      </c>
      <c r="S1406" s="130" t="s">
        <v>1418</v>
      </c>
      <c r="T1406" s="130" t="s">
        <v>1158</v>
      </c>
      <c r="U1406" s="130">
        <v>20000000</v>
      </c>
      <c r="V1406" s="131">
        <v>-16510345</v>
      </c>
      <c r="W1406" s="131">
        <v>3489655</v>
      </c>
      <c r="X1406" s="131">
        <v>0</v>
      </c>
      <c r="Y1406" s="131">
        <v>3489655</v>
      </c>
      <c r="Z1406" s="131">
        <v>0</v>
      </c>
      <c r="AA1406" s="131">
        <v>3489655</v>
      </c>
      <c r="AB1406" s="131">
        <v>0</v>
      </c>
      <c r="AC1406" s="131">
        <v>3489655</v>
      </c>
      <c r="AD1406" s="131">
        <v>0</v>
      </c>
      <c r="AE1406" s="132">
        <v>3489655</v>
      </c>
    </row>
    <row r="1407" spans="1:31" x14ac:dyDescent="0.2">
      <c r="A1407" s="133">
        <v>233</v>
      </c>
      <c r="B1407" s="133" t="s">
        <v>1970</v>
      </c>
      <c r="C1407" s="133" t="s">
        <v>1114</v>
      </c>
      <c r="D1407" s="133" t="s">
        <v>1936</v>
      </c>
      <c r="E1407" s="133" t="s">
        <v>1116</v>
      </c>
      <c r="F1407" s="133" t="s">
        <v>1117</v>
      </c>
      <c r="G1407" s="133" t="s">
        <v>1118</v>
      </c>
      <c r="H1407" s="130" t="s">
        <v>1133</v>
      </c>
      <c r="I1407" s="130" t="s">
        <v>1134</v>
      </c>
      <c r="J1407" s="130" t="s">
        <v>1166</v>
      </c>
      <c r="K1407" s="130" t="s">
        <v>1167</v>
      </c>
      <c r="L1407" s="130" t="s">
        <v>1971</v>
      </c>
      <c r="M1407" s="130" t="s">
        <v>1925</v>
      </c>
      <c r="N1407" s="130" t="s">
        <v>152</v>
      </c>
      <c r="O1407" s="130" t="s">
        <v>1125</v>
      </c>
      <c r="P1407" s="130" t="s">
        <v>1968</v>
      </c>
      <c r="Q1407" s="130" t="s">
        <v>1127</v>
      </c>
      <c r="R1407" s="130" t="s">
        <v>1417</v>
      </c>
      <c r="S1407" s="130" t="s">
        <v>1418</v>
      </c>
      <c r="T1407" s="130" t="s">
        <v>1158</v>
      </c>
      <c r="U1407" s="130">
        <v>0</v>
      </c>
      <c r="V1407" s="131">
        <v>370281</v>
      </c>
      <c r="W1407" s="131">
        <v>370281</v>
      </c>
      <c r="X1407" s="131">
        <v>370280.36</v>
      </c>
      <c r="Y1407" s="131">
        <v>0.64000000001396984</v>
      </c>
      <c r="Z1407" s="131">
        <v>0</v>
      </c>
      <c r="AA1407" s="131">
        <v>370281</v>
      </c>
      <c r="AB1407" s="131">
        <v>0</v>
      </c>
      <c r="AC1407" s="131">
        <v>370281</v>
      </c>
      <c r="AD1407" s="131">
        <v>0</v>
      </c>
      <c r="AE1407" s="132">
        <v>370281</v>
      </c>
    </row>
    <row r="1408" spans="1:31" x14ac:dyDescent="0.2">
      <c r="A1408" s="133">
        <v>233</v>
      </c>
      <c r="B1408" s="133" t="s">
        <v>1970</v>
      </c>
      <c r="C1408" s="133" t="s">
        <v>1114</v>
      </c>
      <c r="D1408" s="133" t="s">
        <v>1936</v>
      </c>
      <c r="E1408" s="133" t="s">
        <v>1116</v>
      </c>
      <c r="F1408" s="133" t="s">
        <v>1117</v>
      </c>
      <c r="G1408" s="133" t="s">
        <v>1118</v>
      </c>
      <c r="H1408" s="133" t="s">
        <v>1133</v>
      </c>
      <c r="I1408" s="133" t="s">
        <v>1134</v>
      </c>
      <c r="J1408" s="130" t="s">
        <v>1135</v>
      </c>
      <c r="K1408" s="130" t="s">
        <v>1144</v>
      </c>
      <c r="L1408" s="130" t="s">
        <v>1971</v>
      </c>
      <c r="M1408" s="130" t="s">
        <v>1925</v>
      </c>
      <c r="N1408" s="130" t="s">
        <v>152</v>
      </c>
      <c r="O1408" s="130" t="s">
        <v>1125</v>
      </c>
      <c r="P1408" s="130" t="s">
        <v>1968</v>
      </c>
      <c r="Q1408" s="130" t="s">
        <v>1127</v>
      </c>
      <c r="R1408" s="130" t="s">
        <v>1417</v>
      </c>
      <c r="S1408" s="130" t="s">
        <v>1418</v>
      </c>
      <c r="T1408" s="130" t="s">
        <v>1158</v>
      </c>
      <c r="U1408" s="130">
        <v>0</v>
      </c>
      <c r="V1408" s="131">
        <v>370281</v>
      </c>
      <c r="W1408" s="131">
        <v>370281</v>
      </c>
      <c r="X1408" s="131">
        <v>0</v>
      </c>
      <c r="Y1408" s="131">
        <v>370281</v>
      </c>
      <c r="Z1408" s="131">
        <v>0</v>
      </c>
      <c r="AA1408" s="131">
        <v>370281</v>
      </c>
      <c r="AB1408" s="131">
        <v>0</v>
      </c>
      <c r="AC1408" s="131">
        <v>370281</v>
      </c>
      <c r="AD1408" s="131">
        <v>0</v>
      </c>
      <c r="AE1408" s="132">
        <v>370281</v>
      </c>
    </row>
    <row r="1409" spans="1:31" x14ac:dyDescent="0.2">
      <c r="A1409" s="133">
        <v>233</v>
      </c>
      <c r="B1409" s="133" t="s">
        <v>1970</v>
      </c>
      <c r="C1409" s="133" t="s">
        <v>1114</v>
      </c>
      <c r="D1409" s="133" t="s">
        <v>1936</v>
      </c>
      <c r="E1409" s="133" t="s">
        <v>1116</v>
      </c>
      <c r="F1409" s="133" t="s">
        <v>1117</v>
      </c>
      <c r="G1409" s="133" t="s">
        <v>1118</v>
      </c>
      <c r="H1409" s="133" t="s">
        <v>1133</v>
      </c>
      <c r="I1409" s="133" t="s">
        <v>1134</v>
      </c>
      <c r="J1409" s="133" t="s">
        <v>1135</v>
      </c>
      <c r="K1409" s="130" t="s">
        <v>1136</v>
      </c>
      <c r="L1409" s="130" t="s">
        <v>1971</v>
      </c>
      <c r="M1409" s="130" t="s">
        <v>1925</v>
      </c>
      <c r="N1409" s="130" t="s">
        <v>152</v>
      </c>
      <c r="O1409" s="130" t="s">
        <v>1125</v>
      </c>
      <c r="P1409" s="130" t="s">
        <v>1968</v>
      </c>
      <c r="Q1409" s="130" t="s">
        <v>1127</v>
      </c>
      <c r="R1409" s="130" t="s">
        <v>1417</v>
      </c>
      <c r="S1409" s="130" t="s">
        <v>1418</v>
      </c>
      <c r="T1409" s="130" t="s">
        <v>1158</v>
      </c>
      <c r="U1409" s="130">
        <v>0</v>
      </c>
      <c r="V1409" s="131">
        <v>3129</v>
      </c>
      <c r="W1409" s="131">
        <v>3129</v>
      </c>
      <c r="X1409" s="131">
        <v>3129</v>
      </c>
      <c r="Y1409" s="131">
        <v>0</v>
      </c>
      <c r="Z1409" s="131">
        <v>3128.7</v>
      </c>
      <c r="AA1409" s="131">
        <v>0.3000000000001819</v>
      </c>
      <c r="AB1409" s="131">
        <v>3128.7</v>
      </c>
      <c r="AC1409" s="131">
        <v>0.3000000000001819</v>
      </c>
      <c r="AD1409" s="131">
        <v>3128.7</v>
      </c>
      <c r="AE1409" s="132">
        <v>0.3000000000001819</v>
      </c>
    </row>
    <row r="1410" spans="1:31" x14ac:dyDescent="0.2">
      <c r="A1410" s="130">
        <v>234</v>
      </c>
      <c r="B1410" s="130" t="s">
        <v>158</v>
      </c>
      <c r="C1410" s="130" t="s">
        <v>1114</v>
      </c>
      <c r="D1410" s="130" t="s">
        <v>1954</v>
      </c>
      <c r="E1410" s="130" t="s">
        <v>1116</v>
      </c>
      <c r="F1410" s="130" t="s">
        <v>1117</v>
      </c>
      <c r="G1410" s="130" t="s">
        <v>1118</v>
      </c>
      <c r="H1410" s="130" t="s">
        <v>1119</v>
      </c>
      <c r="I1410" s="130" t="s">
        <v>1120</v>
      </c>
      <c r="J1410" s="130" t="s">
        <v>1121</v>
      </c>
      <c r="K1410" s="130" t="s">
        <v>1122</v>
      </c>
      <c r="L1410" s="130" t="s">
        <v>1972</v>
      </c>
      <c r="M1410" s="130" t="s">
        <v>1925</v>
      </c>
      <c r="N1410" s="130" t="s">
        <v>152</v>
      </c>
      <c r="O1410" s="130" t="s">
        <v>1125</v>
      </c>
      <c r="P1410" s="130" t="s">
        <v>1126</v>
      </c>
      <c r="Q1410" s="130" t="s">
        <v>1127</v>
      </c>
      <c r="R1410" s="130" t="s">
        <v>1128</v>
      </c>
      <c r="S1410" s="130" t="s">
        <v>1403</v>
      </c>
      <c r="T1410" s="130" t="s">
        <v>1130</v>
      </c>
      <c r="U1410" s="130">
        <v>12000000</v>
      </c>
      <c r="V1410" s="131">
        <v>-1004712</v>
      </c>
      <c r="W1410" s="131">
        <v>10995288</v>
      </c>
      <c r="X1410" s="131">
        <v>10995288</v>
      </c>
      <c r="Y1410" s="131">
        <v>0</v>
      </c>
      <c r="Z1410" s="131">
        <v>10995288</v>
      </c>
      <c r="AA1410" s="131">
        <v>0</v>
      </c>
      <c r="AB1410" s="131">
        <v>6082123.9900000002</v>
      </c>
      <c r="AC1410" s="131">
        <v>4913164.01</v>
      </c>
      <c r="AD1410" s="131">
        <v>6082123.9900000002</v>
      </c>
      <c r="AE1410" s="132">
        <v>4913164.01</v>
      </c>
    </row>
    <row r="1411" spans="1:31" x14ac:dyDescent="0.2">
      <c r="A1411" s="133">
        <v>234</v>
      </c>
      <c r="B1411" s="133" t="s">
        <v>158</v>
      </c>
      <c r="C1411" s="133" t="s">
        <v>1114</v>
      </c>
      <c r="D1411" s="133" t="s">
        <v>1954</v>
      </c>
      <c r="E1411" s="133" t="s">
        <v>1116</v>
      </c>
      <c r="F1411" s="133" t="s">
        <v>1117</v>
      </c>
      <c r="G1411" s="133" t="s">
        <v>1118</v>
      </c>
      <c r="H1411" s="130" t="s">
        <v>1133</v>
      </c>
      <c r="I1411" s="130" t="s">
        <v>1134</v>
      </c>
      <c r="J1411" s="130" t="s">
        <v>1135</v>
      </c>
      <c r="K1411" s="130" t="s">
        <v>1144</v>
      </c>
      <c r="L1411" s="130" t="s">
        <v>1972</v>
      </c>
      <c r="M1411" s="130" t="s">
        <v>1925</v>
      </c>
      <c r="N1411" s="130" t="s">
        <v>152</v>
      </c>
      <c r="O1411" s="130" t="s">
        <v>1125</v>
      </c>
      <c r="P1411" s="130" t="s">
        <v>1126</v>
      </c>
      <c r="Q1411" s="130" t="s">
        <v>1127</v>
      </c>
      <c r="R1411" s="130" t="s">
        <v>1128</v>
      </c>
      <c r="S1411" s="130" t="s">
        <v>1403</v>
      </c>
      <c r="T1411" s="130" t="s">
        <v>1130</v>
      </c>
      <c r="U1411" s="130">
        <v>0</v>
      </c>
      <c r="V1411" s="131">
        <v>1004712</v>
      </c>
      <c r="W1411" s="131">
        <v>1004712</v>
      </c>
      <c r="X1411" s="131">
        <v>1004711.34</v>
      </c>
      <c r="Y1411" s="131">
        <v>0.66000000003259629</v>
      </c>
      <c r="Z1411" s="131">
        <v>0</v>
      </c>
      <c r="AA1411" s="131">
        <v>1004712</v>
      </c>
      <c r="AB1411" s="131">
        <v>0</v>
      </c>
      <c r="AC1411" s="131">
        <v>1004712</v>
      </c>
      <c r="AD1411" s="131">
        <v>0</v>
      </c>
      <c r="AE1411" s="132">
        <v>1004712</v>
      </c>
    </row>
    <row r="1412" spans="1:31" x14ac:dyDescent="0.2">
      <c r="A1412" s="130">
        <v>235</v>
      </c>
      <c r="B1412" s="130" t="s">
        <v>160</v>
      </c>
      <c r="C1412" s="130" t="s">
        <v>1114</v>
      </c>
      <c r="D1412" s="130" t="s">
        <v>1954</v>
      </c>
      <c r="E1412" s="130" t="s">
        <v>1116</v>
      </c>
      <c r="F1412" s="130" t="s">
        <v>1117</v>
      </c>
      <c r="G1412" s="130" t="s">
        <v>1118</v>
      </c>
      <c r="H1412" s="130" t="s">
        <v>1119</v>
      </c>
      <c r="I1412" s="130" t="s">
        <v>1120</v>
      </c>
      <c r="J1412" s="130" t="s">
        <v>1121</v>
      </c>
      <c r="K1412" s="130" t="s">
        <v>1122</v>
      </c>
      <c r="L1412" s="130" t="s">
        <v>1973</v>
      </c>
      <c r="M1412" s="130" t="s">
        <v>1925</v>
      </c>
      <c r="N1412" s="130" t="s">
        <v>152</v>
      </c>
      <c r="O1412" s="130" t="s">
        <v>1125</v>
      </c>
      <c r="P1412" s="130" t="s">
        <v>1126</v>
      </c>
      <c r="Q1412" s="130" t="s">
        <v>1127</v>
      </c>
      <c r="R1412" s="130" t="s">
        <v>1413</v>
      </c>
      <c r="S1412" s="130" t="s">
        <v>1974</v>
      </c>
      <c r="T1412" s="130" t="s">
        <v>1130</v>
      </c>
      <c r="U1412" s="130">
        <v>12571000</v>
      </c>
      <c r="V1412" s="131">
        <v>-12571000</v>
      </c>
      <c r="W1412" s="131">
        <v>0</v>
      </c>
      <c r="X1412" s="131">
        <v>0</v>
      </c>
      <c r="Y1412" s="131">
        <v>0</v>
      </c>
      <c r="Z1412" s="131">
        <v>0</v>
      </c>
      <c r="AA1412" s="131">
        <v>0</v>
      </c>
      <c r="AB1412" s="131">
        <v>0</v>
      </c>
      <c r="AC1412" s="131">
        <v>0</v>
      </c>
      <c r="AD1412" s="131">
        <v>0</v>
      </c>
      <c r="AE1412" s="132">
        <v>0</v>
      </c>
    </row>
    <row r="1413" spans="1:31" x14ac:dyDescent="0.2">
      <c r="A1413" s="130">
        <v>236</v>
      </c>
      <c r="B1413" s="130" t="s">
        <v>1975</v>
      </c>
      <c r="C1413" s="130" t="s">
        <v>1114</v>
      </c>
      <c r="D1413" s="130" t="s">
        <v>1645</v>
      </c>
      <c r="E1413" s="130" t="s">
        <v>1116</v>
      </c>
      <c r="F1413" s="130" t="s">
        <v>1117</v>
      </c>
      <c r="G1413" s="130" t="s">
        <v>1118</v>
      </c>
      <c r="H1413" s="130" t="s">
        <v>1119</v>
      </c>
      <c r="I1413" s="130" t="s">
        <v>1169</v>
      </c>
      <c r="J1413" s="130" t="s">
        <v>1195</v>
      </c>
      <c r="K1413" s="130" t="s">
        <v>1196</v>
      </c>
      <c r="L1413" s="130" t="s">
        <v>1976</v>
      </c>
      <c r="M1413" s="130" t="s">
        <v>1925</v>
      </c>
      <c r="N1413" s="130" t="s">
        <v>151</v>
      </c>
      <c r="O1413" s="130" t="s">
        <v>1977</v>
      </c>
      <c r="P1413" s="130" t="s">
        <v>1978</v>
      </c>
      <c r="Q1413" s="130" t="s">
        <v>1127</v>
      </c>
      <c r="R1413" s="130" t="s">
        <v>1140</v>
      </c>
      <c r="S1413" s="130" t="s">
        <v>1157</v>
      </c>
      <c r="T1413" s="130" t="s">
        <v>1647</v>
      </c>
      <c r="U1413" s="130">
        <v>250000</v>
      </c>
      <c r="V1413" s="131">
        <v>-250000</v>
      </c>
      <c r="W1413" s="131">
        <v>0</v>
      </c>
      <c r="X1413" s="131">
        <v>0</v>
      </c>
      <c r="Y1413" s="131">
        <v>0</v>
      </c>
      <c r="Z1413" s="131">
        <v>0</v>
      </c>
      <c r="AA1413" s="131">
        <v>0</v>
      </c>
      <c r="AB1413" s="131">
        <v>0</v>
      </c>
      <c r="AC1413" s="131">
        <v>0</v>
      </c>
      <c r="AD1413" s="131">
        <v>0</v>
      </c>
      <c r="AE1413" s="132">
        <v>0</v>
      </c>
    </row>
    <row r="1414" spans="1:31" x14ac:dyDescent="0.2">
      <c r="A1414" s="130">
        <v>237</v>
      </c>
      <c r="B1414" s="130" t="s">
        <v>1979</v>
      </c>
      <c r="C1414" s="130" t="s">
        <v>1114</v>
      </c>
      <c r="D1414" s="130" t="s">
        <v>1954</v>
      </c>
      <c r="E1414" s="130" t="s">
        <v>1116</v>
      </c>
      <c r="F1414" s="130" t="s">
        <v>1117</v>
      </c>
      <c r="G1414" s="130" t="s">
        <v>1118</v>
      </c>
      <c r="H1414" s="130" t="s">
        <v>1119</v>
      </c>
      <c r="I1414" s="130" t="s">
        <v>1120</v>
      </c>
      <c r="J1414" s="130" t="s">
        <v>1121</v>
      </c>
      <c r="K1414" s="130" t="s">
        <v>1122</v>
      </c>
      <c r="L1414" s="130" t="s">
        <v>1980</v>
      </c>
      <c r="M1414" s="130" t="s">
        <v>1925</v>
      </c>
      <c r="N1414" s="130" t="s">
        <v>152</v>
      </c>
      <c r="O1414" s="130" t="s">
        <v>1125</v>
      </c>
      <c r="P1414" s="130" t="s">
        <v>1126</v>
      </c>
      <c r="Q1414" s="130" t="s">
        <v>1127</v>
      </c>
      <c r="R1414" s="130" t="s">
        <v>1499</v>
      </c>
      <c r="S1414" s="130" t="s">
        <v>1981</v>
      </c>
      <c r="T1414" s="130" t="s">
        <v>1130</v>
      </c>
      <c r="U1414" s="130">
        <v>8000000</v>
      </c>
      <c r="V1414" s="131">
        <v>-380784</v>
      </c>
      <c r="W1414" s="131">
        <v>7619216</v>
      </c>
      <c r="X1414" s="131">
        <v>7619216</v>
      </c>
      <c r="Y1414" s="131">
        <v>0</v>
      </c>
      <c r="Z1414" s="131">
        <v>0</v>
      </c>
      <c r="AA1414" s="131">
        <v>7619216</v>
      </c>
      <c r="AB1414" s="131">
        <v>0</v>
      </c>
      <c r="AC1414" s="131">
        <v>7619216</v>
      </c>
      <c r="AD1414" s="131">
        <v>0</v>
      </c>
      <c r="AE1414" s="132">
        <v>7619216</v>
      </c>
    </row>
    <row r="1415" spans="1:31" x14ac:dyDescent="0.2">
      <c r="A1415" s="133">
        <v>237</v>
      </c>
      <c r="B1415" s="133" t="s">
        <v>1979</v>
      </c>
      <c r="C1415" s="133" t="s">
        <v>1114</v>
      </c>
      <c r="D1415" s="133" t="s">
        <v>1954</v>
      </c>
      <c r="E1415" s="133" t="s">
        <v>1116</v>
      </c>
      <c r="F1415" s="133" t="s">
        <v>1117</v>
      </c>
      <c r="G1415" s="133" t="s">
        <v>1118</v>
      </c>
      <c r="H1415" s="130" t="s">
        <v>1133</v>
      </c>
      <c r="I1415" s="130" t="s">
        <v>1134</v>
      </c>
      <c r="J1415" s="130" t="s">
        <v>1135</v>
      </c>
      <c r="K1415" s="130" t="s">
        <v>1144</v>
      </c>
      <c r="L1415" s="130" t="s">
        <v>1980</v>
      </c>
      <c r="M1415" s="130" t="s">
        <v>1925</v>
      </c>
      <c r="N1415" s="130" t="s">
        <v>152</v>
      </c>
      <c r="O1415" s="130" t="s">
        <v>1125</v>
      </c>
      <c r="P1415" s="130" t="s">
        <v>1126</v>
      </c>
      <c r="Q1415" s="130" t="s">
        <v>1127</v>
      </c>
      <c r="R1415" s="130" t="s">
        <v>1499</v>
      </c>
      <c r="S1415" s="130" t="s">
        <v>1981</v>
      </c>
      <c r="T1415" s="130" t="s">
        <v>1130</v>
      </c>
      <c r="U1415" s="130">
        <v>0</v>
      </c>
      <c r="V1415" s="131">
        <v>380784</v>
      </c>
      <c r="W1415" s="131">
        <v>380784</v>
      </c>
      <c r="X1415" s="131">
        <v>0</v>
      </c>
      <c r="Y1415" s="131">
        <v>380784</v>
      </c>
      <c r="Z1415" s="131">
        <v>0</v>
      </c>
      <c r="AA1415" s="131">
        <v>380784</v>
      </c>
      <c r="AB1415" s="131">
        <v>0</v>
      </c>
      <c r="AC1415" s="131">
        <v>380784</v>
      </c>
      <c r="AD1415" s="131">
        <v>0</v>
      </c>
      <c r="AE1415" s="132">
        <v>380784</v>
      </c>
    </row>
    <row r="1416" spans="1:31" x14ac:dyDescent="0.2">
      <c r="A1416" s="130">
        <v>238</v>
      </c>
      <c r="B1416" s="130" t="s">
        <v>1982</v>
      </c>
      <c r="C1416" s="130" t="s">
        <v>1114</v>
      </c>
      <c r="D1416" s="130" t="s">
        <v>1954</v>
      </c>
      <c r="E1416" s="130" t="s">
        <v>1116</v>
      </c>
      <c r="F1416" s="130" t="s">
        <v>1117</v>
      </c>
      <c r="G1416" s="130" t="s">
        <v>1118</v>
      </c>
      <c r="H1416" s="130" t="s">
        <v>1119</v>
      </c>
      <c r="I1416" s="130" t="s">
        <v>1120</v>
      </c>
      <c r="J1416" s="130" t="s">
        <v>1121</v>
      </c>
      <c r="K1416" s="130" t="s">
        <v>1122</v>
      </c>
      <c r="L1416" s="130" t="s">
        <v>1983</v>
      </c>
      <c r="M1416" s="130" t="s">
        <v>1925</v>
      </c>
      <c r="N1416" s="130" t="s">
        <v>152</v>
      </c>
      <c r="O1416" s="130" t="s">
        <v>1125</v>
      </c>
      <c r="P1416" s="130" t="s">
        <v>1126</v>
      </c>
      <c r="Q1416" s="130" t="s">
        <v>1127</v>
      </c>
      <c r="R1416" s="130" t="s">
        <v>1187</v>
      </c>
      <c r="S1416" s="130" t="s">
        <v>1611</v>
      </c>
      <c r="T1416" s="130" t="s">
        <v>1158</v>
      </c>
      <c r="U1416" s="130">
        <v>5319000</v>
      </c>
      <c r="V1416" s="131">
        <v>-184669</v>
      </c>
      <c r="W1416" s="131">
        <v>5134331</v>
      </c>
      <c r="X1416" s="131">
        <v>5134141</v>
      </c>
      <c r="Y1416" s="131">
        <v>190</v>
      </c>
      <c r="Z1416" s="131">
        <v>0</v>
      </c>
      <c r="AA1416" s="131">
        <v>5134331</v>
      </c>
      <c r="AB1416" s="131">
        <v>0</v>
      </c>
      <c r="AC1416" s="131">
        <v>5134331</v>
      </c>
      <c r="AD1416" s="131">
        <v>0</v>
      </c>
      <c r="AE1416" s="132">
        <v>5134331</v>
      </c>
    </row>
    <row r="1417" spans="1:31" x14ac:dyDescent="0.2">
      <c r="A1417" s="133">
        <v>238</v>
      </c>
      <c r="B1417" s="133" t="s">
        <v>1982</v>
      </c>
      <c r="C1417" s="133" t="s">
        <v>1114</v>
      </c>
      <c r="D1417" s="133" t="s">
        <v>1954</v>
      </c>
      <c r="E1417" s="133" t="s">
        <v>1116</v>
      </c>
      <c r="F1417" s="133" t="s">
        <v>1117</v>
      </c>
      <c r="G1417" s="133" t="s">
        <v>1118</v>
      </c>
      <c r="H1417" s="130" t="s">
        <v>1133</v>
      </c>
      <c r="I1417" s="130" t="s">
        <v>1134</v>
      </c>
      <c r="J1417" s="130" t="s">
        <v>1135</v>
      </c>
      <c r="K1417" s="130" t="s">
        <v>1144</v>
      </c>
      <c r="L1417" s="130" t="s">
        <v>1983</v>
      </c>
      <c r="M1417" s="130" t="s">
        <v>1925</v>
      </c>
      <c r="N1417" s="130" t="s">
        <v>152</v>
      </c>
      <c r="O1417" s="130" t="s">
        <v>1125</v>
      </c>
      <c r="P1417" s="130" t="s">
        <v>1126</v>
      </c>
      <c r="Q1417" s="130" t="s">
        <v>1127</v>
      </c>
      <c r="R1417" s="130" t="s">
        <v>1187</v>
      </c>
      <c r="S1417" s="130" t="s">
        <v>1611</v>
      </c>
      <c r="T1417" s="130" t="s">
        <v>1158</v>
      </c>
      <c r="U1417" s="130">
        <v>0</v>
      </c>
      <c r="V1417" s="131">
        <v>184669</v>
      </c>
      <c r="W1417" s="131">
        <v>184669</v>
      </c>
      <c r="X1417" s="131">
        <v>184669</v>
      </c>
      <c r="Y1417" s="131">
        <v>0</v>
      </c>
      <c r="Z1417" s="131">
        <v>0</v>
      </c>
      <c r="AA1417" s="131">
        <v>184669</v>
      </c>
      <c r="AB1417" s="131">
        <v>0</v>
      </c>
      <c r="AC1417" s="131">
        <v>184669</v>
      </c>
      <c r="AD1417" s="131">
        <v>0</v>
      </c>
      <c r="AE1417" s="132">
        <v>184669</v>
      </c>
    </row>
    <row r="1418" spans="1:31" x14ac:dyDescent="0.2">
      <c r="A1418" s="130">
        <v>239</v>
      </c>
      <c r="B1418" s="130" t="s">
        <v>161</v>
      </c>
      <c r="C1418" s="130" t="s">
        <v>1114</v>
      </c>
      <c r="D1418" s="130" t="s">
        <v>1936</v>
      </c>
      <c r="E1418" s="130" t="s">
        <v>1116</v>
      </c>
      <c r="F1418" s="130" t="s">
        <v>1117</v>
      </c>
      <c r="G1418" s="130" t="s">
        <v>1118</v>
      </c>
      <c r="H1418" s="130" t="s">
        <v>1119</v>
      </c>
      <c r="I1418" s="130" t="s">
        <v>1120</v>
      </c>
      <c r="J1418" s="130" t="s">
        <v>1121</v>
      </c>
      <c r="K1418" s="130" t="s">
        <v>1132</v>
      </c>
      <c r="L1418" s="130" t="s">
        <v>1984</v>
      </c>
      <c r="M1418" s="130" t="s">
        <v>1925</v>
      </c>
      <c r="N1418" s="130" t="s">
        <v>152</v>
      </c>
      <c r="O1418" s="130" t="s">
        <v>1835</v>
      </c>
      <c r="P1418" s="130" t="s">
        <v>1836</v>
      </c>
      <c r="Q1418" s="130" t="s">
        <v>1127</v>
      </c>
      <c r="R1418" s="130" t="s">
        <v>1191</v>
      </c>
      <c r="S1418" s="130" t="s">
        <v>1191</v>
      </c>
      <c r="T1418" s="130" t="s">
        <v>1130</v>
      </c>
      <c r="U1418" s="130">
        <v>276105</v>
      </c>
      <c r="V1418" s="131">
        <v>-265860</v>
      </c>
      <c r="W1418" s="131">
        <v>10245</v>
      </c>
      <c r="X1418" s="131">
        <v>0</v>
      </c>
      <c r="Y1418" s="131">
        <v>10245</v>
      </c>
      <c r="Z1418" s="131">
        <v>0</v>
      </c>
      <c r="AA1418" s="131">
        <v>10245</v>
      </c>
      <c r="AB1418" s="131">
        <v>0</v>
      </c>
      <c r="AC1418" s="131">
        <v>10245</v>
      </c>
      <c r="AD1418" s="131">
        <v>0</v>
      </c>
      <c r="AE1418" s="132">
        <v>10245</v>
      </c>
    </row>
    <row r="1419" spans="1:31" x14ac:dyDescent="0.2">
      <c r="A1419" s="133">
        <v>239</v>
      </c>
      <c r="B1419" s="133" t="s">
        <v>161</v>
      </c>
      <c r="C1419" s="133" t="s">
        <v>1114</v>
      </c>
      <c r="D1419" s="133" t="s">
        <v>1936</v>
      </c>
      <c r="E1419" s="130" t="s">
        <v>1143</v>
      </c>
      <c r="F1419" s="130" t="s">
        <v>1117</v>
      </c>
      <c r="G1419" s="130" t="s">
        <v>1118</v>
      </c>
      <c r="H1419" s="130" t="s">
        <v>1119</v>
      </c>
      <c r="I1419" s="130" t="s">
        <v>1169</v>
      </c>
      <c r="J1419" s="130" t="s">
        <v>1195</v>
      </c>
      <c r="K1419" s="130" t="s">
        <v>1593</v>
      </c>
      <c r="L1419" s="130" t="s">
        <v>1984</v>
      </c>
      <c r="M1419" s="130" t="s">
        <v>1925</v>
      </c>
      <c r="N1419" s="130" t="s">
        <v>152</v>
      </c>
      <c r="O1419" s="130" t="s">
        <v>1835</v>
      </c>
      <c r="P1419" s="130" t="s">
        <v>1836</v>
      </c>
      <c r="Q1419" s="130" t="s">
        <v>1127</v>
      </c>
      <c r="R1419" s="130" t="s">
        <v>1191</v>
      </c>
      <c r="S1419" s="130" t="s">
        <v>1191</v>
      </c>
      <c r="T1419" s="130" t="s">
        <v>1130</v>
      </c>
      <c r="U1419" s="130">
        <v>0</v>
      </c>
      <c r="V1419" s="131">
        <v>0</v>
      </c>
      <c r="W1419" s="131">
        <v>0</v>
      </c>
      <c r="X1419" s="131">
        <v>0</v>
      </c>
      <c r="Y1419" s="131">
        <v>0</v>
      </c>
      <c r="Z1419" s="131">
        <v>0</v>
      </c>
      <c r="AA1419" s="131">
        <v>0</v>
      </c>
      <c r="AB1419" s="131">
        <v>0</v>
      </c>
      <c r="AC1419" s="131">
        <v>0</v>
      </c>
      <c r="AD1419" s="131">
        <v>0</v>
      </c>
      <c r="AE1419" s="132">
        <v>0</v>
      </c>
    </row>
    <row r="1420" spans="1:31" x14ac:dyDescent="0.2">
      <c r="A1420" s="130">
        <v>240</v>
      </c>
      <c r="B1420" s="130" t="s">
        <v>162</v>
      </c>
      <c r="C1420" s="130" t="s">
        <v>1114</v>
      </c>
      <c r="D1420" s="130" t="s">
        <v>1954</v>
      </c>
      <c r="E1420" s="130" t="s">
        <v>1116</v>
      </c>
      <c r="F1420" s="130" t="s">
        <v>1117</v>
      </c>
      <c r="G1420" s="130" t="s">
        <v>1118</v>
      </c>
      <c r="H1420" s="130" t="s">
        <v>1119</v>
      </c>
      <c r="I1420" s="130" t="s">
        <v>1120</v>
      </c>
      <c r="J1420" s="130" t="s">
        <v>1121</v>
      </c>
      <c r="K1420" s="130" t="s">
        <v>1122</v>
      </c>
      <c r="L1420" s="130" t="s">
        <v>1985</v>
      </c>
      <c r="M1420" s="130" t="s">
        <v>1925</v>
      </c>
      <c r="N1420" s="130" t="s">
        <v>152</v>
      </c>
      <c r="O1420" s="130" t="s">
        <v>1125</v>
      </c>
      <c r="P1420" s="130" t="s">
        <v>1126</v>
      </c>
      <c r="Q1420" s="130" t="s">
        <v>1127</v>
      </c>
      <c r="R1420" s="130" t="s">
        <v>1409</v>
      </c>
      <c r="S1420" s="130" t="s">
        <v>1410</v>
      </c>
      <c r="T1420" s="130" t="s">
        <v>1130</v>
      </c>
      <c r="U1420" s="130">
        <v>22181694</v>
      </c>
      <c r="V1420" s="131">
        <v>-1658043</v>
      </c>
      <c r="W1420" s="131">
        <v>20523651</v>
      </c>
      <c r="X1420" s="131">
        <v>20484332.309999999</v>
      </c>
      <c r="Y1420" s="131">
        <v>39318.690000001341</v>
      </c>
      <c r="Z1420" s="131">
        <v>971014.88</v>
      </c>
      <c r="AA1420" s="131">
        <v>19552636.120000001</v>
      </c>
      <c r="AB1420" s="131">
        <v>971014.88000000012</v>
      </c>
      <c r="AC1420" s="131">
        <v>19552636.120000001</v>
      </c>
      <c r="AD1420" s="131">
        <v>971014.88000000012</v>
      </c>
      <c r="AE1420" s="132">
        <v>19552636.120000001</v>
      </c>
    </row>
    <row r="1421" spans="1:31" x14ac:dyDescent="0.2">
      <c r="A1421" s="133">
        <v>240</v>
      </c>
      <c r="B1421" s="133" t="s">
        <v>162</v>
      </c>
      <c r="C1421" s="133" t="s">
        <v>1114</v>
      </c>
      <c r="D1421" s="133" t="s">
        <v>1954</v>
      </c>
      <c r="E1421" s="133" t="s">
        <v>1116</v>
      </c>
      <c r="F1421" s="133" t="s">
        <v>1117</v>
      </c>
      <c r="G1421" s="133" t="s">
        <v>1118</v>
      </c>
      <c r="H1421" s="130" t="s">
        <v>1133</v>
      </c>
      <c r="I1421" s="130" t="s">
        <v>1134</v>
      </c>
      <c r="J1421" s="130" t="s">
        <v>1135</v>
      </c>
      <c r="K1421" s="130" t="s">
        <v>1178</v>
      </c>
      <c r="L1421" s="130" t="s">
        <v>1985</v>
      </c>
      <c r="M1421" s="130" t="s">
        <v>1925</v>
      </c>
      <c r="N1421" s="130" t="s">
        <v>152</v>
      </c>
      <c r="O1421" s="130" t="s">
        <v>1125</v>
      </c>
      <c r="P1421" s="130" t="s">
        <v>1126</v>
      </c>
      <c r="Q1421" s="130" t="s">
        <v>1127</v>
      </c>
      <c r="R1421" s="130" t="s">
        <v>1409</v>
      </c>
      <c r="S1421" s="130" t="s">
        <v>1410</v>
      </c>
      <c r="T1421" s="130" t="s">
        <v>1130</v>
      </c>
      <c r="U1421" s="130">
        <v>0</v>
      </c>
      <c r="V1421" s="131">
        <v>750000</v>
      </c>
      <c r="W1421" s="131">
        <v>750000</v>
      </c>
      <c r="X1421" s="131">
        <v>750000</v>
      </c>
      <c r="Y1421" s="131">
        <v>0</v>
      </c>
      <c r="Z1421" s="131">
        <v>750000</v>
      </c>
      <c r="AA1421" s="131">
        <v>0</v>
      </c>
      <c r="AB1421" s="131">
        <v>401881.62</v>
      </c>
      <c r="AC1421" s="131">
        <v>348118.38</v>
      </c>
      <c r="AD1421" s="131">
        <v>401881.62</v>
      </c>
      <c r="AE1421" s="132">
        <v>348118.38</v>
      </c>
    </row>
    <row r="1422" spans="1:31" x14ac:dyDescent="0.2">
      <c r="A1422" s="133">
        <v>240</v>
      </c>
      <c r="B1422" s="133" t="s">
        <v>162</v>
      </c>
      <c r="C1422" s="133" t="s">
        <v>1114</v>
      </c>
      <c r="D1422" s="133" t="s">
        <v>1954</v>
      </c>
      <c r="E1422" s="133" t="s">
        <v>1116</v>
      </c>
      <c r="F1422" s="133" t="s">
        <v>1117</v>
      </c>
      <c r="G1422" s="133" t="s">
        <v>1118</v>
      </c>
      <c r="H1422" s="133" t="s">
        <v>1133</v>
      </c>
      <c r="I1422" s="133" t="s">
        <v>1134</v>
      </c>
      <c r="J1422" s="133" t="s">
        <v>1135</v>
      </c>
      <c r="K1422" s="130" t="s">
        <v>1179</v>
      </c>
      <c r="L1422" s="130" t="s">
        <v>1985</v>
      </c>
      <c r="M1422" s="130" t="s">
        <v>1925</v>
      </c>
      <c r="N1422" s="130" t="s">
        <v>152</v>
      </c>
      <c r="O1422" s="130" t="s">
        <v>1125</v>
      </c>
      <c r="P1422" s="130" t="s">
        <v>1126</v>
      </c>
      <c r="Q1422" s="130" t="s">
        <v>1127</v>
      </c>
      <c r="R1422" s="130" t="s">
        <v>1409</v>
      </c>
      <c r="S1422" s="130" t="s">
        <v>1410</v>
      </c>
      <c r="T1422" s="130" t="s">
        <v>1130</v>
      </c>
      <c r="U1422" s="130">
        <v>0</v>
      </c>
      <c r="V1422" s="131">
        <v>32550</v>
      </c>
      <c r="W1422" s="131">
        <v>32550</v>
      </c>
      <c r="X1422" s="131">
        <v>32220.5</v>
      </c>
      <c r="Y1422" s="131">
        <v>329.5</v>
      </c>
      <c r="Z1422" s="131">
        <v>32220.5</v>
      </c>
      <c r="AA1422" s="131">
        <v>329.5</v>
      </c>
      <c r="AB1422" s="131">
        <v>32220.5</v>
      </c>
      <c r="AC1422" s="131">
        <v>329.5</v>
      </c>
      <c r="AD1422" s="131">
        <v>0</v>
      </c>
      <c r="AE1422" s="132">
        <v>32550</v>
      </c>
    </row>
    <row r="1423" spans="1:31" x14ac:dyDescent="0.2">
      <c r="A1423" s="133">
        <v>240</v>
      </c>
      <c r="B1423" s="133" t="s">
        <v>162</v>
      </c>
      <c r="C1423" s="133" t="s">
        <v>1114</v>
      </c>
      <c r="D1423" s="133" t="s">
        <v>1954</v>
      </c>
      <c r="E1423" s="133" t="s">
        <v>1116</v>
      </c>
      <c r="F1423" s="133" t="s">
        <v>1117</v>
      </c>
      <c r="G1423" s="133" t="s">
        <v>1118</v>
      </c>
      <c r="H1423" s="133" t="s">
        <v>1133</v>
      </c>
      <c r="I1423" s="133" t="s">
        <v>1134</v>
      </c>
      <c r="J1423" s="133" t="s">
        <v>1135</v>
      </c>
      <c r="K1423" s="130" t="s">
        <v>1144</v>
      </c>
      <c r="L1423" s="130" t="s">
        <v>1985</v>
      </c>
      <c r="M1423" s="130" t="s">
        <v>1925</v>
      </c>
      <c r="N1423" s="130" t="s">
        <v>152</v>
      </c>
      <c r="O1423" s="130" t="s">
        <v>1125</v>
      </c>
      <c r="P1423" s="130" t="s">
        <v>1126</v>
      </c>
      <c r="Q1423" s="130" t="s">
        <v>1127</v>
      </c>
      <c r="R1423" s="130" t="s">
        <v>1409</v>
      </c>
      <c r="S1423" s="130" t="s">
        <v>1410</v>
      </c>
      <c r="T1423" s="130" t="s">
        <v>1130</v>
      </c>
      <c r="U1423" s="130">
        <v>0</v>
      </c>
      <c r="V1423" s="131">
        <v>875493</v>
      </c>
      <c r="W1423" s="131">
        <v>875493</v>
      </c>
      <c r="X1423" s="131">
        <v>642018.56000000006</v>
      </c>
      <c r="Y1423" s="131">
        <v>233474.43999999994</v>
      </c>
      <c r="Z1423" s="131">
        <v>384866.71</v>
      </c>
      <c r="AA1423" s="131">
        <v>490626.29</v>
      </c>
      <c r="AB1423" s="131">
        <v>384866.71</v>
      </c>
      <c r="AC1423" s="131">
        <v>490626.29</v>
      </c>
      <c r="AD1423" s="131">
        <v>372761.71</v>
      </c>
      <c r="AE1423" s="132">
        <v>502731.29</v>
      </c>
    </row>
    <row r="1424" spans="1:31" x14ac:dyDescent="0.2">
      <c r="A1424" s="133">
        <v>240</v>
      </c>
      <c r="B1424" s="133" t="s">
        <v>162</v>
      </c>
      <c r="C1424" s="133" t="s">
        <v>1114</v>
      </c>
      <c r="D1424" s="133" t="s">
        <v>1954</v>
      </c>
      <c r="E1424" s="130" t="s">
        <v>1143</v>
      </c>
      <c r="F1424" s="130" t="s">
        <v>1117</v>
      </c>
      <c r="G1424" s="130" t="s">
        <v>1118</v>
      </c>
      <c r="H1424" s="130" t="s">
        <v>1119</v>
      </c>
      <c r="I1424" s="130" t="s">
        <v>1169</v>
      </c>
      <c r="J1424" s="130" t="s">
        <v>1195</v>
      </c>
      <c r="K1424" s="130" t="s">
        <v>1593</v>
      </c>
      <c r="L1424" s="130" t="s">
        <v>1985</v>
      </c>
      <c r="M1424" s="130" t="s">
        <v>1925</v>
      </c>
      <c r="N1424" s="130" t="s">
        <v>152</v>
      </c>
      <c r="O1424" s="130" t="s">
        <v>1125</v>
      </c>
      <c r="P1424" s="130" t="s">
        <v>1126</v>
      </c>
      <c r="Q1424" s="130" t="s">
        <v>1127</v>
      </c>
      <c r="R1424" s="130" t="s">
        <v>1409</v>
      </c>
      <c r="S1424" s="130" t="s">
        <v>1410</v>
      </c>
      <c r="T1424" s="130" t="s">
        <v>1130</v>
      </c>
      <c r="U1424" s="130">
        <v>0</v>
      </c>
      <c r="V1424" s="131">
        <v>0</v>
      </c>
      <c r="W1424" s="131">
        <v>0</v>
      </c>
      <c r="X1424" s="131">
        <v>0</v>
      </c>
      <c r="Y1424" s="131">
        <v>0</v>
      </c>
      <c r="Z1424" s="131">
        <v>0</v>
      </c>
      <c r="AA1424" s="131">
        <v>0</v>
      </c>
      <c r="AB1424" s="131">
        <v>0</v>
      </c>
      <c r="AC1424" s="131">
        <v>0</v>
      </c>
      <c r="AD1424" s="131">
        <v>0</v>
      </c>
      <c r="AE1424" s="132">
        <v>0</v>
      </c>
    </row>
    <row r="1425" spans="1:31" x14ac:dyDescent="0.2">
      <c r="A1425" s="130">
        <v>241</v>
      </c>
      <c r="B1425" s="130" t="s">
        <v>1986</v>
      </c>
      <c r="C1425" s="130" t="s">
        <v>1114</v>
      </c>
      <c r="D1425" s="130" t="s">
        <v>1954</v>
      </c>
      <c r="E1425" s="130" t="s">
        <v>1116</v>
      </c>
      <c r="F1425" s="130" t="s">
        <v>1117</v>
      </c>
      <c r="G1425" s="130" t="s">
        <v>1118</v>
      </c>
      <c r="H1425" s="130" t="s">
        <v>1119</v>
      </c>
      <c r="I1425" s="130" t="s">
        <v>1120</v>
      </c>
      <c r="J1425" s="130" t="s">
        <v>1121</v>
      </c>
      <c r="K1425" s="130" t="s">
        <v>1131</v>
      </c>
      <c r="L1425" s="130" t="s">
        <v>1987</v>
      </c>
      <c r="M1425" s="130" t="s">
        <v>1925</v>
      </c>
      <c r="N1425" s="130" t="s">
        <v>152</v>
      </c>
      <c r="O1425" s="130" t="s">
        <v>1125</v>
      </c>
      <c r="P1425" s="130" t="s">
        <v>1126</v>
      </c>
      <c r="Q1425" s="130" t="s">
        <v>1127</v>
      </c>
      <c r="R1425" s="130" t="s">
        <v>1380</v>
      </c>
      <c r="S1425" s="130" t="s">
        <v>1988</v>
      </c>
      <c r="T1425" s="130" t="s">
        <v>1130</v>
      </c>
      <c r="U1425" s="130">
        <v>0</v>
      </c>
      <c r="V1425" s="131">
        <v>685387</v>
      </c>
      <c r="W1425" s="131">
        <v>685387</v>
      </c>
      <c r="X1425" s="131">
        <v>467749</v>
      </c>
      <c r="Y1425" s="131">
        <v>217638</v>
      </c>
      <c r="Z1425" s="131">
        <v>467749</v>
      </c>
      <c r="AA1425" s="131">
        <v>217638</v>
      </c>
      <c r="AB1425" s="131">
        <v>247015.67999999999</v>
      </c>
      <c r="AC1425" s="131">
        <v>438371.32</v>
      </c>
      <c r="AD1425" s="131">
        <v>247015.67999999999</v>
      </c>
      <c r="AE1425" s="132">
        <v>438371.32</v>
      </c>
    </row>
    <row r="1426" spans="1:31" x14ac:dyDescent="0.2">
      <c r="A1426" s="133">
        <v>241</v>
      </c>
      <c r="B1426" s="133" t="s">
        <v>1986</v>
      </c>
      <c r="C1426" s="133" t="s">
        <v>1114</v>
      </c>
      <c r="D1426" s="133" t="s">
        <v>1954</v>
      </c>
      <c r="E1426" s="133" t="s">
        <v>1116</v>
      </c>
      <c r="F1426" s="133" t="s">
        <v>1117</v>
      </c>
      <c r="G1426" s="133" t="s">
        <v>1118</v>
      </c>
      <c r="H1426" s="133" t="s">
        <v>1119</v>
      </c>
      <c r="I1426" s="133" t="s">
        <v>1120</v>
      </c>
      <c r="J1426" s="133" t="s">
        <v>1121</v>
      </c>
      <c r="K1426" s="130" t="s">
        <v>1177</v>
      </c>
      <c r="L1426" s="130" t="s">
        <v>1987</v>
      </c>
      <c r="M1426" s="130" t="s">
        <v>1925</v>
      </c>
      <c r="N1426" s="130" t="s">
        <v>152</v>
      </c>
      <c r="O1426" s="130" t="s">
        <v>1125</v>
      </c>
      <c r="P1426" s="130" t="s">
        <v>1126</v>
      </c>
      <c r="Q1426" s="130" t="s">
        <v>1127</v>
      </c>
      <c r="R1426" s="130" t="s">
        <v>1380</v>
      </c>
      <c r="S1426" s="130" t="s">
        <v>1988</v>
      </c>
      <c r="T1426" s="130" t="s">
        <v>1130</v>
      </c>
      <c r="U1426" s="130">
        <v>0</v>
      </c>
      <c r="V1426" s="131">
        <v>195404</v>
      </c>
      <c r="W1426" s="131">
        <v>195404</v>
      </c>
      <c r="X1426" s="131">
        <v>179547.44</v>
      </c>
      <c r="Y1426" s="131">
        <v>15856.559999999998</v>
      </c>
      <c r="Z1426" s="131">
        <v>129962.94</v>
      </c>
      <c r="AA1426" s="131">
        <v>65441.06</v>
      </c>
      <c r="AB1426" s="131">
        <v>129962.94</v>
      </c>
      <c r="AC1426" s="131">
        <v>65441.06</v>
      </c>
      <c r="AD1426" s="131">
        <v>31123</v>
      </c>
      <c r="AE1426" s="132">
        <v>164281</v>
      </c>
    </row>
    <row r="1427" spans="1:31" x14ac:dyDescent="0.2">
      <c r="A1427" s="133">
        <v>241</v>
      </c>
      <c r="B1427" s="133" t="s">
        <v>1986</v>
      </c>
      <c r="C1427" s="133" t="s">
        <v>1114</v>
      </c>
      <c r="D1427" s="133" t="s">
        <v>1954</v>
      </c>
      <c r="E1427" s="133" t="s">
        <v>1116</v>
      </c>
      <c r="F1427" s="133" t="s">
        <v>1117</v>
      </c>
      <c r="G1427" s="133" t="s">
        <v>1118</v>
      </c>
      <c r="H1427" s="133" t="s">
        <v>1119</v>
      </c>
      <c r="I1427" s="133" t="s">
        <v>1120</v>
      </c>
      <c r="J1427" s="133" t="s">
        <v>1121</v>
      </c>
      <c r="K1427" s="130" t="s">
        <v>1132</v>
      </c>
      <c r="L1427" s="130" t="s">
        <v>1987</v>
      </c>
      <c r="M1427" s="130" t="s">
        <v>1925</v>
      </c>
      <c r="N1427" s="130" t="s">
        <v>152</v>
      </c>
      <c r="O1427" s="130" t="s">
        <v>1125</v>
      </c>
      <c r="P1427" s="130" t="s">
        <v>1126</v>
      </c>
      <c r="Q1427" s="130" t="s">
        <v>1127</v>
      </c>
      <c r="R1427" s="130" t="s">
        <v>1380</v>
      </c>
      <c r="S1427" s="130" t="s">
        <v>1988</v>
      </c>
      <c r="T1427" s="130" t="s">
        <v>1130</v>
      </c>
      <c r="U1427" s="130">
        <v>0</v>
      </c>
      <c r="V1427" s="131">
        <v>62015</v>
      </c>
      <c r="W1427" s="131">
        <v>62015</v>
      </c>
      <c r="X1427" s="131">
        <v>12600</v>
      </c>
      <c r="Y1427" s="131">
        <v>49415</v>
      </c>
      <c r="Z1427" s="131">
        <v>12600</v>
      </c>
      <c r="AA1427" s="131">
        <v>49415</v>
      </c>
      <c r="AB1427" s="131">
        <v>12600</v>
      </c>
      <c r="AC1427" s="131">
        <v>49415</v>
      </c>
      <c r="AD1427" s="131">
        <v>0</v>
      </c>
      <c r="AE1427" s="132">
        <v>62015</v>
      </c>
    </row>
    <row r="1428" spans="1:31" x14ac:dyDescent="0.2">
      <c r="A1428" s="133">
        <v>241</v>
      </c>
      <c r="B1428" s="133" t="s">
        <v>1986</v>
      </c>
      <c r="C1428" s="133" t="s">
        <v>1114</v>
      </c>
      <c r="D1428" s="133" t="s">
        <v>1954</v>
      </c>
      <c r="E1428" s="133" t="s">
        <v>1116</v>
      </c>
      <c r="F1428" s="133" t="s">
        <v>1117</v>
      </c>
      <c r="G1428" s="133" t="s">
        <v>1118</v>
      </c>
      <c r="H1428" s="130" t="s">
        <v>1149</v>
      </c>
      <c r="I1428" s="130" t="s">
        <v>1150</v>
      </c>
      <c r="J1428" s="130" t="s">
        <v>1150</v>
      </c>
      <c r="K1428" s="130" t="s">
        <v>1151</v>
      </c>
      <c r="L1428" s="130" t="s">
        <v>1987</v>
      </c>
      <c r="M1428" s="130" t="s">
        <v>1925</v>
      </c>
      <c r="N1428" s="130" t="s">
        <v>152</v>
      </c>
      <c r="O1428" s="130" t="s">
        <v>1125</v>
      </c>
      <c r="P1428" s="130" t="s">
        <v>1126</v>
      </c>
      <c r="Q1428" s="130" t="s">
        <v>1127</v>
      </c>
      <c r="R1428" s="130" t="s">
        <v>1380</v>
      </c>
      <c r="S1428" s="130" t="s">
        <v>1988</v>
      </c>
      <c r="T1428" s="130" t="s">
        <v>1130</v>
      </c>
      <c r="U1428" s="130">
        <v>0</v>
      </c>
      <c r="V1428" s="131">
        <v>304850</v>
      </c>
      <c r="W1428" s="131">
        <v>304850</v>
      </c>
      <c r="X1428" s="131">
        <v>0</v>
      </c>
      <c r="Y1428" s="131">
        <v>304850</v>
      </c>
      <c r="Z1428" s="131">
        <v>0</v>
      </c>
      <c r="AA1428" s="131">
        <v>304850</v>
      </c>
      <c r="AB1428" s="131">
        <v>0</v>
      </c>
      <c r="AC1428" s="131">
        <v>304850</v>
      </c>
      <c r="AD1428" s="131">
        <v>0</v>
      </c>
      <c r="AE1428" s="132">
        <v>304850</v>
      </c>
    </row>
    <row r="1429" spans="1:31" x14ac:dyDescent="0.2">
      <c r="A1429" s="133">
        <v>241</v>
      </c>
      <c r="B1429" s="133" t="s">
        <v>1986</v>
      </c>
      <c r="C1429" s="133" t="s">
        <v>1114</v>
      </c>
      <c r="D1429" s="133" t="s">
        <v>1954</v>
      </c>
      <c r="E1429" s="133" t="s">
        <v>1116</v>
      </c>
      <c r="F1429" s="133" t="s">
        <v>1117</v>
      </c>
      <c r="G1429" s="133" t="s">
        <v>1118</v>
      </c>
      <c r="H1429" s="133" t="s">
        <v>1149</v>
      </c>
      <c r="I1429" s="130" t="s">
        <v>1182</v>
      </c>
      <c r="J1429" s="130" t="s">
        <v>1377</v>
      </c>
      <c r="K1429" s="130" t="s">
        <v>1378</v>
      </c>
      <c r="L1429" s="130" t="s">
        <v>1987</v>
      </c>
      <c r="M1429" s="130" t="s">
        <v>1925</v>
      </c>
      <c r="N1429" s="130" t="s">
        <v>152</v>
      </c>
      <c r="O1429" s="130" t="s">
        <v>1125</v>
      </c>
      <c r="P1429" s="130" t="s">
        <v>1126</v>
      </c>
      <c r="Q1429" s="130" t="s">
        <v>1127</v>
      </c>
      <c r="R1429" s="130" t="s">
        <v>1380</v>
      </c>
      <c r="S1429" s="130" t="s">
        <v>1988</v>
      </c>
      <c r="T1429" s="130" t="s">
        <v>1130</v>
      </c>
      <c r="U1429" s="130">
        <v>0</v>
      </c>
      <c r="V1429" s="131">
        <v>84219</v>
      </c>
      <c r="W1429" s="131">
        <v>84219</v>
      </c>
      <c r="X1429" s="131">
        <v>80341.899999999994</v>
      </c>
      <c r="Y1429" s="131">
        <v>3877.1000000000058</v>
      </c>
      <c r="Z1429" s="131">
        <v>58709.39</v>
      </c>
      <c r="AA1429" s="131">
        <v>25509.61</v>
      </c>
      <c r="AB1429" s="131">
        <v>58709.39</v>
      </c>
      <c r="AC1429" s="131">
        <v>25509.61</v>
      </c>
      <c r="AD1429" s="131">
        <v>0</v>
      </c>
      <c r="AE1429" s="132">
        <v>84219</v>
      </c>
    </row>
    <row r="1430" spans="1:31" x14ac:dyDescent="0.2">
      <c r="A1430" s="133">
        <v>241</v>
      </c>
      <c r="B1430" s="133" t="s">
        <v>1986</v>
      </c>
      <c r="C1430" s="133" t="s">
        <v>1114</v>
      </c>
      <c r="D1430" s="133" t="s">
        <v>1954</v>
      </c>
      <c r="E1430" s="133" t="s">
        <v>1116</v>
      </c>
      <c r="F1430" s="133" t="s">
        <v>1117</v>
      </c>
      <c r="G1430" s="133" t="s">
        <v>1118</v>
      </c>
      <c r="H1430" s="133" t="s">
        <v>1149</v>
      </c>
      <c r="I1430" s="133" t="s">
        <v>1182</v>
      </c>
      <c r="J1430" s="130" t="s">
        <v>1347</v>
      </c>
      <c r="K1430" s="130" t="s">
        <v>1348</v>
      </c>
      <c r="L1430" s="130" t="s">
        <v>1987</v>
      </c>
      <c r="M1430" s="130" t="s">
        <v>1925</v>
      </c>
      <c r="N1430" s="130" t="s">
        <v>152</v>
      </c>
      <c r="O1430" s="130" t="s">
        <v>1125</v>
      </c>
      <c r="P1430" s="130" t="s">
        <v>1126</v>
      </c>
      <c r="Q1430" s="130" t="s">
        <v>1127</v>
      </c>
      <c r="R1430" s="130" t="s">
        <v>1380</v>
      </c>
      <c r="S1430" s="130" t="s">
        <v>1988</v>
      </c>
      <c r="T1430" s="130" t="s">
        <v>1130</v>
      </c>
      <c r="U1430" s="130">
        <v>0</v>
      </c>
      <c r="V1430" s="131">
        <v>14776</v>
      </c>
      <c r="W1430" s="131">
        <v>14776</v>
      </c>
      <c r="X1430" s="131">
        <v>0</v>
      </c>
      <c r="Y1430" s="131">
        <v>14776</v>
      </c>
      <c r="Z1430" s="131">
        <v>0</v>
      </c>
      <c r="AA1430" s="131">
        <v>14776</v>
      </c>
      <c r="AB1430" s="131">
        <v>0</v>
      </c>
      <c r="AC1430" s="131">
        <v>14776</v>
      </c>
      <c r="AD1430" s="131">
        <v>0</v>
      </c>
      <c r="AE1430" s="132">
        <v>14776</v>
      </c>
    </row>
    <row r="1431" spans="1:31" x14ac:dyDescent="0.2">
      <c r="A1431" s="133">
        <v>241</v>
      </c>
      <c r="B1431" s="133" t="s">
        <v>1986</v>
      </c>
      <c r="C1431" s="133" t="s">
        <v>1114</v>
      </c>
      <c r="D1431" s="133" t="s">
        <v>1954</v>
      </c>
      <c r="E1431" s="133" t="s">
        <v>1116</v>
      </c>
      <c r="F1431" s="133" t="s">
        <v>1117</v>
      </c>
      <c r="G1431" s="133" t="s">
        <v>1118</v>
      </c>
      <c r="H1431" s="133" t="s">
        <v>1149</v>
      </c>
      <c r="I1431" s="133" t="s">
        <v>1182</v>
      </c>
      <c r="J1431" s="133" t="s">
        <v>1347</v>
      </c>
      <c r="K1431" s="130" t="s">
        <v>1419</v>
      </c>
      <c r="L1431" s="130" t="s">
        <v>1987</v>
      </c>
      <c r="M1431" s="130" t="s">
        <v>1925</v>
      </c>
      <c r="N1431" s="130" t="s">
        <v>152</v>
      </c>
      <c r="O1431" s="130" t="s">
        <v>1125</v>
      </c>
      <c r="P1431" s="130" t="s">
        <v>1126</v>
      </c>
      <c r="Q1431" s="130" t="s">
        <v>1127</v>
      </c>
      <c r="R1431" s="130" t="s">
        <v>1380</v>
      </c>
      <c r="S1431" s="130" t="s">
        <v>1988</v>
      </c>
      <c r="T1431" s="130" t="s">
        <v>1130</v>
      </c>
      <c r="U1431" s="130">
        <v>0</v>
      </c>
      <c r="V1431" s="131">
        <v>111639</v>
      </c>
      <c r="W1431" s="131">
        <v>111639</v>
      </c>
      <c r="X1431" s="131">
        <v>93648</v>
      </c>
      <c r="Y1431" s="131">
        <v>17991</v>
      </c>
      <c r="Z1431" s="131">
        <v>93648</v>
      </c>
      <c r="AA1431" s="131">
        <v>17991</v>
      </c>
      <c r="AB1431" s="131">
        <v>93648</v>
      </c>
      <c r="AC1431" s="131">
        <v>17991</v>
      </c>
      <c r="AD1431" s="131">
        <v>0</v>
      </c>
      <c r="AE1431" s="132">
        <v>111639</v>
      </c>
    </row>
    <row r="1432" spans="1:31" x14ac:dyDescent="0.2">
      <c r="A1432" s="133">
        <v>241</v>
      </c>
      <c r="B1432" s="133" t="s">
        <v>1986</v>
      </c>
      <c r="C1432" s="133" t="s">
        <v>1114</v>
      </c>
      <c r="D1432" s="133" t="s">
        <v>1954</v>
      </c>
      <c r="E1432" s="133" t="s">
        <v>1116</v>
      </c>
      <c r="F1432" s="133" t="s">
        <v>1117</v>
      </c>
      <c r="G1432" s="133" t="s">
        <v>1118</v>
      </c>
      <c r="H1432" s="133" t="s">
        <v>1149</v>
      </c>
      <c r="I1432" s="133" t="s">
        <v>1182</v>
      </c>
      <c r="J1432" s="130" t="s">
        <v>1942</v>
      </c>
      <c r="K1432" s="130" t="s">
        <v>1943</v>
      </c>
      <c r="L1432" s="130" t="s">
        <v>1987</v>
      </c>
      <c r="M1432" s="130" t="s">
        <v>1925</v>
      </c>
      <c r="N1432" s="130" t="s">
        <v>152</v>
      </c>
      <c r="O1432" s="130" t="s">
        <v>1125</v>
      </c>
      <c r="P1432" s="130" t="s">
        <v>1126</v>
      </c>
      <c r="Q1432" s="130" t="s">
        <v>1127</v>
      </c>
      <c r="R1432" s="130" t="s">
        <v>1380</v>
      </c>
      <c r="S1432" s="130" t="s">
        <v>1988</v>
      </c>
      <c r="T1432" s="130" t="s">
        <v>1130</v>
      </c>
      <c r="U1432" s="130">
        <v>0</v>
      </c>
      <c r="V1432" s="131">
        <v>119435</v>
      </c>
      <c r="W1432" s="131">
        <v>119435</v>
      </c>
      <c r="X1432" s="131">
        <v>119434.26</v>
      </c>
      <c r="Y1432" s="131">
        <v>0.74000000000523869</v>
      </c>
      <c r="Z1432" s="131">
        <v>0</v>
      </c>
      <c r="AA1432" s="131">
        <v>119435</v>
      </c>
      <c r="AB1432" s="131">
        <v>0</v>
      </c>
      <c r="AC1432" s="131">
        <v>119435</v>
      </c>
      <c r="AD1432" s="131">
        <v>0</v>
      </c>
      <c r="AE1432" s="132">
        <v>119435</v>
      </c>
    </row>
    <row r="1433" spans="1:31" x14ac:dyDescent="0.2">
      <c r="A1433" s="133">
        <v>241</v>
      </c>
      <c r="B1433" s="133" t="s">
        <v>1986</v>
      </c>
      <c r="C1433" s="133" t="s">
        <v>1114</v>
      </c>
      <c r="D1433" s="133" t="s">
        <v>1954</v>
      </c>
      <c r="E1433" s="133" t="s">
        <v>1116</v>
      </c>
      <c r="F1433" s="133" t="s">
        <v>1117</v>
      </c>
      <c r="G1433" s="133" t="s">
        <v>1118</v>
      </c>
      <c r="H1433" s="133" t="s">
        <v>1149</v>
      </c>
      <c r="I1433" s="133" t="s">
        <v>1182</v>
      </c>
      <c r="J1433" s="133" t="s">
        <v>1942</v>
      </c>
      <c r="K1433" s="130" t="s">
        <v>1944</v>
      </c>
      <c r="L1433" s="130" t="s">
        <v>1987</v>
      </c>
      <c r="M1433" s="130" t="s">
        <v>1925</v>
      </c>
      <c r="N1433" s="130" t="s">
        <v>152</v>
      </c>
      <c r="O1433" s="130" t="s">
        <v>1125</v>
      </c>
      <c r="P1433" s="130" t="s">
        <v>1126</v>
      </c>
      <c r="Q1433" s="130" t="s">
        <v>1127</v>
      </c>
      <c r="R1433" s="130" t="s">
        <v>1380</v>
      </c>
      <c r="S1433" s="130" t="s">
        <v>1988</v>
      </c>
      <c r="T1433" s="130" t="s">
        <v>1130</v>
      </c>
      <c r="U1433" s="130">
        <v>0</v>
      </c>
      <c r="V1433" s="131">
        <v>825497</v>
      </c>
      <c r="W1433" s="131">
        <v>825497</v>
      </c>
      <c r="X1433" s="131">
        <v>825496.96</v>
      </c>
      <c r="Y1433" s="131">
        <v>4.0000000037252903E-2</v>
      </c>
      <c r="Z1433" s="131">
        <v>34500</v>
      </c>
      <c r="AA1433" s="131">
        <v>790997</v>
      </c>
      <c r="AB1433" s="131">
        <v>34500</v>
      </c>
      <c r="AC1433" s="131">
        <v>790997</v>
      </c>
      <c r="AD1433" s="131">
        <v>0</v>
      </c>
      <c r="AE1433" s="132">
        <v>825497</v>
      </c>
    </row>
    <row r="1434" spans="1:31" x14ac:dyDescent="0.2">
      <c r="A1434" s="133">
        <v>241</v>
      </c>
      <c r="B1434" s="133" t="s">
        <v>1986</v>
      </c>
      <c r="C1434" s="133" t="s">
        <v>1114</v>
      </c>
      <c r="D1434" s="133" t="s">
        <v>1954</v>
      </c>
      <c r="E1434" s="133" t="s">
        <v>1116</v>
      </c>
      <c r="F1434" s="133" t="s">
        <v>1117</v>
      </c>
      <c r="G1434" s="133" t="s">
        <v>1118</v>
      </c>
      <c r="H1434" s="130" t="s">
        <v>1133</v>
      </c>
      <c r="I1434" s="130" t="s">
        <v>1134</v>
      </c>
      <c r="J1434" s="130" t="s">
        <v>1135</v>
      </c>
      <c r="K1434" s="130" t="s">
        <v>1178</v>
      </c>
      <c r="L1434" s="130" t="s">
        <v>1987</v>
      </c>
      <c r="M1434" s="130" t="s">
        <v>1925</v>
      </c>
      <c r="N1434" s="130" t="s">
        <v>152</v>
      </c>
      <c r="O1434" s="130" t="s">
        <v>1125</v>
      </c>
      <c r="P1434" s="130" t="s">
        <v>1126</v>
      </c>
      <c r="Q1434" s="130" t="s">
        <v>1127</v>
      </c>
      <c r="R1434" s="130" t="s">
        <v>1380</v>
      </c>
      <c r="S1434" s="130" t="s">
        <v>1988</v>
      </c>
      <c r="T1434" s="130" t="s">
        <v>1130</v>
      </c>
      <c r="U1434" s="130">
        <v>0</v>
      </c>
      <c r="V1434" s="131">
        <v>52349</v>
      </c>
      <c r="W1434" s="131">
        <v>52349</v>
      </c>
      <c r="X1434" s="131">
        <v>20000</v>
      </c>
      <c r="Y1434" s="131">
        <v>32349</v>
      </c>
      <c r="Z1434" s="131">
        <v>20000</v>
      </c>
      <c r="AA1434" s="131">
        <v>32349</v>
      </c>
      <c r="AB1434" s="131">
        <v>2102.94</v>
      </c>
      <c r="AC1434" s="131">
        <v>50246.06</v>
      </c>
      <c r="AD1434" s="131">
        <v>2102.94</v>
      </c>
      <c r="AE1434" s="132">
        <v>50246.06</v>
      </c>
    </row>
    <row r="1435" spans="1:31" x14ac:dyDescent="0.2">
      <c r="A1435" s="133">
        <v>241</v>
      </c>
      <c r="B1435" s="133" t="s">
        <v>1986</v>
      </c>
      <c r="C1435" s="133" t="s">
        <v>1114</v>
      </c>
      <c r="D1435" s="133" t="s">
        <v>1954</v>
      </c>
      <c r="E1435" s="133" t="s">
        <v>1116</v>
      </c>
      <c r="F1435" s="133" t="s">
        <v>1117</v>
      </c>
      <c r="G1435" s="133" t="s">
        <v>1118</v>
      </c>
      <c r="H1435" s="133" t="s">
        <v>1133</v>
      </c>
      <c r="I1435" s="133" t="s">
        <v>1134</v>
      </c>
      <c r="J1435" s="133" t="s">
        <v>1135</v>
      </c>
      <c r="K1435" s="130" t="s">
        <v>1179</v>
      </c>
      <c r="L1435" s="130" t="s">
        <v>1987</v>
      </c>
      <c r="M1435" s="130" t="s">
        <v>1925</v>
      </c>
      <c r="N1435" s="130" t="s">
        <v>152</v>
      </c>
      <c r="O1435" s="130" t="s">
        <v>1125</v>
      </c>
      <c r="P1435" s="130" t="s">
        <v>1126</v>
      </c>
      <c r="Q1435" s="130" t="s">
        <v>1127</v>
      </c>
      <c r="R1435" s="130" t="s">
        <v>1380</v>
      </c>
      <c r="S1435" s="130" t="s">
        <v>1988</v>
      </c>
      <c r="T1435" s="130" t="s">
        <v>1130</v>
      </c>
      <c r="U1435" s="130">
        <v>0</v>
      </c>
      <c r="V1435" s="131">
        <v>17514</v>
      </c>
      <c r="W1435" s="131">
        <v>17514</v>
      </c>
      <c r="X1435" s="131">
        <v>13211.7</v>
      </c>
      <c r="Y1435" s="131">
        <v>4302.2999999999993</v>
      </c>
      <c r="Z1435" s="131">
        <v>8411.7000000000007</v>
      </c>
      <c r="AA1435" s="131">
        <v>9102.2999999999993</v>
      </c>
      <c r="AB1435" s="131">
        <v>8411.7000000000007</v>
      </c>
      <c r="AC1435" s="131">
        <v>9102.2999999999993</v>
      </c>
      <c r="AD1435" s="131">
        <v>0</v>
      </c>
      <c r="AE1435" s="132">
        <v>17514</v>
      </c>
    </row>
    <row r="1436" spans="1:31" x14ac:dyDescent="0.2">
      <c r="A1436" s="133">
        <v>241</v>
      </c>
      <c r="B1436" s="133" t="s">
        <v>1986</v>
      </c>
      <c r="C1436" s="133" t="s">
        <v>1114</v>
      </c>
      <c r="D1436" s="133" t="s">
        <v>1954</v>
      </c>
      <c r="E1436" s="133" t="s">
        <v>1116</v>
      </c>
      <c r="F1436" s="133" t="s">
        <v>1117</v>
      </c>
      <c r="G1436" s="133" t="s">
        <v>1118</v>
      </c>
      <c r="H1436" s="133" t="s">
        <v>1133</v>
      </c>
      <c r="I1436" s="133" t="s">
        <v>1134</v>
      </c>
      <c r="J1436" s="133" t="s">
        <v>1135</v>
      </c>
      <c r="K1436" s="130" t="s">
        <v>1144</v>
      </c>
      <c r="L1436" s="130" t="s">
        <v>1987</v>
      </c>
      <c r="M1436" s="130" t="s">
        <v>1925</v>
      </c>
      <c r="N1436" s="130" t="s">
        <v>152</v>
      </c>
      <c r="O1436" s="130" t="s">
        <v>1125</v>
      </c>
      <c r="P1436" s="130" t="s">
        <v>1126</v>
      </c>
      <c r="Q1436" s="130" t="s">
        <v>1127</v>
      </c>
      <c r="R1436" s="130" t="s">
        <v>1380</v>
      </c>
      <c r="S1436" s="130" t="s">
        <v>1988</v>
      </c>
      <c r="T1436" s="130" t="s">
        <v>1130</v>
      </c>
      <c r="U1436" s="130">
        <v>0</v>
      </c>
      <c r="V1436" s="131">
        <v>14030</v>
      </c>
      <c r="W1436" s="131">
        <v>14030</v>
      </c>
      <c r="X1436" s="131">
        <v>0</v>
      </c>
      <c r="Y1436" s="131">
        <v>14030</v>
      </c>
      <c r="Z1436" s="131">
        <v>0</v>
      </c>
      <c r="AA1436" s="131">
        <v>14030</v>
      </c>
      <c r="AB1436" s="131">
        <v>0</v>
      </c>
      <c r="AC1436" s="131">
        <v>14030</v>
      </c>
      <c r="AD1436" s="131">
        <v>0</v>
      </c>
      <c r="AE1436" s="132">
        <v>14030</v>
      </c>
    </row>
    <row r="1437" spans="1:31" x14ac:dyDescent="0.2">
      <c r="A1437" s="133">
        <v>241</v>
      </c>
      <c r="B1437" s="133" t="s">
        <v>1986</v>
      </c>
      <c r="C1437" s="133" t="s">
        <v>1114</v>
      </c>
      <c r="D1437" s="133" t="s">
        <v>1954</v>
      </c>
      <c r="E1437" s="130" t="s">
        <v>1143</v>
      </c>
      <c r="F1437" s="130" t="s">
        <v>1117</v>
      </c>
      <c r="G1437" s="130" t="s">
        <v>1118</v>
      </c>
      <c r="H1437" s="130" t="s">
        <v>1119</v>
      </c>
      <c r="I1437" s="130" t="s">
        <v>1120</v>
      </c>
      <c r="J1437" s="130" t="s">
        <v>1121</v>
      </c>
      <c r="K1437" s="130" t="s">
        <v>1122</v>
      </c>
      <c r="L1437" s="130" t="s">
        <v>1987</v>
      </c>
      <c r="M1437" s="130" t="s">
        <v>1925</v>
      </c>
      <c r="N1437" s="130" t="s">
        <v>152</v>
      </c>
      <c r="O1437" s="130" t="s">
        <v>1125</v>
      </c>
      <c r="P1437" s="130" t="s">
        <v>1126</v>
      </c>
      <c r="Q1437" s="130" t="s">
        <v>1127</v>
      </c>
      <c r="R1437" s="130" t="s">
        <v>1380</v>
      </c>
      <c r="S1437" s="130" t="s">
        <v>1988</v>
      </c>
      <c r="T1437" s="130" t="s">
        <v>1130</v>
      </c>
      <c r="U1437" s="130">
        <v>2822702</v>
      </c>
      <c r="V1437" s="131">
        <v>-2822702</v>
      </c>
      <c r="W1437" s="131">
        <v>0</v>
      </c>
      <c r="X1437" s="131">
        <v>0</v>
      </c>
      <c r="Y1437" s="131">
        <v>0</v>
      </c>
      <c r="Z1437" s="131">
        <v>0</v>
      </c>
      <c r="AA1437" s="131">
        <v>0</v>
      </c>
      <c r="AB1437" s="131">
        <v>0</v>
      </c>
      <c r="AC1437" s="131">
        <v>0</v>
      </c>
      <c r="AD1437" s="131">
        <v>0</v>
      </c>
      <c r="AE1437" s="132">
        <v>0</v>
      </c>
    </row>
    <row r="1438" spans="1:31" x14ac:dyDescent="0.2">
      <c r="A1438" s="133">
        <v>241</v>
      </c>
      <c r="B1438" s="133" t="s">
        <v>1986</v>
      </c>
      <c r="C1438" s="133" t="s">
        <v>1114</v>
      </c>
      <c r="D1438" s="133" t="s">
        <v>1954</v>
      </c>
      <c r="E1438" s="133" t="s">
        <v>1143</v>
      </c>
      <c r="F1438" s="133" t="s">
        <v>1117</v>
      </c>
      <c r="G1438" s="133" t="s">
        <v>1118</v>
      </c>
      <c r="H1438" s="133" t="s">
        <v>1119</v>
      </c>
      <c r="I1438" s="133" t="s">
        <v>1120</v>
      </c>
      <c r="J1438" s="133" t="s">
        <v>1121</v>
      </c>
      <c r="K1438" s="130" t="s">
        <v>1131</v>
      </c>
      <c r="L1438" s="130" t="s">
        <v>1987</v>
      </c>
      <c r="M1438" s="130" t="s">
        <v>1925</v>
      </c>
      <c r="N1438" s="130" t="s">
        <v>152</v>
      </c>
      <c r="O1438" s="130" t="s">
        <v>1125</v>
      </c>
      <c r="P1438" s="130" t="s">
        <v>1126</v>
      </c>
      <c r="Q1438" s="130" t="s">
        <v>1127</v>
      </c>
      <c r="R1438" s="130" t="s">
        <v>1380</v>
      </c>
      <c r="S1438" s="130" t="s">
        <v>1988</v>
      </c>
      <c r="T1438" s="130" t="s">
        <v>1130</v>
      </c>
      <c r="U1438" s="130">
        <v>0</v>
      </c>
      <c r="V1438" s="131">
        <v>712882</v>
      </c>
      <c r="W1438" s="131">
        <v>712882</v>
      </c>
      <c r="X1438" s="131">
        <v>652383</v>
      </c>
      <c r="Y1438" s="131">
        <v>60499</v>
      </c>
      <c r="Z1438" s="131">
        <v>652383</v>
      </c>
      <c r="AA1438" s="131">
        <v>60499</v>
      </c>
      <c r="AB1438" s="131">
        <v>623322.4</v>
      </c>
      <c r="AC1438" s="131">
        <v>89559.599999999977</v>
      </c>
      <c r="AD1438" s="131">
        <v>623322.4</v>
      </c>
      <c r="AE1438" s="132">
        <v>89559.599999999977</v>
      </c>
    </row>
    <row r="1439" spans="1:31" x14ac:dyDescent="0.2">
      <c r="A1439" s="133">
        <v>241</v>
      </c>
      <c r="B1439" s="133" t="s">
        <v>1986</v>
      </c>
      <c r="C1439" s="133" t="s">
        <v>1114</v>
      </c>
      <c r="D1439" s="133" t="s">
        <v>1954</v>
      </c>
      <c r="E1439" s="133" t="s">
        <v>1143</v>
      </c>
      <c r="F1439" s="133" t="s">
        <v>1117</v>
      </c>
      <c r="G1439" s="133" t="s">
        <v>1118</v>
      </c>
      <c r="H1439" s="133" t="s">
        <v>1119</v>
      </c>
      <c r="I1439" s="133" t="s">
        <v>1120</v>
      </c>
      <c r="J1439" s="133" t="s">
        <v>1121</v>
      </c>
      <c r="K1439" s="130" t="s">
        <v>1177</v>
      </c>
      <c r="L1439" s="130" t="s">
        <v>1987</v>
      </c>
      <c r="M1439" s="130" t="s">
        <v>1925</v>
      </c>
      <c r="N1439" s="130" t="s">
        <v>152</v>
      </c>
      <c r="O1439" s="130" t="s">
        <v>1125</v>
      </c>
      <c r="P1439" s="130" t="s">
        <v>1126</v>
      </c>
      <c r="Q1439" s="130" t="s">
        <v>1127</v>
      </c>
      <c r="R1439" s="130" t="s">
        <v>1380</v>
      </c>
      <c r="S1439" s="130" t="s">
        <v>1988</v>
      </c>
      <c r="T1439" s="130" t="s">
        <v>1130</v>
      </c>
      <c r="U1439" s="130">
        <v>0</v>
      </c>
      <c r="V1439" s="131">
        <v>1176862</v>
      </c>
      <c r="W1439" s="131">
        <v>1176862</v>
      </c>
      <c r="X1439" s="131">
        <v>1042044.92</v>
      </c>
      <c r="Y1439" s="131">
        <v>134817.07999999996</v>
      </c>
      <c r="Z1439" s="131">
        <v>712597.71</v>
      </c>
      <c r="AA1439" s="131">
        <v>464264.29000000004</v>
      </c>
      <c r="AB1439" s="131">
        <v>674677.71</v>
      </c>
      <c r="AC1439" s="131">
        <v>502184.29000000004</v>
      </c>
      <c r="AD1439" s="131">
        <v>390770.61</v>
      </c>
      <c r="AE1439" s="132">
        <v>786091.39</v>
      </c>
    </row>
    <row r="1440" spans="1:31" x14ac:dyDescent="0.2">
      <c r="A1440" s="133">
        <v>241</v>
      </c>
      <c r="B1440" s="133" t="s">
        <v>1986</v>
      </c>
      <c r="C1440" s="133" t="s">
        <v>1114</v>
      </c>
      <c r="D1440" s="133" t="s">
        <v>1954</v>
      </c>
      <c r="E1440" s="133" t="s">
        <v>1143</v>
      </c>
      <c r="F1440" s="133" t="s">
        <v>1117</v>
      </c>
      <c r="G1440" s="133" t="s">
        <v>1118</v>
      </c>
      <c r="H1440" s="133" t="s">
        <v>1119</v>
      </c>
      <c r="I1440" s="133" t="s">
        <v>1120</v>
      </c>
      <c r="J1440" s="133" t="s">
        <v>1121</v>
      </c>
      <c r="K1440" s="130" t="s">
        <v>1132</v>
      </c>
      <c r="L1440" s="130" t="s">
        <v>1987</v>
      </c>
      <c r="M1440" s="130" t="s">
        <v>1925</v>
      </c>
      <c r="N1440" s="130" t="s">
        <v>152</v>
      </c>
      <c r="O1440" s="130" t="s">
        <v>1125</v>
      </c>
      <c r="P1440" s="130" t="s">
        <v>1126</v>
      </c>
      <c r="Q1440" s="130" t="s">
        <v>1127</v>
      </c>
      <c r="R1440" s="130" t="s">
        <v>1380</v>
      </c>
      <c r="S1440" s="130" t="s">
        <v>1988</v>
      </c>
      <c r="T1440" s="130" t="s">
        <v>1130</v>
      </c>
      <c r="U1440" s="130">
        <v>0</v>
      </c>
      <c r="V1440" s="131">
        <v>350617</v>
      </c>
      <c r="W1440" s="131">
        <v>350617</v>
      </c>
      <c r="X1440" s="131">
        <v>328365.21000000002</v>
      </c>
      <c r="Y1440" s="131">
        <v>22251.789999999979</v>
      </c>
      <c r="Z1440" s="131">
        <v>328365.21000000002</v>
      </c>
      <c r="AA1440" s="131">
        <v>22251.789999999979</v>
      </c>
      <c r="AB1440" s="131">
        <v>328365.21000000002</v>
      </c>
      <c r="AC1440" s="131">
        <v>22251.789999999979</v>
      </c>
      <c r="AD1440" s="131">
        <v>29010.18</v>
      </c>
      <c r="AE1440" s="132">
        <v>321606.82</v>
      </c>
    </row>
    <row r="1441" spans="1:31" x14ac:dyDescent="0.2">
      <c r="A1441" s="133">
        <v>241</v>
      </c>
      <c r="B1441" s="133" t="s">
        <v>1986</v>
      </c>
      <c r="C1441" s="133" t="s">
        <v>1114</v>
      </c>
      <c r="D1441" s="133" t="s">
        <v>1954</v>
      </c>
      <c r="E1441" s="133" t="s">
        <v>1143</v>
      </c>
      <c r="F1441" s="133" t="s">
        <v>1117</v>
      </c>
      <c r="G1441" s="133" t="s">
        <v>1118</v>
      </c>
      <c r="H1441" s="130" t="s">
        <v>1149</v>
      </c>
      <c r="I1441" s="130" t="s">
        <v>1182</v>
      </c>
      <c r="J1441" s="130" t="s">
        <v>1347</v>
      </c>
      <c r="K1441" s="130" t="s">
        <v>1419</v>
      </c>
      <c r="L1441" s="130" t="s">
        <v>1987</v>
      </c>
      <c r="M1441" s="130" t="s">
        <v>1925</v>
      </c>
      <c r="N1441" s="130" t="s">
        <v>152</v>
      </c>
      <c r="O1441" s="130" t="s">
        <v>1125</v>
      </c>
      <c r="P1441" s="130" t="s">
        <v>1126</v>
      </c>
      <c r="Q1441" s="130" t="s">
        <v>1127</v>
      </c>
      <c r="R1441" s="130" t="s">
        <v>1380</v>
      </c>
      <c r="S1441" s="130" t="s">
        <v>1988</v>
      </c>
      <c r="T1441" s="130" t="s">
        <v>1130</v>
      </c>
      <c r="U1441" s="130">
        <v>0</v>
      </c>
      <c r="V1441" s="131">
        <v>97000</v>
      </c>
      <c r="W1441" s="131">
        <v>97000</v>
      </c>
      <c r="X1441" s="131">
        <v>96710.2</v>
      </c>
      <c r="Y1441" s="131">
        <v>289.80000000000291</v>
      </c>
      <c r="Z1441" s="131">
        <v>96710.2</v>
      </c>
      <c r="AA1441" s="131">
        <v>289.80000000000291</v>
      </c>
      <c r="AB1441" s="131">
        <v>96710.2</v>
      </c>
      <c r="AC1441" s="131">
        <v>289.80000000000291</v>
      </c>
      <c r="AD1441" s="131">
        <v>96710.2</v>
      </c>
      <c r="AE1441" s="132">
        <v>289.80000000000291</v>
      </c>
    </row>
    <row r="1442" spans="1:31" x14ac:dyDescent="0.2">
      <c r="A1442" s="133">
        <v>241</v>
      </c>
      <c r="B1442" s="133" t="s">
        <v>1986</v>
      </c>
      <c r="C1442" s="133" t="s">
        <v>1114</v>
      </c>
      <c r="D1442" s="133" t="s">
        <v>1954</v>
      </c>
      <c r="E1442" s="133" t="s">
        <v>1143</v>
      </c>
      <c r="F1442" s="133" t="s">
        <v>1117</v>
      </c>
      <c r="G1442" s="133" t="s">
        <v>1118</v>
      </c>
      <c r="H1442" s="133" t="s">
        <v>1149</v>
      </c>
      <c r="I1442" s="133" t="s">
        <v>1182</v>
      </c>
      <c r="J1442" s="130" t="s">
        <v>1942</v>
      </c>
      <c r="K1442" s="130" t="s">
        <v>1943</v>
      </c>
      <c r="L1442" s="130" t="s">
        <v>1987</v>
      </c>
      <c r="M1442" s="130" t="s">
        <v>1925</v>
      </c>
      <c r="N1442" s="130" t="s">
        <v>152</v>
      </c>
      <c r="O1442" s="130" t="s">
        <v>1125</v>
      </c>
      <c r="P1442" s="130" t="s">
        <v>1126</v>
      </c>
      <c r="Q1442" s="130" t="s">
        <v>1127</v>
      </c>
      <c r="R1442" s="130" t="s">
        <v>1380</v>
      </c>
      <c r="S1442" s="130" t="s">
        <v>1988</v>
      </c>
      <c r="T1442" s="130" t="s">
        <v>1130</v>
      </c>
      <c r="U1442" s="130">
        <v>0</v>
      </c>
      <c r="V1442" s="131">
        <v>225233</v>
      </c>
      <c r="W1442" s="131">
        <v>225233</v>
      </c>
      <c r="X1442" s="131">
        <v>225232.38</v>
      </c>
      <c r="Y1442" s="131">
        <v>0.61999999999534339</v>
      </c>
      <c r="Z1442" s="131">
        <v>13745</v>
      </c>
      <c r="AA1442" s="131">
        <v>211488</v>
      </c>
      <c r="AB1442" s="131">
        <v>13745</v>
      </c>
      <c r="AC1442" s="131">
        <v>211488</v>
      </c>
      <c r="AD1442" s="131">
        <v>13745</v>
      </c>
      <c r="AE1442" s="132">
        <v>211488</v>
      </c>
    </row>
    <row r="1443" spans="1:31" x14ac:dyDescent="0.2">
      <c r="A1443" s="133">
        <v>241</v>
      </c>
      <c r="B1443" s="133" t="s">
        <v>1986</v>
      </c>
      <c r="C1443" s="133" t="s">
        <v>1114</v>
      </c>
      <c r="D1443" s="133" t="s">
        <v>1954</v>
      </c>
      <c r="E1443" s="133" t="s">
        <v>1143</v>
      </c>
      <c r="F1443" s="133" t="s">
        <v>1117</v>
      </c>
      <c r="G1443" s="133" t="s">
        <v>1118</v>
      </c>
      <c r="H1443" s="133" t="s">
        <v>1149</v>
      </c>
      <c r="I1443" s="133" t="s">
        <v>1182</v>
      </c>
      <c r="J1443" s="133" t="s">
        <v>1942</v>
      </c>
      <c r="K1443" s="130" t="s">
        <v>1944</v>
      </c>
      <c r="L1443" s="130" t="s">
        <v>1987</v>
      </c>
      <c r="M1443" s="130" t="s">
        <v>1925</v>
      </c>
      <c r="N1443" s="130" t="s">
        <v>152</v>
      </c>
      <c r="O1443" s="130" t="s">
        <v>1125</v>
      </c>
      <c r="P1443" s="130" t="s">
        <v>1126</v>
      </c>
      <c r="Q1443" s="130" t="s">
        <v>1127</v>
      </c>
      <c r="R1443" s="130" t="s">
        <v>1380</v>
      </c>
      <c r="S1443" s="130" t="s">
        <v>1988</v>
      </c>
      <c r="T1443" s="130" t="s">
        <v>1130</v>
      </c>
      <c r="U1443" s="130">
        <v>0</v>
      </c>
      <c r="V1443" s="131">
        <v>157406</v>
      </c>
      <c r="W1443" s="131">
        <v>157406</v>
      </c>
      <c r="X1443" s="131">
        <v>157406</v>
      </c>
      <c r="Y1443" s="131">
        <v>0</v>
      </c>
      <c r="Z1443" s="131">
        <v>43961</v>
      </c>
      <c r="AA1443" s="131">
        <v>113445</v>
      </c>
      <c r="AB1443" s="131">
        <v>43961</v>
      </c>
      <c r="AC1443" s="131">
        <v>113445</v>
      </c>
      <c r="AD1443" s="131">
        <v>43961</v>
      </c>
      <c r="AE1443" s="132">
        <v>113445</v>
      </c>
    </row>
    <row r="1444" spans="1:31" x14ac:dyDescent="0.2">
      <c r="A1444" s="133">
        <v>241</v>
      </c>
      <c r="B1444" s="133" t="s">
        <v>1986</v>
      </c>
      <c r="C1444" s="133" t="s">
        <v>1114</v>
      </c>
      <c r="D1444" s="133" t="s">
        <v>1954</v>
      </c>
      <c r="E1444" s="133" t="s">
        <v>1143</v>
      </c>
      <c r="F1444" s="133" t="s">
        <v>1117</v>
      </c>
      <c r="G1444" s="133" t="s">
        <v>1118</v>
      </c>
      <c r="H1444" s="130" t="s">
        <v>1133</v>
      </c>
      <c r="I1444" s="130" t="s">
        <v>1134</v>
      </c>
      <c r="J1444" s="130" t="s">
        <v>1135</v>
      </c>
      <c r="K1444" s="130" t="s">
        <v>1178</v>
      </c>
      <c r="L1444" s="130" t="s">
        <v>1987</v>
      </c>
      <c r="M1444" s="130" t="s">
        <v>1925</v>
      </c>
      <c r="N1444" s="130" t="s">
        <v>152</v>
      </c>
      <c r="O1444" s="130" t="s">
        <v>1125</v>
      </c>
      <c r="P1444" s="130" t="s">
        <v>1126</v>
      </c>
      <c r="Q1444" s="130" t="s">
        <v>1127</v>
      </c>
      <c r="R1444" s="130" t="s">
        <v>1380</v>
      </c>
      <c r="S1444" s="130" t="s">
        <v>1988</v>
      </c>
      <c r="T1444" s="130" t="s">
        <v>1130</v>
      </c>
      <c r="U1444" s="130">
        <v>0</v>
      </c>
      <c r="V1444" s="131">
        <v>80000</v>
      </c>
      <c r="W1444" s="131">
        <v>80000</v>
      </c>
      <c r="X1444" s="131">
        <v>80000</v>
      </c>
      <c r="Y1444" s="131">
        <v>0</v>
      </c>
      <c r="Z1444" s="131">
        <v>80000</v>
      </c>
      <c r="AA1444" s="131">
        <v>0</v>
      </c>
      <c r="AB1444" s="131">
        <v>54377.41</v>
      </c>
      <c r="AC1444" s="131">
        <v>25622.589999999997</v>
      </c>
      <c r="AD1444" s="131">
        <v>54377.41</v>
      </c>
      <c r="AE1444" s="132">
        <v>25622.589999999997</v>
      </c>
    </row>
    <row r="1445" spans="1:31" x14ac:dyDescent="0.2">
      <c r="A1445" s="133">
        <v>241</v>
      </c>
      <c r="B1445" s="133" t="s">
        <v>1986</v>
      </c>
      <c r="C1445" s="133" t="s">
        <v>1114</v>
      </c>
      <c r="D1445" s="133" t="s">
        <v>1954</v>
      </c>
      <c r="E1445" s="133" t="s">
        <v>1143</v>
      </c>
      <c r="F1445" s="133" t="s">
        <v>1117</v>
      </c>
      <c r="G1445" s="133" t="s">
        <v>1118</v>
      </c>
      <c r="H1445" s="133" t="s">
        <v>1133</v>
      </c>
      <c r="I1445" s="133" t="s">
        <v>1134</v>
      </c>
      <c r="J1445" s="133" t="s">
        <v>1135</v>
      </c>
      <c r="K1445" s="130" t="s">
        <v>1179</v>
      </c>
      <c r="L1445" s="130" t="s">
        <v>1987</v>
      </c>
      <c r="M1445" s="130" t="s">
        <v>1925</v>
      </c>
      <c r="N1445" s="130" t="s">
        <v>152</v>
      </c>
      <c r="O1445" s="130" t="s">
        <v>1125</v>
      </c>
      <c r="P1445" s="130" t="s">
        <v>1126</v>
      </c>
      <c r="Q1445" s="130" t="s">
        <v>1127</v>
      </c>
      <c r="R1445" s="130" t="s">
        <v>1380</v>
      </c>
      <c r="S1445" s="130" t="s">
        <v>1988</v>
      </c>
      <c r="T1445" s="130" t="s">
        <v>1130</v>
      </c>
      <c r="U1445" s="130">
        <v>0</v>
      </c>
      <c r="V1445" s="131">
        <v>10000</v>
      </c>
      <c r="W1445" s="131">
        <v>10000</v>
      </c>
      <c r="X1445" s="131">
        <v>2788.42</v>
      </c>
      <c r="Y1445" s="131">
        <v>7211.58</v>
      </c>
      <c r="Z1445" s="131">
        <v>2788.42</v>
      </c>
      <c r="AA1445" s="131">
        <v>7211.58</v>
      </c>
      <c r="AB1445" s="131">
        <v>2788.42</v>
      </c>
      <c r="AC1445" s="131">
        <v>7211.58</v>
      </c>
      <c r="AD1445" s="131">
        <v>2523.5</v>
      </c>
      <c r="AE1445" s="132">
        <v>7476.5</v>
      </c>
    </row>
    <row r="1446" spans="1:31" x14ac:dyDescent="0.2">
      <c r="A1446" s="133">
        <v>241</v>
      </c>
      <c r="B1446" s="133" t="s">
        <v>1986</v>
      </c>
      <c r="C1446" s="133" t="s">
        <v>1114</v>
      </c>
      <c r="D1446" s="133" t="s">
        <v>1954</v>
      </c>
      <c r="E1446" s="133" t="s">
        <v>1143</v>
      </c>
      <c r="F1446" s="133" t="s">
        <v>1117</v>
      </c>
      <c r="G1446" s="133" t="s">
        <v>1118</v>
      </c>
      <c r="H1446" s="133" t="s">
        <v>1133</v>
      </c>
      <c r="I1446" s="133" t="s">
        <v>1134</v>
      </c>
      <c r="J1446" s="133" t="s">
        <v>1135</v>
      </c>
      <c r="K1446" s="130" t="s">
        <v>1144</v>
      </c>
      <c r="L1446" s="130" t="s">
        <v>1987</v>
      </c>
      <c r="M1446" s="130" t="s">
        <v>1925</v>
      </c>
      <c r="N1446" s="130" t="s">
        <v>152</v>
      </c>
      <c r="O1446" s="130" t="s">
        <v>1125</v>
      </c>
      <c r="P1446" s="130" t="s">
        <v>1126</v>
      </c>
      <c r="Q1446" s="130" t="s">
        <v>1127</v>
      </c>
      <c r="R1446" s="130" t="s">
        <v>1380</v>
      </c>
      <c r="S1446" s="130" t="s">
        <v>1988</v>
      </c>
      <c r="T1446" s="130" t="s">
        <v>1130</v>
      </c>
      <c r="U1446" s="130">
        <v>0</v>
      </c>
      <c r="V1446" s="131">
        <v>12702</v>
      </c>
      <c r="W1446" s="131">
        <v>12702</v>
      </c>
      <c r="X1446" s="131">
        <v>1500</v>
      </c>
      <c r="Y1446" s="131">
        <v>11202</v>
      </c>
      <c r="Z1446" s="131">
        <v>1500</v>
      </c>
      <c r="AA1446" s="131">
        <v>11202</v>
      </c>
      <c r="AB1446" s="131">
        <v>1500</v>
      </c>
      <c r="AC1446" s="131">
        <v>11202</v>
      </c>
      <c r="AD1446" s="131">
        <v>0</v>
      </c>
      <c r="AE1446" s="132">
        <v>12702</v>
      </c>
    </row>
    <row r="1447" spans="1:31" x14ac:dyDescent="0.2">
      <c r="A1447" s="130">
        <v>242</v>
      </c>
      <c r="B1447" s="130" t="s">
        <v>163</v>
      </c>
      <c r="C1447" s="130" t="s">
        <v>1114</v>
      </c>
      <c r="D1447" s="130" t="s">
        <v>1954</v>
      </c>
      <c r="E1447" s="130" t="s">
        <v>1116</v>
      </c>
      <c r="F1447" s="130" t="s">
        <v>1117</v>
      </c>
      <c r="G1447" s="130" t="s">
        <v>1118</v>
      </c>
      <c r="H1447" s="130" t="s">
        <v>1119</v>
      </c>
      <c r="I1447" s="130" t="s">
        <v>1120</v>
      </c>
      <c r="J1447" s="130" t="s">
        <v>1121</v>
      </c>
      <c r="K1447" s="130" t="s">
        <v>1122</v>
      </c>
      <c r="L1447" s="130" t="s">
        <v>1989</v>
      </c>
      <c r="M1447" s="130" t="s">
        <v>1925</v>
      </c>
      <c r="N1447" s="130" t="s">
        <v>152</v>
      </c>
      <c r="O1447" s="130" t="s">
        <v>1125</v>
      </c>
      <c r="P1447" s="130" t="s">
        <v>1126</v>
      </c>
      <c r="Q1447" s="130" t="s">
        <v>1127</v>
      </c>
      <c r="R1447" s="130" t="s">
        <v>1499</v>
      </c>
      <c r="S1447" s="130" t="s">
        <v>1500</v>
      </c>
      <c r="T1447" s="130" t="s">
        <v>1130</v>
      </c>
      <c r="U1447" s="130">
        <v>9468125</v>
      </c>
      <c r="V1447" s="131">
        <v>-9468125</v>
      </c>
      <c r="W1447" s="131">
        <v>0</v>
      </c>
      <c r="X1447" s="131">
        <v>0</v>
      </c>
      <c r="Y1447" s="131">
        <v>0</v>
      </c>
      <c r="Z1447" s="131">
        <v>0</v>
      </c>
      <c r="AA1447" s="131">
        <v>0</v>
      </c>
      <c r="AB1447" s="131">
        <v>0</v>
      </c>
      <c r="AC1447" s="131">
        <v>0</v>
      </c>
      <c r="AD1447" s="131">
        <v>0</v>
      </c>
      <c r="AE1447" s="132">
        <v>0</v>
      </c>
    </row>
    <row r="1448" spans="1:31" x14ac:dyDescent="0.2">
      <c r="A1448" s="133">
        <v>242</v>
      </c>
      <c r="B1448" s="133" t="s">
        <v>163</v>
      </c>
      <c r="C1448" s="133" t="s">
        <v>1114</v>
      </c>
      <c r="D1448" s="133" t="s">
        <v>1954</v>
      </c>
      <c r="E1448" s="133" t="s">
        <v>1116</v>
      </c>
      <c r="F1448" s="133" t="s">
        <v>1117</v>
      </c>
      <c r="G1448" s="133" t="s">
        <v>1118</v>
      </c>
      <c r="H1448" s="133" t="s">
        <v>1119</v>
      </c>
      <c r="I1448" s="133" t="s">
        <v>1120</v>
      </c>
      <c r="J1448" s="133" t="s">
        <v>1121</v>
      </c>
      <c r="K1448" s="130" t="s">
        <v>1131</v>
      </c>
      <c r="L1448" s="130" t="s">
        <v>1989</v>
      </c>
      <c r="M1448" s="130" t="s">
        <v>1925</v>
      </c>
      <c r="N1448" s="130" t="s">
        <v>152</v>
      </c>
      <c r="O1448" s="130" t="s">
        <v>1125</v>
      </c>
      <c r="P1448" s="130" t="s">
        <v>1126</v>
      </c>
      <c r="Q1448" s="130" t="s">
        <v>1127</v>
      </c>
      <c r="R1448" s="130" t="s">
        <v>1499</v>
      </c>
      <c r="S1448" s="130" t="s">
        <v>1500</v>
      </c>
      <c r="T1448" s="130" t="s">
        <v>1130</v>
      </c>
      <c r="U1448" s="130">
        <v>0</v>
      </c>
      <c r="V1448" s="131">
        <v>2035080</v>
      </c>
      <c r="W1448" s="131">
        <v>2035080</v>
      </c>
      <c r="X1448" s="131">
        <v>2035080</v>
      </c>
      <c r="Y1448" s="131">
        <v>0</v>
      </c>
      <c r="Z1448" s="131">
        <v>2035080</v>
      </c>
      <c r="AA1448" s="131">
        <v>0</v>
      </c>
      <c r="AB1448" s="131">
        <v>1077670.42</v>
      </c>
      <c r="AC1448" s="131">
        <v>957409.58000000007</v>
      </c>
      <c r="AD1448" s="131">
        <v>1077670.42</v>
      </c>
      <c r="AE1448" s="132">
        <v>957409.58000000007</v>
      </c>
    </row>
    <row r="1449" spans="1:31" x14ac:dyDescent="0.2">
      <c r="A1449" s="133">
        <v>242</v>
      </c>
      <c r="B1449" s="133" t="s">
        <v>163</v>
      </c>
      <c r="C1449" s="133" t="s">
        <v>1114</v>
      </c>
      <c r="D1449" s="133" t="s">
        <v>1954</v>
      </c>
      <c r="E1449" s="133" t="s">
        <v>1116</v>
      </c>
      <c r="F1449" s="133" t="s">
        <v>1117</v>
      </c>
      <c r="G1449" s="133" t="s">
        <v>1118</v>
      </c>
      <c r="H1449" s="133" t="s">
        <v>1119</v>
      </c>
      <c r="I1449" s="133" t="s">
        <v>1120</v>
      </c>
      <c r="J1449" s="133" t="s">
        <v>1121</v>
      </c>
      <c r="K1449" s="130" t="s">
        <v>1177</v>
      </c>
      <c r="L1449" s="130" t="s">
        <v>1989</v>
      </c>
      <c r="M1449" s="130" t="s">
        <v>1925</v>
      </c>
      <c r="N1449" s="130" t="s">
        <v>152</v>
      </c>
      <c r="O1449" s="130" t="s">
        <v>1125</v>
      </c>
      <c r="P1449" s="130" t="s">
        <v>1126</v>
      </c>
      <c r="Q1449" s="130" t="s">
        <v>1127</v>
      </c>
      <c r="R1449" s="130" t="s">
        <v>1499</v>
      </c>
      <c r="S1449" s="130" t="s">
        <v>1500</v>
      </c>
      <c r="T1449" s="130" t="s">
        <v>1130</v>
      </c>
      <c r="U1449" s="130">
        <v>0</v>
      </c>
      <c r="V1449" s="131">
        <v>3744467</v>
      </c>
      <c r="W1449" s="131">
        <v>3744467</v>
      </c>
      <c r="X1449" s="131">
        <v>1823033.22</v>
      </c>
      <c r="Y1449" s="131">
        <v>1921433.78</v>
      </c>
      <c r="Z1449" s="131">
        <v>609494.03</v>
      </c>
      <c r="AA1449" s="131">
        <v>3134972.9699999997</v>
      </c>
      <c r="AB1449" s="131">
        <v>609494.03</v>
      </c>
      <c r="AC1449" s="131">
        <v>3134972.9699999997</v>
      </c>
      <c r="AD1449" s="131">
        <v>500067.5</v>
      </c>
      <c r="AE1449" s="132">
        <v>3244399.5</v>
      </c>
    </row>
    <row r="1450" spans="1:31" x14ac:dyDescent="0.2">
      <c r="A1450" s="133">
        <v>242</v>
      </c>
      <c r="B1450" s="133" t="s">
        <v>163</v>
      </c>
      <c r="C1450" s="133" t="s">
        <v>1114</v>
      </c>
      <c r="D1450" s="133" t="s">
        <v>1954</v>
      </c>
      <c r="E1450" s="133" t="s">
        <v>1116</v>
      </c>
      <c r="F1450" s="133" t="s">
        <v>1117</v>
      </c>
      <c r="G1450" s="133" t="s">
        <v>1118</v>
      </c>
      <c r="H1450" s="133" t="s">
        <v>1119</v>
      </c>
      <c r="I1450" s="133" t="s">
        <v>1120</v>
      </c>
      <c r="J1450" s="133" t="s">
        <v>1121</v>
      </c>
      <c r="K1450" s="130" t="s">
        <v>1132</v>
      </c>
      <c r="L1450" s="130" t="s">
        <v>1989</v>
      </c>
      <c r="M1450" s="130" t="s">
        <v>1925</v>
      </c>
      <c r="N1450" s="130" t="s">
        <v>152</v>
      </c>
      <c r="O1450" s="130" t="s">
        <v>1125</v>
      </c>
      <c r="P1450" s="130" t="s">
        <v>1126</v>
      </c>
      <c r="Q1450" s="130" t="s">
        <v>1127</v>
      </c>
      <c r="R1450" s="130" t="s">
        <v>1499</v>
      </c>
      <c r="S1450" s="130" t="s">
        <v>1500</v>
      </c>
      <c r="T1450" s="130" t="s">
        <v>1130</v>
      </c>
      <c r="U1450" s="130">
        <v>0</v>
      </c>
      <c r="V1450" s="131">
        <v>841756</v>
      </c>
      <c r="W1450" s="131">
        <v>841756</v>
      </c>
      <c r="X1450" s="131">
        <v>94968.320000000007</v>
      </c>
      <c r="Y1450" s="131">
        <v>746787.67999999993</v>
      </c>
      <c r="Z1450" s="131">
        <v>94968.320000000007</v>
      </c>
      <c r="AA1450" s="131">
        <v>746787.67999999993</v>
      </c>
      <c r="AB1450" s="131">
        <v>94968.320000000007</v>
      </c>
      <c r="AC1450" s="131">
        <v>746787.67999999993</v>
      </c>
      <c r="AD1450" s="131">
        <v>21770.32</v>
      </c>
      <c r="AE1450" s="132">
        <v>819985.68</v>
      </c>
    </row>
    <row r="1451" spans="1:31" x14ac:dyDescent="0.2">
      <c r="A1451" s="133">
        <v>242</v>
      </c>
      <c r="B1451" s="133" t="s">
        <v>163</v>
      </c>
      <c r="C1451" s="133" t="s">
        <v>1114</v>
      </c>
      <c r="D1451" s="133" t="s">
        <v>1954</v>
      </c>
      <c r="E1451" s="133" t="s">
        <v>1116</v>
      </c>
      <c r="F1451" s="133" t="s">
        <v>1117</v>
      </c>
      <c r="G1451" s="133" t="s">
        <v>1118</v>
      </c>
      <c r="H1451" s="130" t="s">
        <v>1149</v>
      </c>
      <c r="I1451" s="130" t="s">
        <v>1150</v>
      </c>
      <c r="J1451" s="130" t="s">
        <v>1150</v>
      </c>
      <c r="K1451" s="130" t="s">
        <v>1151</v>
      </c>
      <c r="L1451" s="130" t="s">
        <v>1989</v>
      </c>
      <c r="M1451" s="130" t="s">
        <v>1925</v>
      </c>
      <c r="N1451" s="130" t="s">
        <v>152</v>
      </c>
      <c r="O1451" s="130" t="s">
        <v>1125</v>
      </c>
      <c r="P1451" s="130" t="s">
        <v>1126</v>
      </c>
      <c r="Q1451" s="130" t="s">
        <v>1127</v>
      </c>
      <c r="R1451" s="130" t="s">
        <v>1499</v>
      </c>
      <c r="S1451" s="130" t="s">
        <v>1500</v>
      </c>
      <c r="T1451" s="130" t="s">
        <v>1130</v>
      </c>
      <c r="U1451" s="130">
        <v>0</v>
      </c>
      <c r="V1451" s="131">
        <v>576174</v>
      </c>
      <c r="W1451" s="131">
        <v>576174</v>
      </c>
      <c r="X1451" s="131">
        <v>0</v>
      </c>
      <c r="Y1451" s="131">
        <v>576174</v>
      </c>
      <c r="Z1451" s="131">
        <v>0</v>
      </c>
      <c r="AA1451" s="131">
        <v>576174</v>
      </c>
      <c r="AB1451" s="131">
        <v>0</v>
      </c>
      <c r="AC1451" s="131">
        <v>576174</v>
      </c>
      <c r="AD1451" s="131">
        <v>0</v>
      </c>
      <c r="AE1451" s="132">
        <v>576174</v>
      </c>
    </row>
    <row r="1452" spans="1:31" x14ac:dyDescent="0.2">
      <c r="A1452" s="133">
        <v>242</v>
      </c>
      <c r="B1452" s="133" t="s">
        <v>163</v>
      </c>
      <c r="C1452" s="133" t="s">
        <v>1114</v>
      </c>
      <c r="D1452" s="133" t="s">
        <v>1954</v>
      </c>
      <c r="E1452" s="133" t="s">
        <v>1116</v>
      </c>
      <c r="F1452" s="133" t="s">
        <v>1117</v>
      </c>
      <c r="G1452" s="133" t="s">
        <v>1118</v>
      </c>
      <c r="H1452" s="133" t="s">
        <v>1149</v>
      </c>
      <c r="I1452" s="130" t="s">
        <v>1182</v>
      </c>
      <c r="J1452" s="130" t="s">
        <v>1377</v>
      </c>
      <c r="K1452" s="130" t="s">
        <v>1378</v>
      </c>
      <c r="L1452" s="130" t="s">
        <v>1989</v>
      </c>
      <c r="M1452" s="130" t="s">
        <v>1925</v>
      </c>
      <c r="N1452" s="130" t="s">
        <v>152</v>
      </c>
      <c r="O1452" s="130" t="s">
        <v>1125</v>
      </c>
      <c r="P1452" s="130" t="s">
        <v>1126</v>
      </c>
      <c r="Q1452" s="130" t="s">
        <v>1127</v>
      </c>
      <c r="R1452" s="130" t="s">
        <v>1499</v>
      </c>
      <c r="S1452" s="130" t="s">
        <v>1500</v>
      </c>
      <c r="T1452" s="130" t="s">
        <v>1130</v>
      </c>
      <c r="U1452" s="130">
        <v>0</v>
      </c>
      <c r="V1452" s="131">
        <v>269312</v>
      </c>
      <c r="W1452" s="131">
        <v>269312</v>
      </c>
      <c r="X1452" s="131">
        <v>0</v>
      </c>
      <c r="Y1452" s="131">
        <v>269312</v>
      </c>
      <c r="Z1452" s="131">
        <v>0</v>
      </c>
      <c r="AA1452" s="131">
        <v>269312</v>
      </c>
      <c r="AB1452" s="131">
        <v>0</v>
      </c>
      <c r="AC1452" s="131">
        <v>269312</v>
      </c>
      <c r="AD1452" s="131">
        <v>0</v>
      </c>
      <c r="AE1452" s="132">
        <v>269312</v>
      </c>
    </row>
    <row r="1453" spans="1:31" x14ac:dyDescent="0.2">
      <c r="A1453" s="133">
        <v>242</v>
      </c>
      <c r="B1453" s="133" t="s">
        <v>163</v>
      </c>
      <c r="C1453" s="133" t="s">
        <v>1114</v>
      </c>
      <c r="D1453" s="133" t="s">
        <v>1954</v>
      </c>
      <c r="E1453" s="133" t="s">
        <v>1116</v>
      </c>
      <c r="F1453" s="133" t="s">
        <v>1117</v>
      </c>
      <c r="G1453" s="133" t="s">
        <v>1118</v>
      </c>
      <c r="H1453" s="133" t="s">
        <v>1149</v>
      </c>
      <c r="I1453" s="133" t="s">
        <v>1182</v>
      </c>
      <c r="J1453" s="130" t="s">
        <v>1347</v>
      </c>
      <c r="K1453" s="130" t="s">
        <v>1348</v>
      </c>
      <c r="L1453" s="130" t="s">
        <v>1989</v>
      </c>
      <c r="M1453" s="130" t="s">
        <v>1925</v>
      </c>
      <c r="N1453" s="130" t="s">
        <v>152</v>
      </c>
      <c r="O1453" s="130" t="s">
        <v>1125</v>
      </c>
      <c r="P1453" s="130" t="s">
        <v>1126</v>
      </c>
      <c r="Q1453" s="130" t="s">
        <v>1127</v>
      </c>
      <c r="R1453" s="130" t="s">
        <v>1499</v>
      </c>
      <c r="S1453" s="130" t="s">
        <v>1500</v>
      </c>
      <c r="T1453" s="130" t="s">
        <v>1130</v>
      </c>
      <c r="U1453" s="130">
        <v>0</v>
      </c>
      <c r="V1453" s="131">
        <v>1250</v>
      </c>
      <c r="W1453" s="131">
        <v>1250</v>
      </c>
      <c r="X1453" s="131">
        <v>1250</v>
      </c>
      <c r="Y1453" s="131">
        <v>0</v>
      </c>
      <c r="Z1453" s="131">
        <v>1250</v>
      </c>
      <c r="AA1453" s="131">
        <v>0</v>
      </c>
      <c r="AB1453" s="131">
        <v>1250</v>
      </c>
      <c r="AC1453" s="131">
        <v>0</v>
      </c>
      <c r="AD1453" s="131">
        <v>1250</v>
      </c>
      <c r="AE1453" s="132">
        <v>0</v>
      </c>
    </row>
    <row r="1454" spans="1:31" x14ac:dyDescent="0.2">
      <c r="A1454" s="133">
        <v>242</v>
      </c>
      <c r="B1454" s="133" t="s">
        <v>163</v>
      </c>
      <c r="C1454" s="133" t="s">
        <v>1114</v>
      </c>
      <c r="D1454" s="133" t="s">
        <v>1954</v>
      </c>
      <c r="E1454" s="133" t="s">
        <v>1116</v>
      </c>
      <c r="F1454" s="133" t="s">
        <v>1117</v>
      </c>
      <c r="G1454" s="133" t="s">
        <v>1118</v>
      </c>
      <c r="H1454" s="133" t="s">
        <v>1149</v>
      </c>
      <c r="I1454" s="133" t="s">
        <v>1182</v>
      </c>
      <c r="J1454" s="130" t="s">
        <v>1942</v>
      </c>
      <c r="K1454" s="130" t="s">
        <v>1943</v>
      </c>
      <c r="L1454" s="130" t="s">
        <v>1989</v>
      </c>
      <c r="M1454" s="130" t="s">
        <v>1925</v>
      </c>
      <c r="N1454" s="130" t="s">
        <v>152</v>
      </c>
      <c r="O1454" s="130" t="s">
        <v>1125</v>
      </c>
      <c r="P1454" s="130" t="s">
        <v>1126</v>
      </c>
      <c r="Q1454" s="130" t="s">
        <v>1127</v>
      </c>
      <c r="R1454" s="130" t="s">
        <v>1499</v>
      </c>
      <c r="S1454" s="130" t="s">
        <v>1500</v>
      </c>
      <c r="T1454" s="130" t="s">
        <v>1130</v>
      </c>
      <c r="U1454" s="130">
        <v>0</v>
      </c>
      <c r="V1454" s="131">
        <v>650000</v>
      </c>
      <c r="W1454" s="131">
        <v>650000</v>
      </c>
      <c r="X1454" s="131">
        <v>0</v>
      </c>
      <c r="Y1454" s="131">
        <v>650000</v>
      </c>
      <c r="Z1454" s="131">
        <v>0</v>
      </c>
      <c r="AA1454" s="131">
        <v>650000</v>
      </c>
      <c r="AB1454" s="131">
        <v>0</v>
      </c>
      <c r="AC1454" s="131">
        <v>650000</v>
      </c>
      <c r="AD1454" s="131">
        <v>0</v>
      </c>
      <c r="AE1454" s="132">
        <v>650000</v>
      </c>
    </row>
    <row r="1455" spans="1:31" x14ac:dyDescent="0.2">
      <c r="A1455" s="133">
        <v>242</v>
      </c>
      <c r="B1455" s="133" t="s">
        <v>163</v>
      </c>
      <c r="C1455" s="133" t="s">
        <v>1114</v>
      </c>
      <c r="D1455" s="133" t="s">
        <v>1954</v>
      </c>
      <c r="E1455" s="133" t="s">
        <v>1116</v>
      </c>
      <c r="F1455" s="133" t="s">
        <v>1117</v>
      </c>
      <c r="G1455" s="133" t="s">
        <v>1118</v>
      </c>
      <c r="H1455" s="133" t="s">
        <v>1149</v>
      </c>
      <c r="I1455" s="133" t="s">
        <v>1182</v>
      </c>
      <c r="J1455" s="133" t="s">
        <v>1942</v>
      </c>
      <c r="K1455" s="130" t="s">
        <v>1944</v>
      </c>
      <c r="L1455" s="130" t="s">
        <v>1989</v>
      </c>
      <c r="M1455" s="130" t="s">
        <v>1925</v>
      </c>
      <c r="N1455" s="130" t="s">
        <v>152</v>
      </c>
      <c r="O1455" s="130" t="s">
        <v>1125</v>
      </c>
      <c r="P1455" s="130" t="s">
        <v>1126</v>
      </c>
      <c r="Q1455" s="130" t="s">
        <v>1127</v>
      </c>
      <c r="R1455" s="130" t="s">
        <v>1499</v>
      </c>
      <c r="S1455" s="130" t="s">
        <v>1500</v>
      </c>
      <c r="T1455" s="130" t="s">
        <v>1130</v>
      </c>
      <c r="U1455" s="130">
        <v>0</v>
      </c>
      <c r="V1455" s="131">
        <v>564966</v>
      </c>
      <c r="W1455" s="131">
        <v>564966</v>
      </c>
      <c r="X1455" s="131">
        <v>0</v>
      </c>
      <c r="Y1455" s="131">
        <v>564966</v>
      </c>
      <c r="Z1455" s="131">
        <v>0</v>
      </c>
      <c r="AA1455" s="131">
        <v>564966</v>
      </c>
      <c r="AB1455" s="131">
        <v>0</v>
      </c>
      <c r="AC1455" s="131">
        <v>564966</v>
      </c>
      <c r="AD1455" s="131">
        <v>0</v>
      </c>
      <c r="AE1455" s="132">
        <v>564966</v>
      </c>
    </row>
    <row r="1456" spans="1:31" x14ac:dyDescent="0.2">
      <c r="A1456" s="133">
        <v>242</v>
      </c>
      <c r="B1456" s="133" t="s">
        <v>163</v>
      </c>
      <c r="C1456" s="133" t="s">
        <v>1114</v>
      </c>
      <c r="D1456" s="133" t="s">
        <v>1954</v>
      </c>
      <c r="E1456" s="133" t="s">
        <v>1116</v>
      </c>
      <c r="F1456" s="133" t="s">
        <v>1117</v>
      </c>
      <c r="G1456" s="133" t="s">
        <v>1118</v>
      </c>
      <c r="H1456" s="130" t="s">
        <v>1133</v>
      </c>
      <c r="I1456" s="130" t="s">
        <v>1134</v>
      </c>
      <c r="J1456" s="130" t="s">
        <v>1166</v>
      </c>
      <c r="K1456" s="130" t="s">
        <v>1167</v>
      </c>
      <c r="L1456" s="130" t="s">
        <v>1989</v>
      </c>
      <c r="M1456" s="130" t="s">
        <v>1925</v>
      </c>
      <c r="N1456" s="130" t="s">
        <v>152</v>
      </c>
      <c r="O1456" s="130" t="s">
        <v>1125</v>
      </c>
      <c r="P1456" s="130" t="s">
        <v>1126</v>
      </c>
      <c r="Q1456" s="130" t="s">
        <v>1127</v>
      </c>
      <c r="R1456" s="130" t="s">
        <v>1499</v>
      </c>
      <c r="S1456" s="130" t="s">
        <v>1500</v>
      </c>
      <c r="T1456" s="130" t="s">
        <v>1130</v>
      </c>
      <c r="U1456" s="130">
        <v>0</v>
      </c>
      <c r="V1456" s="131">
        <v>0</v>
      </c>
      <c r="W1456" s="131">
        <v>0</v>
      </c>
      <c r="X1456" s="131">
        <v>0</v>
      </c>
      <c r="Y1456" s="131">
        <v>0</v>
      </c>
      <c r="Z1456" s="131">
        <v>0</v>
      </c>
      <c r="AA1456" s="131">
        <v>0</v>
      </c>
      <c r="AB1456" s="131">
        <v>0</v>
      </c>
      <c r="AC1456" s="131">
        <v>0</v>
      </c>
      <c r="AD1456" s="131">
        <v>0</v>
      </c>
      <c r="AE1456" s="132">
        <v>0</v>
      </c>
    </row>
    <row r="1457" spans="1:31" x14ac:dyDescent="0.2">
      <c r="A1457" s="133">
        <v>242</v>
      </c>
      <c r="B1457" s="133" t="s">
        <v>163</v>
      </c>
      <c r="C1457" s="133" t="s">
        <v>1114</v>
      </c>
      <c r="D1457" s="133" t="s">
        <v>1954</v>
      </c>
      <c r="E1457" s="133" t="s">
        <v>1116</v>
      </c>
      <c r="F1457" s="133" t="s">
        <v>1117</v>
      </c>
      <c r="G1457" s="133" t="s">
        <v>1118</v>
      </c>
      <c r="H1457" s="133" t="s">
        <v>1133</v>
      </c>
      <c r="I1457" s="133" t="s">
        <v>1134</v>
      </c>
      <c r="J1457" s="130" t="s">
        <v>1135</v>
      </c>
      <c r="K1457" s="130" t="s">
        <v>1178</v>
      </c>
      <c r="L1457" s="130" t="s">
        <v>1989</v>
      </c>
      <c r="M1457" s="130" t="s">
        <v>1925</v>
      </c>
      <c r="N1457" s="130" t="s">
        <v>152</v>
      </c>
      <c r="O1457" s="130" t="s">
        <v>1125</v>
      </c>
      <c r="P1457" s="130" t="s">
        <v>1126</v>
      </c>
      <c r="Q1457" s="130" t="s">
        <v>1127</v>
      </c>
      <c r="R1457" s="130" t="s">
        <v>1499</v>
      </c>
      <c r="S1457" s="130" t="s">
        <v>1500</v>
      </c>
      <c r="T1457" s="130" t="s">
        <v>1130</v>
      </c>
      <c r="U1457" s="130">
        <v>0</v>
      </c>
      <c r="V1457" s="131">
        <v>540489</v>
      </c>
      <c r="W1457" s="131">
        <v>540489</v>
      </c>
      <c r="X1457" s="131">
        <v>261000</v>
      </c>
      <c r="Y1457" s="131">
        <v>279489</v>
      </c>
      <c r="Z1457" s="131">
        <v>232000</v>
      </c>
      <c r="AA1457" s="131">
        <v>308489</v>
      </c>
      <c r="AB1457" s="131">
        <v>112347.06</v>
      </c>
      <c r="AC1457" s="131">
        <v>428141.94</v>
      </c>
      <c r="AD1457" s="131">
        <v>112347.06</v>
      </c>
      <c r="AE1457" s="132">
        <v>428141.94</v>
      </c>
    </row>
    <row r="1458" spans="1:31" x14ac:dyDescent="0.2">
      <c r="A1458" s="133">
        <v>242</v>
      </c>
      <c r="B1458" s="133" t="s">
        <v>163</v>
      </c>
      <c r="C1458" s="133" t="s">
        <v>1114</v>
      </c>
      <c r="D1458" s="133" t="s">
        <v>1954</v>
      </c>
      <c r="E1458" s="133" t="s">
        <v>1116</v>
      </c>
      <c r="F1458" s="133" t="s">
        <v>1117</v>
      </c>
      <c r="G1458" s="133" t="s">
        <v>1118</v>
      </c>
      <c r="H1458" s="133" t="s">
        <v>1133</v>
      </c>
      <c r="I1458" s="133" t="s">
        <v>1134</v>
      </c>
      <c r="J1458" s="133" t="s">
        <v>1135</v>
      </c>
      <c r="K1458" s="130" t="s">
        <v>1179</v>
      </c>
      <c r="L1458" s="130" t="s">
        <v>1989</v>
      </c>
      <c r="M1458" s="130" t="s">
        <v>1925</v>
      </c>
      <c r="N1458" s="130" t="s">
        <v>152</v>
      </c>
      <c r="O1458" s="130" t="s">
        <v>1125</v>
      </c>
      <c r="P1458" s="130" t="s">
        <v>1126</v>
      </c>
      <c r="Q1458" s="130" t="s">
        <v>1127</v>
      </c>
      <c r="R1458" s="130" t="s">
        <v>1499</v>
      </c>
      <c r="S1458" s="130" t="s">
        <v>1500</v>
      </c>
      <c r="T1458" s="130" t="s">
        <v>1130</v>
      </c>
      <c r="U1458" s="130">
        <v>0</v>
      </c>
      <c r="V1458" s="131">
        <v>127353</v>
      </c>
      <c r="W1458" s="131">
        <v>127353</v>
      </c>
      <c r="X1458" s="131">
        <v>29077.1</v>
      </c>
      <c r="Y1458" s="131">
        <v>98275.9</v>
      </c>
      <c r="Z1458" s="131">
        <v>29077.1</v>
      </c>
      <c r="AA1458" s="131">
        <v>98275.9</v>
      </c>
      <c r="AB1458" s="131">
        <v>29077.1</v>
      </c>
      <c r="AC1458" s="131">
        <v>98275.9</v>
      </c>
      <c r="AD1458" s="131">
        <v>6480</v>
      </c>
      <c r="AE1458" s="132">
        <v>120873</v>
      </c>
    </row>
    <row r="1459" spans="1:31" x14ac:dyDescent="0.2">
      <c r="A1459" s="133">
        <v>242</v>
      </c>
      <c r="B1459" s="133" t="s">
        <v>163</v>
      </c>
      <c r="C1459" s="133" t="s">
        <v>1114</v>
      </c>
      <c r="D1459" s="133" t="s">
        <v>1954</v>
      </c>
      <c r="E1459" s="133" t="s">
        <v>1116</v>
      </c>
      <c r="F1459" s="133" t="s">
        <v>1117</v>
      </c>
      <c r="G1459" s="133" t="s">
        <v>1118</v>
      </c>
      <c r="H1459" s="133" t="s">
        <v>1133</v>
      </c>
      <c r="I1459" s="133" t="s">
        <v>1134</v>
      </c>
      <c r="J1459" s="133" t="s">
        <v>1135</v>
      </c>
      <c r="K1459" s="130" t="s">
        <v>1144</v>
      </c>
      <c r="L1459" s="130" t="s">
        <v>1989</v>
      </c>
      <c r="M1459" s="130" t="s">
        <v>1925</v>
      </c>
      <c r="N1459" s="130" t="s">
        <v>152</v>
      </c>
      <c r="O1459" s="130" t="s">
        <v>1125</v>
      </c>
      <c r="P1459" s="130" t="s">
        <v>1126</v>
      </c>
      <c r="Q1459" s="130" t="s">
        <v>1127</v>
      </c>
      <c r="R1459" s="130" t="s">
        <v>1499</v>
      </c>
      <c r="S1459" s="130" t="s">
        <v>1500</v>
      </c>
      <c r="T1459" s="130" t="s">
        <v>1130</v>
      </c>
      <c r="U1459" s="130">
        <v>0</v>
      </c>
      <c r="V1459" s="131">
        <v>117278</v>
      </c>
      <c r="W1459" s="131">
        <v>117278</v>
      </c>
      <c r="X1459" s="131">
        <v>49080</v>
      </c>
      <c r="Y1459" s="131">
        <v>68198</v>
      </c>
      <c r="Z1459" s="131">
        <v>48517.04</v>
      </c>
      <c r="AA1459" s="131">
        <v>68760.959999999992</v>
      </c>
      <c r="AB1459" s="131">
        <v>48517.04</v>
      </c>
      <c r="AC1459" s="131">
        <v>68760.959999999992</v>
      </c>
      <c r="AD1459" s="131">
        <v>21537.040000000001</v>
      </c>
      <c r="AE1459" s="132">
        <v>95740.959999999992</v>
      </c>
    </row>
    <row r="1460" spans="1:31" x14ac:dyDescent="0.2">
      <c r="A1460" s="130">
        <v>243</v>
      </c>
      <c r="B1460" s="130" t="s">
        <v>1990</v>
      </c>
      <c r="C1460" s="130" t="s">
        <v>1114</v>
      </c>
      <c r="D1460" s="130" t="s">
        <v>1554</v>
      </c>
      <c r="E1460" s="130" t="s">
        <v>1116</v>
      </c>
      <c r="F1460" s="130" t="s">
        <v>1117</v>
      </c>
      <c r="G1460" s="130" t="s">
        <v>1118</v>
      </c>
      <c r="H1460" s="130" t="s">
        <v>1119</v>
      </c>
      <c r="I1460" s="130" t="s">
        <v>1120</v>
      </c>
      <c r="J1460" s="130" t="s">
        <v>1358</v>
      </c>
      <c r="K1460" s="130" t="s">
        <v>1122</v>
      </c>
      <c r="L1460" s="130" t="s">
        <v>1991</v>
      </c>
      <c r="M1460" s="130" t="s">
        <v>1925</v>
      </c>
      <c r="N1460" s="130" t="s">
        <v>168</v>
      </c>
      <c r="O1460" s="130" t="s">
        <v>1551</v>
      </c>
      <c r="P1460" s="130" t="s">
        <v>1552</v>
      </c>
      <c r="Q1460" s="130" t="s">
        <v>1127</v>
      </c>
      <c r="R1460" s="130" t="s">
        <v>1191</v>
      </c>
      <c r="S1460" s="130" t="s">
        <v>1191</v>
      </c>
      <c r="T1460" s="130" t="s">
        <v>1130</v>
      </c>
      <c r="U1460" s="130">
        <v>1000000</v>
      </c>
      <c r="V1460" s="131">
        <v>-1000000</v>
      </c>
      <c r="W1460" s="131">
        <v>0</v>
      </c>
      <c r="X1460" s="131">
        <v>0</v>
      </c>
      <c r="Y1460" s="131">
        <v>0</v>
      </c>
      <c r="Z1460" s="131">
        <v>0</v>
      </c>
      <c r="AA1460" s="131">
        <v>0</v>
      </c>
      <c r="AB1460" s="131">
        <v>0</v>
      </c>
      <c r="AC1460" s="131">
        <v>0</v>
      </c>
      <c r="AD1460" s="131">
        <v>0</v>
      </c>
      <c r="AE1460" s="132">
        <v>0</v>
      </c>
    </row>
    <row r="1461" spans="1:31" x14ac:dyDescent="0.2">
      <c r="A1461" s="130">
        <v>244</v>
      </c>
      <c r="B1461" s="130" t="s">
        <v>164</v>
      </c>
      <c r="C1461" s="130" t="s">
        <v>1114</v>
      </c>
      <c r="D1461" s="130" t="s">
        <v>1954</v>
      </c>
      <c r="E1461" s="130" t="s">
        <v>1116</v>
      </c>
      <c r="F1461" s="130" t="s">
        <v>1117</v>
      </c>
      <c r="G1461" s="130" t="s">
        <v>1118</v>
      </c>
      <c r="H1461" s="130" t="s">
        <v>1119</v>
      </c>
      <c r="I1461" s="130" t="s">
        <v>1120</v>
      </c>
      <c r="J1461" s="130" t="s">
        <v>1121</v>
      </c>
      <c r="K1461" s="130" t="s">
        <v>1122</v>
      </c>
      <c r="L1461" s="130" t="s">
        <v>1992</v>
      </c>
      <c r="M1461" s="130" t="s">
        <v>1925</v>
      </c>
      <c r="N1461" s="130" t="s">
        <v>152</v>
      </c>
      <c r="O1461" s="130" t="s">
        <v>1125</v>
      </c>
      <c r="P1461" s="130" t="s">
        <v>1126</v>
      </c>
      <c r="Q1461" s="130" t="s">
        <v>1127</v>
      </c>
      <c r="R1461" s="130" t="s">
        <v>1140</v>
      </c>
      <c r="S1461" s="130" t="s">
        <v>1386</v>
      </c>
      <c r="T1461" s="130" t="s">
        <v>1130</v>
      </c>
      <c r="U1461" s="130">
        <v>200000</v>
      </c>
      <c r="V1461" s="131">
        <v>-199500</v>
      </c>
      <c r="W1461" s="131">
        <v>500</v>
      </c>
      <c r="X1461" s="131">
        <v>0</v>
      </c>
      <c r="Y1461" s="131">
        <v>500</v>
      </c>
      <c r="Z1461" s="131">
        <v>0</v>
      </c>
      <c r="AA1461" s="131">
        <v>500</v>
      </c>
      <c r="AB1461" s="131">
        <v>0</v>
      </c>
      <c r="AC1461" s="131">
        <v>500</v>
      </c>
      <c r="AD1461" s="131">
        <v>0</v>
      </c>
      <c r="AE1461" s="132">
        <v>500</v>
      </c>
    </row>
    <row r="1462" spans="1:31" x14ac:dyDescent="0.2">
      <c r="A1462" s="133">
        <v>244</v>
      </c>
      <c r="B1462" s="133" t="s">
        <v>164</v>
      </c>
      <c r="C1462" s="133" t="s">
        <v>1114</v>
      </c>
      <c r="D1462" s="133" t="s">
        <v>1954</v>
      </c>
      <c r="E1462" s="133" t="s">
        <v>1116</v>
      </c>
      <c r="F1462" s="133" t="s">
        <v>1117</v>
      </c>
      <c r="G1462" s="133" t="s">
        <v>1118</v>
      </c>
      <c r="H1462" s="130" t="s">
        <v>1133</v>
      </c>
      <c r="I1462" s="130" t="s">
        <v>1134</v>
      </c>
      <c r="J1462" s="130" t="s">
        <v>1166</v>
      </c>
      <c r="K1462" s="130" t="s">
        <v>1167</v>
      </c>
      <c r="L1462" s="130" t="s">
        <v>1992</v>
      </c>
      <c r="M1462" s="130" t="s">
        <v>1925</v>
      </c>
      <c r="N1462" s="130" t="s">
        <v>152</v>
      </c>
      <c r="O1462" s="130" t="s">
        <v>1125</v>
      </c>
      <c r="P1462" s="130" t="s">
        <v>1126</v>
      </c>
      <c r="Q1462" s="130" t="s">
        <v>1127</v>
      </c>
      <c r="R1462" s="130" t="s">
        <v>1140</v>
      </c>
      <c r="S1462" s="130" t="s">
        <v>1386</v>
      </c>
      <c r="T1462" s="130" t="s">
        <v>1130</v>
      </c>
      <c r="U1462" s="130">
        <v>0</v>
      </c>
      <c r="V1462" s="131">
        <v>199500</v>
      </c>
      <c r="W1462" s="131">
        <v>199500</v>
      </c>
      <c r="X1462" s="131">
        <v>50000</v>
      </c>
      <c r="Y1462" s="131">
        <v>149500</v>
      </c>
      <c r="Z1462" s="131">
        <v>0</v>
      </c>
      <c r="AA1462" s="131">
        <v>199500</v>
      </c>
      <c r="AB1462" s="131">
        <v>0</v>
      </c>
      <c r="AC1462" s="131">
        <v>199500</v>
      </c>
      <c r="AD1462" s="131">
        <v>0</v>
      </c>
      <c r="AE1462" s="132">
        <v>199500</v>
      </c>
    </row>
    <row r="1463" spans="1:31" x14ac:dyDescent="0.2">
      <c r="A1463" s="130">
        <v>245</v>
      </c>
      <c r="B1463" s="130" t="s">
        <v>1993</v>
      </c>
      <c r="C1463" s="130" t="s">
        <v>1114</v>
      </c>
      <c r="D1463" s="130" t="s">
        <v>1548</v>
      </c>
      <c r="E1463" s="130" t="s">
        <v>1201</v>
      </c>
      <c r="F1463" s="130" t="s">
        <v>1117</v>
      </c>
      <c r="G1463" s="130" t="s">
        <v>1118</v>
      </c>
      <c r="H1463" s="130" t="s">
        <v>1119</v>
      </c>
      <c r="I1463" s="130" t="s">
        <v>1120</v>
      </c>
      <c r="J1463" s="130" t="s">
        <v>1358</v>
      </c>
      <c r="K1463" s="130" t="s">
        <v>1122</v>
      </c>
      <c r="L1463" s="130" t="s">
        <v>1994</v>
      </c>
      <c r="M1463" s="130" t="s">
        <v>1925</v>
      </c>
      <c r="N1463" s="130" t="s">
        <v>168</v>
      </c>
      <c r="O1463" s="130" t="s">
        <v>1961</v>
      </c>
      <c r="P1463" s="130" t="s">
        <v>1962</v>
      </c>
      <c r="Q1463" s="130" t="s">
        <v>1127</v>
      </c>
      <c r="R1463" s="130" t="s">
        <v>1140</v>
      </c>
      <c r="S1463" s="130" t="s">
        <v>1141</v>
      </c>
      <c r="T1463" s="130" t="s">
        <v>1130</v>
      </c>
      <c r="U1463" s="130">
        <v>1139986</v>
      </c>
      <c r="V1463" s="131">
        <v>-1139986</v>
      </c>
      <c r="W1463" s="131">
        <v>0</v>
      </c>
      <c r="X1463" s="131">
        <v>0</v>
      </c>
      <c r="Y1463" s="131">
        <v>0</v>
      </c>
      <c r="Z1463" s="131">
        <v>0</v>
      </c>
      <c r="AA1463" s="131">
        <v>0</v>
      </c>
      <c r="AB1463" s="131">
        <v>0</v>
      </c>
      <c r="AC1463" s="131">
        <v>0</v>
      </c>
      <c r="AD1463" s="131">
        <v>0</v>
      </c>
      <c r="AE1463" s="132">
        <v>0</v>
      </c>
    </row>
    <row r="1464" spans="1:31" x14ac:dyDescent="0.2">
      <c r="A1464" s="133">
        <v>245</v>
      </c>
      <c r="B1464" s="133" t="s">
        <v>1993</v>
      </c>
      <c r="C1464" s="133" t="s">
        <v>1114</v>
      </c>
      <c r="D1464" s="133" t="s">
        <v>1548</v>
      </c>
      <c r="E1464" s="133" t="s">
        <v>1201</v>
      </c>
      <c r="F1464" s="133" t="s">
        <v>1117</v>
      </c>
      <c r="G1464" s="133" t="s">
        <v>1118</v>
      </c>
      <c r="H1464" s="133" t="s">
        <v>1119</v>
      </c>
      <c r="I1464" s="133" t="s">
        <v>1120</v>
      </c>
      <c r="J1464" s="133" t="s">
        <v>1358</v>
      </c>
      <c r="K1464" s="130" t="s">
        <v>1131</v>
      </c>
      <c r="L1464" s="130" t="s">
        <v>1994</v>
      </c>
      <c r="M1464" s="130" t="s">
        <v>1925</v>
      </c>
      <c r="N1464" s="130" t="s">
        <v>168</v>
      </c>
      <c r="O1464" s="130" t="s">
        <v>1961</v>
      </c>
      <c r="P1464" s="130" t="s">
        <v>1962</v>
      </c>
      <c r="Q1464" s="130" t="s">
        <v>1127</v>
      </c>
      <c r="R1464" s="130" t="s">
        <v>1140</v>
      </c>
      <c r="S1464" s="130" t="s">
        <v>1141</v>
      </c>
      <c r="T1464" s="130" t="s">
        <v>1130</v>
      </c>
      <c r="U1464" s="130">
        <v>0</v>
      </c>
      <c r="V1464" s="131">
        <v>1139986</v>
      </c>
      <c r="W1464" s="131">
        <v>1139986</v>
      </c>
      <c r="X1464" s="131">
        <v>1139986</v>
      </c>
      <c r="Y1464" s="131">
        <v>0</v>
      </c>
      <c r="Z1464" s="131">
        <v>1139986</v>
      </c>
      <c r="AA1464" s="131">
        <v>0</v>
      </c>
      <c r="AB1464" s="131">
        <v>1137562.4300000002</v>
      </c>
      <c r="AC1464" s="131">
        <v>2423.5699999998324</v>
      </c>
      <c r="AD1464" s="131">
        <v>1137562.4300000002</v>
      </c>
      <c r="AE1464" s="132">
        <v>2423.5699999998324</v>
      </c>
    </row>
    <row r="1465" spans="1:31" x14ac:dyDescent="0.2">
      <c r="A1465" s="133">
        <v>245</v>
      </c>
      <c r="B1465" s="133" t="s">
        <v>1993</v>
      </c>
      <c r="C1465" s="133" t="s">
        <v>1114</v>
      </c>
      <c r="D1465" s="133" t="s">
        <v>1548</v>
      </c>
      <c r="E1465" s="133" t="s">
        <v>1201</v>
      </c>
      <c r="F1465" s="133" t="s">
        <v>1117</v>
      </c>
      <c r="G1465" s="133" t="s">
        <v>1118</v>
      </c>
      <c r="H1465" s="133" t="s">
        <v>1119</v>
      </c>
      <c r="I1465" s="133" t="s">
        <v>1120</v>
      </c>
      <c r="J1465" s="133" t="s">
        <v>1358</v>
      </c>
      <c r="K1465" s="130" t="s">
        <v>1132</v>
      </c>
      <c r="L1465" s="130" t="s">
        <v>1994</v>
      </c>
      <c r="M1465" s="130" t="s">
        <v>1925</v>
      </c>
      <c r="N1465" s="130" t="s">
        <v>168</v>
      </c>
      <c r="O1465" s="130" t="s">
        <v>1961</v>
      </c>
      <c r="P1465" s="130" t="s">
        <v>1962</v>
      </c>
      <c r="Q1465" s="130" t="s">
        <v>1127</v>
      </c>
      <c r="R1465" s="130" t="s">
        <v>1140</v>
      </c>
      <c r="S1465" s="130" t="s">
        <v>1141</v>
      </c>
      <c r="T1465" s="130" t="s">
        <v>1130</v>
      </c>
      <c r="U1465" s="130">
        <v>0</v>
      </c>
      <c r="V1465" s="131">
        <v>0</v>
      </c>
      <c r="W1465" s="131">
        <v>0</v>
      </c>
      <c r="X1465" s="131">
        <v>0</v>
      </c>
      <c r="Y1465" s="131">
        <v>0</v>
      </c>
      <c r="Z1465" s="131">
        <v>0</v>
      </c>
      <c r="AA1465" s="131">
        <v>0</v>
      </c>
      <c r="AB1465" s="131">
        <v>0</v>
      </c>
      <c r="AC1465" s="131">
        <v>0</v>
      </c>
      <c r="AD1465" s="131">
        <v>0</v>
      </c>
      <c r="AE1465" s="132">
        <v>0</v>
      </c>
    </row>
    <row r="1466" spans="1:31" x14ac:dyDescent="0.2">
      <c r="A1466" s="133">
        <v>245</v>
      </c>
      <c r="B1466" s="133" t="s">
        <v>1993</v>
      </c>
      <c r="C1466" s="133" t="s">
        <v>1114</v>
      </c>
      <c r="D1466" s="133" t="s">
        <v>1548</v>
      </c>
      <c r="E1466" s="130" t="s">
        <v>1116</v>
      </c>
      <c r="F1466" s="130" t="s">
        <v>1117</v>
      </c>
      <c r="G1466" s="130" t="s">
        <v>1118</v>
      </c>
      <c r="H1466" s="130" t="s">
        <v>1119</v>
      </c>
      <c r="I1466" s="130" t="s">
        <v>1120</v>
      </c>
      <c r="J1466" s="130" t="s">
        <v>1358</v>
      </c>
      <c r="K1466" s="130" t="s">
        <v>1122</v>
      </c>
      <c r="L1466" s="130" t="s">
        <v>1994</v>
      </c>
      <c r="M1466" s="130" t="s">
        <v>1925</v>
      </c>
      <c r="N1466" s="130" t="s">
        <v>168</v>
      </c>
      <c r="O1466" s="130" t="s">
        <v>1961</v>
      </c>
      <c r="P1466" s="130" t="s">
        <v>1962</v>
      </c>
      <c r="Q1466" s="130" t="s">
        <v>1127</v>
      </c>
      <c r="R1466" s="130" t="s">
        <v>1140</v>
      </c>
      <c r="S1466" s="130" t="s">
        <v>1141</v>
      </c>
      <c r="T1466" s="130" t="s">
        <v>1130</v>
      </c>
      <c r="U1466" s="130">
        <v>3762863</v>
      </c>
      <c r="V1466" s="131">
        <v>-3762863</v>
      </c>
      <c r="W1466" s="131">
        <v>0</v>
      </c>
      <c r="X1466" s="131">
        <v>0</v>
      </c>
      <c r="Y1466" s="131">
        <v>0</v>
      </c>
      <c r="Z1466" s="131">
        <v>0</v>
      </c>
      <c r="AA1466" s="131">
        <v>0</v>
      </c>
      <c r="AB1466" s="131">
        <v>0</v>
      </c>
      <c r="AC1466" s="131">
        <v>0</v>
      </c>
      <c r="AD1466" s="131">
        <v>0</v>
      </c>
      <c r="AE1466" s="132">
        <v>0</v>
      </c>
    </row>
    <row r="1467" spans="1:31" x14ac:dyDescent="0.2">
      <c r="A1467" s="133">
        <v>245</v>
      </c>
      <c r="B1467" s="133" t="s">
        <v>1993</v>
      </c>
      <c r="C1467" s="133" t="s">
        <v>1114</v>
      </c>
      <c r="D1467" s="133" t="s">
        <v>1548</v>
      </c>
      <c r="E1467" s="133" t="s">
        <v>1116</v>
      </c>
      <c r="F1467" s="133" t="s">
        <v>1117</v>
      </c>
      <c r="G1467" s="133" t="s">
        <v>1118</v>
      </c>
      <c r="H1467" s="133" t="s">
        <v>1119</v>
      </c>
      <c r="I1467" s="133" t="s">
        <v>1120</v>
      </c>
      <c r="J1467" s="133" t="s">
        <v>1358</v>
      </c>
      <c r="K1467" s="130" t="s">
        <v>1131</v>
      </c>
      <c r="L1467" s="130" t="s">
        <v>1994</v>
      </c>
      <c r="M1467" s="130" t="s">
        <v>1925</v>
      </c>
      <c r="N1467" s="130" t="s">
        <v>168</v>
      </c>
      <c r="O1467" s="130" t="s">
        <v>1961</v>
      </c>
      <c r="P1467" s="130" t="s">
        <v>1962</v>
      </c>
      <c r="Q1467" s="130" t="s">
        <v>1127</v>
      </c>
      <c r="R1467" s="130" t="s">
        <v>1140</v>
      </c>
      <c r="S1467" s="130" t="s">
        <v>1141</v>
      </c>
      <c r="T1467" s="130" t="s">
        <v>1130</v>
      </c>
      <c r="U1467" s="130">
        <v>0</v>
      </c>
      <c r="V1467" s="131">
        <v>220804</v>
      </c>
      <c r="W1467" s="131">
        <v>220804</v>
      </c>
      <c r="X1467" s="131">
        <v>220804</v>
      </c>
      <c r="Y1467" s="131">
        <v>0</v>
      </c>
      <c r="Z1467" s="131">
        <v>220804</v>
      </c>
      <c r="AA1467" s="131">
        <v>0</v>
      </c>
      <c r="AB1467" s="131">
        <v>220803.88</v>
      </c>
      <c r="AC1467" s="131">
        <v>0.11999999999534339</v>
      </c>
      <c r="AD1467" s="131">
        <v>220803.88</v>
      </c>
      <c r="AE1467" s="132">
        <v>0.11999999999534339</v>
      </c>
    </row>
    <row r="1468" spans="1:31" x14ac:dyDescent="0.2">
      <c r="A1468" s="133">
        <v>245</v>
      </c>
      <c r="B1468" s="133" t="s">
        <v>1993</v>
      </c>
      <c r="C1468" s="133" t="s">
        <v>1114</v>
      </c>
      <c r="D1468" s="133" t="s">
        <v>1548</v>
      </c>
      <c r="E1468" s="133" t="s">
        <v>1116</v>
      </c>
      <c r="F1468" s="133" t="s">
        <v>1117</v>
      </c>
      <c r="G1468" s="133" t="s">
        <v>1118</v>
      </c>
      <c r="H1468" s="133" t="s">
        <v>1119</v>
      </c>
      <c r="I1468" s="133" t="s">
        <v>1120</v>
      </c>
      <c r="J1468" s="133" t="s">
        <v>1358</v>
      </c>
      <c r="K1468" s="130" t="s">
        <v>1177</v>
      </c>
      <c r="L1468" s="130" t="s">
        <v>1994</v>
      </c>
      <c r="M1468" s="130" t="s">
        <v>1925</v>
      </c>
      <c r="N1468" s="130" t="s">
        <v>168</v>
      </c>
      <c r="O1468" s="130" t="s">
        <v>1961</v>
      </c>
      <c r="P1468" s="130" t="s">
        <v>1962</v>
      </c>
      <c r="Q1468" s="130" t="s">
        <v>1127</v>
      </c>
      <c r="R1468" s="130" t="s">
        <v>1140</v>
      </c>
      <c r="S1468" s="130" t="s">
        <v>1141</v>
      </c>
      <c r="T1468" s="130" t="s">
        <v>1130</v>
      </c>
      <c r="U1468" s="130">
        <v>0</v>
      </c>
      <c r="V1468" s="131">
        <v>4388863</v>
      </c>
      <c r="W1468" s="131">
        <v>4388863</v>
      </c>
      <c r="X1468" s="131">
        <v>4286195.63</v>
      </c>
      <c r="Y1468" s="131">
        <v>102667.37000000011</v>
      </c>
      <c r="Z1468" s="131">
        <v>1768306.49</v>
      </c>
      <c r="AA1468" s="131">
        <v>2620556.5099999998</v>
      </c>
      <c r="AB1468" s="131">
        <v>1193199.4900000002</v>
      </c>
      <c r="AC1468" s="131">
        <v>3195663.51</v>
      </c>
      <c r="AD1468" s="131">
        <v>868540.38</v>
      </c>
      <c r="AE1468" s="132">
        <v>3520322.62</v>
      </c>
    </row>
    <row r="1469" spans="1:31" x14ac:dyDescent="0.2">
      <c r="A1469" s="133">
        <v>245</v>
      </c>
      <c r="B1469" s="133" t="s">
        <v>1993</v>
      </c>
      <c r="C1469" s="133" t="s">
        <v>1114</v>
      </c>
      <c r="D1469" s="133" t="s">
        <v>1548</v>
      </c>
      <c r="E1469" s="133" t="s">
        <v>1116</v>
      </c>
      <c r="F1469" s="133" t="s">
        <v>1117</v>
      </c>
      <c r="G1469" s="133" t="s">
        <v>1118</v>
      </c>
      <c r="H1469" s="133" t="s">
        <v>1119</v>
      </c>
      <c r="I1469" s="133" t="s">
        <v>1120</v>
      </c>
      <c r="J1469" s="133" t="s">
        <v>1358</v>
      </c>
      <c r="K1469" s="130" t="s">
        <v>1132</v>
      </c>
      <c r="L1469" s="130" t="s">
        <v>1994</v>
      </c>
      <c r="M1469" s="130" t="s">
        <v>1925</v>
      </c>
      <c r="N1469" s="130" t="s">
        <v>168</v>
      </c>
      <c r="O1469" s="130" t="s">
        <v>1961</v>
      </c>
      <c r="P1469" s="130" t="s">
        <v>1962</v>
      </c>
      <c r="Q1469" s="130" t="s">
        <v>1127</v>
      </c>
      <c r="R1469" s="130" t="s">
        <v>1140</v>
      </c>
      <c r="S1469" s="130" t="s">
        <v>1141</v>
      </c>
      <c r="T1469" s="130" t="s">
        <v>1130</v>
      </c>
      <c r="U1469" s="130">
        <v>0</v>
      </c>
      <c r="V1469" s="131">
        <v>417887</v>
      </c>
      <c r="W1469" s="131">
        <v>417887</v>
      </c>
      <c r="X1469" s="131">
        <v>349735</v>
      </c>
      <c r="Y1469" s="131">
        <v>68152</v>
      </c>
      <c r="Z1469" s="131">
        <v>337580</v>
      </c>
      <c r="AA1469" s="131">
        <v>80307</v>
      </c>
      <c r="AB1469" s="131">
        <v>321830</v>
      </c>
      <c r="AC1469" s="131">
        <v>96057</v>
      </c>
      <c r="AD1469" s="131">
        <v>62600</v>
      </c>
      <c r="AE1469" s="132">
        <v>355287</v>
      </c>
    </row>
    <row r="1470" spans="1:31" x14ac:dyDescent="0.2">
      <c r="A1470" s="133">
        <v>245</v>
      </c>
      <c r="B1470" s="133" t="s">
        <v>1993</v>
      </c>
      <c r="C1470" s="133" t="s">
        <v>1114</v>
      </c>
      <c r="D1470" s="133" t="s">
        <v>1548</v>
      </c>
      <c r="E1470" s="133" t="s">
        <v>1116</v>
      </c>
      <c r="F1470" s="133" t="s">
        <v>1117</v>
      </c>
      <c r="G1470" s="133" t="s">
        <v>1118</v>
      </c>
      <c r="H1470" s="130" t="s">
        <v>1149</v>
      </c>
      <c r="I1470" s="130" t="s">
        <v>1182</v>
      </c>
      <c r="J1470" s="130" t="s">
        <v>1377</v>
      </c>
      <c r="K1470" s="130" t="s">
        <v>1378</v>
      </c>
      <c r="L1470" s="130" t="s">
        <v>1994</v>
      </c>
      <c r="M1470" s="130" t="s">
        <v>1925</v>
      </c>
      <c r="N1470" s="130" t="s">
        <v>168</v>
      </c>
      <c r="O1470" s="130" t="s">
        <v>1961</v>
      </c>
      <c r="P1470" s="130" t="s">
        <v>1962</v>
      </c>
      <c r="Q1470" s="130" t="s">
        <v>1127</v>
      </c>
      <c r="R1470" s="130" t="s">
        <v>1140</v>
      </c>
      <c r="S1470" s="130" t="s">
        <v>1141</v>
      </c>
      <c r="T1470" s="130" t="s">
        <v>1130</v>
      </c>
      <c r="U1470" s="130">
        <v>0</v>
      </c>
      <c r="V1470" s="131">
        <v>0</v>
      </c>
      <c r="W1470" s="131">
        <v>0</v>
      </c>
      <c r="X1470" s="131">
        <v>0</v>
      </c>
      <c r="Y1470" s="131">
        <v>0</v>
      </c>
      <c r="Z1470" s="131">
        <v>0</v>
      </c>
      <c r="AA1470" s="131">
        <v>0</v>
      </c>
      <c r="AB1470" s="131">
        <v>0</v>
      </c>
      <c r="AC1470" s="131">
        <v>0</v>
      </c>
      <c r="AD1470" s="131">
        <v>0</v>
      </c>
      <c r="AE1470" s="132">
        <v>0</v>
      </c>
    </row>
    <row r="1471" spans="1:31" x14ac:dyDescent="0.2">
      <c r="A1471" s="133">
        <v>245</v>
      </c>
      <c r="B1471" s="133" t="s">
        <v>1993</v>
      </c>
      <c r="C1471" s="133" t="s">
        <v>1114</v>
      </c>
      <c r="D1471" s="133" t="s">
        <v>1548</v>
      </c>
      <c r="E1471" s="133" t="s">
        <v>1116</v>
      </c>
      <c r="F1471" s="133" t="s">
        <v>1117</v>
      </c>
      <c r="G1471" s="133" t="s">
        <v>1118</v>
      </c>
      <c r="H1471" s="133" t="s">
        <v>1149</v>
      </c>
      <c r="I1471" s="133" t="s">
        <v>1182</v>
      </c>
      <c r="J1471" s="130" t="s">
        <v>1382</v>
      </c>
      <c r="K1471" s="130" t="s">
        <v>1383</v>
      </c>
      <c r="L1471" s="130" t="s">
        <v>1994</v>
      </c>
      <c r="M1471" s="130" t="s">
        <v>1925</v>
      </c>
      <c r="N1471" s="130" t="s">
        <v>168</v>
      </c>
      <c r="O1471" s="130" t="s">
        <v>1961</v>
      </c>
      <c r="P1471" s="130" t="s">
        <v>1962</v>
      </c>
      <c r="Q1471" s="130" t="s">
        <v>1127</v>
      </c>
      <c r="R1471" s="130" t="s">
        <v>1140</v>
      </c>
      <c r="S1471" s="130" t="s">
        <v>1141</v>
      </c>
      <c r="T1471" s="130" t="s">
        <v>1130</v>
      </c>
      <c r="U1471" s="130">
        <v>0</v>
      </c>
      <c r="V1471" s="131">
        <v>293267</v>
      </c>
      <c r="W1471" s="131">
        <v>293267</v>
      </c>
      <c r="X1471" s="131">
        <v>233665.26</v>
      </c>
      <c r="Y1471" s="131">
        <v>59601.739999999991</v>
      </c>
      <c r="Z1471" s="131">
        <v>167920.26</v>
      </c>
      <c r="AA1471" s="131">
        <v>125346.73999999999</v>
      </c>
      <c r="AB1471" s="131">
        <v>167920.26</v>
      </c>
      <c r="AC1471" s="131">
        <v>125346.73999999999</v>
      </c>
      <c r="AD1471" s="131">
        <v>124920.26000000001</v>
      </c>
      <c r="AE1471" s="132">
        <v>168346.74</v>
      </c>
    </row>
    <row r="1472" spans="1:31" x14ac:dyDescent="0.2">
      <c r="A1472" s="133">
        <v>245</v>
      </c>
      <c r="B1472" s="133" t="s">
        <v>1993</v>
      </c>
      <c r="C1472" s="133" t="s">
        <v>1114</v>
      </c>
      <c r="D1472" s="133" t="s">
        <v>1548</v>
      </c>
      <c r="E1472" s="133" t="s">
        <v>1116</v>
      </c>
      <c r="F1472" s="133" t="s">
        <v>1117</v>
      </c>
      <c r="G1472" s="133" t="s">
        <v>1118</v>
      </c>
      <c r="H1472" s="133" t="s">
        <v>1149</v>
      </c>
      <c r="I1472" s="133" t="s">
        <v>1182</v>
      </c>
      <c r="J1472" s="133" t="s">
        <v>1382</v>
      </c>
      <c r="K1472" s="130" t="s">
        <v>1378</v>
      </c>
      <c r="L1472" s="130" t="s">
        <v>1994</v>
      </c>
      <c r="M1472" s="130" t="s">
        <v>1925</v>
      </c>
      <c r="N1472" s="130" t="s">
        <v>168</v>
      </c>
      <c r="O1472" s="130" t="s">
        <v>1961</v>
      </c>
      <c r="P1472" s="130" t="s">
        <v>1962</v>
      </c>
      <c r="Q1472" s="130" t="s">
        <v>1127</v>
      </c>
      <c r="R1472" s="130" t="s">
        <v>1140</v>
      </c>
      <c r="S1472" s="130" t="s">
        <v>1141</v>
      </c>
      <c r="T1472" s="130" t="s">
        <v>1130</v>
      </c>
      <c r="U1472" s="130">
        <v>0</v>
      </c>
      <c r="V1472" s="131">
        <v>555601</v>
      </c>
      <c r="W1472" s="131">
        <v>555601</v>
      </c>
      <c r="X1472" s="131">
        <v>501096.36</v>
      </c>
      <c r="Y1472" s="131">
        <v>54504.640000000014</v>
      </c>
      <c r="Z1472" s="131">
        <v>187701.36</v>
      </c>
      <c r="AA1472" s="131">
        <v>367899.64</v>
      </c>
      <c r="AB1472" s="131">
        <v>187701.36</v>
      </c>
      <c r="AC1472" s="131">
        <v>367899.64</v>
      </c>
      <c r="AD1472" s="131">
        <v>123802</v>
      </c>
      <c r="AE1472" s="132">
        <v>431799</v>
      </c>
    </row>
    <row r="1473" spans="1:31" x14ac:dyDescent="0.2">
      <c r="A1473" s="133">
        <v>245</v>
      </c>
      <c r="B1473" s="133" t="s">
        <v>1993</v>
      </c>
      <c r="C1473" s="133" t="s">
        <v>1114</v>
      </c>
      <c r="D1473" s="133" t="s">
        <v>1548</v>
      </c>
      <c r="E1473" s="133" t="s">
        <v>1116</v>
      </c>
      <c r="F1473" s="133" t="s">
        <v>1117</v>
      </c>
      <c r="G1473" s="133" t="s">
        <v>1118</v>
      </c>
      <c r="H1473" s="133" t="s">
        <v>1149</v>
      </c>
      <c r="I1473" s="133" t="s">
        <v>1182</v>
      </c>
      <c r="J1473" s="130" t="s">
        <v>1347</v>
      </c>
      <c r="K1473" s="130" t="s">
        <v>1348</v>
      </c>
      <c r="L1473" s="130" t="s">
        <v>1994</v>
      </c>
      <c r="M1473" s="130" t="s">
        <v>1925</v>
      </c>
      <c r="N1473" s="130" t="s">
        <v>168</v>
      </c>
      <c r="O1473" s="130" t="s">
        <v>1961</v>
      </c>
      <c r="P1473" s="130" t="s">
        <v>1962</v>
      </c>
      <c r="Q1473" s="130" t="s">
        <v>1127</v>
      </c>
      <c r="R1473" s="130" t="s">
        <v>1140</v>
      </c>
      <c r="S1473" s="130" t="s">
        <v>1141</v>
      </c>
      <c r="T1473" s="130" t="s">
        <v>1130</v>
      </c>
      <c r="U1473" s="130">
        <v>0</v>
      </c>
      <c r="V1473" s="131">
        <v>34340</v>
      </c>
      <c r="W1473" s="131">
        <v>34340</v>
      </c>
      <c r="X1473" s="131">
        <v>791.66</v>
      </c>
      <c r="Y1473" s="131">
        <v>33548.339999999997</v>
      </c>
      <c r="Z1473" s="131">
        <v>791.66</v>
      </c>
      <c r="AA1473" s="131">
        <v>33548.339999999997</v>
      </c>
      <c r="AB1473" s="131">
        <v>791.66</v>
      </c>
      <c r="AC1473" s="131">
        <v>33548.339999999997</v>
      </c>
      <c r="AD1473" s="131">
        <v>0</v>
      </c>
      <c r="AE1473" s="132">
        <v>34340</v>
      </c>
    </row>
    <row r="1474" spans="1:31" x14ac:dyDescent="0.2">
      <c r="A1474" s="133">
        <v>245</v>
      </c>
      <c r="B1474" s="133" t="s">
        <v>1993</v>
      </c>
      <c r="C1474" s="133" t="s">
        <v>1114</v>
      </c>
      <c r="D1474" s="133" t="s">
        <v>1548</v>
      </c>
      <c r="E1474" s="133" t="s">
        <v>1116</v>
      </c>
      <c r="F1474" s="133" t="s">
        <v>1117</v>
      </c>
      <c r="G1474" s="133" t="s">
        <v>1118</v>
      </c>
      <c r="H1474" s="130" t="s">
        <v>1133</v>
      </c>
      <c r="I1474" s="130" t="s">
        <v>1134</v>
      </c>
      <c r="J1474" s="130" t="s">
        <v>1135</v>
      </c>
      <c r="K1474" s="130" t="s">
        <v>1178</v>
      </c>
      <c r="L1474" s="130" t="s">
        <v>1994</v>
      </c>
      <c r="M1474" s="130" t="s">
        <v>1925</v>
      </c>
      <c r="N1474" s="130" t="s">
        <v>168</v>
      </c>
      <c r="O1474" s="130" t="s">
        <v>1961</v>
      </c>
      <c r="P1474" s="130" t="s">
        <v>1962</v>
      </c>
      <c r="Q1474" s="130" t="s">
        <v>1127</v>
      </c>
      <c r="R1474" s="130" t="s">
        <v>1140</v>
      </c>
      <c r="S1474" s="130" t="s">
        <v>1141</v>
      </c>
      <c r="T1474" s="130" t="s">
        <v>1130</v>
      </c>
      <c r="U1474" s="130">
        <v>0</v>
      </c>
      <c r="V1474" s="131">
        <v>517500</v>
      </c>
      <c r="W1474" s="131">
        <v>517500</v>
      </c>
      <c r="X1474" s="131">
        <v>267500</v>
      </c>
      <c r="Y1474" s="131">
        <v>250000</v>
      </c>
      <c r="Z1474" s="131">
        <v>267500</v>
      </c>
      <c r="AA1474" s="131">
        <v>250000</v>
      </c>
      <c r="AB1474" s="131">
        <v>191608.86</v>
      </c>
      <c r="AC1474" s="131">
        <v>325891.14</v>
      </c>
      <c r="AD1474" s="131">
        <v>169398.29</v>
      </c>
      <c r="AE1474" s="132">
        <v>348101.70999999996</v>
      </c>
    </row>
    <row r="1475" spans="1:31" x14ac:dyDescent="0.2">
      <c r="A1475" s="133">
        <v>245</v>
      </c>
      <c r="B1475" s="133" t="s">
        <v>1993</v>
      </c>
      <c r="C1475" s="133" t="s">
        <v>1114</v>
      </c>
      <c r="D1475" s="133" t="s">
        <v>1548</v>
      </c>
      <c r="E1475" s="133" t="s">
        <v>1116</v>
      </c>
      <c r="F1475" s="133" t="s">
        <v>1117</v>
      </c>
      <c r="G1475" s="133" t="s">
        <v>1118</v>
      </c>
      <c r="H1475" s="133" t="s">
        <v>1133</v>
      </c>
      <c r="I1475" s="133" t="s">
        <v>1134</v>
      </c>
      <c r="J1475" s="133" t="s">
        <v>1135</v>
      </c>
      <c r="K1475" s="130" t="s">
        <v>1179</v>
      </c>
      <c r="L1475" s="130" t="s">
        <v>1994</v>
      </c>
      <c r="M1475" s="130" t="s">
        <v>1925</v>
      </c>
      <c r="N1475" s="130" t="s">
        <v>168</v>
      </c>
      <c r="O1475" s="130" t="s">
        <v>1961</v>
      </c>
      <c r="P1475" s="130" t="s">
        <v>1962</v>
      </c>
      <c r="Q1475" s="130" t="s">
        <v>1127</v>
      </c>
      <c r="R1475" s="130" t="s">
        <v>1140</v>
      </c>
      <c r="S1475" s="130" t="s">
        <v>1141</v>
      </c>
      <c r="T1475" s="130" t="s">
        <v>1130</v>
      </c>
      <c r="U1475" s="130">
        <v>0</v>
      </c>
      <c r="V1475" s="131">
        <v>32569</v>
      </c>
      <c r="W1475" s="131">
        <v>32569</v>
      </c>
      <c r="X1475" s="131">
        <v>28750</v>
      </c>
      <c r="Y1475" s="131">
        <v>3819</v>
      </c>
      <c r="Z1475" s="131">
        <v>28750</v>
      </c>
      <c r="AA1475" s="131">
        <v>3819</v>
      </c>
      <c r="AB1475" s="131">
        <v>28750</v>
      </c>
      <c r="AC1475" s="131">
        <v>3819</v>
      </c>
      <c r="AD1475" s="131">
        <v>15872</v>
      </c>
      <c r="AE1475" s="132">
        <v>16697</v>
      </c>
    </row>
    <row r="1476" spans="1:31" x14ac:dyDescent="0.2">
      <c r="A1476" s="133">
        <v>245</v>
      </c>
      <c r="B1476" s="133" t="s">
        <v>1993</v>
      </c>
      <c r="C1476" s="133" t="s">
        <v>1114</v>
      </c>
      <c r="D1476" s="133" t="s">
        <v>1548</v>
      </c>
      <c r="E1476" s="133" t="s">
        <v>1116</v>
      </c>
      <c r="F1476" s="133" t="s">
        <v>1117</v>
      </c>
      <c r="G1476" s="133" t="s">
        <v>1118</v>
      </c>
      <c r="H1476" s="133" t="s">
        <v>1133</v>
      </c>
      <c r="I1476" s="133" t="s">
        <v>1134</v>
      </c>
      <c r="J1476" s="133" t="s">
        <v>1135</v>
      </c>
      <c r="K1476" s="130" t="s">
        <v>1144</v>
      </c>
      <c r="L1476" s="130" t="s">
        <v>1994</v>
      </c>
      <c r="M1476" s="130" t="s">
        <v>1925</v>
      </c>
      <c r="N1476" s="130" t="s">
        <v>168</v>
      </c>
      <c r="O1476" s="130" t="s">
        <v>1961</v>
      </c>
      <c r="P1476" s="130" t="s">
        <v>1962</v>
      </c>
      <c r="Q1476" s="130" t="s">
        <v>1127</v>
      </c>
      <c r="R1476" s="130" t="s">
        <v>1140</v>
      </c>
      <c r="S1476" s="130" t="s">
        <v>1141</v>
      </c>
      <c r="T1476" s="130" t="s">
        <v>1130</v>
      </c>
      <c r="U1476" s="130">
        <v>0</v>
      </c>
      <c r="V1476" s="131">
        <v>102348</v>
      </c>
      <c r="W1476" s="131">
        <v>102348</v>
      </c>
      <c r="X1476" s="131">
        <v>13025</v>
      </c>
      <c r="Y1476" s="131">
        <v>89323</v>
      </c>
      <c r="Z1476" s="131">
        <v>13025</v>
      </c>
      <c r="AA1476" s="131">
        <v>89323</v>
      </c>
      <c r="AB1476" s="131">
        <v>13025</v>
      </c>
      <c r="AC1476" s="131">
        <v>89323</v>
      </c>
      <c r="AD1476" s="131">
        <v>12025</v>
      </c>
      <c r="AE1476" s="132">
        <v>90323</v>
      </c>
    </row>
    <row r="1477" spans="1:31" x14ac:dyDescent="0.2">
      <c r="A1477" s="130">
        <v>246</v>
      </c>
      <c r="B1477" s="130" t="s">
        <v>1995</v>
      </c>
      <c r="C1477" s="130" t="s">
        <v>1114</v>
      </c>
      <c r="D1477" s="130" t="s">
        <v>1645</v>
      </c>
      <c r="E1477" s="130" t="s">
        <v>1201</v>
      </c>
      <c r="F1477" s="130" t="s">
        <v>1117</v>
      </c>
      <c r="G1477" s="130" t="s">
        <v>1118</v>
      </c>
      <c r="H1477" s="130" t="s">
        <v>1119</v>
      </c>
      <c r="I1477" s="130" t="s">
        <v>1169</v>
      </c>
      <c r="J1477" s="130" t="s">
        <v>1195</v>
      </c>
      <c r="K1477" s="130" t="s">
        <v>1196</v>
      </c>
      <c r="L1477" s="130" t="s">
        <v>1996</v>
      </c>
      <c r="M1477" s="130" t="s">
        <v>1925</v>
      </c>
      <c r="N1477" s="130" t="s">
        <v>165</v>
      </c>
      <c r="O1477" s="130" t="s">
        <v>1997</v>
      </c>
      <c r="P1477" s="130" t="s">
        <v>1998</v>
      </c>
      <c r="Q1477" s="130" t="s">
        <v>1127</v>
      </c>
      <c r="R1477" s="130" t="s">
        <v>1417</v>
      </c>
      <c r="S1477" s="130" t="s">
        <v>1418</v>
      </c>
      <c r="T1477" s="130" t="s">
        <v>1158</v>
      </c>
      <c r="U1477" s="130">
        <v>232593</v>
      </c>
      <c r="V1477" s="131">
        <v>0</v>
      </c>
      <c r="W1477" s="131">
        <v>232593</v>
      </c>
      <c r="X1477" s="131">
        <v>0</v>
      </c>
      <c r="Y1477" s="131">
        <v>232593</v>
      </c>
      <c r="Z1477" s="131">
        <v>0</v>
      </c>
      <c r="AA1477" s="131">
        <v>232593</v>
      </c>
      <c r="AB1477" s="131">
        <v>0</v>
      </c>
      <c r="AC1477" s="131">
        <v>232593</v>
      </c>
      <c r="AD1477" s="131">
        <v>0</v>
      </c>
      <c r="AE1477" s="132">
        <v>232593</v>
      </c>
    </row>
    <row r="1478" spans="1:31" x14ac:dyDescent="0.2">
      <c r="A1478" s="133">
        <v>246</v>
      </c>
      <c r="B1478" s="133" t="s">
        <v>1995</v>
      </c>
      <c r="C1478" s="133" t="s">
        <v>1114</v>
      </c>
      <c r="D1478" s="133" t="s">
        <v>1645</v>
      </c>
      <c r="E1478" s="130" t="s">
        <v>1116</v>
      </c>
      <c r="F1478" s="130" t="s">
        <v>1117</v>
      </c>
      <c r="G1478" s="130" t="s">
        <v>1118</v>
      </c>
      <c r="H1478" s="130" t="s">
        <v>1119</v>
      </c>
      <c r="I1478" s="130" t="s">
        <v>1169</v>
      </c>
      <c r="J1478" s="130" t="s">
        <v>1195</v>
      </c>
      <c r="K1478" s="130" t="s">
        <v>1196</v>
      </c>
      <c r="L1478" s="130" t="s">
        <v>1996</v>
      </c>
      <c r="M1478" s="130" t="s">
        <v>1925</v>
      </c>
      <c r="N1478" s="130" t="s">
        <v>165</v>
      </c>
      <c r="O1478" s="130" t="s">
        <v>1997</v>
      </c>
      <c r="P1478" s="130" t="s">
        <v>1998</v>
      </c>
      <c r="Q1478" s="130" t="s">
        <v>1127</v>
      </c>
      <c r="R1478" s="130" t="s">
        <v>1417</v>
      </c>
      <c r="S1478" s="130" t="s">
        <v>1418</v>
      </c>
      <c r="T1478" s="130" t="s">
        <v>1158</v>
      </c>
      <c r="U1478" s="130">
        <v>500000</v>
      </c>
      <c r="V1478" s="131">
        <v>-500000</v>
      </c>
      <c r="W1478" s="131">
        <v>0</v>
      </c>
      <c r="X1478" s="131">
        <v>0</v>
      </c>
      <c r="Y1478" s="131">
        <v>0</v>
      </c>
      <c r="Z1478" s="131">
        <v>0</v>
      </c>
      <c r="AA1478" s="131">
        <v>0</v>
      </c>
      <c r="AB1478" s="131">
        <v>0</v>
      </c>
      <c r="AC1478" s="131">
        <v>0</v>
      </c>
      <c r="AD1478" s="131">
        <v>0</v>
      </c>
      <c r="AE1478" s="132">
        <v>0</v>
      </c>
    </row>
    <row r="1479" spans="1:31" x14ac:dyDescent="0.2">
      <c r="A1479" s="133">
        <v>246</v>
      </c>
      <c r="B1479" s="133" t="s">
        <v>1995</v>
      </c>
      <c r="C1479" s="133" t="s">
        <v>1114</v>
      </c>
      <c r="D1479" s="133" t="s">
        <v>1645</v>
      </c>
      <c r="E1479" s="133" t="s">
        <v>1116</v>
      </c>
      <c r="F1479" s="133" t="s">
        <v>1117</v>
      </c>
      <c r="G1479" s="133" t="s">
        <v>1118</v>
      </c>
      <c r="H1479" s="130" t="s">
        <v>1133</v>
      </c>
      <c r="I1479" s="130" t="s">
        <v>1134</v>
      </c>
      <c r="J1479" s="130" t="s">
        <v>1166</v>
      </c>
      <c r="K1479" s="130" t="s">
        <v>1167</v>
      </c>
      <c r="L1479" s="130" t="s">
        <v>1996</v>
      </c>
      <c r="M1479" s="130" t="s">
        <v>1925</v>
      </c>
      <c r="N1479" s="130" t="s">
        <v>165</v>
      </c>
      <c r="O1479" s="130" t="s">
        <v>1997</v>
      </c>
      <c r="P1479" s="130" t="s">
        <v>1998</v>
      </c>
      <c r="Q1479" s="130" t="s">
        <v>1127</v>
      </c>
      <c r="R1479" s="130" t="s">
        <v>1417</v>
      </c>
      <c r="S1479" s="130" t="s">
        <v>1418</v>
      </c>
      <c r="T1479" s="130" t="s">
        <v>1158</v>
      </c>
      <c r="U1479" s="130">
        <v>0</v>
      </c>
      <c r="V1479" s="131">
        <v>350000</v>
      </c>
      <c r="W1479" s="131">
        <v>350000</v>
      </c>
      <c r="X1479" s="131">
        <v>140000</v>
      </c>
      <c r="Y1479" s="131">
        <v>210000</v>
      </c>
      <c r="Z1479" s="131">
        <v>140000</v>
      </c>
      <c r="AA1479" s="131">
        <v>210000</v>
      </c>
      <c r="AB1479" s="131">
        <v>140000</v>
      </c>
      <c r="AC1479" s="131">
        <v>210000</v>
      </c>
      <c r="AD1479" s="131">
        <v>140000</v>
      </c>
      <c r="AE1479" s="132">
        <v>210000</v>
      </c>
    </row>
    <row r="1480" spans="1:31" x14ac:dyDescent="0.2">
      <c r="A1480" s="130">
        <v>247</v>
      </c>
      <c r="B1480" s="130" t="s">
        <v>1999</v>
      </c>
      <c r="C1480" s="130" t="s">
        <v>1114</v>
      </c>
      <c r="D1480" s="130" t="s">
        <v>1554</v>
      </c>
      <c r="E1480" s="130" t="s">
        <v>1116</v>
      </c>
      <c r="F1480" s="130" t="s">
        <v>1117</v>
      </c>
      <c r="G1480" s="130" t="s">
        <v>1118</v>
      </c>
      <c r="H1480" s="130" t="s">
        <v>1119</v>
      </c>
      <c r="I1480" s="130" t="s">
        <v>1120</v>
      </c>
      <c r="J1480" s="130" t="s">
        <v>1358</v>
      </c>
      <c r="K1480" s="130" t="s">
        <v>1122</v>
      </c>
      <c r="L1480" s="130" t="s">
        <v>2000</v>
      </c>
      <c r="M1480" s="130" t="s">
        <v>1925</v>
      </c>
      <c r="N1480" s="130" t="s">
        <v>168</v>
      </c>
      <c r="O1480" s="130" t="s">
        <v>1551</v>
      </c>
      <c r="P1480" s="130" t="s">
        <v>1552</v>
      </c>
      <c r="Q1480" s="130" t="s">
        <v>1127</v>
      </c>
      <c r="R1480" s="130" t="s">
        <v>1448</v>
      </c>
      <c r="S1480" s="130" t="s">
        <v>1487</v>
      </c>
      <c r="T1480" s="130" t="s">
        <v>1158</v>
      </c>
      <c r="U1480" s="130">
        <v>7546000</v>
      </c>
      <c r="V1480" s="131">
        <v>-7546000</v>
      </c>
      <c r="W1480" s="131">
        <v>0</v>
      </c>
      <c r="X1480" s="131">
        <v>0</v>
      </c>
      <c r="Y1480" s="131">
        <v>0</v>
      </c>
      <c r="Z1480" s="131">
        <v>0</v>
      </c>
      <c r="AA1480" s="131">
        <v>0</v>
      </c>
      <c r="AB1480" s="131">
        <v>0</v>
      </c>
      <c r="AC1480" s="131">
        <v>0</v>
      </c>
      <c r="AD1480" s="131">
        <v>0</v>
      </c>
      <c r="AE1480" s="132">
        <v>0</v>
      </c>
    </row>
    <row r="1481" spans="1:31" x14ac:dyDescent="0.2">
      <c r="A1481" s="133">
        <v>247</v>
      </c>
      <c r="B1481" s="133" t="s">
        <v>1999</v>
      </c>
      <c r="C1481" s="133" t="s">
        <v>1114</v>
      </c>
      <c r="D1481" s="133" t="s">
        <v>1554</v>
      </c>
      <c r="E1481" s="133" t="s">
        <v>1116</v>
      </c>
      <c r="F1481" s="133" t="s">
        <v>1117</v>
      </c>
      <c r="G1481" s="133" t="s">
        <v>1118</v>
      </c>
      <c r="H1481" s="133" t="s">
        <v>1119</v>
      </c>
      <c r="I1481" s="133" t="s">
        <v>1120</v>
      </c>
      <c r="J1481" s="133" t="s">
        <v>1358</v>
      </c>
      <c r="K1481" s="130" t="s">
        <v>1131</v>
      </c>
      <c r="L1481" s="130" t="s">
        <v>2000</v>
      </c>
      <c r="M1481" s="130" t="s">
        <v>1925</v>
      </c>
      <c r="N1481" s="130" t="s">
        <v>168</v>
      </c>
      <c r="O1481" s="130" t="s">
        <v>1551</v>
      </c>
      <c r="P1481" s="130" t="s">
        <v>1552</v>
      </c>
      <c r="Q1481" s="130" t="s">
        <v>1127</v>
      </c>
      <c r="R1481" s="130" t="s">
        <v>1448</v>
      </c>
      <c r="S1481" s="130" t="s">
        <v>1487</v>
      </c>
      <c r="T1481" s="130" t="s">
        <v>1158</v>
      </c>
      <c r="U1481" s="130">
        <v>0</v>
      </c>
      <c r="V1481" s="131">
        <v>1955401</v>
      </c>
      <c r="W1481" s="131">
        <v>1955401</v>
      </c>
      <c r="X1481" s="131">
        <v>1955401</v>
      </c>
      <c r="Y1481" s="131">
        <v>0</v>
      </c>
      <c r="Z1481" s="131">
        <v>1955401</v>
      </c>
      <c r="AA1481" s="131">
        <v>0</v>
      </c>
      <c r="AB1481" s="131">
        <v>1836189.1300000001</v>
      </c>
      <c r="AC1481" s="131">
        <v>119211.86999999988</v>
      </c>
      <c r="AD1481" s="131">
        <v>1836189.1300000001</v>
      </c>
      <c r="AE1481" s="132">
        <v>119211.86999999988</v>
      </c>
    </row>
    <row r="1482" spans="1:31" x14ac:dyDescent="0.2">
      <c r="A1482" s="133">
        <v>247</v>
      </c>
      <c r="B1482" s="133" t="s">
        <v>1999</v>
      </c>
      <c r="C1482" s="133" t="s">
        <v>1114</v>
      </c>
      <c r="D1482" s="133" t="s">
        <v>1554</v>
      </c>
      <c r="E1482" s="133" t="s">
        <v>1116</v>
      </c>
      <c r="F1482" s="133" t="s">
        <v>1117</v>
      </c>
      <c r="G1482" s="133" t="s">
        <v>1118</v>
      </c>
      <c r="H1482" s="133" t="s">
        <v>1119</v>
      </c>
      <c r="I1482" s="133" t="s">
        <v>1120</v>
      </c>
      <c r="J1482" s="133" t="s">
        <v>1358</v>
      </c>
      <c r="K1482" s="130" t="s">
        <v>1177</v>
      </c>
      <c r="L1482" s="130" t="s">
        <v>2000</v>
      </c>
      <c r="M1482" s="130" t="s">
        <v>1925</v>
      </c>
      <c r="N1482" s="130" t="s">
        <v>168</v>
      </c>
      <c r="O1482" s="130" t="s">
        <v>1551</v>
      </c>
      <c r="P1482" s="130" t="s">
        <v>1552</v>
      </c>
      <c r="Q1482" s="130" t="s">
        <v>1127</v>
      </c>
      <c r="R1482" s="130" t="s">
        <v>1448</v>
      </c>
      <c r="S1482" s="130" t="s">
        <v>1487</v>
      </c>
      <c r="T1482" s="130" t="s">
        <v>1158</v>
      </c>
      <c r="U1482" s="130">
        <v>0</v>
      </c>
      <c r="V1482" s="131">
        <v>4094599</v>
      </c>
      <c r="W1482" s="131">
        <v>4094599</v>
      </c>
      <c r="X1482" s="131">
        <v>2566246.7599999998</v>
      </c>
      <c r="Y1482" s="131">
        <v>1528352.2400000002</v>
      </c>
      <c r="Z1482" s="131">
        <v>971597.02</v>
      </c>
      <c r="AA1482" s="131">
        <v>3123001.98</v>
      </c>
      <c r="AB1482" s="131">
        <v>740100.32000000007</v>
      </c>
      <c r="AC1482" s="131">
        <v>3354498.6799999997</v>
      </c>
      <c r="AD1482" s="131">
        <v>525479.71000000008</v>
      </c>
      <c r="AE1482" s="132">
        <v>3569119.29</v>
      </c>
    </row>
    <row r="1483" spans="1:31" x14ac:dyDescent="0.2">
      <c r="A1483" s="133">
        <v>247</v>
      </c>
      <c r="B1483" s="133" t="s">
        <v>1999</v>
      </c>
      <c r="C1483" s="133" t="s">
        <v>1114</v>
      </c>
      <c r="D1483" s="133" t="s">
        <v>1554</v>
      </c>
      <c r="E1483" s="133" t="s">
        <v>1116</v>
      </c>
      <c r="F1483" s="133" t="s">
        <v>1117</v>
      </c>
      <c r="G1483" s="133" t="s">
        <v>1118</v>
      </c>
      <c r="H1483" s="133" t="s">
        <v>1119</v>
      </c>
      <c r="I1483" s="133" t="s">
        <v>1120</v>
      </c>
      <c r="J1483" s="133" t="s">
        <v>1358</v>
      </c>
      <c r="K1483" s="130" t="s">
        <v>1132</v>
      </c>
      <c r="L1483" s="130" t="s">
        <v>2000</v>
      </c>
      <c r="M1483" s="130" t="s">
        <v>1925</v>
      </c>
      <c r="N1483" s="130" t="s">
        <v>168</v>
      </c>
      <c r="O1483" s="130" t="s">
        <v>1551</v>
      </c>
      <c r="P1483" s="130" t="s">
        <v>1552</v>
      </c>
      <c r="Q1483" s="130" t="s">
        <v>1127</v>
      </c>
      <c r="R1483" s="130" t="s">
        <v>1448</v>
      </c>
      <c r="S1483" s="130" t="s">
        <v>1487</v>
      </c>
      <c r="T1483" s="130" t="s">
        <v>1158</v>
      </c>
      <c r="U1483" s="130">
        <v>0</v>
      </c>
      <c r="V1483" s="131">
        <v>1036000</v>
      </c>
      <c r="W1483" s="131">
        <v>1036000</v>
      </c>
      <c r="X1483" s="131">
        <v>496764.32</v>
      </c>
      <c r="Y1483" s="131">
        <v>539235.67999999993</v>
      </c>
      <c r="Z1483" s="131">
        <v>202264.32000000001</v>
      </c>
      <c r="AA1483" s="131">
        <v>833735.67999999993</v>
      </c>
      <c r="AB1483" s="131">
        <v>175444.32</v>
      </c>
      <c r="AC1483" s="131">
        <v>860555.67999999993</v>
      </c>
      <c r="AD1483" s="131">
        <v>56186.400000000001</v>
      </c>
      <c r="AE1483" s="132">
        <v>979813.6</v>
      </c>
    </row>
    <row r="1484" spans="1:31" x14ac:dyDescent="0.2">
      <c r="A1484" s="133">
        <v>247</v>
      </c>
      <c r="B1484" s="133" t="s">
        <v>1999</v>
      </c>
      <c r="C1484" s="133" t="s">
        <v>1114</v>
      </c>
      <c r="D1484" s="133" t="s">
        <v>1554</v>
      </c>
      <c r="E1484" s="133" t="s">
        <v>1116</v>
      </c>
      <c r="F1484" s="133" t="s">
        <v>1117</v>
      </c>
      <c r="G1484" s="133" t="s">
        <v>1118</v>
      </c>
      <c r="H1484" s="130" t="s">
        <v>1133</v>
      </c>
      <c r="I1484" s="130" t="s">
        <v>1134</v>
      </c>
      <c r="J1484" s="130" t="s">
        <v>1135</v>
      </c>
      <c r="K1484" s="130" t="s">
        <v>1178</v>
      </c>
      <c r="L1484" s="130" t="s">
        <v>2000</v>
      </c>
      <c r="M1484" s="130" t="s">
        <v>1925</v>
      </c>
      <c r="N1484" s="130" t="s">
        <v>168</v>
      </c>
      <c r="O1484" s="130" t="s">
        <v>1551</v>
      </c>
      <c r="P1484" s="130" t="s">
        <v>1552</v>
      </c>
      <c r="Q1484" s="130" t="s">
        <v>1127</v>
      </c>
      <c r="R1484" s="130" t="s">
        <v>1448</v>
      </c>
      <c r="S1484" s="130" t="s">
        <v>1487</v>
      </c>
      <c r="T1484" s="130" t="s">
        <v>1158</v>
      </c>
      <c r="U1484" s="130">
        <v>0</v>
      </c>
      <c r="V1484" s="131">
        <v>400000</v>
      </c>
      <c r="W1484" s="131">
        <v>400000</v>
      </c>
      <c r="X1484" s="131">
        <v>400000</v>
      </c>
      <c r="Y1484" s="131">
        <v>0</v>
      </c>
      <c r="Z1484" s="131">
        <v>400000</v>
      </c>
      <c r="AA1484" s="131">
        <v>0</v>
      </c>
      <c r="AB1484" s="131">
        <v>126160.79000000001</v>
      </c>
      <c r="AC1484" s="131">
        <v>273839.20999999996</v>
      </c>
      <c r="AD1484" s="131">
        <v>126160.79000000001</v>
      </c>
      <c r="AE1484" s="132">
        <v>273839.20999999996</v>
      </c>
    </row>
    <row r="1485" spans="1:31" x14ac:dyDescent="0.2">
      <c r="A1485" s="133">
        <v>247</v>
      </c>
      <c r="B1485" s="133" t="s">
        <v>1999</v>
      </c>
      <c r="C1485" s="133" t="s">
        <v>1114</v>
      </c>
      <c r="D1485" s="133" t="s">
        <v>1554</v>
      </c>
      <c r="E1485" s="133" t="s">
        <v>1116</v>
      </c>
      <c r="F1485" s="133" t="s">
        <v>1117</v>
      </c>
      <c r="G1485" s="133" t="s">
        <v>1118</v>
      </c>
      <c r="H1485" s="133" t="s">
        <v>1133</v>
      </c>
      <c r="I1485" s="133" t="s">
        <v>1134</v>
      </c>
      <c r="J1485" s="133" t="s">
        <v>1135</v>
      </c>
      <c r="K1485" s="130" t="s">
        <v>1179</v>
      </c>
      <c r="L1485" s="130" t="s">
        <v>2000</v>
      </c>
      <c r="M1485" s="130" t="s">
        <v>1925</v>
      </c>
      <c r="N1485" s="130" t="s">
        <v>168</v>
      </c>
      <c r="O1485" s="130" t="s">
        <v>1551</v>
      </c>
      <c r="P1485" s="130" t="s">
        <v>1552</v>
      </c>
      <c r="Q1485" s="130" t="s">
        <v>1127</v>
      </c>
      <c r="R1485" s="130" t="s">
        <v>1448</v>
      </c>
      <c r="S1485" s="130" t="s">
        <v>1487</v>
      </c>
      <c r="T1485" s="130" t="s">
        <v>1158</v>
      </c>
      <c r="U1485" s="130">
        <v>0</v>
      </c>
      <c r="V1485" s="131">
        <v>28547</v>
      </c>
      <c r="W1485" s="131">
        <v>28547</v>
      </c>
      <c r="X1485" s="131">
        <v>10500</v>
      </c>
      <c r="Y1485" s="131">
        <v>18047</v>
      </c>
      <c r="Z1485" s="131">
        <v>10500</v>
      </c>
      <c r="AA1485" s="131">
        <v>18047</v>
      </c>
      <c r="AB1485" s="131">
        <v>10500</v>
      </c>
      <c r="AC1485" s="131">
        <v>18047</v>
      </c>
      <c r="AD1485" s="131">
        <v>540</v>
      </c>
      <c r="AE1485" s="132">
        <v>28007</v>
      </c>
    </row>
    <row r="1486" spans="1:31" x14ac:dyDescent="0.2">
      <c r="A1486" s="133">
        <v>247</v>
      </c>
      <c r="B1486" s="133" t="s">
        <v>1999</v>
      </c>
      <c r="C1486" s="133" t="s">
        <v>1114</v>
      </c>
      <c r="D1486" s="133" t="s">
        <v>1554</v>
      </c>
      <c r="E1486" s="133" t="s">
        <v>1116</v>
      </c>
      <c r="F1486" s="133" t="s">
        <v>1117</v>
      </c>
      <c r="G1486" s="133" t="s">
        <v>1118</v>
      </c>
      <c r="H1486" s="133" t="s">
        <v>1133</v>
      </c>
      <c r="I1486" s="133" t="s">
        <v>1134</v>
      </c>
      <c r="J1486" s="133" t="s">
        <v>1135</v>
      </c>
      <c r="K1486" s="130" t="s">
        <v>1144</v>
      </c>
      <c r="L1486" s="130" t="s">
        <v>2000</v>
      </c>
      <c r="M1486" s="130" t="s">
        <v>1925</v>
      </c>
      <c r="N1486" s="130" t="s">
        <v>168</v>
      </c>
      <c r="O1486" s="130" t="s">
        <v>1551</v>
      </c>
      <c r="P1486" s="130" t="s">
        <v>1552</v>
      </c>
      <c r="Q1486" s="130" t="s">
        <v>1127</v>
      </c>
      <c r="R1486" s="130" t="s">
        <v>1448</v>
      </c>
      <c r="S1486" s="130" t="s">
        <v>1487</v>
      </c>
      <c r="T1486" s="130" t="s">
        <v>1158</v>
      </c>
      <c r="U1486" s="130">
        <v>0</v>
      </c>
      <c r="V1486" s="131">
        <v>31453</v>
      </c>
      <c r="W1486" s="131">
        <v>31453</v>
      </c>
      <c r="X1486" s="131">
        <v>30236</v>
      </c>
      <c r="Y1486" s="131">
        <v>1217</v>
      </c>
      <c r="Z1486" s="131">
        <v>30236</v>
      </c>
      <c r="AA1486" s="131">
        <v>1217</v>
      </c>
      <c r="AB1486" s="131">
        <v>30236</v>
      </c>
      <c r="AC1486" s="131">
        <v>1217</v>
      </c>
      <c r="AD1486" s="131">
        <v>11470</v>
      </c>
      <c r="AE1486" s="132">
        <v>19983</v>
      </c>
    </row>
    <row r="1487" spans="1:31" x14ac:dyDescent="0.2">
      <c r="A1487" s="130">
        <v>248</v>
      </c>
      <c r="B1487" s="130" t="s">
        <v>2001</v>
      </c>
      <c r="C1487" s="130" t="s">
        <v>1114</v>
      </c>
      <c r="D1487" s="130" t="s">
        <v>1554</v>
      </c>
      <c r="E1487" s="130" t="s">
        <v>1116</v>
      </c>
      <c r="F1487" s="130" t="s">
        <v>1117</v>
      </c>
      <c r="G1487" s="130" t="s">
        <v>1118</v>
      </c>
      <c r="H1487" s="130" t="s">
        <v>1119</v>
      </c>
      <c r="I1487" s="130" t="s">
        <v>1120</v>
      </c>
      <c r="J1487" s="130" t="s">
        <v>1358</v>
      </c>
      <c r="K1487" s="130" t="s">
        <v>1122</v>
      </c>
      <c r="L1487" s="130" t="s">
        <v>2002</v>
      </c>
      <c r="M1487" s="130" t="s">
        <v>1925</v>
      </c>
      <c r="N1487" s="130" t="s">
        <v>168</v>
      </c>
      <c r="O1487" s="130" t="s">
        <v>1551</v>
      </c>
      <c r="P1487" s="130" t="s">
        <v>1552</v>
      </c>
      <c r="Q1487" s="130" t="s">
        <v>1127</v>
      </c>
      <c r="R1487" s="130" t="s">
        <v>1187</v>
      </c>
      <c r="S1487" s="130" t="s">
        <v>1427</v>
      </c>
      <c r="T1487" s="130" t="s">
        <v>1130</v>
      </c>
      <c r="U1487" s="130">
        <v>12000000</v>
      </c>
      <c r="V1487" s="131">
        <v>-10820207</v>
      </c>
      <c r="W1487" s="131">
        <v>1179793</v>
      </c>
      <c r="X1487" s="131">
        <v>1179793</v>
      </c>
      <c r="Y1487" s="131">
        <v>0</v>
      </c>
      <c r="Z1487" s="131">
        <v>0</v>
      </c>
      <c r="AA1487" s="131">
        <v>1179793</v>
      </c>
      <c r="AB1487" s="131">
        <v>0</v>
      </c>
      <c r="AC1487" s="131">
        <v>1179793</v>
      </c>
      <c r="AD1487" s="131">
        <v>0</v>
      </c>
      <c r="AE1487" s="132">
        <v>1179793</v>
      </c>
    </row>
    <row r="1488" spans="1:31" x14ac:dyDescent="0.2">
      <c r="A1488" s="133">
        <v>248</v>
      </c>
      <c r="B1488" s="133" t="s">
        <v>2001</v>
      </c>
      <c r="C1488" s="133" t="s">
        <v>1114</v>
      </c>
      <c r="D1488" s="133" t="s">
        <v>1554</v>
      </c>
      <c r="E1488" s="133" t="s">
        <v>1116</v>
      </c>
      <c r="F1488" s="133" t="s">
        <v>1117</v>
      </c>
      <c r="G1488" s="133" t="s">
        <v>1118</v>
      </c>
      <c r="H1488" s="130" t="s">
        <v>1133</v>
      </c>
      <c r="I1488" s="130" t="s">
        <v>1134</v>
      </c>
      <c r="J1488" s="130" t="s">
        <v>1135</v>
      </c>
      <c r="K1488" s="130" t="s">
        <v>1144</v>
      </c>
      <c r="L1488" s="130" t="s">
        <v>2002</v>
      </c>
      <c r="M1488" s="130" t="s">
        <v>1925</v>
      </c>
      <c r="N1488" s="130" t="s">
        <v>168</v>
      </c>
      <c r="O1488" s="130" t="s">
        <v>1551</v>
      </c>
      <c r="P1488" s="130" t="s">
        <v>1552</v>
      </c>
      <c r="Q1488" s="130" t="s">
        <v>1127</v>
      </c>
      <c r="R1488" s="130" t="s">
        <v>1187</v>
      </c>
      <c r="S1488" s="130" t="s">
        <v>1427</v>
      </c>
      <c r="T1488" s="130" t="s">
        <v>1130</v>
      </c>
      <c r="U1488" s="130">
        <v>0</v>
      </c>
      <c r="V1488" s="131">
        <v>820207</v>
      </c>
      <c r="W1488" s="131">
        <v>820207</v>
      </c>
      <c r="X1488" s="131">
        <v>0</v>
      </c>
      <c r="Y1488" s="131">
        <v>820207</v>
      </c>
      <c r="Z1488" s="131">
        <v>0</v>
      </c>
      <c r="AA1488" s="131">
        <v>820207</v>
      </c>
      <c r="AB1488" s="131">
        <v>0</v>
      </c>
      <c r="AC1488" s="131">
        <v>820207</v>
      </c>
      <c r="AD1488" s="131">
        <v>0</v>
      </c>
      <c r="AE1488" s="132">
        <v>820207</v>
      </c>
    </row>
    <row r="1489" spans="1:31" x14ac:dyDescent="0.2">
      <c r="A1489" s="130">
        <v>249</v>
      </c>
      <c r="B1489" s="130" t="s">
        <v>2003</v>
      </c>
      <c r="C1489" s="130" t="s">
        <v>1147</v>
      </c>
      <c r="D1489" s="130" t="s">
        <v>2004</v>
      </c>
      <c r="E1489" s="130" t="s">
        <v>1116</v>
      </c>
      <c r="F1489" s="130" t="s">
        <v>1117</v>
      </c>
      <c r="G1489" s="130" t="s">
        <v>1118</v>
      </c>
      <c r="H1489" s="130" t="s">
        <v>1133</v>
      </c>
      <c r="I1489" s="130" t="s">
        <v>1134</v>
      </c>
      <c r="J1489" s="130" t="s">
        <v>1135</v>
      </c>
      <c r="K1489" s="130" t="s">
        <v>1179</v>
      </c>
      <c r="L1489" s="130" t="s">
        <v>2005</v>
      </c>
      <c r="M1489" s="130" t="s">
        <v>1925</v>
      </c>
      <c r="N1489" s="130" t="s">
        <v>152</v>
      </c>
      <c r="O1489" s="130" t="s">
        <v>1125</v>
      </c>
      <c r="P1489" s="130" t="s">
        <v>1126</v>
      </c>
      <c r="Q1489" s="130" t="s">
        <v>1127</v>
      </c>
      <c r="R1489" s="130" t="s">
        <v>1191</v>
      </c>
      <c r="S1489" s="130" t="s">
        <v>1157</v>
      </c>
      <c r="T1489" s="130" t="s">
        <v>1208</v>
      </c>
      <c r="U1489" s="130">
        <v>89896</v>
      </c>
      <c r="V1489" s="131">
        <v>-89896</v>
      </c>
      <c r="W1489" s="131">
        <v>0</v>
      </c>
      <c r="X1489" s="131">
        <v>0</v>
      </c>
      <c r="Y1489" s="131">
        <v>0</v>
      </c>
      <c r="Z1489" s="131">
        <v>0</v>
      </c>
      <c r="AA1489" s="131">
        <v>0</v>
      </c>
      <c r="AB1489" s="131">
        <v>0</v>
      </c>
      <c r="AC1489" s="131">
        <v>0</v>
      </c>
      <c r="AD1489" s="131">
        <v>0</v>
      </c>
      <c r="AE1489" s="132">
        <v>0</v>
      </c>
    </row>
    <row r="1490" spans="1:31" x14ac:dyDescent="0.2">
      <c r="A1490" s="130">
        <v>250</v>
      </c>
      <c r="B1490" s="130" t="s">
        <v>2006</v>
      </c>
      <c r="C1490" s="130" t="s">
        <v>1114</v>
      </c>
      <c r="D1490" s="130" t="s">
        <v>1168</v>
      </c>
      <c r="E1490" s="130" t="s">
        <v>1116</v>
      </c>
      <c r="F1490" s="130" t="s">
        <v>1117</v>
      </c>
      <c r="G1490" s="130" t="s">
        <v>1118</v>
      </c>
      <c r="H1490" s="130" t="s">
        <v>1119</v>
      </c>
      <c r="I1490" s="130" t="s">
        <v>1169</v>
      </c>
      <c r="J1490" s="130" t="s">
        <v>1170</v>
      </c>
      <c r="K1490" s="130" t="s">
        <v>1122</v>
      </c>
      <c r="L1490" s="130" t="s">
        <v>2007</v>
      </c>
      <c r="M1490" s="130" t="s">
        <v>1925</v>
      </c>
      <c r="N1490" s="130" t="s">
        <v>148</v>
      </c>
      <c r="O1490" s="130" t="s">
        <v>1729</v>
      </c>
      <c r="P1490" s="130" t="s">
        <v>2008</v>
      </c>
      <c r="Q1490" s="130" t="s">
        <v>1127</v>
      </c>
      <c r="R1490" s="130" t="s">
        <v>1380</v>
      </c>
      <c r="S1490" s="130" t="s">
        <v>1157</v>
      </c>
      <c r="T1490" s="130" t="s">
        <v>1130</v>
      </c>
      <c r="U1490" s="130">
        <v>800000</v>
      </c>
      <c r="V1490" s="131">
        <v>-70632</v>
      </c>
      <c r="W1490" s="131">
        <v>729368</v>
      </c>
      <c r="X1490" s="131">
        <v>0</v>
      </c>
      <c r="Y1490" s="131">
        <v>729368</v>
      </c>
      <c r="Z1490" s="131">
        <v>0</v>
      </c>
      <c r="AA1490" s="131">
        <v>729368</v>
      </c>
      <c r="AB1490" s="131">
        <v>0</v>
      </c>
      <c r="AC1490" s="131">
        <v>729368</v>
      </c>
      <c r="AD1490" s="131">
        <v>0</v>
      </c>
      <c r="AE1490" s="132">
        <v>729368</v>
      </c>
    </row>
    <row r="1491" spans="1:31" x14ac:dyDescent="0.2">
      <c r="A1491" s="130">
        <v>251</v>
      </c>
      <c r="B1491" s="130" t="s">
        <v>2009</v>
      </c>
      <c r="C1491" s="130" t="s">
        <v>1114</v>
      </c>
      <c r="D1491" s="130" t="s">
        <v>1954</v>
      </c>
      <c r="E1491" s="130" t="s">
        <v>1116</v>
      </c>
      <c r="F1491" s="130" t="s">
        <v>1117</v>
      </c>
      <c r="G1491" s="130" t="s">
        <v>1118</v>
      </c>
      <c r="H1491" s="130" t="s">
        <v>1119</v>
      </c>
      <c r="I1491" s="130" t="s">
        <v>1120</v>
      </c>
      <c r="J1491" s="130" t="s">
        <v>1121</v>
      </c>
      <c r="K1491" s="130" t="s">
        <v>1122</v>
      </c>
      <c r="L1491" s="130" t="s">
        <v>2010</v>
      </c>
      <c r="M1491" s="130" t="s">
        <v>1925</v>
      </c>
      <c r="N1491" s="130" t="s">
        <v>152</v>
      </c>
      <c r="O1491" s="130" t="s">
        <v>1125</v>
      </c>
      <c r="P1491" s="130" t="s">
        <v>1126</v>
      </c>
      <c r="Q1491" s="130" t="s">
        <v>1127</v>
      </c>
      <c r="R1491" s="130" t="s">
        <v>1128</v>
      </c>
      <c r="S1491" s="130" t="s">
        <v>1129</v>
      </c>
      <c r="T1491" s="130" t="s">
        <v>1158</v>
      </c>
      <c r="U1491" s="130">
        <v>12273214</v>
      </c>
      <c r="V1491" s="131">
        <v>-11469710</v>
      </c>
      <c r="W1491" s="131">
        <v>803504</v>
      </c>
      <c r="X1491" s="131">
        <v>0</v>
      </c>
      <c r="Y1491" s="131">
        <v>803504</v>
      </c>
      <c r="Z1491" s="131">
        <v>0</v>
      </c>
      <c r="AA1491" s="131">
        <v>803504</v>
      </c>
      <c r="AB1491" s="131">
        <v>0</v>
      </c>
      <c r="AC1491" s="131">
        <v>803504</v>
      </c>
      <c r="AD1491" s="131">
        <v>0</v>
      </c>
      <c r="AE1491" s="132">
        <v>803504</v>
      </c>
    </row>
    <row r="1492" spans="1:31" x14ac:dyDescent="0.2">
      <c r="A1492" s="133">
        <v>251</v>
      </c>
      <c r="B1492" s="133" t="s">
        <v>2009</v>
      </c>
      <c r="C1492" s="133" t="s">
        <v>1114</v>
      </c>
      <c r="D1492" s="133" t="s">
        <v>1954</v>
      </c>
      <c r="E1492" s="133" t="s">
        <v>1116</v>
      </c>
      <c r="F1492" s="133" t="s">
        <v>1117</v>
      </c>
      <c r="G1492" s="133" t="s">
        <v>1118</v>
      </c>
      <c r="H1492" s="130" t="s">
        <v>1133</v>
      </c>
      <c r="I1492" s="130" t="s">
        <v>1134</v>
      </c>
      <c r="J1492" s="130" t="s">
        <v>1166</v>
      </c>
      <c r="K1492" s="130" t="s">
        <v>1167</v>
      </c>
      <c r="L1492" s="130" t="s">
        <v>2010</v>
      </c>
      <c r="M1492" s="130" t="s">
        <v>1925</v>
      </c>
      <c r="N1492" s="130" t="s">
        <v>152</v>
      </c>
      <c r="O1492" s="130" t="s">
        <v>1125</v>
      </c>
      <c r="P1492" s="130" t="s">
        <v>1126</v>
      </c>
      <c r="Q1492" s="130" t="s">
        <v>1127</v>
      </c>
      <c r="R1492" s="130" t="s">
        <v>1128</v>
      </c>
      <c r="S1492" s="130" t="s">
        <v>1129</v>
      </c>
      <c r="T1492" s="130" t="s">
        <v>1158</v>
      </c>
      <c r="U1492" s="130">
        <v>0</v>
      </c>
      <c r="V1492" s="131">
        <v>1556921</v>
      </c>
      <c r="W1492" s="131">
        <v>1556921</v>
      </c>
      <c r="X1492" s="131">
        <v>480065.3</v>
      </c>
      <c r="Y1492" s="131">
        <v>1076855.7</v>
      </c>
      <c r="Z1492" s="131">
        <v>480065.3</v>
      </c>
      <c r="AA1492" s="131">
        <v>1076855.7</v>
      </c>
      <c r="AB1492" s="131">
        <v>0</v>
      </c>
      <c r="AC1492" s="131">
        <v>1556921</v>
      </c>
      <c r="AD1492" s="131">
        <v>0</v>
      </c>
      <c r="AE1492" s="132">
        <v>1556921</v>
      </c>
    </row>
    <row r="1493" spans="1:31" x14ac:dyDescent="0.2">
      <c r="A1493" s="130">
        <v>252</v>
      </c>
      <c r="B1493" s="130" t="s">
        <v>2011</v>
      </c>
      <c r="C1493" s="130" t="s">
        <v>1114</v>
      </c>
      <c r="D1493" s="130" t="s">
        <v>1473</v>
      </c>
      <c r="E1493" s="130" t="s">
        <v>1116</v>
      </c>
      <c r="F1493" s="130" t="s">
        <v>1117</v>
      </c>
      <c r="G1493" s="130" t="s">
        <v>1118</v>
      </c>
      <c r="H1493" s="130" t="s">
        <v>1119</v>
      </c>
      <c r="I1493" s="130" t="s">
        <v>1120</v>
      </c>
      <c r="J1493" s="130" t="s">
        <v>2012</v>
      </c>
      <c r="K1493" s="130" t="s">
        <v>1122</v>
      </c>
      <c r="L1493" s="130" t="s">
        <v>2013</v>
      </c>
      <c r="M1493" s="130" t="s">
        <v>1925</v>
      </c>
      <c r="N1493" s="130" t="s">
        <v>165</v>
      </c>
      <c r="O1493" s="130" t="s">
        <v>1476</v>
      </c>
      <c r="P1493" s="130" t="s">
        <v>1477</v>
      </c>
      <c r="Q1493" s="130" t="s">
        <v>1127</v>
      </c>
      <c r="R1493" s="130" t="s">
        <v>1191</v>
      </c>
      <c r="S1493" s="130" t="s">
        <v>1191</v>
      </c>
      <c r="T1493" s="130" t="s">
        <v>1770</v>
      </c>
      <c r="U1493" s="130">
        <v>327863</v>
      </c>
      <c r="V1493" s="131">
        <v>0</v>
      </c>
      <c r="W1493" s="131">
        <v>327863</v>
      </c>
      <c r="X1493" s="131">
        <v>327863</v>
      </c>
      <c r="Y1493" s="131">
        <v>0</v>
      </c>
      <c r="Z1493" s="131">
        <v>0</v>
      </c>
      <c r="AA1493" s="131">
        <v>327863</v>
      </c>
      <c r="AB1493" s="131">
        <v>0</v>
      </c>
      <c r="AC1493" s="131">
        <v>327863</v>
      </c>
      <c r="AD1493" s="131">
        <v>0</v>
      </c>
      <c r="AE1493" s="132">
        <v>327863</v>
      </c>
    </row>
    <row r="1494" spans="1:31" x14ac:dyDescent="0.2">
      <c r="A1494" s="130">
        <v>253</v>
      </c>
      <c r="B1494" s="130" t="s">
        <v>2014</v>
      </c>
      <c r="C1494" s="130" t="s">
        <v>1114</v>
      </c>
      <c r="D1494" s="130" t="s">
        <v>1168</v>
      </c>
      <c r="E1494" s="130" t="s">
        <v>1116</v>
      </c>
      <c r="F1494" s="130" t="s">
        <v>1117</v>
      </c>
      <c r="G1494" s="130" t="s">
        <v>1118</v>
      </c>
      <c r="H1494" s="130" t="s">
        <v>1159</v>
      </c>
      <c r="I1494" s="130" t="s">
        <v>1160</v>
      </c>
      <c r="J1494" s="130" t="s">
        <v>1163</v>
      </c>
      <c r="K1494" s="130" t="s">
        <v>1165</v>
      </c>
      <c r="L1494" s="130" t="s">
        <v>2015</v>
      </c>
      <c r="M1494" s="130" t="s">
        <v>1925</v>
      </c>
      <c r="N1494" s="130" t="s">
        <v>148</v>
      </c>
      <c r="O1494" s="130" t="s">
        <v>1729</v>
      </c>
      <c r="P1494" s="130" t="s">
        <v>2008</v>
      </c>
      <c r="Q1494" s="130" t="s">
        <v>1127</v>
      </c>
      <c r="R1494" s="130" t="s">
        <v>1409</v>
      </c>
      <c r="S1494" s="130" t="s">
        <v>1157</v>
      </c>
      <c r="T1494" s="130" t="s">
        <v>1176</v>
      </c>
      <c r="U1494" s="130">
        <v>200000</v>
      </c>
      <c r="V1494" s="131">
        <v>-200000</v>
      </c>
      <c r="W1494" s="131">
        <v>0</v>
      </c>
      <c r="X1494" s="131">
        <v>0</v>
      </c>
      <c r="Y1494" s="131">
        <v>0</v>
      </c>
      <c r="Z1494" s="131">
        <v>0</v>
      </c>
      <c r="AA1494" s="131">
        <v>0</v>
      </c>
      <c r="AB1494" s="131">
        <v>0</v>
      </c>
      <c r="AC1494" s="131">
        <v>0</v>
      </c>
      <c r="AD1494" s="131">
        <v>0</v>
      </c>
      <c r="AE1494" s="132">
        <v>0</v>
      </c>
    </row>
    <row r="1495" spans="1:31" x14ac:dyDescent="0.2">
      <c r="A1495" s="130">
        <v>254</v>
      </c>
      <c r="B1495" s="130" t="s">
        <v>2016</v>
      </c>
      <c r="C1495" s="130" t="s">
        <v>1147</v>
      </c>
      <c r="D1495" s="130" t="s">
        <v>2017</v>
      </c>
      <c r="E1495" s="130" t="s">
        <v>1116</v>
      </c>
      <c r="F1495" s="130" t="s">
        <v>1117</v>
      </c>
      <c r="G1495" s="130" t="s">
        <v>1118</v>
      </c>
      <c r="H1495" s="130" t="s">
        <v>1149</v>
      </c>
      <c r="I1495" s="130" t="s">
        <v>1182</v>
      </c>
      <c r="J1495" s="130" t="s">
        <v>1942</v>
      </c>
      <c r="K1495" s="130" t="s">
        <v>1944</v>
      </c>
      <c r="L1495" s="130" t="s">
        <v>2018</v>
      </c>
      <c r="M1495" s="130" t="s">
        <v>1925</v>
      </c>
      <c r="N1495" s="130" t="s">
        <v>152</v>
      </c>
      <c r="O1495" s="130" t="s">
        <v>1125</v>
      </c>
      <c r="P1495" s="130" t="s">
        <v>2019</v>
      </c>
      <c r="Q1495" s="130" t="s">
        <v>1127</v>
      </c>
      <c r="R1495" s="130" t="s">
        <v>1140</v>
      </c>
      <c r="S1495" s="130" t="s">
        <v>1141</v>
      </c>
      <c r="T1495" s="130" t="s">
        <v>1188</v>
      </c>
      <c r="U1495" s="130">
        <v>21175</v>
      </c>
      <c r="V1495" s="131">
        <v>2301025</v>
      </c>
      <c r="W1495" s="131">
        <v>2322200</v>
      </c>
      <c r="X1495" s="131">
        <v>2322200</v>
      </c>
      <c r="Y1495" s="131">
        <v>0</v>
      </c>
      <c r="Z1495" s="131">
        <v>0</v>
      </c>
      <c r="AA1495" s="131">
        <v>2322200</v>
      </c>
      <c r="AB1495" s="131">
        <v>0</v>
      </c>
      <c r="AC1495" s="131">
        <v>2322200</v>
      </c>
      <c r="AD1495" s="131">
        <v>0</v>
      </c>
      <c r="AE1495" s="132">
        <v>2322200</v>
      </c>
    </row>
    <row r="1496" spans="1:31" x14ac:dyDescent="0.2">
      <c r="A1496" s="133">
        <v>254</v>
      </c>
      <c r="B1496" s="133" t="s">
        <v>2016</v>
      </c>
      <c r="C1496" s="133" t="s">
        <v>1147</v>
      </c>
      <c r="D1496" s="133" t="s">
        <v>2017</v>
      </c>
      <c r="E1496" s="133" t="s">
        <v>1116</v>
      </c>
      <c r="F1496" s="133" t="s">
        <v>1117</v>
      </c>
      <c r="G1496" s="133" t="s">
        <v>1118</v>
      </c>
      <c r="H1496" s="130" t="s">
        <v>1159</v>
      </c>
      <c r="I1496" s="130" t="s">
        <v>1160</v>
      </c>
      <c r="J1496" s="130" t="s">
        <v>1163</v>
      </c>
      <c r="K1496" s="130" t="s">
        <v>1164</v>
      </c>
      <c r="L1496" s="130" t="s">
        <v>2018</v>
      </c>
      <c r="M1496" s="130" t="s">
        <v>1925</v>
      </c>
      <c r="N1496" s="130" t="s">
        <v>152</v>
      </c>
      <c r="O1496" s="130" t="s">
        <v>1125</v>
      </c>
      <c r="P1496" s="130" t="s">
        <v>2019</v>
      </c>
      <c r="Q1496" s="130" t="s">
        <v>1127</v>
      </c>
      <c r="R1496" s="130" t="s">
        <v>1140</v>
      </c>
      <c r="S1496" s="130" t="s">
        <v>1141</v>
      </c>
      <c r="T1496" s="130" t="s">
        <v>1188</v>
      </c>
      <c r="U1496" s="130">
        <v>0</v>
      </c>
      <c r="V1496" s="131">
        <v>48700</v>
      </c>
      <c r="W1496" s="131">
        <v>48700</v>
      </c>
      <c r="X1496" s="131">
        <v>48700</v>
      </c>
      <c r="Y1496" s="131">
        <v>0</v>
      </c>
      <c r="Z1496" s="131">
        <v>48700</v>
      </c>
      <c r="AA1496" s="131">
        <v>0</v>
      </c>
      <c r="AB1496" s="131">
        <v>45028.6</v>
      </c>
      <c r="AC1496" s="131">
        <v>3671.4000000000015</v>
      </c>
      <c r="AD1496" s="131">
        <v>45028.6</v>
      </c>
      <c r="AE1496" s="132">
        <v>3671.4000000000015</v>
      </c>
    </row>
    <row r="1497" spans="1:31" x14ac:dyDescent="0.2">
      <c r="A1497" s="133">
        <v>254</v>
      </c>
      <c r="B1497" s="133" t="s">
        <v>2016</v>
      </c>
      <c r="C1497" s="133" t="s">
        <v>1147</v>
      </c>
      <c r="D1497" s="133" t="s">
        <v>2017</v>
      </c>
      <c r="E1497" s="133" t="s">
        <v>1116</v>
      </c>
      <c r="F1497" s="133" t="s">
        <v>1117</v>
      </c>
      <c r="G1497" s="133" t="s">
        <v>1118</v>
      </c>
      <c r="H1497" s="133" t="s">
        <v>1159</v>
      </c>
      <c r="I1497" s="133" t="s">
        <v>1160</v>
      </c>
      <c r="J1497" s="133" t="s">
        <v>1163</v>
      </c>
      <c r="K1497" s="130" t="s">
        <v>1165</v>
      </c>
      <c r="L1497" s="130" t="s">
        <v>2018</v>
      </c>
      <c r="M1497" s="130" t="s">
        <v>1925</v>
      </c>
      <c r="N1497" s="130" t="s">
        <v>152</v>
      </c>
      <c r="O1497" s="130" t="s">
        <v>1125</v>
      </c>
      <c r="P1497" s="130" t="s">
        <v>2019</v>
      </c>
      <c r="Q1497" s="130" t="s">
        <v>1127</v>
      </c>
      <c r="R1497" s="130" t="s">
        <v>1140</v>
      </c>
      <c r="S1497" s="130" t="s">
        <v>1141</v>
      </c>
      <c r="T1497" s="130" t="s">
        <v>1188</v>
      </c>
      <c r="U1497" s="130">
        <v>0</v>
      </c>
      <c r="V1497" s="131">
        <v>1440</v>
      </c>
      <c r="W1497" s="131">
        <v>1440</v>
      </c>
      <c r="X1497" s="131">
        <v>1440</v>
      </c>
      <c r="Y1497" s="131">
        <v>0</v>
      </c>
      <c r="Z1497" s="131">
        <v>1440</v>
      </c>
      <c r="AA1497" s="131">
        <v>0</v>
      </c>
      <c r="AB1497" s="131">
        <v>1440</v>
      </c>
      <c r="AC1497" s="131">
        <v>0</v>
      </c>
      <c r="AD1497" s="131">
        <v>1440</v>
      </c>
      <c r="AE1497" s="132">
        <v>0</v>
      </c>
    </row>
    <row r="1498" spans="1:31" x14ac:dyDescent="0.2">
      <c r="A1498" s="133">
        <v>254</v>
      </c>
      <c r="B1498" s="133" t="s">
        <v>2016</v>
      </c>
      <c r="C1498" s="133" t="s">
        <v>1147</v>
      </c>
      <c r="D1498" s="133" t="s">
        <v>2017</v>
      </c>
      <c r="E1498" s="133" t="s">
        <v>1116</v>
      </c>
      <c r="F1498" s="133" t="s">
        <v>1117</v>
      </c>
      <c r="G1498" s="133" t="s">
        <v>1118</v>
      </c>
      <c r="H1498" s="133" t="s">
        <v>1159</v>
      </c>
      <c r="I1498" s="133" t="s">
        <v>1160</v>
      </c>
      <c r="J1498" s="133" t="s">
        <v>1163</v>
      </c>
      <c r="K1498" s="130" t="s">
        <v>1162</v>
      </c>
      <c r="L1498" s="130" t="s">
        <v>2018</v>
      </c>
      <c r="M1498" s="130" t="s">
        <v>1925</v>
      </c>
      <c r="N1498" s="130" t="s">
        <v>152</v>
      </c>
      <c r="O1498" s="130" t="s">
        <v>1125</v>
      </c>
      <c r="P1498" s="130" t="s">
        <v>2019</v>
      </c>
      <c r="Q1498" s="130" t="s">
        <v>1127</v>
      </c>
      <c r="R1498" s="130" t="s">
        <v>1140</v>
      </c>
      <c r="S1498" s="130" t="s">
        <v>1141</v>
      </c>
      <c r="T1498" s="130" t="s">
        <v>1188</v>
      </c>
      <c r="U1498" s="130">
        <v>0</v>
      </c>
      <c r="V1498" s="131">
        <v>1600</v>
      </c>
      <c r="W1498" s="131">
        <v>1600</v>
      </c>
      <c r="X1498" s="131">
        <v>1600</v>
      </c>
      <c r="Y1498" s="131">
        <v>0</v>
      </c>
      <c r="Z1498" s="131">
        <v>1600</v>
      </c>
      <c r="AA1498" s="131">
        <v>0</v>
      </c>
      <c r="AB1498" s="131">
        <v>1600</v>
      </c>
      <c r="AC1498" s="131">
        <v>0</v>
      </c>
      <c r="AD1498" s="131">
        <v>1600</v>
      </c>
      <c r="AE1498" s="132">
        <v>0</v>
      </c>
    </row>
    <row r="1499" spans="1:31" x14ac:dyDescent="0.2">
      <c r="A1499" s="133">
        <v>254</v>
      </c>
      <c r="B1499" s="133" t="s">
        <v>2016</v>
      </c>
      <c r="C1499" s="133" t="s">
        <v>1147</v>
      </c>
      <c r="D1499" s="133" t="s">
        <v>2017</v>
      </c>
      <c r="E1499" s="133" t="s">
        <v>1116</v>
      </c>
      <c r="F1499" s="133" t="s">
        <v>1117</v>
      </c>
      <c r="G1499" s="133" t="s">
        <v>1118</v>
      </c>
      <c r="H1499" s="130" t="s">
        <v>1133</v>
      </c>
      <c r="I1499" s="130" t="s">
        <v>1134</v>
      </c>
      <c r="J1499" s="130" t="s">
        <v>1135</v>
      </c>
      <c r="K1499" s="130" t="s">
        <v>1178</v>
      </c>
      <c r="L1499" s="130" t="s">
        <v>2018</v>
      </c>
      <c r="M1499" s="130" t="s">
        <v>1925</v>
      </c>
      <c r="N1499" s="130" t="s">
        <v>152</v>
      </c>
      <c r="O1499" s="130" t="s">
        <v>1125</v>
      </c>
      <c r="P1499" s="130" t="s">
        <v>2019</v>
      </c>
      <c r="Q1499" s="130" t="s">
        <v>1127</v>
      </c>
      <c r="R1499" s="130" t="s">
        <v>1140</v>
      </c>
      <c r="S1499" s="130" t="s">
        <v>1141</v>
      </c>
      <c r="T1499" s="130" t="s">
        <v>1188</v>
      </c>
      <c r="U1499" s="130">
        <v>0</v>
      </c>
      <c r="V1499" s="131">
        <v>16500</v>
      </c>
      <c r="W1499" s="131">
        <v>16500</v>
      </c>
      <c r="X1499" s="131">
        <v>16500</v>
      </c>
      <c r="Y1499" s="131">
        <v>0</v>
      </c>
      <c r="Z1499" s="131">
        <v>16500</v>
      </c>
      <c r="AA1499" s="131">
        <v>0</v>
      </c>
      <c r="AB1499" s="131">
        <v>16488.849999999999</v>
      </c>
      <c r="AC1499" s="131">
        <v>11.150000000001455</v>
      </c>
      <c r="AD1499" s="131">
        <v>16488.849999999999</v>
      </c>
      <c r="AE1499" s="132">
        <v>11.150000000001455</v>
      </c>
    </row>
    <row r="1500" spans="1:31" x14ac:dyDescent="0.2">
      <c r="A1500" s="133">
        <v>254</v>
      </c>
      <c r="B1500" s="133" t="s">
        <v>2016</v>
      </c>
      <c r="C1500" s="133" t="s">
        <v>1147</v>
      </c>
      <c r="D1500" s="133" t="s">
        <v>2017</v>
      </c>
      <c r="E1500" s="133" t="s">
        <v>1116</v>
      </c>
      <c r="F1500" s="133" t="s">
        <v>1117</v>
      </c>
      <c r="G1500" s="133" t="s">
        <v>1118</v>
      </c>
      <c r="H1500" s="133" t="s">
        <v>1133</v>
      </c>
      <c r="I1500" s="133" t="s">
        <v>1134</v>
      </c>
      <c r="J1500" s="133" t="s">
        <v>1135</v>
      </c>
      <c r="K1500" s="130" t="s">
        <v>1179</v>
      </c>
      <c r="L1500" s="130" t="s">
        <v>2018</v>
      </c>
      <c r="M1500" s="130" t="s">
        <v>1925</v>
      </c>
      <c r="N1500" s="130" t="s">
        <v>152</v>
      </c>
      <c r="O1500" s="130" t="s">
        <v>1125</v>
      </c>
      <c r="P1500" s="130" t="s">
        <v>2019</v>
      </c>
      <c r="Q1500" s="130" t="s">
        <v>1127</v>
      </c>
      <c r="R1500" s="130" t="s">
        <v>1140</v>
      </c>
      <c r="S1500" s="130" t="s">
        <v>1141</v>
      </c>
      <c r="T1500" s="130" t="s">
        <v>1188</v>
      </c>
      <c r="U1500" s="130">
        <v>0</v>
      </c>
      <c r="V1500" s="131">
        <v>0</v>
      </c>
      <c r="W1500" s="131">
        <v>0</v>
      </c>
      <c r="X1500" s="131">
        <v>0</v>
      </c>
      <c r="Y1500" s="131">
        <v>0</v>
      </c>
      <c r="Z1500" s="131">
        <v>0</v>
      </c>
      <c r="AA1500" s="131">
        <v>0</v>
      </c>
      <c r="AB1500" s="131">
        <v>0</v>
      </c>
      <c r="AC1500" s="131">
        <v>0</v>
      </c>
      <c r="AD1500" s="131">
        <v>0</v>
      </c>
      <c r="AE1500" s="132">
        <v>0</v>
      </c>
    </row>
    <row r="1501" spans="1:31" x14ac:dyDescent="0.2">
      <c r="A1501" s="133">
        <v>254</v>
      </c>
      <c r="B1501" s="133" t="s">
        <v>2016</v>
      </c>
      <c r="C1501" s="133" t="s">
        <v>1147</v>
      </c>
      <c r="D1501" s="133" t="s">
        <v>2017</v>
      </c>
      <c r="E1501" s="133" t="s">
        <v>1116</v>
      </c>
      <c r="F1501" s="133" t="s">
        <v>1117</v>
      </c>
      <c r="G1501" s="133" t="s">
        <v>1118</v>
      </c>
      <c r="H1501" s="133" t="s">
        <v>1133</v>
      </c>
      <c r="I1501" s="133" t="s">
        <v>1134</v>
      </c>
      <c r="J1501" s="133" t="s">
        <v>1135</v>
      </c>
      <c r="K1501" s="130" t="s">
        <v>1144</v>
      </c>
      <c r="L1501" s="130" t="s">
        <v>2018</v>
      </c>
      <c r="M1501" s="130" t="s">
        <v>1925</v>
      </c>
      <c r="N1501" s="130" t="s">
        <v>152</v>
      </c>
      <c r="O1501" s="130" t="s">
        <v>1125</v>
      </c>
      <c r="P1501" s="130" t="s">
        <v>2019</v>
      </c>
      <c r="Q1501" s="130" t="s">
        <v>1127</v>
      </c>
      <c r="R1501" s="130" t="s">
        <v>1140</v>
      </c>
      <c r="S1501" s="130" t="s">
        <v>1141</v>
      </c>
      <c r="T1501" s="130" t="s">
        <v>1188</v>
      </c>
      <c r="U1501" s="130">
        <v>0</v>
      </c>
      <c r="V1501" s="131">
        <v>0</v>
      </c>
      <c r="W1501" s="131">
        <v>0</v>
      </c>
      <c r="X1501" s="131">
        <v>0</v>
      </c>
      <c r="Y1501" s="131">
        <v>0</v>
      </c>
      <c r="Z1501" s="131">
        <v>0</v>
      </c>
      <c r="AA1501" s="131">
        <v>0</v>
      </c>
      <c r="AB1501" s="131">
        <v>0</v>
      </c>
      <c r="AC1501" s="131">
        <v>0</v>
      </c>
      <c r="AD1501" s="131">
        <v>0</v>
      </c>
      <c r="AE1501" s="132">
        <v>0</v>
      </c>
    </row>
    <row r="1502" spans="1:31" x14ac:dyDescent="0.2">
      <c r="A1502" s="130">
        <v>255</v>
      </c>
      <c r="B1502" s="130" t="s">
        <v>2020</v>
      </c>
      <c r="C1502" s="130" t="s">
        <v>1147</v>
      </c>
      <c r="D1502" s="130" t="s">
        <v>2017</v>
      </c>
      <c r="E1502" s="130" t="s">
        <v>1116</v>
      </c>
      <c r="F1502" s="130" t="s">
        <v>1117</v>
      </c>
      <c r="G1502" s="130" t="s">
        <v>1118</v>
      </c>
      <c r="H1502" s="130" t="s">
        <v>1149</v>
      </c>
      <c r="I1502" s="130" t="s">
        <v>1182</v>
      </c>
      <c r="J1502" s="130" t="s">
        <v>1942</v>
      </c>
      <c r="K1502" s="130" t="s">
        <v>1944</v>
      </c>
      <c r="L1502" s="130" t="s">
        <v>2021</v>
      </c>
      <c r="M1502" s="130" t="s">
        <v>1925</v>
      </c>
      <c r="N1502" s="130" t="s">
        <v>152</v>
      </c>
      <c r="O1502" s="130" t="s">
        <v>1125</v>
      </c>
      <c r="P1502" s="130" t="s">
        <v>2019</v>
      </c>
      <c r="Q1502" s="130" t="s">
        <v>1127</v>
      </c>
      <c r="R1502" s="130" t="s">
        <v>1140</v>
      </c>
      <c r="S1502" s="130" t="s">
        <v>1141</v>
      </c>
      <c r="T1502" s="130" t="s">
        <v>1188</v>
      </c>
      <c r="U1502" s="130">
        <v>40062</v>
      </c>
      <c r="V1502" s="131">
        <v>-20600</v>
      </c>
      <c r="W1502" s="131">
        <v>19462</v>
      </c>
      <c r="X1502" s="131">
        <v>0</v>
      </c>
      <c r="Y1502" s="131">
        <v>19462</v>
      </c>
      <c r="Z1502" s="131">
        <v>0</v>
      </c>
      <c r="AA1502" s="131">
        <v>19462</v>
      </c>
      <c r="AB1502" s="131">
        <v>0</v>
      </c>
      <c r="AC1502" s="131">
        <v>19462</v>
      </c>
      <c r="AD1502" s="131">
        <v>0</v>
      </c>
      <c r="AE1502" s="132">
        <v>19462</v>
      </c>
    </row>
    <row r="1503" spans="1:31" x14ac:dyDescent="0.2">
      <c r="A1503" s="133">
        <v>255</v>
      </c>
      <c r="B1503" s="133" t="s">
        <v>2020</v>
      </c>
      <c r="C1503" s="133" t="s">
        <v>1147</v>
      </c>
      <c r="D1503" s="133" t="s">
        <v>2017</v>
      </c>
      <c r="E1503" s="133" t="s">
        <v>1116</v>
      </c>
      <c r="F1503" s="133" t="s">
        <v>1117</v>
      </c>
      <c r="G1503" s="133" t="s">
        <v>1118</v>
      </c>
      <c r="H1503" s="130" t="s">
        <v>1133</v>
      </c>
      <c r="I1503" s="130" t="s">
        <v>1134</v>
      </c>
      <c r="J1503" s="130" t="s">
        <v>1135</v>
      </c>
      <c r="K1503" s="130" t="s">
        <v>1178</v>
      </c>
      <c r="L1503" s="130" t="s">
        <v>2021</v>
      </c>
      <c r="M1503" s="130" t="s">
        <v>1925</v>
      </c>
      <c r="N1503" s="130" t="s">
        <v>152</v>
      </c>
      <c r="O1503" s="130" t="s">
        <v>1125</v>
      </c>
      <c r="P1503" s="130" t="s">
        <v>2019</v>
      </c>
      <c r="Q1503" s="130" t="s">
        <v>1127</v>
      </c>
      <c r="R1503" s="130" t="s">
        <v>1140</v>
      </c>
      <c r="S1503" s="130" t="s">
        <v>1141</v>
      </c>
      <c r="T1503" s="130" t="s">
        <v>1188</v>
      </c>
      <c r="U1503" s="130">
        <v>0</v>
      </c>
      <c r="V1503" s="131">
        <v>20600</v>
      </c>
      <c r="W1503" s="131">
        <v>20600</v>
      </c>
      <c r="X1503" s="131">
        <v>20600</v>
      </c>
      <c r="Y1503" s="131">
        <v>0</v>
      </c>
      <c r="Z1503" s="131">
        <v>20600</v>
      </c>
      <c r="AA1503" s="131">
        <v>0</v>
      </c>
      <c r="AB1503" s="131">
        <v>17783.599999999999</v>
      </c>
      <c r="AC1503" s="131">
        <v>2816.4000000000015</v>
      </c>
      <c r="AD1503" s="131">
        <v>17783.599999999999</v>
      </c>
      <c r="AE1503" s="132">
        <v>2816.4000000000015</v>
      </c>
    </row>
    <row r="1504" spans="1:31" x14ac:dyDescent="0.2">
      <c r="A1504" s="130">
        <v>256</v>
      </c>
      <c r="B1504" s="130" t="s">
        <v>2022</v>
      </c>
      <c r="C1504" s="130" t="s">
        <v>1114</v>
      </c>
      <c r="D1504" s="130" t="s">
        <v>1954</v>
      </c>
      <c r="E1504" s="130" t="s">
        <v>1116</v>
      </c>
      <c r="F1504" s="130" t="s">
        <v>1117</v>
      </c>
      <c r="G1504" s="130" t="s">
        <v>1118</v>
      </c>
      <c r="H1504" s="130" t="s">
        <v>1119</v>
      </c>
      <c r="I1504" s="130" t="s">
        <v>1120</v>
      </c>
      <c r="J1504" s="130" t="s">
        <v>1121</v>
      </c>
      <c r="K1504" s="130" t="s">
        <v>1122</v>
      </c>
      <c r="L1504" s="130" t="s">
        <v>2023</v>
      </c>
      <c r="M1504" s="130" t="s">
        <v>1925</v>
      </c>
      <c r="N1504" s="130" t="s">
        <v>152</v>
      </c>
      <c r="O1504" s="130" t="s">
        <v>1125</v>
      </c>
      <c r="P1504" s="130" t="s">
        <v>1126</v>
      </c>
      <c r="Q1504" s="130" t="s">
        <v>1127</v>
      </c>
      <c r="R1504" s="130" t="s">
        <v>1499</v>
      </c>
      <c r="S1504" s="130" t="s">
        <v>2024</v>
      </c>
      <c r="T1504" s="130" t="s">
        <v>1130</v>
      </c>
      <c r="U1504" s="130">
        <v>4190000</v>
      </c>
      <c r="V1504" s="131">
        <v>-4190000</v>
      </c>
      <c r="W1504" s="131">
        <v>0</v>
      </c>
      <c r="X1504" s="131">
        <v>0</v>
      </c>
      <c r="Y1504" s="131">
        <v>0</v>
      </c>
      <c r="Z1504" s="131">
        <v>0</v>
      </c>
      <c r="AA1504" s="131">
        <v>0</v>
      </c>
      <c r="AB1504" s="131">
        <v>0</v>
      </c>
      <c r="AC1504" s="131">
        <v>0</v>
      </c>
      <c r="AD1504" s="131">
        <v>0</v>
      </c>
      <c r="AE1504" s="132">
        <v>0</v>
      </c>
    </row>
    <row r="1505" spans="1:31" x14ac:dyDescent="0.2">
      <c r="A1505" s="133">
        <v>256</v>
      </c>
      <c r="B1505" s="133" t="s">
        <v>2022</v>
      </c>
      <c r="C1505" s="133" t="s">
        <v>1114</v>
      </c>
      <c r="D1505" s="133" t="s">
        <v>1954</v>
      </c>
      <c r="E1505" s="133" t="s">
        <v>1116</v>
      </c>
      <c r="F1505" s="133" t="s">
        <v>1117</v>
      </c>
      <c r="G1505" s="133" t="s">
        <v>1118</v>
      </c>
      <c r="H1505" s="130" t="s">
        <v>1133</v>
      </c>
      <c r="I1505" s="130" t="s">
        <v>1134</v>
      </c>
      <c r="J1505" s="130" t="s">
        <v>1166</v>
      </c>
      <c r="K1505" s="130" t="s">
        <v>1167</v>
      </c>
      <c r="L1505" s="130" t="s">
        <v>2023</v>
      </c>
      <c r="M1505" s="130" t="s">
        <v>1925</v>
      </c>
      <c r="N1505" s="130" t="s">
        <v>152</v>
      </c>
      <c r="O1505" s="130" t="s">
        <v>1125</v>
      </c>
      <c r="P1505" s="130" t="s">
        <v>1126</v>
      </c>
      <c r="Q1505" s="130" t="s">
        <v>1127</v>
      </c>
      <c r="R1505" s="130" t="s">
        <v>1499</v>
      </c>
      <c r="S1505" s="130" t="s">
        <v>2024</v>
      </c>
      <c r="T1505" s="130" t="s">
        <v>1130</v>
      </c>
      <c r="U1505" s="130">
        <v>0</v>
      </c>
      <c r="V1505" s="131">
        <v>82568</v>
      </c>
      <c r="W1505" s="131">
        <v>82568</v>
      </c>
      <c r="X1505" s="131">
        <v>82568</v>
      </c>
      <c r="Y1505" s="131">
        <v>0</v>
      </c>
      <c r="Z1505" s="131">
        <v>62568</v>
      </c>
      <c r="AA1505" s="131">
        <v>20000</v>
      </c>
      <c r="AB1505" s="131">
        <v>57743.81</v>
      </c>
      <c r="AC1505" s="131">
        <v>24824.190000000002</v>
      </c>
      <c r="AD1505" s="131">
        <v>57743.81</v>
      </c>
      <c r="AE1505" s="132">
        <v>24824.190000000002</v>
      </c>
    </row>
    <row r="1506" spans="1:31" x14ac:dyDescent="0.2">
      <c r="A1506" s="130">
        <v>257</v>
      </c>
      <c r="B1506" s="130" t="s">
        <v>2025</v>
      </c>
      <c r="C1506" s="130" t="s">
        <v>1114</v>
      </c>
      <c r="D1506" s="130" t="s">
        <v>1839</v>
      </c>
      <c r="E1506" s="130" t="s">
        <v>1116</v>
      </c>
      <c r="F1506" s="130" t="s">
        <v>1117</v>
      </c>
      <c r="G1506" s="130" t="s">
        <v>1118</v>
      </c>
      <c r="H1506" s="130" t="s">
        <v>1119</v>
      </c>
      <c r="I1506" s="130" t="s">
        <v>1169</v>
      </c>
      <c r="J1506" s="130" t="s">
        <v>1195</v>
      </c>
      <c r="K1506" s="130" t="s">
        <v>1196</v>
      </c>
      <c r="L1506" s="130" t="s">
        <v>2026</v>
      </c>
      <c r="M1506" s="130" t="s">
        <v>1925</v>
      </c>
      <c r="N1506" s="130" t="s">
        <v>152</v>
      </c>
      <c r="O1506" s="130" t="s">
        <v>1125</v>
      </c>
      <c r="P1506" s="130" t="s">
        <v>1126</v>
      </c>
      <c r="Q1506" s="130" t="s">
        <v>1127</v>
      </c>
      <c r="R1506" s="130" t="s">
        <v>1175</v>
      </c>
      <c r="S1506" s="130" t="s">
        <v>1764</v>
      </c>
      <c r="T1506" s="130" t="s">
        <v>1130</v>
      </c>
      <c r="U1506" s="130">
        <v>100000</v>
      </c>
      <c r="V1506" s="131">
        <v>-100000</v>
      </c>
      <c r="W1506" s="131">
        <v>0</v>
      </c>
      <c r="X1506" s="131">
        <v>0</v>
      </c>
      <c r="Y1506" s="131">
        <v>0</v>
      </c>
      <c r="Z1506" s="131">
        <v>0</v>
      </c>
      <c r="AA1506" s="131">
        <v>0</v>
      </c>
      <c r="AB1506" s="131">
        <v>0</v>
      </c>
      <c r="AC1506" s="131">
        <v>0</v>
      </c>
      <c r="AD1506" s="131">
        <v>0</v>
      </c>
      <c r="AE1506" s="132">
        <v>0</v>
      </c>
    </row>
    <row r="1507" spans="1:31" x14ac:dyDescent="0.2">
      <c r="A1507" s="133">
        <v>257</v>
      </c>
      <c r="B1507" s="133" t="s">
        <v>2025</v>
      </c>
      <c r="C1507" s="133" t="s">
        <v>1114</v>
      </c>
      <c r="D1507" s="133" t="s">
        <v>1839</v>
      </c>
      <c r="E1507" s="133" t="s">
        <v>1116</v>
      </c>
      <c r="F1507" s="133" t="s">
        <v>1117</v>
      </c>
      <c r="G1507" s="133" t="s">
        <v>1118</v>
      </c>
      <c r="H1507" s="130" t="s">
        <v>1133</v>
      </c>
      <c r="I1507" s="130" t="s">
        <v>1134</v>
      </c>
      <c r="J1507" s="130" t="s">
        <v>1166</v>
      </c>
      <c r="K1507" s="130" t="s">
        <v>1167</v>
      </c>
      <c r="L1507" s="130" t="s">
        <v>2026</v>
      </c>
      <c r="M1507" s="130" t="s">
        <v>1925</v>
      </c>
      <c r="N1507" s="130" t="s">
        <v>152</v>
      </c>
      <c r="O1507" s="130" t="s">
        <v>1125</v>
      </c>
      <c r="P1507" s="130" t="s">
        <v>1126</v>
      </c>
      <c r="Q1507" s="130" t="s">
        <v>1127</v>
      </c>
      <c r="R1507" s="130" t="s">
        <v>1175</v>
      </c>
      <c r="S1507" s="130" t="s">
        <v>1764</v>
      </c>
      <c r="T1507" s="130" t="s">
        <v>1130</v>
      </c>
      <c r="U1507" s="130">
        <v>0</v>
      </c>
      <c r="V1507" s="131">
        <v>100000</v>
      </c>
      <c r="W1507" s="131">
        <v>100000</v>
      </c>
      <c r="X1507" s="131">
        <v>100000</v>
      </c>
      <c r="Y1507" s="131">
        <v>0</v>
      </c>
      <c r="Z1507" s="131">
        <v>100000</v>
      </c>
      <c r="AA1507" s="131">
        <v>0</v>
      </c>
      <c r="AB1507" s="131">
        <v>65424.75</v>
      </c>
      <c r="AC1507" s="131">
        <v>34575.25</v>
      </c>
      <c r="AD1507" s="131">
        <v>65424.75</v>
      </c>
      <c r="AE1507" s="132">
        <v>34575.25</v>
      </c>
    </row>
    <row r="1508" spans="1:31" x14ac:dyDescent="0.2">
      <c r="A1508" s="130">
        <v>258</v>
      </c>
      <c r="B1508" s="130" t="s">
        <v>2027</v>
      </c>
      <c r="C1508" s="130" t="s">
        <v>1114</v>
      </c>
      <c r="D1508" s="130" t="s">
        <v>1954</v>
      </c>
      <c r="E1508" s="130" t="s">
        <v>1116</v>
      </c>
      <c r="F1508" s="130" t="s">
        <v>1117</v>
      </c>
      <c r="G1508" s="130" t="s">
        <v>1118</v>
      </c>
      <c r="H1508" s="130" t="s">
        <v>1119</v>
      </c>
      <c r="I1508" s="130" t="s">
        <v>1120</v>
      </c>
      <c r="J1508" s="130" t="s">
        <v>1121</v>
      </c>
      <c r="K1508" s="130" t="s">
        <v>1122</v>
      </c>
      <c r="L1508" s="130" t="s">
        <v>2028</v>
      </c>
      <c r="M1508" s="130" t="s">
        <v>1925</v>
      </c>
      <c r="N1508" s="130" t="s">
        <v>152</v>
      </c>
      <c r="O1508" s="130" t="s">
        <v>1125</v>
      </c>
      <c r="P1508" s="130" t="s">
        <v>1126</v>
      </c>
      <c r="Q1508" s="130" t="s">
        <v>1127</v>
      </c>
      <c r="R1508" s="130" t="s">
        <v>1191</v>
      </c>
      <c r="S1508" s="130" t="s">
        <v>1583</v>
      </c>
      <c r="T1508" s="130" t="s">
        <v>1130</v>
      </c>
      <c r="U1508" s="130">
        <v>100000</v>
      </c>
      <c r="V1508" s="131">
        <v>-100000</v>
      </c>
      <c r="W1508" s="131">
        <v>0</v>
      </c>
      <c r="X1508" s="131">
        <v>0</v>
      </c>
      <c r="Y1508" s="131">
        <v>0</v>
      </c>
      <c r="Z1508" s="131">
        <v>0</v>
      </c>
      <c r="AA1508" s="131">
        <v>0</v>
      </c>
      <c r="AB1508" s="131">
        <v>0</v>
      </c>
      <c r="AC1508" s="131">
        <v>0</v>
      </c>
      <c r="AD1508" s="131">
        <v>0</v>
      </c>
      <c r="AE1508" s="132">
        <v>0</v>
      </c>
    </row>
    <row r="1509" spans="1:31" x14ac:dyDescent="0.2">
      <c r="A1509" s="133">
        <v>258</v>
      </c>
      <c r="B1509" s="133" t="s">
        <v>2027</v>
      </c>
      <c r="C1509" s="133" t="s">
        <v>1114</v>
      </c>
      <c r="D1509" s="133" t="s">
        <v>1954</v>
      </c>
      <c r="E1509" s="133" t="s">
        <v>1116</v>
      </c>
      <c r="F1509" s="133" t="s">
        <v>1117</v>
      </c>
      <c r="G1509" s="133" t="s">
        <v>1118</v>
      </c>
      <c r="H1509" s="130" t="s">
        <v>1133</v>
      </c>
      <c r="I1509" s="130" t="s">
        <v>1134</v>
      </c>
      <c r="J1509" s="130" t="s">
        <v>1166</v>
      </c>
      <c r="K1509" s="130" t="s">
        <v>1167</v>
      </c>
      <c r="L1509" s="130" t="s">
        <v>2028</v>
      </c>
      <c r="M1509" s="130" t="s">
        <v>1925</v>
      </c>
      <c r="N1509" s="130" t="s">
        <v>152</v>
      </c>
      <c r="O1509" s="130" t="s">
        <v>1125</v>
      </c>
      <c r="P1509" s="130" t="s">
        <v>1126</v>
      </c>
      <c r="Q1509" s="130" t="s">
        <v>1127</v>
      </c>
      <c r="R1509" s="130" t="s">
        <v>1191</v>
      </c>
      <c r="S1509" s="130" t="s">
        <v>1583</v>
      </c>
      <c r="T1509" s="130" t="s">
        <v>1130</v>
      </c>
      <c r="U1509" s="130">
        <v>0</v>
      </c>
      <c r="V1509" s="131">
        <v>0</v>
      </c>
      <c r="W1509" s="131">
        <v>0</v>
      </c>
      <c r="X1509" s="131">
        <v>0</v>
      </c>
      <c r="Y1509" s="131">
        <v>0</v>
      </c>
      <c r="Z1509" s="131">
        <v>0</v>
      </c>
      <c r="AA1509" s="131">
        <v>0</v>
      </c>
      <c r="AB1509" s="131">
        <v>0</v>
      </c>
      <c r="AC1509" s="131">
        <v>0</v>
      </c>
      <c r="AD1509" s="131">
        <v>0</v>
      </c>
      <c r="AE1509" s="132">
        <v>0</v>
      </c>
    </row>
    <row r="1510" spans="1:31" x14ac:dyDescent="0.2">
      <c r="A1510" s="130">
        <v>259</v>
      </c>
      <c r="B1510" s="130" t="s">
        <v>2029</v>
      </c>
      <c r="C1510" s="130" t="s">
        <v>1147</v>
      </c>
      <c r="D1510" s="130" t="s">
        <v>2030</v>
      </c>
      <c r="E1510" s="130" t="s">
        <v>1116</v>
      </c>
      <c r="F1510" s="130" t="s">
        <v>1117</v>
      </c>
      <c r="G1510" s="130" t="s">
        <v>1118</v>
      </c>
      <c r="H1510" s="130" t="s">
        <v>1149</v>
      </c>
      <c r="I1510" s="130" t="s">
        <v>1182</v>
      </c>
      <c r="J1510" s="130" t="s">
        <v>1183</v>
      </c>
      <c r="K1510" s="130" t="s">
        <v>1184</v>
      </c>
      <c r="L1510" s="130" t="s">
        <v>2031</v>
      </c>
      <c r="M1510" s="130" t="s">
        <v>1925</v>
      </c>
      <c r="N1510" s="130" t="s">
        <v>120</v>
      </c>
      <c r="O1510" s="130" t="s">
        <v>1860</v>
      </c>
      <c r="P1510" s="130" t="s">
        <v>1968</v>
      </c>
      <c r="Q1510" s="130" t="s">
        <v>1127</v>
      </c>
      <c r="R1510" s="130" t="s">
        <v>1191</v>
      </c>
      <c r="S1510" s="130" t="s">
        <v>1191</v>
      </c>
      <c r="T1510" s="130" t="s">
        <v>2032</v>
      </c>
      <c r="U1510" s="130">
        <v>0</v>
      </c>
      <c r="V1510" s="131">
        <v>2348000</v>
      </c>
      <c r="W1510" s="131">
        <v>2348000</v>
      </c>
      <c r="X1510" s="131">
        <v>2348000</v>
      </c>
      <c r="Y1510" s="131">
        <v>0</v>
      </c>
      <c r="Z1510" s="131">
        <v>2348000</v>
      </c>
      <c r="AA1510" s="131">
        <v>0</v>
      </c>
      <c r="AB1510" s="131">
        <v>2348000</v>
      </c>
      <c r="AC1510" s="131">
        <v>0</v>
      </c>
      <c r="AD1510" s="131">
        <v>2348000</v>
      </c>
      <c r="AE1510" s="132">
        <v>0</v>
      </c>
    </row>
    <row r="1511" spans="1:31" x14ac:dyDescent="0.2">
      <c r="A1511" s="133">
        <v>259</v>
      </c>
      <c r="B1511" s="133" t="s">
        <v>2029</v>
      </c>
      <c r="C1511" s="133" t="s">
        <v>1147</v>
      </c>
      <c r="D1511" s="133" t="s">
        <v>2030</v>
      </c>
      <c r="E1511" s="130" t="s">
        <v>1143</v>
      </c>
      <c r="F1511" s="130" t="s">
        <v>1117</v>
      </c>
      <c r="G1511" s="130" t="s">
        <v>1118</v>
      </c>
      <c r="H1511" s="130" t="s">
        <v>1149</v>
      </c>
      <c r="I1511" s="130" t="s">
        <v>1182</v>
      </c>
      <c r="J1511" s="130" t="s">
        <v>1183</v>
      </c>
      <c r="K1511" s="130" t="s">
        <v>1184</v>
      </c>
      <c r="L1511" s="130" t="s">
        <v>2031</v>
      </c>
      <c r="M1511" s="130" t="s">
        <v>1925</v>
      </c>
      <c r="N1511" s="130" t="s">
        <v>120</v>
      </c>
      <c r="O1511" s="130" t="s">
        <v>1860</v>
      </c>
      <c r="P1511" s="130" t="s">
        <v>1968</v>
      </c>
      <c r="Q1511" s="130" t="s">
        <v>1127</v>
      </c>
      <c r="R1511" s="130" t="s">
        <v>1191</v>
      </c>
      <c r="S1511" s="130" t="s">
        <v>1191</v>
      </c>
      <c r="T1511" s="130" t="s">
        <v>2032</v>
      </c>
      <c r="U1511" s="130">
        <v>6185000</v>
      </c>
      <c r="V1511" s="131">
        <v>-368000</v>
      </c>
      <c r="W1511" s="131">
        <v>5817000</v>
      </c>
      <c r="X1511" s="131">
        <v>4800000</v>
      </c>
      <c r="Y1511" s="131">
        <v>1017000</v>
      </c>
      <c r="Z1511" s="131">
        <v>4800000</v>
      </c>
      <c r="AA1511" s="131">
        <v>1017000</v>
      </c>
      <c r="AB1511" s="131">
        <v>4800000</v>
      </c>
      <c r="AC1511" s="131">
        <v>1017000</v>
      </c>
      <c r="AD1511" s="131">
        <v>4800000</v>
      </c>
      <c r="AE1511" s="132">
        <v>1017000</v>
      </c>
    </row>
    <row r="1512" spans="1:31" x14ac:dyDescent="0.2">
      <c r="A1512" s="133">
        <v>259</v>
      </c>
      <c r="B1512" s="133" t="s">
        <v>2029</v>
      </c>
      <c r="C1512" s="133" t="s">
        <v>1147</v>
      </c>
      <c r="D1512" s="133" t="s">
        <v>2030</v>
      </c>
      <c r="E1512" s="133" t="s">
        <v>1143</v>
      </c>
      <c r="F1512" s="133" t="s">
        <v>1117</v>
      </c>
      <c r="G1512" s="133" t="s">
        <v>1118</v>
      </c>
      <c r="H1512" s="130" t="s">
        <v>1159</v>
      </c>
      <c r="I1512" s="130" t="s">
        <v>1160</v>
      </c>
      <c r="J1512" s="130" t="s">
        <v>1163</v>
      </c>
      <c r="K1512" s="130" t="s">
        <v>1164</v>
      </c>
      <c r="L1512" s="130" t="s">
        <v>2031</v>
      </c>
      <c r="M1512" s="130" t="s">
        <v>1925</v>
      </c>
      <c r="N1512" s="130" t="s">
        <v>120</v>
      </c>
      <c r="O1512" s="130" t="s">
        <v>1860</v>
      </c>
      <c r="P1512" s="130" t="s">
        <v>1968</v>
      </c>
      <c r="Q1512" s="130" t="s">
        <v>1127</v>
      </c>
      <c r="R1512" s="130" t="s">
        <v>1191</v>
      </c>
      <c r="S1512" s="130" t="s">
        <v>1191</v>
      </c>
      <c r="T1512" s="130" t="s">
        <v>2032</v>
      </c>
      <c r="U1512" s="130">
        <v>0</v>
      </c>
      <c r="V1512" s="131">
        <v>171500</v>
      </c>
      <c r="W1512" s="131">
        <v>171500</v>
      </c>
      <c r="X1512" s="131">
        <v>171500</v>
      </c>
      <c r="Y1512" s="131">
        <v>0</v>
      </c>
      <c r="Z1512" s="131">
        <v>171500</v>
      </c>
      <c r="AA1512" s="131">
        <v>0</v>
      </c>
      <c r="AB1512" s="131">
        <v>152754.1</v>
      </c>
      <c r="AC1512" s="131">
        <v>18745.899999999994</v>
      </c>
      <c r="AD1512" s="131">
        <v>152754.1</v>
      </c>
      <c r="AE1512" s="132">
        <v>18745.899999999994</v>
      </c>
    </row>
    <row r="1513" spans="1:31" x14ac:dyDescent="0.2">
      <c r="A1513" s="133">
        <v>259</v>
      </c>
      <c r="B1513" s="133" t="s">
        <v>2029</v>
      </c>
      <c r="C1513" s="133" t="s">
        <v>1147</v>
      </c>
      <c r="D1513" s="133" t="s">
        <v>2030</v>
      </c>
      <c r="E1513" s="133" t="s">
        <v>1143</v>
      </c>
      <c r="F1513" s="133" t="s">
        <v>1117</v>
      </c>
      <c r="G1513" s="133" t="s">
        <v>1118</v>
      </c>
      <c r="H1513" s="133" t="s">
        <v>1159</v>
      </c>
      <c r="I1513" s="133" t="s">
        <v>1160</v>
      </c>
      <c r="J1513" s="133" t="s">
        <v>1163</v>
      </c>
      <c r="K1513" s="130" t="s">
        <v>1165</v>
      </c>
      <c r="L1513" s="130" t="s">
        <v>2031</v>
      </c>
      <c r="M1513" s="130" t="s">
        <v>1925</v>
      </c>
      <c r="N1513" s="130" t="s">
        <v>120</v>
      </c>
      <c r="O1513" s="130" t="s">
        <v>1860</v>
      </c>
      <c r="P1513" s="130" t="s">
        <v>1968</v>
      </c>
      <c r="Q1513" s="130" t="s">
        <v>1127</v>
      </c>
      <c r="R1513" s="130" t="s">
        <v>1191</v>
      </c>
      <c r="S1513" s="130" t="s">
        <v>1191</v>
      </c>
      <c r="T1513" s="130" t="s">
        <v>2032</v>
      </c>
      <c r="U1513" s="130">
        <v>0</v>
      </c>
      <c r="V1513" s="131">
        <v>0</v>
      </c>
      <c r="W1513" s="131">
        <v>0</v>
      </c>
      <c r="X1513" s="131">
        <v>0</v>
      </c>
      <c r="Y1513" s="131">
        <v>0</v>
      </c>
      <c r="Z1513" s="131">
        <v>0</v>
      </c>
      <c r="AA1513" s="131">
        <v>0</v>
      </c>
      <c r="AB1513" s="131">
        <v>0</v>
      </c>
      <c r="AC1513" s="131">
        <v>0</v>
      </c>
      <c r="AD1513" s="131">
        <v>0</v>
      </c>
      <c r="AE1513" s="132">
        <v>0</v>
      </c>
    </row>
    <row r="1514" spans="1:31" x14ac:dyDescent="0.2">
      <c r="A1514" s="133">
        <v>259</v>
      </c>
      <c r="B1514" s="133" t="s">
        <v>2029</v>
      </c>
      <c r="C1514" s="133" t="s">
        <v>1147</v>
      </c>
      <c r="D1514" s="133" t="s">
        <v>2030</v>
      </c>
      <c r="E1514" s="133" t="s">
        <v>1143</v>
      </c>
      <c r="F1514" s="133" t="s">
        <v>1117</v>
      </c>
      <c r="G1514" s="133" t="s">
        <v>1118</v>
      </c>
      <c r="H1514" s="133" t="s">
        <v>1159</v>
      </c>
      <c r="I1514" s="133" t="s">
        <v>1160</v>
      </c>
      <c r="J1514" s="133" t="s">
        <v>1163</v>
      </c>
      <c r="K1514" s="130" t="s">
        <v>1162</v>
      </c>
      <c r="L1514" s="130" t="s">
        <v>2031</v>
      </c>
      <c r="M1514" s="130" t="s">
        <v>1925</v>
      </c>
      <c r="N1514" s="130" t="s">
        <v>120</v>
      </c>
      <c r="O1514" s="130" t="s">
        <v>1860</v>
      </c>
      <c r="P1514" s="130" t="s">
        <v>1968</v>
      </c>
      <c r="Q1514" s="130" t="s">
        <v>1127</v>
      </c>
      <c r="R1514" s="130" t="s">
        <v>1191</v>
      </c>
      <c r="S1514" s="130" t="s">
        <v>1191</v>
      </c>
      <c r="T1514" s="130" t="s">
        <v>2032</v>
      </c>
      <c r="U1514" s="130">
        <v>0</v>
      </c>
      <c r="V1514" s="131">
        <v>58000</v>
      </c>
      <c r="W1514" s="131">
        <v>58000</v>
      </c>
      <c r="X1514" s="131">
        <v>17450</v>
      </c>
      <c r="Y1514" s="131">
        <v>40550</v>
      </c>
      <c r="Z1514" s="131">
        <v>17450</v>
      </c>
      <c r="AA1514" s="131">
        <v>40550</v>
      </c>
      <c r="AB1514" s="131">
        <v>17450</v>
      </c>
      <c r="AC1514" s="131">
        <v>40550</v>
      </c>
      <c r="AD1514" s="131">
        <v>11650</v>
      </c>
      <c r="AE1514" s="132">
        <v>46350</v>
      </c>
    </row>
    <row r="1515" spans="1:31" x14ac:dyDescent="0.2">
      <c r="A1515" s="133">
        <v>259</v>
      </c>
      <c r="B1515" s="133" t="s">
        <v>2029</v>
      </c>
      <c r="C1515" s="133" t="s">
        <v>1147</v>
      </c>
      <c r="D1515" s="133" t="s">
        <v>2030</v>
      </c>
      <c r="E1515" s="133" t="s">
        <v>1143</v>
      </c>
      <c r="F1515" s="133" t="s">
        <v>1117</v>
      </c>
      <c r="G1515" s="133" t="s">
        <v>1118</v>
      </c>
      <c r="H1515" s="130" t="s">
        <v>1133</v>
      </c>
      <c r="I1515" s="130" t="s">
        <v>1134</v>
      </c>
      <c r="J1515" s="130" t="s">
        <v>1135</v>
      </c>
      <c r="K1515" s="130" t="s">
        <v>1178</v>
      </c>
      <c r="L1515" s="130" t="s">
        <v>2031</v>
      </c>
      <c r="M1515" s="130" t="s">
        <v>1925</v>
      </c>
      <c r="N1515" s="130" t="s">
        <v>120</v>
      </c>
      <c r="O1515" s="130" t="s">
        <v>1860</v>
      </c>
      <c r="P1515" s="130" t="s">
        <v>1968</v>
      </c>
      <c r="Q1515" s="130" t="s">
        <v>1127</v>
      </c>
      <c r="R1515" s="130" t="s">
        <v>1191</v>
      </c>
      <c r="S1515" s="130" t="s">
        <v>1191</v>
      </c>
      <c r="T1515" s="130" t="s">
        <v>2032</v>
      </c>
      <c r="U1515" s="130">
        <v>0</v>
      </c>
      <c r="V1515" s="131">
        <v>105000</v>
      </c>
      <c r="W1515" s="131">
        <v>105000</v>
      </c>
      <c r="X1515" s="131">
        <v>105000</v>
      </c>
      <c r="Y1515" s="131">
        <v>0</v>
      </c>
      <c r="Z1515" s="131">
        <v>105000</v>
      </c>
      <c r="AA1515" s="131">
        <v>0</v>
      </c>
      <c r="AB1515" s="131">
        <v>91272.97</v>
      </c>
      <c r="AC1515" s="131">
        <v>13727.029999999999</v>
      </c>
      <c r="AD1515" s="131">
        <v>91272.97</v>
      </c>
      <c r="AE1515" s="132">
        <v>13727.029999999999</v>
      </c>
    </row>
    <row r="1516" spans="1:31" x14ac:dyDescent="0.2">
      <c r="A1516" s="133">
        <v>259</v>
      </c>
      <c r="B1516" s="133" t="s">
        <v>2029</v>
      </c>
      <c r="C1516" s="133" t="s">
        <v>1147</v>
      </c>
      <c r="D1516" s="133" t="s">
        <v>2030</v>
      </c>
      <c r="E1516" s="133" t="s">
        <v>1143</v>
      </c>
      <c r="F1516" s="133" t="s">
        <v>1117</v>
      </c>
      <c r="G1516" s="133" t="s">
        <v>1118</v>
      </c>
      <c r="H1516" s="133" t="s">
        <v>1133</v>
      </c>
      <c r="I1516" s="133" t="s">
        <v>1134</v>
      </c>
      <c r="J1516" s="133" t="s">
        <v>1135</v>
      </c>
      <c r="K1516" s="130" t="s">
        <v>1179</v>
      </c>
      <c r="L1516" s="130" t="s">
        <v>2031</v>
      </c>
      <c r="M1516" s="130" t="s">
        <v>1925</v>
      </c>
      <c r="N1516" s="130" t="s">
        <v>120</v>
      </c>
      <c r="O1516" s="130" t="s">
        <v>1860</v>
      </c>
      <c r="P1516" s="130" t="s">
        <v>1968</v>
      </c>
      <c r="Q1516" s="130" t="s">
        <v>1127</v>
      </c>
      <c r="R1516" s="130" t="s">
        <v>1191</v>
      </c>
      <c r="S1516" s="130" t="s">
        <v>1191</v>
      </c>
      <c r="T1516" s="130" t="s">
        <v>2032</v>
      </c>
      <c r="U1516" s="130">
        <v>0</v>
      </c>
      <c r="V1516" s="131">
        <v>8000</v>
      </c>
      <c r="W1516" s="131">
        <v>8000</v>
      </c>
      <c r="X1516" s="131">
        <v>7106</v>
      </c>
      <c r="Y1516" s="131">
        <v>894</v>
      </c>
      <c r="Z1516" s="131">
        <v>7106</v>
      </c>
      <c r="AA1516" s="131">
        <v>894</v>
      </c>
      <c r="AB1516" s="131">
        <v>7106</v>
      </c>
      <c r="AC1516" s="131">
        <v>894</v>
      </c>
      <c r="AD1516" s="131">
        <v>7106</v>
      </c>
      <c r="AE1516" s="132">
        <v>894</v>
      </c>
    </row>
    <row r="1517" spans="1:31" x14ac:dyDescent="0.2">
      <c r="A1517" s="133">
        <v>259</v>
      </c>
      <c r="B1517" s="133" t="s">
        <v>2029</v>
      </c>
      <c r="C1517" s="133" t="s">
        <v>1147</v>
      </c>
      <c r="D1517" s="133" t="s">
        <v>2030</v>
      </c>
      <c r="E1517" s="133" t="s">
        <v>1143</v>
      </c>
      <c r="F1517" s="133" t="s">
        <v>1117</v>
      </c>
      <c r="G1517" s="133" t="s">
        <v>1118</v>
      </c>
      <c r="H1517" s="133" t="s">
        <v>1133</v>
      </c>
      <c r="I1517" s="133" t="s">
        <v>1134</v>
      </c>
      <c r="J1517" s="133" t="s">
        <v>1135</v>
      </c>
      <c r="K1517" s="130" t="s">
        <v>1144</v>
      </c>
      <c r="L1517" s="130" t="s">
        <v>2031</v>
      </c>
      <c r="M1517" s="130" t="s">
        <v>1925</v>
      </c>
      <c r="N1517" s="130" t="s">
        <v>120</v>
      </c>
      <c r="O1517" s="130" t="s">
        <v>1860</v>
      </c>
      <c r="P1517" s="130" t="s">
        <v>1968</v>
      </c>
      <c r="Q1517" s="130" t="s">
        <v>1127</v>
      </c>
      <c r="R1517" s="130" t="s">
        <v>1191</v>
      </c>
      <c r="S1517" s="130" t="s">
        <v>1191</v>
      </c>
      <c r="T1517" s="130" t="s">
        <v>2032</v>
      </c>
      <c r="U1517" s="130">
        <v>0</v>
      </c>
      <c r="V1517" s="131">
        <v>25500</v>
      </c>
      <c r="W1517" s="131">
        <v>25500</v>
      </c>
      <c r="X1517" s="131">
        <v>25500</v>
      </c>
      <c r="Y1517" s="131">
        <v>0</v>
      </c>
      <c r="Z1517" s="131">
        <v>25500</v>
      </c>
      <c r="AA1517" s="131">
        <v>0</v>
      </c>
      <c r="AB1517" s="131">
        <v>25500</v>
      </c>
      <c r="AC1517" s="131">
        <v>0</v>
      </c>
      <c r="AD1517" s="131">
        <v>7500</v>
      </c>
      <c r="AE1517" s="132">
        <v>18000</v>
      </c>
    </row>
    <row r="1518" spans="1:31" x14ac:dyDescent="0.2">
      <c r="A1518" s="130">
        <v>260</v>
      </c>
      <c r="B1518" s="130" t="s">
        <v>2033</v>
      </c>
      <c r="C1518" s="130" t="s">
        <v>1114</v>
      </c>
      <c r="D1518" s="130" t="s">
        <v>1473</v>
      </c>
      <c r="E1518" s="130" t="s">
        <v>1116</v>
      </c>
      <c r="F1518" s="130" t="s">
        <v>1117</v>
      </c>
      <c r="G1518" s="130" t="s">
        <v>1118</v>
      </c>
      <c r="H1518" s="130" t="s">
        <v>1119</v>
      </c>
      <c r="I1518" s="130" t="s">
        <v>1120</v>
      </c>
      <c r="J1518" s="130" t="s">
        <v>2012</v>
      </c>
      <c r="K1518" s="130" t="s">
        <v>1122</v>
      </c>
      <c r="L1518" s="130" t="s">
        <v>2034</v>
      </c>
      <c r="M1518" s="130" t="s">
        <v>1925</v>
      </c>
      <c r="N1518" s="130" t="s">
        <v>165</v>
      </c>
      <c r="O1518" s="130" t="s">
        <v>1476</v>
      </c>
      <c r="P1518" s="130" t="s">
        <v>1477</v>
      </c>
      <c r="Q1518" s="130" t="s">
        <v>1127</v>
      </c>
      <c r="R1518" s="130" t="s">
        <v>1191</v>
      </c>
      <c r="S1518" s="130" t="s">
        <v>1191</v>
      </c>
      <c r="T1518" s="130" t="s">
        <v>1130</v>
      </c>
      <c r="U1518" s="130">
        <v>100000</v>
      </c>
      <c r="V1518" s="131">
        <v>0</v>
      </c>
      <c r="W1518" s="131">
        <v>100000</v>
      </c>
      <c r="X1518" s="131">
        <v>100000</v>
      </c>
      <c r="Y1518" s="131">
        <v>0</v>
      </c>
      <c r="Z1518" s="131">
        <v>0</v>
      </c>
      <c r="AA1518" s="131">
        <v>100000</v>
      </c>
      <c r="AB1518" s="131">
        <v>0</v>
      </c>
      <c r="AC1518" s="131">
        <v>100000</v>
      </c>
      <c r="AD1518" s="131">
        <v>0</v>
      </c>
      <c r="AE1518" s="132">
        <v>100000</v>
      </c>
    </row>
    <row r="1519" spans="1:31" x14ac:dyDescent="0.2">
      <c r="A1519" s="133">
        <v>260</v>
      </c>
      <c r="B1519" s="133" t="s">
        <v>2033</v>
      </c>
      <c r="C1519" s="133" t="s">
        <v>1114</v>
      </c>
      <c r="D1519" s="133" t="s">
        <v>1473</v>
      </c>
      <c r="E1519" s="133" t="s">
        <v>1116</v>
      </c>
      <c r="F1519" s="133" t="s">
        <v>1117</v>
      </c>
      <c r="G1519" s="133" t="s">
        <v>1118</v>
      </c>
      <c r="H1519" s="130" t="s">
        <v>1133</v>
      </c>
      <c r="I1519" s="130" t="s">
        <v>1134</v>
      </c>
      <c r="J1519" s="130" t="s">
        <v>1135</v>
      </c>
      <c r="K1519" s="130" t="s">
        <v>1144</v>
      </c>
      <c r="L1519" s="130" t="s">
        <v>2034</v>
      </c>
      <c r="M1519" s="130" t="s">
        <v>1925</v>
      </c>
      <c r="N1519" s="130" t="s">
        <v>165</v>
      </c>
      <c r="O1519" s="130" t="s">
        <v>1476</v>
      </c>
      <c r="P1519" s="130" t="s">
        <v>1477</v>
      </c>
      <c r="Q1519" s="130" t="s">
        <v>1127</v>
      </c>
      <c r="R1519" s="130" t="s">
        <v>1191</v>
      </c>
      <c r="S1519" s="130" t="s">
        <v>1191</v>
      </c>
      <c r="T1519" s="130" t="s">
        <v>1130</v>
      </c>
      <c r="U1519" s="130">
        <v>0</v>
      </c>
      <c r="V1519" s="131">
        <v>190270</v>
      </c>
      <c r="W1519" s="131">
        <v>190270</v>
      </c>
      <c r="X1519" s="131">
        <v>0</v>
      </c>
      <c r="Y1519" s="131">
        <v>190270</v>
      </c>
      <c r="Z1519" s="131">
        <v>0</v>
      </c>
      <c r="AA1519" s="131">
        <v>190270</v>
      </c>
      <c r="AB1519" s="131">
        <v>0</v>
      </c>
      <c r="AC1519" s="131">
        <v>190270</v>
      </c>
      <c r="AD1519" s="131">
        <v>0</v>
      </c>
      <c r="AE1519" s="132">
        <v>190270</v>
      </c>
    </row>
    <row r="1520" spans="1:31" x14ac:dyDescent="0.2">
      <c r="A1520" s="130">
        <v>261</v>
      </c>
      <c r="B1520" s="130" t="s">
        <v>2035</v>
      </c>
      <c r="C1520" s="130" t="s">
        <v>1114</v>
      </c>
      <c r="D1520" s="130" t="s">
        <v>1839</v>
      </c>
      <c r="E1520" s="130" t="s">
        <v>1116</v>
      </c>
      <c r="F1520" s="130" t="s">
        <v>1117</v>
      </c>
      <c r="G1520" s="130" t="s">
        <v>1118</v>
      </c>
      <c r="H1520" s="130" t="s">
        <v>1119</v>
      </c>
      <c r="I1520" s="130" t="s">
        <v>1120</v>
      </c>
      <c r="J1520" s="130" t="s">
        <v>1121</v>
      </c>
      <c r="K1520" s="130" t="s">
        <v>1122</v>
      </c>
      <c r="L1520" s="130" t="s">
        <v>2036</v>
      </c>
      <c r="M1520" s="130" t="s">
        <v>1925</v>
      </c>
      <c r="N1520" s="130" t="s">
        <v>152</v>
      </c>
      <c r="O1520" s="130" t="s">
        <v>1125</v>
      </c>
      <c r="P1520" s="130" t="s">
        <v>1126</v>
      </c>
      <c r="Q1520" s="130" t="s">
        <v>1127</v>
      </c>
      <c r="R1520" s="130" t="s">
        <v>1175</v>
      </c>
      <c r="S1520" s="130" t="s">
        <v>2037</v>
      </c>
      <c r="T1520" s="130" t="s">
        <v>1130</v>
      </c>
      <c r="U1520" s="130">
        <v>200000</v>
      </c>
      <c r="V1520" s="131">
        <v>-154665</v>
      </c>
      <c r="W1520" s="131">
        <v>45335</v>
      </c>
      <c r="X1520" s="131">
        <v>0</v>
      </c>
      <c r="Y1520" s="131">
        <v>45335</v>
      </c>
      <c r="Z1520" s="131">
        <v>0</v>
      </c>
      <c r="AA1520" s="131">
        <v>45335</v>
      </c>
      <c r="AB1520" s="131">
        <v>0</v>
      </c>
      <c r="AC1520" s="131">
        <v>45335</v>
      </c>
      <c r="AD1520" s="131">
        <v>0</v>
      </c>
      <c r="AE1520" s="132">
        <v>45335</v>
      </c>
    </row>
    <row r="1521" spans="1:31" x14ac:dyDescent="0.2">
      <c r="A1521" s="133">
        <v>261</v>
      </c>
      <c r="B1521" s="133" t="s">
        <v>2035</v>
      </c>
      <c r="C1521" s="133" t="s">
        <v>1114</v>
      </c>
      <c r="D1521" s="133" t="s">
        <v>1839</v>
      </c>
      <c r="E1521" s="133" t="s">
        <v>1116</v>
      </c>
      <c r="F1521" s="133" t="s">
        <v>1117</v>
      </c>
      <c r="G1521" s="133" t="s">
        <v>1118</v>
      </c>
      <c r="H1521" s="130" t="s">
        <v>1133</v>
      </c>
      <c r="I1521" s="130" t="s">
        <v>1134</v>
      </c>
      <c r="J1521" s="130" t="s">
        <v>1166</v>
      </c>
      <c r="K1521" s="130" t="s">
        <v>1167</v>
      </c>
      <c r="L1521" s="130" t="s">
        <v>2036</v>
      </c>
      <c r="M1521" s="130" t="s">
        <v>1925</v>
      </c>
      <c r="N1521" s="130" t="s">
        <v>152</v>
      </c>
      <c r="O1521" s="130" t="s">
        <v>1125</v>
      </c>
      <c r="P1521" s="130" t="s">
        <v>1126</v>
      </c>
      <c r="Q1521" s="130" t="s">
        <v>1127</v>
      </c>
      <c r="R1521" s="130" t="s">
        <v>1175</v>
      </c>
      <c r="S1521" s="130" t="s">
        <v>2037</v>
      </c>
      <c r="T1521" s="130" t="s">
        <v>1130</v>
      </c>
      <c r="U1521" s="130">
        <v>0</v>
      </c>
      <c r="V1521" s="131">
        <v>154665</v>
      </c>
      <c r="W1521" s="131">
        <v>154665</v>
      </c>
      <c r="X1521" s="131">
        <v>154665</v>
      </c>
      <c r="Y1521" s="131">
        <v>0</v>
      </c>
      <c r="Z1521" s="131">
        <v>154665</v>
      </c>
      <c r="AA1521" s="131">
        <v>0</v>
      </c>
      <c r="AB1521" s="131">
        <v>124684.82999999999</v>
      </c>
      <c r="AC1521" s="131">
        <v>29980.170000000013</v>
      </c>
      <c r="AD1521" s="131">
        <v>124684.82999999999</v>
      </c>
      <c r="AE1521" s="132">
        <v>29980.170000000013</v>
      </c>
    </row>
    <row r="1522" spans="1:31" x14ac:dyDescent="0.2">
      <c r="A1522" s="130">
        <v>262</v>
      </c>
      <c r="B1522" s="130" t="s">
        <v>2038</v>
      </c>
      <c r="C1522" s="130" t="s">
        <v>1114</v>
      </c>
      <c r="D1522" s="130" t="s">
        <v>1936</v>
      </c>
      <c r="E1522" s="130" t="s">
        <v>1116</v>
      </c>
      <c r="F1522" s="130" t="s">
        <v>1117</v>
      </c>
      <c r="G1522" s="130" t="s">
        <v>1118</v>
      </c>
      <c r="H1522" s="130" t="s">
        <v>1119</v>
      </c>
      <c r="I1522" s="130" t="s">
        <v>1120</v>
      </c>
      <c r="J1522" s="130" t="s">
        <v>1121</v>
      </c>
      <c r="K1522" s="130" t="s">
        <v>1122</v>
      </c>
      <c r="L1522" s="130" t="s">
        <v>2039</v>
      </c>
      <c r="M1522" s="130" t="s">
        <v>1925</v>
      </c>
      <c r="N1522" s="130" t="s">
        <v>152</v>
      </c>
      <c r="O1522" s="130" t="s">
        <v>1125</v>
      </c>
      <c r="P1522" s="130" t="s">
        <v>2019</v>
      </c>
      <c r="Q1522" s="130" t="s">
        <v>1127</v>
      </c>
      <c r="R1522" s="130" t="s">
        <v>1472</v>
      </c>
      <c r="S1522" s="130" t="s">
        <v>2040</v>
      </c>
      <c r="T1522" s="130" t="s">
        <v>1130</v>
      </c>
      <c r="U1522" s="130">
        <v>4083424</v>
      </c>
      <c r="V1522" s="131">
        <v>11076</v>
      </c>
      <c r="W1522" s="131">
        <v>4094500</v>
      </c>
      <c r="X1522" s="131">
        <v>4094500</v>
      </c>
      <c r="Y1522" s="131">
        <v>0</v>
      </c>
      <c r="Z1522" s="131">
        <v>0</v>
      </c>
      <c r="AA1522" s="131">
        <v>4094500</v>
      </c>
      <c r="AB1522" s="131">
        <v>0</v>
      </c>
      <c r="AC1522" s="131">
        <v>4094500</v>
      </c>
      <c r="AD1522" s="131">
        <v>0</v>
      </c>
      <c r="AE1522" s="132">
        <v>4094500</v>
      </c>
    </row>
    <row r="1523" spans="1:31" x14ac:dyDescent="0.2">
      <c r="A1523" s="133">
        <v>262</v>
      </c>
      <c r="B1523" s="133" t="s">
        <v>2038</v>
      </c>
      <c r="C1523" s="133" t="s">
        <v>1114</v>
      </c>
      <c r="D1523" s="133" t="s">
        <v>1936</v>
      </c>
      <c r="E1523" s="133" t="s">
        <v>1116</v>
      </c>
      <c r="F1523" s="133" t="s">
        <v>1117</v>
      </c>
      <c r="G1523" s="133" t="s">
        <v>1118</v>
      </c>
      <c r="H1523" s="130" t="s">
        <v>1133</v>
      </c>
      <c r="I1523" s="130" t="s">
        <v>1134</v>
      </c>
      <c r="J1523" s="130" t="s">
        <v>1135</v>
      </c>
      <c r="K1523" s="130" t="s">
        <v>1144</v>
      </c>
      <c r="L1523" s="130" t="s">
        <v>2039</v>
      </c>
      <c r="M1523" s="130" t="s">
        <v>1925</v>
      </c>
      <c r="N1523" s="130" t="s">
        <v>152</v>
      </c>
      <c r="O1523" s="130" t="s">
        <v>1125</v>
      </c>
      <c r="P1523" s="130" t="s">
        <v>2019</v>
      </c>
      <c r="Q1523" s="130" t="s">
        <v>1127</v>
      </c>
      <c r="R1523" s="130" t="s">
        <v>1472</v>
      </c>
      <c r="S1523" s="130" t="s">
        <v>2040</v>
      </c>
      <c r="T1523" s="130" t="s">
        <v>1130</v>
      </c>
      <c r="U1523" s="130">
        <v>0</v>
      </c>
      <c r="V1523" s="131">
        <v>379449</v>
      </c>
      <c r="W1523" s="131">
        <v>379449</v>
      </c>
      <c r="X1523" s="131">
        <v>379449</v>
      </c>
      <c r="Y1523" s="131">
        <v>0</v>
      </c>
      <c r="Z1523" s="131">
        <v>0</v>
      </c>
      <c r="AA1523" s="131">
        <v>379449</v>
      </c>
      <c r="AB1523" s="131">
        <v>0</v>
      </c>
      <c r="AC1523" s="131">
        <v>379449</v>
      </c>
      <c r="AD1523" s="131">
        <v>0</v>
      </c>
      <c r="AE1523" s="132">
        <v>379449</v>
      </c>
    </row>
    <row r="1524" spans="1:31" x14ac:dyDescent="0.2">
      <c r="A1524" s="130">
        <v>263</v>
      </c>
      <c r="B1524" s="130" t="s">
        <v>2041</v>
      </c>
      <c r="C1524" s="130" t="s">
        <v>1147</v>
      </c>
      <c r="D1524" s="130" t="s">
        <v>2017</v>
      </c>
      <c r="E1524" s="130" t="s">
        <v>1116</v>
      </c>
      <c r="F1524" s="130" t="s">
        <v>1117</v>
      </c>
      <c r="G1524" s="130" t="s">
        <v>1118</v>
      </c>
      <c r="H1524" s="130" t="s">
        <v>1149</v>
      </c>
      <c r="I1524" s="130" t="s">
        <v>1182</v>
      </c>
      <c r="J1524" s="130" t="s">
        <v>1942</v>
      </c>
      <c r="K1524" s="130" t="s">
        <v>1944</v>
      </c>
      <c r="L1524" s="130" t="s">
        <v>2042</v>
      </c>
      <c r="M1524" s="130" t="s">
        <v>1925</v>
      </c>
      <c r="N1524" s="130" t="s">
        <v>152</v>
      </c>
      <c r="O1524" s="130" t="s">
        <v>1125</v>
      </c>
      <c r="P1524" s="130" t="s">
        <v>2019</v>
      </c>
      <c r="Q1524" s="130" t="s">
        <v>1127</v>
      </c>
      <c r="R1524" s="130" t="s">
        <v>1499</v>
      </c>
      <c r="S1524" s="130" t="s">
        <v>1500</v>
      </c>
      <c r="T1524" s="130" t="s">
        <v>1158</v>
      </c>
      <c r="U1524" s="130">
        <v>2000000</v>
      </c>
      <c r="V1524" s="131">
        <v>-213859</v>
      </c>
      <c r="W1524" s="131">
        <v>1786141</v>
      </c>
      <c r="X1524" s="131">
        <v>1786141</v>
      </c>
      <c r="Y1524" s="131">
        <v>0</v>
      </c>
      <c r="Z1524" s="131">
        <v>0</v>
      </c>
      <c r="AA1524" s="131">
        <v>1786141</v>
      </c>
      <c r="AB1524" s="131">
        <v>0</v>
      </c>
      <c r="AC1524" s="131">
        <v>1786141</v>
      </c>
      <c r="AD1524" s="131">
        <v>0</v>
      </c>
      <c r="AE1524" s="132">
        <v>1786141</v>
      </c>
    </row>
    <row r="1525" spans="1:31" x14ac:dyDescent="0.2">
      <c r="A1525" s="133">
        <v>263</v>
      </c>
      <c r="B1525" s="133" t="s">
        <v>2041</v>
      </c>
      <c r="C1525" s="133" t="s">
        <v>1147</v>
      </c>
      <c r="D1525" s="133" t="s">
        <v>2017</v>
      </c>
      <c r="E1525" s="133" t="s">
        <v>1116</v>
      </c>
      <c r="F1525" s="133" t="s">
        <v>1117</v>
      </c>
      <c r="G1525" s="133" t="s">
        <v>1118</v>
      </c>
      <c r="H1525" s="130" t="s">
        <v>1159</v>
      </c>
      <c r="I1525" s="130" t="s">
        <v>1160</v>
      </c>
      <c r="J1525" s="130" t="s">
        <v>1163</v>
      </c>
      <c r="K1525" s="130" t="s">
        <v>1164</v>
      </c>
      <c r="L1525" s="130" t="s">
        <v>2042</v>
      </c>
      <c r="M1525" s="130" t="s">
        <v>1925</v>
      </c>
      <c r="N1525" s="130" t="s">
        <v>152</v>
      </c>
      <c r="O1525" s="130" t="s">
        <v>1125</v>
      </c>
      <c r="P1525" s="130" t="s">
        <v>2019</v>
      </c>
      <c r="Q1525" s="130" t="s">
        <v>1127</v>
      </c>
      <c r="R1525" s="130" t="s">
        <v>1499</v>
      </c>
      <c r="S1525" s="130" t="s">
        <v>1500</v>
      </c>
      <c r="T1525" s="130" t="s">
        <v>1158</v>
      </c>
      <c r="U1525" s="130">
        <v>0</v>
      </c>
      <c r="V1525" s="131">
        <v>72721</v>
      </c>
      <c r="W1525" s="131">
        <v>72721</v>
      </c>
      <c r="X1525" s="131">
        <v>72721</v>
      </c>
      <c r="Y1525" s="131">
        <v>0</v>
      </c>
      <c r="Z1525" s="131">
        <v>72721</v>
      </c>
      <c r="AA1525" s="131">
        <v>0</v>
      </c>
      <c r="AB1525" s="131">
        <v>37580.129999999997</v>
      </c>
      <c r="AC1525" s="131">
        <v>35140.870000000003</v>
      </c>
      <c r="AD1525" s="131">
        <v>37580.129999999997</v>
      </c>
      <c r="AE1525" s="132">
        <v>35140.870000000003</v>
      </c>
    </row>
    <row r="1526" spans="1:31" x14ac:dyDescent="0.2">
      <c r="A1526" s="133">
        <v>263</v>
      </c>
      <c r="B1526" s="133" t="s">
        <v>2041</v>
      </c>
      <c r="C1526" s="133" t="s">
        <v>1147</v>
      </c>
      <c r="D1526" s="133" t="s">
        <v>2017</v>
      </c>
      <c r="E1526" s="133" t="s">
        <v>1116</v>
      </c>
      <c r="F1526" s="133" t="s">
        <v>1117</v>
      </c>
      <c r="G1526" s="133" t="s">
        <v>1118</v>
      </c>
      <c r="H1526" s="133" t="s">
        <v>1159</v>
      </c>
      <c r="I1526" s="133" t="s">
        <v>1160</v>
      </c>
      <c r="J1526" s="133" t="s">
        <v>1163</v>
      </c>
      <c r="K1526" s="130" t="s">
        <v>1165</v>
      </c>
      <c r="L1526" s="130" t="s">
        <v>2042</v>
      </c>
      <c r="M1526" s="130" t="s">
        <v>1925</v>
      </c>
      <c r="N1526" s="130" t="s">
        <v>152</v>
      </c>
      <c r="O1526" s="130" t="s">
        <v>1125</v>
      </c>
      <c r="P1526" s="130" t="s">
        <v>2019</v>
      </c>
      <c r="Q1526" s="130" t="s">
        <v>1127</v>
      </c>
      <c r="R1526" s="130" t="s">
        <v>1499</v>
      </c>
      <c r="S1526" s="130" t="s">
        <v>1500</v>
      </c>
      <c r="T1526" s="130" t="s">
        <v>1158</v>
      </c>
      <c r="U1526" s="130">
        <v>0</v>
      </c>
      <c r="V1526" s="131">
        <v>7210</v>
      </c>
      <c r="W1526" s="131">
        <v>7210</v>
      </c>
      <c r="X1526" s="131">
        <v>6739.6</v>
      </c>
      <c r="Y1526" s="131">
        <v>470.39999999999964</v>
      </c>
      <c r="Z1526" s="131">
        <v>6739.6</v>
      </c>
      <c r="AA1526" s="131">
        <v>470.39999999999964</v>
      </c>
      <c r="AB1526" s="131">
        <v>6739.6</v>
      </c>
      <c r="AC1526" s="131">
        <v>470.39999999999964</v>
      </c>
      <c r="AD1526" s="131">
        <v>6739.6</v>
      </c>
      <c r="AE1526" s="132">
        <v>470.39999999999964</v>
      </c>
    </row>
    <row r="1527" spans="1:31" x14ac:dyDescent="0.2">
      <c r="A1527" s="133">
        <v>263</v>
      </c>
      <c r="B1527" s="133" t="s">
        <v>2041</v>
      </c>
      <c r="C1527" s="133" t="s">
        <v>1147</v>
      </c>
      <c r="D1527" s="133" t="s">
        <v>2017</v>
      </c>
      <c r="E1527" s="133" t="s">
        <v>1116</v>
      </c>
      <c r="F1527" s="133" t="s">
        <v>1117</v>
      </c>
      <c r="G1527" s="133" t="s">
        <v>1118</v>
      </c>
      <c r="H1527" s="133" t="s">
        <v>1159</v>
      </c>
      <c r="I1527" s="133" t="s">
        <v>1160</v>
      </c>
      <c r="J1527" s="133" t="s">
        <v>1163</v>
      </c>
      <c r="K1527" s="130" t="s">
        <v>1162</v>
      </c>
      <c r="L1527" s="130" t="s">
        <v>2042</v>
      </c>
      <c r="M1527" s="130" t="s">
        <v>1925</v>
      </c>
      <c r="N1527" s="130" t="s">
        <v>152</v>
      </c>
      <c r="O1527" s="130" t="s">
        <v>1125</v>
      </c>
      <c r="P1527" s="130" t="s">
        <v>2019</v>
      </c>
      <c r="Q1527" s="130" t="s">
        <v>1127</v>
      </c>
      <c r="R1527" s="130" t="s">
        <v>1499</v>
      </c>
      <c r="S1527" s="130" t="s">
        <v>1500</v>
      </c>
      <c r="T1527" s="130" t="s">
        <v>1158</v>
      </c>
      <c r="U1527" s="130">
        <v>0</v>
      </c>
      <c r="V1527" s="131">
        <v>27100</v>
      </c>
      <c r="W1527" s="131">
        <v>27100</v>
      </c>
      <c r="X1527" s="131">
        <v>26700</v>
      </c>
      <c r="Y1527" s="131">
        <v>400</v>
      </c>
      <c r="Z1527" s="131">
        <v>26700</v>
      </c>
      <c r="AA1527" s="131">
        <v>400</v>
      </c>
      <c r="AB1527" s="131">
        <v>26700</v>
      </c>
      <c r="AC1527" s="131">
        <v>400</v>
      </c>
      <c r="AD1527" s="131">
        <v>4200</v>
      </c>
      <c r="AE1527" s="132">
        <v>22900</v>
      </c>
    </row>
    <row r="1528" spans="1:31" x14ac:dyDescent="0.2">
      <c r="A1528" s="133">
        <v>263</v>
      </c>
      <c r="B1528" s="133" t="s">
        <v>2041</v>
      </c>
      <c r="C1528" s="133" t="s">
        <v>1147</v>
      </c>
      <c r="D1528" s="133" t="s">
        <v>2017</v>
      </c>
      <c r="E1528" s="133" t="s">
        <v>1116</v>
      </c>
      <c r="F1528" s="133" t="s">
        <v>1117</v>
      </c>
      <c r="G1528" s="133" t="s">
        <v>1118</v>
      </c>
      <c r="H1528" s="130" t="s">
        <v>1133</v>
      </c>
      <c r="I1528" s="130" t="s">
        <v>1134</v>
      </c>
      <c r="J1528" s="130" t="s">
        <v>1135</v>
      </c>
      <c r="K1528" s="130" t="s">
        <v>1178</v>
      </c>
      <c r="L1528" s="130" t="s">
        <v>2042</v>
      </c>
      <c r="M1528" s="130" t="s">
        <v>1925</v>
      </c>
      <c r="N1528" s="130" t="s">
        <v>152</v>
      </c>
      <c r="O1528" s="130" t="s">
        <v>1125</v>
      </c>
      <c r="P1528" s="130" t="s">
        <v>2019</v>
      </c>
      <c r="Q1528" s="130" t="s">
        <v>1127</v>
      </c>
      <c r="R1528" s="130" t="s">
        <v>1499</v>
      </c>
      <c r="S1528" s="130" t="s">
        <v>1500</v>
      </c>
      <c r="T1528" s="130" t="s">
        <v>1158</v>
      </c>
      <c r="U1528" s="130">
        <v>0</v>
      </c>
      <c r="V1528" s="131">
        <v>58244</v>
      </c>
      <c r="W1528" s="131">
        <v>58244</v>
      </c>
      <c r="X1528" s="131">
        <v>45046</v>
      </c>
      <c r="Y1528" s="131">
        <v>13198</v>
      </c>
      <c r="Z1528" s="131">
        <v>45046</v>
      </c>
      <c r="AA1528" s="131">
        <v>13198</v>
      </c>
      <c r="AB1528" s="131">
        <v>27060.61</v>
      </c>
      <c r="AC1528" s="131">
        <v>31183.39</v>
      </c>
      <c r="AD1528" s="131">
        <v>27060.61</v>
      </c>
      <c r="AE1528" s="132">
        <v>31183.39</v>
      </c>
    </row>
    <row r="1529" spans="1:31" x14ac:dyDescent="0.2">
      <c r="A1529" s="133">
        <v>263</v>
      </c>
      <c r="B1529" s="133" t="s">
        <v>2041</v>
      </c>
      <c r="C1529" s="133" t="s">
        <v>1147</v>
      </c>
      <c r="D1529" s="133" t="s">
        <v>2017</v>
      </c>
      <c r="E1529" s="133" t="s">
        <v>1116</v>
      </c>
      <c r="F1529" s="133" t="s">
        <v>1117</v>
      </c>
      <c r="G1529" s="133" t="s">
        <v>1118</v>
      </c>
      <c r="H1529" s="133" t="s">
        <v>1133</v>
      </c>
      <c r="I1529" s="133" t="s">
        <v>1134</v>
      </c>
      <c r="J1529" s="133" t="s">
        <v>1135</v>
      </c>
      <c r="K1529" s="130" t="s">
        <v>1179</v>
      </c>
      <c r="L1529" s="130" t="s">
        <v>2042</v>
      </c>
      <c r="M1529" s="130" t="s">
        <v>1925</v>
      </c>
      <c r="N1529" s="130" t="s">
        <v>152</v>
      </c>
      <c r="O1529" s="130" t="s">
        <v>1125</v>
      </c>
      <c r="P1529" s="130" t="s">
        <v>2019</v>
      </c>
      <c r="Q1529" s="130" t="s">
        <v>1127</v>
      </c>
      <c r="R1529" s="130" t="s">
        <v>1499</v>
      </c>
      <c r="S1529" s="130" t="s">
        <v>1500</v>
      </c>
      <c r="T1529" s="130" t="s">
        <v>1158</v>
      </c>
      <c r="U1529" s="130">
        <v>0</v>
      </c>
      <c r="V1529" s="131">
        <v>3144</v>
      </c>
      <c r="W1529" s="131">
        <v>3144</v>
      </c>
      <c r="X1529" s="131">
        <v>2367.5</v>
      </c>
      <c r="Y1529" s="131">
        <v>776.5</v>
      </c>
      <c r="Z1529" s="131">
        <v>2367.5</v>
      </c>
      <c r="AA1529" s="131">
        <v>776.5</v>
      </c>
      <c r="AB1529" s="131">
        <v>2367.5</v>
      </c>
      <c r="AC1529" s="131">
        <v>776.5</v>
      </c>
      <c r="AD1529" s="131">
        <v>857.5</v>
      </c>
      <c r="AE1529" s="132">
        <v>2286.5</v>
      </c>
    </row>
    <row r="1530" spans="1:31" x14ac:dyDescent="0.2">
      <c r="A1530" s="133">
        <v>263</v>
      </c>
      <c r="B1530" s="133" t="s">
        <v>2041</v>
      </c>
      <c r="C1530" s="133" t="s">
        <v>1147</v>
      </c>
      <c r="D1530" s="133" t="s">
        <v>2017</v>
      </c>
      <c r="E1530" s="133" t="s">
        <v>1116</v>
      </c>
      <c r="F1530" s="133" t="s">
        <v>1117</v>
      </c>
      <c r="G1530" s="133" t="s">
        <v>1118</v>
      </c>
      <c r="H1530" s="133" t="s">
        <v>1133</v>
      </c>
      <c r="I1530" s="133" t="s">
        <v>1134</v>
      </c>
      <c r="J1530" s="133" t="s">
        <v>1135</v>
      </c>
      <c r="K1530" s="130" t="s">
        <v>1144</v>
      </c>
      <c r="L1530" s="130" t="s">
        <v>2042</v>
      </c>
      <c r="M1530" s="130" t="s">
        <v>1925</v>
      </c>
      <c r="N1530" s="130" t="s">
        <v>152</v>
      </c>
      <c r="O1530" s="130" t="s">
        <v>1125</v>
      </c>
      <c r="P1530" s="130" t="s">
        <v>2019</v>
      </c>
      <c r="Q1530" s="130" t="s">
        <v>1127</v>
      </c>
      <c r="R1530" s="130" t="s">
        <v>1499</v>
      </c>
      <c r="S1530" s="130" t="s">
        <v>1500</v>
      </c>
      <c r="T1530" s="130" t="s">
        <v>1158</v>
      </c>
      <c r="U1530" s="130">
        <v>0</v>
      </c>
      <c r="V1530" s="131">
        <v>13300</v>
      </c>
      <c r="W1530" s="131">
        <v>13300</v>
      </c>
      <c r="X1530" s="131">
        <v>10800</v>
      </c>
      <c r="Y1530" s="131">
        <v>2500</v>
      </c>
      <c r="Z1530" s="131">
        <v>10800</v>
      </c>
      <c r="AA1530" s="131">
        <v>2500</v>
      </c>
      <c r="AB1530" s="131">
        <v>10800</v>
      </c>
      <c r="AC1530" s="131">
        <v>2500</v>
      </c>
      <c r="AD1530" s="131">
        <v>0</v>
      </c>
      <c r="AE1530" s="132">
        <v>13300</v>
      </c>
    </row>
    <row r="1531" spans="1:31" x14ac:dyDescent="0.2">
      <c r="A1531" s="130">
        <v>264</v>
      </c>
      <c r="B1531" s="130" t="s">
        <v>2043</v>
      </c>
      <c r="C1531" s="130" t="s">
        <v>1147</v>
      </c>
      <c r="D1531" s="130" t="s">
        <v>1346</v>
      </c>
      <c r="E1531" s="130" t="s">
        <v>1116</v>
      </c>
      <c r="F1531" s="130" t="s">
        <v>1117</v>
      </c>
      <c r="G1531" s="130" t="s">
        <v>1118</v>
      </c>
      <c r="H1531" s="130" t="s">
        <v>1149</v>
      </c>
      <c r="I1531" s="130" t="s">
        <v>1150</v>
      </c>
      <c r="J1531" s="130" t="s">
        <v>1150</v>
      </c>
      <c r="K1531" s="130" t="s">
        <v>1151</v>
      </c>
      <c r="L1531" s="130" t="s">
        <v>2044</v>
      </c>
      <c r="M1531" s="130" t="s">
        <v>1925</v>
      </c>
      <c r="N1531" s="130" t="s">
        <v>120</v>
      </c>
      <c r="O1531" s="130" t="s">
        <v>2045</v>
      </c>
      <c r="P1531" s="130" t="s">
        <v>2046</v>
      </c>
      <c r="Q1531" s="130" t="s">
        <v>1127</v>
      </c>
      <c r="R1531" s="130" t="s">
        <v>1187</v>
      </c>
      <c r="S1531" s="130" t="s">
        <v>1157</v>
      </c>
      <c r="T1531" s="130" t="s">
        <v>1468</v>
      </c>
      <c r="U1531" s="130">
        <v>0</v>
      </c>
      <c r="V1531" s="131">
        <v>125000</v>
      </c>
      <c r="W1531" s="131">
        <v>125000</v>
      </c>
      <c r="X1531" s="131">
        <v>23600</v>
      </c>
      <c r="Y1531" s="131">
        <v>101400</v>
      </c>
      <c r="Z1531" s="131">
        <v>23600</v>
      </c>
      <c r="AA1531" s="131">
        <v>101400</v>
      </c>
      <c r="AB1531" s="131">
        <v>23600</v>
      </c>
      <c r="AC1531" s="131">
        <v>101400</v>
      </c>
      <c r="AD1531" s="131">
        <v>23600</v>
      </c>
      <c r="AE1531" s="132">
        <v>101400</v>
      </c>
    </row>
    <row r="1532" spans="1:31" x14ac:dyDescent="0.2">
      <c r="A1532" s="133">
        <v>264</v>
      </c>
      <c r="B1532" s="133" t="s">
        <v>2043</v>
      </c>
      <c r="C1532" s="133" t="s">
        <v>1147</v>
      </c>
      <c r="D1532" s="133" t="s">
        <v>1346</v>
      </c>
      <c r="E1532" s="133" t="s">
        <v>1116</v>
      </c>
      <c r="F1532" s="133" t="s">
        <v>1117</v>
      </c>
      <c r="G1532" s="133" t="s">
        <v>1118</v>
      </c>
      <c r="H1532" s="133" t="s">
        <v>1149</v>
      </c>
      <c r="I1532" s="130" t="s">
        <v>1182</v>
      </c>
      <c r="J1532" s="130" t="s">
        <v>1377</v>
      </c>
      <c r="K1532" s="130" t="s">
        <v>1378</v>
      </c>
      <c r="L1532" s="130" t="s">
        <v>2044</v>
      </c>
      <c r="M1532" s="130" t="s">
        <v>1925</v>
      </c>
      <c r="N1532" s="130" t="s">
        <v>120</v>
      </c>
      <c r="O1532" s="130" t="s">
        <v>2045</v>
      </c>
      <c r="P1532" s="130" t="s">
        <v>2046</v>
      </c>
      <c r="Q1532" s="130" t="s">
        <v>1127</v>
      </c>
      <c r="R1532" s="130" t="s">
        <v>1187</v>
      </c>
      <c r="S1532" s="130" t="s">
        <v>1157</v>
      </c>
      <c r="T1532" s="130" t="s">
        <v>1468</v>
      </c>
      <c r="U1532" s="130">
        <v>0</v>
      </c>
      <c r="V1532" s="131">
        <v>14805</v>
      </c>
      <c r="W1532" s="131">
        <v>14805</v>
      </c>
      <c r="X1532" s="131">
        <v>14804.8</v>
      </c>
      <c r="Y1532" s="131">
        <v>0.2000000000007276</v>
      </c>
      <c r="Z1532" s="131">
        <v>14804.8</v>
      </c>
      <c r="AA1532" s="131">
        <v>0.2000000000007276</v>
      </c>
      <c r="AB1532" s="131">
        <v>14804.8</v>
      </c>
      <c r="AC1532" s="131">
        <v>0.2000000000007276</v>
      </c>
      <c r="AD1532" s="131">
        <v>14804.8</v>
      </c>
      <c r="AE1532" s="132">
        <v>0.2000000000007276</v>
      </c>
    </row>
    <row r="1533" spans="1:31" x14ac:dyDescent="0.2">
      <c r="A1533" s="133">
        <v>264</v>
      </c>
      <c r="B1533" s="133" t="s">
        <v>2043</v>
      </c>
      <c r="C1533" s="133" t="s">
        <v>1147</v>
      </c>
      <c r="D1533" s="133" t="s">
        <v>1346</v>
      </c>
      <c r="E1533" s="133" t="s">
        <v>1116</v>
      </c>
      <c r="F1533" s="133" t="s">
        <v>1117</v>
      </c>
      <c r="G1533" s="133" t="s">
        <v>1118</v>
      </c>
      <c r="H1533" s="133" t="s">
        <v>1149</v>
      </c>
      <c r="I1533" s="133" t="s">
        <v>1182</v>
      </c>
      <c r="J1533" s="130" t="s">
        <v>1347</v>
      </c>
      <c r="K1533" s="130" t="s">
        <v>1348</v>
      </c>
      <c r="L1533" s="130" t="s">
        <v>2044</v>
      </c>
      <c r="M1533" s="130" t="s">
        <v>1925</v>
      </c>
      <c r="N1533" s="130" t="s">
        <v>120</v>
      </c>
      <c r="O1533" s="130" t="s">
        <v>2045</v>
      </c>
      <c r="P1533" s="130" t="s">
        <v>2046</v>
      </c>
      <c r="Q1533" s="130" t="s">
        <v>1127</v>
      </c>
      <c r="R1533" s="130" t="s">
        <v>1187</v>
      </c>
      <c r="S1533" s="130" t="s">
        <v>1157</v>
      </c>
      <c r="T1533" s="130" t="s">
        <v>1468</v>
      </c>
      <c r="U1533" s="130">
        <v>0</v>
      </c>
      <c r="V1533" s="131">
        <v>30400</v>
      </c>
      <c r="W1533" s="131">
        <v>30400</v>
      </c>
      <c r="X1533" s="131">
        <v>24800</v>
      </c>
      <c r="Y1533" s="131">
        <v>5600</v>
      </c>
      <c r="Z1533" s="131">
        <v>24800</v>
      </c>
      <c r="AA1533" s="131">
        <v>5600</v>
      </c>
      <c r="AB1533" s="131">
        <v>24800</v>
      </c>
      <c r="AC1533" s="131">
        <v>5600</v>
      </c>
      <c r="AD1533" s="131">
        <v>24800</v>
      </c>
      <c r="AE1533" s="132">
        <v>5600</v>
      </c>
    </row>
    <row r="1534" spans="1:31" x14ac:dyDescent="0.2">
      <c r="A1534" s="133">
        <v>264</v>
      </c>
      <c r="B1534" s="133" t="s">
        <v>2043</v>
      </c>
      <c r="C1534" s="133" t="s">
        <v>1147</v>
      </c>
      <c r="D1534" s="133" t="s">
        <v>1346</v>
      </c>
      <c r="E1534" s="133" t="s">
        <v>1116</v>
      </c>
      <c r="F1534" s="133" t="s">
        <v>1117</v>
      </c>
      <c r="G1534" s="133" t="s">
        <v>1118</v>
      </c>
      <c r="H1534" s="133" t="s">
        <v>1149</v>
      </c>
      <c r="I1534" s="133" t="s">
        <v>1182</v>
      </c>
      <c r="J1534" s="130" t="s">
        <v>1942</v>
      </c>
      <c r="K1534" s="130" t="s">
        <v>1944</v>
      </c>
      <c r="L1534" s="130" t="s">
        <v>2044</v>
      </c>
      <c r="M1534" s="130" t="s">
        <v>1925</v>
      </c>
      <c r="N1534" s="130" t="s">
        <v>120</v>
      </c>
      <c r="O1534" s="130" t="s">
        <v>2045</v>
      </c>
      <c r="P1534" s="130" t="s">
        <v>2046</v>
      </c>
      <c r="Q1534" s="130" t="s">
        <v>1127</v>
      </c>
      <c r="R1534" s="130" t="s">
        <v>1187</v>
      </c>
      <c r="S1534" s="130" t="s">
        <v>1157</v>
      </c>
      <c r="T1534" s="130" t="s">
        <v>1468</v>
      </c>
      <c r="U1534" s="130">
        <v>0</v>
      </c>
      <c r="V1534" s="131">
        <v>11620</v>
      </c>
      <c r="W1534" s="131">
        <v>11620</v>
      </c>
      <c r="X1534" s="131">
        <v>0</v>
      </c>
      <c r="Y1534" s="131">
        <v>11620</v>
      </c>
      <c r="Z1534" s="131">
        <v>0</v>
      </c>
      <c r="AA1534" s="131">
        <v>11620</v>
      </c>
      <c r="AB1534" s="131">
        <v>0</v>
      </c>
      <c r="AC1534" s="131">
        <v>11620</v>
      </c>
      <c r="AD1534" s="131">
        <v>0</v>
      </c>
      <c r="AE1534" s="132">
        <v>11620</v>
      </c>
    </row>
    <row r="1535" spans="1:31" x14ac:dyDescent="0.2">
      <c r="A1535" s="133">
        <v>264</v>
      </c>
      <c r="B1535" s="133" t="s">
        <v>2043</v>
      </c>
      <c r="C1535" s="133" t="s">
        <v>1147</v>
      </c>
      <c r="D1535" s="133" t="s">
        <v>1346</v>
      </c>
      <c r="E1535" s="133" t="s">
        <v>1116</v>
      </c>
      <c r="F1535" s="133" t="s">
        <v>1117</v>
      </c>
      <c r="G1535" s="133" t="s">
        <v>1118</v>
      </c>
      <c r="H1535" s="130" t="s">
        <v>1159</v>
      </c>
      <c r="I1535" s="130" t="s">
        <v>1160</v>
      </c>
      <c r="J1535" s="130" t="s">
        <v>1163</v>
      </c>
      <c r="K1535" s="130" t="s">
        <v>1164</v>
      </c>
      <c r="L1535" s="130" t="s">
        <v>2044</v>
      </c>
      <c r="M1535" s="130" t="s">
        <v>1925</v>
      </c>
      <c r="N1535" s="130" t="s">
        <v>120</v>
      </c>
      <c r="O1535" s="130" t="s">
        <v>2045</v>
      </c>
      <c r="P1535" s="130" t="s">
        <v>2046</v>
      </c>
      <c r="Q1535" s="130" t="s">
        <v>1127</v>
      </c>
      <c r="R1535" s="130" t="s">
        <v>1187</v>
      </c>
      <c r="S1535" s="130" t="s">
        <v>1157</v>
      </c>
      <c r="T1535" s="130" t="s">
        <v>1468</v>
      </c>
      <c r="U1535" s="130">
        <v>0</v>
      </c>
      <c r="V1535" s="131">
        <v>489364</v>
      </c>
      <c r="W1535" s="131">
        <v>489364</v>
      </c>
      <c r="X1535" s="131">
        <v>489364</v>
      </c>
      <c r="Y1535" s="131">
        <v>0</v>
      </c>
      <c r="Z1535" s="131">
        <v>200000</v>
      </c>
      <c r="AA1535" s="131">
        <v>289364</v>
      </c>
      <c r="AB1535" s="131">
        <v>142301.13</v>
      </c>
      <c r="AC1535" s="131">
        <v>347062.87</v>
      </c>
      <c r="AD1535" s="131">
        <v>142301.13</v>
      </c>
      <c r="AE1535" s="132">
        <v>347062.87</v>
      </c>
    </row>
    <row r="1536" spans="1:31" x14ac:dyDescent="0.2">
      <c r="A1536" s="133">
        <v>264</v>
      </c>
      <c r="B1536" s="133" t="s">
        <v>2043</v>
      </c>
      <c r="C1536" s="133" t="s">
        <v>1147</v>
      </c>
      <c r="D1536" s="133" t="s">
        <v>1346</v>
      </c>
      <c r="E1536" s="133" t="s">
        <v>1116</v>
      </c>
      <c r="F1536" s="133" t="s">
        <v>1117</v>
      </c>
      <c r="G1536" s="133" t="s">
        <v>1118</v>
      </c>
      <c r="H1536" s="133" t="s">
        <v>1159</v>
      </c>
      <c r="I1536" s="133" t="s">
        <v>1160</v>
      </c>
      <c r="J1536" s="133" t="s">
        <v>1163</v>
      </c>
      <c r="K1536" s="130" t="s">
        <v>1165</v>
      </c>
      <c r="L1536" s="130" t="s">
        <v>2044</v>
      </c>
      <c r="M1536" s="130" t="s">
        <v>1925</v>
      </c>
      <c r="N1536" s="130" t="s">
        <v>120</v>
      </c>
      <c r="O1536" s="130" t="s">
        <v>2045</v>
      </c>
      <c r="P1536" s="130" t="s">
        <v>2046</v>
      </c>
      <c r="Q1536" s="130" t="s">
        <v>1127</v>
      </c>
      <c r="R1536" s="130" t="s">
        <v>1187</v>
      </c>
      <c r="S1536" s="130" t="s">
        <v>1157</v>
      </c>
      <c r="T1536" s="130" t="s">
        <v>1468</v>
      </c>
      <c r="U1536" s="130">
        <v>1500000</v>
      </c>
      <c r="V1536" s="131">
        <v>-998564</v>
      </c>
      <c r="W1536" s="131">
        <v>501436</v>
      </c>
      <c r="X1536" s="131">
        <v>298379.7</v>
      </c>
      <c r="Y1536" s="131">
        <v>203056.3</v>
      </c>
      <c r="Z1536" s="131">
        <v>210446.83</v>
      </c>
      <c r="AA1536" s="131">
        <v>290989.17000000004</v>
      </c>
      <c r="AB1536" s="131">
        <v>205982.83000000002</v>
      </c>
      <c r="AC1536" s="131">
        <v>295453.17</v>
      </c>
      <c r="AD1536" s="131">
        <v>139665.85</v>
      </c>
      <c r="AE1536" s="132">
        <v>361770.15</v>
      </c>
    </row>
    <row r="1537" spans="1:31" x14ac:dyDescent="0.2">
      <c r="A1537" s="133">
        <v>264</v>
      </c>
      <c r="B1537" s="133" t="s">
        <v>2043</v>
      </c>
      <c r="C1537" s="133" t="s">
        <v>1147</v>
      </c>
      <c r="D1537" s="133" t="s">
        <v>1346</v>
      </c>
      <c r="E1537" s="133" t="s">
        <v>1116</v>
      </c>
      <c r="F1537" s="133" t="s">
        <v>1117</v>
      </c>
      <c r="G1537" s="133" t="s">
        <v>1118</v>
      </c>
      <c r="H1537" s="133" t="s">
        <v>1159</v>
      </c>
      <c r="I1537" s="133" t="s">
        <v>1160</v>
      </c>
      <c r="J1537" s="133" t="s">
        <v>1163</v>
      </c>
      <c r="K1537" s="130" t="s">
        <v>1162</v>
      </c>
      <c r="L1537" s="130" t="s">
        <v>2044</v>
      </c>
      <c r="M1537" s="130" t="s">
        <v>1925</v>
      </c>
      <c r="N1537" s="130" t="s">
        <v>120</v>
      </c>
      <c r="O1537" s="130" t="s">
        <v>2045</v>
      </c>
      <c r="P1537" s="130" t="s">
        <v>2046</v>
      </c>
      <c r="Q1537" s="130" t="s">
        <v>1127</v>
      </c>
      <c r="R1537" s="130" t="s">
        <v>1187</v>
      </c>
      <c r="S1537" s="130" t="s">
        <v>1157</v>
      </c>
      <c r="T1537" s="130" t="s">
        <v>1468</v>
      </c>
      <c r="U1537" s="130">
        <v>0</v>
      </c>
      <c r="V1537" s="131">
        <v>232185</v>
      </c>
      <c r="W1537" s="131">
        <v>232185</v>
      </c>
      <c r="X1537" s="131">
        <v>48650</v>
      </c>
      <c r="Y1537" s="131">
        <v>183535</v>
      </c>
      <c r="Z1537" s="131">
        <v>48650</v>
      </c>
      <c r="AA1537" s="131">
        <v>183535</v>
      </c>
      <c r="AB1537" s="131">
        <v>48650</v>
      </c>
      <c r="AC1537" s="131">
        <v>183535</v>
      </c>
      <c r="AD1537" s="131">
        <v>48650</v>
      </c>
      <c r="AE1537" s="132">
        <v>183535</v>
      </c>
    </row>
    <row r="1538" spans="1:31" x14ac:dyDescent="0.2">
      <c r="A1538" s="133">
        <v>264</v>
      </c>
      <c r="B1538" s="133" t="s">
        <v>2043</v>
      </c>
      <c r="C1538" s="133" t="s">
        <v>1147</v>
      </c>
      <c r="D1538" s="133" t="s">
        <v>1346</v>
      </c>
      <c r="E1538" s="133" t="s">
        <v>1116</v>
      </c>
      <c r="F1538" s="133" t="s">
        <v>1117</v>
      </c>
      <c r="G1538" s="133" t="s">
        <v>1118</v>
      </c>
      <c r="H1538" s="130" t="s">
        <v>1133</v>
      </c>
      <c r="I1538" s="130" t="s">
        <v>1134</v>
      </c>
      <c r="J1538" s="130" t="s">
        <v>1135</v>
      </c>
      <c r="K1538" s="130" t="s">
        <v>1178</v>
      </c>
      <c r="L1538" s="130" t="s">
        <v>2044</v>
      </c>
      <c r="M1538" s="130" t="s">
        <v>1925</v>
      </c>
      <c r="N1538" s="130" t="s">
        <v>120</v>
      </c>
      <c r="O1538" s="130" t="s">
        <v>2045</v>
      </c>
      <c r="P1538" s="130" t="s">
        <v>2046</v>
      </c>
      <c r="Q1538" s="130" t="s">
        <v>1127</v>
      </c>
      <c r="R1538" s="130" t="s">
        <v>1187</v>
      </c>
      <c r="S1538" s="130" t="s">
        <v>1157</v>
      </c>
      <c r="T1538" s="130" t="s">
        <v>1468</v>
      </c>
      <c r="U1538" s="130">
        <v>0</v>
      </c>
      <c r="V1538" s="131">
        <v>32700</v>
      </c>
      <c r="W1538" s="131">
        <v>32700</v>
      </c>
      <c r="X1538" s="131">
        <v>30084</v>
      </c>
      <c r="Y1538" s="131">
        <v>2616</v>
      </c>
      <c r="Z1538" s="131">
        <v>30084</v>
      </c>
      <c r="AA1538" s="131">
        <v>2616</v>
      </c>
      <c r="AB1538" s="131">
        <v>25134.9</v>
      </c>
      <c r="AC1538" s="131">
        <v>7565.0999999999985</v>
      </c>
      <c r="AD1538" s="131">
        <v>25134.9</v>
      </c>
      <c r="AE1538" s="132">
        <v>7565.0999999999985</v>
      </c>
    </row>
    <row r="1539" spans="1:31" x14ac:dyDescent="0.2">
      <c r="A1539" s="133">
        <v>264</v>
      </c>
      <c r="B1539" s="133" t="s">
        <v>2043</v>
      </c>
      <c r="C1539" s="133" t="s">
        <v>1147</v>
      </c>
      <c r="D1539" s="133" t="s">
        <v>1346</v>
      </c>
      <c r="E1539" s="133" t="s">
        <v>1116</v>
      </c>
      <c r="F1539" s="133" t="s">
        <v>1117</v>
      </c>
      <c r="G1539" s="133" t="s">
        <v>1118</v>
      </c>
      <c r="H1539" s="133" t="s">
        <v>1133</v>
      </c>
      <c r="I1539" s="133" t="s">
        <v>1134</v>
      </c>
      <c r="J1539" s="133" t="s">
        <v>1135</v>
      </c>
      <c r="K1539" s="130" t="s">
        <v>1179</v>
      </c>
      <c r="L1539" s="130" t="s">
        <v>2044</v>
      </c>
      <c r="M1539" s="130" t="s">
        <v>1925</v>
      </c>
      <c r="N1539" s="130" t="s">
        <v>120</v>
      </c>
      <c r="O1539" s="130" t="s">
        <v>2045</v>
      </c>
      <c r="P1539" s="130" t="s">
        <v>2046</v>
      </c>
      <c r="Q1539" s="130" t="s">
        <v>1127</v>
      </c>
      <c r="R1539" s="130" t="s">
        <v>1187</v>
      </c>
      <c r="S1539" s="130" t="s">
        <v>1157</v>
      </c>
      <c r="T1539" s="130" t="s">
        <v>1468</v>
      </c>
      <c r="U1539" s="130">
        <v>0</v>
      </c>
      <c r="V1539" s="131">
        <v>21027</v>
      </c>
      <c r="W1539" s="131">
        <v>21027</v>
      </c>
      <c r="X1539" s="131">
        <v>3290.6</v>
      </c>
      <c r="Y1539" s="131">
        <v>17736.400000000001</v>
      </c>
      <c r="Z1539" s="131">
        <v>3290.6</v>
      </c>
      <c r="AA1539" s="131">
        <v>17736.400000000001</v>
      </c>
      <c r="AB1539" s="131">
        <v>3290.6</v>
      </c>
      <c r="AC1539" s="131">
        <v>17736.400000000001</v>
      </c>
      <c r="AD1539" s="131">
        <v>0</v>
      </c>
      <c r="AE1539" s="132">
        <v>21027</v>
      </c>
    </row>
    <row r="1540" spans="1:31" x14ac:dyDescent="0.2">
      <c r="A1540" s="133">
        <v>264</v>
      </c>
      <c r="B1540" s="133" t="s">
        <v>2043</v>
      </c>
      <c r="C1540" s="133" t="s">
        <v>1147</v>
      </c>
      <c r="D1540" s="133" t="s">
        <v>1346</v>
      </c>
      <c r="E1540" s="133" t="s">
        <v>1116</v>
      </c>
      <c r="F1540" s="133" t="s">
        <v>1117</v>
      </c>
      <c r="G1540" s="133" t="s">
        <v>1118</v>
      </c>
      <c r="H1540" s="133" t="s">
        <v>1133</v>
      </c>
      <c r="I1540" s="133" t="s">
        <v>1134</v>
      </c>
      <c r="J1540" s="133" t="s">
        <v>1135</v>
      </c>
      <c r="K1540" s="130" t="s">
        <v>1144</v>
      </c>
      <c r="L1540" s="130" t="s">
        <v>2044</v>
      </c>
      <c r="M1540" s="130" t="s">
        <v>1925</v>
      </c>
      <c r="N1540" s="130" t="s">
        <v>120</v>
      </c>
      <c r="O1540" s="130" t="s">
        <v>2045</v>
      </c>
      <c r="P1540" s="130" t="s">
        <v>2046</v>
      </c>
      <c r="Q1540" s="130" t="s">
        <v>1127</v>
      </c>
      <c r="R1540" s="130" t="s">
        <v>1187</v>
      </c>
      <c r="S1540" s="130" t="s">
        <v>1157</v>
      </c>
      <c r="T1540" s="130" t="s">
        <v>1468</v>
      </c>
      <c r="U1540" s="130">
        <v>0</v>
      </c>
      <c r="V1540" s="131">
        <v>41463</v>
      </c>
      <c r="W1540" s="131">
        <v>41463</v>
      </c>
      <c r="X1540" s="131">
        <v>0</v>
      </c>
      <c r="Y1540" s="131">
        <v>41463</v>
      </c>
      <c r="Z1540" s="131">
        <v>0</v>
      </c>
      <c r="AA1540" s="131">
        <v>41463</v>
      </c>
      <c r="AB1540" s="131">
        <v>0</v>
      </c>
      <c r="AC1540" s="131">
        <v>41463</v>
      </c>
      <c r="AD1540" s="131">
        <v>0</v>
      </c>
      <c r="AE1540" s="132">
        <v>41463</v>
      </c>
    </row>
    <row r="1541" spans="1:31" x14ac:dyDescent="0.2">
      <c r="A1541" s="130">
        <v>265</v>
      </c>
      <c r="B1541" s="130" t="s">
        <v>2047</v>
      </c>
      <c r="C1541" s="130" t="s">
        <v>1114</v>
      </c>
      <c r="D1541" s="130" t="s">
        <v>1954</v>
      </c>
      <c r="E1541" s="130" t="s">
        <v>1116</v>
      </c>
      <c r="F1541" s="130" t="s">
        <v>1117</v>
      </c>
      <c r="G1541" s="130" t="s">
        <v>1118</v>
      </c>
      <c r="H1541" s="130" t="s">
        <v>1119</v>
      </c>
      <c r="I1541" s="130" t="s">
        <v>1120</v>
      </c>
      <c r="J1541" s="130" t="s">
        <v>1121</v>
      </c>
      <c r="K1541" s="130" t="s">
        <v>1122</v>
      </c>
      <c r="L1541" s="130" t="s">
        <v>2048</v>
      </c>
      <c r="M1541" s="130" t="s">
        <v>1925</v>
      </c>
      <c r="N1541" s="130" t="s">
        <v>152</v>
      </c>
      <c r="O1541" s="130" t="s">
        <v>1125</v>
      </c>
      <c r="P1541" s="130" t="s">
        <v>1126</v>
      </c>
      <c r="Q1541" s="130" t="s">
        <v>1127</v>
      </c>
      <c r="R1541" s="130" t="s">
        <v>1191</v>
      </c>
      <c r="S1541" s="130" t="s">
        <v>1819</v>
      </c>
      <c r="T1541" s="130" t="s">
        <v>1130</v>
      </c>
      <c r="U1541" s="130">
        <v>100000</v>
      </c>
      <c r="V1541" s="131">
        <v>-100000</v>
      </c>
      <c r="W1541" s="131">
        <v>0</v>
      </c>
      <c r="X1541" s="131">
        <v>0</v>
      </c>
      <c r="Y1541" s="131">
        <v>0</v>
      </c>
      <c r="Z1541" s="131">
        <v>0</v>
      </c>
      <c r="AA1541" s="131">
        <v>0</v>
      </c>
      <c r="AB1541" s="131">
        <v>0</v>
      </c>
      <c r="AC1541" s="131">
        <v>0</v>
      </c>
      <c r="AD1541" s="131">
        <v>0</v>
      </c>
      <c r="AE1541" s="132">
        <v>0</v>
      </c>
    </row>
    <row r="1542" spans="1:31" x14ac:dyDescent="0.2">
      <c r="A1542" s="133">
        <v>265</v>
      </c>
      <c r="B1542" s="133" t="s">
        <v>2047</v>
      </c>
      <c r="C1542" s="133" t="s">
        <v>1114</v>
      </c>
      <c r="D1542" s="133" t="s">
        <v>1954</v>
      </c>
      <c r="E1542" s="133" t="s">
        <v>1116</v>
      </c>
      <c r="F1542" s="133" t="s">
        <v>1117</v>
      </c>
      <c r="G1542" s="133" t="s">
        <v>1118</v>
      </c>
      <c r="H1542" s="130" t="s">
        <v>1133</v>
      </c>
      <c r="I1542" s="130" t="s">
        <v>1134</v>
      </c>
      <c r="J1542" s="130" t="s">
        <v>1166</v>
      </c>
      <c r="K1542" s="130" t="s">
        <v>1167</v>
      </c>
      <c r="L1542" s="130" t="s">
        <v>2048</v>
      </c>
      <c r="M1542" s="130" t="s">
        <v>1925</v>
      </c>
      <c r="N1542" s="130" t="s">
        <v>152</v>
      </c>
      <c r="O1542" s="130" t="s">
        <v>1125</v>
      </c>
      <c r="P1542" s="130" t="s">
        <v>1126</v>
      </c>
      <c r="Q1542" s="130" t="s">
        <v>1127</v>
      </c>
      <c r="R1542" s="130" t="s">
        <v>1191</v>
      </c>
      <c r="S1542" s="130" t="s">
        <v>1819</v>
      </c>
      <c r="T1542" s="130" t="s">
        <v>1130</v>
      </c>
      <c r="U1542" s="130">
        <v>0</v>
      </c>
      <c r="V1542" s="131">
        <v>0</v>
      </c>
      <c r="W1542" s="131">
        <v>0</v>
      </c>
      <c r="X1542" s="131">
        <v>0</v>
      </c>
      <c r="Y1542" s="131">
        <v>0</v>
      </c>
      <c r="Z1542" s="131">
        <v>0</v>
      </c>
      <c r="AA1542" s="131">
        <v>0</v>
      </c>
      <c r="AB1542" s="131">
        <v>0</v>
      </c>
      <c r="AC1542" s="131">
        <v>0</v>
      </c>
      <c r="AD1542" s="131">
        <v>0</v>
      </c>
      <c r="AE1542" s="132">
        <v>0</v>
      </c>
    </row>
    <row r="1543" spans="1:31" x14ac:dyDescent="0.2">
      <c r="A1543" s="130">
        <v>266</v>
      </c>
      <c r="B1543" s="130" t="s">
        <v>2049</v>
      </c>
      <c r="C1543" s="130" t="s">
        <v>1114</v>
      </c>
      <c r="D1543" s="130" t="s">
        <v>1966</v>
      </c>
      <c r="E1543" s="130" t="s">
        <v>1116</v>
      </c>
      <c r="F1543" s="130" t="s">
        <v>1117</v>
      </c>
      <c r="G1543" s="130" t="s">
        <v>1118</v>
      </c>
      <c r="H1543" s="130" t="s">
        <v>1119</v>
      </c>
      <c r="I1543" s="130" t="s">
        <v>2050</v>
      </c>
      <c r="J1543" s="130" t="s">
        <v>2050</v>
      </c>
      <c r="K1543" s="130" t="s">
        <v>1122</v>
      </c>
      <c r="L1543" s="130" t="s">
        <v>2051</v>
      </c>
      <c r="M1543" s="130" t="s">
        <v>1925</v>
      </c>
      <c r="N1543" s="130" t="s">
        <v>1568</v>
      </c>
      <c r="O1543" s="130" t="s">
        <v>1569</v>
      </c>
      <c r="P1543" s="130" t="s">
        <v>1570</v>
      </c>
      <c r="Q1543" s="130" t="s">
        <v>1127</v>
      </c>
      <c r="R1543" s="130" t="s">
        <v>1191</v>
      </c>
      <c r="S1543" s="130" t="s">
        <v>1583</v>
      </c>
      <c r="T1543" s="130" t="s">
        <v>1130</v>
      </c>
      <c r="U1543" s="130">
        <v>200000</v>
      </c>
      <c r="V1543" s="131">
        <v>-150426</v>
      </c>
      <c r="W1543" s="131">
        <v>49574</v>
      </c>
      <c r="X1543" s="131">
        <v>0</v>
      </c>
      <c r="Y1543" s="131">
        <v>49574</v>
      </c>
      <c r="Z1543" s="131">
        <v>0</v>
      </c>
      <c r="AA1543" s="131">
        <v>49574</v>
      </c>
      <c r="AB1543" s="131">
        <v>0</v>
      </c>
      <c r="AC1543" s="131">
        <v>49574</v>
      </c>
      <c r="AD1543" s="131">
        <v>0</v>
      </c>
      <c r="AE1543" s="132">
        <v>49574</v>
      </c>
    </row>
    <row r="1544" spans="1:31" x14ac:dyDescent="0.2">
      <c r="A1544" s="130">
        <v>267</v>
      </c>
      <c r="B1544" s="130" t="s">
        <v>2052</v>
      </c>
      <c r="C1544" s="130" t="s">
        <v>1114</v>
      </c>
      <c r="D1544" s="130" t="s">
        <v>1954</v>
      </c>
      <c r="E1544" s="130" t="s">
        <v>1116</v>
      </c>
      <c r="F1544" s="130" t="s">
        <v>1117</v>
      </c>
      <c r="G1544" s="130" t="s">
        <v>1118</v>
      </c>
      <c r="H1544" s="130" t="s">
        <v>1119</v>
      </c>
      <c r="I1544" s="130" t="s">
        <v>1120</v>
      </c>
      <c r="J1544" s="130" t="s">
        <v>1121</v>
      </c>
      <c r="K1544" s="130" t="s">
        <v>1122</v>
      </c>
      <c r="L1544" s="130" t="s">
        <v>2053</v>
      </c>
      <c r="M1544" s="130" t="s">
        <v>1925</v>
      </c>
      <c r="N1544" s="130" t="s">
        <v>152</v>
      </c>
      <c r="O1544" s="130" t="s">
        <v>1125</v>
      </c>
      <c r="P1544" s="130" t="s">
        <v>1126</v>
      </c>
      <c r="Q1544" s="130" t="s">
        <v>1127</v>
      </c>
      <c r="R1544" s="130" t="s">
        <v>1417</v>
      </c>
      <c r="S1544" s="130" t="s">
        <v>1803</v>
      </c>
      <c r="T1544" s="130" t="s">
        <v>1130</v>
      </c>
      <c r="U1544" s="130">
        <v>50000</v>
      </c>
      <c r="V1544" s="131">
        <v>-50000</v>
      </c>
      <c r="W1544" s="131">
        <v>0</v>
      </c>
      <c r="X1544" s="131">
        <v>0</v>
      </c>
      <c r="Y1544" s="131">
        <v>0</v>
      </c>
      <c r="Z1544" s="131">
        <v>0</v>
      </c>
      <c r="AA1544" s="131">
        <v>0</v>
      </c>
      <c r="AB1544" s="131">
        <v>0</v>
      </c>
      <c r="AC1544" s="131">
        <v>0</v>
      </c>
      <c r="AD1544" s="131">
        <v>0</v>
      </c>
      <c r="AE1544" s="132">
        <v>0</v>
      </c>
    </row>
    <row r="1545" spans="1:31" x14ac:dyDescent="0.2">
      <c r="A1545" s="133">
        <v>267</v>
      </c>
      <c r="B1545" s="133" t="s">
        <v>2052</v>
      </c>
      <c r="C1545" s="133" t="s">
        <v>1114</v>
      </c>
      <c r="D1545" s="133" t="s">
        <v>1954</v>
      </c>
      <c r="E1545" s="133" t="s">
        <v>1116</v>
      </c>
      <c r="F1545" s="133" t="s">
        <v>1117</v>
      </c>
      <c r="G1545" s="133" t="s">
        <v>1118</v>
      </c>
      <c r="H1545" s="130" t="s">
        <v>1133</v>
      </c>
      <c r="I1545" s="130" t="s">
        <v>1134</v>
      </c>
      <c r="J1545" s="130" t="s">
        <v>1166</v>
      </c>
      <c r="K1545" s="130" t="s">
        <v>1167</v>
      </c>
      <c r="L1545" s="130" t="s">
        <v>2053</v>
      </c>
      <c r="M1545" s="130" t="s">
        <v>1925</v>
      </c>
      <c r="N1545" s="130" t="s">
        <v>152</v>
      </c>
      <c r="O1545" s="130" t="s">
        <v>1125</v>
      </c>
      <c r="P1545" s="130" t="s">
        <v>1126</v>
      </c>
      <c r="Q1545" s="130" t="s">
        <v>1127</v>
      </c>
      <c r="R1545" s="130" t="s">
        <v>1417</v>
      </c>
      <c r="S1545" s="130" t="s">
        <v>1803</v>
      </c>
      <c r="T1545" s="130" t="s">
        <v>1130</v>
      </c>
      <c r="U1545" s="130">
        <v>0</v>
      </c>
      <c r="V1545" s="131">
        <v>656461</v>
      </c>
      <c r="W1545" s="131">
        <v>656461</v>
      </c>
      <c r="X1545" s="131">
        <v>606460.53</v>
      </c>
      <c r="Y1545" s="131">
        <v>50000.469999999972</v>
      </c>
      <c r="Z1545" s="131">
        <v>0</v>
      </c>
      <c r="AA1545" s="131">
        <v>656461</v>
      </c>
      <c r="AB1545" s="131">
        <v>0</v>
      </c>
      <c r="AC1545" s="131">
        <v>656461</v>
      </c>
      <c r="AD1545" s="131">
        <v>0</v>
      </c>
      <c r="AE1545" s="132">
        <v>656461</v>
      </c>
    </row>
    <row r="1546" spans="1:31" x14ac:dyDescent="0.2">
      <c r="A1546" s="130">
        <v>268</v>
      </c>
      <c r="B1546" s="130" t="s">
        <v>2054</v>
      </c>
      <c r="C1546" s="130" t="s">
        <v>1114</v>
      </c>
      <c r="D1546" s="130" t="s">
        <v>1954</v>
      </c>
      <c r="E1546" s="130" t="s">
        <v>1116</v>
      </c>
      <c r="F1546" s="130" t="s">
        <v>1117</v>
      </c>
      <c r="G1546" s="130" t="s">
        <v>1118</v>
      </c>
      <c r="H1546" s="130" t="s">
        <v>1119</v>
      </c>
      <c r="I1546" s="130" t="s">
        <v>1120</v>
      </c>
      <c r="J1546" s="130" t="s">
        <v>1121</v>
      </c>
      <c r="K1546" s="130" t="s">
        <v>1122</v>
      </c>
      <c r="L1546" s="130" t="s">
        <v>2055</v>
      </c>
      <c r="M1546" s="130" t="s">
        <v>1925</v>
      </c>
      <c r="N1546" s="130" t="s">
        <v>152</v>
      </c>
      <c r="O1546" s="130" t="s">
        <v>1125</v>
      </c>
      <c r="P1546" s="130" t="s">
        <v>1126</v>
      </c>
      <c r="Q1546" s="130" t="s">
        <v>1127</v>
      </c>
      <c r="R1546" s="130" t="s">
        <v>1191</v>
      </c>
      <c r="S1546" s="130" t="s">
        <v>1192</v>
      </c>
      <c r="T1546" s="130" t="s">
        <v>1130</v>
      </c>
      <c r="U1546" s="130">
        <v>100000</v>
      </c>
      <c r="V1546" s="131">
        <v>-57823</v>
      </c>
      <c r="W1546" s="131">
        <v>42177</v>
      </c>
      <c r="X1546" s="131">
        <v>0</v>
      </c>
      <c r="Y1546" s="131">
        <v>42177</v>
      </c>
      <c r="Z1546" s="131">
        <v>0</v>
      </c>
      <c r="AA1546" s="131">
        <v>42177</v>
      </c>
      <c r="AB1546" s="131">
        <v>0</v>
      </c>
      <c r="AC1546" s="131">
        <v>42177</v>
      </c>
      <c r="AD1546" s="131">
        <v>0</v>
      </c>
      <c r="AE1546" s="132">
        <v>42177</v>
      </c>
    </row>
    <row r="1547" spans="1:31" x14ac:dyDescent="0.2">
      <c r="A1547" s="133">
        <v>268</v>
      </c>
      <c r="B1547" s="133" t="s">
        <v>2054</v>
      </c>
      <c r="C1547" s="133" t="s">
        <v>1114</v>
      </c>
      <c r="D1547" s="133" t="s">
        <v>1954</v>
      </c>
      <c r="E1547" s="133" t="s">
        <v>1116</v>
      </c>
      <c r="F1547" s="133" t="s">
        <v>1117</v>
      </c>
      <c r="G1547" s="133" t="s">
        <v>1118</v>
      </c>
      <c r="H1547" s="130" t="s">
        <v>1133</v>
      </c>
      <c r="I1547" s="130" t="s">
        <v>1134</v>
      </c>
      <c r="J1547" s="130" t="s">
        <v>1166</v>
      </c>
      <c r="K1547" s="130" t="s">
        <v>1167</v>
      </c>
      <c r="L1547" s="130" t="s">
        <v>2055</v>
      </c>
      <c r="M1547" s="130" t="s">
        <v>1925</v>
      </c>
      <c r="N1547" s="130" t="s">
        <v>152</v>
      </c>
      <c r="O1547" s="130" t="s">
        <v>1125</v>
      </c>
      <c r="P1547" s="130" t="s">
        <v>1126</v>
      </c>
      <c r="Q1547" s="130" t="s">
        <v>1127</v>
      </c>
      <c r="R1547" s="130" t="s">
        <v>1191</v>
      </c>
      <c r="S1547" s="130" t="s">
        <v>1192</v>
      </c>
      <c r="T1547" s="130" t="s">
        <v>1130</v>
      </c>
      <c r="U1547" s="130">
        <v>0</v>
      </c>
      <c r="V1547" s="131">
        <v>664284</v>
      </c>
      <c r="W1547" s="131">
        <v>664284</v>
      </c>
      <c r="X1547" s="131">
        <v>606460.53</v>
      </c>
      <c r="Y1547" s="131">
        <v>57823.469999999972</v>
      </c>
      <c r="Z1547" s="131">
        <v>0</v>
      </c>
      <c r="AA1547" s="131">
        <v>664284</v>
      </c>
      <c r="AB1547" s="131">
        <v>0</v>
      </c>
      <c r="AC1547" s="131">
        <v>664284</v>
      </c>
      <c r="AD1547" s="131">
        <v>0</v>
      </c>
      <c r="AE1547" s="132">
        <v>664284</v>
      </c>
    </row>
    <row r="1548" spans="1:31" x14ac:dyDescent="0.2">
      <c r="A1548" s="130">
        <v>269</v>
      </c>
      <c r="B1548" s="130" t="s">
        <v>2056</v>
      </c>
      <c r="C1548" s="130" t="s">
        <v>1114</v>
      </c>
      <c r="D1548" s="130" t="s">
        <v>1954</v>
      </c>
      <c r="E1548" s="130" t="s">
        <v>1116</v>
      </c>
      <c r="F1548" s="130" t="s">
        <v>1117</v>
      </c>
      <c r="G1548" s="130" t="s">
        <v>1118</v>
      </c>
      <c r="H1548" s="130" t="s">
        <v>1119</v>
      </c>
      <c r="I1548" s="130" t="s">
        <v>1120</v>
      </c>
      <c r="J1548" s="130" t="s">
        <v>1121</v>
      </c>
      <c r="K1548" s="130" t="s">
        <v>1122</v>
      </c>
      <c r="L1548" s="130" t="s">
        <v>2057</v>
      </c>
      <c r="M1548" s="130" t="s">
        <v>1925</v>
      </c>
      <c r="N1548" s="130" t="s">
        <v>152</v>
      </c>
      <c r="O1548" s="130" t="s">
        <v>1125</v>
      </c>
      <c r="P1548" s="130" t="s">
        <v>1126</v>
      </c>
      <c r="Q1548" s="130" t="s">
        <v>1127</v>
      </c>
      <c r="R1548" s="130" t="s">
        <v>1191</v>
      </c>
      <c r="S1548" s="130" t="s">
        <v>1191</v>
      </c>
      <c r="T1548" s="130" t="s">
        <v>1130</v>
      </c>
      <c r="U1548" s="130">
        <v>100000</v>
      </c>
      <c r="V1548" s="131">
        <v>-100000</v>
      </c>
      <c r="W1548" s="131">
        <v>0</v>
      </c>
      <c r="X1548" s="131">
        <v>0</v>
      </c>
      <c r="Y1548" s="131">
        <v>0</v>
      </c>
      <c r="Z1548" s="131">
        <v>0</v>
      </c>
      <c r="AA1548" s="131">
        <v>0</v>
      </c>
      <c r="AB1548" s="131">
        <v>0</v>
      </c>
      <c r="AC1548" s="131">
        <v>0</v>
      </c>
      <c r="AD1548" s="131">
        <v>0</v>
      </c>
      <c r="AE1548" s="132">
        <v>0</v>
      </c>
    </row>
    <row r="1549" spans="1:31" x14ac:dyDescent="0.2">
      <c r="A1549" s="130">
        <v>270</v>
      </c>
      <c r="B1549" s="130" t="s">
        <v>2058</v>
      </c>
      <c r="C1549" s="130" t="s">
        <v>1114</v>
      </c>
      <c r="D1549" s="130" t="s">
        <v>2059</v>
      </c>
      <c r="E1549" s="130" t="s">
        <v>1116</v>
      </c>
      <c r="F1549" s="130" t="s">
        <v>1117</v>
      </c>
      <c r="G1549" s="130" t="s">
        <v>1118</v>
      </c>
      <c r="H1549" s="130" t="s">
        <v>1119</v>
      </c>
      <c r="I1549" s="130" t="s">
        <v>1169</v>
      </c>
      <c r="J1549" s="130" t="s">
        <v>1170</v>
      </c>
      <c r="K1549" s="130" t="s">
        <v>1122</v>
      </c>
      <c r="L1549" s="130" t="s">
        <v>2060</v>
      </c>
      <c r="M1549" s="130" t="s">
        <v>1925</v>
      </c>
      <c r="N1549" s="130" t="s">
        <v>1351</v>
      </c>
      <c r="O1549" s="130" t="s">
        <v>1352</v>
      </c>
      <c r="P1549" s="130" t="s">
        <v>1353</v>
      </c>
      <c r="Q1549" s="130" t="s">
        <v>1127</v>
      </c>
      <c r="R1549" s="130" t="s">
        <v>1128</v>
      </c>
      <c r="S1549" s="130" t="s">
        <v>1157</v>
      </c>
      <c r="T1549" s="130" t="s">
        <v>1130</v>
      </c>
      <c r="U1549" s="130">
        <v>1349649</v>
      </c>
      <c r="V1549" s="131">
        <v>0</v>
      </c>
      <c r="W1549" s="131">
        <v>1349649</v>
      </c>
      <c r="X1549" s="131">
        <v>0</v>
      </c>
      <c r="Y1549" s="131">
        <v>1349649</v>
      </c>
      <c r="Z1549" s="131">
        <v>0</v>
      </c>
      <c r="AA1549" s="131">
        <v>1349649</v>
      </c>
      <c r="AB1549" s="131">
        <v>0</v>
      </c>
      <c r="AC1549" s="131">
        <v>1349649</v>
      </c>
      <c r="AD1549" s="131">
        <v>0</v>
      </c>
      <c r="AE1549" s="132">
        <v>1349649</v>
      </c>
    </row>
    <row r="1550" spans="1:31" x14ac:dyDescent="0.2">
      <c r="A1550" s="130">
        <v>271</v>
      </c>
      <c r="B1550" s="130" t="s">
        <v>2061</v>
      </c>
      <c r="C1550" s="130" t="s">
        <v>1114</v>
      </c>
      <c r="D1550" s="130" t="s">
        <v>1839</v>
      </c>
      <c r="E1550" s="130" t="s">
        <v>1116</v>
      </c>
      <c r="F1550" s="130" t="s">
        <v>1117</v>
      </c>
      <c r="G1550" s="130" t="s">
        <v>1118</v>
      </c>
      <c r="H1550" s="130" t="s">
        <v>1119</v>
      </c>
      <c r="I1550" s="130" t="s">
        <v>1120</v>
      </c>
      <c r="J1550" s="130" t="s">
        <v>1121</v>
      </c>
      <c r="K1550" s="130" t="s">
        <v>1122</v>
      </c>
      <c r="L1550" s="130" t="s">
        <v>2062</v>
      </c>
      <c r="M1550" s="130" t="s">
        <v>1925</v>
      </c>
      <c r="N1550" s="130" t="s">
        <v>152</v>
      </c>
      <c r="O1550" s="130" t="s">
        <v>1125</v>
      </c>
      <c r="P1550" s="130" t="s">
        <v>1126</v>
      </c>
      <c r="Q1550" s="130" t="s">
        <v>1127</v>
      </c>
      <c r="R1550" s="130" t="s">
        <v>1417</v>
      </c>
      <c r="S1550" s="130" t="s">
        <v>1725</v>
      </c>
      <c r="T1550" s="130" t="s">
        <v>1130</v>
      </c>
      <c r="U1550" s="130">
        <v>50000</v>
      </c>
      <c r="V1550" s="131">
        <v>-50000</v>
      </c>
      <c r="W1550" s="131">
        <v>0</v>
      </c>
      <c r="X1550" s="131">
        <v>0</v>
      </c>
      <c r="Y1550" s="131">
        <v>0</v>
      </c>
      <c r="Z1550" s="131">
        <v>0</v>
      </c>
      <c r="AA1550" s="131">
        <v>0</v>
      </c>
      <c r="AB1550" s="131">
        <v>0</v>
      </c>
      <c r="AC1550" s="131">
        <v>0</v>
      </c>
      <c r="AD1550" s="131">
        <v>0</v>
      </c>
      <c r="AE1550" s="132">
        <v>0</v>
      </c>
    </row>
    <row r="1551" spans="1:31" x14ac:dyDescent="0.2">
      <c r="A1551" s="133">
        <v>271</v>
      </c>
      <c r="B1551" s="133" t="s">
        <v>2061</v>
      </c>
      <c r="C1551" s="133" t="s">
        <v>1114</v>
      </c>
      <c r="D1551" s="133" t="s">
        <v>1839</v>
      </c>
      <c r="E1551" s="133" t="s">
        <v>1116</v>
      </c>
      <c r="F1551" s="133" t="s">
        <v>1117</v>
      </c>
      <c r="G1551" s="133" t="s">
        <v>1118</v>
      </c>
      <c r="H1551" s="130" t="s">
        <v>1133</v>
      </c>
      <c r="I1551" s="130" t="s">
        <v>1134</v>
      </c>
      <c r="J1551" s="130" t="s">
        <v>1166</v>
      </c>
      <c r="K1551" s="130" t="s">
        <v>1167</v>
      </c>
      <c r="L1551" s="130" t="s">
        <v>2062</v>
      </c>
      <c r="M1551" s="130" t="s">
        <v>1925</v>
      </c>
      <c r="N1551" s="130" t="s">
        <v>152</v>
      </c>
      <c r="O1551" s="130" t="s">
        <v>1125</v>
      </c>
      <c r="P1551" s="130" t="s">
        <v>1126</v>
      </c>
      <c r="Q1551" s="130" t="s">
        <v>1127</v>
      </c>
      <c r="R1551" s="130" t="s">
        <v>1417</v>
      </c>
      <c r="S1551" s="130" t="s">
        <v>1725</v>
      </c>
      <c r="T1551" s="130" t="s">
        <v>1130</v>
      </c>
      <c r="U1551" s="130">
        <v>0</v>
      </c>
      <c r="V1551" s="131">
        <v>50000</v>
      </c>
      <c r="W1551" s="131">
        <v>50000</v>
      </c>
      <c r="X1551" s="131">
        <v>50000</v>
      </c>
      <c r="Y1551" s="131">
        <v>0</v>
      </c>
      <c r="Z1551" s="131">
        <v>13477</v>
      </c>
      <c r="AA1551" s="131">
        <v>36523</v>
      </c>
      <c r="AB1551" s="131">
        <v>13050.99</v>
      </c>
      <c r="AC1551" s="131">
        <v>36949.01</v>
      </c>
      <c r="AD1551" s="131">
        <v>13050.99</v>
      </c>
      <c r="AE1551" s="132">
        <v>36949.01</v>
      </c>
    </row>
    <row r="1552" spans="1:31" x14ac:dyDescent="0.2">
      <c r="A1552" s="130">
        <v>272</v>
      </c>
      <c r="B1552" s="130" t="s">
        <v>950</v>
      </c>
      <c r="C1552" s="130" t="s">
        <v>1114</v>
      </c>
      <c r="D1552" s="130" t="s">
        <v>1954</v>
      </c>
      <c r="E1552" s="130" t="s">
        <v>1116</v>
      </c>
      <c r="F1552" s="130" t="s">
        <v>1117</v>
      </c>
      <c r="G1552" s="130" t="s">
        <v>1118</v>
      </c>
      <c r="H1552" s="130" t="s">
        <v>1119</v>
      </c>
      <c r="I1552" s="130" t="s">
        <v>1120</v>
      </c>
      <c r="J1552" s="130" t="s">
        <v>1121</v>
      </c>
      <c r="K1552" s="130" t="s">
        <v>1122</v>
      </c>
      <c r="L1552" s="130" t="s">
        <v>2063</v>
      </c>
      <c r="M1552" s="130" t="s">
        <v>1925</v>
      </c>
      <c r="N1552" s="130" t="s">
        <v>152</v>
      </c>
      <c r="O1552" s="130" t="s">
        <v>1125</v>
      </c>
      <c r="P1552" s="130" t="s">
        <v>1126</v>
      </c>
      <c r="Q1552" s="130" t="s">
        <v>1127</v>
      </c>
      <c r="R1552" s="130" t="s">
        <v>1380</v>
      </c>
      <c r="S1552" s="130" t="s">
        <v>1740</v>
      </c>
      <c r="T1552" s="130" t="s">
        <v>1130</v>
      </c>
      <c r="U1552" s="130">
        <v>50000</v>
      </c>
      <c r="V1552" s="131">
        <v>-50000</v>
      </c>
      <c r="W1552" s="131">
        <v>0</v>
      </c>
      <c r="X1552" s="131">
        <v>0</v>
      </c>
      <c r="Y1552" s="131">
        <v>0</v>
      </c>
      <c r="Z1552" s="131">
        <v>0</v>
      </c>
      <c r="AA1552" s="131">
        <v>0</v>
      </c>
      <c r="AB1552" s="131">
        <v>0</v>
      </c>
      <c r="AC1552" s="131">
        <v>0</v>
      </c>
      <c r="AD1552" s="131">
        <v>0</v>
      </c>
      <c r="AE1552" s="132">
        <v>0</v>
      </c>
    </row>
    <row r="1553" spans="1:31" x14ac:dyDescent="0.2">
      <c r="A1553" s="133">
        <v>272</v>
      </c>
      <c r="B1553" s="133" t="s">
        <v>950</v>
      </c>
      <c r="C1553" s="133" t="s">
        <v>1114</v>
      </c>
      <c r="D1553" s="133" t="s">
        <v>1954</v>
      </c>
      <c r="E1553" s="133" t="s">
        <v>1116</v>
      </c>
      <c r="F1553" s="133" t="s">
        <v>1117</v>
      </c>
      <c r="G1553" s="133" t="s">
        <v>1118</v>
      </c>
      <c r="H1553" s="130" t="s">
        <v>1133</v>
      </c>
      <c r="I1553" s="130" t="s">
        <v>1134</v>
      </c>
      <c r="J1553" s="130" t="s">
        <v>1166</v>
      </c>
      <c r="K1553" s="130" t="s">
        <v>1167</v>
      </c>
      <c r="L1553" s="130" t="s">
        <v>2063</v>
      </c>
      <c r="M1553" s="130" t="s">
        <v>1925</v>
      </c>
      <c r="N1553" s="130" t="s">
        <v>152</v>
      </c>
      <c r="O1553" s="130" t="s">
        <v>1125</v>
      </c>
      <c r="P1553" s="130" t="s">
        <v>1126</v>
      </c>
      <c r="Q1553" s="130" t="s">
        <v>1127</v>
      </c>
      <c r="R1553" s="130" t="s">
        <v>1380</v>
      </c>
      <c r="S1553" s="130" t="s">
        <v>1740</v>
      </c>
      <c r="T1553" s="130" t="s">
        <v>1130</v>
      </c>
      <c r="U1553" s="130">
        <v>0</v>
      </c>
      <c r="V1553" s="131">
        <v>0</v>
      </c>
      <c r="W1553" s="131">
        <v>0</v>
      </c>
      <c r="X1553" s="131">
        <v>0</v>
      </c>
      <c r="Y1553" s="131">
        <v>0</v>
      </c>
      <c r="Z1553" s="131">
        <v>0</v>
      </c>
      <c r="AA1553" s="131">
        <v>0</v>
      </c>
      <c r="AB1553" s="131">
        <v>0</v>
      </c>
      <c r="AC1553" s="131">
        <v>0</v>
      </c>
      <c r="AD1553" s="131">
        <v>0</v>
      </c>
      <c r="AE1553" s="132">
        <v>0</v>
      </c>
    </row>
    <row r="1554" spans="1:31" x14ac:dyDescent="0.2">
      <c r="A1554" s="130">
        <v>273</v>
      </c>
      <c r="B1554" s="130" t="s">
        <v>2064</v>
      </c>
      <c r="C1554" s="130" t="s">
        <v>1114</v>
      </c>
      <c r="D1554" s="130" t="s">
        <v>1954</v>
      </c>
      <c r="E1554" s="130" t="s">
        <v>1116</v>
      </c>
      <c r="F1554" s="130" t="s">
        <v>1117</v>
      </c>
      <c r="G1554" s="130" t="s">
        <v>1118</v>
      </c>
      <c r="H1554" s="130" t="s">
        <v>1119</v>
      </c>
      <c r="I1554" s="130" t="s">
        <v>1120</v>
      </c>
      <c r="J1554" s="130" t="s">
        <v>1121</v>
      </c>
      <c r="K1554" s="130" t="s">
        <v>1122</v>
      </c>
      <c r="L1554" s="130" t="s">
        <v>2065</v>
      </c>
      <c r="M1554" s="130" t="s">
        <v>1925</v>
      </c>
      <c r="N1554" s="130" t="s">
        <v>152</v>
      </c>
      <c r="O1554" s="130" t="s">
        <v>1125</v>
      </c>
      <c r="P1554" s="130" t="s">
        <v>1126</v>
      </c>
      <c r="Q1554" s="130" t="s">
        <v>1127</v>
      </c>
      <c r="R1554" s="130" t="s">
        <v>1409</v>
      </c>
      <c r="S1554" s="130" t="s">
        <v>1460</v>
      </c>
      <c r="T1554" s="130" t="s">
        <v>1130</v>
      </c>
      <c r="U1554" s="130">
        <v>50000</v>
      </c>
      <c r="V1554" s="131">
        <v>-50000</v>
      </c>
      <c r="W1554" s="131">
        <v>0</v>
      </c>
      <c r="X1554" s="131">
        <v>0</v>
      </c>
      <c r="Y1554" s="131">
        <v>0</v>
      </c>
      <c r="Z1554" s="131">
        <v>0</v>
      </c>
      <c r="AA1554" s="131">
        <v>0</v>
      </c>
      <c r="AB1554" s="131">
        <v>0</v>
      </c>
      <c r="AC1554" s="131">
        <v>0</v>
      </c>
      <c r="AD1554" s="131">
        <v>0</v>
      </c>
      <c r="AE1554" s="132">
        <v>0</v>
      </c>
    </row>
    <row r="1555" spans="1:31" x14ac:dyDescent="0.2">
      <c r="A1555" s="133">
        <v>273</v>
      </c>
      <c r="B1555" s="133" t="s">
        <v>2064</v>
      </c>
      <c r="C1555" s="133" t="s">
        <v>1114</v>
      </c>
      <c r="D1555" s="133" t="s">
        <v>1954</v>
      </c>
      <c r="E1555" s="133" t="s">
        <v>1116</v>
      </c>
      <c r="F1555" s="133" t="s">
        <v>1117</v>
      </c>
      <c r="G1555" s="133" t="s">
        <v>1118</v>
      </c>
      <c r="H1555" s="130" t="s">
        <v>1133</v>
      </c>
      <c r="I1555" s="130" t="s">
        <v>1134</v>
      </c>
      <c r="J1555" s="130" t="s">
        <v>1166</v>
      </c>
      <c r="K1555" s="130" t="s">
        <v>1167</v>
      </c>
      <c r="L1555" s="130" t="s">
        <v>2065</v>
      </c>
      <c r="M1555" s="130" t="s">
        <v>1925</v>
      </c>
      <c r="N1555" s="130" t="s">
        <v>152</v>
      </c>
      <c r="O1555" s="130" t="s">
        <v>1125</v>
      </c>
      <c r="P1555" s="130" t="s">
        <v>1126</v>
      </c>
      <c r="Q1555" s="130" t="s">
        <v>1127</v>
      </c>
      <c r="R1555" s="130" t="s">
        <v>1409</v>
      </c>
      <c r="S1555" s="130" t="s">
        <v>1460</v>
      </c>
      <c r="T1555" s="130" t="s">
        <v>1130</v>
      </c>
      <c r="U1555" s="130">
        <v>0</v>
      </c>
      <c r="V1555" s="131">
        <v>82042</v>
      </c>
      <c r="W1555" s="131">
        <v>82042</v>
      </c>
      <c r="X1555" s="131">
        <v>73137.02</v>
      </c>
      <c r="Y1555" s="131">
        <v>8904.9799999999959</v>
      </c>
      <c r="Z1555" s="131">
        <v>53137.02</v>
      </c>
      <c r="AA1555" s="131">
        <v>28904.980000000003</v>
      </c>
      <c r="AB1555" s="131">
        <v>48346.770000000004</v>
      </c>
      <c r="AC1555" s="131">
        <v>33695.229999999996</v>
      </c>
      <c r="AD1555" s="131">
        <v>48346.770000000004</v>
      </c>
      <c r="AE1555" s="132">
        <v>33695.229999999996</v>
      </c>
    </row>
    <row r="1556" spans="1:31" x14ac:dyDescent="0.2">
      <c r="A1556" s="130">
        <v>274</v>
      </c>
      <c r="B1556" s="130" t="s">
        <v>951</v>
      </c>
      <c r="C1556" s="130" t="s">
        <v>1114</v>
      </c>
      <c r="D1556" s="130" t="s">
        <v>1954</v>
      </c>
      <c r="E1556" s="130" t="s">
        <v>1116</v>
      </c>
      <c r="F1556" s="130" t="s">
        <v>1117</v>
      </c>
      <c r="G1556" s="130" t="s">
        <v>1118</v>
      </c>
      <c r="H1556" s="130" t="s">
        <v>1119</v>
      </c>
      <c r="I1556" s="130" t="s">
        <v>1120</v>
      </c>
      <c r="J1556" s="130" t="s">
        <v>1121</v>
      </c>
      <c r="K1556" s="130" t="s">
        <v>1122</v>
      </c>
      <c r="L1556" s="130" t="s">
        <v>2066</v>
      </c>
      <c r="M1556" s="130" t="s">
        <v>1925</v>
      </c>
      <c r="N1556" s="130" t="s">
        <v>152</v>
      </c>
      <c r="O1556" s="130" t="s">
        <v>1125</v>
      </c>
      <c r="P1556" s="130" t="s">
        <v>1126</v>
      </c>
      <c r="Q1556" s="130" t="s">
        <v>1127</v>
      </c>
      <c r="R1556" s="130" t="s">
        <v>1380</v>
      </c>
      <c r="S1556" s="130" t="s">
        <v>1381</v>
      </c>
      <c r="T1556" s="130" t="s">
        <v>1130</v>
      </c>
      <c r="U1556" s="130">
        <v>50000</v>
      </c>
      <c r="V1556" s="131">
        <v>-50000</v>
      </c>
      <c r="W1556" s="131">
        <v>0</v>
      </c>
      <c r="X1556" s="131">
        <v>0</v>
      </c>
      <c r="Y1556" s="131">
        <v>0</v>
      </c>
      <c r="Z1556" s="131">
        <v>0</v>
      </c>
      <c r="AA1556" s="131">
        <v>0</v>
      </c>
      <c r="AB1556" s="131">
        <v>0</v>
      </c>
      <c r="AC1556" s="131">
        <v>0</v>
      </c>
      <c r="AD1556" s="131">
        <v>0</v>
      </c>
      <c r="AE1556" s="132">
        <v>0</v>
      </c>
    </row>
    <row r="1557" spans="1:31" x14ac:dyDescent="0.2">
      <c r="A1557" s="133">
        <v>274</v>
      </c>
      <c r="B1557" s="133" t="s">
        <v>951</v>
      </c>
      <c r="C1557" s="133" t="s">
        <v>1114</v>
      </c>
      <c r="D1557" s="133" t="s">
        <v>1954</v>
      </c>
      <c r="E1557" s="133" t="s">
        <v>1116</v>
      </c>
      <c r="F1557" s="133" t="s">
        <v>1117</v>
      </c>
      <c r="G1557" s="133" t="s">
        <v>1118</v>
      </c>
      <c r="H1557" s="130" t="s">
        <v>1133</v>
      </c>
      <c r="I1557" s="130" t="s">
        <v>1134</v>
      </c>
      <c r="J1557" s="130" t="s">
        <v>1166</v>
      </c>
      <c r="K1557" s="130" t="s">
        <v>1167</v>
      </c>
      <c r="L1557" s="130" t="s">
        <v>2066</v>
      </c>
      <c r="M1557" s="130" t="s">
        <v>1925</v>
      </c>
      <c r="N1557" s="130" t="s">
        <v>152</v>
      </c>
      <c r="O1557" s="130" t="s">
        <v>1125</v>
      </c>
      <c r="P1557" s="130" t="s">
        <v>1126</v>
      </c>
      <c r="Q1557" s="130" t="s">
        <v>1127</v>
      </c>
      <c r="R1557" s="130" t="s">
        <v>1380</v>
      </c>
      <c r="S1557" s="130" t="s">
        <v>1381</v>
      </c>
      <c r="T1557" s="130" t="s">
        <v>1130</v>
      </c>
      <c r="U1557" s="130">
        <v>0</v>
      </c>
      <c r="V1557" s="131">
        <v>0</v>
      </c>
      <c r="W1557" s="131">
        <v>0</v>
      </c>
      <c r="X1557" s="131">
        <v>0</v>
      </c>
      <c r="Y1557" s="131">
        <v>0</v>
      </c>
      <c r="Z1557" s="131">
        <v>0</v>
      </c>
      <c r="AA1557" s="131">
        <v>0</v>
      </c>
      <c r="AB1557" s="131">
        <v>0</v>
      </c>
      <c r="AC1557" s="131">
        <v>0</v>
      </c>
      <c r="AD1557" s="131">
        <v>0</v>
      </c>
      <c r="AE1557" s="132">
        <v>0</v>
      </c>
    </row>
    <row r="1558" spans="1:31" x14ac:dyDescent="0.2">
      <c r="A1558" s="130">
        <v>275</v>
      </c>
      <c r="B1558" s="130" t="s">
        <v>2067</v>
      </c>
      <c r="C1558" s="130" t="s">
        <v>1114</v>
      </c>
      <c r="D1558" s="130" t="s">
        <v>1954</v>
      </c>
      <c r="E1558" s="130" t="s">
        <v>1116</v>
      </c>
      <c r="F1558" s="130" t="s">
        <v>1117</v>
      </c>
      <c r="G1558" s="130" t="s">
        <v>1118</v>
      </c>
      <c r="H1558" s="130" t="s">
        <v>1119</v>
      </c>
      <c r="I1558" s="130" t="s">
        <v>1120</v>
      </c>
      <c r="J1558" s="130" t="s">
        <v>1121</v>
      </c>
      <c r="K1558" s="130" t="s">
        <v>1122</v>
      </c>
      <c r="L1558" s="130" t="s">
        <v>2068</v>
      </c>
      <c r="M1558" s="130" t="s">
        <v>1925</v>
      </c>
      <c r="N1558" s="130" t="s">
        <v>152</v>
      </c>
      <c r="O1558" s="130" t="s">
        <v>1125</v>
      </c>
      <c r="P1558" s="130" t="s">
        <v>1126</v>
      </c>
      <c r="Q1558" s="130" t="s">
        <v>1127</v>
      </c>
      <c r="R1558" s="130" t="s">
        <v>1187</v>
      </c>
      <c r="S1558" s="130" t="s">
        <v>1427</v>
      </c>
      <c r="T1558" s="130" t="s">
        <v>1130</v>
      </c>
      <c r="U1558" s="130">
        <v>50000</v>
      </c>
      <c r="V1558" s="131">
        <v>-50000</v>
      </c>
      <c r="W1558" s="131">
        <v>0</v>
      </c>
      <c r="X1558" s="131">
        <v>0</v>
      </c>
      <c r="Y1558" s="131">
        <v>0</v>
      </c>
      <c r="Z1558" s="131">
        <v>0</v>
      </c>
      <c r="AA1558" s="131">
        <v>0</v>
      </c>
      <c r="AB1558" s="131">
        <v>0</v>
      </c>
      <c r="AC1558" s="131">
        <v>0</v>
      </c>
      <c r="AD1558" s="131">
        <v>0</v>
      </c>
      <c r="AE1558" s="132">
        <v>0</v>
      </c>
    </row>
    <row r="1559" spans="1:31" x14ac:dyDescent="0.2">
      <c r="A1559" s="133">
        <v>275</v>
      </c>
      <c r="B1559" s="133" t="s">
        <v>2067</v>
      </c>
      <c r="C1559" s="133" t="s">
        <v>1114</v>
      </c>
      <c r="D1559" s="133" t="s">
        <v>1954</v>
      </c>
      <c r="E1559" s="133" t="s">
        <v>1116</v>
      </c>
      <c r="F1559" s="133" t="s">
        <v>1117</v>
      </c>
      <c r="G1559" s="133" t="s">
        <v>1118</v>
      </c>
      <c r="H1559" s="130" t="s">
        <v>1133</v>
      </c>
      <c r="I1559" s="130" t="s">
        <v>1134</v>
      </c>
      <c r="J1559" s="130" t="s">
        <v>1166</v>
      </c>
      <c r="K1559" s="130" t="s">
        <v>1167</v>
      </c>
      <c r="L1559" s="130" t="s">
        <v>2068</v>
      </c>
      <c r="M1559" s="130" t="s">
        <v>1925</v>
      </c>
      <c r="N1559" s="130" t="s">
        <v>152</v>
      </c>
      <c r="O1559" s="130" t="s">
        <v>1125</v>
      </c>
      <c r="P1559" s="130" t="s">
        <v>1126</v>
      </c>
      <c r="Q1559" s="130" t="s">
        <v>1127</v>
      </c>
      <c r="R1559" s="130" t="s">
        <v>1187</v>
      </c>
      <c r="S1559" s="130" t="s">
        <v>1427</v>
      </c>
      <c r="T1559" s="130" t="s">
        <v>1130</v>
      </c>
      <c r="U1559" s="130">
        <v>0</v>
      </c>
      <c r="V1559" s="131">
        <v>72190</v>
      </c>
      <c r="W1559" s="131">
        <v>72190</v>
      </c>
      <c r="X1559" s="131">
        <v>62384.34</v>
      </c>
      <c r="Y1559" s="131">
        <v>9805.6600000000035</v>
      </c>
      <c r="Z1559" s="131">
        <v>62384.34</v>
      </c>
      <c r="AA1559" s="131">
        <v>9805.6600000000035</v>
      </c>
      <c r="AB1559" s="131">
        <v>55271.61</v>
      </c>
      <c r="AC1559" s="131">
        <v>16918.39</v>
      </c>
      <c r="AD1559" s="131">
        <v>55271.61</v>
      </c>
      <c r="AE1559" s="132">
        <v>16918.39</v>
      </c>
    </row>
    <row r="1560" spans="1:31" x14ac:dyDescent="0.2">
      <c r="A1560" s="130">
        <v>276</v>
      </c>
      <c r="B1560" s="130" t="s">
        <v>2069</v>
      </c>
      <c r="C1560" s="130" t="s">
        <v>1114</v>
      </c>
      <c r="D1560" s="130" t="s">
        <v>1954</v>
      </c>
      <c r="E1560" s="130" t="s">
        <v>1116</v>
      </c>
      <c r="F1560" s="130" t="s">
        <v>1117</v>
      </c>
      <c r="G1560" s="130" t="s">
        <v>1118</v>
      </c>
      <c r="H1560" s="130" t="s">
        <v>1119</v>
      </c>
      <c r="I1560" s="130" t="s">
        <v>1120</v>
      </c>
      <c r="J1560" s="130" t="s">
        <v>1121</v>
      </c>
      <c r="K1560" s="130" t="s">
        <v>1122</v>
      </c>
      <c r="L1560" s="130" t="s">
        <v>2070</v>
      </c>
      <c r="M1560" s="130" t="s">
        <v>1925</v>
      </c>
      <c r="N1560" s="130" t="s">
        <v>152</v>
      </c>
      <c r="O1560" s="130" t="s">
        <v>1125</v>
      </c>
      <c r="P1560" s="130" t="s">
        <v>1126</v>
      </c>
      <c r="Q1560" s="130" t="s">
        <v>1127</v>
      </c>
      <c r="R1560" s="130" t="s">
        <v>1187</v>
      </c>
      <c r="S1560" s="130" t="s">
        <v>1693</v>
      </c>
      <c r="T1560" s="130" t="s">
        <v>1130</v>
      </c>
      <c r="U1560" s="130">
        <v>50000</v>
      </c>
      <c r="V1560" s="131">
        <v>-50000</v>
      </c>
      <c r="W1560" s="131">
        <v>0</v>
      </c>
      <c r="X1560" s="131">
        <v>0</v>
      </c>
      <c r="Y1560" s="131">
        <v>0</v>
      </c>
      <c r="Z1560" s="131">
        <v>0</v>
      </c>
      <c r="AA1560" s="131">
        <v>0</v>
      </c>
      <c r="AB1560" s="131">
        <v>0</v>
      </c>
      <c r="AC1560" s="131">
        <v>0</v>
      </c>
      <c r="AD1560" s="131">
        <v>0</v>
      </c>
      <c r="AE1560" s="132">
        <v>0</v>
      </c>
    </row>
    <row r="1561" spans="1:31" x14ac:dyDescent="0.2">
      <c r="A1561" s="133">
        <v>276</v>
      </c>
      <c r="B1561" s="133" t="s">
        <v>2069</v>
      </c>
      <c r="C1561" s="133" t="s">
        <v>1114</v>
      </c>
      <c r="D1561" s="133" t="s">
        <v>1954</v>
      </c>
      <c r="E1561" s="133" t="s">
        <v>1116</v>
      </c>
      <c r="F1561" s="133" t="s">
        <v>1117</v>
      </c>
      <c r="G1561" s="133" t="s">
        <v>1118</v>
      </c>
      <c r="H1561" s="130" t="s">
        <v>1133</v>
      </c>
      <c r="I1561" s="130" t="s">
        <v>1134</v>
      </c>
      <c r="J1561" s="130" t="s">
        <v>1166</v>
      </c>
      <c r="K1561" s="130" t="s">
        <v>1167</v>
      </c>
      <c r="L1561" s="130" t="s">
        <v>2070</v>
      </c>
      <c r="M1561" s="130" t="s">
        <v>1925</v>
      </c>
      <c r="N1561" s="130" t="s">
        <v>152</v>
      </c>
      <c r="O1561" s="130" t="s">
        <v>1125</v>
      </c>
      <c r="P1561" s="130" t="s">
        <v>1126</v>
      </c>
      <c r="Q1561" s="130" t="s">
        <v>1127</v>
      </c>
      <c r="R1561" s="130" t="s">
        <v>1187</v>
      </c>
      <c r="S1561" s="130" t="s">
        <v>1693</v>
      </c>
      <c r="T1561" s="130" t="s">
        <v>1130</v>
      </c>
      <c r="U1561" s="130">
        <v>0</v>
      </c>
      <c r="V1561" s="131">
        <v>69837</v>
      </c>
      <c r="W1561" s="131">
        <v>69837</v>
      </c>
      <c r="X1561" s="131">
        <v>30000</v>
      </c>
      <c r="Y1561" s="131">
        <v>39837</v>
      </c>
      <c r="Z1561" s="131">
        <v>30000</v>
      </c>
      <c r="AA1561" s="131">
        <v>39837</v>
      </c>
      <c r="AB1561" s="131">
        <v>24166.33</v>
      </c>
      <c r="AC1561" s="131">
        <v>45670.67</v>
      </c>
      <c r="AD1561" s="131">
        <v>24166.33</v>
      </c>
      <c r="AE1561" s="132">
        <v>45670.67</v>
      </c>
    </row>
    <row r="1562" spans="1:31" x14ac:dyDescent="0.2">
      <c r="A1562" s="130">
        <v>277</v>
      </c>
      <c r="B1562" s="130" t="s">
        <v>2071</v>
      </c>
      <c r="C1562" s="130" t="s">
        <v>1114</v>
      </c>
      <c r="D1562" s="130" t="s">
        <v>1954</v>
      </c>
      <c r="E1562" s="130" t="s">
        <v>1116</v>
      </c>
      <c r="F1562" s="130" t="s">
        <v>1117</v>
      </c>
      <c r="G1562" s="130" t="s">
        <v>1118</v>
      </c>
      <c r="H1562" s="130" t="s">
        <v>1119</v>
      </c>
      <c r="I1562" s="130" t="s">
        <v>1120</v>
      </c>
      <c r="J1562" s="130" t="s">
        <v>1121</v>
      </c>
      <c r="K1562" s="130" t="s">
        <v>1122</v>
      </c>
      <c r="L1562" s="130" t="s">
        <v>2072</v>
      </c>
      <c r="M1562" s="130" t="s">
        <v>1925</v>
      </c>
      <c r="N1562" s="130" t="s">
        <v>152</v>
      </c>
      <c r="O1562" s="130" t="s">
        <v>1125</v>
      </c>
      <c r="P1562" s="130" t="s">
        <v>1126</v>
      </c>
      <c r="Q1562" s="130" t="s">
        <v>1127</v>
      </c>
      <c r="R1562" s="130" t="s">
        <v>1187</v>
      </c>
      <c r="S1562" s="130" t="s">
        <v>1427</v>
      </c>
      <c r="T1562" s="130" t="s">
        <v>1130</v>
      </c>
      <c r="U1562" s="130">
        <v>50000</v>
      </c>
      <c r="V1562" s="131">
        <v>-50000</v>
      </c>
      <c r="W1562" s="131">
        <v>0</v>
      </c>
      <c r="X1562" s="131">
        <v>0</v>
      </c>
      <c r="Y1562" s="131">
        <v>0</v>
      </c>
      <c r="Z1562" s="131">
        <v>0</v>
      </c>
      <c r="AA1562" s="131">
        <v>0</v>
      </c>
      <c r="AB1562" s="131">
        <v>0</v>
      </c>
      <c r="AC1562" s="131">
        <v>0</v>
      </c>
      <c r="AD1562" s="131">
        <v>0</v>
      </c>
      <c r="AE1562" s="132">
        <v>0</v>
      </c>
    </row>
    <row r="1563" spans="1:31" x14ac:dyDescent="0.2">
      <c r="A1563" s="133">
        <v>277</v>
      </c>
      <c r="B1563" s="133" t="s">
        <v>2071</v>
      </c>
      <c r="C1563" s="133" t="s">
        <v>1114</v>
      </c>
      <c r="D1563" s="133" t="s">
        <v>1954</v>
      </c>
      <c r="E1563" s="133" t="s">
        <v>1116</v>
      </c>
      <c r="F1563" s="133" t="s">
        <v>1117</v>
      </c>
      <c r="G1563" s="133" t="s">
        <v>1118</v>
      </c>
      <c r="H1563" s="130" t="s">
        <v>1133</v>
      </c>
      <c r="I1563" s="130" t="s">
        <v>1134</v>
      </c>
      <c r="J1563" s="130" t="s">
        <v>1166</v>
      </c>
      <c r="K1563" s="130" t="s">
        <v>1167</v>
      </c>
      <c r="L1563" s="130" t="s">
        <v>2072</v>
      </c>
      <c r="M1563" s="130" t="s">
        <v>1925</v>
      </c>
      <c r="N1563" s="130" t="s">
        <v>152</v>
      </c>
      <c r="O1563" s="130" t="s">
        <v>1125</v>
      </c>
      <c r="P1563" s="130" t="s">
        <v>1126</v>
      </c>
      <c r="Q1563" s="130" t="s">
        <v>1127</v>
      </c>
      <c r="R1563" s="130" t="s">
        <v>1187</v>
      </c>
      <c r="S1563" s="130" t="s">
        <v>1427</v>
      </c>
      <c r="T1563" s="130" t="s">
        <v>1130</v>
      </c>
      <c r="U1563" s="130">
        <v>0</v>
      </c>
      <c r="V1563" s="131">
        <v>50000</v>
      </c>
      <c r="W1563" s="131">
        <v>50000</v>
      </c>
      <c r="X1563" s="131">
        <v>50000</v>
      </c>
      <c r="Y1563" s="131">
        <v>0</v>
      </c>
      <c r="Z1563" s="131">
        <v>50000</v>
      </c>
      <c r="AA1563" s="131">
        <v>0</v>
      </c>
      <c r="AB1563" s="131">
        <v>37713.86</v>
      </c>
      <c r="AC1563" s="131">
        <v>12286.14</v>
      </c>
      <c r="AD1563" s="131">
        <v>28417.86</v>
      </c>
      <c r="AE1563" s="132">
        <v>21582.14</v>
      </c>
    </row>
    <row r="1564" spans="1:31" x14ac:dyDescent="0.2">
      <c r="A1564" s="130">
        <v>278</v>
      </c>
      <c r="B1564" s="130" t="s">
        <v>952</v>
      </c>
      <c r="C1564" s="130" t="s">
        <v>1114</v>
      </c>
      <c r="D1564" s="130" t="s">
        <v>1954</v>
      </c>
      <c r="E1564" s="130" t="s">
        <v>1116</v>
      </c>
      <c r="F1564" s="130" t="s">
        <v>1117</v>
      </c>
      <c r="G1564" s="130" t="s">
        <v>1118</v>
      </c>
      <c r="H1564" s="130" t="s">
        <v>1119</v>
      </c>
      <c r="I1564" s="130" t="s">
        <v>1120</v>
      </c>
      <c r="J1564" s="130" t="s">
        <v>1121</v>
      </c>
      <c r="K1564" s="130" t="s">
        <v>1122</v>
      </c>
      <c r="L1564" s="130" t="s">
        <v>2073</v>
      </c>
      <c r="M1564" s="130" t="s">
        <v>1925</v>
      </c>
      <c r="N1564" s="130" t="s">
        <v>152</v>
      </c>
      <c r="O1564" s="130" t="s">
        <v>1125</v>
      </c>
      <c r="P1564" s="130" t="s">
        <v>1126</v>
      </c>
      <c r="Q1564" s="130" t="s">
        <v>1127</v>
      </c>
      <c r="R1564" s="130" t="s">
        <v>1472</v>
      </c>
      <c r="S1564" s="130" t="s">
        <v>2074</v>
      </c>
      <c r="T1564" s="130" t="s">
        <v>1130</v>
      </c>
      <c r="U1564" s="130">
        <v>50000</v>
      </c>
      <c r="V1564" s="131">
        <v>-50000</v>
      </c>
      <c r="W1564" s="131">
        <v>0</v>
      </c>
      <c r="X1564" s="131">
        <v>0</v>
      </c>
      <c r="Y1564" s="131">
        <v>0</v>
      </c>
      <c r="Z1564" s="131">
        <v>0</v>
      </c>
      <c r="AA1564" s="131">
        <v>0</v>
      </c>
      <c r="AB1564" s="131">
        <v>0</v>
      </c>
      <c r="AC1564" s="131">
        <v>0</v>
      </c>
      <c r="AD1564" s="131">
        <v>0</v>
      </c>
      <c r="AE1564" s="132">
        <v>0</v>
      </c>
    </row>
    <row r="1565" spans="1:31" x14ac:dyDescent="0.2">
      <c r="A1565" s="133">
        <v>278</v>
      </c>
      <c r="B1565" s="133" t="s">
        <v>952</v>
      </c>
      <c r="C1565" s="133" t="s">
        <v>1114</v>
      </c>
      <c r="D1565" s="133" t="s">
        <v>1954</v>
      </c>
      <c r="E1565" s="133" t="s">
        <v>1116</v>
      </c>
      <c r="F1565" s="133" t="s">
        <v>1117</v>
      </c>
      <c r="G1565" s="133" t="s">
        <v>1118</v>
      </c>
      <c r="H1565" s="130" t="s">
        <v>1133</v>
      </c>
      <c r="I1565" s="130" t="s">
        <v>1134</v>
      </c>
      <c r="J1565" s="130" t="s">
        <v>1166</v>
      </c>
      <c r="K1565" s="130" t="s">
        <v>1167</v>
      </c>
      <c r="L1565" s="130" t="s">
        <v>2073</v>
      </c>
      <c r="M1565" s="130" t="s">
        <v>1925</v>
      </c>
      <c r="N1565" s="130" t="s">
        <v>152</v>
      </c>
      <c r="O1565" s="130" t="s">
        <v>1125</v>
      </c>
      <c r="P1565" s="130" t="s">
        <v>1126</v>
      </c>
      <c r="Q1565" s="130" t="s">
        <v>1127</v>
      </c>
      <c r="R1565" s="130" t="s">
        <v>1472</v>
      </c>
      <c r="S1565" s="130" t="s">
        <v>2074</v>
      </c>
      <c r="T1565" s="130" t="s">
        <v>1130</v>
      </c>
      <c r="U1565" s="130">
        <v>0</v>
      </c>
      <c r="V1565" s="131">
        <v>304060</v>
      </c>
      <c r="W1565" s="131">
        <v>304060</v>
      </c>
      <c r="X1565" s="131">
        <v>213284.5</v>
      </c>
      <c r="Y1565" s="131">
        <v>90775.5</v>
      </c>
      <c r="Z1565" s="131">
        <v>166697</v>
      </c>
      <c r="AA1565" s="131">
        <v>137363</v>
      </c>
      <c r="AB1565" s="131">
        <v>144083.79999999999</v>
      </c>
      <c r="AC1565" s="131">
        <v>159976.20000000001</v>
      </c>
      <c r="AD1565" s="131">
        <v>127386.8</v>
      </c>
      <c r="AE1565" s="132">
        <v>176673.2</v>
      </c>
    </row>
    <row r="1566" spans="1:31" x14ac:dyDescent="0.2">
      <c r="A1566" s="130">
        <v>279</v>
      </c>
      <c r="B1566" s="130" t="s">
        <v>953</v>
      </c>
      <c r="C1566" s="130" t="s">
        <v>1114</v>
      </c>
      <c r="D1566" s="130" t="s">
        <v>1954</v>
      </c>
      <c r="E1566" s="130" t="s">
        <v>1116</v>
      </c>
      <c r="F1566" s="130" t="s">
        <v>1117</v>
      </c>
      <c r="G1566" s="130" t="s">
        <v>1118</v>
      </c>
      <c r="H1566" s="130" t="s">
        <v>1119</v>
      </c>
      <c r="I1566" s="130" t="s">
        <v>1120</v>
      </c>
      <c r="J1566" s="130" t="s">
        <v>1121</v>
      </c>
      <c r="K1566" s="130" t="s">
        <v>1122</v>
      </c>
      <c r="L1566" s="130" t="s">
        <v>2075</v>
      </c>
      <c r="M1566" s="130" t="s">
        <v>1925</v>
      </c>
      <c r="N1566" s="130" t="s">
        <v>152</v>
      </c>
      <c r="O1566" s="130" t="s">
        <v>1125</v>
      </c>
      <c r="P1566" s="130" t="s">
        <v>1126</v>
      </c>
      <c r="Q1566" s="130" t="s">
        <v>1127</v>
      </c>
      <c r="R1566" s="130" t="s">
        <v>1434</v>
      </c>
      <c r="S1566" s="130" t="s">
        <v>1435</v>
      </c>
      <c r="T1566" s="130" t="s">
        <v>1130</v>
      </c>
      <c r="U1566" s="130">
        <v>50000</v>
      </c>
      <c r="V1566" s="131">
        <v>-50000</v>
      </c>
      <c r="W1566" s="131">
        <v>0</v>
      </c>
      <c r="X1566" s="131">
        <v>0</v>
      </c>
      <c r="Y1566" s="131">
        <v>0</v>
      </c>
      <c r="Z1566" s="131">
        <v>0</v>
      </c>
      <c r="AA1566" s="131">
        <v>0</v>
      </c>
      <c r="AB1566" s="131">
        <v>0</v>
      </c>
      <c r="AC1566" s="131">
        <v>0</v>
      </c>
      <c r="AD1566" s="131">
        <v>0</v>
      </c>
      <c r="AE1566" s="132">
        <v>0</v>
      </c>
    </row>
    <row r="1567" spans="1:31" x14ac:dyDescent="0.2">
      <c r="A1567" s="133">
        <v>279</v>
      </c>
      <c r="B1567" s="133" t="s">
        <v>953</v>
      </c>
      <c r="C1567" s="133" t="s">
        <v>1114</v>
      </c>
      <c r="D1567" s="133" t="s">
        <v>1954</v>
      </c>
      <c r="E1567" s="133" t="s">
        <v>1116</v>
      </c>
      <c r="F1567" s="133" t="s">
        <v>1117</v>
      </c>
      <c r="G1567" s="133" t="s">
        <v>1118</v>
      </c>
      <c r="H1567" s="130" t="s">
        <v>1133</v>
      </c>
      <c r="I1567" s="130" t="s">
        <v>1134</v>
      </c>
      <c r="J1567" s="130" t="s">
        <v>1166</v>
      </c>
      <c r="K1567" s="130" t="s">
        <v>1167</v>
      </c>
      <c r="L1567" s="130" t="s">
        <v>2075</v>
      </c>
      <c r="M1567" s="130" t="s">
        <v>1925</v>
      </c>
      <c r="N1567" s="130" t="s">
        <v>152</v>
      </c>
      <c r="O1567" s="130" t="s">
        <v>1125</v>
      </c>
      <c r="P1567" s="130" t="s">
        <v>1126</v>
      </c>
      <c r="Q1567" s="130" t="s">
        <v>1127</v>
      </c>
      <c r="R1567" s="130" t="s">
        <v>1434</v>
      </c>
      <c r="S1567" s="130" t="s">
        <v>1435</v>
      </c>
      <c r="T1567" s="130" t="s">
        <v>1130</v>
      </c>
      <c r="U1567" s="130">
        <v>0</v>
      </c>
      <c r="V1567" s="131">
        <v>0</v>
      </c>
      <c r="W1567" s="131">
        <v>0</v>
      </c>
      <c r="X1567" s="131">
        <v>0</v>
      </c>
      <c r="Y1567" s="131">
        <v>0</v>
      </c>
      <c r="Z1567" s="131">
        <v>0</v>
      </c>
      <c r="AA1567" s="131">
        <v>0</v>
      </c>
      <c r="AB1567" s="131">
        <v>0</v>
      </c>
      <c r="AC1567" s="131">
        <v>0</v>
      </c>
      <c r="AD1567" s="131">
        <v>0</v>
      </c>
      <c r="AE1567" s="132">
        <v>0</v>
      </c>
    </row>
    <row r="1568" spans="1:31" x14ac:dyDescent="0.2">
      <c r="A1568" s="130">
        <v>280</v>
      </c>
      <c r="B1568" s="130" t="s">
        <v>954</v>
      </c>
      <c r="C1568" s="130" t="s">
        <v>1114</v>
      </c>
      <c r="D1568" s="130" t="s">
        <v>1954</v>
      </c>
      <c r="E1568" s="130" t="s">
        <v>1903</v>
      </c>
      <c r="F1568" s="130" t="s">
        <v>1117</v>
      </c>
      <c r="G1568" s="130" t="s">
        <v>1202</v>
      </c>
      <c r="H1568" s="130" t="s">
        <v>1203</v>
      </c>
      <c r="I1568" s="130" t="s">
        <v>1309</v>
      </c>
      <c r="J1568" s="130" t="s">
        <v>1310</v>
      </c>
      <c r="K1568" s="130" t="s">
        <v>1310</v>
      </c>
      <c r="L1568" s="130" t="s">
        <v>2076</v>
      </c>
      <c r="M1568" s="130" t="s">
        <v>1925</v>
      </c>
      <c r="N1568" s="130" t="s">
        <v>152</v>
      </c>
      <c r="O1568" s="130" t="s">
        <v>1125</v>
      </c>
      <c r="P1568" s="130" t="s">
        <v>1126</v>
      </c>
      <c r="Q1568" s="130" t="s">
        <v>1127</v>
      </c>
      <c r="R1568" s="130" t="s">
        <v>1191</v>
      </c>
      <c r="S1568" s="130" t="s">
        <v>1538</v>
      </c>
      <c r="T1568" s="130" t="s">
        <v>1130</v>
      </c>
      <c r="U1568" s="130">
        <v>0</v>
      </c>
      <c r="V1568" s="131">
        <v>0</v>
      </c>
      <c r="W1568" s="131">
        <v>0</v>
      </c>
      <c r="X1568" s="131">
        <v>0</v>
      </c>
      <c r="Y1568" s="131">
        <v>0</v>
      </c>
      <c r="Z1568" s="131">
        <v>0</v>
      </c>
      <c r="AA1568" s="131">
        <v>0</v>
      </c>
      <c r="AB1568" s="131">
        <v>0</v>
      </c>
      <c r="AC1568" s="131">
        <v>0</v>
      </c>
      <c r="AD1568" s="131">
        <v>0</v>
      </c>
      <c r="AE1568" s="132">
        <v>0</v>
      </c>
    </row>
    <row r="1569" spans="1:31" x14ac:dyDescent="0.2">
      <c r="A1569" s="133">
        <v>280</v>
      </c>
      <c r="B1569" s="133" t="s">
        <v>954</v>
      </c>
      <c r="C1569" s="133" t="s">
        <v>1114</v>
      </c>
      <c r="D1569" s="133" t="s">
        <v>1954</v>
      </c>
      <c r="E1569" s="130" t="s">
        <v>1116</v>
      </c>
      <c r="F1569" s="130" t="s">
        <v>1117</v>
      </c>
      <c r="G1569" s="130" t="s">
        <v>1118</v>
      </c>
      <c r="H1569" s="130" t="s">
        <v>1119</v>
      </c>
      <c r="I1569" s="130" t="s">
        <v>1120</v>
      </c>
      <c r="J1569" s="130" t="s">
        <v>1358</v>
      </c>
      <c r="K1569" s="130" t="s">
        <v>1122</v>
      </c>
      <c r="L1569" s="130" t="s">
        <v>2076</v>
      </c>
      <c r="M1569" s="130" t="s">
        <v>1925</v>
      </c>
      <c r="N1569" s="130" t="s">
        <v>152</v>
      </c>
      <c r="O1569" s="130" t="s">
        <v>1125</v>
      </c>
      <c r="P1569" s="130" t="s">
        <v>1126</v>
      </c>
      <c r="Q1569" s="130" t="s">
        <v>1127</v>
      </c>
      <c r="R1569" s="130" t="s">
        <v>1191</v>
      </c>
      <c r="S1569" s="130" t="s">
        <v>1538</v>
      </c>
      <c r="T1569" s="130" t="s">
        <v>1130</v>
      </c>
      <c r="U1569" s="130">
        <v>50000</v>
      </c>
      <c r="V1569" s="131">
        <v>-50000</v>
      </c>
      <c r="W1569" s="131">
        <v>0</v>
      </c>
      <c r="X1569" s="131">
        <v>0</v>
      </c>
      <c r="Y1569" s="131">
        <v>0</v>
      </c>
      <c r="Z1569" s="131">
        <v>0</v>
      </c>
      <c r="AA1569" s="131">
        <v>0</v>
      </c>
      <c r="AB1569" s="131">
        <v>0</v>
      </c>
      <c r="AC1569" s="131">
        <v>0</v>
      </c>
      <c r="AD1569" s="131">
        <v>0</v>
      </c>
      <c r="AE1569" s="132">
        <v>0</v>
      </c>
    </row>
    <row r="1570" spans="1:31" x14ac:dyDescent="0.2">
      <c r="A1570" s="130">
        <v>281</v>
      </c>
      <c r="B1570" s="130" t="s">
        <v>1056</v>
      </c>
      <c r="C1570" s="130" t="s">
        <v>1147</v>
      </c>
      <c r="D1570" s="130" t="s">
        <v>2017</v>
      </c>
      <c r="E1570" s="130" t="s">
        <v>1116</v>
      </c>
      <c r="F1570" s="130" t="s">
        <v>1117</v>
      </c>
      <c r="G1570" s="130" t="s">
        <v>1118</v>
      </c>
      <c r="H1570" s="130" t="s">
        <v>1149</v>
      </c>
      <c r="I1570" s="130" t="s">
        <v>1182</v>
      </c>
      <c r="J1570" s="130" t="s">
        <v>1942</v>
      </c>
      <c r="K1570" s="130" t="s">
        <v>1944</v>
      </c>
      <c r="L1570" s="130" t="s">
        <v>2077</v>
      </c>
      <c r="M1570" s="130" t="s">
        <v>1925</v>
      </c>
      <c r="N1570" s="130" t="s">
        <v>152</v>
      </c>
      <c r="O1570" s="130" t="s">
        <v>1125</v>
      </c>
      <c r="P1570" s="130" t="s">
        <v>1126</v>
      </c>
      <c r="Q1570" s="130" t="s">
        <v>1127</v>
      </c>
      <c r="R1570" s="130" t="s">
        <v>1448</v>
      </c>
      <c r="S1570" s="130" t="s">
        <v>1487</v>
      </c>
      <c r="T1570" s="130" t="s">
        <v>1188</v>
      </c>
      <c r="U1570" s="130">
        <v>2421000</v>
      </c>
      <c r="V1570" s="131">
        <v>-401000</v>
      </c>
      <c r="W1570" s="131">
        <v>2020000</v>
      </c>
      <c r="X1570" s="131">
        <v>0</v>
      </c>
      <c r="Y1570" s="131">
        <v>2020000</v>
      </c>
      <c r="Z1570" s="131">
        <v>0</v>
      </c>
      <c r="AA1570" s="131">
        <v>2020000</v>
      </c>
      <c r="AB1570" s="131">
        <v>0</v>
      </c>
      <c r="AC1570" s="131">
        <v>2020000</v>
      </c>
      <c r="AD1570" s="131">
        <v>0</v>
      </c>
      <c r="AE1570" s="132">
        <v>2020000</v>
      </c>
    </row>
    <row r="1571" spans="1:31" x14ac:dyDescent="0.2">
      <c r="A1571" s="133">
        <v>281</v>
      </c>
      <c r="B1571" s="133" t="s">
        <v>1056</v>
      </c>
      <c r="C1571" s="133" t="s">
        <v>1147</v>
      </c>
      <c r="D1571" s="133" t="s">
        <v>2017</v>
      </c>
      <c r="E1571" s="133" t="s">
        <v>1116</v>
      </c>
      <c r="F1571" s="133" t="s">
        <v>1117</v>
      </c>
      <c r="G1571" s="133" t="s">
        <v>1118</v>
      </c>
      <c r="H1571" s="130" t="s">
        <v>1159</v>
      </c>
      <c r="I1571" s="130" t="s">
        <v>1160</v>
      </c>
      <c r="J1571" s="130" t="s">
        <v>1163</v>
      </c>
      <c r="K1571" s="130" t="s">
        <v>1164</v>
      </c>
      <c r="L1571" s="130" t="s">
        <v>2077</v>
      </c>
      <c r="M1571" s="130" t="s">
        <v>1925</v>
      </c>
      <c r="N1571" s="130" t="s">
        <v>152</v>
      </c>
      <c r="O1571" s="130" t="s">
        <v>1125</v>
      </c>
      <c r="P1571" s="130" t="s">
        <v>1126</v>
      </c>
      <c r="Q1571" s="130" t="s">
        <v>1127</v>
      </c>
      <c r="R1571" s="130" t="s">
        <v>1448</v>
      </c>
      <c r="S1571" s="130" t="s">
        <v>1487</v>
      </c>
      <c r="T1571" s="130" t="s">
        <v>1188</v>
      </c>
      <c r="U1571" s="130">
        <v>0</v>
      </c>
      <c r="V1571" s="131">
        <v>97983</v>
      </c>
      <c r="W1571" s="131">
        <v>97983</v>
      </c>
      <c r="X1571" s="131">
        <v>97983</v>
      </c>
      <c r="Y1571" s="131">
        <v>0</v>
      </c>
      <c r="Z1571" s="131">
        <v>97983</v>
      </c>
      <c r="AA1571" s="131">
        <v>0</v>
      </c>
      <c r="AB1571" s="131">
        <v>72891.459999999992</v>
      </c>
      <c r="AC1571" s="131">
        <v>25091.540000000008</v>
      </c>
      <c r="AD1571" s="131">
        <v>72891.459999999992</v>
      </c>
      <c r="AE1571" s="132">
        <v>25091.540000000008</v>
      </c>
    </row>
    <row r="1572" spans="1:31" x14ac:dyDescent="0.2">
      <c r="A1572" s="133">
        <v>281</v>
      </c>
      <c r="B1572" s="133" t="s">
        <v>1056</v>
      </c>
      <c r="C1572" s="133" t="s">
        <v>1147</v>
      </c>
      <c r="D1572" s="133" t="s">
        <v>2017</v>
      </c>
      <c r="E1572" s="133" t="s">
        <v>1116</v>
      </c>
      <c r="F1572" s="133" t="s">
        <v>1117</v>
      </c>
      <c r="G1572" s="133" t="s">
        <v>1118</v>
      </c>
      <c r="H1572" s="130" t="s">
        <v>1133</v>
      </c>
      <c r="I1572" s="130" t="s">
        <v>1134</v>
      </c>
      <c r="J1572" s="130" t="s">
        <v>1135</v>
      </c>
      <c r="K1572" s="130" t="s">
        <v>1144</v>
      </c>
      <c r="L1572" s="130" t="s">
        <v>2077</v>
      </c>
      <c r="M1572" s="130" t="s">
        <v>1925</v>
      </c>
      <c r="N1572" s="130" t="s">
        <v>152</v>
      </c>
      <c r="O1572" s="130" t="s">
        <v>1125</v>
      </c>
      <c r="P1572" s="130" t="s">
        <v>1126</v>
      </c>
      <c r="Q1572" s="130" t="s">
        <v>1127</v>
      </c>
      <c r="R1572" s="130" t="s">
        <v>1448</v>
      </c>
      <c r="S1572" s="130" t="s">
        <v>1487</v>
      </c>
      <c r="T1572" s="130" t="s">
        <v>1188</v>
      </c>
      <c r="U1572" s="130">
        <v>0</v>
      </c>
      <c r="V1572" s="131">
        <v>52846</v>
      </c>
      <c r="W1572" s="131">
        <v>52846</v>
      </c>
      <c r="X1572" s="131">
        <v>0</v>
      </c>
      <c r="Y1572" s="131">
        <v>52846</v>
      </c>
      <c r="Z1572" s="131">
        <v>0</v>
      </c>
      <c r="AA1572" s="131">
        <v>52846</v>
      </c>
      <c r="AB1572" s="131">
        <v>0</v>
      </c>
      <c r="AC1572" s="131">
        <v>52846</v>
      </c>
      <c r="AD1572" s="131">
        <v>0</v>
      </c>
      <c r="AE1572" s="132">
        <v>52846</v>
      </c>
    </row>
    <row r="1573" spans="1:31" x14ac:dyDescent="0.2">
      <c r="A1573" s="130">
        <v>282</v>
      </c>
      <c r="B1573" s="130" t="s">
        <v>2078</v>
      </c>
      <c r="C1573" s="130" t="s">
        <v>1114</v>
      </c>
      <c r="D1573" s="130" t="s">
        <v>1954</v>
      </c>
      <c r="E1573" s="130" t="s">
        <v>1116</v>
      </c>
      <c r="F1573" s="130" t="s">
        <v>1117</v>
      </c>
      <c r="G1573" s="130" t="s">
        <v>1118</v>
      </c>
      <c r="H1573" s="130" t="s">
        <v>1119</v>
      </c>
      <c r="I1573" s="130" t="s">
        <v>1120</v>
      </c>
      <c r="J1573" s="130" t="s">
        <v>1121</v>
      </c>
      <c r="K1573" s="130" t="s">
        <v>1122</v>
      </c>
      <c r="L1573" s="130" t="s">
        <v>2079</v>
      </c>
      <c r="M1573" s="130" t="s">
        <v>1925</v>
      </c>
      <c r="N1573" s="130" t="s">
        <v>152</v>
      </c>
      <c r="O1573" s="130" t="s">
        <v>1125</v>
      </c>
      <c r="P1573" s="130" t="s">
        <v>1126</v>
      </c>
      <c r="Q1573" s="130" t="s">
        <v>1127</v>
      </c>
      <c r="R1573" s="130" t="s">
        <v>1434</v>
      </c>
      <c r="S1573" s="130" t="s">
        <v>1435</v>
      </c>
      <c r="T1573" s="130" t="s">
        <v>1158</v>
      </c>
      <c r="U1573" s="130">
        <v>5480901</v>
      </c>
      <c r="V1573" s="131">
        <v>-5274440</v>
      </c>
      <c r="W1573" s="131">
        <v>206461</v>
      </c>
      <c r="X1573" s="131">
        <v>0</v>
      </c>
      <c r="Y1573" s="131">
        <v>206461</v>
      </c>
      <c r="Z1573" s="131">
        <v>0</v>
      </c>
      <c r="AA1573" s="131">
        <v>206461</v>
      </c>
      <c r="AB1573" s="131">
        <v>0</v>
      </c>
      <c r="AC1573" s="131">
        <v>206461</v>
      </c>
      <c r="AD1573" s="131">
        <v>0</v>
      </c>
      <c r="AE1573" s="132">
        <v>206461</v>
      </c>
    </row>
    <row r="1574" spans="1:31" x14ac:dyDescent="0.2">
      <c r="A1574" s="133">
        <v>282</v>
      </c>
      <c r="B1574" s="133" t="s">
        <v>2078</v>
      </c>
      <c r="C1574" s="133" t="s">
        <v>1114</v>
      </c>
      <c r="D1574" s="133" t="s">
        <v>1954</v>
      </c>
      <c r="E1574" s="133" t="s">
        <v>1116</v>
      </c>
      <c r="F1574" s="133" t="s">
        <v>1117</v>
      </c>
      <c r="G1574" s="133" t="s">
        <v>1118</v>
      </c>
      <c r="H1574" s="130" t="s">
        <v>1133</v>
      </c>
      <c r="I1574" s="130" t="s">
        <v>1134</v>
      </c>
      <c r="J1574" s="130" t="s">
        <v>1166</v>
      </c>
      <c r="K1574" s="130" t="s">
        <v>1167</v>
      </c>
      <c r="L1574" s="130" t="s">
        <v>2079</v>
      </c>
      <c r="M1574" s="130" t="s">
        <v>1925</v>
      </c>
      <c r="N1574" s="130" t="s">
        <v>152</v>
      </c>
      <c r="O1574" s="130" t="s">
        <v>1125</v>
      </c>
      <c r="P1574" s="130" t="s">
        <v>1126</v>
      </c>
      <c r="Q1574" s="130" t="s">
        <v>1127</v>
      </c>
      <c r="R1574" s="130" t="s">
        <v>1434</v>
      </c>
      <c r="S1574" s="130" t="s">
        <v>1435</v>
      </c>
      <c r="T1574" s="130" t="s">
        <v>1158</v>
      </c>
      <c r="U1574" s="130">
        <v>0</v>
      </c>
      <c r="V1574" s="131">
        <v>1229656</v>
      </c>
      <c r="W1574" s="131">
        <v>1229656</v>
      </c>
      <c r="X1574" s="131">
        <v>1229655.8</v>
      </c>
      <c r="Y1574" s="131">
        <v>0.19999999995343387</v>
      </c>
      <c r="Z1574" s="131">
        <v>1076855.8</v>
      </c>
      <c r="AA1574" s="131">
        <v>152800.19999999995</v>
      </c>
      <c r="AB1574" s="131">
        <v>0</v>
      </c>
      <c r="AC1574" s="131">
        <v>1229656</v>
      </c>
      <c r="AD1574" s="131">
        <v>0</v>
      </c>
      <c r="AE1574" s="132">
        <v>1229656</v>
      </c>
    </row>
    <row r="1575" spans="1:31" x14ac:dyDescent="0.2">
      <c r="A1575" s="133">
        <v>282</v>
      </c>
      <c r="B1575" s="133" t="s">
        <v>2078</v>
      </c>
      <c r="C1575" s="133" t="s">
        <v>1114</v>
      </c>
      <c r="D1575" s="133" t="s">
        <v>1954</v>
      </c>
      <c r="E1575" s="133" t="s">
        <v>1116</v>
      </c>
      <c r="F1575" s="133" t="s">
        <v>1117</v>
      </c>
      <c r="G1575" s="133" t="s">
        <v>1118</v>
      </c>
      <c r="H1575" s="133" t="s">
        <v>1133</v>
      </c>
      <c r="I1575" s="133" t="s">
        <v>1134</v>
      </c>
      <c r="J1575" s="130" t="s">
        <v>1135</v>
      </c>
      <c r="K1575" s="130" t="s">
        <v>1144</v>
      </c>
      <c r="L1575" s="130" t="s">
        <v>2079</v>
      </c>
      <c r="M1575" s="130" t="s">
        <v>1925</v>
      </c>
      <c r="N1575" s="130" t="s">
        <v>152</v>
      </c>
      <c r="O1575" s="130" t="s">
        <v>1125</v>
      </c>
      <c r="P1575" s="130" t="s">
        <v>1126</v>
      </c>
      <c r="Q1575" s="130" t="s">
        <v>1127</v>
      </c>
      <c r="R1575" s="130" t="s">
        <v>1434</v>
      </c>
      <c r="S1575" s="130" t="s">
        <v>1435</v>
      </c>
      <c r="T1575" s="130" t="s">
        <v>1158</v>
      </c>
      <c r="U1575" s="130">
        <v>0</v>
      </c>
      <c r="V1575" s="131">
        <v>152800</v>
      </c>
      <c r="W1575" s="131">
        <v>152800</v>
      </c>
      <c r="X1575" s="131">
        <v>152800</v>
      </c>
      <c r="Y1575" s="131">
        <v>0</v>
      </c>
      <c r="Z1575" s="131">
        <v>0</v>
      </c>
      <c r="AA1575" s="131">
        <v>152800</v>
      </c>
      <c r="AB1575" s="131">
        <v>0</v>
      </c>
      <c r="AC1575" s="131">
        <v>152800</v>
      </c>
      <c r="AD1575" s="131">
        <v>0</v>
      </c>
      <c r="AE1575" s="132">
        <v>152800</v>
      </c>
    </row>
    <row r="1576" spans="1:31" x14ac:dyDescent="0.2">
      <c r="A1576" s="130">
        <v>283</v>
      </c>
      <c r="B1576" s="130" t="s">
        <v>955</v>
      </c>
      <c r="C1576" s="130" t="s">
        <v>1114</v>
      </c>
      <c r="D1576" s="130" t="s">
        <v>1954</v>
      </c>
      <c r="E1576" s="130" t="s">
        <v>1116</v>
      </c>
      <c r="F1576" s="130" t="s">
        <v>1117</v>
      </c>
      <c r="G1576" s="130" t="s">
        <v>1118</v>
      </c>
      <c r="H1576" s="130" t="s">
        <v>1119</v>
      </c>
      <c r="I1576" s="130" t="s">
        <v>1120</v>
      </c>
      <c r="J1576" s="130" t="s">
        <v>1121</v>
      </c>
      <c r="K1576" s="130" t="s">
        <v>1122</v>
      </c>
      <c r="L1576" s="130" t="s">
        <v>2080</v>
      </c>
      <c r="M1576" s="130" t="s">
        <v>1925</v>
      </c>
      <c r="N1576" s="130" t="s">
        <v>152</v>
      </c>
      <c r="O1576" s="130" t="s">
        <v>1125</v>
      </c>
      <c r="P1576" s="130" t="s">
        <v>1126</v>
      </c>
      <c r="Q1576" s="130" t="s">
        <v>1127</v>
      </c>
      <c r="R1576" s="130" t="s">
        <v>1413</v>
      </c>
      <c r="S1576" s="130" t="s">
        <v>1974</v>
      </c>
      <c r="T1576" s="130" t="s">
        <v>1130</v>
      </c>
      <c r="U1576" s="130">
        <v>50000</v>
      </c>
      <c r="V1576" s="131">
        <v>-50000</v>
      </c>
      <c r="W1576" s="131">
        <v>0</v>
      </c>
      <c r="X1576" s="131">
        <v>0</v>
      </c>
      <c r="Y1576" s="131">
        <v>0</v>
      </c>
      <c r="Z1576" s="131">
        <v>0</v>
      </c>
      <c r="AA1576" s="131">
        <v>0</v>
      </c>
      <c r="AB1576" s="131">
        <v>0</v>
      </c>
      <c r="AC1576" s="131">
        <v>0</v>
      </c>
      <c r="AD1576" s="131">
        <v>0</v>
      </c>
      <c r="AE1576" s="132">
        <v>0</v>
      </c>
    </row>
    <row r="1577" spans="1:31" x14ac:dyDescent="0.2">
      <c r="A1577" s="133">
        <v>283</v>
      </c>
      <c r="B1577" s="133" t="s">
        <v>955</v>
      </c>
      <c r="C1577" s="133" t="s">
        <v>1114</v>
      </c>
      <c r="D1577" s="133" t="s">
        <v>1954</v>
      </c>
      <c r="E1577" s="133" t="s">
        <v>1116</v>
      </c>
      <c r="F1577" s="133" t="s">
        <v>1117</v>
      </c>
      <c r="G1577" s="133" t="s">
        <v>1118</v>
      </c>
      <c r="H1577" s="130" t="s">
        <v>1133</v>
      </c>
      <c r="I1577" s="130" t="s">
        <v>1134</v>
      </c>
      <c r="J1577" s="130" t="s">
        <v>1166</v>
      </c>
      <c r="K1577" s="130" t="s">
        <v>1167</v>
      </c>
      <c r="L1577" s="130" t="s">
        <v>2080</v>
      </c>
      <c r="M1577" s="130" t="s">
        <v>1925</v>
      </c>
      <c r="N1577" s="130" t="s">
        <v>152</v>
      </c>
      <c r="O1577" s="130" t="s">
        <v>1125</v>
      </c>
      <c r="P1577" s="130" t="s">
        <v>1126</v>
      </c>
      <c r="Q1577" s="130" t="s">
        <v>1127</v>
      </c>
      <c r="R1577" s="130" t="s">
        <v>1413</v>
      </c>
      <c r="S1577" s="130" t="s">
        <v>1974</v>
      </c>
      <c r="T1577" s="130" t="s">
        <v>1130</v>
      </c>
      <c r="U1577" s="130">
        <v>0</v>
      </c>
      <c r="V1577" s="131">
        <v>340317</v>
      </c>
      <c r="W1577" s="131">
        <v>340317</v>
      </c>
      <c r="X1577" s="131">
        <v>219578.4</v>
      </c>
      <c r="Y1577" s="131">
        <v>120738.6</v>
      </c>
      <c r="Z1577" s="131">
        <v>219578.4</v>
      </c>
      <c r="AA1577" s="131">
        <v>120738.6</v>
      </c>
      <c r="AB1577" s="131">
        <v>172056.67</v>
      </c>
      <c r="AC1577" s="131">
        <v>168260.33</v>
      </c>
      <c r="AD1577" s="131">
        <v>167467.77000000002</v>
      </c>
      <c r="AE1577" s="132">
        <v>172849.22999999998</v>
      </c>
    </row>
    <row r="1578" spans="1:31" x14ac:dyDescent="0.2">
      <c r="A1578" s="130">
        <v>284</v>
      </c>
      <c r="B1578" s="130" t="s">
        <v>956</v>
      </c>
      <c r="C1578" s="130" t="s">
        <v>1114</v>
      </c>
      <c r="D1578" s="130" t="s">
        <v>1954</v>
      </c>
      <c r="E1578" s="130" t="s">
        <v>1116</v>
      </c>
      <c r="F1578" s="130" t="s">
        <v>1117</v>
      </c>
      <c r="G1578" s="130" t="s">
        <v>1118</v>
      </c>
      <c r="H1578" s="130" t="s">
        <v>1119</v>
      </c>
      <c r="I1578" s="130" t="s">
        <v>1120</v>
      </c>
      <c r="J1578" s="130" t="s">
        <v>1121</v>
      </c>
      <c r="K1578" s="130" t="s">
        <v>1122</v>
      </c>
      <c r="L1578" s="130" t="s">
        <v>2081</v>
      </c>
      <c r="M1578" s="130" t="s">
        <v>1925</v>
      </c>
      <c r="N1578" s="130" t="s">
        <v>152</v>
      </c>
      <c r="O1578" s="130" t="s">
        <v>1125</v>
      </c>
      <c r="P1578" s="130" t="s">
        <v>1126</v>
      </c>
      <c r="Q1578" s="130" t="s">
        <v>1127</v>
      </c>
      <c r="R1578" s="130" t="s">
        <v>1409</v>
      </c>
      <c r="S1578" s="130" t="s">
        <v>2082</v>
      </c>
      <c r="T1578" s="130" t="s">
        <v>1130</v>
      </c>
      <c r="U1578" s="130">
        <v>50000</v>
      </c>
      <c r="V1578" s="131">
        <v>0</v>
      </c>
      <c r="W1578" s="131">
        <v>50000</v>
      </c>
      <c r="X1578" s="131">
        <v>0</v>
      </c>
      <c r="Y1578" s="131">
        <v>50000</v>
      </c>
      <c r="Z1578" s="131">
        <v>0</v>
      </c>
      <c r="AA1578" s="131">
        <v>50000</v>
      </c>
      <c r="AB1578" s="131">
        <v>0</v>
      </c>
      <c r="AC1578" s="131">
        <v>50000</v>
      </c>
      <c r="AD1578" s="131">
        <v>0</v>
      </c>
      <c r="AE1578" s="132">
        <v>50000</v>
      </c>
    </row>
    <row r="1579" spans="1:31" x14ac:dyDescent="0.2">
      <c r="A1579" s="130">
        <v>285</v>
      </c>
      <c r="B1579" s="130" t="s">
        <v>2083</v>
      </c>
      <c r="C1579" s="130" t="s">
        <v>1147</v>
      </c>
      <c r="D1579" s="130" t="s">
        <v>2084</v>
      </c>
      <c r="E1579" s="130" t="s">
        <v>1116</v>
      </c>
      <c r="F1579" s="130" t="s">
        <v>1117</v>
      </c>
      <c r="G1579" s="130" t="s">
        <v>1118</v>
      </c>
      <c r="H1579" s="130" t="s">
        <v>1119</v>
      </c>
      <c r="I1579" s="130" t="s">
        <v>1120</v>
      </c>
      <c r="J1579" s="130" t="s">
        <v>1121</v>
      </c>
      <c r="K1579" s="130" t="s">
        <v>1122</v>
      </c>
      <c r="L1579" s="130" t="s">
        <v>2085</v>
      </c>
      <c r="M1579" s="130" t="s">
        <v>1925</v>
      </c>
      <c r="N1579" s="130" t="s">
        <v>152</v>
      </c>
      <c r="O1579" s="130" t="s">
        <v>1125</v>
      </c>
      <c r="P1579" s="130" t="s">
        <v>2019</v>
      </c>
      <c r="Q1579" s="130" t="s">
        <v>1127</v>
      </c>
      <c r="R1579" s="130" t="s">
        <v>1175</v>
      </c>
      <c r="S1579" s="130" t="s">
        <v>1157</v>
      </c>
      <c r="T1579" s="130" t="s">
        <v>1158</v>
      </c>
      <c r="U1579" s="130">
        <v>513444</v>
      </c>
      <c r="V1579" s="131">
        <v>-302168</v>
      </c>
      <c r="W1579" s="131">
        <v>211276</v>
      </c>
      <c r="X1579" s="131">
        <v>0</v>
      </c>
      <c r="Y1579" s="131">
        <v>211276</v>
      </c>
      <c r="Z1579" s="131">
        <v>0</v>
      </c>
      <c r="AA1579" s="131">
        <v>211276</v>
      </c>
      <c r="AB1579" s="131">
        <v>0</v>
      </c>
      <c r="AC1579" s="131">
        <v>211276</v>
      </c>
      <c r="AD1579" s="131">
        <v>0</v>
      </c>
      <c r="AE1579" s="132">
        <v>211276</v>
      </c>
    </row>
    <row r="1580" spans="1:31" x14ac:dyDescent="0.2">
      <c r="A1580" s="130">
        <v>286</v>
      </c>
      <c r="B1580" s="130" t="s">
        <v>2086</v>
      </c>
      <c r="C1580" s="130" t="s">
        <v>1147</v>
      </c>
      <c r="D1580" s="130" t="s">
        <v>2004</v>
      </c>
      <c r="E1580" s="130" t="s">
        <v>1116</v>
      </c>
      <c r="F1580" s="130" t="s">
        <v>1117</v>
      </c>
      <c r="G1580" s="130" t="s">
        <v>1118</v>
      </c>
      <c r="H1580" s="130" t="s">
        <v>1149</v>
      </c>
      <c r="I1580" s="130" t="s">
        <v>1150</v>
      </c>
      <c r="J1580" s="130" t="s">
        <v>1150</v>
      </c>
      <c r="K1580" s="130" t="s">
        <v>1151</v>
      </c>
      <c r="L1580" s="130" t="s">
        <v>2087</v>
      </c>
      <c r="M1580" s="130" t="s">
        <v>1925</v>
      </c>
      <c r="N1580" s="130" t="s">
        <v>1154</v>
      </c>
      <c r="O1580" s="130" t="s">
        <v>1173</v>
      </c>
      <c r="P1580" s="130" t="s">
        <v>2088</v>
      </c>
      <c r="Q1580" s="130" t="s">
        <v>1127</v>
      </c>
      <c r="R1580" s="130" t="s">
        <v>1128</v>
      </c>
      <c r="S1580" s="130" t="s">
        <v>1129</v>
      </c>
      <c r="T1580" s="130" t="s">
        <v>1158</v>
      </c>
      <c r="U1580" s="130">
        <v>5358341</v>
      </c>
      <c r="V1580" s="131">
        <v>-1278145</v>
      </c>
      <c r="W1580" s="131">
        <v>4080196</v>
      </c>
      <c r="X1580" s="131">
        <v>4080196</v>
      </c>
      <c r="Y1580" s="131">
        <v>0</v>
      </c>
      <c r="Z1580" s="131">
        <v>0</v>
      </c>
      <c r="AA1580" s="131">
        <v>4080196</v>
      </c>
      <c r="AB1580" s="131">
        <v>0</v>
      </c>
      <c r="AC1580" s="131">
        <v>4080196</v>
      </c>
      <c r="AD1580" s="131">
        <v>0</v>
      </c>
      <c r="AE1580" s="132">
        <v>4080196</v>
      </c>
    </row>
    <row r="1581" spans="1:31" x14ac:dyDescent="0.2">
      <c r="A1581" s="133">
        <v>286</v>
      </c>
      <c r="B1581" s="133" t="s">
        <v>2086</v>
      </c>
      <c r="C1581" s="133" t="s">
        <v>1147</v>
      </c>
      <c r="D1581" s="133" t="s">
        <v>2004</v>
      </c>
      <c r="E1581" s="133" t="s">
        <v>1116</v>
      </c>
      <c r="F1581" s="133" t="s">
        <v>1117</v>
      </c>
      <c r="G1581" s="133" t="s">
        <v>1118</v>
      </c>
      <c r="H1581" s="130" t="s">
        <v>1159</v>
      </c>
      <c r="I1581" s="130" t="s">
        <v>1160</v>
      </c>
      <c r="J1581" s="130" t="s">
        <v>1163</v>
      </c>
      <c r="K1581" s="130" t="s">
        <v>1164</v>
      </c>
      <c r="L1581" s="130" t="s">
        <v>2087</v>
      </c>
      <c r="M1581" s="130" t="s">
        <v>1925</v>
      </c>
      <c r="N1581" s="130" t="s">
        <v>1154</v>
      </c>
      <c r="O1581" s="130" t="s">
        <v>1173</v>
      </c>
      <c r="P1581" s="130" t="s">
        <v>2088</v>
      </c>
      <c r="Q1581" s="130" t="s">
        <v>1127</v>
      </c>
      <c r="R1581" s="130" t="s">
        <v>1128</v>
      </c>
      <c r="S1581" s="130" t="s">
        <v>1129</v>
      </c>
      <c r="T1581" s="130" t="s">
        <v>1158</v>
      </c>
      <c r="U1581" s="130">
        <v>0</v>
      </c>
      <c r="V1581" s="131">
        <v>115800</v>
      </c>
      <c r="W1581" s="131">
        <v>115800</v>
      </c>
      <c r="X1581" s="131">
        <v>115800</v>
      </c>
      <c r="Y1581" s="131">
        <v>0</v>
      </c>
      <c r="Z1581" s="131">
        <v>115800</v>
      </c>
      <c r="AA1581" s="131">
        <v>0</v>
      </c>
      <c r="AB1581" s="131">
        <v>80421.010000000009</v>
      </c>
      <c r="AC1581" s="131">
        <v>35378.989999999991</v>
      </c>
      <c r="AD1581" s="131">
        <v>80421.010000000009</v>
      </c>
      <c r="AE1581" s="132">
        <v>35378.989999999991</v>
      </c>
    </row>
    <row r="1582" spans="1:31" x14ac:dyDescent="0.2">
      <c r="A1582" s="133">
        <v>286</v>
      </c>
      <c r="B1582" s="133" t="s">
        <v>2086</v>
      </c>
      <c r="C1582" s="133" t="s">
        <v>1147</v>
      </c>
      <c r="D1582" s="133" t="s">
        <v>2004</v>
      </c>
      <c r="E1582" s="133" t="s">
        <v>1116</v>
      </c>
      <c r="F1582" s="133" t="s">
        <v>1117</v>
      </c>
      <c r="G1582" s="133" t="s">
        <v>1118</v>
      </c>
      <c r="H1582" s="133" t="s">
        <v>1159</v>
      </c>
      <c r="I1582" s="133" t="s">
        <v>1160</v>
      </c>
      <c r="J1582" s="133" t="s">
        <v>1163</v>
      </c>
      <c r="K1582" s="130" t="s">
        <v>1165</v>
      </c>
      <c r="L1582" s="130" t="s">
        <v>2087</v>
      </c>
      <c r="M1582" s="130" t="s">
        <v>1925</v>
      </c>
      <c r="N1582" s="130" t="s">
        <v>1154</v>
      </c>
      <c r="O1582" s="130" t="s">
        <v>1173</v>
      </c>
      <c r="P1582" s="130" t="s">
        <v>2088</v>
      </c>
      <c r="Q1582" s="130" t="s">
        <v>1127</v>
      </c>
      <c r="R1582" s="130" t="s">
        <v>1128</v>
      </c>
      <c r="S1582" s="130" t="s">
        <v>1129</v>
      </c>
      <c r="T1582" s="130" t="s">
        <v>1158</v>
      </c>
      <c r="U1582" s="130">
        <v>0</v>
      </c>
      <c r="V1582" s="131">
        <v>2130348</v>
      </c>
      <c r="W1582" s="131">
        <v>2130348</v>
      </c>
      <c r="X1582" s="131">
        <v>2023174.5</v>
      </c>
      <c r="Y1582" s="131">
        <v>107173.5</v>
      </c>
      <c r="Z1582" s="131">
        <v>6892.1</v>
      </c>
      <c r="AA1582" s="131">
        <v>2123455.9</v>
      </c>
      <c r="AB1582" s="131">
        <v>6892.1</v>
      </c>
      <c r="AC1582" s="131">
        <v>2123455.9</v>
      </c>
      <c r="AD1582" s="131">
        <v>6594.5</v>
      </c>
      <c r="AE1582" s="132">
        <v>2123753.5</v>
      </c>
    </row>
    <row r="1583" spans="1:31" x14ac:dyDescent="0.2">
      <c r="A1583" s="133">
        <v>286</v>
      </c>
      <c r="B1583" s="133" t="s">
        <v>2086</v>
      </c>
      <c r="C1583" s="133" t="s">
        <v>1147</v>
      </c>
      <c r="D1583" s="133" t="s">
        <v>2004</v>
      </c>
      <c r="E1583" s="133" t="s">
        <v>1116</v>
      </c>
      <c r="F1583" s="133" t="s">
        <v>1117</v>
      </c>
      <c r="G1583" s="133" t="s">
        <v>1118</v>
      </c>
      <c r="H1583" s="133" t="s">
        <v>1159</v>
      </c>
      <c r="I1583" s="133" t="s">
        <v>1160</v>
      </c>
      <c r="J1583" s="133" t="s">
        <v>1163</v>
      </c>
      <c r="K1583" s="130" t="s">
        <v>1162</v>
      </c>
      <c r="L1583" s="130" t="s">
        <v>2087</v>
      </c>
      <c r="M1583" s="130" t="s">
        <v>1925</v>
      </c>
      <c r="N1583" s="130" t="s">
        <v>1154</v>
      </c>
      <c r="O1583" s="130" t="s">
        <v>1173</v>
      </c>
      <c r="P1583" s="130" t="s">
        <v>2088</v>
      </c>
      <c r="Q1583" s="130" t="s">
        <v>1127</v>
      </c>
      <c r="R1583" s="130" t="s">
        <v>1128</v>
      </c>
      <c r="S1583" s="130" t="s">
        <v>1129</v>
      </c>
      <c r="T1583" s="130" t="s">
        <v>1158</v>
      </c>
      <c r="U1583" s="130">
        <v>0</v>
      </c>
      <c r="V1583" s="131">
        <v>208500</v>
      </c>
      <c r="W1583" s="131">
        <v>208500</v>
      </c>
      <c r="X1583" s="131">
        <v>7500</v>
      </c>
      <c r="Y1583" s="131">
        <v>201000</v>
      </c>
      <c r="Z1583" s="131">
        <v>7500</v>
      </c>
      <c r="AA1583" s="131">
        <v>201000</v>
      </c>
      <c r="AB1583" s="131">
        <v>7500</v>
      </c>
      <c r="AC1583" s="131">
        <v>201000</v>
      </c>
      <c r="AD1583" s="131">
        <v>900</v>
      </c>
      <c r="AE1583" s="132">
        <v>207600</v>
      </c>
    </row>
    <row r="1584" spans="1:31" x14ac:dyDescent="0.2">
      <c r="A1584" s="133">
        <v>286</v>
      </c>
      <c r="B1584" s="133" t="s">
        <v>2086</v>
      </c>
      <c r="C1584" s="133" t="s">
        <v>1147</v>
      </c>
      <c r="D1584" s="133" t="s">
        <v>2004</v>
      </c>
      <c r="E1584" s="133" t="s">
        <v>1116</v>
      </c>
      <c r="F1584" s="133" t="s">
        <v>1117</v>
      </c>
      <c r="G1584" s="133" t="s">
        <v>1118</v>
      </c>
      <c r="H1584" s="130" t="s">
        <v>1133</v>
      </c>
      <c r="I1584" s="130" t="s">
        <v>1134</v>
      </c>
      <c r="J1584" s="130" t="s">
        <v>1135</v>
      </c>
      <c r="K1584" s="130" t="s">
        <v>1178</v>
      </c>
      <c r="L1584" s="130" t="s">
        <v>2087</v>
      </c>
      <c r="M1584" s="130" t="s">
        <v>1925</v>
      </c>
      <c r="N1584" s="130" t="s">
        <v>1154</v>
      </c>
      <c r="O1584" s="130" t="s">
        <v>1173</v>
      </c>
      <c r="P1584" s="130" t="s">
        <v>2088</v>
      </c>
      <c r="Q1584" s="130" t="s">
        <v>1127</v>
      </c>
      <c r="R1584" s="130" t="s">
        <v>1128</v>
      </c>
      <c r="S1584" s="130" t="s">
        <v>1129</v>
      </c>
      <c r="T1584" s="130" t="s">
        <v>1158</v>
      </c>
      <c r="U1584" s="130">
        <v>0</v>
      </c>
      <c r="V1584" s="131">
        <v>36450</v>
      </c>
      <c r="W1584" s="131">
        <v>36450</v>
      </c>
      <c r="X1584" s="131">
        <v>0</v>
      </c>
      <c r="Y1584" s="131">
        <v>36450</v>
      </c>
      <c r="Z1584" s="131">
        <v>0</v>
      </c>
      <c r="AA1584" s="131">
        <v>36450</v>
      </c>
      <c r="AB1584" s="131">
        <v>0</v>
      </c>
      <c r="AC1584" s="131">
        <v>36450</v>
      </c>
      <c r="AD1584" s="131">
        <v>0</v>
      </c>
      <c r="AE1584" s="132">
        <v>36450</v>
      </c>
    </row>
    <row r="1585" spans="1:31" x14ac:dyDescent="0.2">
      <c r="A1585" s="133">
        <v>286</v>
      </c>
      <c r="B1585" s="133" t="s">
        <v>2086</v>
      </c>
      <c r="C1585" s="133" t="s">
        <v>1147</v>
      </c>
      <c r="D1585" s="133" t="s">
        <v>2004</v>
      </c>
      <c r="E1585" s="133" t="s">
        <v>1116</v>
      </c>
      <c r="F1585" s="133" t="s">
        <v>1117</v>
      </c>
      <c r="G1585" s="133" t="s">
        <v>1118</v>
      </c>
      <c r="H1585" s="133" t="s">
        <v>1133</v>
      </c>
      <c r="I1585" s="133" t="s">
        <v>1134</v>
      </c>
      <c r="J1585" s="133" t="s">
        <v>1135</v>
      </c>
      <c r="K1585" s="130" t="s">
        <v>1179</v>
      </c>
      <c r="L1585" s="130" t="s">
        <v>2087</v>
      </c>
      <c r="M1585" s="130" t="s">
        <v>1925</v>
      </c>
      <c r="N1585" s="130" t="s">
        <v>1154</v>
      </c>
      <c r="O1585" s="130" t="s">
        <v>1173</v>
      </c>
      <c r="P1585" s="130" t="s">
        <v>2088</v>
      </c>
      <c r="Q1585" s="130" t="s">
        <v>1127</v>
      </c>
      <c r="R1585" s="130" t="s">
        <v>1128</v>
      </c>
      <c r="S1585" s="130" t="s">
        <v>1129</v>
      </c>
      <c r="T1585" s="130" t="s">
        <v>1158</v>
      </c>
      <c r="U1585" s="130">
        <v>0</v>
      </c>
      <c r="V1585" s="131">
        <v>2083</v>
      </c>
      <c r="W1585" s="131">
        <v>2083</v>
      </c>
      <c r="X1585" s="131">
        <v>2069.5</v>
      </c>
      <c r="Y1585" s="131">
        <v>13.5</v>
      </c>
      <c r="Z1585" s="131">
        <v>2069.5</v>
      </c>
      <c r="AA1585" s="131">
        <v>13.5</v>
      </c>
      <c r="AB1585" s="131">
        <v>2069.5</v>
      </c>
      <c r="AC1585" s="131">
        <v>13.5</v>
      </c>
      <c r="AD1585" s="131">
        <v>2069.5</v>
      </c>
      <c r="AE1585" s="132">
        <v>13.5</v>
      </c>
    </row>
    <row r="1586" spans="1:31" x14ac:dyDescent="0.2">
      <c r="A1586" s="133">
        <v>286</v>
      </c>
      <c r="B1586" s="133" t="s">
        <v>2086</v>
      </c>
      <c r="C1586" s="133" t="s">
        <v>1147</v>
      </c>
      <c r="D1586" s="133" t="s">
        <v>2004</v>
      </c>
      <c r="E1586" s="133" t="s">
        <v>1116</v>
      </c>
      <c r="F1586" s="133" t="s">
        <v>1117</v>
      </c>
      <c r="G1586" s="133" t="s">
        <v>1118</v>
      </c>
      <c r="H1586" s="133" t="s">
        <v>1133</v>
      </c>
      <c r="I1586" s="133" t="s">
        <v>1134</v>
      </c>
      <c r="J1586" s="133" t="s">
        <v>1135</v>
      </c>
      <c r="K1586" s="130" t="s">
        <v>1144</v>
      </c>
      <c r="L1586" s="130" t="s">
        <v>2087</v>
      </c>
      <c r="M1586" s="130" t="s">
        <v>1925</v>
      </c>
      <c r="N1586" s="130" t="s">
        <v>1154</v>
      </c>
      <c r="O1586" s="130" t="s">
        <v>1173</v>
      </c>
      <c r="P1586" s="130" t="s">
        <v>2088</v>
      </c>
      <c r="Q1586" s="130" t="s">
        <v>1127</v>
      </c>
      <c r="R1586" s="130" t="s">
        <v>1128</v>
      </c>
      <c r="S1586" s="130" t="s">
        <v>1129</v>
      </c>
      <c r="T1586" s="130" t="s">
        <v>1158</v>
      </c>
      <c r="U1586" s="130">
        <v>0</v>
      </c>
      <c r="V1586" s="131">
        <v>1731</v>
      </c>
      <c r="W1586" s="131">
        <v>1731</v>
      </c>
      <c r="X1586" s="131">
        <v>547.5</v>
      </c>
      <c r="Y1586" s="131">
        <v>1183.5</v>
      </c>
      <c r="Z1586" s="131">
        <v>547.5</v>
      </c>
      <c r="AA1586" s="131">
        <v>1183.5</v>
      </c>
      <c r="AB1586" s="131">
        <v>547.5</v>
      </c>
      <c r="AC1586" s="131">
        <v>1183.5</v>
      </c>
      <c r="AD1586" s="131">
        <v>0</v>
      </c>
      <c r="AE1586" s="132">
        <v>1731</v>
      </c>
    </row>
    <row r="1587" spans="1:31" x14ac:dyDescent="0.2">
      <c r="A1587" s="130">
        <v>287</v>
      </c>
      <c r="B1587" s="130" t="s">
        <v>2089</v>
      </c>
      <c r="C1587" s="130" t="s">
        <v>1147</v>
      </c>
      <c r="D1587" s="130" t="s">
        <v>2017</v>
      </c>
      <c r="E1587" s="130" t="s">
        <v>1116</v>
      </c>
      <c r="F1587" s="130" t="s">
        <v>1117</v>
      </c>
      <c r="G1587" s="130" t="s">
        <v>1118</v>
      </c>
      <c r="H1587" s="130" t="s">
        <v>1149</v>
      </c>
      <c r="I1587" s="130" t="s">
        <v>1182</v>
      </c>
      <c r="J1587" s="130" t="s">
        <v>1377</v>
      </c>
      <c r="K1587" s="130" t="s">
        <v>1378</v>
      </c>
      <c r="L1587" s="130" t="s">
        <v>2090</v>
      </c>
      <c r="M1587" s="130" t="s">
        <v>1925</v>
      </c>
      <c r="N1587" s="130" t="s">
        <v>152</v>
      </c>
      <c r="O1587" s="130" t="s">
        <v>1125</v>
      </c>
      <c r="P1587" s="130" t="s">
        <v>1126</v>
      </c>
      <c r="Q1587" s="130" t="s">
        <v>1127</v>
      </c>
      <c r="R1587" s="130" t="s">
        <v>1434</v>
      </c>
      <c r="S1587" s="130" t="s">
        <v>1435</v>
      </c>
      <c r="T1587" s="130" t="s">
        <v>1158</v>
      </c>
      <c r="U1587" s="130">
        <v>0</v>
      </c>
      <c r="V1587" s="131">
        <v>4505</v>
      </c>
      <c r="W1587" s="131">
        <v>4505</v>
      </c>
      <c r="X1587" s="131">
        <v>2540</v>
      </c>
      <c r="Y1587" s="131">
        <v>1965</v>
      </c>
      <c r="Z1587" s="131">
        <v>2540</v>
      </c>
      <c r="AA1587" s="131">
        <v>1965</v>
      </c>
      <c r="AB1587" s="131">
        <v>2540</v>
      </c>
      <c r="AC1587" s="131">
        <v>1965</v>
      </c>
      <c r="AD1587" s="131">
        <v>2540</v>
      </c>
      <c r="AE1587" s="132">
        <v>1965</v>
      </c>
    </row>
    <row r="1588" spans="1:31" x14ac:dyDescent="0.2">
      <c r="A1588" s="133">
        <v>287</v>
      </c>
      <c r="B1588" s="133" t="s">
        <v>2089</v>
      </c>
      <c r="C1588" s="133" t="s">
        <v>1147</v>
      </c>
      <c r="D1588" s="133" t="s">
        <v>2017</v>
      </c>
      <c r="E1588" s="133" t="s">
        <v>1116</v>
      </c>
      <c r="F1588" s="133" t="s">
        <v>1117</v>
      </c>
      <c r="G1588" s="133" t="s">
        <v>1118</v>
      </c>
      <c r="H1588" s="133" t="s">
        <v>1149</v>
      </c>
      <c r="I1588" s="133" t="s">
        <v>1182</v>
      </c>
      <c r="J1588" s="130" t="s">
        <v>1942</v>
      </c>
      <c r="K1588" s="130" t="s">
        <v>1944</v>
      </c>
      <c r="L1588" s="130" t="s">
        <v>2090</v>
      </c>
      <c r="M1588" s="130" t="s">
        <v>1925</v>
      </c>
      <c r="N1588" s="130" t="s">
        <v>152</v>
      </c>
      <c r="O1588" s="130" t="s">
        <v>1125</v>
      </c>
      <c r="P1588" s="130" t="s">
        <v>1126</v>
      </c>
      <c r="Q1588" s="130" t="s">
        <v>1127</v>
      </c>
      <c r="R1588" s="130" t="s">
        <v>1434</v>
      </c>
      <c r="S1588" s="130" t="s">
        <v>1435</v>
      </c>
      <c r="T1588" s="130" t="s">
        <v>1158</v>
      </c>
      <c r="U1588" s="130">
        <v>894000</v>
      </c>
      <c r="V1588" s="131">
        <v>-894000</v>
      </c>
      <c r="W1588" s="131">
        <v>0</v>
      </c>
      <c r="X1588" s="131">
        <v>0</v>
      </c>
      <c r="Y1588" s="131">
        <v>0</v>
      </c>
      <c r="Z1588" s="131">
        <v>0</v>
      </c>
      <c r="AA1588" s="131">
        <v>0</v>
      </c>
      <c r="AB1588" s="131">
        <v>0</v>
      </c>
      <c r="AC1588" s="131">
        <v>0</v>
      </c>
      <c r="AD1588" s="131">
        <v>0</v>
      </c>
      <c r="AE1588" s="132">
        <v>0</v>
      </c>
    </row>
    <row r="1589" spans="1:31" x14ac:dyDescent="0.2">
      <c r="A1589" s="133">
        <v>287</v>
      </c>
      <c r="B1589" s="133" t="s">
        <v>2089</v>
      </c>
      <c r="C1589" s="133" t="s">
        <v>1147</v>
      </c>
      <c r="D1589" s="133" t="s">
        <v>2017</v>
      </c>
      <c r="E1589" s="133" t="s">
        <v>1116</v>
      </c>
      <c r="F1589" s="133" t="s">
        <v>1117</v>
      </c>
      <c r="G1589" s="133" t="s">
        <v>1118</v>
      </c>
      <c r="H1589" s="130" t="s">
        <v>1159</v>
      </c>
      <c r="I1589" s="130" t="s">
        <v>1160</v>
      </c>
      <c r="J1589" s="130" t="s">
        <v>1163</v>
      </c>
      <c r="K1589" s="130" t="s">
        <v>1164</v>
      </c>
      <c r="L1589" s="130" t="s">
        <v>2090</v>
      </c>
      <c r="M1589" s="130" t="s">
        <v>1925</v>
      </c>
      <c r="N1589" s="130" t="s">
        <v>152</v>
      </c>
      <c r="O1589" s="130" t="s">
        <v>1125</v>
      </c>
      <c r="P1589" s="130" t="s">
        <v>1126</v>
      </c>
      <c r="Q1589" s="130" t="s">
        <v>1127</v>
      </c>
      <c r="R1589" s="130" t="s">
        <v>1434</v>
      </c>
      <c r="S1589" s="130" t="s">
        <v>1435</v>
      </c>
      <c r="T1589" s="130" t="s">
        <v>1158</v>
      </c>
      <c r="U1589" s="130">
        <v>0</v>
      </c>
      <c r="V1589" s="131">
        <v>65000</v>
      </c>
      <c r="W1589" s="131">
        <v>65000</v>
      </c>
      <c r="X1589" s="131">
        <v>65000</v>
      </c>
      <c r="Y1589" s="131">
        <v>0</v>
      </c>
      <c r="Z1589" s="131">
        <v>65000</v>
      </c>
      <c r="AA1589" s="131">
        <v>0</v>
      </c>
      <c r="AB1589" s="131">
        <v>48645.090000000004</v>
      </c>
      <c r="AC1589" s="131">
        <v>16354.909999999996</v>
      </c>
      <c r="AD1589" s="131">
        <v>48645.090000000004</v>
      </c>
      <c r="AE1589" s="132">
        <v>16354.909999999996</v>
      </c>
    </row>
    <row r="1590" spans="1:31" x14ac:dyDescent="0.2">
      <c r="A1590" s="133">
        <v>287</v>
      </c>
      <c r="B1590" s="133" t="s">
        <v>2089</v>
      </c>
      <c r="C1590" s="133" t="s">
        <v>1147</v>
      </c>
      <c r="D1590" s="133" t="s">
        <v>2017</v>
      </c>
      <c r="E1590" s="133" t="s">
        <v>1116</v>
      </c>
      <c r="F1590" s="133" t="s">
        <v>1117</v>
      </c>
      <c r="G1590" s="133" t="s">
        <v>1118</v>
      </c>
      <c r="H1590" s="133" t="s">
        <v>1159</v>
      </c>
      <c r="I1590" s="133" t="s">
        <v>1160</v>
      </c>
      <c r="J1590" s="133" t="s">
        <v>1163</v>
      </c>
      <c r="K1590" s="130" t="s">
        <v>1165</v>
      </c>
      <c r="L1590" s="130" t="s">
        <v>2090</v>
      </c>
      <c r="M1590" s="130" t="s">
        <v>1925</v>
      </c>
      <c r="N1590" s="130" t="s">
        <v>152</v>
      </c>
      <c r="O1590" s="130" t="s">
        <v>1125</v>
      </c>
      <c r="P1590" s="130" t="s">
        <v>1126</v>
      </c>
      <c r="Q1590" s="130" t="s">
        <v>1127</v>
      </c>
      <c r="R1590" s="130" t="s">
        <v>1434</v>
      </c>
      <c r="S1590" s="130" t="s">
        <v>1435</v>
      </c>
      <c r="T1590" s="130" t="s">
        <v>1158</v>
      </c>
      <c r="U1590" s="130">
        <v>0</v>
      </c>
      <c r="V1590" s="131">
        <v>22329</v>
      </c>
      <c r="W1590" s="131">
        <v>22329</v>
      </c>
      <c r="X1590" s="131">
        <v>7353.3</v>
      </c>
      <c r="Y1590" s="131">
        <v>14975.7</v>
      </c>
      <c r="Z1590" s="131">
        <v>6977.11</v>
      </c>
      <c r="AA1590" s="131">
        <v>15351.89</v>
      </c>
      <c r="AB1590" s="131">
        <v>6977.11</v>
      </c>
      <c r="AC1590" s="131">
        <v>15351.89</v>
      </c>
      <c r="AD1590" s="131">
        <v>5383.3</v>
      </c>
      <c r="AE1590" s="132">
        <v>16945.7</v>
      </c>
    </row>
    <row r="1591" spans="1:31" x14ac:dyDescent="0.2">
      <c r="A1591" s="133">
        <v>287</v>
      </c>
      <c r="B1591" s="133" t="s">
        <v>2089</v>
      </c>
      <c r="C1591" s="133" t="s">
        <v>1147</v>
      </c>
      <c r="D1591" s="133" t="s">
        <v>2017</v>
      </c>
      <c r="E1591" s="133" t="s">
        <v>1116</v>
      </c>
      <c r="F1591" s="133" t="s">
        <v>1117</v>
      </c>
      <c r="G1591" s="133" t="s">
        <v>1118</v>
      </c>
      <c r="H1591" s="133" t="s">
        <v>1159</v>
      </c>
      <c r="I1591" s="133" t="s">
        <v>1160</v>
      </c>
      <c r="J1591" s="133" t="s">
        <v>1163</v>
      </c>
      <c r="K1591" s="130" t="s">
        <v>1162</v>
      </c>
      <c r="L1591" s="130" t="s">
        <v>2090</v>
      </c>
      <c r="M1591" s="130" t="s">
        <v>1925</v>
      </c>
      <c r="N1591" s="130" t="s">
        <v>152</v>
      </c>
      <c r="O1591" s="130" t="s">
        <v>1125</v>
      </c>
      <c r="P1591" s="130" t="s">
        <v>1126</v>
      </c>
      <c r="Q1591" s="130" t="s">
        <v>1127</v>
      </c>
      <c r="R1591" s="130" t="s">
        <v>1434</v>
      </c>
      <c r="S1591" s="130" t="s">
        <v>1435</v>
      </c>
      <c r="T1591" s="130" t="s">
        <v>1158</v>
      </c>
      <c r="U1591" s="130">
        <v>0</v>
      </c>
      <c r="V1591" s="131">
        <v>81650</v>
      </c>
      <c r="W1591" s="131">
        <v>81650</v>
      </c>
      <c r="X1591" s="131">
        <v>26500</v>
      </c>
      <c r="Y1591" s="131">
        <v>55150</v>
      </c>
      <c r="Z1591" s="131">
        <v>26500</v>
      </c>
      <c r="AA1591" s="131">
        <v>55150</v>
      </c>
      <c r="AB1591" s="131">
        <v>26500</v>
      </c>
      <c r="AC1591" s="131">
        <v>55150</v>
      </c>
      <c r="AD1591" s="131">
        <v>26500</v>
      </c>
      <c r="AE1591" s="132">
        <v>55150</v>
      </c>
    </row>
    <row r="1592" spans="1:31" x14ac:dyDescent="0.2">
      <c r="A1592" s="133">
        <v>287</v>
      </c>
      <c r="B1592" s="133" t="s">
        <v>2089</v>
      </c>
      <c r="C1592" s="133" t="s">
        <v>1147</v>
      </c>
      <c r="D1592" s="133" t="s">
        <v>2017</v>
      </c>
      <c r="E1592" s="133" t="s">
        <v>1116</v>
      </c>
      <c r="F1592" s="133" t="s">
        <v>1117</v>
      </c>
      <c r="G1592" s="133" t="s">
        <v>1118</v>
      </c>
      <c r="H1592" s="130" t="s">
        <v>1133</v>
      </c>
      <c r="I1592" s="130" t="s">
        <v>1134</v>
      </c>
      <c r="J1592" s="130" t="s">
        <v>1135</v>
      </c>
      <c r="K1592" s="130" t="s">
        <v>1178</v>
      </c>
      <c r="L1592" s="130" t="s">
        <v>2090</v>
      </c>
      <c r="M1592" s="130" t="s">
        <v>1925</v>
      </c>
      <c r="N1592" s="130" t="s">
        <v>152</v>
      </c>
      <c r="O1592" s="130" t="s">
        <v>1125</v>
      </c>
      <c r="P1592" s="130" t="s">
        <v>1126</v>
      </c>
      <c r="Q1592" s="130" t="s">
        <v>1127</v>
      </c>
      <c r="R1592" s="130" t="s">
        <v>1434</v>
      </c>
      <c r="S1592" s="130" t="s">
        <v>1435</v>
      </c>
      <c r="T1592" s="130" t="s">
        <v>1158</v>
      </c>
      <c r="U1592" s="130">
        <v>0</v>
      </c>
      <c r="V1592" s="131">
        <v>25000</v>
      </c>
      <c r="W1592" s="131">
        <v>25000</v>
      </c>
      <c r="X1592" s="131">
        <v>25000</v>
      </c>
      <c r="Y1592" s="131">
        <v>0</v>
      </c>
      <c r="Z1592" s="131">
        <v>25000</v>
      </c>
      <c r="AA1592" s="131">
        <v>0</v>
      </c>
      <c r="AB1592" s="131">
        <v>17820.93</v>
      </c>
      <c r="AC1592" s="131">
        <v>7179.07</v>
      </c>
      <c r="AD1592" s="131">
        <v>17820.93</v>
      </c>
      <c r="AE1592" s="132">
        <v>7179.07</v>
      </c>
    </row>
    <row r="1593" spans="1:31" x14ac:dyDescent="0.2">
      <c r="A1593" s="133">
        <v>287</v>
      </c>
      <c r="B1593" s="133" t="s">
        <v>2089</v>
      </c>
      <c r="C1593" s="133" t="s">
        <v>1147</v>
      </c>
      <c r="D1593" s="133" t="s">
        <v>2017</v>
      </c>
      <c r="E1593" s="133" t="s">
        <v>1116</v>
      </c>
      <c r="F1593" s="133" t="s">
        <v>1117</v>
      </c>
      <c r="G1593" s="133" t="s">
        <v>1118</v>
      </c>
      <c r="H1593" s="133" t="s">
        <v>1133</v>
      </c>
      <c r="I1593" s="133" t="s">
        <v>1134</v>
      </c>
      <c r="J1593" s="133" t="s">
        <v>1135</v>
      </c>
      <c r="K1593" s="130" t="s">
        <v>1179</v>
      </c>
      <c r="L1593" s="130" t="s">
        <v>2090</v>
      </c>
      <c r="M1593" s="130" t="s">
        <v>1925</v>
      </c>
      <c r="N1593" s="130" t="s">
        <v>152</v>
      </c>
      <c r="O1593" s="130" t="s">
        <v>1125</v>
      </c>
      <c r="P1593" s="130" t="s">
        <v>1126</v>
      </c>
      <c r="Q1593" s="130" t="s">
        <v>1127</v>
      </c>
      <c r="R1593" s="130" t="s">
        <v>1434</v>
      </c>
      <c r="S1593" s="130" t="s">
        <v>1435</v>
      </c>
      <c r="T1593" s="130" t="s">
        <v>1158</v>
      </c>
      <c r="U1593" s="130">
        <v>0</v>
      </c>
      <c r="V1593" s="131">
        <v>12658</v>
      </c>
      <c r="W1593" s="131">
        <v>12658</v>
      </c>
      <c r="X1593" s="131">
        <v>3252</v>
      </c>
      <c r="Y1593" s="131">
        <v>9406</v>
      </c>
      <c r="Z1593" s="131">
        <v>3252</v>
      </c>
      <c r="AA1593" s="131">
        <v>9406</v>
      </c>
      <c r="AB1593" s="131">
        <v>3252</v>
      </c>
      <c r="AC1593" s="131">
        <v>9406</v>
      </c>
      <c r="AD1593" s="131">
        <v>3252</v>
      </c>
      <c r="AE1593" s="132">
        <v>9406</v>
      </c>
    </row>
    <row r="1594" spans="1:31" x14ac:dyDescent="0.2">
      <c r="A1594" s="133">
        <v>287</v>
      </c>
      <c r="B1594" s="133" t="s">
        <v>2089</v>
      </c>
      <c r="C1594" s="133" t="s">
        <v>1147</v>
      </c>
      <c r="D1594" s="133" t="s">
        <v>2017</v>
      </c>
      <c r="E1594" s="133" t="s">
        <v>1116</v>
      </c>
      <c r="F1594" s="133" t="s">
        <v>1117</v>
      </c>
      <c r="G1594" s="133" t="s">
        <v>1118</v>
      </c>
      <c r="H1594" s="133" t="s">
        <v>1133</v>
      </c>
      <c r="I1594" s="133" t="s">
        <v>1134</v>
      </c>
      <c r="J1594" s="133" t="s">
        <v>1135</v>
      </c>
      <c r="K1594" s="130" t="s">
        <v>1144</v>
      </c>
      <c r="L1594" s="130" t="s">
        <v>2090</v>
      </c>
      <c r="M1594" s="130" t="s">
        <v>1925</v>
      </c>
      <c r="N1594" s="130" t="s">
        <v>152</v>
      </c>
      <c r="O1594" s="130" t="s">
        <v>1125</v>
      </c>
      <c r="P1594" s="130" t="s">
        <v>1126</v>
      </c>
      <c r="Q1594" s="130" t="s">
        <v>1127</v>
      </c>
      <c r="R1594" s="130" t="s">
        <v>1434</v>
      </c>
      <c r="S1594" s="130" t="s">
        <v>1435</v>
      </c>
      <c r="T1594" s="130" t="s">
        <v>1158</v>
      </c>
      <c r="U1594" s="130">
        <v>0</v>
      </c>
      <c r="V1594" s="131">
        <v>25560</v>
      </c>
      <c r="W1594" s="131">
        <v>25560</v>
      </c>
      <c r="X1594" s="131">
        <v>0</v>
      </c>
      <c r="Y1594" s="131">
        <v>25560</v>
      </c>
      <c r="Z1594" s="131">
        <v>0</v>
      </c>
      <c r="AA1594" s="131">
        <v>25560</v>
      </c>
      <c r="AB1594" s="131">
        <v>0</v>
      </c>
      <c r="AC1594" s="131">
        <v>25560</v>
      </c>
      <c r="AD1594" s="131">
        <v>0</v>
      </c>
      <c r="AE1594" s="132">
        <v>25560</v>
      </c>
    </row>
    <row r="1595" spans="1:31" x14ac:dyDescent="0.2">
      <c r="A1595" s="130">
        <v>288</v>
      </c>
      <c r="B1595" s="130" t="s">
        <v>1841</v>
      </c>
      <c r="C1595" s="130" t="s">
        <v>1199</v>
      </c>
      <c r="D1595" s="130" t="s">
        <v>2091</v>
      </c>
      <c r="E1595" s="130" t="s">
        <v>1143</v>
      </c>
      <c r="F1595" s="130" t="s">
        <v>1117</v>
      </c>
      <c r="G1595" s="130" t="s">
        <v>2092</v>
      </c>
      <c r="H1595" s="130" t="s">
        <v>2093</v>
      </c>
      <c r="I1595" s="130" t="s">
        <v>2094</v>
      </c>
      <c r="J1595" s="130" t="s">
        <v>2095</v>
      </c>
      <c r="K1595" s="130" t="s">
        <v>2096</v>
      </c>
      <c r="L1595" s="130" t="s">
        <v>2097</v>
      </c>
      <c r="M1595" s="130" t="s">
        <v>1925</v>
      </c>
      <c r="N1595" s="130" t="s">
        <v>2098</v>
      </c>
      <c r="O1595" s="130" t="s">
        <v>2099</v>
      </c>
      <c r="P1595" s="130" t="s">
        <v>2100</v>
      </c>
      <c r="Q1595" s="130" t="s">
        <v>1127</v>
      </c>
      <c r="R1595" s="130" t="s">
        <v>1191</v>
      </c>
      <c r="S1595" s="130" t="s">
        <v>1157</v>
      </c>
      <c r="T1595" s="130" t="s">
        <v>1369</v>
      </c>
      <c r="U1595" s="130">
        <v>1594115</v>
      </c>
      <c r="V1595" s="131">
        <v>0</v>
      </c>
      <c r="W1595" s="131">
        <v>1594115</v>
      </c>
      <c r="X1595" s="131">
        <v>0</v>
      </c>
      <c r="Y1595" s="131">
        <v>1594115</v>
      </c>
      <c r="Z1595" s="131">
        <v>0</v>
      </c>
      <c r="AA1595" s="131">
        <v>1594115</v>
      </c>
      <c r="AB1595" s="131">
        <v>0</v>
      </c>
      <c r="AC1595" s="131">
        <v>1594115</v>
      </c>
      <c r="AD1595" s="131">
        <v>0</v>
      </c>
      <c r="AE1595" s="132">
        <v>1594115</v>
      </c>
    </row>
    <row r="1596" spans="1:31" x14ac:dyDescent="0.2">
      <c r="A1596" s="130">
        <v>289</v>
      </c>
      <c r="B1596" s="130" t="s">
        <v>1841</v>
      </c>
      <c r="C1596" s="130" t="s">
        <v>1199</v>
      </c>
      <c r="D1596" s="130" t="s">
        <v>2101</v>
      </c>
      <c r="E1596" s="130" t="s">
        <v>1201</v>
      </c>
      <c r="F1596" s="130" t="s">
        <v>1117</v>
      </c>
      <c r="G1596" s="130" t="s">
        <v>1276</v>
      </c>
      <c r="H1596" s="130" t="s">
        <v>1277</v>
      </c>
      <c r="I1596" s="130" t="s">
        <v>1278</v>
      </c>
      <c r="J1596" s="130" t="s">
        <v>1278</v>
      </c>
      <c r="K1596" s="130" t="s">
        <v>1279</v>
      </c>
      <c r="L1596" s="130" t="s">
        <v>2102</v>
      </c>
      <c r="M1596" s="130" t="s">
        <v>1925</v>
      </c>
      <c r="N1596" s="130" t="s">
        <v>120</v>
      </c>
      <c r="O1596" s="130" t="s">
        <v>1860</v>
      </c>
      <c r="P1596" s="130" t="s">
        <v>1861</v>
      </c>
      <c r="Q1596" s="130" t="s">
        <v>1127</v>
      </c>
      <c r="R1596" s="130" t="s">
        <v>1191</v>
      </c>
      <c r="S1596" s="130" t="s">
        <v>1191</v>
      </c>
      <c r="T1596" s="130" t="s">
        <v>1847</v>
      </c>
      <c r="U1596" s="130">
        <v>120560</v>
      </c>
      <c r="V1596" s="131">
        <v>0</v>
      </c>
      <c r="W1596" s="131">
        <v>120560</v>
      </c>
      <c r="X1596" s="131">
        <v>120560</v>
      </c>
      <c r="Y1596" s="131">
        <v>0</v>
      </c>
      <c r="Z1596" s="131">
        <v>120560</v>
      </c>
      <c r="AA1596" s="131">
        <v>0</v>
      </c>
      <c r="AB1596" s="131">
        <v>37416.75</v>
      </c>
      <c r="AC1596" s="131">
        <v>83143.25</v>
      </c>
      <c r="AD1596" s="131">
        <v>37416.75</v>
      </c>
      <c r="AE1596" s="132">
        <v>83143.25</v>
      </c>
    </row>
    <row r="1597" spans="1:31" x14ac:dyDescent="0.2">
      <c r="A1597" s="133">
        <v>289</v>
      </c>
      <c r="B1597" s="133" t="s">
        <v>1841</v>
      </c>
      <c r="C1597" s="133" t="s">
        <v>1199</v>
      </c>
      <c r="D1597" s="133" t="s">
        <v>2101</v>
      </c>
      <c r="E1597" s="133" t="s">
        <v>1201</v>
      </c>
      <c r="F1597" s="133" t="s">
        <v>1117</v>
      </c>
      <c r="G1597" s="133" t="s">
        <v>1276</v>
      </c>
      <c r="H1597" s="133" t="s">
        <v>1277</v>
      </c>
      <c r="I1597" s="133" t="s">
        <v>1278</v>
      </c>
      <c r="J1597" s="133" t="s">
        <v>1278</v>
      </c>
      <c r="K1597" s="130" t="s">
        <v>1281</v>
      </c>
      <c r="L1597" s="130" t="s">
        <v>2102</v>
      </c>
      <c r="M1597" s="130" t="s">
        <v>1925</v>
      </c>
      <c r="N1597" s="130" t="s">
        <v>120</v>
      </c>
      <c r="O1597" s="130" t="s">
        <v>1860</v>
      </c>
      <c r="P1597" s="130" t="s">
        <v>1861</v>
      </c>
      <c r="Q1597" s="130" t="s">
        <v>1127</v>
      </c>
      <c r="R1597" s="130" t="s">
        <v>1191</v>
      </c>
      <c r="S1597" s="130" t="s">
        <v>1191</v>
      </c>
      <c r="T1597" s="130" t="s">
        <v>1847</v>
      </c>
      <c r="U1597" s="130">
        <v>25449</v>
      </c>
      <c r="V1597" s="131">
        <v>25000</v>
      </c>
      <c r="W1597" s="131">
        <v>50449</v>
      </c>
      <c r="X1597" s="131">
        <v>50449</v>
      </c>
      <c r="Y1597" s="131">
        <v>0</v>
      </c>
      <c r="Z1597" s="131">
        <v>50449</v>
      </c>
      <c r="AA1597" s="131">
        <v>0</v>
      </c>
      <c r="AB1597" s="131">
        <v>50340.77</v>
      </c>
      <c r="AC1597" s="131">
        <v>108.2300000000032</v>
      </c>
      <c r="AD1597" s="131">
        <v>50340.77</v>
      </c>
      <c r="AE1597" s="132">
        <v>108.2300000000032</v>
      </c>
    </row>
    <row r="1598" spans="1:31" x14ac:dyDescent="0.2">
      <c r="A1598" s="133">
        <v>289</v>
      </c>
      <c r="B1598" s="133" t="s">
        <v>1841</v>
      </c>
      <c r="C1598" s="133" t="s">
        <v>1199</v>
      </c>
      <c r="D1598" s="133" t="s">
        <v>2101</v>
      </c>
      <c r="E1598" s="133" t="s">
        <v>1201</v>
      </c>
      <c r="F1598" s="133" t="s">
        <v>1117</v>
      </c>
      <c r="G1598" s="133" t="s">
        <v>1276</v>
      </c>
      <c r="H1598" s="133" t="s">
        <v>1277</v>
      </c>
      <c r="I1598" s="133" t="s">
        <v>1278</v>
      </c>
      <c r="J1598" s="133" t="s">
        <v>1278</v>
      </c>
      <c r="K1598" s="130" t="s">
        <v>1282</v>
      </c>
      <c r="L1598" s="130" t="s">
        <v>2102</v>
      </c>
      <c r="M1598" s="130" t="s">
        <v>1925</v>
      </c>
      <c r="N1598" s="130" t="s">
        <v>120</v>
      </c>
      <c r="O1598" s="130" t="s">
        <v>1860</v>
      </c>
      <c r="P1598" s="130" t="s">
        <v>1861</v>
      </c>
      <c r="Q1598" s="130" t="s">
        <v>1127</v>
      </c>
      <c r="R1598" s="130" t="s">
        <v>1191</v>
      </c>
      <c r="S1598" s="130" t="s">
        <v>1191</v>
      </c>
      <c r="T1598" s="130" t="s">
        <v>1847</v>
      </c>
      <c r="U1598" s="130">
        <v>15663</v>
      </c>
      <c r="V1598" s="131">
        <v>0</v>
      </c>
      <c r="W1598" s="131">
        <v>15663</v>
      </c>
      <c r="X1598" s="131">
        <v>15663</v>
      </c>
      <c r="Y1598" s="131">
        <v>0</v>
      </c>
      <c r="Z1598" s="131">
        <v>15663</v>
      </c>
      <c r="AA1598" s="131">
        <v>0</v>
      </c>
      <c r="AB1598" s="131">
        <v>10797.8</v>
      </c>
      <c r="AC1598" s="131">
        <v>4865.2000000000007</v>
      </c>
      <c r="AD1598" s="131">
        <v>10797.8</v>
      </c>
      <c r="AE1598" s="132">
        <v>4865.2000000000007</v>
      </c>
    </row>
    <row r="1599" spans="1:31" x14ac:dyDescent="0.2">
      <c r="A1599" s="133">
        <v>289</v>
      </c>
      <c r="B1599" s="133" t="s">
        <v>1841</v>
      </c>
      <c r="C1599" s="133" t="s">
        <v>1199</v>
      </c>
      <c r="D1599" s="133" t="s">
        <v>2101</v>
      </c>
      <c r="E1599" s="133" t="s">
        <v>1201</v>
      </c>
      <c r="F1599" s="133" t="s">
        <v>1117</v>
      </c>
      <c r="G1599" s="133" t="s">
        <v>1276</v>
      </c>
      <c r="H1599" s="133" t="s">
        <v>1277</v>
      </c>
      <c r="I1599" s="133" t="s">
        <v>1278</v>
      </c>
      <c r="J1599" s="130" t="s">
        <v>1283</v>
      </c>
      <c r="K1599" s="130" t="s">
        <v>1284</v>
      </c>
      <c r="L1599" s="130" t="s">
        <v>2102</v>
      </c>
      <c r="M1599" s="130" t="s">
        <v>1925</v>
      </c>
      <c r="N1599" s="130" t="s">
        <v>120</v>
      </c>
      <c r="O1599" s="130" t="s">
        <v>1860</v>
      </c>
      <c r="P1599" s="130" t="s">
        <v>1861</v>
      </c>
      <c r="Q1599" s="130" t="s">
        <v>1127</v>
      </c>
      <c r="R1599" s="130" t="s">
        <v>1191</v>
      </c>
      <c r="S1599" s="130" t="s">
        <v>1191</v>
      </c>
      <c r="T1599" s="130" t="s">
        <v>1847</v>
      </c>
      <c r="U1599" s="130">
        <v>198861</v>
      </c>
      <c r="V1599" s="131">
        <v>0</v>
      </c>
      <c r="W1599" s="131">
        <v>198861</v>
      </c>
      <c r="X1599" s="131">
        <v>198861</v>
      </c>
      <c r="Y1599" s="131">
        <v>0</v>
      </c>
      <c r="Z1599" s="131">
        <v>198861</v>
      </c>
      <c r="AA1599" s="131">
        <v>0</v>
      </c>
      <c r="AB1599" s="131">
        <v>142689.26</v>
      </c>
      <c r="AC1599" s="131">
        <v>56171.739999999991</v>
      </c>
      <c r="AD1599" s="131">
        <v>142689.26</v>
      </c>
      <c r="AE1599" s="132">
        <v>56171.739999999991</v>
      </c>
    </row>
    <row r="1600" spans="1:31" x14ac:dyDescent="0.2">
      <c r="A1600" s="133">
        <v>289</v>
      </c>
      <c r="B1600" s="133" t="s">
        <v>1841</v>
      </c>
      <c r="C1600" s="133" t="s">
        <v>1199</v>
      </c>
      <c r="D1600" s="133" t="s">
        <v>2101</v>
      </c>
      <c r="E1600" s="133" t="s">
        <v>1201</v>
      </c>
      <c r="F1600" s="133" t="s">
        <v>1117</v>
      </c>
      <c r="G1600" s="133" t="s">
        <v>1276</v>
      </c>
      <c r="H1600" s="133" t="s">
        <v>1277</v>
      </c>
      <c r="I1600" s="130" t="s">
        <v>1285</v>
      </c>
      <c r="J1600" s="130" t="s">
        <v>1286</v>
      </c>
      <c r="K1600" s="130" t="s">
        <v>1287</v>
      </c>
      <c r="L1600" s="130" t="s">
        <v>2102</v>
      </c>
      <c r="M1600" s="130" t="s">
        <v>1925</v>
      </c>
      <c r="N1600" s="130" t="s">
        <v>120</v>
      </c>
      <c r="O1600" s="130" t="s">
        <v>1860</v>
      </c>
      <c r="P1600" s="130" t="s">
        <v>1861</v>
      </c>
      <c r="Q1600" s="130" t="s">
        <v>1127</v>
      </c>
      <c r="R1600" s="130" t="s">
        <v>1191</v>
      </c>
      <c r="S1600" s="130" t="s">
        <v>1191</v>
      </c>
      <c r="T1600" s="130" t="s">
        <v>1847</v>
      </c>
      <c r="U1600" s="130">
        <v>59141</v>
      </c>
      <c r="V1600" s="131">
        <v>6000</v>
      </c>
      <c r="W1600" s="131">
        <v>65141</v>
      </c>
      <c r="X1600" s="131">
        <v>65141</v>
      </c>
      <c r="Y1600" s="131">
        <v>0</v>
      </c>
      <c r="Z1600" s="131">
        <v>64747.27</v>
      </c>
      <c r="AA1600" s="131">
        <v>393.7300000000032</v>
      </c>
      <c r="AB1600" s="131">
        <v>26232.000000000004</v>
      </c>
      <c r="AC1600" s="131">
        <v>38909</v>
      </c>
      <c r="AD1600" s="131">
        <v>26232.000000000004</v>
      </c>
      <c r="AE1600" s="132">
        <v>38909</v>
      </c>
    </row>
    <row r="1601" spans="1:31" x14ac:dyDescent="0.2">
      <c r="A1601" s="133">
        <v>289</v>
      </c>
      <c r="B1601" s="133" t="s">
        <v>1841</v>
      </c>
      <c r="C1601" s="133" t="s">
        <v>1199</v>
      </c>
      <c r="D1601" s="133" t="s">
        <v>2101</v>
      </c>
      <c r="E1601" s="133" t="s">
        <v>1201</v>
      </c>
      <c r="F1601" s="133" t="s">
        <v>1117</v>
      </c>
      <c r="G1601" s="133" t="s">
        <v>1276</v>
      </c>
      <c r="H1601" s="133" t="s">
        <v>1277</v>
      </c>
      <c r="I1601" s="130" t="s">
        <v>1288</v>
      </c>
      <c r="J1601" s="130" t="s">
        <v>1289</v>
      </c>
      <c r="K1601" s="130" t="s">
        <v>1290</v>
      </c>
      <c r="L1601" s="130" t="s">
        <v>2102</v>
      </c>
      <c r="M1601" s="130" t="s">
        <v>1925</v>
      </c>
      <c r="N1601" s="130" t="s">
        <v>120</v>
      </c>
      <c r="O1601" s="130" t="s">
        <v>1860</v>
      </c>
      <c r="P1601" s="130" t="s">
        <v>1861</v>
      </c>
      <c r="Q1601" s="130" t="s">
        <v>1127</v>
      </c>
      <c r="R1601" s="130" t="s">
        <v>1191</v>
      </c>
      <c r="S1601" s="130" t="s">
        <v>1191</v>
      </c>
      <c r="T1601" s="130" t="s">
        <v>1847</v>
      </c>
      <c r="U1601" s="130">
        <v>7800</v>
      </c>
      <c r="V1601" s="131">
        <v>0</v>
      </c>
      <c r="W1601" s="131">
        <v>7800</v>
      </c>
      <c r="X1601" s="131">
        <v>7800</v>
      </c>
      <c r="Y1601" s="131">
        <v>0</v>
      </c>
      <c r="Z1601" s="131">
        <v>7800</v>
      </c>
      <c r="AA1601" s="131">
        <v>0</v>
      </c>
      <c r="AB1601" s="131">
        <v>0</v>
      </c>
      <c r="AC1601" s="131">
        <v>7800</v>
      </c>
      <c r="AD1601" s="131">
        <v>0</v>
      </c>
      <c r="AE1601" s="132">
        <v>7800</v>
      </c>
    </row>
    <row r="1602" spans="1:31" x14ac:dyDescent="0.2">
      <c r="A1602" s="133">
        <v>289</v>
      </c>
      <c r="B1602" s="133" t="s">
        <v>1841</v>
      </c>
      <c r="C1602" s="133" t="s">
        <v>1199</v>
      </c>
      <c r="D1602" s="133" t="s">
        <v>2101</v>
      </c>
      <c r="E1602" s="133" t="s">
        <v>1201</v>
      </c>
      <c r="F1602" s="133" t="s">
        <v>1117</v>
      </c>
      <c r="G1602" s="133" t="s">
        <v>1276</v>
      </c>
      <c r="H1602" s="133" t="s">
        <v>1277</v>
      </c>
      <c r="I1602" s="133" t="s">
        <v>1288</v>
      </c>
      <c r="J1602" s="133" t="s">
        <v>1289</v>
      </c>
      <c r="K1602" s="130" t="s">
        <v>1291</v>
      </c>
      <c r="L1602" s="130" t="s">
        <v>2102</v>
      </c>
      <c r="M1602" s="130" t="s">
        <v>1925</v>
      </c>
      <c r="N1602" s="130" t="s">
        <v>120</v>
      </c>
      <c r="O1602" s="130" t="s">
        <v>1860</v>
      </c>
      <c r="P1602" s="130" t="s">
        <v>1861</v>
      </c>
      <c r="Q1602" s="130" t="s">
        <v>1127</v>
      </c>
      <c r="R1602" s="130" t="s">
        <v>1191</v>
      </c>
      <c r="S1602" s="130" t="s">
        <v>1191</v>
      </c>
      <c r="T1602" s="130" t="s">
        <v>1847</v>
      </c>
      <c r="U1602" s="130">
        <v>5200</v>
      </c>
      <c r="V1602" s="131">
        <v>0</v>
      </c>
      <c r="W1602" s="131">
        <v>5200</v>
      </c>
      <c r="X1602" s="131">
        <v>5200</v>
      </c>
      <c r="Y1602" s="131">
        <v>0</v>
      </c>
      <c r="Z1602" s="131">
        <v>5200</v>
      </c>
      <c r="AA1602" s="131">
        <v>0</v>
      </c>
      <c r="AB1602" s="131">
        <v>2933.34</v>
      </c>
      <c r="AC1602" s="131">
        <v>2266.66</v>
      </c>
      <c r="AD1602" s="131">
        <v>2933.34</v>
      </c>
      <c r="AE1602" s="132">
        <v>2266.66</v>
      </c>
    </row>
    <row r="1603" spans="1:31" x14ac:dyDescent="0.2">
      <c r="A1603" s="133">
        <v>289</v>
      </c>
      <c r="B1603" s="133" t="s">
        <v>1841</v>
      </c>
      <c r="C1603" s="133" t="s">
        <v>1199</v>
      </c>
      <c r="D1603" s="133" t="s">
        <v>2101</v>
      </c>
      <c r="E1603" s="133" t="s">
        <v>1201</v>
      </c>
      <c r="F1603" s="133" t="s">
        <v>1117</v>
      </c>
      <c r="G1603" s="133" t="s">
        <v>1276</v>
      </c>
      <c r="H1603" s="133" t="s">
        <v>1277</v>
      </c>
      <c r="I1603" s="133" t="s">
        <v>1288</v>
      </c>
      <c r="J1603" s="133" t="s">
        <v>1289</v>
      </c>
      <c r="K1603" s="130" t="s">
        <v>1292</v>
      </c>
      <c r="L1603" s="130" t="s">
        <v>2102</v>
      </c>
      <c r="M1603" s="130" t="s">
        <v>1925</v>
      </c>
      <c r="N1603" s="130" t="s">
        <v>120</v>
      </c>
      <c r="O1603" s="130" t="s">
        <v>1860</v>
      </c>
      <c r="P1603" s="130" t="s">
        <v>1861</v>
      </c>
      <c r="Q1603" s="130" t="s">
        <v>1127</v>
      </c>
      <c r="R1603" s="130" t="s">
        <v>1191</v>
      </c>
      <c r="S1603" s="130" t="s">
        <v>1191</v>
      </c>
      <c r="T1603" s="130" t="s">
        <v>1847</v>
      </c>
      <c r="U1603" s="130">
        <v>1200</v>
      </c>
      <c r="V1603" s="131">
        <v>0</v>
      </c>
      <c r="W1603" s="131">
        <v>1200</v>
      </c>
      <c r="X1603" s="131">
        <v>1200</v>
      </c>
      <c r="Y1603" s="131">
        <v>0</v>
      </c>
      <c r="Z1603" s="131">
        <v>1200</v>
      </c>
      <c r="AA1603" s="131">
        <v>0</v>
      </c>
      <c r="AB1603" s="131">
        <v>0</v>
      </c>
      <c r="AC1603" s="131">
        <v>1200</v>
      </c>
      <c r="AD1603" s="131">
        <v>0</v>
      </c>
      <c r="AE1603" s="132">
        <v>1200</v>
      </c>
    </row>
    <row r="1604" spans="1:31" x14ac:dyDescent="0.2">
      <c r="A1604" s="133">
        <v>289</v>
      </c>
      <c r="B1604" s="133" t="s">
        <v>1841</v>
      </c>
      <c r="C1604" s="133" t="s">
        <v>1199</v>
      </c>
      <c r="D1604" s="133" t="s">
        <v>2101</v>
      </c>
      <c r="E1604" s="133" t="s">
        <v>1201</v>
      </c>
      <c r="F1604" s="133" t="s">
        <v>1117</v>
      </c>
      <c r="G1604" s="133" t="s">
        <v>1276</v>
      </c>
      <c r="H1604" s="130" t="s">
        <v>1293</v>
      </c>
      <c r="I1604" s="130" t="s">
        <v>1294</v>
      </c>
      <c r="J1604" s="130" t="s">
        <v>1295</v>
      </c>
      <c r="K1604" s="130" t="s">
        <v>1296</v>
      </c>
      <c r="L1604" s="130" t="s">
        <v>2102</v>
      </c>
      <c r="M1604" s="130" t="s">
        <v>1925</v>
      </c>
      <c r="N1604" s="130" t="s">
        <v>120</v>
      </c>
      <c r="O1604" s="130" t="s">
        <v>1860</v>
      </c>
      <c r="P1604" s="130" t="s">
        <v>1861</v>
      </c>
      <c r="Q1604" s="130" t="s">
        <v>1127</v>
      </c>
      <c r="R1604" s="130" t="s">
        <v>1191</v>
      </c>
      <c r="S1604" s="130" t="s">
        <v>1191</v>
      </c>
      <c r="T1604" s="130" t="s">
        <v>1847</v>
      </c>
      <c r="U1604" s="130">
        <v>3960</v>
      </c>
      <c r="V1604" s="131">
        <v>0</v>
      </c>
      <c r="W1604" s="131">
        <v>3960</v>
      </c>
      <c r="X1604" s="131">
        <v>0</v>
      </c>
      <c r="Y1604" s="131">
        <v>3960</v>
      </c>
      <c r="Z1604" s="131">
        <v>0</v>
      </c>
      <c r="AA1604" s="131">
        <v>3960</v>
      </c>
      <c r="AB1604" s="131">
        <v>0</v>
      </c>
      <c r="AC1604" s="131">
        <v>3960</v>
      </c>
      <c r="AD1604" s="131">
        <v>0</v>
      </c>
      <c r="AE1604" s="132">
        <v>3960</v>
      </c>
    </row>
    <row r="1605" spans="1:31" x14ac:dyDescent="0.2">
      <c r="A1605" s="133">
        <v>289</v>
      </c>
      <c r="B1605" s="133" t="s">
        <v>1841</v>
      </c>
      <c r="C1605" s="133" t="s">
        <v>1199</v>
      </c>
      <c r="D1605" s="133" t="s">
        <v>2101</v>
      </c>
      <c r="E1605" s="133" t="s">
        <v>1201</v>
      </c>
      <c r="F1605" s="133" t="s">
        <v>1117</v>
      </c>
      <c r="G1605" s="133" t="s">
        <v>1276</v>
      </c>
      <c r="H1605" s="130" t="s">
        <v>1297</v>
      </c>
      <c r="I1605" s="130" t="s">
        <v>1298</v>
      </c>
      <c r="J1605" s="130" t="s">
        <v>1298</v>
      </c>
      <c r="K1605" s="130" t="s">
        <v>1299</v>
      </c>
      <c r="L1605" s="130" t="s">
        <v>2102</v>
      </c>
      <c r="M1605" s="130" t="s">
        <v>1925</v>
      </c>
      <c r="N1605" s="130" t="s">
        <v>120</v>
      </c>
      <c r="O1605" s="130" t="s">
        <v>1860</v>
      </c>
      <c r="P1605" s="130" t="s">
        <v>1861</v>
      </c>
      <c r="Q1605" s="130" t="s">
        <v>1127</v>
      </c>
      <c r="R1605" s="130" t="s">
        <v>1191</v>
      </c>
      <c r="S1605" s="130" t="s">
        <v>1191</v>
      </c>
      <c r="T1605" s="130" t="s">
        <v>1847</v>
      </c>
      <c r="U1605" s="130">
        <v>26000</v>
      </c>
      <c r="V1605" s="131">
        <v>416</v>
      </c>
      <c r="W1605" s="131">
        <v>26416</v>
      </c>
      <c r="X1605" s="131">
        <v>26416</v>
      </c>
      <c r="Y1605" s="131">
        <v>0</v>
      </c>
      <c r="Z1605" s="131">
        <v>26416</v>
      </c>
      <c r="AA1605" s="131">
        <v>0</v>
      </c>
      <c r="AB1605" s="131">
        <v>8456.84</v>
      </c>
      <c r="AC1605" s="131">
        <v>17959.16</v>
      </c>
      <c r="AD1605" s="131">
        <v>8456.84</v>
      </c>
      <c r="AE1605" s="132">
        <v>17959.16</v>
      </c>
    </row>
    <row r="1606" spans="1:31" x14ac:dyDescent="0.2">
      <c r="A1606" s="133">
        <v>289</v>
      </c>
      <c r="B1606" s="133" t="s">
        <v>1841</v>
      </c>
      <c r="C1606" s="133" t="s">
        <v>1199</v>
      </c>
      <c r="D1606" s="133" t="s">
        <v>2101</v>
      </c>
      <c r="E1606" s="133" t="s">
        <v>1201</v>
      </c>
      <c r="F1606" s="133" t="s">
        <v>1117</v>
      </c>
      <c r="G1606" s="133" t="s">
        <v>1276</v>
      </c>
      <c r="H1606" s="133" t="s">
        <v>1297</v>
      </c>
      <c r="I1606" s="133" t="s">
        <v>1298</v>
      </c>
      <c r="J1606" s="133" t="s">
        <v>1298</v>
      </c>
      <c r="K1606" s="130" t="s">
        <v>1300</v>
      </c>
      <c r="L1606" s="130" t="s">
        <v>2102</v>
      </c>
      <c r="M1606" s="130" t="s">
        <v>1925</v>
      </c>
      <c r="N1606" s="130" t="s">
        <v>120</v>
      </c>
      <c r="O1606" s="130" t="s">
        <v>1860</v>
      </c>
      <c r="P1606" s="130" t="s">
        <v>1861</v>
      </c>
      <c r="Q1606" s="130" t="s">
        <v>1127</v>
      </c>
      <c r="R1606" s="130" t="s">
        <v>1191</v>
      </c>
      <c r="S1606" s="130" t="s">
        <v>1191</v>
      </c>
      <c r="T1606" s="130" t="s">
        <v>1847</v>
      </c>
      <c r="U1606" s="130">
        <v>3922</v>
      </c>
      <c r="V1606" s="131">
        <v>441</v>
      </c>
      <c r="W1606" s="131">
        <v>4363</v>
      </c>
      <c r="X1606" s="131">
        <v>4363</v>
      </c>
      <c r="Y1606" s="131">
        <v>0</v>
      </c>
      <c r="Z1606" s="131">
        <v>4363</v>
      </c>
      <c r="AA1606" s="131">
        <v>0</v>
      </c>
      <c r="AB1606" s="131">
        <v>1817.4399999999998</v>
      </c>
      <c r="AC1606" s="131">
        <v>2545.5600000000004</v>
      </c>
      <c r="AD1606" s="131">
        <v>1817.4399999999998</v>
      </c>
      <c r="AE1606" s="132">
        <v>2545.5600000000004</v>
      </c>
    </row>
    <row r="1607" spans="1:31" x14ac:dyDescent="0.2">
      <c r="A1607" s="133">
        <v>289</v>
      </c>
      <c r="B1607" s="133" t="s">
        <v>1841</v>
      </c>
      <c r="C1607" s="133" t="s">
        <v>1199</v>
      </c>
      <c r="D1607" s="133" t="s">
        <v>2101</v>
      </c>
      <c r="E1607" s="133" t="s">
        <v>1201</v>
      </c>
      <c r="F1607" s="133" t="s">
        <v>1117</v>
      </c>
      <c r="G1607" s="133" t="s">
        <v>1276</v>
      </c>
      <c r="H1607" s="130" t="s">
        <v>1514</v>
      </c>
      <c r="I1607" s="130" t="s">
        <v>1515</v>
      </c>
      <c r="J1607" s="130" t="s">
        <v>1515</v>
      </c>
      <c r="K1607" s="130" t="s">
        <v>1518</v>
      </c>
      <c r="L1607" s="130" t="s">
        <v>2102</v>
      </c>
      <c r="M1607" s="130" t="s">
        <v>1925</v>
      </c>
      <c r="N1607" s="130" t="s">
        <v>120</v>
      </c>
      <c r="O1607" s="130" t="s">
        <v>1860</v>
      </c>
      <c r="P1607" s="130" t="s">
        <v>1861</v>
      </c>
      <c r="Q1607" s="130" t="s">
        <v>1127</v>
      </c>
      <c r="R1607" s="130" t="s">
        <v>1191</v>
      </c>
      <c r="S1607" s="130" t="s">
        <v>1191</v>
      </c>
      <c r="T1607" s="130" t="s">
        <v>1847</v>
      </c>
      <c r="U1607" s="130">
        <v>0</v>
      </c>
      <c r="V1607" s="131">
        <v>3598</v>
      </c>
      <c r="W1607" s="131">
        <v>3598</v>
      </c>
      <c r="X1607" s="131">
        <v>3597.32</v>
      </c>
      <c r="Y1607" s="131">
        <v>0.67999999999983629</v>
      </c>
      <c r="Z1607" s="131">
        <v>3597.32</v>
      </c>
      <c r="AA1607" s="131">
        <v>0.67999999999983629</v>
      </c>
      <c r="AB1607" s="131">
        <v>3597.32</v>
      </c>
      <c r="AC1607" s="131">
        <v>0.67999999999983629</v>
      </c>
      <c r="AD1607" s="131">
        <v>3597.32</v>
      </c>
      <c r="AE1607" s="132">
        <v>0.67999999999983629</v>
      </c>
    </row>
    <row r="1608" spans="1:31" x14ac:dyDescent="0.2">
      <c r="A1608" s="133">
        <v>289</v>
      </c>
      <c r="B1608" s="133" t="s">
        <v>1841</v>
      </c>
      <c r="C1608" s="133" t="s">
        <v>1199</v>
      </c>
      <c r="D1608" s="133" t="s">
        <v>2101</v>
      </c>
      <c r="E1608" s="133" t="s">
        <v>1201</v>
      </c>
      <c r="F1608" s="133" t="s">
        <v>1117</v>
      </c>
      <c r="G1608" s="130" t="s">
        <v>1202</v>
      </c>
      <c r="H1608" s="130" t="s">
        <v>1216</v>
      </c>
      <c r="I1608" s="130" t="s">
        <v>1301</v>
      </c>
      <c r="J1608" s="130" t="s">
        <v>1301</v>
      </c>
      <c r="K1608" s="130" t="s">
        <v>1302</v>
      </c>
      <c r="L1608" s="130" t="s">
        <v>2102</v>
      </c>
      <c r="M1608" s="130" t="s">
        <v>1925</v>
      </c>
      <c r="N1608" s="130" t="s">
        <v>120</v>
      </c>
      <c r="O1608" s="130" t="s">
        <v>1860</v>
      </c>
      <c r="P1608" s="130" t="s">
        <v>1861</v>
      </c>
      <c r="Q1608" s="130" t="s">
        <v>1127</v>
      </c>
      <c r="R1608" s="130" t="s">
        <v>1191</v>
      </c>
      <c r="S1608" s="130" t="s">
        <v>1191</v>
      </c>
      <c r="T1608" s="130" t="s">
        <v>1847</v>
      </c>
      <c r="U1608" s="130">
        <v>16200</v>
      </c>
      <c r="V1608" s="131">
        <v>450</v>
      </c>
      <c r="W1608" s="131">
        <v>16650</v>
      </c>
      <c r="X1608" s="131">
        <v>12800</v>
      </c>
      <c r="Y1608" s="131">
        <v>3850</v>
      </c>
      <c r="Z1608" s="131">
        <v>12800</v>
      </c>
      <c r="AA1608" s="131">
        <v>3850</v>
      </c>
      <c r="AB1608" s="131">
        <v>12800</v>
      </c>
      <c r="AC1608" s="131">
        <v>3850</v>
      </c>
      <c r="AD1608" s="131">
        <v>12800</v>
      </c>
      <c r="AE1608" s="132">
        <v>3850</v>
      </c>
    </row>
    <row r="1609" spans="1:31" x14ac:dyDescent="0.2">
      <c r="A1609" s="133">
        <v>289</v>
      </c>
      <c r="B1609" s="133" t="s">
        <v>1841</v>
      </c>
      <c r="C1609" s="133" t="s">
        <v>1199</v>
      </c>
      <c r="D1609" s="133" t="s">
        <v>2101</v>
      </c>
      <c r="E1609" s="133" t="s">
        <v>1201</v>
      </c>
      <c r="F1609" s="133" t="s">
        <v>1117</v>
      </c>
      <c r="G1609" s="133" t="s">
        <v>1202</v>
      </c>
      <c r="H1609" s="133" t="s">
        <v>1216</v>
      </c>
      <c r="I1609" s="130" t="s">
        <v>1217</v>
      </c>
      <c r="J1609" s="130" t="s">
        <v>1218</v>
      </c>
      <c r="K1609" s="130" t="s">
        <v>1219</v>
      </c>
      <c r="L1609" s="130" t="s">
        <v>2102</v>
      </c>
      <c r="M1609" s="130" t="s">
        <v>1925</v>
      </c>
      <c r="N1609" s="130" t="s">
        <v>120</v>
      </c>
      <c r="O1609" s="130" t="s">
        <v>1860</v>
      </c>
      <c r="P1609" s="130" t="s">
        <v>1861</v>
      </c>
      <c r="Q1609" s="130" t="s">
        <v>1127</v>
      </c>
      <c r="R1609" s="130" t="s">
        <v>1191</v>
      </c>
      <c r="S1609" s="130" t="s">
        <v>1191</v>
      </c>
      <c r="T1609" s="130" t="s">
        <v>1847</v>
      </c>
      <c r="U1609" s="130">
        <v>0</v>
      </c>
      <c r="V1609" s="131">
        <v>5473</v>
      </c>
      <c r="W1609" s="131">
        <v>5473</v>
      </c>
      <c r="X1609" s="131">
        <v>3677.5</v>
      </c>
      <c r="Y1609" s="131">
        <v>1795.5</v>
      </c>
      <c r="Z1609" s="131">
        <v>3677.5</v>
      </c>
      <c r="AA1609" s="131">
        <v>1795.5</v>
      </c>
      <c r="AB1609" s="131">
        <v>3677.5</v>
      </c>
      <c r="AC1609" s="131">
        <v>1795.5</v>
      </c>
      <c r="AD1609" s="131">
        <v>0</v>
      </c>
      <c r="AE1609" s="132">
        <v>5473</v>
      </c>
    </row>
    <row r="1610" spans="1:31" x14ac:dyDescent="0.2">
      <c r="A1610" s="133">
        <v>289</v>
      </c>
      <c r="B1610" s="133" t="s">
        <v>1841</v>
      </c>
      <c r="C1610" s="133" t="s">
        <v>1199</v>
      </c>
      <c r="D1610" s="133" t="s">
        <v>2101</v>
      </c>
      <c r="E1610" s="133" t="s">
        <v>1201</v>
      </c>
      <c r="F1610" s="133" t="s">
        <v>1117</v>
      </c>
      <c r="G1610" s="133" t="s">
        <v>1202</v>
      </c>
      <c r="H1610" s="133" t="s">
        <v>1216</v>
      </c>
      <c r="I1610" s="130" t="s">
        <v>1242</v>
      </c>
      <c r="J1610" s="130" t="s">
        <v>1243</v>
      </c>
      <c r="K1610" s="130" t="s">
        <v>1303</v>
      </c>
      <c r="L1610" s="130" t="s">
        <v>2102</v>
      </c>
      <c r="M1610" s="130" t="s">
        <v>1925</v>
      </c>
      <c r="N1610" s="130" t="s">
        <v>120</v>
      </c>
      <c r="O1610" s="130" t="s">
        <v>1860</v>
      </c>
      <c r="P1610" s="130" t="s">
        <v>1861</v>
      </c>
      <c r="Q1610" s="130" t="s">
        <v>1127</v>
      </c>
      <c r="R1610" s="130" t="s">
        <v>1191</v>
      </c>
      <c r="S1610" s="130" t="s">
        <v>1191</v>
      </c>
      <c r="T1610" s="130" t="s">
        <v>1847</v>
      </c>
      <c r="U1610" s="130">
        <v>16000</v>
      </c>
      <c r="V1610" s="131">
        <v>-3428</v>
      </c>
      <c r="W1610" s="131">
        <v>12572</v>
      </c>
      <c r="X1610" s="131">
        <v>12571.2</v>
      </c>
      <c r="Y1610" s="131">
        <v>0.7999999999992724</v>
      </c>
      <c r="Z1610" s="131">
        <v>12571.2</v>
      </c>
      <c r="AA1610" s="131">
        <v>0.7999999999992724</v>
      </c>
      <c r="AB1610" s="131">
        <v>12571.2</v>
      </c>
      <c r="AC1610" s="131">
        <v>0.7999999999992724</v>
      </c>
      <c r="AD1610" s="131">
        <v>0</v>
      </c>
      <c r="AE1610" s="132">
        <v>12572</v>
      </c>
    </row>
    <row r="1611" spans="1:31" x14ac:dyDescent="0.2">
      <c r="A1611" s="133">
        <v>289</v>
      </c>
      <c r="B1611" s="133" t="s">
        <v>1841</v>
      </c>
      <c r="C1611" s="133" t="s">
        <v>1199</v>
      </c>
      <c r="D1611" s="133" t="s">
        <v>2101</v>
      </c>
      <c r="E1611" s="133" t="s">
        <v>1201</v>
      </c>
      <c r="F1611" s="133" t="s">
        <v>1117</v>
      </c>
      <c r="G1611" s="133" t="s">
        <v>1202</v>
      </c>
      <c r="H1611" s="133" t="s">
        <v>1216</v>
      </c>
      <c r="I1611" s="133" t="s">
        <v>1242</v>
      </c>
      <c r="J1611" s="133" t="s">
        <v>1243</v>
      </c>
      <c r="K1611" s="130" t="s">
        <v>1244</v>
      </c>
      <c r="L1611" s="130" t="s">
        <v>2102</v>
      </c>
      <c r="M1611" s="130" t="s">
        <v>1925</v>
      </c>
      <c r="N1611" s="130" t="s">
        <v>120</v>
      </c>
      <c r="O1611" s="130" t="s">
        <v>1860</v>
      </c>
      <c r="P1611" s="130" t="s">
        <v>1861</v>
      </c>
      <c r="Q1611" s="130" t="s">
        <v>1127</v>
      </c>
      <c r="R1611" s="130" t="s">
        <v>1191</v>
      </c>
      <c r="S1611" s="130" t="s">
        <v>1191</v>
      </c>
      <c r="T1611" s="130" t="s">
        <v>1847</v>
      </c>
      <c r="U1611" s="130">
        <v>5000</v>
      </c>
      <c r="V1611" s="131">
        <v>-2400</v>
      </c>
      <c r="W1611" s="131">
        <v>2600</v>
      </c>
      <c r="X1611" s="131">
        <v>0</v>
      </c>
      <c r="Y1611" s="131">
        <v>2600</v>
      </c>
      <c r="Z1611" s="131">
        <v>0</v>
      </c>
      <c r="AA1611" s="131">
        <v>2600</v>
      </c>
      <c r="AB1611" s="131">
        <v>0</v>
      </c>
      <c r="AC1611" s="131">
        <v>2600</v>
      </c>
      <c r="AD1611" s="131">
        <v>0</v>
      </c>
      <c r="AE1611" s="132">
        <v>2600</v>
      </c>
    </row>
    <row r="1612" spans="1:31" x14ac:dyDescent="0.2">
      <c r="A1612" s="133">
        <v>289</v>
      </c>
      <c r="B1612" s="133" t="s">
        <v>1841</v>
      </c>
      <c r="C1612" s="133" t="s">
        <v>1199</v>
      </c>
      <c r="D1612" s="133" t="s">
        <v>2101</v>
      </c>
      <c r="E1612" s="133" t="s">
        <v>1201</v>
      </c>
      <c r="F1612" s="133" t="s">
        <v>1117</v>
      </c>
      <c r="G1612" s="133" t="s">
        <v>1202</v>
      </c>
      <c r="H1612" s="133" t="s">
        <v>1216</v>
      </c>
      <c r="I1612" s="130" t="s">
        <v>1222</v>
      </c>
      <c r="J1612" s="130" t="s">
        <v>1304</v>
      </c>
      <c r="K1612" s="130" t="s">
        <v>1248</v>
      </c>
      <c r="L1612" s="130" t="s">
        <v>2102</v>
      </c>
      <c r="M1612" s="130" t="s">
        <v>1925</v>
      </c>
      <c r="N1612" s="130" t="s">
        <v>120</v>
      </c>
      <c r="O1612" s="130" t="s">
        <v>1860</v>
      </c>
      <c r="P1612" s="130" t="s">
        <v>1861</v>
      </c>
      <c r="Q1612" s="130" t="s">
        <v>1127</v>
      </c>
      <c r="R1612" s="130" t="s">
        <v>1191</v>
      </c>
      <c r="S1612" s="130" t="s">
        <v>1191</v>
      </c>
      <c r="T1612" s="130" t="s">
        <v>1847</v>
      </c>
      <c r="U1612" s="130">
        <v>3000</v>
      </c>
      <c r="V1612" s="131">
        <v>1000</v>
      </c>
      <c r="W1612" s="131">
        <v>4000</v>
      </c>
      <c r="X1612" s="131">
        <v>1100</v>
      </c>
      <c r="Y1612" s="131">
        <v>2900</v>
      </c>
      <c r="Z1612" s="131">
        <v>1100</v>
      </c>
      <c r="AA1612" s="131">
        <v>2900</v>
      </c>
      <c r="AB1612" s="131">
        <v>1100</v>
      </c>
      <c r="AC1612" s="131">
        <v>2900</v>
      </c>
      <c r="AD1612" s="131">
        <v>0</v>
      </c>
      <c r="AE1612" s="132">
        <v>4000</v>
      </c>
    </row>
    <row r="1613" spans="1:31" x14ac:dyDescent="0.2">
      <c r="A1613" s="133">
        <v>289</v>
      </c>
      <c r="B1613" s="133" t="s">
        <v>1841</v>
      </c>
      <c r="C1613" s="133" t="s">
        <v>1199</v>
      </c>
      <c r="D1613" s="133" t="s">
        <v>2101</v>
      </c>
      <c r="E1613" s="133" t="s">
        <v>1201</v>
      </c>
      <c r="F1613" s="133" t="s">
        <v>1117</v>
      </c>
      <c r="G1613" s="133" t="s">
        <v>1202</v>
      </c>
      <c r="H1613" s="133" t="s">
        <v>1216</v>
      </c>
      <c r="I1613" s="133" t="s">
        <v>1222</v>
      </c>
      <c r="J1613" s="133" t="s">
        <v>1304</v>
      </c>
      <c r="K1613" s="130" t="s">
        <v>1305</v>
      </c>
      <c r="L1613" s="130" t="s">
        <v>2102</v>
      </c>
      <c r="M1613" s="130" t="s">
        <v>1925</v>
      </c>
      <c r="N1613" s="130" t="s">
        <v>120</v>
      </c>
      <c r="O1613" s="130" t="s">
        <v>1860</v>
      </c>
      <c r="P1613" s="130" t="s">
        <v>1861</v>
      </c>
      <c r="Q1613" s="130" t="s">
        <v>1127</v>
      </c>
      <c r="R1613" s="130" t="s">
        <v>1191</v>
      </c>
      <c r="S1613" s="130" t="s">
        <v>1191</v>
      </c>
      <c r="T1613" s="130" t="s">
        <v>1847</v>
      </c>
      <c r="U1613" s="130">
        <v>12000</v>
      </c>
      <c r="V1613" s="131">
        <v>9146</v>
      </c>
      <c r="W1613" s="131">
        <v>21146</v>
      </c>
      <c r="X1613" s="131">
        <v>8247.4</v>
      </c>
      <c r="Y1613" s="131">
        <v>12898.6</v>
      </c>
      <c r="Z1613" s="131">
        <v>8247.4</v>
      </c>
      <c r="AA1613" s="131">
        <v>12898.6</v>
      </c>
      <c r="AB1613" s="131">
        <v>8247.4000000000015</v>
      </c>
      <c r="AC1613" s="131">
        <v>12898.599999999999</v>
      </c>
      <c r="AD1613" s="131">
        <v>5580.6</v>
      </c>
      <c r="AE1613" s="132">
        <v>15565.4</v>
      </c>
    </row>
    <row r="1614" spans="1:31" x14ac:dyDescent="0.2">
      <c r="A1614" s="133">
        <v>289</v>
      </c>
      <c r="B1614" s="133" t="s">
        <v>1841</v>
      </c>
      <c r="C1614" s="133" t="s">
        <v>1199</v>
      </c>
      <c r="D1614" s="133" t="s">
        <v>2101</v>
      </c>
      <c r="E1614" s="133" t="s">
        <v>1201</v>
      </c>
      <c r="F1614" s="133" t="s">
        <v>1117</v>
      </c>
      <c r="G1614" s="133" t="s">
        <v>1202</v>
      </c>
      <c r="H1614" s="133" t="s">
        <v>1216</v>
      </c>
      <c r="I1614" s="133" t="s">
        <v>1222</v>
      </c>
      <c r="J1614" s="130" t="s">
        <v>1245</v>
      </c>
      <c r="K1614" s="130" t="s">
        <v>1246</v>
      </c>
      <c r="L1614" s="130" t="s">
        <v>2102</v>
      </c>
      <c r="M1614" s="130" t="s">
        <v>1925</v>
      </c>
      <c r="N1614" s="130" t="s">
        <v>120</v>
      </c>
      <c r="O1614" s="130" t="s">
        <v>1860</v>
      </c>
      <c r="P1614" s="130" t="s">
        <v>1861</v>
      </c>
      <c r="Q1614" s="130" t="s">
        <v>1127</v>
      </c>
      <c r="R1614" s="130" t="s">
        <v>1191</v>
      </c>
      <c r="S1614" s="130" t="s">
        <v>1191</v>
      </c>
      <c r="T1614" s="130" t="s">
        <v>1847</v>
      </c>
      <c r="U1614" s="130">
        <v>800</v>
      </c>
      <c r="V1614" s="131">
        <v>882</v>
      </c>
      <c r="W1614" s="131">
        <v>1682</v>
      </c>
      <c r="X1614" s="131">
        <v>781.5</v>
      </c>
      <c r="Y1614" s="131">
        <v>900.5</v>
      </c>
      <c r="Z1614" s="131">
        <v>781.5</v>
      </c>
      <c r="AA1614" s="131">
        <v>900.5</v>
      </c>
      <c r="AB1614" s="131">
        <v>781.5</v>
      </c>
      <c r="AC1614" s="131">
        <v>900.5</v>
      </c>
      <c r="AD1614" s="131">
        <v>781.5</v>
      </c>
      <c r="AE1614" s="132">
        <v>900.5</v>
      </c>
    </row>
    <row r="1615" spans="1:31" x14ac:dyDescent="0.2">
      <c r="A1615" s="133">
        <v>289</v>
      </c>
      <c r="B1615" s="133" t="s">
        <v>1841</v>
      </c>
      <c r="C1615" s="133" t="s">
        <v>1199</v>
      </c>
      <c r="D1615" s="133" t="s">
        <v>2101</v>
      </c>
      <c r="E1615" s="133" t="s">
        <v>1201</v>
      </c>
      <c r="F1615" s="133" t="s">
        <v>1117</v>
      </c>
      <c r="G1615" s="133" t="s">
        <v>1202</v>
      </c>
      <c r="H1615" s="133" t="s">
        <v>1216</v>
      </c>
      <c r="I1615" s="130" t="s">
        <v>1247</v>
      </c>
      <c r="J1615" s="130" t="s">
        <v>1248</v>
      </c>
      <c r="K1615" s="130" t="s">
        <v>1249</v>
      </c>
      <c r="L1615" s="130" t="s">
        <v>2102</v>
      </c>
      <c r="M1615" s="130" t="s">
        <v>1925</v>
      </c>
      <c r="N1615" s="130" t="s">
        <v>120</v>
      </c>
      <c r="O1615" s="130" t="s">
        <v>1860</v>
      </c>
      <c r="P1615" s="130" t="s">
        <v>1861</v>
      </c>
      <c r="Q1615" s="130" t="s">
        <v>1127</v>
      </c>
      <c r="R1615" s="130" t="s">
        <v>1191</v>
      </c>
      <c r="S1615" s="130" t="s">
        <v>1191</v>
      </c>
      <c r="T1615" s="130" t="s">
        <v>1847</v>
      </c>
      <c r="U1615" s="130">
        <v>3000</v>
      </c>
      <c r="V1615" s="131">
        <v>0</v>
      </c>
      <c r="W1615" s="131">
        <v>3000</v>
      </c>
      <c r="X1615" s="131">
        <v>0</v>
      </c>
      <c r="Y1615" s="131">
        <v>3000</v>
      </c>
      <c r="Z1615" s="131">
        <v>0</v>
      </c>
      <c r="AA1615" s="131">
        <v>3000</v>
      </c>
      <c r="AB1615" s="131">
        <v>0</v>
      </c>
      <c r="AC1615" s="131">
        <v>3000</v>
      </c>
      <c r="AD1615" s="131">
        <v>0</v>
      </c>
      <c r="AE1615" s="132">
        <v>3000</v>
      </c>
    </row>
    <row r="1616" spans="1:31" x14ac:dyDescent="0.2">
      <c r="A1616" s="133">
        <v>289</v>
      </c>
      <c r="B1616" s="133" t="s">
        <v>1841</v>
      </c>
      <c r="C1616" s="133" t="s">
        <v>1199</v>
      </c>
      <c r="D1616" s="133" t="s">
        <v>2101</v>
      </c>
      <c r="E1616" s="133" t="s">
        <v>1201</v>
      </c>
      <c r="F1616" s="133" t="s">
        <v>1117</v>
      </c>
      <c r="G1616" s="133" t="s">
        <v>1202</v>
      </c>
      <c r="H1616" s="133" t="s">
        <v>1216</v>
      </c>
      <c r="I1616" s="130" t="s">
        <v>1252</v>
      </c>
      <c r="J1616" s="130" t="s">
        <v>1253</v>
      </c>
      <c r="K1616" s="130" t="s">
        <v>1899</v>
      </c>
      <c r="L1616" s="130" t="s">
        <v>2102</v>
      </c>
      <c r="M1616" s="130" t="s">
        <v>1925</v>
      </c>
      <c r="N1616" s="130" t="s">
        <v>120</v>
      </c>
      <c r="O1616" s="130" t="s">
        <v>1860</v>
      </c>
      <c r="P1616" s="130" t="s">
        <v>1861</v>
      </c>
      <c r="Q1616" s="130" t="s">
        <v>1127</v>
      </c>
      <c r="R1616" s="130" t="s">
        <v>1191</v>
      </c>
      <c r="S1616" s="130" t="s">
        <v>1191</v>
      </c>
      <c r="T1616" s="130" t="s">
        <v>1847</v>
      </c>
      <c r="U1616" s="130">
        <v>1500</v>
      </c>
      <c r="V1616" s="131">
        <v>0</v>
      </c>
      <c r="W1616" s="131">
        <v>1500</v>
      </c>
      <c r="X1616" s="131">
        <v>0</v>
      </c>
      <c r="Y1616" s="131">
        <v>1500</v>
      </c>
      <c r="Z1616" s="131">
        <v>0</v>
      </c>
      <c r="AA1616" s="131">
        <v>1500</v>
      </c>
      <c r="AB1616" s="131">
        <v>0</v>
      </c>
      <c r="AC1616" s="131">
        <v>1500</v>
      </c>
      <c r="AD1616" s="131">
        <v>0</v>
      </c>
      <c r="AE1616" s="132">
        <v>1500</v>
      </c>
    </row>
    <row r="1617" spans="1:31" x14ac:dyDescent="0.2">
      <c r="A1617" s="133">
        <v>289</v>
      </c>
      <c r="B1617" s="133" t="s">
        <v>1841</v>
      </c>
      <c r="C1617" s="133" t="s">
        <v>1199</v>
      </c>
      <c r="D1617" s="133" t="s">
        <v>2101</v>
      </c>
      <c r="E1617" s="133" t="s">
        <v>1201</v>
      </c>
      <c r="F1617" s="133" t="s">
        <v>1117</v>
      </c>
      <c r="G1617" s="133" t="s">
        <v>1202</v>
      </c>
      <c r="H1617" s="133" t="s">
        <v>1216</v>
      </c>
      <c r="I1617" s="133" t="s">
        <v>1252</v>
      </c>
      <c r="J1617" s="133" t="s">
        <v>1253</v>
      </c>
      <c r="K1617" s="130" t="s">
        <v>1254</v>
      </c>
      <c r="L1617" s="130" t="s">
        <v>2102</v>
      </c>
      <c r="M1617" s="130" t="s">
        <v>1925</v>
      </c>
      <c r="N1617" s="130" t="s">
        <v>120</v>
      </c>
      <c r="O1617" s="130" t="s">
        <v>1860</v>
      </c>
      <c r="P1617" s="130" t="s">
        <v>1861</v>
      </c>
      <c r="Q1617" s="130" t="s">
        <v>1127</v>
      </c>
      <c r="R1617" s="130" t="s">
        <v>1191</v>
      </c>
      <c r="S1617" s="130" t="s">
        <v>1191</v>
      </c>
      <c r="T1617" s="130" t="s">
        <v>1847</v>
      </c>
      <c r="U1617" s="130">
        <v>0</v>
      </c>
      <c r="V1617" s="131">
        <v>1800</v>
      </c>
      <c r="W1617" s="131">
        <v>1800</v>
      </c>
      <c r="X1617" s="131">
        <v>1774.8</v>
      </c>
      <c r="Y1617" s="131">
        <v>25.200000000000045</v>
      </c>
      <c r="Z1617" s="131">
        <v>1774.8</v>
      </c>
      <c r="AA1617" s="131">
        <v>25.200000000000045</v>
      </c>
      <c r="AB1617" s="131">
        <v>1774.8</v>
      </c>
      <c r="AC1617" s="131">
        <v>25.200000000000045</v>
      </c>
      <c r="AD1617" s="131">
        <v>1000</v>
      </c>
      <c r="AE1617" s="132">
        <v>800</v>
      </c>
    </row>
    <row r="1618" spans="1:31" x14ac:dyDescent="0.2">
      <c r="A1618" s="133">
        <v>289</v>
      </c>
      <c r="B1618" s="133" t="s">
        <v>1841</v>
      </c>
      <c r="C1618" s="133" t="s">
        <v>1199</v>
      </c>
      <c r="D1618" s="133" t="s">
        <v>2101</v>
      </c>
      <c r="E1618" s="133" t="s">
        <v>1201</v>
      </c>
      <c r="F1618" s="133" t="s">
        <v>1117</v>
      </c>
      <c r="G1618" s="133" t="s">
        <v>1202</v>
      </c>
      <c r="H1618" s="130" t="s">
        <v>1203</v>
      </c>
      <c r="I1618" s="130" t="s">
        <v>1204</v>
      </c>
      <c r="J1618" s="130" t="s">
        <v>1205</v>
      </c>
      <c r="K1618" s="130" t="s">
        <v>1255</v>
      </c>
      <c r="L1618" s="130" t="s">
        <v>2102</v>
      </c>
      <c r="M1618" s="130" t="s">
        <v>1925</v>
      </c>
      <c r="N1618" s="130" t="s">
        <v>120</v>
      </c>
      <c r="O1618" s="130" t="s">
        <v>1860</v>
      </c>
      <c r="P1618" s="130" t="s">
        <v>1861</v>
      </c>
      <c r="Q1618" s="130" t="s">
        <v>1127</v>
      </c>
      <c r="R1618" s="130" t="s">
        <v>1191</v>
      </c>
      <c r="S1618" s="130" t="s">
        <v>1191</v>
      </c>
      <c r="T1618" s="130" t="s">
        <v>1847</v>
      </c>
      <c r="U1618" s="130">
        <v>5800</v>
      </c>
      <c r="V1618" s="131">
        <v>0</v>
      </c>
      <c r="W1618" s="131">
        <v>5800</v>
      </c>
      <c r="X1618" s="131">
        <v>5800</v>
      </c>
      <c r="Y1618" s="131">
        <v>0</v>
      </c>
      <c r="Z1618" s="131">
        <v>1651.02</v>
      </c>
      <c r="AA1618" s="131">
        <v>4148.9799999999996</v>
      </c>
      <c r="AB1618" s="131">
        <v>1651.02</v>
      </c>
      <c r="AC1618" s="131">
        <v>4148.9799999999996</v>
      </c>
      <c r="AD1618" s="131">
        <v>1651.02</v>
      </c>
      <c r="AE1618" s="132">
        <v>4148.9799999999996</v>
      </c>
    </row>
    <row r="1619" spans="1:31" x14ac:dyDescent="0.2">
      <c r="A1619" s="133">
        <v>289</v>
      </c>
      <c r="B1619" s="133" t="s">
        <v>1841</v>
      </c>
      <c r="C1619" s="133" t="s">
        <v>1199</v>
      </c>
      <c r="D1619" s="133" t="s">
        <v>2101</v>
      </c>
      <c r="E1619" s="133" t="s">
        <v>1201</v>
      </c>
      <c r="F1619" s="133" t="s">
        <v>1117</v>
      </c>
      <c r="G1619" s="133" t="s">
        <v>1202</v>
      </c>
      <c r="H1619" s="133" t="s">
        <v>1203</v>
      </c>
      <c r="I1619" s="133" t="s">
        <v>1204</v>
      </c>
      <c r="J1619" s="133" t="s">
        <v>1205</v>
      </c>
      <c r="K1619" s="130" t="s">
        <v>1256</v>
      </c>
      <c r="L1619" s="130" t="s">
        <v>2102</v>
      </c>
      <c r="M1619" s="130" t="s">
        <v>1925</v>
      </c>
      <c r="N1619" s="130" t="s">
        <v>120</v>
      </c>
      <c r="O1619" s="130" t="s">
        <v>1860</v>
      </c>
      <c r="P1619" s="130" t="s">
        <v>1861</v>
      </c>
      <c r="Q1619" s="130" t="s">
        <v>1127</v>
      </c>
      <c r="R1619" s="130" t="s">
        <v>1191</v>
      </c>
      <c r="S1619" s="130" t="s">
        <v>1191</v>
      </c>
      <c r="T1619" s="130" t="s">
        <v>1847</v>
      </c>
      <c r="U1619" s="130">
        <v>4790</v>
      </c>
      <c r="V1619" s="131">
        <v>-500</v>
      </c>
      <c r="W1619" s="131">
        <v>4290</v>
      </c>
      <c r="X1619" s="131">
        <v>4290</v>
      </c>
      <c r="Y1619" s="131">
        <v>0</v>
      </c>
      <c r="Z1619" s="131">
        <v>1699.3</v>
      </c>
      <c r="AA1619" s="131">
        <v>2590.6999999999998</v>
      </c>
      <c r="AB1619" s="131">
        <v>1699.3</v>
      </c>
      <c r="AC1619" s="131">
        <v>2590.6999999999998</v>
      </c>
      <c r="AD1619" s="131">
        <v>1699.3</v>
      </c>
      <c r="AE1619" s="132">
        <v>2590.6999999999998</v>
      </c>
    </row>
    <row r="1620" spans="1:31" x14ac:dyDescent="0.2">
      <c r="A1620" s="133">
        <v>289</v>
      </c>
      <c r="B1620" s="133" t="s">
        <v>1841</v>
      </c>
      <c r="C1620" s="133" t="s">
        <v>1199</v>
      </c>
      <c r="D1620" s="133" t="s">
        <v>2101</v>
      </c>
      <c r="E1620" s="133" t="s">
        <v>1201</v>
      </c>
      <c r="F1620" s="133" t="s">
        <v>1117</v>
      </c>
      <c r="G1620" s="133" t="s">
        <v>1202</v>
      </c>
      <c r="H1620" s="133" t="s">
        <v>1203</v>
      </c>
      <c r="I1620" s="133" t="s">
        <v>1204</v>
      </c>
      <c r="J1620" s="133" t="s">
        <v>1205</v>
      </c>
      <c r="K1620" s="130" t="s">
        <v>1206</v>
      </c>
      <c r="L1620" s="130" t="s">
        <v>2102</v>
      </c>
      <c r="M1620" s="130" t="s">
        <v>1925</v>
      </c>
      <c r="N1620" s="130" t="s">
        <v>120</v>
      </c>
      <c r="O1620" s="130" t="s">
        <v>1860</v>
      </c>
      <c r="P1620" s="130" t="s">
        <v>1861</v>
      </c>
      <c r="Q1620" s="130" t="s">
        <v>1127</v>
      </c>
      <c r="R1620" s="130" t="s">
        <v>1191</v>
      </c>
      <c r="S1620" s="130" t="s">
        <v>1191</v>
      </c>
      <c r="T1620" s="130" t="s">
        <v>1847</v>
      </c>
      <c r="U1620" s="130">
        <v>860</v>
      </c>
      <c r="V1620" s="131">
        <v>-860</v>
      </c>
      <c r="W1620" s="131">
        <v>0</v>
      </c>
      <c r="X1620" s="131">
        <v>0</v>
      </c>
      <c r="Y1620" s="131">
        <v>0</v>
      </c>
      <c r="Z1620" s="131">
        <v>0</v>
      </c>
      <c r="AA1620" s="131">
        <v>0</v>
      </c>
      <c r="AB1620" s="131">
        <v>0</v>
      </c>
      <c r="AC1620" s="131">
        <v>0</v>
      </c>
      <c r="AD1620" s="131">
        <v>0</v>
      </c>
      <c r="AE1620" s="132">
        <v>0</v>
      </c>
    </row>
    <row r="1621" spans="1:31" x14ac:dyDescent="0.2">
      <c r="A1621" s="133">
        <v>289</v>
      </c>
      <c r="B1621" s="133" t="s">
        <v>1841</v>
      </c>
      <c r="C1621" s="133" t="s">
        <v>1199</v>
      </c>
      <c r="D1621" s="133" t="s">
        <v>2101</v>
      </c>
      <c r="E1621" s="133" t="s">
        <v>1201</v>
      </c>
      <c r="F1621" s="133" t="s">
        <v>1117</v>
      </c>
      <c r="G1621" s="133" t="s">
        <v>1202</v>
      </c>
      <c r="H1621" s="133" t="s">
        <v>1203</v>
      </c>
      <c r="I1621" s="130" t="s">
        <v>1224</v>
      </c>
      <c r="J1621" s="130" t="s">
        <v>1306</v>
      </c>
      <c r="K1621" s="130" t="s">
        <v>1307</v>
      </c>
      <c r="L1621" s="130" t="s">
        <v>2102</v>
      </c>
      <c r="M1621" s="130" t="s">
        <v>1925</v>
      </c>
      <c r="N1621" s="130" t="s">
        <v>120</v>
      </c>
      <c r="O1621" s="130" t="s">
        <v>1860</v>
      </c>
      <c r="P1621" s="130" t="s">
        <v>1861</v>
      </c>
      <c r="Q1621" s="130" t="s">
        <v>1127</v>
      </c>
      <c r="R1621" s="130" t="s">
        <v>1191</v>
      </c>
      <c r="S1621" s="130" t="s">
        <v>1191</v>
      </c>
      <c r="T1621" s="130" t="s">
        <v>1847</v>
      </c>
      <c r="U1621" s="130">
        <v>400</v>
      </c>
      <c r="V1621" s="131">
        <v>0</v>
      </c>
      <c r="W1621" s="131">
        <v>400</v>
      </c>
      <c r="X1621" s="131">
        <v>0</v>
      </c>
      <c r="Y1621" s="131">
        <v>400</v>
      </c>
      <c r="Z1621" s="131">
        <v>0</v>
      </c>
      <c r="AA1621" s="131">
        <v>400</v>
      </c>
      <c r="AB1621" s="131">
        <v>0</v>
      </c>
      <c r="AC1621" s="131">
        <v>400</v>
      </c>
      <c r="AD1621" s="131">
        <v>0</v>
      </c>
      <c r="AE1621" s="132">
        <v>400</v>
      </c>
    </row>
    <row r="1622" spans="1:31" x14ac:dyDescent="0.2">
      <c r="A1622" s="133">
        <v>289</v>
      </c>
      <c r="B1622" s="133" t="s">
        <v>1841</v>
      </c>
      <c r="C1622" s="133" t="s">
        <v>1199</v>
      </c>
      <c r="D1622" s="133" t="s">
        <v>2101</v>
      </c>
      <c r="E1622" s="133" t="s">
        <v>1201</v>
      </c>
      <c r="F1622" s="133" t="s">
        <v>1117</v>
      </c>
      <c r="G1622" s="133" t="s">
        <v>1202</v>
      </c>
      <c r="H1622" s="133" t="s">
        <v>1203</v>
      </c>
      <c r="I1622" s="133" t="s">
        <v>1224</v>
      </c>
      <c r="J1622" s="130" t="s">
        <v>1853</v>
      </c>
      <c r="K1622" s="130" t="s">
        <v>1854</v>
      </c>
      <c r="L1622" s="130" t="s">
        <v>2102</v>
      </c>
      <c r="M1622" s="130" t="s">
        <v>1925</v>
      </c>
      <c r="N1622" s="130" t="s">
        <v>120</v>
      </c>
      <c r="O1622" s="130" t="s">
        <v>1860</v>
      </c>
      <c r="P1622" s="130" t="s">
        <v>1861</v>
      </c>
      <c r="Q1622" s="130" t="s">
        <v>1127</v>
      </c>
      <c r="R1622" s="130" t="s">
        <v>1191</v>
      </c>
      <c r="S1622" s="130" t="s">
        <v>1191</v>
      </c>
      <c r="T1622" s="130" t="s">
        <v>1847</v>
      </c>
      <c r="U1622" s="130">
        <v>5000</v>
      </c>
      <c r="V1622" s="131">
        <v>-1500</v>
      </c>
      <c r="W1622" s="131">
        <v>3500</v>
      </c>
      <c r="X1622" s="131">
        <v>0</v>
      </c>
      <c r="Y1622" s="131">
        <v>3500</v>
      </c>
      <c r="Z1622" s="131">
        <v>0</v>
      </c>
      <c r="AA1622" s="131">
        <v>3500</v>
      </c>
      <c r="AB1622" s="131">
        <v>0</v>
      </c>
      <c r="AC1622" s="131">
        <v>3500</v>
      </c>
      <c r="AD1622" s="131">
        <v>0</v>
      </c>
      <c r="AE1622" s="132">
        <v>3500</v>
      </c>
    </row>
    <row r="1623" spans="1:31" x14ac:dyDescent="0.2">
      <c r="A1623" s="133">
        <v>289</v>
      </c>
      <c r="B1623" s="133" t="s">
        <v>1841</v>
      </c>
      <c r="C1623" s="133" t="s">
        <v>1199</v>
      </c>
      <c r="D1623" s="133" t="s">
        <v>2101</v>
      </c>
      <c r="E1623" s="133" t="s">
        <v>1201</v>
      </c>
      <c r="F1623" s="133" t="s">
        <v>1117</v>
      </c>
      <c r="G1623" s="133" t="s">
        <v>1202</v>
      </c>
      <c r="H1623" s="133" t="s">
        <v>1203</v>
      </c>
      <c r="I1623" s="130" t="s">
        <v>1269</v>
      </c>
      <c r="J1623" s="130" t="s">
        <v>1534</v>
      </c>
      <c r="K1623" s="130" t="s">
        <v>1535</v>
      </c>
      <c r="L1623" s="130" t="s">
        <v>2102</v>
      </c>
      <c r="M1623" s="130" t="s">
        <v>1925</v>
      </c>
      <c r="N1623" s="130" t="s">
        <v>120</v>
      </c>
      <c r="O1623" s="130" t="s">
        <v>1860</v>
      </c>
      <c r="P1623" s="130" t="s">
        <v>1861</v>
      </c>
      <c r="Q1623" s="130" t="s">
        <v>1127</v>
      </c>
      <c r="R1623" s="130" t="s">
        <v>1191</v>
      </c>
      <c r="S1623" s="130" t="s">
        <v>1191</v>
      </c>
      <c r="T1623" s="130" t="s">
        <v>1847</v>
      </c>
      <c r="U1623" s="130">
        <v>250</v>
      </c>
      <c r="V1623" s="131">
        <v>0</v>
      </c>
      <c r="W1623" s="131">
        <v>250</v>
      </c>
      <c r="X1623" s="131">
        <v>0</v>
      </c>
      <c r="Y1623" s="131">
        <v>250</v>
      </c>
      <c r="Z1623" s="131">
        <v>0</v>
      </c>
      <c r="AA1623" s="131">
        <v>250</v>
      </c>
      <c r="AB1623" s="131">
        <v>0</v>
      </c>
      <c r="AC1623" s="131">
        <v>250</v>
      </c>
      <c r="AD1623" s="131">
        <v>0</v>
      </c>
      <c r="AE1623" s="132">
        <v>250</v>
      </c>
    </row>
    <row r="1624" spans="1:31" x14ac:dyDescent="0.2">
      <c r="A1624" s="133">
        <v>289</v>
      </c>
      <c r="B1624" s="133" t="s">
        <v>1841</v>
      </c>
      <c r="C1624" s="133" t="s">
        <v>1199</v>
      </c>
      <c r="D1624" s="133" t="s">
        <v>2101</v>
      </c>
      <c r="E1624" s="133" t="s">
        <v>1201</v>
      </c>
      <c r="F1624" s="133" t="s">
        <v>1117</v>
      </c>
      <c r="G1624" s="133" t="s">
        <v>1202</v>
      </c>
      <c r="H1624" s="133" t="s">
        <v>1203</v>
      </c>
      <c r="I1624" s="133" t="s">
        <v>1269</v>
      </c>
      <c r="J1624" s="130" t="s">
        <v>1270</v>
      </c>
      <c r="K1624" s="130" t="s">
        <v>1272</v>
      </c>
      <c r="L1624" s="130" t="s">
        <v>2102</v>
      </c>
      <c r="M1624" s="130" t="s">
        <v>1925</v>
      </c>
      <c r="N1624" s="130" t="s">
        <v>120</v>
      </c>
      <c r="O1624" s="130" t="s">
        <v>1860</v>
      </c>
      <c r="P1624" s="130" t="s">
        <v>1861</v>
      </c>
      <c r="Q1624" s="130" t="s">
        <v>1127</v>
      </c>
      <c r="R1624" s="130" t="s">
        <v>1191</v>
      </c>
      <c r="S1624" s="130" t="s">
        <v>1191</v>
      </c>
      <c r="T1624" s="130" t="s">
        <v>1847</v>
      </c>
      <c r="U1624" s="130">
        <v>300</v>
      </c>
      <c r="V1624" s="131">
        <v>0</v>
      </c>
      <c r="W1624" s="131">
        <v>300</v>
      </c>
      <c r="X1624" s="131">
        <v>0</v>
      </c>
      <c r="Y1624" s="131">
        <v>300</v>
      </c>
      <c r="Z1624" s="131">
        <v>0</v>
      </c>
      <c r="AA1624" s="131">
        <v>300</v>
      </c>
      <c r="AB1624" s="131">
        <v>0</v>
      </c>
      <c r="AC1624" s="131">
        <v>300</v>
      </c>
      <c r="AD1624" s="131">
        <v>0</v>
      </c>
      <c r="AE1624" s="132">
        <v>300</v>
      </c>
    </row>
    <row r="1625" spans="1:31" x14ac:dyDescent="0.2">
      <c r="A1625" s="133">
        <v>289</v>
      </c>
      <c r="B1625" s="133" t="s">
        <v>1841</v>
      </c>
      <c r="C1625" s="133" t="s">
        <v>1199</v>
      </c>
      <c r="D1625" s="133" t="s">
        <v>2101</v>
      </c>
      <c r="E1625" s="133" t="s">
        <v>1201</v>
      </c>
      <c r="F1625" s="133" t="s">
        <v>1117</v>
      </c>
      <c r="G1625" s="133" t="s">
        <v>1202</v>
      </c>
      <c r="H1625" s="133" t="s">
        <v>1203</v>
      </c>
      <c r="I1625" s="130" t="s">
        <v>1209</v>
      </c>
      <c r="J1625" s="130" t="s">
        <v>1210</v>
      </c>
      <c r="K1625" s="130" t="s">
        <v>1539</v>
      </c>
      <c r="L1625" s="130" t="s">
        <v>2102</v>
      </c>
      <c r="M1625" s="130" t="s">
        <v>1925</v>
      </c>
      <c r="N1625" s="130" t="s">
        <v>120</v>
      </c>
      <c r="O1625" s="130" t="s">
        <v>1860</v>
      </c>
      <c r="P1625" s="130" t="s">
        <v>1861</v>
      </c>
      <c r="Q1625" s="130" t="s">
        <v>1127</v>
      </c>
      <c r="R1625" s="130" t="s">
        <v>1191</v>
      </c>
      <c r="S1625" s="130" t="s">
        <v>1191</v>
      </c>
      <c r="T1625" s="130" t="s">
        <v>1847</v>
      </c>
      <c r="U1625" s="130">
        <v>10000</v>
      </c>
      <c r="V1625" s="131">
        <v>-6600</v>
      </c>
      <c r="W1625" s="131">
        <v>3400</v>
      </c>
      <c r="X1625" s="131">
        <v>0</v>
      </c>
      <c r="Y1625" s="131">
        <v>3400</v>
      </c>
      <c r="Z1625" s="131">
        <v>0</v>
      </c>
      <c r="AA1625" s="131">
        <v>3400</v>
      </c>
      <c r="AB1625" s="131">
        <v>0</v>
      </c>
      <c r="AC1625" s="131">
        <v>3400</v>
      </c>
      <c r="AD1625" s="131">
        <v>0</v>
      </c>
      <c r="AE1625" s="132">
        <v>3400</v>
      </c>
    </row>
    <row r="1626" spans="1:31" x14ac:dyDescent="0.2">
      <c r="A1626" s="133">
        <v>289</v>
      </c>
      <c r="B1626" s="133" t="s">
        <v>1841</v>
      </c>
      <c r="C1626" s="133" t="s">
        <v>1199</v>
      </c>
      <c r="D1626" s="133" t="s">
        <v>2101</v>
      </c>
      <c r="E1626" s="133" t="s">
        <v>1201</v>
      </c>
      <c r="F1626" s="133" t="s">
        <v>1117</v>
      </c>
      <c r="G1626" s="133" t="s">
        <v>1202</v>
      </c>
      <c r="H1626" s="133" t="s">
        <v>1203</v>
      </c>
      <c r="I1626" s="133" t="s">
        <v>1209</v>
      </c>
      <c r="J1626" s="133" t="s">
        <v>1210</v>
      </c>
      <c r="K1626" s="130" t="s">
        <v>1211</v>
      </c>
      <c r="L1626" s="130" t="s">
        <v>2102</v>
      </c>
      <c r="M1626" s="130" t="s">
        <v>1925</v>
      </c>
      <c r="N1626" s="130" t="s">
        <v>120</v>
      </c>
      <c r="O1626" s="130" t="s">
        <v>1860</v>
      </c>
      <c r="P1626" s="130" t="s">
        <v>1861</v>
      </c>
      <c r="Q1626" s="130" t="s">
        <v>1127</v>
      </c>
      <c r="R1626" s="130" t="s">
        <v>1191</v>
      </c>
      <c r="S1626" s="130" t="s">
        <v>1191</v>
      </c>
      <c r="T1626" s="130" t="s">
        <v>1847</v>
      </c>
      <c r="U1626" s="130">
        <v>500</v>
      </c>
      <c r="V1626" s="131">
        <v>-500</v>
      </c>
      <c r="W1626" s="131">
        <v>0</v>
      </c>
      <c r="X1626" s="131">
        <v>0</v>
      </c>
      <c r="Y1626" s="131">
        <v>0</v>
      </c>
      <c r="Z1626" s="131">
        <v>0</v>
      </c>
      <c r="AA1626" s="131">
        <v>0</v>
      </c>
      <c r="AB1626" s="131">
        <v>0</v>
      </c>
      <c r="AC1626" s="131">
        <v>0</v>
      </c>
      <c r="AD1626" s="131">
        <v>0</v>
      </c>
      <c r="AE1626" s="132">
        <v>0</v>
      </c>
    </row>
    <row r="1627" spans="1:31" x14ac:dyDescent="0.2">
      <c r="A1627" s="133">
        <v>289</v>
      </c>
      <c r="B1627" s="133" t="s">
        <v>1841</v>
      </c>
      <c r="C1627" s="133" t="s">
        <v>1199</v>
      </c>
      <c r="D1627" s="133" t="s">
        <v>2101</v>
      </c>
      <c r="E1627" s="133" t="s">
        <v>1201</v>
      </c>
      <c r="F1627" s="133" t="s">
        <v>1117</v>
      </c>
      <c r="G1627" s="133" t="s">
        <v>1202</v>
      </c>
      <c r="H1627" s="133" t="s">
        <v>1203</v>
      </c>
      <c r="I1627" s="133" t="s">
        <v>1209</v>
      </c>
      <c r="J1627" s="133" t="s">
        <v>1210</v>
      </c>
      <c r="K1627" s="130" t="s">
        <v>1274</v>
      </c>
      <c r="L1627" s="130" t="s">
        <v>2102</v>
      </c>
      <c r="M1627" s="130" t="s">
        <v>1925</v>
      </c>
      <c r="N1627" s="130" t="s">
        <v>120</v>
      </c>
      <c r="O1627" s="130" t="s">
        <v>1860</v>
      </c>
      <c r="P1627" s="130" t="s">
        <v>1861</v>
      </c>
      <c r="Q1627" s="130" t="s">
        <v>1127</v>
      </c>
      <c r="R1627" s="130" t="s">
        <v>1191</v>
      </c>
      <c r="S1627" s="130" t="s">
        <v>1191</v>
      </c>
      <c r="T1627" s="130" t="s">
        <v>1847</v>
      </c>
      <c r="U1627" s="130">
        <v>600</v>
      </c>
      <c r="V1627" s="131">
        <v>0</v>
      </c>
      <c r="W1627" s="131">
        <v>600</v>
      </c>
      <c r="X1627" s="131">
        <v>0</v>
      </c>
      <c r="Y1627" s="131">
        <v>600</v>
      </c>
      <c r="Z1627" s="131">
        <v>0</v>
      </c>
      <c r="AA1627" s="131">
        <v>600</v>
      </c>
      <c r="AB1627" s="131">
        <v>0</v>
      </c>
      <c r="AC1627" s="131">
        <v>600</v>
      </c>
      <c r="AD1627" s="131">
        <v>0</v>
      </c>
      <c r="AE1627" s="132">
        <v>600</v>
      </c>
    </row>
    <row r="1628" spans="1:31" x14ac:dyDescent="0.2">
      <c r="A1628" s="133">
        <v>289</v>
      </c>
      <c r="B1628" s="133" t="s">
        <v>1841</v>
      </c>
      <c r="C1628" s="133" t="s">
        <v>1199</v>
      </c>
      <c r="D1628" s="133" t="s">
        <v>2101</v>
      </c>
      <c r="E1628" s="133" t="s">
        <v>1201</v>
      </c>
      <c r="F1628" s="133" t="s">
        <v>1117</v>
      </c>
      <c r="G1628" s="133" t="s">
        <v>1202</v>
      </c>
      <c r="H1628" s="133" t="s">
        <v>1203</v>
      </c>
      <c r="I1628" s="130" t="s">
        <v>1309</v>
      </c>
      <c r="J1628" s="130" t="s">
        <v>1310</v>
      </c>
      <c r="K1628" s="130" t="s">
        <v>1310</v>
      </c>
      <c r="L1628" s="130" t="s">
        <v>2102</v>
      </c>
      <c r="M1628" s="130" t="s">
        <v>1925</v>
      </c>
      <c r="N1628" s="130" t="s">
        <v>120</v>
      </c>
      <c r="O1628" s="130" t="s">
        <v>1860</v>
      </c>
      <c r="P1628" s="130" t="s">
        <v>1861</v>
      </c>
      <c r="Q1628" s="130" t="s">
        <v>1127</v>
      </c>
      <c r="R1628" s="130" t="s">
        <v>1191</v>
      </c>
      <c r="S1628" s="130" t="s">
        <v>1191</v>
      </c>
      <c r="T1628" s="130" t="s">
        <v>1847</v>
      </c>
      <c r="U1628" s="130">
        <v>14000</v>
      </c>
      <c r="V1628" s="131">
        <v>113500</v>
      </c>
      <c r="W1628" s="131">
        <v>127500</v>
      </c>
      <c r="X1628" s="131">
        <v>39218</v>
      </c>
      <c r="Y1628" s="131">
        <v>88282</v>
      </c>
      <c r="Z1628" s="131">
        <v>39218</v>
      </c>
      <c r="AA1628" s="131">
        <v>88282</v>
      </c>
      <c r="AB1628" s="131">
        <v>39218</v>
      </c>
      <c r="AC1628" s="131">
        <v>88282</v>
      </c>
      <c r="AD1628" s="131">
        <v>22406</v>
      </c>
      <c r="AE1628" s="132">
        <v>105094</v>
      </c>
    </row>
    <row r="1629" spans="1:31" x14ac:dyDescent="0.2">
      <c r="A1629" s="130">
        <v>290</v>
      </c>
      <c r="B1629" s="130" t="s">
        <v>1841</v>
      </c>
      <c r="C1629" s="130" t="s">
        <v>1199</v>
      </c>
      <c r="D1629" s="130" t="s">
        <v>2103</v>
      </c>
      <c r="E1629" s="130" t="s">
        <v>1201</v>
      </c>
      <c r="F1629" s="130" t="s">
        <v>1117</v>
      </c>
      <c r="G1629" s="130" t="s">
        <v>1276</v>
      </c>
      <c r="H1629" s="130" t="s">
        <v>1277</v>
      </c>
      <c r="I1629" s="130" t="s">
        <v>1278</v>
      </c>
      <c r="J1629" s="130" t="s">
        <v>1278</v>
      </c>
      <c r="K1629" s="130" t="s">
        <v>1279</v>
      </c>
      <c r="L1629" s="130" t="s">
        <v>2104</v>
      </c>
      <c r="M1629" s="130" t="s">
        <v>1925</v>
      </c>
      <c r="N1629" s="130" t="s">
        <v>120</v>
      </c>
      <c r="O1629" s="130" t="s">
        <v>1845</v>
      </c>
      <c r="P1629" s="130" t="s">
        <v>1846</v>
      </c>
      <c r="Q1629" s="130" t="s">
        <v>1127</v>
      </c>
      <c r="R1629" s="130" t="s">
        <v>1191</v>
      </c>
      <c r="S1629" s="130" t="s">
        <v>1157</v>
      </c>
      <c r="T1629" s="130" t="s">
        <v>1369</v>
      </c>
      <c r="U1629" s="130">
        <v>127383</v>
      </c>
      <c r="V1629" s="131">
        <v>0</v>
      </c>
      <c r="W1629" s="131">
        <v>127383</v>
      </c>
      <c r="X1629" s="131">
        <v>127383</v>
      </c>
      <c r="Y1629" s="131">
        <v>0</v>
      </c>
      <c r="Z1629" s="131">
        <v>127383</v>
      </c>
      <c r="AA1629" s="131">
        <v>0</v>
      </c>
      <c r="AB1629" s="131">
        <v>17869.599999999999</v>
      </c>
      <c r="AC1629" s="131">
        <v>109513.4</v>
      </c>
      <c r="AD1629" s="131">
        <v>17869.599999999999</v>
      </c>
      <c r="AE1629" s="132">
        <v>109513.4</v>
      </c>
    </row>
    <row r="1630" spans="1:31" x14ac:dyDescent="0.2">
      <c r="A1630" s="133">
        <v>290</v>
      </c>
      <c r="B1630" s="133" t="s">
        <v>1841</v>
      </c>
      <c r="C1630" s="133" t="s">
        <v>1199</v>
      </c>
      <c r="D1630" s="133" t="s">
        <v>2103</v>
      </c>
      <c r="E1630" s="133" t="s">
        <v>1201</v>
      </c>
      <c r="F1630" s="133" t="s">
        <v>1117</v>
      </c>
      <c r="G1630" s="133" t="s">
        <v>1276</v>
      </c>
      <c r="H1630" s="133" t="s">
        <v>1277</v>
      </c>
      <c r="I1630" s="133" t="s">
        <v>1278</v>
      </c>
      <c r="J1630" s="133" t="s">
        <v>1278</v>
      </c>
      <c r="K1630" s="130" t="s">
        <v>1281</v>
      </c>
      <c r="L1630" s="130" t="s">
        <v>2104</v>
      </c>
      <c r="M1630" s="130" t="s">
        <v>1925</v>
      </c>
      <c r="N1630" s="130" t="s">
        <v>120</v>
      </c>
      <c r="O1630" s="130" t="s">
        <v>1845</v>
      </c>
      <c r="P1630" s="130" t="s">
        <v>1846</v>
      </c>
      <c r="Q1630" s="130" t="s">
        <v>1127</v>
      </c>
      <c r="R1630" s="130" t="s">
        <v>1191</v>
      </c>
      <c r="S1630" s="130" t="s">
        <v>1157</v>
      </c>
      <c r="T1630" s="130" t="s">
        <v>1369</v>
      </c>
      <c r="U1630" s="130">
        <v>58102</v>
      </c>
      <c r="V1630" s="131">
        <v>0</v>
      </c>
      <c r="W1630" s="131">
        <v>58102</v>
      </c>
      <c r="X1630" s="131">
        <v>58102</v>
      </c>
      <c r="Y1630" s="131">
        <v>0</v>
      </c>
      <c r="Z1630" s="131">
        <v>58102</v>
      </c>
      <c r="AA1630" s="131">
        <v>0</v>
      </c>
      <c r="AB1630" s="131">
        <v>36380.479999999996</v>
      </c>
      <c r="AC1630" s="131">
        <v>21721.520000000004</v>
      </c>
      <c r="AD1630" s="131">
        <v>36380.479999999996</v>
      </c>
      <c r="AE1630" s="132">
        <v>21721.520000000004</v>
      </c>
    </row>
    <row r="1631" spans="1:31" x14ac:dyDescent="0.2">
      <c r="A1631" s="133">
        <v>290</v>
      </c>
      <c r="B1631" s="133" t="s">
        <v>1841</v>
      </c>
      <c r="C1631" s="133" t="s">
        <v>1199</v>
      </c>
      <c r="D1631" s="133" t="s">
        <v>2103</v>
      </c>
      <c r="E1631" s="133" t="s">
        <v>1201</v>
      </c>
      <c r="F1631" s="133" t="s">
        <v>1117</v>
      </c>
      <c r="G1631" s="133" t="s">
        <v>1276</v>
      </c>
      <c r="H1631" s="133" t="s">
        <v>1277</v>
      </c>
      <c r="I1631" s="133" t="s">
        <v>1278</v>
      </c>
      <c r="J1631" s="133" t="s">
        <v>1278</v>
      </c>
      <c r="K1631" s="130" t="s">
        <v>1282</v>
      </c>
      <c r="L1631" s="130" t="s">
        <v>2104</v>
      </c>
      <c r="M1631" s="130" t="s">
        <v>1925</v>
      </c>
      <c r="N1631" s="130" t="s">
        <v>120</v>
      </c>
      <c r="O1631" s="130" t="s">
        <v>1845</v>
      </c>
      <c r="P1631" s="130" t="s">
        <v>1846</v>
      </c>
      <c r="Q1631" s="130" t="s">
        <v>1127</v>
      </c>
      <c r="R1631" s="130" t="s">
        <v>1191</v>
      </c>
      <c r="S1631" s="130" t="s">
        <v>1157</v>
      </c>
      <c r="T1631" s="130" t="s">
        <v>1369</v>
      </c>
      <c r="U1631" s="130">
        <v>20113</v>
      </c>
      <c r="V1631" s="131">
        <v>0</v>
      </c>
      <c r="W1631" s="131">
        <v>20113</v>
      </c>
      <c r="X1631" s="131">
        <v>20113</v>
      </c>
      <c r="Y1631" s="131">
        <v>0</v>
      </c>
      <c r="Z1631" s="131">
        <v>20113</v>
      </c>
      <c r="AA1631" s="131">
        <v>0</v>
      </c>
      <c r="AB1631" s="131">
        <v>10437.74</v>
      </c>
      <c r="AC1631" s="131">
        <v>9675.26</v>
      </c>
      <c r="AD1631" s="131">
        <v>10437.74</v>
      </c>
      <c r="AE1631" s="132">
        <v>9675.26</v>
      </c>
    </row>
    <row r="1632" spans="1:31" x14ac:dyDescent="0.2">
      <c r="A1632" s="133">
        <v>290</v>
      </c>
      <c r="B1632" s="133" t="s">
        <v>1841</v>
      </c>
      <c r="C1632" s="133" t="s">
        <v>1199</v>
      </c>
      <c r="D1632" s="133" t="s">
        <v>2103</v>
      </c>
      <c r="E1632" s="133" t="s">
        <v>1201</v>
      </c>
      <c r="F1632" s="133" t="s">
        <v>1117</v>
      </c>
      <c r="G1632" s="133" t="s">
        <v>1276</v>
      </c>
      <c r="H1632" s="133" t="s">
        <v>1277</v>
      </c>
      <c r="I1632" s="133" t="s">
        <v>1278</v>
      </c>
      <c r="J1632" s="130" t="s">
        <v>1283</v>
      </c>
      <c r="K1632" s="130" t="s">
        <v>1284</v>
      </c>
      <c r="L1632" s="130" t="s">
        <v>2104</v>
      </c>
      <c r="M1632" s="130" t="s">
        <v>1925</v>
      </c>
      <c r="N1632" s="130" t="s">
        <v>120</v>
      </c>
      <c r="O1632" s="130" t="s">
        <v>1845</v>
      </c>
      <c r="P1632" s="130" t="s">
        <v>1846</v>
      </c>
      <c r="Q1632" s="130" t="s">
        <v>1127</v>
      </c>
      <c r="R1632" s="130" t="s">
        <v>1191</v>
      </c>
      <c r="S1632" s="130" t="s">
        <v>1157</v>
      </c>
      <c r="T1632" s="130" t="s">
        <v>1369</v>
      </c>
      <c r="U1632" s="130">
        <v>263877</v>
      </c>
      <c r="V1632" s="131">
        <v>0</v>
      </c>
      <c r="W1632" s="131">
        <v>263877</v>
      </c>
      <c r="X1632" s="131">
        <v>263877</v>
      </c>
      <c r="Y1632" s="131">
        <v>0</v>
      </c>
      <c r="Z1632" s="131">
        <v>263877</v>
      </c>
      <c r="AA1632" s="131">
        <v>0</v>
      </c>
      <c r="AB1632" s="131">
        <v>99213.170000000013</v>
      </c>
      <c r="AC1632" s="131">
        <v>164663.82999999999</v>
      </c>
      <c r="AD1632" s="131">
        <v>99213.170000000013</v>
      </c>
      <c r="AE1632" s="132">
        <v>164663.82999999999</v>
      </c>
    </row>
    <row r="1633" spans="1:31" x14ac:dyDescent="0.2">
      <c r="A1633" s="133">
        <v>290</v>
      </c>
      <c r="B1633" s="133" t="s">
        <v>1841</v>
      </c>
      <c r="C1633" s="133" t="s">
        <v>1199</v>
      </c>
      <c r="D1633" s="133" t="s">
        <v>2103</v>
      </c>
      <c r="E1633" s="133" t="s">
        <v>1201</v>
      </c>
      <c r="F1633" s="133" t="s">
        <v>1117</v>
      </c>
      <c r="G1633" s="133" t="s">
        <v>1276</v>
      </c>
      <c r="H1633" s="133" t="s">
        <v>1277</v>
      </c>
      <c r="I1633" s="130" t="s">
        <v>1288</v>
      </c>
      <c r="J1633" s="130" t="s">
        <v>1289</v>
      </c>
      <c r="K1633" s="130" t="s">
        <v>1290</v>
      </c>
      <c r="L1633" s="130" t="s">
        <v>2104</v>
      </c>
      <c r="M1633" s="130" t="s">
        <v>1925</v>
      </c>
      <c r="N1633" s="130" t="s">
        <v>120</v>
      </c>
      <c r="O1633" s="130" t="s">
        <v>1845</v>
      </c>
      <c r="P1633" s="130" t="s">
        <v>1846</v>
      </c>
      <c r="Q1633" s="130" t="s">
        <v>1127</v>
      </c>
      <c r="R1633" s="130" t="s">
        <v>1191</v>
      </c>
      <c r="S1633" s="130" t="s">
        <v>1157</v>
      </c>
      <c r="T1633" s="130" t="s">
        <v>1369</v>
      </c>
      <c r="U1633" s="130">
        <v>7800</v>
      </c>
      <c r="V1633" s="131">
        <v>0</v>
      </c>
      <c r="W1633" s="131">
        <v>7800</v>
      </c>
      <c r="X1633" s="131">
        <v>7800</v>
      </c>
      <c r="Y1633" s="131">
        <v>0</v>
      </c>
      <c r="Z1633" s="131">
        <v>7800</v>
      </c>
      <c r="AA1633" s="131">
        <v>0</v>
      </c>
      <c r="AB1633" s="131">
        <v>0</v>
      </c>
      <c r="AC1633" s="131">
        <v>7800</v>
      </c>
      <c r="AD1633" s="131">
        <v>0</v>
      </c>
      <c r="AE1633" s="132">
        <v>7800</v>
      </c>
    </row>
    <row r="1634" spans="1:31" x14ac:dyDescent="0.2">
      <c r="A1634" s="133">
        <v>290</v>
      </c>
      <c r="B1634" s="133" t="s">
        <v>1841</v>
      </c>
      <c r="C1634" s="133" t="s">
        <v>1199</v>
      </c>
      <c r="D1634" s="133" t="s">
        <v>2103</v>
      </c>
      <c r="E1634" s="133" t="s">
        <v>1201</v>
      </c>
      <c r="F1634" s="133" t="s">
        <v>1117</v>
      </c>
      <c r="G1634" s="133" t="s">
        <v>1276</v>
      </c>
      <c r="H1634" s="133" t="s">
        <v>1277</v>
      </c>
      <c r="I1634" s="133" t="s">
        <v>1288</v>
      </c>
      <c r="J1634" s="133" t="s">
        <v>1289</v>
      </c>
      <c r="K1634" s="130" t="s">
        <v>1291</v>
      </c>
      <c r="L1634" s="130" t="s">
        <v>2104</v>
      </c>
      <c r="M1634" s="130" t="s">
        <v>1925</v>
      </c>
      <c r="N1634" s="130" t="s">
        <v>120</v>
      </c>
      <c r="O1634" s="130" t="s">
        <v>1845</v>
      </c>
      <c r="P1634" s="130" t="s">
        <v>1846</v>
      </c>
      <c r="Q1634" s="130" t="s">
        <v>1127</v>
      </c>
      <c r="R1634" s="130" t="s">
        <v>1191</v>
      </c>
      <c r="S1634" s="130" t="s">
        <v>1157</v>
      </c>
      <c r="T1634" s="130" t="s">
        <v>1369</v>
      </c>
      <c r="U1634" s="130">
        <v>4200</v>
      </c>
      <c r="V1634" s="131">
        <v>-1662</v>
      </c>
      <c r="W1634" s="131">
        <v>2538</v>
      </c>
      <c r="X1634" s="131">
        <v>2529</v>
      </c>
      <c r="Y1634" s="131">
        <v>9</v>
      </c>
      <c r="Z1634" s="131">
        <v>2529</v>
      </c>
      <c r="AA1634" s="131">
        <v>9</v>
      </c>
      <c r="AB1634" s="131">
        <v>2000</v>
      </c>
      <c r="AC1634" s="131">
        <v>538</v>
      </c>
      <c r="AD1634" s="131">
        <v>2000</v>
      </c>
      <c r="AE1634" s="132">
        <v>538</v>
      </c>
    </row>
    <row r="1635" spans="1:31" x14ac:dyDescent="0.2">
      <c r="A1635" s="133">
        <v>290</v>
      </c>
      <c r="B1635" s="133" t="s">
        <v>1841</v>
      </c>
      <c r="C1635" s="133" t="s">
        <v>1199</v>
      </c>
      <c r="D1635" s="133" t="s">
        <v>2103</v>
      </c>
      <c r="E1635" s="133" t="s">
        <v>1201</v>
      </c>
      <c r="F1635" s="133" t="s">
        <v>1117</v>
      </c>
      <c r="G1635" s="133" t="s">
        <v>1276</v>
      </c>
      <c r="H1635" s="130" t="s">
        <v>1293</v>
      </c>
      <c r="I1635" s="130" t="s">
        <v>1294</v>
      </c>
      <c r="J1635" s="130" t="s">
        <v>1295</v>
      </c>
      <c r="K1635" s="130" t="s">
        <v>1296</v>
      </c>
      <c r="L1635" s="130" t="s">
        <v>2104</v>
      </c>
      <c r="M1635" s="130" t="s">
        <v>1925</v>
      </c>
      <c r="N1635" s="130" t="s">
        <v>120</v>
      </c>
      <c r="O1635" s="130" t="s">
        <v>1845</v>
      </c>
      <c r="P1635" s="130" t="s">
        <v>1846</v>
      </c>
      <c r="Q1635" s="130" t="s">
        <v>1127</v>
      </c>
      <c r="R1635" s="130" t="s">
        <v>1191</v>
      </c>
      <c r="S1635" s="130" t="s">
        <v>1157</v>
      </c>
      <c r="T1635" s="130" t="s">
        <v>1369</v>
      </c>
      <c r="U1635" s="130">
        <v>4752</v>
      </c>
      <c r="V1635" s="131">
        <v>0</v>
      </c>
      <c r="W1635" s="131">
        <v>4752</v>
      </c>
      <c r="X1635" s="131">
        <v>0</v>
      </c>
      <c r="Y1635" s="131">
        <v>4752</v>
      </c>
      <c r="Z1635" s="131">
        <v>0</v>
      </c>
      <c r="AA1635" s="131">
        <v>4752</v>
      </c>
      <c r="AB1635" s="131">
        <v>0</v>
      </c>
      <c r="AC1635" s="131">
        <v>4752</v>
      </c>
      <c r="AD1635" s="131">
        <v>0</v>
      </c>
      <c r="AE1635" s="132">
        <v>4752</v>
      </c>
    </row>
    <row r="1636" spans="1:31" x14ac:dyDescent="0.2">
      <c r="A1636" s="133">
        <v>290</v>
      </c>
      <c r="B1636" s="133" t="s">
        <v>1841</v>
      </c>
      <c r="C1636" s="133" t="s">
        <v>1199</v>
      </c>
      <c r="D1636" s="133" t="s">
        <v>2103</v>
      </c>
      <c r="E1636" s="133" t="s">
        <v>1201</v>
      </c>
      <c r="F1636" s="133" t="s">
        <v>1117</v>
      </c>
      <c r="G1636" s="133" t="s">
        <v>1276</v>
      </c>
      <c r="H1636" s="130" t="s">
        <v>1297</v>
      </c>
      <c r="I1636" s="130" t="s">
        <v>1298</v>
      </c>
      <c r="J1636" s="130" t="s">
        <v>1298</v>
      </c>
      <c r="K1636" s="130" t="s">
        <v>1299</v>
      </c>
      <c r="L1636" s="130" t="s">
        <v>2104</v>
      </c>
      <c r="M1636" s="130" t="s">
        <v>1925</v>
      </c>
      <c r="N1636" s="130" t="s">
        <v>120</v>
      </c>
      <c r="O1636" s="130" t="s">
        <v>1845</v>
      </c>
      <c r="P1636" s="130" t="s">
        <v>1846</v>
      </c>
      <c r="Q1636" s="130" t="s">
        <v>1127</v>
      </c>
      <c r="R1636" s="130" t="s">
        <v>1191</v>
      </c>
      <c r="S1636" s="130" t="s">
        <v>1157</v>
      </c>
      <c r="T1636" s="130" t="s">
        <v>1369</v>
      </c>
      <c r="U1636" s="130">
        <v>24000</v>
      </c>
      <c r="V1636" s="131">
        <v>204</v>
      </c>
      <c r="W1636" s="131">
        <v>24204</v>
      </c>
      <c r="X1636" s="131">
        <v>24204</v>
      </c>
      <c r="Y1636" s="131">
        <v>0</v>
      </c>
      <c r="Z1636" s="131">
        <v>24204</v>
      </c>
      <c r="AA1636" s="131">
        <v>0</v>
      </c>
      <c r="AB1636" s="131">
        <v>5703.8899999999994</v>
      </c>
      <c r="AC1636" s="131">
        <v>18500.11</v>
      </c>
      <c r="AD1636" s="131">
        <v>5703.8899999999994</v>
      </c>
      <c r="AE1636" s="132">
        <v>18500.11</v>
      </c>
    </row>
    <row r="1637" spans="1:31" x14ac:dyDescent="0.2">
      <c r="A1637" s="133">
        <v>290</v>
      </c>
      <c r="B1637" s="133" t="s">
        <v>1841</v>
      </c>
      <c r="C1637" s="133" t="s">
        <v>1199</v>
      </c>
      <c r="D1637" s="133" t="s">
        <v>2103</v>
      </c>
      <c r="E1637" s="133" t="s">
        <v>1201</v>
      </c>
      <c r="F1637" s="133" t="s">
        <v>1117</v>
      </c>
      <c r="G1637" s="133" t="s">
        <v>1276</v>
      </c>
      <c r="H1637" s="130" t="s">
        <v>1514</v>
      </c>
      <c r="I1637" s="130" t="s">
        <v>1515</v>
      </c>
      <c r="J1637" s="130" t="s">
        <v>1515</v>
      </c>
      <c r="K1637" s="130" t="s">
        <v>1516</v>
      </c>
      <c r="L1637" s="130" t="s">
        <v>2104</v>
      </c>
      <c r="M1637" s="130" t="s">
        <v>1925</v>
      </c>
      <c r="N1637" s="130" t="s">
        <v>120</v>
      </c>
      <c r="O1637" s="130" t="s">
        <v>1845</v>
      </c>
      <c r="P1637" s="130" t="s">
        <v>1846</v>
      </c>
      <c r="Q1637" s="130" t="s">
        <v>1127</v>
      </c>
      <c r="R1637" s="130" t="s">
        <v>1191</v>
      </c>
      <c r="S1637" s="130" t="s">
        <v>1157</v>
      </c>
      <c r="T1637" s="130" t="s">
        <v>1369</v>
      </c>
      <c r="U1637" s="130">
        <v>0</v>
      </c>
      <c r="V1637" s="131">
        <v>14828</v>
      </c>
      <c r="W1637" s="131">
        <v>14828</v>
      </c>
      <c r="X1637" s="131">
        <v>14827.8</v>
      </c>
      <c r="Y1637" s="131">
        <v>0.2000000000007276</v>
      </c>
      <c r="Z1637" s="131">
        <v>14827.8</v>
      </c>
      <c r="AA1637" s="131">
        <v>0.2000000000007276</v>
      </c>
      <c r="AB1637" s="131">
        <v>14827.8</v>
      </c>
      <c r="AC1637" s="131">
        <v>0.2000000000007276</v>
      </c>
      <c r="AD1637" s="131">
        <v>14827.8</v>
      </c>
      <c r="AE1637" s="132">
        <v>0.2000000000007276</v>
      </c>
    </row>
    <row r="1638" spans="1:31" x14ac:dyDescent="0.2">
      <c r="A1638" s="133">
        <v>290</v>
      </c>
      <c r="B1638" s="133" t="s">
        <v>1841</v>
      </c>
      <c r="C1638" s="133" t="s">
        <v>1199</v>
      </c>
      <c r="D1638" s="133" t="s">
        <v>2103</v>
      </c>
      <c r="E1638" s="133" t="s">
        <v>1201</v>
      </c>
      <c r="F1638" s="133" t="s">
        <v>1117</v>
      </c>
      <c r="G1638" s="133" t="s">
        <v>1276</v>
      </c>
      <c r="H1638" s="133" t="s">
        <v>1514</v>
      </c>
      <c r="I1638" s="133" t="s">
        <v>1515</v>
      </c>
      <c r="J1638" s="133" t="s">
        <v>1515</v>
      </c>
      <c r="K1638" s="130" t="s">
        <v>1518</v>
      </c>
      <c r="L1638" s="130" t="s">
        <v>2104</v>
      </c>
      <c r="M1638" s="130" t="s">
        <v>1925</v>
      </c>
      <c r="N1638" s="130" t="s">
        <v>120</v>
      </c>
      <c r="O1638" s="130" t="s">
        <v>1845</v>
      </c>
      <c r="P1638" s="130" t="s">
        <v>1846</v>
      </c>
      <c r="Q1638" s="130" t="s">
        <v>1127</v>
      </c>
      <c r="R1638" s="130" t="s">
        <v>1191</v>
      </c>
      <c r="S1638" s="130" t="s">
        <v>1157</v>
      </c>
      <c r="T1638" s="130" t="s">
        <v>1369</v>
      </c>
      <c r="U1638" s="130">
        <v>0</v>
      </c>
      <c r="V1638" s="131">
        <v>1616</v>
      </c>
      <c r="W1638" s="131">
        <v>1616</v>
      </c>
      <c r="X1638" s="131">
        <v>1615.75</v>
      </c>
      <c r="Y1638" s="131">
        <v>0.25</v>
      </c>
      <c r="Z1638" s="131">
        <v>1615.75</v>
      </c>
      <c r="AA1638" s="131">
        <v>0.25</v>
      </c>
      <c r="AB1638" s="131">
        <v>1612.75</v>
      </c>
      <c r="AC1638" s="131">
        <v>3.25</v>
      </c>
      <c r="AD1638" s="131">
        <v>1612.75</v>
      </c>
      <c r="AE1638" s="132">
        <v>3.25</v>
      </c>
    </row>
    <row r="1639" spans="1:31" x14ac:dyDescent="0.2">
      <c r="A1639" s="133">
        <v>290</v>
      </c>
      <c r="B1639" s="133" t="s">
        <v>1841</v>
      </c>
      <c r="C1639" s="133" t="s">
        <v>1199</v>
      </c>
      <c r="D1639" s="133" t="s">
        <v>2103</v>
      </c>
      <c r="E1639" s="133" t="s">
        <v>1201</v>
      </c>
      <c r="F1639" s="133" t="s">
        <v>1117</v>
      </c>
      <c r="G1639" s="130" t="s">
        <v>1202</v>
      </c>
      <c r="H1639" s="130" t="s">
        <v>1216</v>
      </c>
      <c r="I1639" s="130" t="s">
        <v>1301</v>
      </c>
      <c r="J1639" s="130" t="s">
        <v>1301</v>
      </c>
      <c r="K1639" s="130" t="s">
        <v>1302</v>
      </c>
      <c r="L1639" s="130" t="s">
        <v>2104</v>
      </c>
      <c r="M1639" s="130" t="s">
        <v>1925</v>
      </c>
      <c r="N1639" s="130" t="s">
        <v>120</v>
      </c>
      <c r="O1639" s="130" t="s">
        <v>1845</v>
      </c>
      <c r="P1639" s="130" t="s">
        <v>1846</v>
      </c>
      <c r="Q1639" s="130" t="s">
        <v>1127</v>
      </c>
      <c r="R1639" s="130" t="s">
        <v>1191</v>
      </c>
      <c r="S1639" s="130" t="s">
        <v>1157</v>
      </c>
      <c r="T1639" s="130" t="s">
        <v>1369</v>
      </c>
      <c r="U1639" s="130">
        <v>7000</v>
      </c>
      <c r="V1639" s="131">
        <v>0</v>
      </c>
      <c r="W1639" s="131">
        <v>7000</v>
      </c>
      <c r="X1639" s="131">
        <v>2800</v>
      </c>
      <c r="Y1639" s="131">
        <v>4200</v>
      </c>
      <c r="Z1639" s="131">
        <v>2800</v>
      </c>
      <c r="AA1639" s="131">
        <v>4200</v>
      </c>
      <c r="AB1639" s="131">
        <v>2800</v>
      </c>
      <c r="AC1639" s="131">
        <v>4200</v>
      </c>
      <c r="AD1639" s="131">
        <v>2800</v>
      </c>
      <c r="AE1639" s="132">
        <v>4200</v>
      </c>
    </row>
    <row r="1640" spans="1:31" x14ac:dyDescent="0.2">
      <c r="A1640" s="133">
        <v>290</v>
      </c>
      <c r="B1640" s="133" t="s">
        <v>1841</v>
      </c>
      <c r="C1640" s="133" t="s">
        <v>1199</v>
      </c>
      <c r="D1640" s="133" t="s">
        <v>2103</v>
      </c>
      <c r="E1640" s="133" t="s">
        <v>1201</v>
      </c>
      <c r="F1640" s="133" t="s">
        <v>1117</v>
      </c>
      <c r="G1640" s="133" t="s">
        <v>1202</v>
      </c>
      <c r="H1640" s="133" t="s">
        <v>1216</v>
      </c>
      <c r="I1640" s="130" t="s">
        <v>1242</v>
      </c>
      <c r="J1640" s="130" t="s">
        <v>1243</v>
      </c>
      <c r="K1640" s="130" t="s">
        <v>1303</v>
      </c>
      <c r="L1640" s="130" t="s">
        <v>2104</v>
      </c>
      <c r="M1640" s="130" t="s">
        <v>1925</v>
      </c>
      <c r="N1640" s="130" t="s">
        <v>120</v>
      </c>
      <c r="O1640" s="130" t="s">
        <v>1845</v>
      </c>
      <c r="P1640" s="130" t="s">
        <v>1846</v>
      </c>
      <c r="Q1640" s="130" t="s">
        <v>1127</v>
      </c>
      <c r="R1640" s="130" t="s">
        <v>1191</v>
      </c>
      <c r="S1640" s="130" t="s">
        <v>1157</v>
      </c>
      <c r="T1640" s="130" t="s">
        <v>1369</v>
      </c>
      <c r="U1640" s="130">
        <v>10000</v>
      </c>
      <c r="V1640" s="131">
        <v>260</v>
      </c>
      <c r="W1640" s="131">
        <v>10260</v>
      </c>
      <c r="X1640" s="131">
        <v>10260</v>
      </c>
      <c r="Y1640" s="131">
        <v>0</v>
      </c>
      <c r="Z1640" s="131">
        <v>10260</v>
      </c>
      <c r="AA1640" s="131">
        <v>0</v>
      </c>
      <c r="AB1640" s="131">
        <v>10260</v>
      </c>
      <c r="AC1640" s="131">
        <v>0</v>
      </c>
      <c r="AD1640" s="131">
        <v>0</v>
      </c>
      <c r="AE1640" s="132">
        <v>10260</v>
      </c>
    </row>
    <row r="1641" spans="1:31" x14ac:dyDescent="0.2">
      <c r="A1641" s="133">
        <v>290</v>
      </c>
      <c r="B1641" s="133" t="s">
        <v>1841</v>
      </c>
      <c r="C1641" s="133" t="s">
        <v>1199</v>
      </c>
      <c r="D1641" s="133" t="s">
        <v>2103</v>
      </c>
      <c r="E1641" s="133" t="s">
        <v>1201</v>
      </c>
      <c r="F1641" s="133" t="s">
        <v>1117</v>
      </c>
      <c r="G1641" s="133" t="s">
        <v>1202</v>
      </c>
      <c r="H1641" s="133" t="s">
        <v>1216</v>
      </c>
      <c r="I1641" s="130" t="s">
        <v>1222</v>
      </c>
      <c r="J1641" s="130" t="s">
        <v>1304</v>
      </c>
      <c r="K1641" s="130" t="s">
        <v>1248</v>
      </c>
      <c r="L1641" s="130" t="s">
        <v>2104</v>
      </c>
      <c r="M1641" s="130" t="s">
        <v>1925</v>
      </c>
      <c r="N1641" s="130" t="s">
        <v>120</v>
      </c>
      <c r="O1641" s="130" t="s">
        <v>1845</v>
      </c>
      <c r="P1641" s="130" t="s">
        <v>1846</v>
      </c>
      <c r="Q1641" s="130" t="s">
        <v>1127</v>
      </c>
      <c r="R1641" s="130" t="s">
        <v>1191</v>
      </c>
      <c r="S1641" s="130" t="s">
        <v>1157</v>
      </c>
      <c r="T1641" s="130" t="s">
        <v>1369</v>
      </c>
      <c r="U1641" s="130">
        <v>3000</v>
      </c>
      <c r="V1641" s="131">
        <v>-3000</v>
      </c>
      <c r="W1641" s="131">
        <v>0</v>
      </c>
      <c r="X1641" s="131">
        <v>0</v>
      </c>
      <c r="Y1641" s="131">
        <v>0</v>
      </c>
      <c r="Z1641" s="131">
        <v>0</v>
      </c>
      <c r="AA1641" s="131">
        <v>0</v>
      </c>
      <c r="AB1641" s="131">
        <v>0</v>
      </c>
      <c r="AC1641" s="131">
        <v>0</v>
      </c>
      <c r="AD1641" s="131">
        <v>0</v>
      </c>
      <c r="AE1641" s="132">
        <v>0</v>
      </c>
    </row>
    <row r="1642" spans="1:31" x14ac:dyDescent="0.2">
      <c r="A1642" s="133">
        <v>290</v>
      </c>
      <c r="B1642" s="133" t="s">
        <v>1841</v>
      </c>
      <c r="C1642" s="133" t="s">
        <v>1199</v>
      </c>
      <c r="D1642" s="133" t="s">
        <v>2103</v>
      </c>
      <c r="E1642" s="133" t="s">
        <v>1201</v>
      </c>
      <c r="F1642" s="133" t="s">
        <v>1117</v>
      </c>
      <c r="G1642" s="133" t="s">
        <v>1202</v>
      </c>
      <c r="H1642" s="133" t="s">
        <v>1216</v>
      </c>
      <c r="I1642" s="133" t="s">
        <v>1222</v>
      </c>
      <c r="J1642" s="133" t="s">
        <v>1304</v>
      </c>
      <c r="K1642" s="130" t="s">
        <v>1305</v>
      </c>
      <c r="L1642" s="130" t="s">
        <v>2104</v>
      </c>
      <c r="M1642" s="130" t="s">
        <v>1925</v>
      </c>
      <c r="N1642" s="130" t="s">
        <v>120</v>
      </c>
      <c r="O1642" s="130" t="s">
        <v>1845</v>
      </c>
      <c r="P1642" s="130" t="s">
        <v>1846</v>
      </c>
      <c r="Q1642" s="130" t="s">
        <v>1127</v>
      </c>
      <c r="R1642" s="130" t="s">
        <v>1191</v>
      </c>
      <c r="S1642" s="130" t="s">
        <v>1157</v>
      </c>
      <c r="T1642" s="130" t="s">
        <v>1369</v>
      </c>
      <c r="U1642" s="130">
        <v>3000</v>
      </c>
      <c r="V1642" s="131">
        <v>2900</v>
      </c>
      <c r="W1642" s="131">
        <v>5900</v>
      </c>
      <c r="X1642" s="131">
        <v>4556.82</v>
      </c>
      <c r="Y1642" s="131">
        <v>1343.1800000000003</v>
      </c>
      <c r="Z1642" s="131">
        <v>4556.82</v>
      </c>
      <c r="AA1642" s="131">
        <v>1343.1800000000003</v>
      </c>
      <c r="AB1642" s="131">
        <v>4556.82</v>
      </c>
      <c r="AC1642" s="131">
        <v>1343.1800000000003</v>
      </c>
      <c r="AD1642" s="131">
        <v>4556.82</v>
      </c>
      <c r="AE1642" s="132">
        <v>1343.1800000000003</v>
      </c>
    </row>
    <row r="1643" spans="1:31" x14ac:dyDescent="0.2">
      <c r="A1643" s="133">
        <v>290</v>
      </c>
      <c r="B1643" s="133" t="s">
        <v>1841</v>
      </c>
      <c r="C1643" s="133" t="s">
        <v>1199</v>
      </c>
      <c r="D1643" s="133" t="s">
        <v>2103</v>
      </c>
      <c r="E1643" s="133" t="s">
        <v>1201</v>
      </c>
      <c r="F1643" s="133" t="s">
        <v>1117</v>
      </c>
      <c r="G1643" s="133" t="s">
        <v>1202</v>
      </c>
      <c r="H1643" s="133" t="s">
        <v>1216</v>
      </c>
      <c r="I1643" s="133" t="s">
        <v>1222</v>
      </c>
      <c r="J1643" s="130" t="s">
        <v>1245</v>
      </c>
      <c r="K1643" s="130" t="s">
        <v>1246</v>
      </c>
      <c r="L1643" s="130" t="s">
        <v>2104</v>
      </c>
      <c r="M1643" s="130" t="s">
        <v>1925</v>
      </c>
      <c r="N1643" s="130" t="s">
        <v>120</v>
      </c>
      <c r="O1643" s="130" t="s">
        <v>1845</v>
      </c>
      <c r="P1643" s="130" t="s">
        <v>1846</v>
      </c>
      <c r="Q1643" s="130" t="s">
        <v>1127</v>
      </c>
      <c r="R1643" s="130" t="s">
        <v>1191</v>
      </c>
      <c r="S1643" s="130" t="s">
        <v>1157</v>
      </c>
      <c r="T1643" s="130" t="s">
        <v>1369</v>
      </c>
      <c r="U1643" s="130">
        <v>1000</v>
      </c>
      <c r="V1643" s="131">
        <v>250</v>
      </c>
      <c r="W1643" s="131">
        <v>1250</v>
      </c>
      <c r="X1643" s="131">
        <v>1241</v>
      </c>
      <c r="Y1643" s="131">
        <v>9</v>
      </c>
      <c r="Z1643" s="131">
        <v>1241</v>
      </c>
      <c r="AA1643" s="131">
        <v>9</v>
      </c>
      <c r="AB1643" s="131">
        <v>1241</v>
      </c>
      <c r="AC1643" s="131">
        <v>9</v>
      </c>
      <c r="AD1643" s="131">
        <v>1241</v>
      </c>
      <c r="AE1643" s="132">
        <v>9</v>
      </c>
    </row>
    <row r="1644" spans="1:31" x14ac:dyDescent="0.2">
      <c r="A1644" s="133">
        <v>290</v>
      </c>
      <c r="B1644" s="133" t="s">
        <v>1841</v>
      </c>
      <c r="C1644" s="133" t="s">
        <v>1199</v>
      </c>
      <c r="D1644" s="133" t="s">
        <v>2103</v>
      </c>
      <c r="E1644" s="133" t="s">
        <v>1201</v>
      </c>
      <c r="F1644" s="133" t="s">
        <v>1117</v>
      </c>
      <c r="G1644" s="133" t="s">
        <v>1202</v>
      </c>
      <c r="H1644" s="133" t="s">
        <v>1216</v>
      </c>
      <c r="I1644" s="130" t="s">
        <v>1247</v>
      </c>
      <c r="J1644" s="130" t="s">
        <v>1248</v>
      </c>
      <c r="K1644" s="130" t="s">
        <v>1249</v>
      </c>
      <c r="L1644" s="130" t="s">
        <v>2104</v>
      </c>
      <c r="M1644" s="130" t="s">
        <v>1925</v>
      </c>
      <c r="N1644" s="130" t="s">
        <v>120</v>
      </c>
      <c r="O1644" s="130" t="s">
        <v>1845</v>
      </c>
      <c r="P1644" s="130" t="s">
        <v>1846</v>
      </c>
      <c r="Q1644" s="130" t="s">
        <v>1127</v>
      </c>
      <c r="R1644" s="130" t="s">
        <v>1191</v>
      </c>
      <c r="S1644" s="130" t="s">
        <v>1157</v>
      </c>
      <c r="T1644" s="130" t="s">
        <v>1369</v>
      </c>
      <c r="U1644" s="130">
        <v>4000</v>
      </c>
      <c r="V1644" s="131">
        <v>0</v>
      </c>
      <c r="W1644" s="131">
        <v>4000</v>
      </c>
      <c r="X1644" s="131">
        <v>500</v>
      </c>
      <c r="Y1644" s="131">
        <v>3500</v>
      </c>
      <c r="Z1644" s="131">
        <v>500</v>
      </c>
      <c r="AA1644" s="131">
        <v>3500</v>
      </c>
      <c r="AB1644" s="131">
        <v>500</v>
      </c>
      <c r="AC1644" s="131">
        <v>3500</v>
      </c>
      <c r="AD1644" s="131">
        <v>500</v>
      </c>
      <c r="AE1644" s="132">
        <v>3500</v>
      </c>
    </row>
    <row r="1645" spans="1:31" x14ac:dyDescent="0.2">
      <c r="A1645" s="133">
        <v>290</v>
      </c>
      <c r="B1645" s="133" t="s">
        <v>1841</v>
      </c>
      <c r="C1645" s="133" t="s">
        <v>1199</v>
      </c>
      <c r="D1645" s="133" t="s">
        <v>2103</v>
      </c>
      <c r="E1645" s="133" t="s">
        <v>1201</v>
      </c>
      <c r="F1645" s="133" t="s">
        <v>1117</v>
      </c>
      <c r="G1645" s="133" t="s">
        <v>1202</v>
      </c>
      <c r="H1645" s="130" t="s">
        <v>1203</v>
      </c>
      <c r="I1645" s="130" t="s">
        <v>1204</v>
      </c>
      <c r="J1645" s="130" t="s">
        <v>1205</v>
      </c>
      <c r="K1645" s="130" t="s">
        <v>1255</v>
      </c>
      <c r="L1645" s="130" t="s">
        <v>2104</v>
      </c>
      <c r="M1645" s="130" t="s">
        <v>1925</v>
      </c>
      <c r="N1645" s="130" t="s">
        <v>120</v>
      </c>
      <c r="O1645" s="130" t="s">
        <v>1845</v>
      </c>
      <c r="P1645" s="130" t="s">
        <v>1846</v>
      </c>
      <c r="Q1645" s="130" t="s">
        <v>1127</v>
      </c>
      <c r="R1645" s="130" t="s">
        <v>1191</v>
      </c>
      <c r="S1645" s="130" t="s">
        <v>1157</v>
      </c>
      <c r="T1645" s="130" t="s">
        <v>1369</v>
      </c>
      <c r="U1645" s="130">
        <v>5000</v>
      </c>
      <c r="V1645" s="131">
        <v>5000</v>
      </c>
      <c r="W1645" s="131">
        <v>10000</v>
      </c>
      <c r="X1645" s="131">
        <v>5335.68</v>
      </c>
      <c r="Y1645" s="131">
        <v>4664.32</v>
      </c>
      <c r="Z1645" s="131">
        <v>5335.68</v>
      </c>
      <c r="AA1645" s="131">
        <v>4664.32</v>
      </c>
      <c r="AB1645" s="131">
        <v>5335.68</v>
      </c>
      <c r="AC1645" s="131">
        <v>4664.32</v>
      </c>
      <c r="AD1645" s="131">
        <v>5335.68</v>
      </c>
      <c r="AE1645" s="132">
        <v>4664.32</v>
      </c>
    </row>
    <row r="1646" spans="1:31" x14ac:dyDescent="0.2">
      <c r="A1646" s="133">
        <v>290</v>
      </c>
      <c r="B1646" s="133" t="s">
        <v>1841</v>
      </c>
      <c r="C1646" s="133" t="s">
        <v>1199</v>
      </c>
      <c r="D1646" s="133" t="s">
        <v>2103</v>
      </c>
      <c r="E1646" s="133" t="s">
        <v>1201</v>
      </c>
      <c r="F1646" s="133" t="s">
        <v>1117</v>
      </c>
      <c r="G1646" s="133" t="s">
        <v>1202</v>
      </c>
      <c r="H1646" s="133" t="s">
        <v>1203</v>
      </c>
      <c r="I1646" s="133" t="s">
        <v>1204</v>
      </c>
      <c r="J1646" s="133" t="s">
        <v>1205</v>
      </c>
      <c r="K1646" s="130" t="s">
        <v>1256</v>
      </c>
      <c r="L1646" s="130" t="s">
        <v>2104</v>
      </c>
      <c r="M1646" s="130" t="s">
        <v>1925</v>
      </c>
      <c r="N1646" s="130" t="s">
        <v>120</v>
      </c>
      <c r="O1646" s="130" t="s">
        <v>1845</v>
      </c>
      <c r="P1646" s="130" t="s">
        <v>1846</v>
      </c>
      <c r="Q1646" s="130" t="s">
        <v>1127</v>
      </c>
      <c r="R1646" s="130" t="s">
        <v>1191</v>
      </c>
      <c r="S1646" s="130" t="s">
        <v>1157</v>
      </c>
      <c r="T1646" s="130" t="s">
        <v>1369</v>
      </c>
      <c r="U1646" s="130">
        <v>6700</v>
      </c>
      <c r="V1646" s="131">
        <v>5000</v>
      </c>
      <c r="W1646" s="131">
        <v>11700</v>
      </c>
      <c r="X1646" s="131">
        <v>7053.4</v>
      </c>
      <c r="Y1646" s="131">
        <v>4646.6000000000004</v>
      </c>
      <c r="Z1646" s="131">
        <v>7053.4</v>
      </c>
      <c r="AA1646" s="131">
        <v>4646.6000000000004</v>
      </c>
      <c r="AB1646" s="131">
        <v>7053.4</v>
      </c>
      <c r="AC1646" s="131">
        <v>4646.6000000000004</v>
      </c>
      <c r="AD1646" s="131">
        <v>7053.4</v>
      </c>
      <c r="AE1646" s="132">
        <v>4646.6000000000004</v>
      </c>
    </row>
    <row r="1647" spans="1:31" x14ac:dyDescent="0.2">
      <c r="A1647" s="133">
        <v>290</v>
      </c>
      <c r="B1647" s="133" t="s">
        <v>1841</v>
      </c>
      <c r="C1647" s="133" t="s">
        <v>1199</v>
      </c>
      <c r="D1647" s="133" t="s">
        <v>2103</v>
      </c>
      <c r="E1647" s="133" t="s">
        <v>1201</v>
      </c>
      <c r="F1647" s="133" t="s">
        <v>1117</v>
      </c>
      <c r="G1647" s="133" t="s">
        <v>1202</v>
      </c>
      <c r="H1647" s="133" t="s">
        <v>1203</v>
      </c>
      <c r="I1647" s="133" t="s">
        <v>1204</v>
      </c>
      <c r="J1647" s="133" t="s">
        <v>1205</v>
      </c>
      <c r="K1647" s="130" t="s">
        <v>1206</v>
      </c>
      <c r="L1647" s="130" t="s">
        <v>2104</v>
      </c>
      <c r="M1647" s="130" t="s">
        <v>1925</v>
      </c>
      <c r="N1647" s="130" t="s">
        <v>120</v>
      </c>
      <c r="O1647" s="130" t="s">
        <v>1845</v>
      </c>
      <c r="P1647" s="130" t="s">
        <v>1846</v>
      </c>
      <c r="Q1647" s="130" t="s">
        <v>1127</v>
      </c>
      <c r="R1647" s="130" t="s">
        <v>1191</v>
      </c>
      <c r="S1647" s="130" t="s">
        <v>1157</v>
      </c>
      <c r="T1647" s="130" t="s">
        <v>1369</v>
      </c>
      <c r="U1647" s="130">
        <v>250</v>
      </c>
      <c r="V1647" s="131">
        <v>0</v>
      </c>
      <c r="W1647" s="131">
        <v>250</v>
      </c>
      <c r="X1647" s="131">
        <v>0</v>
      </c>
      <c r="Y1647" s="131">
        <v>250</v>
      </c>
      <c r="Z1647" s="131">
        <v>0</v>
      </c>
      <c r="AA1647" s="131">
        <v>250</v>
      </c>
      <c r="AB1647" s="131">
        <v>0</v>
      </c>
      <c r="AC1647" s="131">
        <v>250</v>
      </c>
      <c r="AD1647" s="131">
        <v>0</v>
      </c>
      <c r="AE1647" s="132">
        <v>250</v>
      </c>
    </row>
    <row r="1648" spans="1:31" x14ac:dyDescent="0.2">
      <c r="A1648" s="133">
        <v>290</v>
      </c>
      <c r="B1648" s="133" t="s">
        <v>1841</v>
      </c>
      <c r="C1648" s="133" t="s">
        <v>1199</v>
      </c>
      <c r="D1648" s="133" t="s">
        <v>2103</v>
      </c>
      <c r="E1648" s="133" t="s">
        <v>1201</v>
      </c>
      <c r="F1648" s="133" t="s">
        <v>1117</v>
      </c>
      <c r="G1648" s="133" t="s">
        <v>1202</v>
      </c>
      <c r="H1648" s="133" t="s">
        <v>1203</v>
      </c>
      <c r="I1648" s="130" t="s">
        <v>1224</v>
      </c>
      <c r="J1648" s="130" t="s">
        <v>1529</v>
      </c>
      <c r="K1648" s="130" t="s">
        <v>1848</v>
      </c>
      <c r="L1648" s="130" t="s">
        <v>2104</v>
      </c>
      <c r="M1648" s="130" t="s">
        <v>1925</v>
      </c>
      <c r="N1648" s="130" t="s">
        <v>120</v>
      </c>
      <c r="O1648" s="130" t="s">
        <v>1845</v>
      </c>
      <c r="P1648" s="130" t="s">
        <v>1846</v>
      </c>
      <c r="Q1648" s="130" t="s">
        <v>1127</v>
      </c>
      <c r="R1648" s="130" t="s">
        <v>1191</v>
      </c>
      <c r="S1648" s="130" t="s">
        <v>1157</v>
      </c>
      <c r="T1648" s="130" t="s">
        <v>1369</v>
      </c>
      <c r="U1648" s="130">
        <v>950</v>
      </c>
      <c r="V1648" s="131">
        <v>0</v>
      </c>
      <c r="W1648" s="131">
        <v>950</v>
      </c>
      <c r="X1648" s="131">
        <v>0</v>
      </c>
      <c r="Y1648" s="131">
        <v>950</v>
      </c>
      <c r="Z1648" s="131">
        <v>0</v>
      </c>
      <c r="AA1648" s="131">
        <v>950</v>
      </c>
      <c r="AB1648" s="131">
        <v>0</v>
      </c>
      <c r="AC1648" s="131">
        <v>950</v>
      </c>
      <c r="AD1648" s="131">
        <v>0</v>
      </c>
      <c r="AE1648" s="132">
        <v>950</v>
      </c>
    </row>
    <row r="1649" spans="1:31" x14ac:dyDescent="0.2">
      <c r="A1649" s="133">
        <v>290</v>
      </c>
      <c r="B1649" s="133" t="s">
        <v>1841</v>
      </c>
      <c r="C1649" s="133" t="s">
        <v>1199</v>
      </c>
      <c r="D1649" s="133" t="s">
        <v>2103</v>
      </c>
      <c r="E1649" s="133" t="s">
        <v>1201</v>
      </c>
      <c r="F1649" s="133" t="s">
        <v>1117</v>
      </c>
      <c r="G1649" s="133" t="s">
        <v>1202</v>
      </c>
      <c r="H1649" s="133" t="s">
        <v>1203</v>
      </c>
      <c r="I1649" s="133" t="s">
        <v>1224</v>
      </c>
      <c r="J1649" s="133" t="s">
        <v>1529</v>
      </c>
      <c r="K1649" s="130" t="s">
        <v>1530</v>
      </c>
      <c r="L1649" s="130" t="s">
        <v>2104</v>
      </c>
      <c r="M1649" s="130" t="s">
        <v>1925</v>
      </c>
      <c r="N1649" s="130" t="s">
        <v>120</v>
      </c>
      <c r="O1649" s="130" t="s">
        <v>1845</v>
      </c>
      <c r="P1649" s="130" t="s">
        <v>1846</v>
      </c>
      <c r="Q1649" s="130" t="s">
        <v>1127</v>
      </c>
      <c r="R1649" s="130" t="s">
        <v>1191</v>
      </c>
      <c r="S1649" s="130" t="s">
        <v>1157</v>
      </c>
      <c r="T1649" s="130" t="s">
        <v>1369</v>
      </c>
      <c r="U1649" s="130">
        <v>680</v>
      </c>
      <c r="V1649" s="131">
        <v>0</v>
      </c>
      <c r="W1649" s="131">
        <v>680</v>
      </c>
      <c r="X1649" s="131">
        <v>0</v>
      </c>
      <c r="Y1649" s="131">
        <v>680</v>
      </c>
      <c r="Z1649" s="131">
        <v>0</v>
      </c>
      <c r="AA1649" s="131">
        <v>680</v>
      </c>
      <c r="AB1649" s="131">
        <v>0</v>
      </c>
      <c r="AC1649" s="131">
        <v>680</v>
      </c>
      <c r="AD1649" s="131">
        <v>0</v>
      </c>
      <c r="AE1649" s="132">
        <v>680</v>
      </c>
    </row>
    <row r="1650" spans="1:31" x14ac:dyDescent="0.2">
      <c r="A1650" s="133">
        <v>290</v>
      </c>
      <c r="B1650" s="133" t="s">
        <v>1841</v>
      </c>
      <c r="C1650" s="133" t="s">
        <v>1199</v>
      </c>
      <c r="D1650" s="133" t="s">
        <v>2103</v>
      </c>
      <c r="E1650" s="133" t="s">
        <v>1201</v>
      </c>
      <c r="F1650" s="133" t="s">
        <v>1117</v>
      </c>
      <c r="G1650" s="133" t="s">
        <v>1202</v>
      </c>
      <c r="H1650" s="133" t="s">
        <v>1203</v>
      </c>
      <c r="I1650" s="133" t="s">
        <v>1224</v>
      </c>
      <c r="J1650" s="130" t="s">
        <v>1306</v>
      </c>
      <c r="K1650" s="130" t="s">
        <v>1307</v>
      </c>
      <c r="L1650" s="130" t="s">
        <v>2104</v>
      </c>
      <c r="M1650" s="130" t="s">
        <v>1925</v>
      </c>
      <c r="N1650" s="130" t="s">
        <v>120</v>
      </c>
      <c r="O1650" s="130" t="s">
        <v>1845</v>
      </c>
      <c r="P1650" s="130" t="s">
        <v>1846</v>
      </c>
      <c r="Q1650" s="130" t="s">
        <v>1127</v>
      </c>
      <c r="R1650" s="130" t="s">
        <v>1191</v>
      </c>
      <c r="S1650" s="130" t="s">
        <v>1157</v>
      </c>
      <c r="T1650" s="130" t="s">
        <v>1369</v>
      </c>
      <c r="U1650" s="130">
        <v>500</v>
      </c>
      <c r="V1650" s="131">
        <v>0</v>
      </c>
      <c r="W1650" s="131">
        <v>500</v>
      </c>
      <c r="X1650" s="131">
        <v>0</v>
      </c>
      <c r="Y1650" s="131">
        <v>500</v>
      </c>
      <c r="Z1650" s="131">
        <v>0</v>
      </c>
      <c r="AA1650" s="131">
        <v>500</v>
      </c>
      <c r="AB1650" s="131">
        <v>0</v>
      </c>
      <c r="AC1650" s="131">
        <v>500</v>
      </c>
      <c r="AD1650" s="131">
        <v>0</v>
      </c>
      <c r="AE1650" s="132">
        <v>500</v>
      </c>
    </row>
    <row r="1651" spans="1:31" x14ac:dyDescent="0.2">
      <c r="A1651" s="133">
        <v>290</v>
      </c>
      <c r="B1651" s="133" t="s">
        <v>1841</v>
      </c>
      <c r="C1651" s="133" t="s">
        <v>1199</v>
      </c>
      <c r="D1651" s="133" t="s">
        <v>2103</v>
      </c>
      <c r="E1651" s="133" t="s">
        <v>1201</v>
      </c>
      <c r="F1651" s="133" t="s">
        <v>1117</v>
      </c>
      <c r="G1651" s="133" t="s">
        <v>1202</v>
      </c>
      <c r="H1651" s="133" t="s">
        <v>1203</v>
      </c>
      <c r="I1651" s="133" t="s">
        <v>1224</v>
      </c>
      <c r="J1651" s="130" t="s">
        <v>1225</v>
      </c>
      <c r="K1651" s="130" t="s">
        <v>1226</v>
      </c>
      <c r="L1651" s="130" t="s">
        <v>2104</v>
      </c>
      <c r="M1651" s="130" t="s">
        <v>1925</v>
      </c>
      <c r="N1651" s="130" t="s">
        <v>120</v>
      </c>
      <c r="O1651" s="130" t="s">
        <v>1845</v>
      </c>
      <c r="P1651" s="130" t="s">
        <v>1846</v>
      </c>
      <c r="Q1651" s="130" t="s">
        <v>1127</v>
      </c>
      <c r="R1651" s="130" t="s">
        <v>1191</v>
      </c>
      <c r="S1651" s="130" t="s">
        <v>1157</v>
      </c>
      <c r="T1651" s="130" t="s">
        <v>1369</v>
      </c>
      <c r="U1651" s="130">
        <v>4000</v>
      </c>
      <c r="V1651" s="131">
        <v>0</v>
      </c>
      <c r="W1651" s="131">
        <v>4000</v>
      </c>
      <c r="X1651" s="131">
        <v>0</v>
      </c>
      <c r="Y1651" s="131">
        <v>4000</v>
      </c>
      <c r="Z1651" s="131">
        <v>0</v>
      </c>
      <c r="AA1651" s="131">
        <v>4000</v>
      </c>
      <c r="AB1651" s="131">
        <v>0</v>
      </c>
      <c r="AC1651" s="131">
        <v>4000</v>
      </c>
      <c r="AD1651" s="131">
        <v>0</v>
      </c>
      <c r="AE1651" s="132">
        <v>4000</v>
      </c>
    </row>
    <row r="1652" spans="1:31" x14ac:dyDescent="0.2">
      <c r="A1652" s="133">
        <v>290</v>
      </c>
      <c r="B1652" s="133" t="s">
        <v>1841</v>
      </c>
      <c r="C1652" s="133" t="s">
        <v>1199</v>
      </c>
      <c r="D1652" s="133" t="s">
        <v>2103</v>
      </c>
      <c r="E1652" s="133" t="s">
        <v>1201</v>
      </c>
      <c r="F1652" s="133" t="s">
        <v>1117</v>
      </c>
      <c r="G1652" s="133" t="s">
        <v>1202</v>
      </c>
      <c r="H1652" s="133" t="s">
        <v>1203</v>
      </c>
      <c r="I1652" s="130" t="s">
        <v>1264</v>
      </c>
      <c r="J1652" s="130" t="s">
        <v>1532</v>
      </c>
      <c r="K1652" s="130" t="s">
        <v>1249</v>
      </c>
      <c r="L1652" s="130" t="s">
        <v>2104</v>
      </c>
      <c r="M1652" s="130" t="s">
        <v>1925</v>
      </c>
      <c r="N1652" s="130" t="s">
        <v>120</v>
      </c>
      <c r="O1652" s="130" t="s">
        <v>1845</v>
      </c>
      <c r="P1652" s="130" t="s">
        <v>1846</v>
      </c>
      <c r="Q1652" s="130" t="s">
        <v>1127</v>
      </c>
      <c r="R1652" s="130" t="s">
        <v>1191</v>
      </c>
      <c r="S1652" s="130" t="s">
        <v>1157</v>
      </c>
      <c r="T1652" s="130" t="s">
        <v>1369</v>
      </c>
      <c r="U1652" s="130">
        <v>2000</v>
      </c>
      <c r="V1652" s="131">
        <v>0</v>
      </c>
      <c r="W1652" s="131">
        <v>2000</v>
      </c>
      <c r="X1652" s="131">
        <v>0</v>
      </c>
      <c r="Y1652" s="131">
        <v>2000</v>
      </c>
      <c r="Z1652" s="131">
        <v>0</v>
      </c>
      <c r="AA1652" s="131">
        <v>2000</v>
      </c>
      <c r="AB1652" s="131">
        <v>0</v>
      </c>
      <c r="AC1652" s="131">
        <v>2000</v>
      </c>
      <c r="AD1652" s="131">
        <v>0</v>
      </c>
      <c r="AE1652" s="132">
        <v>2000</v>
      </c>
    </row>
    <row r="1653" spans="1:31" x14ac:dyDescent="0.2">
      <c r="A1653" s="133">
        <v>290</v>
      </c>
      <c r="B1653" s="133" t="s">
        <v>1841</v>
      </c>
      <c r="C1653" s="133" t="s">
        <v>1199</v>
      </c>
      <c r="D1653" s="133" t="s">
        <v>2103</v>
      </c>
      <c r="E1653" s="133" t="s">
        <v>1201</v>
      </c>
      <c r="F1653" s="133" t="s">
        <v>1117</v>
      </c>
      <c r="G1653" s="133" t="s">
        <v>1202</v>
      </c>
      <c r="H1653" s="133" t="s">
        <v>1203</v>
      </c>
      <c r="I1653" s="130" t="s">
        <v>1269</v>
      </c>
      <c r="J1653" s="130" t="s">
        <v>1270</v>
      </c>
      <c r="K1653" s="130" t="s">
        <v>1272</v>
      </c>
      <c r="L1653" s="130" t="s">
        <v>2104</v>
      </c>
      <c r="M1653" s="130" t="s">
        <v>1925</v>
      </c>
      <c r="N1653" s="130" t="s">
        <v>120</v>
      </c>
      <c r="O1653" s="130" t="s">
        <v>1845</v>
      </c>
      <c r="P1653" s="130" t="s">
        <v>1846</v>
      </c>
      <c r="Q1653" s="130" t="s">
        <v>1127</v>
      </c>
      <c r="R1653" s="130" t="s">
        <v>1191</v>
      </c>
      <c r="S1653" s="130" t="s">
        <v>1157</v>
      </c>
      <c r="T1653" s="130" t="s">
        <v>1369</v>
      </c>
      <c r="U1653" s="130">
        <v>200</v>
      </c>
      <c r="V1653" s="131">
        <v>0</v>
      </c>
      <c r="W1653" s="131">
        <v>200</v>
      </c>
      <c r="X1653" s="131">
        <v>0</v>
      </c>
      <c r="Y1653" s="131">
        <v>200</v>
      </c>
      <c r="Z1653" s="131">
        <v>0</v>
      </c>
      <c r="AA1653" s="131">
        <v>200</v>
      </c>
      <c r="AB1653" s="131">
        <v>0</v>
      </c>
      <c r="AC1653" s="131">
        <v>200</v>
      </c>
      <c r="AD1653" s="131">
        <v>0</v>
      </c>
      <c r="AE1653" s="132">
        <v>200</v>
      </c>
    </row>
    <row r="1654" spans="1:31" x14ac:dyDescent="0.2">
      <c r="A1654" s="133">
        <v>290</v>
      </c>
      <c r="B1654" s="133" t="s">
        <v>1841</v>
      </c>
      <c r="C1654" s="133" t="s">
        <v>1199</v>
      </c>
      <c r="D1654" s="133" t="s">
        <v>2103</v>
      </c>
      <c r="E1654" s="133" t="s">
        <v>1201</v>
      </c>
      <c r="F1654" s="133" t="s">
        <v>1117</v>
      </c>
      <c r="G1654" s="133" t="s">
        <v>1202</v>
      </c>
      <c r="H1654" s="133" t="s">
        <v>1203</v>
      </c>
      <c r="I1654" s="130" t="s">
        <v>1209</v>
      </c>
      <c r="J1654" s="130" t="s">
        <v>1210</v>
      </c>
      <c r="K1654" s="130" t="s">
        <v>1273</v>
      </c>
      <c r="L1654" s="130" t="s">
        <v>2104</v>
      </c>
      <c r="M1654" s="130" t="s">
        <v>1925</v>
      </c>
      <c r="N1654" s="130" t="s">
        <v>120</v>
      </c>
      <c r="O1654" s="130" t="s">
        <v>1845</v>
      </c>
      <c r="P1654" s="130" t="s">
        <v>1846</v>
      </c>
      <c r="Q1654" s="130" t="s">
        <v>1127</v>
      </c>
      <c r="R1654" s="130" t="s">
        <v>1191</v>
      </c>
      <c r="S1654" s="130" t="s">
        <v>1157</v>
      </c>
      <c r="T1654" s="130" t="s">
        <v>1369</v>
      </c>
      <c r="U1654" s="130">
        <v>0</v>
      </c>
      <c r="V1654" s="131">
        <v>36000</v>
      </c>
      <c r="W1654" s="131">
        <v>36000</v>
      </c>
      <c r="X1654" s="131">
        <v>36000</v>
      </c>
      <c r="Y1654" s="131">
        <v>0</v>
      </c>
      <c r="Z1654" s="131">
        <v>36000</v>
      </c>
      <c r="AA1654" s="131">
        <v>0</v>
      </c>
      <c r="AB1654" s="131">
        <v>36000</v>
      </c>
      <c r="AC1654" s="131">
        <v>0</v>
      </c>
      <c r="AD1654" s="131">
        <v>36000</v>
      </c>
      <c r="AE1654" s="132">
        <v>0</v>
      </c>
    </row>
    <row r="1655" spans="1:31" x14ac:dyDescent="0.2">
      <c r="A1655" s="133">
        <v>290</v>
      </c>
      <c r="B1655" s="133" t="s">
        <v>1841</v>
      </c>
      <c r="C1655" s="133" t="s">
        <v>1199</v>
      </c>
      <c r="D1655" s="133" t="s">
        <v>2103</v>
      </c>
      <c r="E1655" s="133" t="s">
        <v>1201</v>
      </c>
      <c r="F1655" s="133" t="s">
        <v>1117</v>
      </c>
      <c r="G1655" s="133" t="s">
        <v>1202</v>
      </c>
      <c r="H1655" s="133" t="s">
        <v>1203</v>
      </c>
      <c r="I1655" s="133" t="s">
        <v>1209</v>
      </c>
      <c r="J1655" s="133" t="s">
        <v>1210</v>
      </c>
      <c r="K1655" s="130" t="s">
        <v>1539</v>
      </c>
      <c r="L1655" s="130" t="s">
        <v>2104</v>
      </c>
      <c r="M1655" s="130" t="s">
        <v>1925</v>
      </c>
      <c r="N1655" s="130" t="s">
        <v>120</v>
      </c>
      <c r="O1655" s="130" t="s">
        <v>1845</v>
      </c>
      <c r="P1655" s="130" t="s">
        <v>1846</v>
      </c>
      <c r="Q1655" s="130" t="s">
        <v>1127</v>
      </c>
      <c r="R1655" s="130" t="s">
        <v>1191</v>
      </c>
      <c r="S1655" s="130" t="s">
        <v>1157</v>
      </c>
      <c r="T1655" s="130" t="s">
        <v>1369</v>
      </c>
      <c r="U1655" s="130">
        <v>0</v>
      </c>
      <c r="V1655" s="131">
        <v>1600</v>
      </c>
      <c r="W1655" s="131">
        <v>1600</v>
      </c>
      <c r="X1655" s="131">
        <v>1600</v>
      </c>
      <c r="Y1655" s="131">
        <v>0</v>
      </c>
      <c r="Z1655" s="131">
        <v>1600</v>
      </c>
      <c r="AA1655" s="131">
        <v>0</v>
      </c>
      <c r="AB1655" s="131">
        <v>1600</v>
      </c>
      <c r="AC1655" s="131">
        <v>0</v>
      </c>
      <c r="AD1655" s="131">
        <v>1600</v>
      </c>
      <c r="AE1655" s="132">
        <v>0</v>
      </c>
    </row>
    <row r="1656" spans="1:31" x14ac:dyDescent="0.2">
      <c r="A1656" s="133">
        <v>290</v>
      </c>
      <c r="B1656" s="133" t="s">
        <v>1841</v>
      </c>
      <c r="C1656" s="133" t="s">
        <v>1199</v>
      </c>
      <c r="D1656" s="133" t="s">
        <v>2103</v>
      </c>
      <c r="E1656" s="133" t="s">
        <v>1201</v>
      </c>
      <c r="F1656" s="133" t="s">
        <v>1117</v>
      </c>
      <c r="G1656" s="133" t="s">
        <v>1202</v>
      </c>
      <c r="H1656" s="133" t="s">
        <v>1203</v>
      </c>
      <c r="I1656" s="133" t="s">
        <v>1209</v>
      </c>
      <c r="J1656" s="133" t="s">
        <v>1210</v>
      </c>
      <c r="K1656" s="130" t="s">
        <v>1211</v>
      </c>
      <c r="L1656" s="130" t="s">
        <v>2104</v>
      </c>
      <c r="M1656" s="130" t="s">
        <v>1925</v>
      </c>
      <c r="N1656" s="130" t="s">
        <v>120</v>
      </c>
      <c r="O1656" s="130" t="s">
        <v>1845</v>
      </c>
      <c r="P1656" s="130" t="s">
        <v>1846</v>
      </c>
      <c r="Q1656" s="130" t="s">
        <v>1127</v>
      </c>
      <c r="R1656" s="130" t="s">
        <v>1191</v>
      </c>
      <c r="S1656" s="130" t="s">
        <v>1157</v>
      </c>
      <c r="T1656" s="130" t="s">
        <v>1369</v>
      </c>
      <c r="U1656" s="130">
        <v>0</v>
      </c>
      <c r="V1656" s="131">
        <v>2940</v>
      </c>
      <c r="W1656" s="131">
        <v>2940</v>
      </c>
      <c r="X1656" s="131">
        <v>2940</v>
      </c>
      <c r="Y1656" s="131">
        <v>0</v>
      </c>
      <c r="Z1656" s="131">
        <v>2940</v>
      </c>
      <c r="AA1656" s="131">
        <v>0</v>
      </c>
      <c r="AB1656" s="131">
        <v>2940</v>
      </c>
      <c r="AC1656" s="131">
        <v>0</v>
      </c>
      <c r="AD1656" s="131">
        <v>2940</v>
      </c>
      <c r="AE1656" s="132">
        <v>0</v>
      </c>
    </row>
    <row r="1657" spans="1:31" x14ac:dyDescent="0.2">
      <c r="A1657" s="133">
        <v>290</v>
      </c>
      <c r="B1657" s="133" t="s">
        <v>1841</v>
      </c>
      <c r="C1657" s="133" t="s">
        <v>1199</v>
      </c>
      <c r="D1657" s="133" t="s">
        <v>2103</v>
      </c>
      <c r="E1657" s="133" t="s">
        <v>1201</v>
      </c>
      <c r="F1657" s="133" t="s">
        <v>1117</v>
      </c>
      <c r="G1657" s="133" t="s">
        <v>1202</v>
      </c>
      <c r="H1657" s="133" t="s">
        <v>1203</v>
      </c>
      <c r="I1657" s="133" t="s">
        <v>1209</v>
      </c>
      <c r="J1657" s="133" t="s">
        <v>1210</v>
      </c>
      <c r="K1657" s="130" t="s">
        <v>1274</v>
      </c>
      <c r="L1657" s="130" t="s">
        <v>2104</v>
      </c>
      <c r="M1657" s="130" t="s">
        <v>1925</v>
      </c>
      <c r="N1657" s="130" t="s">
        <v>120</v>
      </c>
      <c r="O1657" s="130" t="s">
        <v>1845</v>
      </c>
      <c r="P1657" s="130" t="s">
        <v>1846</v>
      </c>
      <c r="Q1657" s="130" t="s">
        <v>1127</v>
      </c>
      <c r="R1657" s="130" t="s">
        <v>1191</v>
      </c>
      <c r="S1657" s="130" t="s">
        <v>1157</v>
      </c>
      <c r="T1657" s="130" t="s">
        <v>1369</v>
      </c>
      <c r="U1657" s="130">
        <v>720</v>
      </c>
      <c r="V1657" s="131">
        <v>-410</v>
      </c>
      <c r="W1657" s="131">
        <v>310</v>
      </c>
      <c r="X1657" s="131">
        <v>0</v>
      </c>
      <c r="Y1657" s="131">
        <v>310</v>
      </c>
      <c r="Z1657" s="131">
        <v>0</v>
      </c>
      <c r="AA1657" s="131">
        <v>310</v>
      </c>
      <c r="AB1657" s="131">
        <v>0</v>
      </c>
      <c r="AC1657" s="131">
        <v>310</v>
      </c>
      <c r="AD1657" s="131">
        <v>0</v>
      </c>
      <c r="AE1657" s="132">
        <v>310</v>
      </c>
    </row>
    <row r="1658" spans="1:31" x14ac:dyDescent="0.2">
      <c r="A1658" s="133">
        <v>290</v>
      </c>
      <c r="B1658" s="133" t="s">
        <v>1841</v>
      </c>
      <c r="C1658" s="133" t="s">
        <v>1199</v>
      </c>
      <c r="D1658" s="133" t="s">
        <v>2103</v>
      </c>
      <c r="E1658" s="133" t="s">
        <v>1201</v>
      </c>
      <c r="F1658" s="133" t="s">
        <v>1117</v>
      </c>
      <c r="G1658" s="133" t="s">
        <v>1202</v>
      </c>
      <c r="H1658" s="133" t="s">
        <v>1203</v>
      </c>
      <c r="I1658" s="133" t="s">
        <v>1209</v>
      </c>
      <c r="J1658" s="130" t="s">
        <v>2105</v>
      </c>
      <c r="K1658" s="130" t="s">
        <v>2106</v>
      </c>
      <c r="L1658" s="130" t="s">
        <v>2104</v>
      </c>
      <c r="M1658" s="130" t="s">
        <v>1925</v>
      </c>
      <c r="N1658" s="130" t="s">
        <v>120</v>
      </c>
      <c r="O1658" s="130" t="s">
        <v>1845</v>
      </c>
      <c r="P1658" s="130" t="s">
        <v>1846</v>
      </c>
      <c r="Q1658" s="130" t="s">
        <v>1127</v>
      </c>
      <c r="R1658" s="130" t="s">
        <v>1191</v>
      </c>
      <c r="S1658" s="130" t="s">
        <v>1157</v>
      </c>
      <c r="T1658" s="130" t="s">
        <v>1369</v>
      </c>
      <c r="U1658" s="130">
        <v>51000</v>
      </c>
      <c r="V1658" s="131">
        <v>156680</v>
      </c>
      <c r="W1658" s="131">
        <v>207680</v>
      </c>
      <c r="X1658" s="131">
        <v>205280</v>
      </c>
      <c r="Y1658" s="131">
        <v>2400</v>
      </c>
      <c r="Z1658" s="131">
        <v>203780</v>
      </c>
      <c r="AA1658" s="131">
        <v>3900</v>
      </c>
      <c r="AB1658" s="131">
        <v>203780</v>
      </c>
      <c r="AC1658" s="131">
        <v>3900</v>
      </c>
      <c r="AD1658" s="131">
        <v>203780</v>
      </c>
      <c r="AE1658" s="132">
        <v>3900</v>
      </c>
    </row>
    <row r="1659" spans="1:31" x14ac:dyDescent="0.2">
      <c r="A1659" s="133">
        <v>290</v>
      </c>
      <c r="B1659" s="133" t="s">
        <v>1841</v>
      </c>
      <c r="C1659" s="133" t="s">
        <v>1199</v>
      </c>
      <c r="D1659" s="133" t="s">
        <v>2103</v>
      </c>
      <c r="E1659" s="130" t="s">
        <v>1855</v>
      </c>
      <c r="F1659" s="130" t="s">
        <v>1117</v>
      </c>
      <c r="G1659" s="130" t="s">
        <v>1202</v>
      </c>
      <c r="H1659" s="130" t="s">
        <v>1216</v>
      </c>
      <c r="I1659" s="130" t="s">
        <v>1301</v>
      </c>
      <c r="J1659" s="130" t="s">
        <v>1301</v>
      </c>
      <c r="K1659" s="130" t="s">
        <v>1302</v>
      </c>
      <c r="L1659" s="130" t="s">
        <v>2104</v>
      </c>
      <c r="M1659" s="130" t="s">
        <v>1925</v>
      </c>
      <c r="N1659" s="130" t="s">
        <v>120</v>
      </c>
      <c r="O1659" s="130" t="s">
        <v>1845</v>
      </c>
      <c r="P1659" s="130" t="s">
        <v>1846</v>
      </c>
      <c r="Q1659" s="130" t="s">
        <v>1127</v>
      </c>
      <c r="R1659" s="130" t="s">
        <v>1191</v>
      </c>
      <c r="S1659" s="130" t="s">
        <v>1157</v>
      </c>
      <c r="T1659" s="130" t="s">
        <v>1369</v>
      </c>
      <c r="U1659" s="130">
        <v>0</v>
      </c>
      <c r="V1659" s="131">
        <v>3000</v>
      </c>
      <c r="W1659" s="131">
        <v>3000</v>
      </c>
      <c r="X1659" s="131">
        <v>0</v>
      </c>
      <c r="Y1659" s="131">
        <v>3000</v>
      </c>
      <c r="Z1659" s="131">
        <v>0</v>
      </c>
      <c r="AA1659" s="131">
        <v>3000</v>
      </c>
      <c r="AB1659" s="131">
        <v>0</v>
      </c>
      <c r="AC1659" s="131">
        <v>3000</v>
      </c>
      <c r="AD1659" s="131">
        <v>0</v>
      </c>
      <c r="AE1659" s="132">
        <v>3000</v>
      </c>
    </row>
    <row r="1660" spans="1:31" x14ac:dyDescent="0.2">
      <c r="A1660" s="133">
        <v>290</v>
      </c>
      <c r="B1660" s="133" t="s">
        <v>1841</v>
      </c>
      <c r="C1660" s="133" t="s">
        <v>1199</v>
      </c>
      <c r="D1660" s="133" t="s">
        <v>2103</v>
      </c>
      <c r="E1660" s="133" t="s">
        <v>1855</v>
      </c>
      <c r="F1660" s="133" t="s">
        <v>1117</v>
      </c>
      <c r="G1660" s="133" t="s">
        <v>1202</v>
      </c>
      <c r="H1660" s="130" t="s">
        <v>1203</v>
      </c>
      <c r="I1660" s="130" t="s">
        <v>1264</v>
      </c>
      <c r="J1660" s="130" t="s">
        <v>1265</v>
      </c>
      <c r="K1660" s="130" t="s">
        <v>1266</v>
      </c>
      <c r="L1660" s="130" t="s">
        <v>2104</v>
      </c>
      <c r="M1660" s="130" t="s">
        <v>1925</v>
      </c>
      <c r="N1660" s="130" t="s">
        <v>120</v>
      </c>
      <c r="O1660" s="130" t="s">
        <v>1845</v>
      </c>
      <c r="P1660" s="130" t="s">
        <v>1846</v>
      </c>
      <c r="Q1660" s="130" t="s">
        <v>1127</v>
      </c>
      <c r="R1660" s="130" t="s">
        <v>1191</v>
      </c>
      <c r="S1660" s="130" t="s">
        <v>1157</v>
      </c>
      <c r="T1660" s="130" t="s">
        <v>1369</v>
      </c>
      <c r="U1660" s="130">
        <v>0</v>
      </c>
      <c r="V1660" s="131">
        <v>42000</v>
      </c>
      <c r="W1660" s="131">
        <v>42000</v>
      </c>
      <c r="X1660" s="131">
        <v>41980</v>
      </c>
      <c r="Y1660" s="131">
        <v>20</v>
      </c>
      <c r="Z1660" s="131">
        <v>41980</v>
      </c>
      <c r="AA1660" s="131">
        <v>20</v>
      </c>
      <c r="AB1660" s="131">
        <v>41980</v>
      </c>
      <c r="AC1660" s="131">
        <v>20</v>
      </c>
      <c r="AD1660" s="131">
        <v>41980</v>
      </c>
      <c r="AE1660" s="132">
        <v>20</v>
      </c>
    </row>
    <row r="1661" spans="1:31" x14ac:dyDescent="0.2">
      <c r="A1661" s="133">
        <v>290</v>
      </c>
      <c r="B1661" s="133" t="s">
        <v>1841</v>
      </c>
      <c r="C1661" s="133" t="s">
        <v>1199</v>
      </c>
      <c r="D1661" s="133" t="s">
        <v>2103</v>
      </c>
      <c r="E1661" s="133" t="s">
        <v>1855</v>
      </c>
      <c r="F1661" s="133" t="s">
        <v>1117</v>
      </c>
      <c r="G1661" s="133" t="s">
        <v>1202</v>
      </c>
      <c r="H1661" s="133" t="s">
        <v>1203</v>
      </c>
      <c r="I1661" s="130" t="s">
        <v>1309</v>
      </c>
      <c r="J1661" s="130" t="s">
        <v>1310</v>
      </c>
      <c r="K1661" s="130" t="s">
        <v>1310</v>
      </c>
      <c r="L1661" s="130" t="s">
        <v>2104</v>
      </c>
      <c r="M1661" s="130" t="s">
        <v>1925</v>
      </c>
      <c r="N1661" s="130" t="s">
        <v>120</v>
      </c>
      <c r="O1661" s="130" t="s">
        <v>1845</v>
      </c>
      <c r="P1661" s="130" t="s">
        <v>1846</v>
      </c>
      <c r="Q1661" s="130" t="s">
        <v>1127</v>
      </c>
      <c r="R1661" s="130" t="s">
        <v>1191</v>
      </c>
      <c r="S1661" s="130" t="s">
        <v>1157</v>
      </c>
      <c r="T1661" s="130" t="s">
        <v>1369</v>
      </c>
      <c r="U1661" s="130">
        <v>0</v>
      </c>
      <c r="V1661" s="131">
        <v>67800</v>
      </c>
      <c r="W1661" s="131">
        <v>67800</v>
      </c>
      <c r="X1661" s="131">
        <v>33000</v>
      </c>
      <c r="Y1661" s="131">
        <v>34800</v>
      </c>
      <c r="Z1661" s="131">
        <v>33000</v>
      </c>
      <c r="AA1661" s="131">
        <v>34800</v>
      </c>
      <c r="AB1661" s="131">
        <v>33000</v>
      </c>
      <c r="AC1661" s="131">
        <v>34800</v>
      </c>
      <c r="AD1661" s="131">
        <v>16600</v>
      </c>
      <c r="AE1661" s="132">
        <v>51200</v>
      </c>
    </row>
    <row r="1662" spans="1:31" x14ac:dyDescent="0.2">
      <c r="A1662" s="130">
        <v>291</v>
      </c>
      <c r="B1662" s="130" t="s">
        <v>1841</v>
      </c>
      <c r="C1662" s="130" t="s">
        <v>1199</v>
      </c>
      <c r="D1662" s="130" t="s">
        <v>2107</v>
      </c>
      <c r="E1662" s="130" t="s">
        <v>1201</v>
      </c>
      <c r="F1662" s="130" t="s">
        <v>1117</v>
      </c>
      <c r="G1662" s="130" t="s">
        <v>1276</v>
      </c>
      <c r="H1662" s="130" t="s">
        <v>1277</v>
      </c>
      <c r="I1662" s="130" t="s">
        <v>1278</v>
      </c>
      <c r="J1662" s="130" t="s">
        <v>1278</v>
      </c>
      <c r="K1662" s="130" t="s">
        <v>1279</v>
      </c>
      <c r="L1662" s="130" t="s">
        <v>2108</v>
      </c>
      <c r="M1662" s="130" t="s">
        <v>1925</v>
      </c>
      <c r="N1662" s="130" t="s">
        <v>120</v>
      </c>
      <c r="O1662" s="130" t="s">
        <v>1845</v>
      </c>
      <c r="P1662" s="130" t="s">
        <v>1846</v>
      </c>
      <c r="Q1662" s="130" t="s">
        <v>1127</v>
      </c>
      <c r="R1662" s="130" t="s">
        <v>1191</v>
      </c>
      <c r="S1662" s="130" t="s">
        <v>1157</v>
      </c>
      <c r="T1662" s="130" t="s">
        <v>1847</v>
      </c>
      <c r="U1662" s="130">
        <v>115926</v>
      </c>
      <c r="V1662" s="131">
        <v>0</v>
      </c>
      <c r="W1662" s="131">
        <v>115926</v>
      </c>
      <c r="X1662" s="131">
        <v>115926</v>
      </c>
      <c r="Y1662" s="131">
        <v>0</v>
      </c>
      <c r="Z1662" s="131">
        <v>115926</v>
      </c>
      <c r="AA1662" s="131">
        <v>0</v>
      </c>
      <c r="AB1662" s="131">
        <v>27138.15</v>
      </c>
      <c r="AC1662" s="131">
        <v>88787.85</v>
      </c>
      <c r="AD1662" s="131">
        <v>27138.15</v>
      </c>
      <c r="AE1662" s="132">
        <v>88787.85</v>
      </c>
    </row>
    <row r="1663" spans="1:31" x14ac:dyDescent="0.2">
      <c r="A1663" s="133">
        <v>291</v>
      </c>
      <c r="B1663" s="133" t="s">
        <v>1841</v>
      </c>
      <c r="C1663" s="133" t="s">
        <v>1199</v>
      </c>
      <c r="D1663" s="133" t="s">
        <v>2107</v>
      </c>
      <c r="E1663" s="133" t="s">
        <v>1201</v>
      </c>
      <c r="F1663" s="133" t="s">
        <v>1117</v>
      </c>
      <c r="G1663" s="133" t="s">
        <v>1276</v>
      </c>
      <c r="H1663" s="133" t="s">
        <v>1277</v>
      </c>
      <c r="I1663" s="133" t="s">
        <v>1278</v>
      </c>
      <c r="J1663" s="133" t="s">
        <v>1278</v>
      </c>
      <c r="K1663" s="130" t="s">
        <v>1281</v>
      </c>
      <c r="L1663" s="130" t="s">
        <v>2108</v>
      </c>
      <c r="M1663" s="130" t="s">
        <v>1925</v>
      </c>
      <c r="N1663" s="130" t="s">
        <v>120</v>
      </c>
      <c r="O1663" s="130" t="s">
        <v>1845</v>
      </c>
      <c r="P1663" s="130" t="s">
        <v>1846</v>
      </c>
      <c r="Q1663" s="130" t="s">
        <v>1127</v>
      </c>
      <c r="R1663" s="130" t="s">
        <v>1191</v>
      </c>
      <c r="S1663" s="130" t="s">
        <v>1157</v>
      </c>
      <c r="T1663" s="130" t="s">
        <v>1847</v>
      </c>
      <c r="U1663" s="130">
        <v>23825</v>
      </c>
      <c r="V1663" s="131">
        <v>1000</v>
      </c>
      <c r="W1663" s="131">
        <v>24825</v>
      </c>
      <c r="X1663" s="131">
        <v>24825</v>
      </c>
      <c r="Y1663" s="131">
        <v>0</v>
      </c>
      <c r="Z1663" s="131">
        <v>24825</v>
      </c>
      <c r="AA1663" s="131">
        <v>0</v>
      </c>
      <c r="AB1663" s="131">
        <v>24786.68</v>
      </c>
      <c r="AC1663" s="131">
        <v>38.319999999999709</v>
      </c>
      <c r="AD1663" s="131">
        <v>24786.68</v>
      </c>
      <c r="AE1663" s="132">
        <v>38.319999999999709</v>
      </c>
    </row>
    <row r="1664" spans="1:31" x14ac:dyDescent="0.2">
      <c r="A1664" s="133">
        <v>291</v>
      </c>
      <c r="B1664" s="133" t="s">
        <v>1841</v>
      </c>
      <c r="C1664" s="133" t="s">
        <v>1199</v>
      </c>
      <c r="D1664" s="133" t="s">
        <v>2107</v>
      </c>
      <c r="E1664" s="133" t="s">
        <v>1201</v>
      </c>
      <c r="F1664" s="133" t="s">
        <v>1117</v>
      </c>
      <c r="G1664" s="133" t="s">
        <v>1276</v>
      </c>
      <c r="H1664" s="133" t="s">
        <v>1277</v>
      </c>
      <c r="I1664" s="133" t="s">
        <v>1278</v>
      </c>
      <c r="J1664" s="133" t="s">
        <v>1278</v>
      </c>
      <c r="K1664" s="130" t="s">
        <v>1282</v>
      </c>
      <c r="L1664" s="130" t="s">
        <v>2108</v>
      </c>
      <c r="M1664" s="130" t="s">
        <v>1925</v>
      </c>
      <c r="N1664" s="130" t="s">
        <v>120</v>
      </c>
      <c r="O1664" s="130" t="s">
        <v>1845</v>
      </c>
      <c r="P1664" s="130" t="s">
        <v>1846</v>
      </c>
      <c r="Q1664" s="130" t="s">
        <v>1127</v>
      </c>
      <c r="R1664" s="130" t="s">
        <v>1191</v>
      </c>
      <c r="S1664" s="130" t="s">
        <v>1157</v>
      </c>
      <c r="T1664" s="130" t="s">
        <v>1847</v>
      </c>
      <c r="U1664" s="130">
        <v>18655</v>
      </c>
      <c r="V1664" s="131">
        <v>0</v>
      </c>
      <c r="W1664" s="131">
        <v>18655</v>
      </c>
      <c r="X1664" s="131">
        <v>18655</v>
      </c>
      <c r="Y1664" s="131">
        <v>0</v>
      </c>
      <c r="Z1664" s="131">
        <v>18655</v>
      </c>
      <c r="AA1664" s="131">
        <v>0</v>
      </c>
      <c r="AB1664" s="131">
        <v>9308.23</v>
      </c>
      <c r="AC1664" s="131">
        <v>9346.77</v>
      </c>
      <c r="AD1664" s="131">
        <v>9308.23</v>
      </c>
      <c r="AE1664" s="132">
        <v>9346.77</v>
      </c>
    </row>
    <row r="1665" spans="1:31" x14ac:dyDescent="0.2">
      <c r="A1665" s="133">
        <v>291</v>
      </c>
      <c r="B1665" s="133" t="s">
        <v>1841</v>
      </c>
      <c r="C1665" s="133" t="s">
        <v>1199</v>
      </c>
      <c r="D1665" s="133" t="s">
        <v>2107</v>
      </c>
      <c r="E1665" s="133" t="s">
        <v>1201</v>
      </c>
      <c r="F1665" s="133" t="s">
        <v>1117</v>
      </c>
      <c r="G1665" s="133" t="s">
        <v>1276</v>
      </c>
      <c r="H1665" s="133" t="s">
        <v>1277</v>
      </c>
      <c r="I1665" s="133" t="s">
        <v>1278</v>
      </c>
      <c r="J1665" s="130" t="s">
        <v>1283</v>
      </c>
      <c r="K1665" s="130" t="s">
        <v>1284</v>
      </c>
      <c r="L1665" s="130" t="s">
        <v>2108</v>
      </c>
      <c r="M1665" s="130" t="s">
        <v>1925</v>
      </c>
      <c r="N1665" s="130" t="s">
        <v>120</v>
      </c>
      <c r="O1665" s="130" t="s">
        <v>1845</v>
      </c>
      <c r="P1665" s="130" t="s">
        <v>1846</v>
      </c>
      <c r="Q1665" s="130" t="s">
        <v>1127</v>
      </c>
      <c r="R1665" s="130" t="s">
        <v>1191</v>
      </c>
      <c r="S1665" s="130" t="s">
        <v>1157</v>
      </c>
      <c r="T1665" s="130" t="s">
        <v>1847</v>
      </c>
      <c r="U1665" s="130">
        <v>207757</v>
      </c>
      <c r="V1665" s="131">
        <v>0</v>
      </c>
      <c r="W1665" s="131">
        <v>207757</v>
      </c>
      <c r="X1665" s="131">
        <v>207757</v>
      </c>
      <c r="Y1665" s="131">
        <v>0</v>
      </c>
      <c r="Z1665" s="131">
        <v>207757</v>
      </c>
      <c r="AA1665" s="131">
        <v>0</v>
      </c>
      <c r="AB1665" s="131">
        <v>101854.73000000001</v>
      </c>
      <c r="AC1665" s="131">
        <v>105902.26999999999</v>
      </c>
      <c r="AD1665" s="131">
        <v>101854.73000000001</v>
      </c>
      <c r="AE1665" s="132">
        <v>105902.26999999999</v>
      </c>
    </row>
    <row r="1666" spans="1:31" x14ac:dyDescent="0.2">
      <c r="A1666" s="133">
        <v>291</v>
      </c>
      <c r="B1666" s="133" t="s">
        <v>1841</v>
      </c>
      <c r="C1666" s="133" t="s">
        <v>1199</v>
      </c>
      <c r="D1666" s="133" t="s">
        <v>2107</v>
      </c>
      <c r="E1666" s="133" t="s">
        <v>1201</v>
      </c>
      <c r="F1666" s="133" t="s">
        <v>1117</v>
      </c>
      <c r="G1666" s="133" t="s">
        <v>1276</v>
      </c>
      <c r="H1666" s="133" t="s">
        <v>1277</v>
      </c>
      <c r="I1666" s="130" t="s">
        <v>1285</v>
      </c>
      <c r="J1666" s="130" t="s">
        <v>1286</v>
      </c>
      <c r="K1666" s="130" t="s">
        <v>1287</v>
      </c>
      <c r="L1666" s="130" t="s">
        <v>2108</v>
      </c>
      <c r="M1666" s="130" t="s">
        <v>1925</v>
      </c>
      <c r="N1666" s="130" t="s">
        <v>120</v>
      </c>
      <c r="O1666" s="130" t="s">
        <v>1845</v>
      </c>
      <c r="P1666" s="130" t="s">
        <v>1846</v>
      </c>
      <c r="Q1666" s="130" t="s">
        <v>1127</v>
      </c>
      <c r="R1666" s="130" t="s">
        <v>1191</v>
      </c>
      <c r="S1666" s="130" t="s">
        <v>1157</v>
      </c>
      <c r="T1666" s="130" t="s">
        <v>1847</v>
      </c>
      <c r="U1666" s="130">
        <v>71311</v>
      </c>
      <c r="V1666" s="131">
        <v>3600</v>
      </c>
      <c r="W1666" s="131">
        <v>74911</v>
      </c>
      <c r="X1666" s="131">
        <v>74911</v>
      </c>
      <c r="Y1666" s="131">
        <v>0</v>
      </c>
      <c r="Z1666" s="131">
        <v>74911</v>
      </c>
      <c r="AA1666" s="131">
        <v>0</v>
      </c>
      <c r="AB1666" s="131">
        <v>29578.480000000003</v>
      </c>
      <c r="AC1666" s="131">
        <v>45332.52</v>
      </c>
      <c r="AD1666" s="131">
        <v>29578.480000000003</v>
      </c>
      <c r="AE1666" s="132">
        <v>45332.52</v>
      </c>
    </row>
    <row r="1667" spans="1:31" x14ac:dyDescent="0.2">
      <c r="A1667" s="133">
        <v>291</v>
      </c>
      <c r="B1667" s="133" t="s">
        <v>1841</v>
      </c>
      <c r="C1667" s="133" t="s">
        <v>1199</v>
      </c>
      <c r="D1667" s="133" t="s">
        <v>2107</v>
      </c>
      <c r="E1667" s="133" t="s">
        <v>1201</v>
      </c>
      <c r="F1667" s="133" t="s">
        <v>1117</v>
      </c>
      <c r="G1667" s="133" t="s">
        <v>1276</v>
      </c>
      <c r="H1667" s="133" t="s">
        <v>1277</v>
      </c>
      <c r="I1667" s="130" t="s">
        <v>1288</v>
      </c>
      <c r="J1667" s="130" t="s">
        <v>1289</v>
      </c>
      <c r="K1667" s="130" t="s">
        <v>1290</v>
      </c>
      <c r="L1667" s="130" t="s">
        <v>2108</v>
      </c>
      <c r="M1667" s="130" t="s">
        <v>1925</v>
      </c>
      <c r="N1667" s="130" t="s">
        <v>120</v>
      </c>
      <c r="O1667" s="130" t="s">
        <v>1845</v>
      </c>
      <c r="P1667" s="130" t="s">
        <v>1846</v>
      </c>
      <c r="Q1667" s="130" t="s">
        <v>1127</v>
      </c>
      <c r="R1667" s="130" t="s">
        <v>1191</v>
      </c>
      <c r="S1667" s="130" t="s">
        <v>1157</v>
      </c>
      <c r="T1667" s="130" t="s">
        <v>1847</v>
      </c>
      <c r="U1667" s="130">
        <v>6600</v>
      </c>
      <c r="V1667" s="131">
        <v>0</v>
      </c>
      <c r="W1667" s="131">
        <v>6600</v>
      </c>
      <c r="X1667" s="131">
        <v>6600</v>
      </c>
      <c r="Y1667" s="131">
        <v>0</v>
      </c>
      <c r="Z1667" s="131">
        <v>6600</v>
      </c>
      <c r="AA1667" s="131">
        <v>0</v>
      </c>
      <c r="AB1667" s="131">
        <v>0</v>
      </c>
      <c r="AC1667" s="131">
        <v>6600</v>
      </c>
      <c r="AD1667" s="131">
        <v>0</v>
      </c>
      <c r="AE1667" s="132">
        <v>6600</v>
      </c>
    </row>
    <row r="1668" spans="1:31" x14ac:dyDescent="0.2">
      <c r="A1668" s="133">
        <v>291</v>
      </c>
      <c r="B1668" s="133" t="s">
        <v>1841</v>
      </c>
      <c r="C1668" s="133" t="s">
        <v>1199</v>
      </c>
      <c r="D1668" s="133" t="s">
        <v>2107</v>
      </c>
      <c r="E1668" s="133" t="s">
        <v>1201</v>
      </c>
      <c r="F1668" s="133" t="s">
        <v>1117</v>
      </c>
      <c r="G1668" s="133" t="s">
        <v>1276</v>
      </c>
      <c r="H1668" s="133" t="s">
        <v>1277</v>
      </c>
      <c r="I1668" s="133" t="s">
        <v>1288</v>
      </c>
      <c r="J1668" s="133" t="s">
        <v>1289</v>
      </c>
      <c r="K1668" s="130" t="s">
        <v>1291</v>
      </c>
      <c r="L1668" s="130" t="s">
        <v>2108</v>
      </c>
      <c r="M1668" s="130" t="s">
        <v>1925</v>
      </c>
      <c r="N1668" s="130" t="s">
        <v>120</v>
      </c>
      <c r="O1668" s="130" t="s">
        <v>1845</v>
      </c>
      <c r="P1668" s="130" t="s">
        <v>1846</v>
      </c>
      <c r="Q1668" s="130" t="s">
        <v>1127</v>
      </c>
      <c r="R1668" s="130" t="s">
        <v>1191</v>
      </c>
      <c r="S1668" s="130" t="s">
        <v>1157</v>
      </c>
      <c r="T1668" s="130" t="s">
        <v>1847</v>
      </c>
      <c r="U1668" s="130">
        <v>3200</v>
      </c>
      <c r="V1668" s="131">
        <v>0</v>
      </c>
      <c r="W1668" s="131">
        <v>3200</v>
      </c>
      <c r="X1668" s="131">
        <v>3200</v>
      </c>
      <c r="Y1668" s="131">
        <v>0</v>
      </c>
      <c r="Z1668" s="131">
        <v>3200</v>
      </c>
      <c r="AA1668" s="131">
        <v>0</v>
      </c>
      <c r="AB1668" s="131">
        <v>2800</v>
      </c>
      <c r="AC1668" s="131">
        <v>400</v>
      </c>
      <c r="AD1668" s="131">
        <v>2800</v>
      </c>
      <c r="AE1668" s="132">
        <v>400</v>
      </c>
    </row>
    <row r="1669" spans="1:31" x14ac:dyDescent="0.2">
      <c r="A1669" s="133">
        <v>291</v>
      </c>
      <c r="B1669" s="133" t="s">
        <v>1841</v>
      </c>
      <c r="C1669" s="133" t="s">
        <v>1199</v>
      </c>
      <c r="D1669" s="133" t="s">
        <v>2107</v>
      </c>
      <c r="E1669" s="133" t="s">
        <v>1201</v>
      </c>
      <c r="F1669" s="133" t="s">
        <v>1117</v>
      </c>
      <c r="G1669" s="133" t="s">
        <v>1276</v>
      </c>
      <c r="H1669" s="133" t="s">
        <v>1277</v>
      </c>
      <c r="I1669" s="133" t="s">
        <v>1288</v>
      </c>
      <c r="J1669" s="133" t="s">
        <v>1289</v>
      </c>
      <c r="K1669" s="130" t="s">
        <v>1292</v>
      </c>
      <c r="L1669" s="130" t="s">
        <v>2108</v>
      </c>
      <c r="M1669" s="130" t="s">
        <v>1925</v>
      </c>
      <c r="N1669" s="130" t="s">
        <v>120</v>
      </c>
      <c r="O1669" s="130" t="s">
        <v>1845</v>
      </c>
      <c r="P1669" s="130" t="s">
        <v>1846</v>
      </c>
      <c r="Q1669" s="130" t="s">
        <v>1127</v>
      </c>
      <c r="R1669" s="130" t="s">
        <v>1191</v>
      </c>
      <c r="S1669" s="130" t="s">
        <v>1157</v>
      </c>
      <c r="T1669" s="130" t="s">
        <v>1847</v>
      </c>
      <c r="U1669" s="130">
        <v>1800</v>
      </c>
      <c r="V1669" s="131">
        <v>0</v>
      </c>
      <c r="W1669" s="131">
        <v>1800</v>
      </c>
      <c r="X1669" s="131">
        <v>1800</v>
      </c>
      <c r="Y1669" s="131">
        <v>0</v>
      </c>
      <c r="Z1669" s="131">
        <v>1800</v>
      </c>
      <c r="AA1669" s="131">
        <v>0</v>
      </c>
      <c r="AB1669" s="131">
        <v>0</v>
      </c>
      <c r="AC1669" s="131">
        <v>1800</v>
      </c>
      <c r="AD1669" s="131">
        <v>0</v>
      </c>
      <c r="AE1669" s="132">
        <v>1800</v>
      </c>
    </row>
    <row r="1670" spans="1:31" x14ac:dyDescent="0.2">
      <c r="A1670" s="133">
        <v>291</v>
      </c>
      <c r="B1670" s="133" t="s">
        <v>1841</v>
      </c>
      <c r="C1670" s="133" t="s">
        <v>1199</v>
      </c>
      <c r="D1670" s="133" t="s">
        <v>2107</v>
      </c>
      <c r="E1670" s="133" t="s">
        <v>1201</v>
      </c>
      <c r="F1670" s="133" t="s">
        <v>1117</v>
      </c>
      <c r="G1670" s="133" t="s">
        <v>1276</v>
      </c>
      <c r="H1670" s="130" t="s">
        <v>1293</v>
      </c>
      <c r="I1670" s="130" t="s">
        <v>1294</v>
      </c>
      <c r="J1670" s="130" t="s">
        <v>1295</v>
      </c>
      <c r="K1670" s="130" t="s">
        <v>1296</v>
      </c>
      <c r="L1670" s="130" t="s">
        <v>2108</v>
      </c>
      <c r="M1670" s="130" t="s">
        <v>1925</v>
      </c>
      <c r="N1670" s="130" t="s">
        <v>120</v>
      </c>
      <c r="O1670" s="130" t="s">
        <v>1845</v>
      </c>
      <c r="P1670" s="130" t="s">
        <v>1846</v>
      </c>
      <c r="Q1670" s="130" t="s">
        <v>1127</v>
      </c>
      <c r="R1670" s="130" t="s">
        <v>1191</v>
      </c>
      <c r="S1670" s="130" t="s">
        <v>1157</v>
      </c>
      <c r="T1670" s="130" t="s">
        <v>1847</v>
      </c>
      <c r="U1670" s="130">
        <v>7392</v>
      </c>
      <c r="V1670" s="131">
        <v>0</v>
      </c>
      <c r="W1670" s="131">
        <v>7392</v>
      </c>
      <c r="X1670" s="131">
        <v>0</v>
      </c>
      <c r="Y1670" s="131">
        <v>7392</v>
      </c>
      <c r="Z1670" s="131">
        <v>0</v>
      </c>
      <c r="AA1670" s="131">
        <v>7392</v>
      </c>
      <c r="AB1670" s="131">
        <v>0</v>
      </c>
      <c r="AC1670" s="131">
        <v>7392</v>
      </c>
      <c r="AD1670" s="131">
        <v>0</v>
      </c>
      <c r="AE1670" s="132">
        <v>7392</v>
      </c>
    </row>
    <row r="1671" spans="1:31" x14ac:dyDescent="0.2">
      <c r="A1671" s="133">
        <v>291</v>
      </c>
      <c r="B1671" s="133" t="s">
        <v>1841</v>
      </c>
      <c r="C1671" s="133" t="s">
        <v>1199</v>
      </c>
      <c r="D1671" s="133" t="s">
        <v>2107</v>
      </c>
      <c r="E1671" s="133" t="s">
        <v>1201</v>
      </c>
      <c r="F1671" s="133" t="s">
        <v>1117</v>
      </c>
      <c r="G1671" s="133" t="s">
        <v>1276</v>
      </c>
      <c r="H1671" s="130" t="s">
        <v>1297</v>
      </c>
      <c r="I1671" s="130" t="s">
        <v>1298</v>
      </c>
      <c r="J1671" s="130" t="s">
        <v>1298</v>
      </c>
      <c r="K1671" s="130" t="s">
        <v>1299</v>
      </c>
      <c r="L1671" s="130" t="s">
        <v>2108</v>
      </c>
      <c r="M1671" s="130" t="s">
        <v>1925</v>
      </c>
      <c r="N1671" s="130" t="s">
        <v>120</v>
      </c>
      <c r="O1671" s="130" t="s">
        <v>1845</v>
      </c>
      <c r="P1671" s="130" t="s">
        <v>1846</v>
      </c>
      <c r="Q1671" s="130" t="s">
        <v>1127</v>
      </c>
      <c r="R1671" s="130" t="s">
        <v>1191</v>
      </c>
      <c r="S1671" s="130" t="s">
        <v>1157</v>
      </c>
      <c r="T1671" s="130" t="s">
        <v>1847</v>
      </c>
      <c r="U1671" s="130">
        <v>8048</v>
      </c>
      <c r="V1671" s="131">
        <v>157</v>
      </c>
      <c r="W1671" s="131">
        <v>8205</v>
      </c>
      <c r="X1671" s="131">
        <v>8205</v>
      </c>
      <c r="Y1671" s="131">
        <v>0</v>
      </c>
      <c r="Z1671" s="131">
        <v>8205</v>
      </c>
      <c r="AA1671" s="131">
        <v>0</v>
      </c>
      <c r="AB1671" s="131">
        <v>5208.630000000001</v>
      </c>
      <c r="AC1671" s="131">
        <v>2996.369999999999</v>
      </c>
      <c r="AD1671" s="131">
        <v>5208.630000000001</v>
      </c>
      <c r="AE1671" s="132">
        <v>2996.369999999999</v>
      </c>
    </row>
    <row r="1672" spans="1:31" x14ac:dyDescent="0.2">
      <c r="A1672" s="133">
        <v>291</v>
      </c>
      <c r="B1672" s="133" t="s">
        <v>1841</v>
      </c>
      <c r="C1672" s="133" t="s">
        <v>1199</v>
      </c>
      <c r="D1672" s="133" t="s">
        <v>2107</v>
      </c>
      <c r="E1672" s="133" t="s">
        <v>1201</v>
      </c>
      <c r="F1672" s="133" t="s">
        <v>1117</v>
      </c>
      <c r="G1672" s="133" t="s">
        <v>1276</v>
      </c>
      <c r="H1672" s="133" t="s">
        <v>1297</v>
      </c>
      <c r="I1672" s="133" t="s">
        <v>1298</v>
      </c>
      <c r="J1672" s="133" t="s">
        <v>1298</v>
      </c>
      <c r="K1672" s="130" t="s">
        <v>1300</v>
      </c>
      <c r="L1672" s="130" t="s">
        <v>2108</v>
      </c>
      <c r="M1672" s="130" t="s">
        <v>1925</v>
      </c>
      <c r="N1672" s="130" t="s">
        <v>120</v>
      </c>
      <c r="O1672" s="130" t="s">
        <v>1845</v>
      </c>
      <c r="P1672" s="130" t="s">
        <v>1846</v>
      </c>
      <c r="Q1672" s="130" t="s">
        <v>1127</v>
      </c>
      <c r="R1672" s="130" t="s">
        <v>1191</v>
      </c>
      <c r="S1672" s="130" t="s">
        <v>1157</v>
      </c>
      <c r="T1672" s="130" t="s">
        <v>1847</v>
      </c>
      <c r="U1672" s="130">
        <v>5882</v>
      </c>
      <c r="V1672" s="131">
        <v>710</v>
      </c>
      <c r="W1672" s="131">
        <v>6592</v>
      </c>
      <c r="X1672" s="131">
        <v>6592</v>
      </c>
      <c r="Y1672" s="131">
        <v>0</v>
      </c>
      <c r="Z1672" s="131">
        <v>6592</v>
      </c>
      <c r="AA1672" s="131">
        <v>0</v>
      </c>
      <c r="AB1672" s="131">
        <v>2662.0899999999997</v>
      </c>
      <c r="AC1672" s="131">
        <v>3929.9100000000003</v>
      </c>
      <c r="AD1672" s="131">
        <v>2662.0899999999997</v>
      </c>
      <c r="AE1672" s="132">
        <v>3929.9100000000003</v>
      </c>
    </row>
    <row r="1673" spans="1:31" x14ac:dyDescent="0.2">
      <c r="A1673" s="133">
        <v>291</v>
      </c>
      <c r="B1673" s="133" t="s">
        <v>1841</v>
      </c>
      <c r="C1673" s="133" t="s">
        <v>1199</v>
      </c>
      <c r="D1673" s="133" t="s">
        <v>2107</v>
      </c>
      <c r="E1673" s="133" t="s">
        <v>1201</v>
      </c>
      <c r="F1673" s="133" t="s">
        <v>1117</v>
      </c>
      <c r="G1673" s="133" t="s">
        <v>1276</v>
      </c>
      <c r="H1673" s="130" t="s">
        <v>1514</v>
      </c>
      <c r="I1673" s="130" t="s">
        <v>1515</v>
      </c>
      <c r="J1673" s="130" t="s">
        <v>1515</v>
      </c>
      <c r="K1673" s="130" t="s">
        <v>1518</v>
      </c>
      <c r="L1673" s="130" t="s">
        <v>2108</v>
      </c>
      <c r="M1673" s="130" t="s">
        <v>1925</v>
      </c>
      <c r="N1673" s="130" t="s">
        <v>120</v>
      </c>
      <c r="O1673" s="130" t="s">
        <v>1845</v>
      </c>
      <c r="P1673" s="130" t="s">
        <v>1846</v>
      </c>
      <c r="Q1673" s="130" t="s">
        <v>1127</v>
      </c>
      <c r="R1673" s="130" t="s">
        <v>1191</v>
      </c>
      <c r="S1673" s="130" t="s">
        <v>1157</v>
      </c>
      <c r="T1673" s="130" t="s">
        <v>1847</v>
      </c>
      <c r="U1673" s="130">
        <v>0</v>
      </c>
      <c r="V1673" s="131">
        <v>1735</v>
      </c>
      <c r="W1673" s="131">
        <v>1735</v>
      </c>
      <c r="X1673" s="131">
        <v>1734.87</v>
      </c>
      <c r="Y1673" s="131">
        <v>0.13000000000010914</v>
      </c>
      <c r="Z1673" s="131">
        <v>1734.87</v>
      </c>
      <c r="AA1673" s="131">
        <v>0.13000000000010914</v>
      </c>
      <c r="AB1673" s="131">
        <v>1734.87</v>
      </c>
      <c r="AC1673" s="131">
        <v>0.13000000000010914</v>
      </c>
      <c r="AD1673" s="131">
        <v>1734.87</v>
      </c>
      <c r="AE1673" s="132">
        <v>0.13000000000010914</v>
      </c>
    </row>
    <row r="1674" spans="1:31" x14ac:dyDescent="0.2">
      <c r="A1674" s="133">
        <v>291</v>
      </c>
      <c r="B1674" s="133" t="s">
        <v>1841</v>
      </c>
      <c r="C1674" s="133" t="s">
        <v>1199</v>
      </c>
      <c r="D1674" s="133" t="s">
        <v>2107</v>
      </c>
      <c r="E1674" s="133" t="s">
        <v>1201</v>
      </c>
      <c r="F1674" s="133" t="s">
        <v>1117</v>
      </c>
      <c r="G1674" s="130" t="s">
        <v>1202</v>
      </c>
      <c r="H1674" s="130" t="s">
        <v>1216</v>
      </c>
      <c r="I1674" s="130" t="s">
        <v>1301</v>
      </c>
      <c r="J1674" s="130" t="s">
        <v>1301</v>
      </c>
      <c r="K1674" s="130" t="s">
        <v>1302</v>
      </c>
      <c r="L1674" s="130" t="s">
        <v>2108</v>
      </c>
      <c r="M1674" s="130" t="s">
        <v>1925</v>
      </c>
      <c r="N1674" s="130" t="s">
        <v>120</v>
      </c>
      <c r="O1674" s="130" t="s">
        <v>1845</v>
      </c>
      <c r="P1674" s="130" t="s">
        <v>1846</v>
      </c>
      <c r="Q1674" s="130" t="s">
        <v>1127</v>
      </c>
      <c r="R1674" s="130" t="s">
        <v>1191</v>
      </c>
      <c r="S1674" s="130" t="s">
        <v>1157</v>
      </c>
      <c r="T1674" s="130" t="s">
        <v>1847</v>
      </c>
      <c r="U1674" s="130">
        <v>23800</v>
      </c>
      <c r="V1674" s="131">
        <v>-9810</v>
      </c>
      <c r="W1674" s="131">
        <v>13990</v>
      </c>
      <c r="X1674" s="131">
        <v>13010</v>
      </c>
      <c r="Y1674" s="131">
        <v>980</v>
      </c>
      <c r="Z1674" s="131">
        <v>13010</v>
      </c>
      <c r="AA1674" s="131">
        <v>980</v>
      </c>
      <c r="AB1674" s="131">
        <v>13010</v>
      </c>
      <c r="AC1674" s="131">
        <v>980</v>
      </c>
      <c r="AD1674" s="131">
        <v>13010</v>
      </c>
      <c r="AE1674" s="132">
        <v>980</v>
      </c>
    </row>
    <row r="1675" spans="1:31" x14ac:dyDescent="0.2">
      <c r="A1675" s="133">
        <v>291</v>
      </c>
      <c r="B1675" s="133" t="s">
        <v>1841</v>
      </c>
      <c r="C1675" s="133" t="s">
        <v>1199</v>
      </c>
      <c r="D1675" s="133" t="s">
        <v>2107</v>
      </c>
      <c r="E1675" s="133" t="s">
        <v>1201</v>
      </c>
      <c r="F1675" s="133" t="s">
        <v>1117</v>
      </c>
      <c r="G1675" s="133" t="s">
        <v>1202</v>
      </c>
      <c r="H1675" s="133" t="s">
        <v>1216</v>
      </c>
      <c r="I1675" s="130" t="s">
        <v>1217</v>
      </c>
      <c r="J1675" s="130" t="s">
        <v>1218</v>
      </c>
      <c r="K1675" s="130" t="s">
        <v>1219</v>
      </c>
      <c r="L1675" s="130" t="s">
        <v>2108</v>
      </c>
      <c r="M1675" s="130" t="s">
        <v>1925</v>
      </c>
      <c r="N1675" s="130" t="s">
        <v>120</v>
      </c>
      <c r="O1675" s="130" t="s">
        <v>1845</v>
      </c>
      <c r="P1675" s="130" t="s">
        <v>1846</v>
      </c>
      <c r="Q1675" s="130" t="s">
        <v>1127</v>
      </c>
      <c r="R1675" s="130" t="s">
        <v>1191</v>
      </c>
      <c r="S1675" s="130" t="s">
        <v>1157</v>
      </c>
      <c r="T1675" s="130" t="s">
        <v>1847</v>
      </c>
      <c r="U1675" s="130">
        <v>0</v>
      </c>
      <c r="V1675" s="131">
        <v>3080</v>
      </c>
      <c r="W1675" s="131">
        <v>3080</v>
      </c>
      <c r="X1675" s="131">
        <v>2000</v>
      </c>
      <c r="Y1675" s="131">
        <v>1080</v>
      </c>
      <c r="Z1675" s="131">
        <v>2000</v>
      </c>
      <c r="AA1675" s="131">
        <v>1080</v>
      </c>
      <c r="AB1675" s="131">
        <v>2000</v>
      </c>
      <c r="AC1675" s="131">
        <v>1080</v>
      </c>
      <c r="AD1675" s="131">
        <v>2000</v>
      </c>
      <c r="AE1675" s="132">
        <v>1080</v>
      </c>
    </row>
    <row r="1676" spans="1:31" x14ac:dyDescent="0.2">
      <c r="A1676" s="133">
        <v>291</v>
      </c>
      <c r="B1676" s="133" t="s">
        <v>1841</v>
      </c>
      <c r="C1676" s="133" t="s">
        <v>1199</v>
      </c>
      <c r="D1676" s="133" t="s">
        <v>2107</v>
      </c>
      <c r="E1676" s="133" t="s">
        <v>1201</v>
      </c>
      <c r="F1676" s="133" t="s">
        <v>1117</v>
      </c>
      <c r="G1676" s="133" t="s">
        <v>1202</v>
      </c>
      <c r="H1676" s="133" t="s">
        <v>1216</v>
      </c>
      <c r="I1676" s="130" t="s">
        <v>1242</v>
      </c>
      <c r="J1676" s="130" t="s">
        <v>1243</v>
      </c>
      <c r="K1676" s="130" t="s">
        <v>1303</v>
      </c>
      <c r="L1676" s="130" t="s">
        <v>2108</v>
      </c>
      <c r="M1676" s="130" t="s">
        <v>1925</v>
      </c>
      <c r="N1676" s="130" t="s">
        <v>120</v>
      </c>
      <c r="O1676" s="130" t="s">
        <v>1845</v>
      </c>
      <c r="P1676" s="130" t="s">
        <v>1846</v>
      </c>
      <c r="Q1676" s="130" t="s">
        <v>1127</v>
      </c>
      <c r="R1676" s="130" t="s">
        <v>1191</v>
      </c>
      <c r="S1676" s="130" t="s">
        <v>1157</v>
      </c>
      <c r="T1676" s="130" t="s">
        <v>1847</v>
      </c>
      <c r="U1676" s="130">
        <v>13067</v>
      </c>
      <c r="V1676" s="131">
        <v>1000</v>
      </c>
      <c r="W1676" s="131">
        <v>14067</v>
      </c>
      <c r="X1676" s="131">
        <v>9039.6</v>
      </c>
      <c r="Y1676" s="131">
        <v>5027.3999999999996</v>
      </c>
      <c r="Z1676" s="131">
        <v>9039.6</v>
      </c>
      <c r="AA1676" s="131">
        <v>5027.3999999999996</v>
      </c>
      <c r="AB1676" s="131">
        <v>9039.6</v>
      </c>
      <c r="AC1676" s="131">
        <v>5027.3999999999996</v>
      </c>
      <c r="AD1676" s="131">
        <v>0</v>
      </c>
      <c r="AE1676" s="132">
        <v>14067</v>
      </c>
    </row>
    <row r="1677" spans="1:31" x14ac:dyDescent="0.2">
      <c r="A1677" s="133">
        <v>291</v>
      </c>
      <c r="B1677" s="133" t="s">
        <v>1841</v>
      </c>
      <c r="C1677" s="133" t="s">
        <v>1199</v>
      </c>
      <c r="D1677" s="133" t="s">
        <v>2107</v>
      </c>
      <c r="E1677" s="133" t="s">
        <v>1201</v>
      </c>
      <c r="F1677" s="133" t="s">
        <v>1117</v>
      </c>
      <c r="G1677" s="133" t="s">
        <v>1202</v>
      </c>
      <c r="H1677" s="133" t="s">
        <v>1216</v>
      </c>
      <c r="I1677" s="130" t="s">
        <v>1222</v>
      </c>
      <c r="J1677" s="130" t="s">
        <v>1304</v>
      </c>
      <c r="K1677" s="130" t="s">
        <v>1248</v>
      </c>
      <c r="L1677" s="130" t="s">
        <v>2108</v>
      </c>
      <c r="M1677" s="130" t="s">
        <v>1925</v>
      </c>
      <c r="N1677" s="130" t="s">
        <v>120</v>
      </c>
      <c r="O1677" s="130" t="s">
        <v>1845</v>
      </c>
      <c r="P1677" s="130" t="s">
        <v>1846</v>
      </c>
      <c r="Q1677" s="130" t="s">
        <v>1127</v>
      </c>
      <c r="R1677" s="130" t="s">
        <v>1191</v>
      </c>
      <c r="S1677" s="130" t="s">
        <v>1157</v>
      </c>
      <c r="T1677" s="130" t="s">
        <v>1847</v>
      </c>
      <c r="U1677" s="130">
        <v>3500</v>
      </c>
      <c r="V1677" s="131">
        <v>0</v>
      </c>
      <c r="W1677" s="131">
        <v>3500</v>
      </c>
      <c r="X1677" s="131">
        <v>0</v>
      </c>
      <c r="Y1677" s="131">
        <v>3500</v>
      </c>
      <c r="Z1677" s="131">
        <v>0</v>
      </c>
      <c r="AA1677" s="131">
        <v>3500</v>
      </c>
      <c r="AB1677" s="131">
        <v>0</v>
      </c>
      <c r="AC1677" s="131">
        <v>3500</v>
      </c>
      <c r="AD1677" s="131">
        <v>0</v>
      </c>
      <c r="AE1677" s="132">
        <v>3500</v>
      </c>
    </row>
    <row r="1678" spans="1:31" x14ac:dyDescent="0.2">
      <c r="A1678" s="133">
        <v>291</v>
      </c>
      <c r="B1678" s="133" t="s">
        <v>1841</v>
      </c>
      <c r="C1678" s="133" t="s">
        <v>1199</v>
      </c>
      <c r="D1678" s="133" t="s">
        <v>2107</v>
      </c>
      <c r="E1678" s="133" t="s">
        <v>1201</v>
      </c>
      <c r="F1678" s="133" t="s">
        <v>1117</v>
      </c>
      <c r="G1678" s="133" t="s">
        <v>1202</v>
      </c>
      <c r="H1678" s="133" t="s">
        <v>1216</v>
      </c>
      <c r="I1678" s="133" t="s">
        <v>1222</v>
      </c>
      <c r="J1678" s="133" t="s">
        <v>1304</v>
      </c>
      <c r="K1678" s="130" t="s">
        <v>1305</v>
      </c>
      <c r="L1678" s="130" t="s">
        <v>2108</v>
      </c>
      <c r="M1678" s="130" t="s">
        <v>1925</v>
      </c>
      <c r="N1678" s="130" t="s">
        <v>120</v>
      </c>
      <c r="O1678" s="130" t="s">
        <v>1845</v>
      </c>
      <c r="P1678" s="130" t="s">
        <v>1846</v>
      </c>
      <c r="Q1678" s="130" t="s">
        <v>1127</v>
      </c>
      <c r="R1678" s="130" t="s">
        <v>1191</v>
      </c>
      <c r="S1678" s="130" t="s">
        <v>1157</v>
      </c>
      <c r="T1678" s="130" t="s">
        <v>1847</v>
      </c>
      <c r="U1678" s="130">
        <v>7000</v>
      </c>
      <c r="V1678" s="131">
        <v>0</v>
      </c>
      <c r="W1678" s="131">
        <v>7000</v>
      </c>
      <c r="X1678" s="131">
        <v>6986</v>
      </c>
      <c r="Y1678" s="131">
        <v>14</v>
      </c>
      <c r="Z1678" s="131">
        <v>4492</v>
      </c>
      <c r="AA1678" s="131">
        <v>2508</v>
      </c>
      <c r="AB1678" s="131">
        <v>4492</v>
      </c>
      <c r="AC1678" s="131">
        <v>2508</v>
      </c>
      <c r="AD1678" s="131">
        <v>4492</v>
      </c>
      <c r="AE1678" s="132">
        <v>2508</v>
      </c>
    </row>
    <row r="1679" spans="1:31" x14ac:dyDescent="0.2">
      <c r="A1679" s="133">
        <v>291</v>
      </c>
      <c r="B1679" s="133" t="s">
        <v>1841</v>
      </c>
      <c r="C1679" s="133" t="s">
        <v>1199</v>
      </c>
      <c r="D1679" s="133" t="s">
        <v>2107</v>
      </c>
      <c r="E1679" s="133" t="s">
        <v>1201</v>
      </c>
      <c r="F1679" s="133" t="s">
        <v>1117</v>
      </c>
      <c r="G1679" s="133" t="s">
        <v>1202</v>
      </c>
      <c r="H1679" s="133" t="s">
        <v>1216</v>
      </c>
      <c r="I1679" s="130" t="s">
        <v>1252</v>
      </c>
      <c r="J1679" s="130" t="s">
        <v>1253</v>
      </c>
      <c r="K1679" s="130" t="s">
        <v>1899</v>
      </c>
      <c r="L1679" s="130" t="s">
        <v>2108</v>
      </c>
      <c r="M1679" s="130" t="s">
        <v>1925</v>
      </c>
      <c r="N1679" s="130" t="s">
        <v>120</v>
      </c>
      <c r="O1679" s="130" t="s">
        <v>1845</v>
      </c>
      <c r="P1679" s="130" t="s">
        <v>1846</v>
      </c>
      <c r="Q1679" s="130" t="s">
        <v>1127</v>
      </c>
      <c r="R1679" s="130" t="s">
        <v>1191</v>
      </c>
      <c r="S1679" s="130" t="s">
        <v>1157</v>
      </c>
      <c r="T1679" s="130" t="s">
        <v>1847</v>
      </c>
      <c r="U1679" s="130">
        <v>0</v>
      </c>
      <c r="V1679" s="131">
        <v>4310</v>
      </c>
      <c r="W1679" s="131">
        <v>4310</v>
      </c>
      <c r="X1679" s="131">
        <v>1800</v>
      </c>
      <c r="Y1679" s="131">
        <v>2510</v>
      </c>
      <c r="Z1679" s="131">
        <v>1800</v>
      </c>
      <c r="AA1679" s="131">
        <v>2510</v>
      </c>
      <c r="AB1679" s="131">
        <v>1800</v>
      </c>
      <c r="AC1679" s="131">
        <v>2510</v>
      </c>
      <c r="AD1679" s="131">
        <v>1800</v>
      </c>
      <c r="AE1679" s="132">
        <v>2510</v>
      </c>
    </row>
    <row r="1680" spans="1:31" x14ac:dyDescent="0.2">
      <c r="A1680" s="133">
        <v>291</v>
      </c>
      <c r="B1680" s="133" t="s">
        <v>1841</v>
      </c>
      <c r="C1680" s="133" t="s">
        <v>1199</v>
      </c>
      <c r="D1680" s="133" t="s">
        <v>2107</v>
      </c>
      <c r="E1680" s="133" t="s">
        <v>1201</v>
      </c>
      <c r="F1680" s="133" t="s">
        <v>1117</v>
      </c>
      <c r="G1680" s="133" t="s">
        <v>1202</v>
      </c>
      <c r="H1680" s="133" t="s">
        <v>1216</v>
      </c>
      <c r="I1680" s="133" t="s">
        <v>1252</v>
      </c>
      <c r="J1680" s="133" t="s">
        <v>1253</v>
      </c>
      <c r="K1680" s="130" t="s">
        <v>1254</v>
      </c>
      <c r="L1680" s="130" t="s">
        <v>2108</v>
      </c>
      <c r="M1680" s="130" t="s">
        <v>1925</v>
      </c>
      <c r="N1680" s="130" t="s">
        <v>120</v>
      </c>
      <c r="O1680" s="130" t="s">
        <v>1845</v>
      </c>
      <c r="P1680" s="130" t="s">
        <v>1846</v>
      </c>
      <c r="Q1680" s="130" t="s">
        <v>1127</v>
      </c>
      <c r="R1680" s="130" t="s">
        <v>1191</v>
      </c>
      <c r="S1680" s="130" t="s">
        <v>1157</v>
      </c>
      <c r="T1680" s="130" t="s">
        <v>1847</v>
      </c>
      <c r="U1680" s="130">
        <v>0</v>
      </c>
      <c r="V1680" s="131">
        <v>11700</v>
      </c>
      <c r="W1680" s="131">
        <v>11700</v>
      </c>
      <c r="X1680" s="131">
        <v>11700</v>
      </c>
      <c r="Y1680" s="131">
        <v>0</v>
      </c>
      <c r="Z1680" s="131">
        <v>11700</v>
      </c>
      <c r="AA1680" s="131">
        <v>0</v>
      </c>
      <c r="AB1680" s="131">
        <v>11700</v>
      </c>
      <c r="AC1680" s="131">
        <v>0</v>
      </c>
      <c r="AD1680" s="131">
        <v>11700</v>
      </c>
      <c r="AE1680" s="132">
        <v>0</v>
      </c>
    </row>
    <row r="1681" spans="1:31" x14ac:dyDescent="0.2">
      <c r="A1681" s="133">
        <v>291</v>
      </c>
      <c r="B1681" s="133" t="s">
        <v>1841</v>
      </c>
      <c r="C1681" s="133" t="s">
        <v>1199</v>
      </c>
      <c r="D1681" s="133" t="s">
        <v>2107</v>
      </c>
      <c r="E1681" s="133" t="s">
        <v>1201</v>
      </c>
      <c r="F1681" s="133" t="s">
        <v>1117</v>
      </c>
      <c r="G1681" s="133" t="s">
        <v>1202</v>
      </c>
      <c r="H1681" s="130" t="s">
        <v>1203</v>
      </c>
      <c r="I1681" s="130" t="s">
        <v>1204</v>
      </c>
      <c r="J1681" s="130" t="s">
        <v>1205</v>
      </c>
      <c r="K1681" s="130" t="s">
        <v>1255</v>
      </c>
      <c r="L1681" s="130" t="s">
        <v>2108</v>
      </c>
      <c r="M1681" s="130" t="s">
        <v>1925</v>
      </c>
      <c r="N1681" s="130" t="s">
        <v>120</v>
      </c>
      <c r="O1681" s="130" t="s">
        <v>1845</v>
      </c>
      <c r="P1681" s="130" t="s">
        <v>1846</v>
      </c>
      <c r="Q1681" s="130" t="s">
        <v>1127</v>
      </c>
      <c r="R1681" s="130" t="s">
        <v>1191</v>
      </c>
      <c r="S1681" s="130" t="s">
        <v>1157</v>
      </c>
      <c r="T1681" s="130" t="s">
        <v>1847</v>
      </c>
      <c r="U1681" s="130">
        <v>1500</v>
      </c>
      <c r="V1681" s="131">
        <v>6500</v>
      </c>
      <c r="W1681" s="131">
        <v>8000</v>
      </c>
      <c r="X1681" s="131">
        <v>8000</v>
      </c>
      <c r="Y1681" s="131">
        <v>0</v>
      </c>
      <c r="Z1681" s="131">
        <v>8000</v>
      </c>
      <c r="AA1681" s="131">
        <v>0</v>
      </c>
      <c r="AB1681" s="131">
        <v>8000</v>
      </c>
      <c r="AC1681" s="131">
        <v>0</v>
      </c>
      <c r="AD1681" s="131">
        <v>8000</v>
      </c>
      <c r="AE1681" s="132">
        <v>0</v>
      </c>
    </row>
    <row r="1682" spans="1:31" x14ac:dyDescent="0.2">
      <c r="A1682" s="133">
        <v>291</v>
      </c>
      <c r="B1682" s="133" t="s">
        <v>1841</v>
      </c>
      <c r="C1682" s="133" t="s">
        <v>1199</v>
      </c>
      <c r="D1682" s="133" t="s">
        <v>2107</v>
      </c>
      <c r="E1682" s="133" t="s">
        <v>1201</v>
      </c>
      <c r="F1682" s="133" t="s">
        <v>1117</v>
      </c>
      <c r="G1682" s="133" t="s">
        <v>1202</v>
      </c>
      <c r="H1682" s="133" t="s">
        <v>1203</v>
      </c>
      <c r="I1682" s="133" t="s">
        <v>1204</v>
      </c>
      <c r="J1682" s="133" t="s">
        <v>1205</v>
      </c>
      <c r="K1682" s="130" t="s">
        <v>1256</v>
      </c>
      <c r="L1682" s="130" t="s">
        <v>2108</v>
      </c>
      <c r="M1682" s="130" t="s">
        <v>1925</v>
      </c>
      <c r="N1682" s="130" t="s">
        <v>120</v>
      </c>
      <c r="O1682" s="130" t="s">
        <v>1845</v>
      </c>
      <c r="P1682" s="130" t="s">
        <v>1846</v>
      </c>
      <c r="Q1682" s="130" t="s">
        <v>1127</v>
      </c>
      <c r="R1682" s="130" t="s">
        <v>1191</v>
      </c>
      <c r="S1682" s="130" t="s">
        <v>1157</v>
      </c>
      <c r="T1682" s="130" t="s">
        <v>1847</v>
      </c>
      <c r="U1682" s="130">
        <v>1000</v>
      </c>
      <c r="V1682" s="131">
        <v>0</v>
      </c>
      <c r="W1682" s="131">
        <v>1000</v>
      </c>
      <c r="X1682" s="131">
        <v>0</v>
      </c>
      <c r="Y1682" s="131">
        <v>1000</v>
      </c>
      <c r="Z1682" s="131">
        <v>0</v>
      </c>
      <c r="AA1682" s="131">
        <v>1000</v>
      </c>
      <c r="AB1682" s="131">
        <v>0</v>
      </c>
      <c r="AC1682" s="131">
        <v>1000</v>
      </c>
      <c r="AD1682" s="131">
        <v>0</v>
      </c>
      <c r="AE1682" s="132">
        <v>1000</v>
      </c>
    </row>
    <row r="1683" spans="1:31" x14ac:dyDescent="0.2">
      <c r="A1683" s="133">
        <v>291</v>
      </c>
      <c r="B1683" s="133" t="s">
        <v>1841</v>
      </c>
      <c r="C1683" s="133" t="s">
        <v>1199</v>
      </c>
      <c r="D1683" s="133" t="s">
        <v>2107</v>
      </c>
      <c r="E1683" s="133" t="s">
        <v>1201</v>
      </c>
      <c r="F1683" s="133" t="s">
        <v>1117</v>
      </c>
      <c r="G1683" s="133" t="s">
        <v>1202</v>
      </c>
      <c r="H1683" s="133" t="s">
        <v>1203</v>
      </c>
      <c r="I1683" s="130" t="s">
        <v>1224</v>
      </c>
      <c r="J1683" s="130" t="s">
        <v>1257</v>
      </c>
      <c r="K1683" s="130" t="s">
        <v>1258</v>
      </c>
      <c r="L1683" s="130" t="s">
        <v>2108</v>
      </c>
      <c r="M1683" s="130" t="s">
        <v>1925</v>
      </c>
      <c r="N1683" s="130" t="s">
        <v>120</v>
      </c>
      <c r="O1683" s="130" t="s">
        <v>1845</v>
      </c>
      <c r="P1683" s="130" t="s">
        <v>1846</v>
      </c>
      <c r="Q1683" s="130" t="s">
        <v>1127</v>
      </c>
      <c r="R1683" s="130" t="s">
        <v>1191</v>
      </c>
      <c r="S1683" s="130" t="s">
        <v>1157</v>
      </c>
      <c r="T1683" s="130" t="s">
        <v>1847</v>
      </c>
      <c r="U1683" s="130">
        <v>1500</v>
      </c>
      <c r="V1683" s="131">
        <v>0</v>
      </c>
      <c r="W1683" s="131">
        <v>1500</v>
      </c>
      <c r="X1683" s="131">
        <v>0</v>
      </c>
      <c r="Y1683" s="131">
        <v>1500</v>
      </c>
      <c r="Z1683" s="131">
        <v>0</v>
      </c>
      <c r="AA1683" s="131">
        <v>1500</v>
      </c>
      <c r="AB1683" s="131">
        <v>0</v>
      </c>
      <c r="AC1683" s="131">
        <v>1500</v>
      </c>
      <c r="AD1683" s="131">
        <v>0</v>
      </c>
      <c r="AE1683" s="132">
        <v>1500</v>
      </c>
    </row>
    <row r="1684" spans="1:31" x14ac:dyDescent="0.2">
      <c r="A1684" s="133">
        <v>291</v>
      </c>
      <c r="B1684" s="133" t="s">
        <v>1841</v>
      </c>
      <c r="C1684" s="133" t="s">
        <v>1199</v>
      </c>
      <c r="D1684" s="133" t="s">
        <v>2107</v>
      </c>
      <c r="E1684" s="133" t="s">
        <v>1201</v>
      </c>
      <c r="F1684" s="133" t="s">
        <v>1117</v>
      </c>
      <c r="G1684" s="133" t="s">
        <v>1202</v>
      </c>
      <c r="H1684" s="133" t="s">
        <v>1203</v>
      </c>
      <c r="I1684" s="133" t="s">
        <v>1224</v>
      </c>
      <c r="J1684" s="133" t="s">
        <v>1257</v>
      </c>
      <c r="K1684" s="130" t="s">
        <v>1259</v>
      </c>
      <c r="L1684" s="130" t="s">
        <v>2108</v>
      </c>
      <c r="M1684" s="130" t="s">
        <v>1925</v>
      </c>
      <c r="N1684" s="130" t="s">
        <v>120</v>
      </c>
      <c r="O1684" s="130" t="s">
        <v>1845</v>
      </c>
      <c r="P1684" s="130" t="s">
        <v>1846</v>
      </c>
      <c r="Q1684" s="130" t="s">
        <v>1127</v>
      </c>
      <c r="R1684" s="130" t="s">
        <v>1191</v>
      </c>
      <c r="S1684" s="130" t="s">
        <v>1157</v>
      </c>
      <c r="T1684" s="130" t="s">
        <v>1847</v>
      </c>
      <c r="U1684" s="130">
        <v>1500</v>
      </c>
      <c r="V1684" s="131">
        <v>0</v>
      </c>
      <c r="W1684" s="131">
        <v>1500</v>
      </c>
      <c r="X1684" s="131">
        <v>0</v>
      </c>
      <c r="Y1684" s="131">
        <v>1500</v>
      </c>
      <c r="Z1684" s="131">
        <v>0</v>
      </c>
      <c r="AA1684" s="131">
        <v>1500</v>
      </c>
      <c r="AB1684" s="131">
        <v>0</v>
      </c>
      <c r="AC1684" s="131">
        <v>1500</v>
      </c>
      <c r="AD1684" s="131">
        <v>0</v>
      </c>
      <c r="AE1684" s="132">
        <v>1500</v>
      </c>
    </row>
    <row r="1685" spans="1:31" x14ac:dyDescent="0.2">
      <c r="A1685" s="133">
        <v>291</v>
      </c>
      <c r="B1685" s="133" t="s">
        <v>1841</v>
      </c>
      <c r="C1685" s="133" t="s">
        <v>1199</v>
      </c>
      <c r="D1685" s="133" t="s">
        <v>2107</v>
      </c>
      <c r="E1685" s="133" t="s">
        <v>1201</v>
      </c>
      <c r="F1685" s="133" t="s">
        <v>1117</v>
      </c>
      <c r="G1685" s="133" t="s">
        <v>1202</v>
      </c>
      <c r="H1685" s="133" t="s">
        <v>1203</v>
      </c>
      <c r="I1685" s="133" t="s">
        <v>1224</v>
      </c>
      <c r="J1685" s="130" t="s">
        <v>1529</v>
      </c>
      <c r="K1685" s="130" t="s">
        <v>1848</v>
      </c>
      <c r="L1685" s="130" t="s">
        <v>2108</v>
      </c>
      <c r="M1685" s="130" t="s">
        <v>1925</v>
      </c>
      <c r="N1685" s="130" t="s">
        <v>120</v>
      </c>
      <c r="O1685" s="130" t="s">
        <v>1845</v>
      </c>
      <c r="P1685" s="130" t="s">
        <v>1846</v>
      </c>
      <c r="Q1685" s="130" t="s">
        <v>1127</v>
      </c>
      <c r="R1685" s="130" t="s">
        <v>1191</v>
      </c>
      <c r="S1685" s="130" t="s">
        <v>1157</v>
      </c>
      <c r="T1685" s="130" t="s">
        <v>1847</v>
      </c>
      <c r="U1685" s="130">
        <v>1000</v>
      </c>
      <c r="V1685" s="131">
        <v>0</v>
      </c>
      <c r="W1685" s="131">
        <v>1000</v>
      </c>
      <c r="X1685" s="131">
        <v>0</v>
      </c>
      <c r="Y1685" s="131">
        <v>1000</v>
      </c>
      <c r="Z1685" s="131">
        <v>0</v>
      </c>
      <c r="AA1685" s="131">
        <v>1000</v>
      </c>
      <c r="AB1685" s="131">
        <v>0</v>
      </c>
      <c r="AC1685" s="131">
        <v>1000</v>
      </c>
      <c r="AD1685" s="131">
        <v>0</v>
      </c>
      <c r="AE1685" s="132">
        <v>1000</v>
      </c>
    </row>
    <row r="1686" spans="1:31" x14ac:dyDescent="0.2">
      <c r="A1686" s="133">
        <v>291</v>
      </c>
      <c r="B1686" s="133" t="s">
        <v>1841</v>
      </c>
      <c r="C1686" s="133" t="s">
        <v>1199</v>
      </c>
      <c r="D1686" s="133" t="s">
        <v>2107</v>
      </c>
      <c r="E1686" s="133" t="s">
        <v>1201</v>
      </c>
      <c r="F1686" s="133" t="s">
        <v>1117</v>
      </c>
      <c r="G1686" s="133" t="s">
        <v>1202</v>
      </c>
      <c r="H1686" s="133" t="s">
        <v>1203</v>
      </c>
      <c r="I1686" s="133" t="s">
        <v>1224</v>
      </c>
      <c r="J1686" s="133" t="s">
        <v>1529</v>
      </c>
      <c r="K1686" s="130" t="s">
        <v>1531</v>
      </c>
      <c r="L1686" s="130" t="s">
        <v>2108</v>
      </c>
      <c r="M1686" s="130" t="s">
        <v>1925</v>
      </c>
      <c r="N1686" s="130" t="s">
        <v>120</v>
      </c>
      <c r="O1686" s="130" t="s">
        <v>1845</v>
      </c>
      <c r="P1686" s="130" t="s">
        <v>1846</v>
      </c>
      <c r="Q1686" s="130" t="s">
        <v>1127</v>
      </c>
      <c r="R1686" s="130" t="s">
        <v>1191</v>
      </c>
      <c r="S1686" s="130" t="s">
        <v>1157</v>
      </c>
      <c r="T1686" s="130" t="s">
        <v>1847</v>
      </c>
      <c r="U1686" s="130">
        <v>2500</v>
      </c>
      <c r="V1686" s="131">
        <v>0</v>
      </c>
      <c r="W1686" s="131">
        <v>2500</v>
      </c>
      <c r="X1686" s="131">
        <v>0</v>
      </c>
      <c r="Y1686" s="131">
        <v>2500</v>
      </c>
      <c r="Z1686" s="131">
        <v>0</v>
      </c>
      <c r="AA1686" s="131">
        <v>2500</v>
      </c>
      <c r="AB1686" s="131">
        <v>0</v>
      </c>
      <c r="AC1686" s="131">
        <v>2500</v>
      </c>
      <c r="AD1686" s="131">
        <v>0</v>
      </c>
      <c r="AE1686" s="132">
        <v>2500</v>
      </c>
    </row>
    <row r="1687" spans="1:31" x14ac:dyDescent="0.2">
      <c r="A1687" s="133">
        <v>291</v>
      </c>
      <c r="B1687" s="133" t="s">
        <v>1841</v>
      </c>
      <c r="C1687" s="133" t="s">
        <v>1199</v>
      </c>
      <c r="D1687" s="133" t="s">
        <v>2107</v>
      </c>
      <c r="E1687" s="133" t="s">
        <v>1201</v>
      </c>
      <c r="F1687" s="133" t="s">
        <v>1117</v>
      </c>
      <c r="G1687" s="133" t="s">
        <v>1202</v>
      </c>
      <c r="H1687" s="133" t="s">
        <v>1203</v>
      </c>
      <c r="I1687" s="133" t="s">
        <v>1224</v>
      </c>
      <c r="J1687" s="130" t="s">
        <v>1306</v>
      </c>
      <c r="K1687" s="130" t="s">
        <v>1307</v>
      </c>
      <c r="L1687" s="130" t="s">
        <v>2108</v>
      </c>
      <c r="M1687" s="130" t="s">
        <v>1925</v>
      </c>
      <c r="N1687" s="130" t="s">
        <v>120</v>
      </c>
      <c r="O1687" s="130" t="s">
        <v>1845</v>
      </c>
      <c r="P1687" s="130" t="s">
        <v>1846</v>
      </c>
      <c r="Q1687" s="130" t="s">
        <v>1127</v>
      </c>
      <c r="R1687" s="130" t="s">
        <v>1191</v>
      </c>
      <c r="S1687" s="130" t="s">
        <v>1157</v>
      </c>
      <c r="T1687" s="130" t="s">
        <v>1847</v>
      </c>
      <c r="U1687" s="130">
        <v>3000</v>
      </c>
      <c r="V1687" s="131">
        <v>0</v>
      </c>
      <c r="W1687" s="131">
        <v>3000</v>
      </c>
      <c r="X1687" s="131">
        <v>0</v>
      </c>
      <c r="Y1687" s="131">
        <v>3000</v>
      </c>
      <c r="Z1687" s="131">
        <v>0</v>
      </c>
      <c r="AA1687" s="131">
        <v>3000</v>
      </c>
      <c r="AB1687" s="131">
        <v>0</v>
      </c>
      <c r="AC1687" s="131">
        <v>3000</v>
      </c>
      <c r="AD1687" s="131">
        <v>0</v>
      </c>
      <c r="AE1687" s="132">
        <v>3000</v>
      </c>
    </row>
    <row r="1688" spans="1:31" x14ac:dyDescent="0.2">
      <c r="A1688" s="133">
        <v>291</v>
      </c>
      <c r="B1688" s="133" t="s">
        <v>1841</v>
      </c>
      <c r="C1688" s="133" t="s">
        <v>1199</v>
      </c>
      <c r="D1688" s="133" t="s">
        <v>2107</v>
      </c>
      <c r="E1688" s="133" t="s">
        <v>1201</v>
      </c>
      <c r="F1688" s="133" t="s">
        <v>1117</v>
      </c>
      <c r="G1688" s="133" t="s">
        <v>1202</v>
      </c>
      <c r="H1688" s="133" t="s">
        <v>1203</v>
      </c>
      <c r="I1688" s="133" t="s">
        <v>1224</v>
      </c>
      <c r="J1688" s="130" t="s">
        <v>1225</v>
      </c>
      <c r="K1688" s="130" t="s">
        <v>1226</v>
      </c>
      <c r="L1688" s="130" t="s">
        <v>2108</v>
      </c>
      <c r="M1688" s="130" t="s">
        <v>1925</v>
      </c>
      <c r="N1688" s="130" t="s">
        <v>120</v>
      </c>
      <c r="O1688" s="130" t="s">
        <v>1845</v>
      </c>
      <c r="P1688" s="130" t="s">
        <v>1846</v>
      </c>
      <c r="Q1688" s="130" t="s">
        <v>1127</v>
      </c>
      <c r="R1688" s="130" t="s">
        <v>1191</v>
      </c>
      <c r="S1688" s="130" t="s">
        <v>1157</v>
      </c>
      <c r="T1688" s="130" t="s">
        <v>1847</v>
      </c>
      <c r="U1688" s="130">
        <v>200</v>
      </c>
      <c r="V1688" s="131">
        <v>0</v>
      </c>
      <c r="W1688" s="131">
        <v>200</v>
      </c>
      <c r="X1688" s="131">
        <v>0</v>
      </c>
      <c r="Y1688" s="131">
        <v>200</v>
      </c>
      <c r="Z1688" s="131">
        <v>0</v>
      </c>
      <c r="AA1688" s="131">
        <v>200</v>
      </c>
      <c r="AB1688" s="131">
        <v>0</v>
      </c>
      <c r="AC1688" s="131">
        <v>200</v>
      </c>
      <c r="AD1688" s="131">
        <v>0</v>
      </c>
      <c r="AE1688" s="132">
        <v>200</v>
      </c>
    </row>
    <row r="1689" spans="1:31" x14ac:dyDescent="0.2">
      <c r="A1689" s="133">
        <v>291</v>
      </c>
      <c r="B1689" s="133" t="s">
        <v>1841</v>
      </c>
      <c r="C1689" s="133" t="s">
        <v>1199</v>
      </c>
      <c r="D1689" s="133" t="s">
        <v>2107</v>
      </c>
      <c r="E1689" s="133" t="s">
        <v>1201</v>
      </c>
      <c r="F1689" s="133" t="s">
        <v>1117</v>
      </c>
      <c r="G1689" s="133" t="s">
        <v>1202</v>
      </c>
      <c r="H1689" s="133" t="s">
        <v>1203</v>
      </c>
      <c r="I1689" s="133" t="s">
        <v>1224</v>
      </c>
      <c r="J1689" s="130" t="s">
        <v>1853</v>
      </c>
      <c r="K1689" s="130" t="s">
        <v>1854</v>
      </c>
      <c r="L1689" s="130" t="s">
        <v>2108</v>
      </c>
      <c r="M1689" s="130" t="s">
        <v>1925</v>
      </c>
      <c r="N1689" s="130" t="s">
        <v>120</v>
      </c>
      <c r="O1689" s="130" t="s">
        <v>1845</v>
      </c>
      <c r="P1689" s="130" t="s">
        <v>1846</v>
      </c>
      <c r="Q1689" s="130" t="s">
        <v>1127</v>
      </c>
      <c r="R1689" s="130" t="s">
        <v>1191</v>
      </c>
      <c r="S1689" s="130" t="s">
        <v>1157</v>
      </c>
      <c r="T1689" s="130" t="s">
        <v>1847</v>
      </c>
      <c r="U1689" s="130">
        <v>200</v>
      </c>
      <c r="V1689" s="131">
        <v>10126</v>
      </c>
      <c r="W1689" s="131">
        <v>10326</v>
      </c>
      <c r="X1689" s="131">
        <v>10125.120000000001</v>
      </c>
      <c r="Y1689" s="131">
        <v>200.8799999999992</v>
      </c>
      <c r="Z1689" s="131">
        <v>0</v>
      </c>
      <c r="AA1689" s="131">
        <v>10326</v>
      </c>
      <c r="AB1689" s="131">
        <v>0</v>
      </c>
      <c r="AC1689" s="131">
        <v>10326</v>
      </c>
      <c r="AD1689" s="131">
        <v>0</v>
      </c>
      <c r="AE1689" s="132">
        <v>10326</v>
      </c>
    </row>
    <row r="1690" spans="1:31" x14ac:dyDescent="0.2">
      <c r="A1690" s="133">
        <v>291</v>
      </c>
      <c r="B1690" s="133" t="s">
        <v>1841</v>
      </c>
      <c r="C1690" s="133" t="s">
        <v>1199</v>
      </c>
      <c r="D1690" s="133" t="s">
        <v>2107</v>
      </c>
      <c r="E1690" s="133" t="s">
        <v>1201</v>
      </c>
      <c r="F1690" s="133" t="s">
        <v>1117</v>
      </c>
      <c r="G1690" s="133" t="s">
        <v>1202</v>
      </c>
      <c r="H1690" s="133" t="s">
        <v>1203</v>
      </c>
      <c r="I1690" s="130" t="s">
        <v>1264</v>
      </c>
      <c r="J1690" s="130" t="s">
        <v>1265</v>
      </c>
      <c r="K1690" s="130" t="s">
        <v>1266</v>
      </c>
      <c r="L1690" s="130" t="s">
        <v>2108</v>
      </c>
      <c r="M1690" s="130" t="s">
        <v>1925</v>
      </c>
      <c r="N1690" s="130" t="s">
        <v>120</v>
      </c>
      <c r="O1690" s="130" t="s">
        <v>1845</v>
      </c>
      <c r="P1690" s="130" t="s">
        <v>1846</v>
      </c>
      <c r="Q1690" s="130" t="s">
        <v>1127</v>
      </c>
      <c r="R1690" s="130" t="s">
        <v>1191</v>
      </c>
      <c r="S1690" s="130" t="s">
        <v>1157</v>
      </c>
      <c r="T1690" s="130" t="s">
        <v>1847</v>
      </c>
      <c r="U1690" s="130">
        <v>0</v>
      </c>
      <c r="V1690" s="131">
        <v>39913</v>
      </c>
      <c r="W1690" s="131">
        <v>39913</v>
      </c>
      <c r="X1690" s="131">
        <v>39912.5</v>
      </c>
      <c r="Y1690" s="131">
        <v>0.5</v>
      </c>
      <c r="Z1690" s="131">
        <v>39912.5</v>
      </c>
      <c r="AA1690" s="131">
        <v>0.5</v>
      </c>
      <c r="AB1690" s="131">
        <v>39912.5</v>
      </c>
      <c r="AC1690" s="131">
        <v>0.5</v>
      </c>
      <c r="AD1690" s="131">
        <v>0</v>
      </c>
      <c r="AE1690" s="132">
        <v>39913</v>
      </c>
    </row>
    <row r="1691" spans="1:31" x14ac:dyDescent="0.2">
      <c r="A1691" s="133">
        <v>291</v>
      </c>
      <c r="B1691" s="133" t="s">
        <v>1841</v>
      </c>
      <c r="C1691" s="133" t="s">
        <v>1199</v>
      </c>
      <c r="D1691" s="133" t="s">
        <v>2107</v>
      </c>
      <c r="E1691" s="133" t="s">
        <v>1201</v>
      </c>
      <c r="F1691" s="133" t="s">
        <v>1117</v>
      </c>
      <c r="G1691" s="133" t="s">
        <v>1202</v>
      </c>
      <c r="H1691" s="133" t="s">
        <v>1203</v>
      </c>
      <c r="I1691" s="130" t="s">
        <v>1315</v>
      </c>
      <c r="J1691" s="130" t="s">
        <v>1316</v>
      </c>
      <c r="K1691" s="130" t="s">
        <v>1533</v>
      </c>
      <c r="L1691" s="130" t="s">
        <v>2108</v>
      </c>
      <c r="M1691" s="130" t="s">
        <v>1925</v>
      </c>
      <c r="N1691" s="130" t="s">
        <v>120</v>
      </c>
      <c r="O1691" s="130" t="s">
        <v>1845</v>
      </c>
      <c r="P1691" s="130" t="s">
        <v>1846</v>
      </c>
      <c r="Q1691" s="130" t="s">
        <v>1127</v>
      </c>
      <c r="R1691" s="130" t="s">
        <v>1191</v>
      </c>
      <c r="S1691" s="130" t="s">
        <v>1157</v>
      </c>
      <c r="T1691" s="130" t="s">
        <v>1847</v>
      </c>
      <c r="U1691" s="130">
        <v>0</v>
      </c>
      <c r="V1691" s="131">
        <v>66000</v>
      </c>
      <c r="W1691" s="131">
        <v>66000</v>
      </c>
      <c r="X1691" s="131">
        <v>66000</v>
      </c>
      <c r="Y1691" s="131">
        <v>0</v>
      </c>
      <c r="Z1691" s="131">
        <v>66000</v>
      </c>
      <c r="AA1691" s="131">
        <v>0</v>
      </c>
      <c r="AB1691" s="131">
        <v>40000</v>
      </c>
      <c r="AC1691" s="131">
        <v>26000</v>
      </c>
      <c r="AD1691" s="131">
        <v>0</v>
      </c>
      <c r="AE1691" s="132">
        <v>66000</v>
      </c>
    </row>
    <row r="1692" spans="1:31" x14ac:dyDescent="0.2">
      <c r="A1692" s="133">
        <v>291</v>
      </c>
      <c r="B1692" s="133" t="s">
        <v>1841</v>
      </c>
      <c r="C1692" s="133" t="s">
        <v>1199</v>
      </c>
      <c r="D1692" s="133" t="s">
        <v>2107</v>
      </c>
      <c r="E1692" s="133" t="s">
        <v>1201</v>
      </c>
      <c r="F1692" s="133" t="s">
        <v>1117</v>
      </c>
      <c r="G1692" s="133" t="s">
        <v>1202</v>
      </c>
      <c r="H1692" s="133" t="s">
        <v>1203</v>
      </c>
      <c r="I1692" s="133" t="s">
        <v>1315</v>
      </c>
      <c r="J1692" s="133" t="s">
        <v>1316</v>
      </c>
      <c r="K1692" s="130" t="s">
        <v>1582</v>
      </c>
      <c r="L1692" s="130" t="s">
        <v>2108</v>
      </c>
      <c r="M1692" s="130" t="s">
        <v>1925</v>
      </c>
      <c r="N1692" s="130" t="s">
        <v>120</v>
      </c>
      <c r="O1692" s="130" t="s">
        <v>1845</v>
      </c>
      <c r="P1692" s="130" t="s">
        <v>1846</v>
      </c>
      <c r="Q1692" s="130" t="s">
        <v>1127</v>
      </c>
      <c r="R1692" s="130" t="s">
        <v>1191</v>
      </c>
      <c r="S1692" s="130" t="s">
        <v>1157</v>
      </c>
      <c r="T1692" s="130" t="s">
        <v>1847</v>
      </c>
      <c r="U1692" s="130">
        <v>0</v>
      </c>
      <c r="V1692" s="131">
        <v>7500</v>
      </c>
      <c r="W1692" s="131">
        <v>7500</v>
      </c>
      <c r="X1692" s="131">
        <v>7500</v>
      </c>
      <c r="Y1692" s="131">
        <v>0</v>
      </c>
      <c r="Z1692" s="131">
        <v>7500</v>
      </c>
      <c r="AA1692" s="131">
        <v>0</v>
      </c>
      <c r="AB1692" s="131">
        <v>7500</v>
      </c>
      <c r="AC1692" s="131">
        <v>0</v>
      </c>
      <c r="AD1692" s="131">
        <v>0</v>
      </c>
      <c r="AE1692" s="132">
        <v>7500</v>
      </c>
    </row>
    <row r="1693" spans="1:31" x14ac:dyDescent="0.2">
      <c r="A1693" s="133">
        <v>291</v>
      </c>
      <c r="B1693" s="133" t="s">
        <v>1841</v>
      </c>
      <c r="C1693" s="133" t="s">
        <v>1199</v>
      </c>
      <c r="D1693" s="133" t="s">
        <v>2107</v>
      </c>
      <c r="E1693" s="133" t="s">
        <v>1201</v>
      </c>
      <c r="F1693" s="133" t="s">
        <v>1117</v>
      </c>
      <c r="G1693" s="133" t="s">
        <v>1202</v>
      </c>
      <c r="H1693" s="133" t="s">
        <v>1203</v>
      </c>
      <c r="I1693" s="130" t="s">
        <v>1269</v>
      </c>
      <c r="J1693" s="130" t="s">
        <v>1270</v>
      </c>
      <c r="K1693" s="130" t="s">
        <v>1272</v>
      </c>
      <c r="L1693" s="130" t="s">
        <v>2108</v>
      </c>
      <c r="M1693" s="130" t="s">
        <v>1925</v>
      </c>
      <c r="N1693" s="130" t="s">
        <v>120</v>
      </c>
      <c r="O1693" s="130" t="s">
        <v>1845</v>
      </c>
      <c r="P1693" s="130" t="s">
        <v>1846</v>
      </c>
      <c r="Q1693" s="130" t="s">
        <v>1127</v>
      </c>
      <c r="R1693" s="130" t="s">
        <v>1191</v>
      </c>
      <c r="S1693" s="130" t="s">
        <v>1157</v>
      </c>
      <c r="T1693" s="130" t="s">
        <v>1847</v>
      </c>
      <c r="U1693" s="130">
        <v>200</v>
      </c>
      <c r="V1693" s="131">
        <v>0</v>
      </c>
      <c r="W1693" s="131">
        <v>200</v>
      </c>
      <c r="X1693" s="131">
        <v>180</v>
      </c>
      <c r="Y1693" s="131">
        <v>20</v>
      </c>
      <c r="Z1693" s="131">
        <v>180</v>
      </c>
      <c r="AA1693" s="131">
        <v>20</v>
      </c>
      <c r="AB1693" s="131">
        <v>180</v>
      </c>
      <c r="AC1693" s="131">
        <v>20</v>
      </c>
      <c r="AD1693" s="131">
        <v>180</v>
      </c>
      <c r="AE1693" s="132">
        <v>20</v>
      </c>
    </row>
    <row r="1694" spans="1:31" x14ac:dyDescent="0.2">
      <c r="A1694" s="133">
        <v>291</v>
      </c>
      <c r="B1694" s="133" t="s">
        <v>1841</v>
      </c>
      <c r="C1694" s="133" t="s">
        <v>1199</v>
      </c>
      <c r="D1694" s="133" t="s">
        <v>2107</v>
      </c>
      <c r="E1694" s="133" t="s">
        <v>1201</v>
      </c>
      <c r="F1694" s="133" t="s">
        <v>1117</v>
      </c>
      <c r="G1694" s="133" t="s">
        <v>1202</v>
      </c>
      <c r="H1694" s="133" t="s">
        <v>1203</v>
      </c>
      <c r="I1694" s="130" t="s">
        <v>1209</v>
      </c>
      <c r="J1694" s="130" t="s">
        <v>1210</v>
      </c>
      <c r="K1694" s="130" t="s">
        <v>1273</v>
      </c>
      <c r="L1694" s="130" t="s">
        <v>2108</v>
      </c>
      <c r="M1694" s="130" t="s">
        <v>1925</v>
      </c>
      <c r="N1694" s="130" t="s">
        <v>120</v>
      </c>
      <c r="O1694" s="130" t="s">
        <v>1845</v>
      </c>
      <c r="P1694" s="130" t="s">
        <v>1846</v>
      </c>
      <c r="Q1694" s="130" t="s">
        <v>1127</v>
      </c>
      <c r="R1694" s="130" t="s">
        <v>1191</v>
      </c>
      <c r="S1694" s="130" t="s">
        <v>1157</v>
      </c>
      <c r="T1694" s="130" t="s">
        <v>1847</v>
      </c>
      <c r="U1694" s="130">
        <v>200</v>
      </c>
      <c r="V1694" s="131">
        <v>47887</v>
      </c>
      <c r="W1694" s="131">
        <v>48087</v>
      </c>
      <c r="X1694" s="131">
        <v>0</v>
      </c>
      <c r="Y1694" s="131">
        <v>48087</v>
      </c>
      <c r="Z1694" s="131">
        <v>0</v>
      </c>
      <c r="AA1694" s="131">
        <v>48087</v>
      </c>
      <c r="AB1694" s="131">
        <v>0</v>
      </c>
      <c r="AC1694" s="131">
        <v>48087</v>
      </c>
      <c r="AD1694" s="131">
        <v>0</v>
      </c>
      <c r="AE1694" s="132">
        <v>48087</v>
      </c>
    </row>
    <row r="1695" spans="1:31" x14ac:dyDescent="0.2">
      <c r="A1695" s="133">
        <v>291</v>
      </c>
      <c r="B1695" s="133" t="s">
        <v>1841</v>
      </c>
      <c r="C1695" s="133" t="s">
        <v>1199</v>
      </c>
      <c r="D1695" s="133" t="s">
        <v>2107</v>
      </c>
      <c r="E1695" s="133" t="s">
        <v>1201</v>
      </c>
      <c r="F1695" s="133" t="s">
        <v>1117</v>
      </c>
      <c r="G1695" s="133" t="s">
        <v>1202</v>
      </c>
      <c r="H1695" s="133" t="s">
        <v>1203</v>
      </c>
      <c r="I1695" s="133" t="s">
        <v>1209</v>
      </c>
      <c r="J1695" s="133" t="s">
        <v>1210</v>
      </c>
      <c r="K1695" s="130" t="s">
        <v>1539</v>
      </c>
      <c r="L1695" s="130" t="s">
        <v>2108</v>
      </c>
      <c r="M1695" s="130" t="s">
        <v>1925</v>
      </c>
      <c r="N1695" s="130" t="s">
        <v>120</v>
      </c>
      <c r="O1695" s="130" t="s">
        <v>1845</v>
      </c>
      <c r="P1695" s="130" t="s">
        <v>1846</v>
      </c>
      <c r="Q1695" s="130" t="s">
        <v>1127</v>
      </c>
      <c r="R1695" s="130" t="s">
        <v>1191</v>
      </c>
      <c r="S1695" s="130" t="s">
        <v>1157</v>
      </c>
      <c r="T1695" s="130" t="s">
        <v>1847</v>
      </c>
      <c r="U1695" s="130">
        <v>4000</v>
      </c>
      <c r="V1695" s="131">
        <v>240100</v>
      </c>
      <c r="W1695" s="131">
        <v>244100</v>
      </c>
      <c r="X1695" s="131">
        <v>239300</v>
      </c>
      <c r="Y1695" s="131">
        <v>4800</v>
      </c>
      <c r="Z1695" s="131">
        <v>233062</v>
      </c>
      <c r="AA1695" s="131">
        <v>11038</v>
      </c>
      <c r="AB1695" s="131">
        <v>233062</v>
      </c>
      <c r="AC1695" s="131">
        <v>11038</v>
      </c>
      <c r="AD1695" s="131">
        <v>233062</v>
      </c>
      <c r="AE1695" s="132">
        <v>11038</v>
      </c>
    </row>
    <row r="1696" spans="1:31" x14ac:dyDescent="0.2">
      <c r="A1696" s="133">
        <v>291</v>
      </c>
      <c r="B1696" s="133" t="s">
        <v>1841</v>
      </c>
      <c r="C1696" s="133" t="s">
        <v>1199</v>
      </c>
      <c r="D1696" s="133" t="s">
        <v>2107</v>
      </c>
      <c r="E1696" s="133" t="s">
        <v>1201</v>
      </c>
      <c r="F1696" s="133" t="s">
        <v>1117</v>
      </c>
      <c r="G1696" s="133" t="s">
        <v>1202</v>
      </c>
      <c r="H1696" s="133" t="s">
        <v>1203</v>
      </c>
      <c r="I1696" s="133" t="s">
        <v>1209</v>
      </c>
      <c r="J1696" s="133" t="s">
        <v>1210</v>
      </c>
      <c r="K1696" s="130" t="s">
        <v>1211</v>
      </c>
      <c r="L1696" s="130" t="s">
        <v>2108</v>
      </c>
      <c r="M1696" s="130" t="s">
        <v>1925</v>
      </c>
      <c r="N1696" s="130" t="s">
        <v>120</v>
      </c>
      <c r="O1696" s="130" t="s">
        <v>1845</v>
      </c>
      <c r="P1696" s="130" t="s">
        <v>1846</v>
      </c>
      <c r="Q1696" s="130" t="s">
        <v>1127</v>
      </c>
      <c r="R1696" s="130" t="s">
        <v>1191</v>
      </c>
      <c r="S1696" s="130" t="s">
        <v>1157</v>
      </c>
      <c r="T1696" s="130" t="s">
        <v>1847</v>
      </c>
      <c r="U1696" s="130">
        <v>500</v>
      </c>
      <c r="V1696" s="131">
        <v>53300</v>
      </c>
      <c r="W1696" s="131">
        <v>53800</v>
      </c>
      <c r="X1696" s="131">
        <v>53800</v>
      </c>
      <c r="Y1696" s="131">
        <v>0</v>
      </c>
      <c r="Z1696" s="131">
        <v>52300</v>
      </c>
      <c r="AA1696" s="131">
        <v>1500</v>
      </c>
      <c r="AB1696" s="131">
        <v>52300</v>
      </c>
      <c r="AC1696" s="131">
        <v>1500</v>
      </c>
      <c r="AD1696" s="131">
        <v>52300</v>
      </c>
      <c r="AE1696" s="132">
        <v>1500</v>
      </c>
    </row>
    <row r="1697" spans="1:31" x14ac:dyDescent="0.2">
      <c r="A1697" s="133">
        <v>291</v>
      </c>
      <c r="B1697" s="133" t="s">
        <v>1841</v>
      </c>
      <c r="C1697" s="133" t="s">
        <v>1199</v>
      </c>
      <c r="D1697" s="133" t="s">
        <v>2107</v>
      </c>
      <c r="E1697" s="133" t="s">
        <v>1201</v>
      </c>
      <c r="F1697" s="133" t="s">
        <v>1117</v>
      </c>
      <c r="G1697" s="133" t="s">
        <v>1202</v>
      </c>
      <c r="H1697" s="133" t="s">
        <v>1203</v>
      </c>
      <c r="I1697" s="133" t="s">
        <v>1209</v>
      </c>
      <c r="J1697" s="130" t="s">
        <v>2109</v>
      </c>
      <c r="K1697" s="130" t="s">
        <v>2110</v>
      </c>
      <c r="L1697" s="130" t="s">
        <v>2108</v>
      </c>
      <c r="M1697" s="130" t="s">
        <v>1925</v>
      </c>
      <c r="N1697" s="130" t="s">
        <v>120</v>
      </c>
      <c r="O1697" s="130" t="s">
        <v>1845</v>
      </c>
      <c r="P1697" s="130" t="s">
        <v>1846</v>
      </c>
      <c r="Q1697" s="130" t="s">
        <v>1127</v>
      </c>
      <c r="R1697" s="130" t="s">
        <v>1191</v>
      </c>
      <c r="S1697" s="130" t="s">
        <v>1157</v>
      </c>
      <c r="T1697" s="130" t="s">
        <v>1847</v>
      </c>
      <c r="U1697" s="130">
        <v>0</v>
      </c>
      <c r="V1697" s="131">
        <v>160200</v>
      </c>
      <c r="W1697" s="131">
        <v>160200</v>
      </c>
      <c r="X1697" s="131">
        <v>0</v>
      </c>
      <c r="Y1697" s="131">
        <v>160200</v>
      </c>
      <c r="Z1697" s="131">
        <v>0</v>
      </c>
      <c r="AA1697" s="131">
        <v>160200</v>
      </c>
      <c r="AB1697" s="131">
        <v>0</v>
      </c>
      <c r="AC1697" s="131">
        <v>160200</v>
      </c>
      <c r="AD1697" s="131">
        <v>0</v>
      </c>
      <c r="AE1697" s="132">
        <v>160200</v>
      </c>
    </row>
    <row r="1698" spans="1:31" x14ac:dyDescent="0.2">
      <c r="A1698" s="133">
        <v>291</v>
      </c>
      <c r="B1698" s="133" t="s">
        <v>1841</v>
      </c>
      <c r="C1698" s="133" t="s">
        <v>1199</v>
      </c>
      <c r="D1698" s="133" t="s">
        <v>2107</v>
      </c>
      <c r="E1698" s="133" t="s">
        <v>1201</v>
      </c>
      <c r="F1698" s="133" t="s">
        <v>1117</v>
      </c>
      <c r="G1698" s="133" t="s">
        <v>1202</v>
      </c>
      <c r="H1698" s="133" t="s">
        <v>1203</v>
      </c>
      <c r="I1698" s="133" t="s">
        <v>1209</v>
      </c>
      <c r="J1698" s="130" t="s">
        <v>1324</v>
      </c>
      <c r="K1698" s="130" t="s">
        <v>1325</v>
      </c>
      <c r="L1698" s="130" t="s">
        <v>2108</v>
      </c>
      <c r="M1698" s="130" t="s">
        <v>1925</v>
      </c>
      <c r="N1698" s="130" t="s">
        <v>120</v>
      </c>
      <c r="O1698" s="130" t="s">
        <v>1845</v>
      </c>
      <c r="P1698" s="130" t="s">
        <v>1846</v>
      </c>
      <c r="Q1698" s="130" t="s">
        <v>1127</v>
      </c>
      <c r="R1698" s="130" t="s">
        <v>1191</v>
      </c>
      <c r="S1698" s="130" t="s">
        <v>1157</v>
      </c>
      <c r="T1698" s="130" t="s">
        <v>1847</v>
      </c>
      <c r="U1698" s="130">
        <v>0</v>
      </c>
      <c r="V1698" s="131">
        <v>37500</v>
      </c>
      <c r="W1698" s="131">
        <v>37500</v>
      </c>
      <c r="X1698" s="131">
        <v>19300</v>
      </c>
      <c r="Y1698" s="131">
        <v>18200</v>
      </c>
      <c r="Z1698" s="131">
        <v>19300</v>
      </c>
      <c r="AA1698" s="131">
        <v>18200</v>
      </c>
      <c r="AB1698" s="131">
        <v>19300</v>
      </c>
      <c r="AC1698" s="131">
        <v>18200</v>
      </c>
      <c r="AD1698" s="131">
        <v>0</v>
      </c>
      <c r="AE1698" s="132">
        <v>37500</v>
      </c>
    </row>
    <row r="1699" spans="1:31" x14ac:dyDescent="0.2">
      <c r="A1699" s="133">
        <v>291</v>
      </c>
      <c r="B1699" s="133" t="s">
        <v>1841</v>
      </c>
      <c r="C1699" s="133" t="s">
        <v>1199</v>
      </c>
      <c r="D1699" s="133" t="s">
        <v>2107</v>
      </c>
      <c r="E1699" s="133" t="s">
        <v>1201</v>
      </c>
      <c r="F1699" s="133" t="s">
        <v>1117</v>
      </c>
      <c r="G1699" s="133" t="s">
        <v>1202</v>
      </c>
      <c r="H1699" s="133" t="s">
        <v>1203</v>
      </c>
      <c r="I1699" s="133" t="s">
        <v>1209</v>
      </c>
      <c r="J1699" s="130" t="s">
        <v>2105</v>
      </c>
      <c r="K1699" s="130" t="s">
        <v>2111</v>
      </c>
      <c r="L1699" s="130" t="s">
        <v>2108</v>
      </c>
      <c r="M1699" s="130" t="s">
        <v>1925</v>
      </c>
      <c r="N1699" s="130" t="s">
        <v>120</v>
      </c>
      <c r="O1699" s="130" t="s">
        <v>1845</v>
      </c>
      <c r="P1699" s="130" t="s">
        <v>1846</v>
      </c>
      <c r="Q1699" s="130" t="s">
        <v>1127</v>
      </c>
      <c r="R1699" s="130" t="s">
        <v>1191</v>
      </c>
      <c r="S1699" s="130" t="s">
        <v>1157</v>
      </c>
      <c r="T1699" s="130" t="s">
        <v>1847</v>
      </c>
      <c r="U1699" s="130">
        <v>0</v>
      </c>
      <c r="V1699" s="131">
        <v>19080</v>
      </c>
      <c r="W1699" s="131">
        <v>19080</v>
      </c>
      <c r="X1699" s="131">
        <v>19080</v>
      </c>
      <c r="Y1699" s="131">
        <v>0</v>
      </c>
      <c r="Z1699" s="131">
        <v>19080</v>
      </c>
      <c r="AA1699" s="131">
        <v>0</v>
      </c>
      <c r="AB1699" s="131">
        <v>19080</v>
      </c>
      <c r="AC1699" s="131">
        <v>0</v>
      </c>
      <c r="AD1699" s="131">
        <v>19080</v>
      </c>
      <c r="AE1699" s="132">
        <v>0</v>
      </c>
    </row>
    <row r="1700" spans="1:31" x14ac:dyDescent="0.2">
      <c r="A1700" s="133">
        <v>291</v>
      </c>
      <c r="B1700" s="133" t="s">
        <v>1841</v>
      </c>
      <c r="C1700" s="133" t="s">
        <v>1199</v>
      </c>
      <c r="D1700" s="133" t="s">
        <v>2107</v>
      </c>
      <c r="E1700" s="133" t="s">
        <v>1201</v>
      </c>
      <c r="F1700" s="133" t="s">
        <v>1117</v>
      </c>
      <c r="G1700" s="133" t="s">
        <v>1202</v>
      </c>
      <c r="H1700" s="133" t="s">
        <v>1203</v>
      </c>
      <c r="I1700" s="133" t="s">
        <v>1209</v>
      </c>
      <c r="J1700" s="133" t="s">
        <v>2105</v>
      </c>
      <c r="K1700" s="130" t="s">
        <v>2112</v>
      </c>
      <c r="L1700" s="130" t="s">
        <v>2108</v>
      </c>
      <c r="M1700" s="130" t="s">
        <v>1925</v>
      </c>
      <c r="N1700" s="130" t="s">
        <v>120</v>
      </c>
      <c r="O1700" s="130" t="s">
        <v>1845</v>
      </c>
      <c r="P1700" s="130" t="s">
        <v>1846</v>
      </c>
      <c r="Q1700" s="130" t="s">
        <v>1127</v>
      </c>
      <c r="R1700" s="130" t="s">
        <v>1191</v>
      </c>
      <c r="S1700" s="130" t="s">
        <v>1157</v>
      </c>
      <c r="T1700" s="130" t="s">
        <v>1847</v>
      </c>
      <c r="U1700" s="130">
        <v>0</v>
      </c>
      <c r="V1700" s="131">
        <v>88300</v>
      </c>
      <c r="W1700" s="131">
        <v>88300</v>
      </c>
      <c r="X1700" s="131">
        <v>88300</v>
      </c>
      <c r="Y1700" s="131">
        <v>0</v>
      </c>
      <c r="Z1700" s="131">
        <v>86300</v>
      </c>
      <c r="AA1700" s="131">
        <v>2000</v>
      </c>
      <c r="AB1700" s="131">
        <v>86300</v>
      </c>
      <c r="AC1700" s="131">
        <v>2000</v>
      </c>
      <c r="AD1700" s="131">
        <v>86300</v>
      </c>
      <c r="AE1700" s="132">
        <v>2000</v>
      </c>
    </row>
    <row r="1701" spans="1:31" x14ac:dyDescent="0.2">
      <c r="A1701" s="133">
        <v>291</v>
      </c>
      <c r="B1701" s="133" t="s">
        <v>1841</v>
      </c>
      <c r="C1701" s="133" t="s">
        <v>1199</v>
      </c>
      <c r="D1701" s="133" t="s">
        <v>2107</v>
      </c>
      <c r="E1701" s="133" t="s">
        <v>1201</v>
      </c>
      <c r="F1701" s="133" t="s">
        <v>1117</v>
      </c>
      <c r="G1701" s="133" t="s">
        <v>1202</v>
      </c>
      <c r="H1701" s="133" t="s">
        <v>1203</v>
      </c>
      <c r="I1701" s="130" t="s">
        <v>1309</v>
      </c>
      <c r="J1701" s="130" t="s">
        <v>1310</v>
      </c>
      <c r="K1701" s="130" t="s">
        <v>1310</v>
      </c>
      <c r="L1701" s="130" t="s">
        <v>2108</v>
      </c>
      <c r="M1701" s="130" t="s">
        <v>1925</v>
      </c>
      <c r="N1701" s="130" t="s">
        <v>120</v>
      </c>
      <c r="O1701" s="130" t="s">
        <v>1845</v>
      </c>
      <c r="P1701" s="130" t="s">
        <v>1846</v>
      </c>
      <c r="Q1701" s="130" t="s">
        <v>1127</v>
      </c>
      <c r="R1701" s="130" t="s">
        <v>1191</v>
      </c>
      <c r="S1701" s="130" t="s">
        <v>1157</v>
      </c>
      <c r="T1701" s="130" t="s">
        <v>1847</v>
      </c>
      <c r="U1701" s="130">
        <v>38833</v>
      </c>
      <c r="V1701" s="131">
        <v>15000</v>
      </c>
      <c r="W1701" s="131">
        <v>53833</v>
      </c>
      <c r="X1701" s="131">
        <v>53800</v>
      </c>
      <c r="Y1701" s="131">
        <v>33</v>
      </c>
      <c r="Z1701" s="131">
        <v>53800</v>
      </c>
      <c r="AA1701" s="131">
        <v>33</v>
      </c>
      <c r="AB1701" s="131">
        <v>53800</v>
      </c>
      <c r="AC1701" s="131">
        <v>33</v>
      </c>
      <c r="AD1701" s="131">
        <v>48800</v>
      </c>
      <c r="AE1701" s="132">
        <v>5033</v>
      </c>
    </row>
    <row r="1702" spans="1:31" x14ac:dyDescent="0.2">
      <c r="A1702" s="133">
        <v>291</v>
      </c>
      <c r="B1702" s="133" t="s">
        <v>1841</v>
      </c>
      <c r="C1702" s="133" t="s">
        <v>1199</v>
      </c>
      <c r="D1702" s="133" t="s">
        <v>2107</v>
      </c>
      <c r="E1702" s="130" t="s">
        <v>1855</v>
      </c>
      <c r="F1702" s="130" t="s">
        <v>1117</v>
      </c>
      <c r="G1702" s="130" t="s">
        <v>1202</v>
      </c>
      <c r="H1702" s="130" t="s">
        <v>1216</v>
      </c>
      <c r="I1702" s="130" t="s">
        <v>1239</v>
      </c>
      <c r="J1702" s="130" t="s">
        <v>1240</v>
      </c>
      <c r="K1702" s="130" t="s">
        <v>1519</v>
      </c>
      <c r="L1702" s="130" t="s">
        <v>2108</v>
      </c>
      <c r="M1702" s="130" t="s">
        <v>1925</v>
      </c>
      <c r="N1702" s="130" t="s">
        <v>120</v>
      </c>
      <c r="O1702" s="130" t="s">
        <v>1845</v>
      </c>
      <c r="P1702" s="130" t="s">
        <v>1846</v>
      </c>
      <c r="Q1702" s="130" t="s">
        <v>1127</v>
      </c>
      <c r="R1702" s="130" t="s">
        <v>1191</v>
      </c>
      <c r="S1702" s="130" t="s">
        <v>1157</v>
      </c>
      <c r="T1702" s="130" t="s">
        <v>1847</v>
      </c>
      <c r="U1702" s="130">
        <v>0</v>
      </c>
      <c r="V1702" s="131">
        <v>106498</v>
      </c>
      <c r="W1702" s="131">
        <v>106498</v>
      </c>
      <c r="X1702" s="131">
        <v>92448.08</v>
      </c>
      <c r="Y1702" s="131">
        <v>14049.919999999998</v>
      </c>
      <c r="Z1702" s="131">
        <v>92448.08</v>
      </c>
      <c r="AA1702" s="131">
        <v>14049.919999999998</v>
      </c>
      <c r="AB1702" s="131">
        <v>72546.100000000006</v>
      </c>
      <c r="AC1702" s="131">
        <v>33951.899999999994</v>
      </c>
      <c r="AD1702" s="131">
        <v>0</v>
      </c>
      <c r="AE1702" s="132">
        <v>106498</v>
      </c>
    </row>
    <row r="1703" spans="1:31" x14ac:dyDescent="0.2">
      <c r="A1703" s="133">
        <v>291</v>
      </c>
      <c r="B1703" s="133" t="s">
        <v>1841</v>
      </c>
      <c r="C1703" s="133" t="s">
        <v>1199</v>
      </c>
      <c r="D1703" s="133" t="s">
        <v>2107</v>
      </c>
      <c r="E1703" s="133" t="s">
        <v>1855</v>
      </c>
      <c r="F1703" s="133" t="s">
        <v>1117</v>
      </c>
      <c r="G1703" s="133" t="s">
        <v>1202</v>
      </c>
      <c r="H1703" s="133" t="s">
        <v>1216</v>
      </c>
      <c r="I1703" s="130" t="s">
        <v>1217</v>
      </c>
      <c r="J1703" s="130" t="s">
        <v>1218</v>
      </c>
      <c r="K1703" s="130" t="s">
        <v>1219</v>
      </c>
      <c r="L1703" s="130" t="s">
        <v>2108</v>
      </c>
      <c r="M1703" s="130" t="s">
        <v>1925</v>
      </c>
      <c r="N1703" s="130" t="s">
        <v>120</v>
      </c>
      <c r="O1703" s="130" t="s">
        <v>1845</v>
      </c>
      <c r="P1703" s="130" t="s">
        <v>1846</v>
      </c>
      <c r="Q1703" s="130" t="s">
        <v>1127</v>
      </c>
      <c r="R1703" s="130" t="s">
        <v>1191</v>
      </c>
      <c r="S1703" s="130" t="s">
        <v>1157</v>
      </c>
      <c r="T1703" s="130" t="s">
        <v>1847</v>
      </c>
      <c r="U1703" s="130">
        <v>0</v>
      </c>
      <c r="V1703" s="131">
        <v>11250</v>
      </c>
      <c r="W1703" s="131">
        <v>11250</v>
      </c>
      <c r="X1703" s="131">
        <v>0</v>
      </c>
      <c r="Y1703" s="131">
        <v>11250</v>
      </c>
      <c r="Z1703" s="131">
        <v>0</v>
      </c>
      <c r="AA1703" s="131">
        <v>11250</v>
      </c>
      <c r="AB1703" s="131">
        <v>0</v>
      </c>
      <c r="AC1703" s="131">
        <v>11250</v>
      </c>
      <c r="AD1703" s="131">
        <v>0</v>
      </c>
      <c r="AE1703" s="132">
        <v>11250</v>
      </c>
    </row>
    <row r="1704" spans="1:31" x14ac:dyDescent="0.2">
      <c r="A1704" s="133">
        <v>291</v>
      </c>
      <c r="B1704" s="133" t="s">
        <v>1841</v>
      </c>
      <c r="C1704" s="133" t="s">
        <v>1199</v>
      </c>
      <c r="D1704" s="133" t="s">
        <v>2107</v>
      </c>
      <c r="E1704" s="133" t="s">
        <v>1855</v>
      </c>
      <c r="F1704" s="133" t="s">
        <v>1117</v>
      </c>
      <c r="G1704" s="133" t="s">
        <v>1202</v>
      </c>
      <c r="H1704" s="133" t="s">
        <v>1216</v>
      </c>
      <c r="I1704" s="130" t="s">
        <v>1222</v>
      </c>
      <c r="J1704" s="130" t="s">
        <v>1304</v>
      </c>
      <c r="K1704" s="130" t="s">
        <v>1248</v>
      </c>
      <c r="L1704" s="130" t="s">
        <v>2108</v>
      </c>
      <c r="M1704" s="130" t="s">
        <v>1925</v>
      </c>
      <c r="N1704" s="130" t="s">
        <v>120</v>
      </c>
      <c r="O1704" s="130" t="s">
        <v>1845</v>
      </c>
      <c r="P1704" s="130" t="s">
        <v>1846</v>
      </c>
      <c r="Q1704" s="130" t="s">
        <v>1127</v>
      </c>
      <c r="R1704" s="130" t="s">
        <v>1191</v>
      </c>
      <c r="S1704" s="130" t="s">
        <v>1157</v>
      </c>
      <c r="T1704" s="130" t="s">
        <v>1847</v>
      </c>
      <c r="U1704" s="130">
        <v>0</v>
      </c>
      <c r="V1704" s="131">
        <v>2000</v>
      </c>
      <c r="W1704" s="131">
        <v>2000</v>
      </c>
      <c r="X1704" s="131">
        <v>0</v>
      </c>
      <c r="Y1704" s="131">
        <v>2000</v>
      </c>
      <c r="Z1704" s="131">
        <v>0</v>
      </c>
      <c r="AA1704" s="131">
        <v>2000</v>
      </c>
      <c r="AB1704" s="131">
        <v>0</v>
      </c>
      <c r="AC1704" s="131">
        <v>2000</v>
      </c>
      <c r="AD1704" s="131">
        <v>0</v>
      </c>
      <c r="AE1704" s="132">
        <v>2000</v>
      </c>
    </row>
    <row r="1705" spans="1:31" x14ac:dyDescent="0.2">
      <c r="A1705" s="133">
        <v>291</v>
      </c>
      <c r="B1705" s="133" t="s">
        <v>1841</v>
      </c>
      <c r="C1705" s="133" t="s">
        <v>1199</v>
      </c>
      <c r="D1705" s="133" t="s">
        <v>2107</v>
      </c>
      <c r="E1705" s="133" t="s">
        <v>1855</v>
      </c>
      <c r="F1705" s="133" t="s">
        <v>1117</v>
      </c>
      <c r="G1705" s="133" t="s">
        <v>1202</v>
      </c>
      <c r="H1705" s="133" t="s">
        <v>1216</v>
      </c>
      <c r="I1705" s="133" t="s">
        <v>1222</v>
      </c>
      <c r="J1705" s="133" t="s">
        <v>1304</v>
      </c>
      <c r="K1705" s="130" t="s">
        <v>1305</v>
      </c>
      <c r="L1705" s="130" t="s">
        <v>2108</v>
      </c>
      <c r="M1705" s="130" t="s">
        <v>1925</v>
      </c>
      <c r="N1705" s="130" t="s">
        <v>120</v>
      </c>
      <c r="O1705" s="130" t="s">
        <v>1845</v>
      </c>
      <c r="P1705" s="130" t="s">
        <v>1846</v>
      </c>
      <c r="Q1705" s="130" t="s">
        <v>1127</v>
      </c>
      <c r="R1705" s="130" t="s">
        <v>1191</v>
      </c>
      <c r="S1705" s="130" t="s">
        <v>1157</v>
      </c>
      <c r="T1705" s="130" t="s">
        <v>1847</v>
      </c>
      <c r="U1705" s="130">
        <v>0</v>
      </c>
      <c r="V1705" s="131">
        <v>2000</v>
      </c>
      <c r="W1705" s="131">
        <v>2000</v>
      </c>
      <c r="X1705" s="131">
        <v>430</v>
      </c>
      <c r="Y1705" s="131">
        <v>1570</v>
      </c>
      <c r="Z1705" s="131">
        <v>430</v>
      </c>
      <c r="AA1705" s="131">
        <v>1570</v>
      </c>
      <c r="AB1705" s="131">
        <v>430</v>
      </c>
      <c r="AC1705" s="131">
        <v>1570</v>
      </c>
      <c r="AD1705" s="131">
        <v>0</v>
      </c>
      <c r="AE1705" s="132">
        <v>2000</v>
      </c>
    </row>
    <row r="1706" spans="1:31" x14ac:dyDescent="0.2">
      <c r="A1706" s="133">
        <v>291</v>
      </c>
      <c r="B1706" s="133" t="s">
        <v>1841</v>
      </c>
      <c r="C1706" s="133" t="s">
        <v>1199</v>
      </c>
      <c r="D1706" s="133" t="s">
        <v>2107</v>
      </c>
      <c r="E1706" s="133" t="s">
        <v>1855</v>
      </c>
      <c r="F1706" s="133" t="s">
        <v>1117</v>
      </c>
      <c r="G1706" s="133" t="s">
        <v>1202</v>
      </c>
      <c r="H1706" s="130" t="s">
        <v>1203</v>
      </c>
      <c r="I1706" s="130" t="s">
        <v>1264</v>
      </c>
      <c r="J1706" s="130" t="s">
        <v>1265</v>
      </c>
      <c r="K1706" s="130" t="s">
        <v>1266</v>
      </c>
      <c r="L1706" s="130" t="s">
        <v>2108</v>
      </c>
      <c r="M1706" s="130" t="s">
        <v>1925</v>
      </c>
      <c r="N1706" s="130" t="s">
        <v>120</v>
      </c>
      <c r="O1706" s="130" t="s">
        <v>1845</v>
      </c>
      <c r="P1706" s="130" t="s">
        <v>1846</v>
      </c>
      <c r="Q1706" s="130" t="s">
        <v>1127</v>
      </c>
      <c r="R1706" s="130" t="s">
        <v>1191</v>
      </c>
      <c r="S1706" s="130" t="s">
        <v>1157</v>
      </c>
      <c r="T1706" s="130" t="s">
        <v>1847</v>
      </c>
      <c r="U1706" s="130">
        <v>0</v>
      </c>
      <c r="V1706" s="131">
        <v>53769</v>
      </c>
      <c r="W1706" s="131">
        <v>53769</v>
      </c>
      <c r="X1706" s="131">
        <v>15999.6</v>
      </c>
      <c r="Y1706" s="131">
        <v>37769.4</v>
      </c>
      <c r="Z1706" s="131">
        <v>15999.6</v>
      </c>
      <c r="AA1706" s="131">
        <v>37769.4</v>
      </c>
      <c r="AB1706" s="131">
        <v>15999.6</v>
      </c>
      <c r="AC1706" s="131">
        <v>37769.4</v>
      </c>
      <c r="AD1706" s="131">
        <v>0</v>
      </c>
      <c r="AE1706" s="132">
        <v>53769</v>
      </c>
    </row>
    <row r="1707" spans="1:31" x14ac:dyDescent="0.2">
      <c r="A1707" s="133">
        <v>291</v>
      </c>
      <c r="B1707" s="133" t="s">
        <v>1841</v>
      </c>
      <c r="C1707" s="133" t="s">
        <v>1199</v>
      </c>
      <c r="D1707" s="133" t="s">
        <v>2107</v>
      </c>
      <c r="E1707" s="133" t="s">
        <v>1855</v>
      </c>
      <c r="F1707" s="133" t="s">
        <v>1117</v>
      </c>
      <c r="G1707" s="133" t="s">
        <v>1202</v>
      </c>
      <c r="H1707" s="133" t="s">
        <v>1203</v>
      </c>
      <c r="I1707" s="130" t="s">
        <v>1315</v>
      </c>
      <c r="J1707" s="130" t="s">
        <v>1316</v>
      </c>
      <c r="K1707" s="130" t="s">
        <v>1533</v>
      </c>
      <c r="L1707" s="130" t="s">
        <v>2108</v>
      </c>
      <c r="M1707" s="130" t="s">
        <v>1925</v>
      </c>
      <c r="N1707" s="130" t="s">
        <v>120</v>
      </c>
      <c r="O1707" s="130" t="s">
        <v>1845</v>
      </c>
      <c r="P1707" s="130" t="s">
        <v>1846</v>
      </c>
      <c r="Q1707" s="130" t="s">
        <v>1127</v>
      </c>
      <c r="R1707" s="130" t="s">
        <v>1191</v>
      </c>
      <c r="S1707" s="130" t="s">
        <v>1157</v>
      </c>
      <c r="T1707" s="130" t="s">
        <v>1847</v>
      </c>
      <c r="U1707" s="130">
        <v>0</v>
      </c>
      <c r="V1707" s="131">
        <v>58000</v>
      </c>
      <c r="W1707" s="131">
        <v>58000</v>
      </c>
      <c r="X1707" s="131">
        <v>0</v>
      </c>
      <c r="Y1707" s="131">
        <v>58000</v>
      </c>
      <c r="Z1707" s="131">
        <v>0</v>
      </c>
      <c r="AA1707" s="131">
        <v>58000</v>
      </c>
      <c r="AB1707" s="131">
        <v>0</v>
      </c>
      <c r="AC1707" s="131">
        <v>58000</v>
      </c>
      <c r="AD1707" s="131">
        <v>0</v>
      </c>
      <c r="AE1707" s="132">
        <v>58000</v>
      </c>
    </row>
    <row r="1708" spans="1:31" x14ac:dyDescent="0.2">
      <c r="A1708" s="133">
        <v>291</v>
      </c>
      <c r="B1708" s="133" t="s">
        <v>1841</v>
      </c>
      <c r="C1708" s="133" t="s">
        <v>1199</v>
      </c>
      <c r="D1708" s="133" t="s">
        <v>2107</v>
      </c>
      <c r="E1708" s="133" t="s">
        <v>1855</v>
      </c>
      <c r="F1708" s="133" t="s">
        <v>1117</v>
      </c>
      <c r="G1708" s="133" t="s">
        <v>1202</v>
      </c>
      <c r="H1708" s="133" t="s">
        <v>1203</v>
      </c>
      <c r="I1708" s="130" t="s">
        <v>1209</v>
      </c>
      <c r="J1708" s="130" t="s">
        <v>1210</v>
      </c>
      <c r="K1708" s="130" t="s">
        <v>1273</v>
      </c>
      <c r="L1708" s="130" t="s">
        <v>2108</v>
      </c>
      <c r="M1708" s="130" t="s">
        <v>1925</v>
      </c>
      <c r="N1708" s="130" t="s">
        <v>120</v>
      </c>
      <c r="O1708" s="130" t="s">
        <v>1845</v>
      </c>
      <c r="P1708" s="130" t="s">
        <v>1846</v>
      </c>
      <c r="Q1708" s="130" t="s">
        <v>1127</v>
      </c>
      <c r="R1708" s="130" t="s">
        <v>1191</v>
      </c>
      <c r="S1708" s="130" t="s">
        <v>1157</v>
      </c>
      <c r="T1708" s="130" t="s">
        <v>1847</v>
      </c>
      <c r="U1708" s="130">
        <v>0</v>
      </c>
      <c r="V1708" s="131">
        <v>53100</v>
      </c>
      <c r="W1708" s="131">
        <v>53100</v>
      </c>
      <c r="X1708" s="131">
        <v>53100</v>
      </c>
      <c r="Y1708" s="131">
        <v>0</v>
      </c>
      <c r="Z1708" s="131">
        <v>53100</v>
      </c>
      <c r="AA1708" s="131">
        <v>0</v>
      </c>
      <c r="AB1708" s="131">
        <v>53100</v>
      </c>
      <c r="AC1708" s="131">
        <v>0</v>
      </c>
      <c r="AD1708" s="131">
        <v>0</v>
      </c>
      <c r="AE1708" s="132">
        <v>53100</v>
      </c>
    </row>
    <row r="1709" spans="1:31" x14ac:dyDescent="0.2">
      <c r="A1709" s="133">
        <v>291</v>
      </c>
      <c r="B1709" s="133" t="s">
        <v>1841</v>
      </c>
      <c r="C1709" s="133" t="s">
        <v>1199</v>
      </c>
      <c r="D1709" s="133" t="s">
        <v>2107</v>
      </c>
      <c r="E1709" s="133" t="s">
        <v>1855</v>
      </c>
      <c r="F1709" s="133" t="s">
        <v>1117</v>
      </c>
      <c r="G1709" s="133" t="s">
        <v>1202</v>
      </c>
      <c r="H1709" s="133" t="s">
        <v>1203</v>
      </c>
      <c r="I1709" s="133" t="s">
        <v>1209</v>
      </c>
      <c r="J1709" s="133" t="s">
        <v>1210</v>
      </c>
      <c r="K1709" s="130" t="s">
        <v>1539</v>
      </c>
      <c r="L1709" s="130" t="s">
        <v>2108</v>
      </c>
      <c r="M1709" s="130" t="s">
        <v>1925</v>
      </c>
      <c r="N1709" s="130" t="s">
        <v>120</v>
      </c>
      <c r="O1709" s="130" t="s">
        <v>1845</v>
      </c>
      <c r="P1709" s="130" t="s">
        <v>1846</v>
      </c>
      <c r="Q1709" s="130" t="s">
        <v>1127</v>
      </c>
      <c r="R1709" s="130" t="s">
        <v>1191</v>
      </c>
      <c r="S1709" s="130" t="s">
        <v>1157</v>
      </c>
      <c r="T1709" s="130" t="s">
        <v>1847</v>
      </c>
      <c r="U1709" s="130">
        <v>0</v>
      </c>
      <c r="V1709" s="131">
        <v>1700</v>
      </c>
      <c r="W1709" s="131">
        <v>1700</v>
      </c>
      <c r="X1709" s="131">
        <v>0</v>
      </c>
      <c r="Y1709" s="131">
        <v>1700</v>
      </c>
      <c r="Z1709" s="131">
        <v>0</v>
      </c>
      <c r="AA1709" s="131">
        <v>1700</v>
      </c>
      <c r="AB1709" s="131">
        <v>0</v>
      </c>
      <c r="AC1709" s="131">
        <v>1700</v>
      </c>
      <c r="AD1709" s="131">
        <v>0</v>
      </c>
      <c r="AE1709" s="132">
        <v>1700</v>
      </c>
    </row>
    <row r="1710" spans="1:31" x14ac:dyDescent="0.2">
      <c r="A1710" s="133">
        <v>291</v>
      </c>
      <c r="B1710" s="133" t="s">
        <v>1841</v>
      </c>
      <c r="C1710" s="133" t="s">
        <v>1199</v>
      </c>
      <c r="D1710" s="133" t="s">
        <v>2107</v>
      </c>
      <c r="E1710" s="133" t="s">
        <v>1855</v>
      </c>
      <c r="F1710" s="133" t="s">
        <v>1117</v>
      </c>
      <c r="G1710" s="133" t="s">
        <v>1202</v>
      </c>
      <c r="H1710" s="133" t="s">
        <v>1203</v>
      </c>
      <c r="I1710" s="133" t="s">
        <v>1209</v>
      </c>
      <c r="J1710" s="133" t="s">
        <v>1210</v>
      </c>
      <c r="K1710" s="130" t="s">
        <v>1211</v>
      </c>
      <c r="L1710" s="130" t="s">
        <v>2108</v>
      </c>
      <c r="M1710" s="130" t="s">
        <v>1925</v>
      </c>
      <c r="N1710" s="130" t="s">
        <v>120</v>
      </c>
      <c r="O1710" s="130" t="s">
        <v>1845</v>
      </c>
      <c r="P1710" s="130" t="s">
        <v>1846</v>
      </c>
      <c r="Q1710" s="130" t="s">
        <v>1127</v>
      </c>
      <c r="R1710" s="130" t="s">
        <v>1191</v>
      </c>
      <c r="S1710" s="130" t="s">
        <v>1157</v>
      </c>
      <c r="T1710" s="130" t="s">
        <v>1847</v>
      </c>
      <c r="U1710" s="130">
        <v>0</v>
      </c>
      <c r="V1710" s="131">
        <v>3100</v>
      </c>
      <c r="W1710" s="131">
        <v>3100</v>
      </c>
      <c r="X1710" s="131">
        <v>0</v>
      </c>
      <c r="Y1710" s="131">
        <v>3100</v>
      </c>
      <c r="Z1710" s="131">
        <v>0</v>
      </c>
      <c r="AA1710" s="131">
        <v>3100</v>
      </c>
      <c r="AB1710" s="131">
        <v>0</v>
      </c>
      <c r="AC1710" s="131">
        <v>3100</v>
      </c>
      <c r="AD1710" s="131">
        <v>0</v>
      </c>
      <c r="AE1710" s="132">
        <v>3100</v>
      </c>
    </row>
    <row r="1711" spans="1:31" x14ac:dyDescent="0.2">
      <c r="A1711" s="133">
        <v>291</v>
      </c>
      <c r="B1711" s="133" t="s">
        <v>1841</v>
      </c>
      <c r="C1711" s="133" t="s">
        <v>1199</v>
      </c>
      <c r="D1711" s="133" t="s">
        <v>2107</v>
      </c>
      <c r="E1711" s="133" t="s">
        <v>1855</v>
      </c>
      <c r="F1711" s="133" t="s">
        <v>1117</v>
      </c>
      <c r="G1711" s="133" t="s">
        <v>1202</v>
      </c>
      <c r="H1711" s="133" t="s">
        <v>1203</v>
      </c>
      <c r="I1711" s="133" t="s">
        <v>1209</v>
      </c>
      <c r="J1711" s="130" t="s">
        <v>1324</v>
      </c>
      <c r="K1711" s="130" t="s">
        <v>1325</v>
      </c>
      <c r="L1711" s="130" t="s">
        <v>2108</v>
      </c>
      <c r="M1711" s="130" t="s">
        <v>1925</v>
      </c>
      <c r="N1711" s="130" t="s">
        <v>120</v>
      </c>
      <c r="O1711" s="130" t="s">
        <v>1845</v>
      </c>
      <c r="P1711" s="130" t="s">
        <v>1846</v>
      </c>
      <c r="Q1711" s="130" t="s">
        <v>1127</v>
      </c>
      <c r="R1711" s="130" t="s">
        <v>1191</v>
      </c>
      <c r="S1711" s="130" t="s">
        <v>1157</v>
      </c>
      <c r="T1711" s="130" t="s">
        <v>1847</v>
      </c>
      <c r="U1711" s="130">
        <v>0</v>
      </c>
      <c r="V1711" s="131">
        <v>61600</v>
      </c>
      <c r="W1711" s="131">
        <v>61600</v>
      </c>
      <c r="X1711" s="131">
        <v>61600</v>
      </c>
      <c r="Y1711" s="131">
        <v>0</v>
      </c>
      <c r="Z1711" s="131">
        <v>61600</v>
      </c>
      <c r="AA1711" s="131">
        <v>0</v>
      </c>
      <c r="AB1711" s="131">
        <v>52467.72</v>
      </c>
      <c r="AC1711" s="131">
        <v>9132.2799999999988</v>
      </c>
      <c r="AD1711" s="131">
        <v>19517.72</v>
      </c>
      <c r="AE1711" s="132">
        <v>42082.28</v>
      </c>
    </row>
    <row r="1712" spans="1:31" x14ac:dyDescent="0.2">
      <c r="A1712" s="133">
        <v>291</v>
      </c>
      <c r="B1712" s="133" t="s">
        <v>1841</v>
      </c>
      <c r="C1712" s="133" t="s">
        <v>1199</v>
      </c>
      <c r="D1712" s="133" t="s">
        <v>2107</v>
      </c>
      <c r="E1712" s="133" t="s">
        <v>1855</v>
      </c>
      <c r="F1712" s="133" t="s">
        <v>1117</v>
      </c>
      <c r="G1712" s="133" t="s">
        <v>1202</v>
      </c>
      <c r="H1712" s="133" t="s">
        <v>1203</v>
      </c>
      <c r="I1712" s="130" t="s">
        <v>1309</v>
      </c>
      <c r="J1712" s="130" t="s">
        <v>1310</v>
      </c>
      <c r="K1712" s="130" t="s">
        <v>1310</v>
      </c>
      <c r="L1712" s="130" t="s">
        <v>2108</v>
      </c>
      <c r="M1712" s="130" t="s">
        <v>1925</v>
      </c>
      <c r="N1712" s="130" t="s">
        <v>120</v>
      </c>
      <c r="O1712" s="130" t="s">
        <v>1845</v>
      </c>
      <c r="P1712" s="130" t="s">
        <v>1846</v>
      </c>
      <c r="Q1712" s="130" t="s">
        <v>1127</v>
      </c>
      <c r="R1712" s="130" t="s">
        <v>1191</v>
      </c>
      <c r="S1712" s="130" t="s">
        <v>1157</v>
      </c>
      <c r="T1712" s="130" t="s">
        <v>1847</v>
      </c>
      <c r="U1712" s="130">
        <v>0</v>
      </c>
      <c r="V1712" s="131">
        <v>45000</v>
      </c>
      <c r="W1712" s="131">
        <v>45000</v>
      </c>
      <c r="X1712" s="131">
        <v>45000</v>
      </c>
      <c r="Y1712" s="131">
        <v>0</v>
      </c>
      <c r="Z1712" s="131">
        <v>45000</v>
      </c>
      <c r="AA1712" s="131">
        <v>0</v>
      </c>
      <c r="AB1712" s="131">
        <v>45000</v>
      </c>
      <c r="AC1712" s="131">
        <v>0</v>
      </c>
      <c r="AD1712" s="131">
        <v>15000</v>
      </c>
      <c r="AE1712" s="132">
        <v>30000</v>
      </c>
    </row>
    <row r="1713" spans="1:31" x14ac:dyDescent="0.2">
      <c r="A1713" s="130">
        <v>292</v>
      </c>
      <c r="B1713" s="130" t="s">
        <v>1841</v>
      </c>
      <c r="C1713" s="130" t="s">
        <v>1199</v>
      </c>
      <c r="D1713" s="130" t="s">
        <v>2107</v>
      </c>
      <c r="E1713" s="130" t="s">
        <v>1201</v>
      </c>
      <c r="F1713" s="130" t="s">
        <v>1117</v>
      </c>
      <c r="G1713" s="130" t="s">
        <v>1276</v>
      </c>
      <c r="H1713" s="130" t="s">
        <v>1277</v>
      </c>
      <c r="I1713" s="130" t="s">
        <v>1285</v>
      </c>
      <c r="J1713" s="130" t="s">
        <v>1286</v>
      </c>
      <c r="K1713" s="130" t="s">
        <v>1287</v>
      </c>
      <c r="L1713" s="130" t="s">
        <v>2113</v>
      </c>
      <c r="M1713" s="130" t="s">
        <v>1925</v>
      </c>
      <c r="N1713" s="130" t="s">
        <v>120</v>
      </c>
      <c r="O1713" s="130" t="s">
        <v>1845</v>
      </c>
      <c r="P1713" s="130" t="s">
        <v>1846</v>
      </c>
      <c r="Q1713" s="130" t="s">
        <v>1127</v>
      </c>
      <c r="R1713" s="130" t="s">
        <v>1191</v>
      </c>
      <c r="S1713" s="130" t="s">
        <v>1191</v>
      </c>
      <c r="T1713" s="130" t="s">
        <v>2114</v>
      </c>
      <c r="U1713" s="130">
        <v>48511</v>
      </c>
      <c r="V1713" s="131">
        <v>3600</v>
      </c>
      <c r="W1713" s="131">
        <v>52111</v>
      </c>
      <c r="X1713" s="131">
        <v>52111</v>
      </c>
      <c r="Y1713" s="131">
        <v>0</v>
      </c>
      <c r="Z1713" s="131">
        <v>52111</v>
      </c>
      <c r="AA1713" s="131">
        <v>0</v>
      </c>
      <c r="AB1713" s="131">
        <v>14766.900000000001</v>
      </c>
      <c r="AC1713" s="131">
        <v>37344.1</v>
      </c>
      <c r="AD1713" s="131">
        <v>14766.900000000001</v>
      </c>
      <c r="AE1713" s="132">
        <v>37344.1</v>
      </c>
    </row>
    <row r="1714" spans="1:31" x14ac:dyDescent="0.2">
      <c r="A1714" s="133">
        <v>292</v>
      </c>
      <c r="B1714" s="133" t="s">
        <v>1841</v>
      </c>
      <c r="C1714" s="133" t="s">
        <v>1199</v>
      </c>
      <c r="D1714" s="133" t="s">
        <v>2107</v>
      </c>
      <c r="E1714" s="133" t="s">
        <v>1201</v>
      </c>
      <c r="F1714" s="133" t="s">
        <v>1117</v>
      </c>
      <c r="G1714" s="133" t="s">
        <v>1276</v>
      </c>
      <c r="H1714" s="133" t="s">
        <v>1277</v>
      </c>
      <c r="I1714" s="130" t="s">
        <v>1288</v>
      </c>
      <c r="J1714" s="130" t="s">
        <v>1289</v>
      </c>
      <c r="K1714" s="130" t="s">
        <v>1292</v>
      </c>
      <c r="L1714" s="130" t="s">
        <v>2113</v>
      </c>
      <c r="M1714" s="130" t="s">
        <v>1925</v>
      </c>
      <c r="N1714" s="130" t="s">
        <v>120</v>
      </c>
      <c r="O1714" s="130" t="s">
        <v>1845</v>
      </c>
      <c r="P1714" s="130" t="s">
        <v>1846</v>
      </c>
      <c r="Q1714" s="130" t="s">
        <v>1127</v>
      </c>
      <c r="R1714" s="130" t="s">
        <v>1191</v>
      </c>
      <c r="S1714" s="130" t="s">
        <v>1191</v>
      </c>
      <c r="T1714" s="130" t="s">
        <v>2114</v>
      </c>
      <c r="U1714" s="130">
        <v>1800</v>
      </c>
      <c r="V1714" s="131">
        <v>0</v>
      </c>
      <c r="W1714" s="131">
        <v>1800</v>
      </c>
      <c r="X1714" s="131">
        <v>1800</v>
      </c>
      <c r="Y1714" s="131">
        <v>0</v>
      </c>
      <c r="Z1714" s="131">
        <v>1800</v>
      </c>
      <c r="AA1714" s="131">
        <v>0</v>
      </c>
      <c r="AB1714" s="131">
        <v>0</v>
      </c>
      <c r="AC1714" s="131">
        <v>1800</v>
      </c>
      <c r="AD1714" s="131">
        <v>0</v>
      </c>
      <c r="AE1714" s="132">
        <v>1800</v>
      </c>
    </row>
    <row r="1715" spans="1:31" x14ac:dyDescent="0.2">
      <c r="A1715" s="133">
        <v>292</v>
      </c>
      <c r="B1715" s="133" t="s">
        <v>1841</v>
      </c>
      <c r="C1715" s="133" t="s">
        <v>1199</v>
      </c>
      <c r="D1715" s="133" t="s">
        <v>2107</v>
      </c>
      <c r="E1715" s="133" t="s">
        <v>1201</v>
      </c>
      <c r="F1715" s="133" t="s">
        <v>1117</v>
      </c>
      <c r="G1715" s="133" t="s">
        <v>1276</v>
      </c>
      <c r="H1715" s="130" t="s">
        <v>1297</v>
      </c>
      <c r="I1715" s="130" t="s">
        <v>1298</v>
      </c>
      <c r="J1715" s="130" t="s">
        <v>1298</v>
      </c>
      <c r="K1715" s="130" t="s">
        <v>1300</v>
      </c>
      <c r="L1715" s="130" t="s">
        <v>2113</v>
      </c>
      <c r="M1715" s="130" t="s">
        <v>1925</v>
      </c>
      <c r="N1715" s="130" t="s">
        <v>120</v>
      </c>
      <c r="O1715" s="130" t="s">
        <v>1845</v>
      </c>
      <c r="P1715" s="130" t="s">
        <v>1846</v>
      </c>
      <c r="Q1715" s="130" t="s">
        <v>1127</v>
      </c>
      <c r="R1715" s="130" t="s">
        <v>1191</v>
      </c>
      <c r="S1715" s="130" t="s">
        <v>1191</v>
      </c>
      <c r="T1715" s="130" t="s">
        <v>2114</v>
      </c>
      <c r="U1715" s="130">
        <v>3880</v>
      </c>
      <c r="V1715" s="131">
        <v>810</v>
      </c>
      <c r="W1715" s="131">
        <v>4690</v>
      </c>
      <c r="X1715" s="131">
        <v>4690</v>
      </c>
      <c r="Y1715" s="131">
        <v>0</v>
      </c>
      <c r="Z1715" s="131">
        <v>4690</v>
      </c>
      <c r="AA1715" s="131">
        <v>0</v>
      </c>
      <c r="AB1715" s="131">
        <v>1330</v>
      </c>
      <c r="AC1715" s="131">
        <v>3360</v>
      </c>
      <c r="AD1715" s="131">
        <v>1330</v>
      </c>
      <c r="AE1715" s="132">
        <v>3360</v>
      </c>
    </row>
    <row r="1716" spans="1:31" x14ac:dyDescent="0.2">
      <c r="A1716" s="130">
        <v>293</v>
      </c>
      <c r="B1716" s="130" t="s">
        <v>1841</v>
      </c>
      <c r="C1716" s="130" t="s">
        <v>1199</v>
      </c>
      <c r="D1716" s="130" t="s">
        <v>2115</v>
      </c>
      <c r="E1716" s="130" t="s">
        <v>1201</v>
      </c>
      <c r="F1716" s="130" t="s">
        <v>1117</v>
      </c>
      <c r="G1716" s="130" t="s">
        <v>1276</v>
      </c>
      <c r="H1716" s="130" t="s">
        <v>1277</v>
      </c>
      <c r="I1716" s="130" t="s">
        <v>1278</v>
      </c>
      <c r="J1716" s="130" t="s">
        <v>1278</v>
      </c>
      <c r="K1716" s="130" t="s">
        <v>1279</v>
      </c>
      <c r="L1716" s="130" t="s">
        <v>2116</v>
      </c>
      <c r="M1716" s="130" t="s">
        <v>1925</v>
      </c>
      <c r="N1716" s="130" t="s">
        <v>120</v>
      </c>
      <c r="O1716" s="130" t="s">
        <v>1860</v>
      </c>
      <c r="P1716" s="130" t="s">
        <v>1861</v>
      </c>
      <c r="Q1716" s="130" t="s">
        <v>1127</v>
      </c>
      <c r="R1716" s="130" t="s">
        <v>1191</v>
      </c>
      <c r="S1716" s="130" t="s">
        <v>1157</v>
      </c>
      <c r="T1716" s="130" t="s">
        <v>1847</v>
      </c>
      <c r="U1716" s="130">
        <v>120928</v>
      </c>
      <c r="V1716" s="131">
        <v>50000</v>
      </c>
      <c r="W1716" s="131">
        <v>170928</v>
      </c>
      <c r="X1716" s="131">
        <v>170928</v>
      </c>
      <c r="Y1716" s="131">
        <v>0</v>
      </c>
      <c r="Z1716" s="131">
        <v>170928</v>
      </c>
      <c r="AA1716" s="131">
        <v>0</v>
      </c>
      <c r="AB1716" s="131">
        <v>76382.149999999994</v>
      </c>
      <c r="AC1716" s="131">
        <v>94545.85</v>
      </c>
      <c r="AD1716" s="131">
        <v>76382.149999999994</v>
      </c>
      <c r="AE1716" s="132">
        <v>94545.85</v>
      </c>
    </row>
    <row r="1717" spans="1:31" x14ac:dyDescent="0.2">
      <c r="A1717" s="133">
        <v>293</v>
      </c>
      <c r="B1717" s="133" t="s">
        <v>1841</v>
      </c>
      <c r="C1717" s="133" t="s">
        <v>1199</v>
      </c>
      <c r="D1717" s="133" t="s">
        <v>2115</v>
      </c>
      <c r="E1717" s="133" t="s">
        <v>1201</v>
      </c>
      <c r="F1717" s="133" t="s">
        <v>1117</v>
      </c>
      <c r="G1717" s="133" t="s">
        <v>1276</v>
      </c>
      <c r="H1717" s="133" t="s">
        <v>1277</v>
      </c>
      <c r="I1717" s="133" t="s">
        <v>1278</v>
      </c>
      <c r="J1717" s="133" t="s">
        <v>1278</v>
      </c>
      <c r="K1717" s="130" t="s">
        <v>1281</v>
      </c>
      <c r="L1717" s="130" t="s">
        <v>2116</v>
      </c>
      <c r="M1717" s="130" t="s">
        <v>1925</v>
      </c>
      <c r="N1717" s="130" t="s">
        <v>120</v>
      </c>
      <c r="O1717" s="130" t="s">
        <v>1860</v>
      </c>
      <c r="P1717" s="130" t="s">
        <v>1861</v>
      </c>
      <c r="Q1717" s="130" t="s">
        <v>1127</v>
      </c>
      <c r="R1717" s="130" t="s">
        <v>1191</v>
      </c>
      <c r="S1717" s="130" t="s">
        <v>1157</v>
      </c>
      <c r="T1717" s="130" t="s">
        <v>1847</v>
      </c>
      <c r="U1717" s="130">
        <v>50213</v>
      </c>
      <c r="V1717" s="131">
        <v>0</v>
      </c>
      <c r="W1717" s="131">
        <v>50213</v>
      </c>
      <c r="X1717" s="131">
        <v>50213</v>
      </c>
      <c r="Y1717" s="131">
        <v>0</v>
      </c>
      <c r="Z1717" s="131">
        <v>50213</v>
      </c>
      <c r="AA1717" s="131">
        <v>0</v>
      </c>
      <c r="AB1717" s="131">
        <v>45252.47</v>
      </c>
      <c r="AC1717" s="131">
        <v>4960.5299999999988</v>
      </c>
      <c r="AD1717" s="131">
        <v>45252.47</v>
      </c>
      <c r="AE1717" s="132">
        <v>4960.5299999999988</v>
      </c>
    </row>
    <row r="1718" spans="1:31" x14ac:dyDescent="0.2">
      <c r="A1718" s="133">
        <v>293</v>
      </c>
      <c r="B1718" s="133" t="s">
        <v>1841</v>
      </c>
      <c r="C1718" s="133" t="s">
        <v>1199</v>
      </c>
      <c r="D1718" s="133" t="s">
        <v>2115</v>
      </c>
      <c r="E1718" s="133" t="s">
        <v>1201</v>
      </c>
      <c r="F1718" s="133" t="s">
        <v>1117</v>
      </c>
      <c r="G1718" s="133" t="s">
        <v>1276</v>
      </c>
      <c r="H1718" s="133" t="s">
        <v>1277</v>
      </c>
      <c r="I1718" s="133" t="s">
        <v>1278</v>
      </c>
      <c r="J1718" s="133" t="s">
        <v>1278</v>
      </c>
      <c r="K1718" s="130" t="s">
        <v>1282</v>
      </c>
      <c r="L1718" s="130" t="s">
        <v>2116</v>
      </c>
      <c r="M1718" s="130" t="s">
        <v>1925</v>
      </c>
      <c r="N1718" s="130" t="s">
        <v>120</v>
      </c>
      <c r="O1718" s="130" t="s">
        <v>1860</v>
      </c>
      <c r="P1718" s="130" t="s">
        <v>1861</v>
      </c>
      <c r="Q1718" s="130" t="s">
        <v>1127</v>
      </c>
      <c r="R1718" s="130" t="s">
        <v>1191</v>
      </c>
      <c r="S1718" s="130" t="s">
        <v>1157</v>
      </c>
      <c r="T1718" s="130" t="s">
        <v>1847</v>
      </c>
      <c r="U1718" s="130">
        <v>33411</v>
      </c>
      <c r="V1718" s="131">
        <v>0</v>
      </c>
      <c r="W1718" s="131">
        <v>33411</v>
      </c>
      <c r="X1718" s="131">
        <v>33411</v>
      </c>
      <c r="Y1718" s="131">
        <v>0</v>
      </c>
      <c r="Z1718" s="131">
        <v>33411</v>
      </c>
      <c r="AA1718" s="131">
        <v>0</v>
      </c>
      <c r="AB1718" s="131">
        <v>20974.609999999997</v>
      </c>
      <c r="AC1718" s="131">
        <v>12436.390000000003</v>
      </c>
      <c r="AD1718" s="131">
        <v>20974.609999999997</v>
      </c>
      <c r="AE1718" s="132">
        <v>12436.390000000003</v>
      </c>
    </row>
    <row r="1719" spans="1:31" x14ac:dyDescent="0.2">
      <c r="A1719" s="133">
        <v>293</v>
      </c>
      <c r="B1719" s="133" t="s">
        <v>1841</v>
      </c>
      <c r="C1719" s="133" t="s">
        <v>1199</v>
      </c>
      <c r="D1719" s="133" t="s">
        <v>2115</v>
      </c>
      <c r="E1719" s="133" t="s">
        <v>1201</v>
      </c>
      <c r="F1719" s="133" t="s">
        <v>1117</v>
      </c>
      <c r="G1719" s="133" t="s">
        <v>1276</v>
      </c>
      <c r="H1719" s="133" t="s">
        <v>1277</v>
      </c>
      <c r="I1719" s="133" t="s">
        <v>1278</v>
      </c>
      <c r="J1719" s="130" t="s">
        <v>1283</v>
      </c>
      <c r="K1719" s="130" t="s">
        <v>1284</v>
      </c>
      <c r="L1719" s="130" t="s">
        <v>2116</v>
      </c>
      <c r="M1719" s="130" t="s">
        <v>1925</v>
      </c>
      <c r="N1719" s="130" t="s">
        <v>120</v>
      </c>
      <c r="O1719" s="130" t="s">
        <v>1860</v>
      </c>
      <c r="P1719" s="130" t="s">
        <v>1861</v>
      </c>
      <c r="Q1719" s="130" t="s">
        <v>1127</v>
      </c>
      <c r="R1719" s="130" t="s">
        <v>1191</v>
      </c>
      <c r="S1719" s="130" t="s">
        <v>1157</v>
      </c>
      <c r="T1719" s="130" t="s">
        <v>1847</v>
      </c>
      <c r="U1719" s="130">
        <v>495789</v>
      </c>
      <c r="V1719" s="131">
        <v>0</v>
      </c>
      <c r="W1719" s="131">
        <v>495789</v>
      </c>
      <c r="X1719" s="131">
        <v>495789</v>
      </c>
      <c r="Y1719" s="131">
        <v>0</v>
      </c>
      <c r="Z1719" s="131">
        <v>495789</v>
      </c>
      <c r="AA1719" s="131">
        <v>0</v>
      </c>
      <c r="AB1719" s="131">
        <v>198067.46000000002</v>
      </c>
      <c r="AC1719" s="131">
        <v>297721.53999999998</v>
      </c>
      <c r="AD1719" s="131">
        <v>198067.46000000002</v>
      </c>
      <c r="AE1719" s="132">
        <v>297721.53999999998</v>
      </c>
    </row>
    <row r="1720" spans="1:31" x14ac:dyDescent="0.2">
      <c r="A1720" s="133">
        <v>293</v>
      </c>
      <c r="B1720" s="133" t="s">
        <v>1841</v>
      </c>
      <c r="C1720" s="133" t="s">
        <v>1199</v>
      </c>
      <c r="D1720" s="133" t="s">
        <v>2115</v>
      </c>
      <c r="E1720" s="133" t="s">
        <v>1201</v>
      </c>
      <c r="F1720" s="133" t="s">
        <v>1117</v>
      </c>
      <c r="G1720" s="133" t="s">
        <v>1276</v>
      </c>
      <c r="H1720" s="133" t="s">
        <v>1277</v>
      </c>
      <c r="I1720" s="130" t="s">
        <v>1285</v>
      </c>
      <c r="J1720" s="130" t="s">
        <v>1286</v>
      </c>
      <c r="K1720" s="130" t="s">
        <v>1287</v>
      </c>
      <c r="L1720" s="130" t="s">
        <v>2116</v>
      </c>
      <c r="M1720" s="130" t="s">
        <v>1925</v>
      </c>
      <c r="N1720" s="130" t="s">
        <v>120</v>
      </c>
      <c r="O1720" s="130" t="s">
        <v>1860</v>
      </c>
      <c r="P1720" s="130" t="s">
        <v>1861</v>
      </c>
      <c r="Q1720" s="130" t="s">
        <v>1127</v>
      </c>
      <c r="R1720" s="130" t="s">
        <v>1191</v>
      </c>
      <c r="S1720" s="130" t="s">
        <v>1157</v>
      </c>
      <c r="T1720" s="130" t="s">
        <v>1847</v>
      </c>
      <c r="U1720" s="130">
        <v>16970</v>
      </c>
      <c r="V1720" s="131">
        <v>3000</v>
      </c>
      <c r="W1720" s="131">
        <v>19970</v>
      </c>
      <c r="X1720" s="131">
        <v>19970</v>
      </c>
      <c r="Y1720" s="131">
        <v>0</v>
      </c>
      <c r="Z1720" s="131">
        <v>19970</v>
      </c>
      <c r="AA1720" s="131">
        <v>0</v>
      </c>
      <c r="AB1720" s="131">
        <v>8320.9500000000007</v>
      </c>
      <c r="AC1720" s="131">
        <v>11649.05</v>
      </c>
      <c r="AD1720" s="131">
        <v>8320.9500000000007</v>
      </c>
      <c r="AE1720" s="132">
        <v>11649.05</v>
      </c>
    </row>
    <row r="1721" spans="1:31" x14ac:dyDescent="0.2">
      <c r="A1721" s="133">
        <v>293</v>
      </c>
      <c r="B1721" s="133" t="s">
        <v>1841</v>
      </c>
      <c r="C1721" s="133" t="s">
        <v>1199</v>
      </c>
      <c r="D1721" s="133" t="s">
        <v>2115</v>
      </c>
      <c r="E1721" s="133" t="s">
        <v>1201</v>
      </c>
      <c r="F1721" s="133" t="s">
        <v>1117</v>
      </c>
      <c r="G1721" s="133" t="s">
        <v>1276</v>
      </c>
      <c r="H1721" s="133" t="s">
        <v>1277</v>
      </c>
      <c r="I1721" s="130" t="s">
        <v>1288</v>
      </c>
      <c r="J1721" s="130" t="s">
        <v>1289</v>
      </c>
      <c r="K1721" s="130" t="s">
        <v>1290</v>
      </c>
      <c r="L1721" s="130" t="s">
        <v>2116</v>
      </c>
      <c r="M1721" s="130" t="s">
        <v>1925</v>
      </c>
      <c r="N1721" s="130" t="s">
        <v>120</v>
      </c>
      <c r="O1721" s="130" t="s">
        <v>1860</v>
      </c>
      <c r="P1721" s="130" t="s">
        <v>1861</v>
      </c>
      <c r="Q1721" s="130" t="s">
        <v>1127</v>
      </c>
      <c r="R1721" s="130" t="s">
        <v>1191</v>
      </c>
      <c r="S1721" s="130" t="s">
        <v>1157</v>
      </c>
      <c r="T1721" s="130" t="s">
        <v>1847</v>
      </c>
      <c r="U1721" s="130">
        <v>8800</v>
      </c>
      <c r="V1721" s="131">
        <v>0</v>
      </c>
      <c r="W1721" s="131">
        <v>8800</v>
      </c>
      <c r="X1721" s="131">
        <v>8800</v>
      </c>
      <c r="Y1721" s="131">
        <v>0</v>
      </c>
      <c r="Z1721" s="131">
        <v>8800</v>
      </c>
      <c r="AA1721" s="131">
        <v>0</v>
      </c>
      <c r="AB1721" s="131">
        <v>0</v>
      </c>
      <c r="AC1721" s="131">
        <v>8800</v>
      </c>
      <c r="AD1721" s="131">
        <v>0</v>
      </c>
      <c r="AE1721" s="132">
        <v>8800</v>
      </c>
    </row>
    <row r="1722" spans="1:31" x14ac:dyDescent="0.2">
      <c r="A1722" s="133">
        <v>293</v>
      </c>
      <c r="B1722" s="133" t="s">
        <v>1841</v>
      </c>
      <c r="C1722" s="133" t="s">
        <v>1199</v>
      </c>
      <c r="D1722" s="133" t="s">
        <v>2115</v>
      </c>
      <c r="E1722" s="133" t="s">
        <v>1201</v>
      </c>
      <c r="F1722" s="133" t="s">
        <v>1117</v>
      </c>
      <c r="G1722" s="133" t="s">
        <v>1276</v>
      </c>
      <c r="H1722" s="133" t="s">
        <v>1277</v>
      </c>
      <c r="I1722" s="133" t="s">
        <v>1288</v>
      </c>
      <c r="J1722" s="133" t="s">
        <v>1289</v>
      </c>
      <c r="K1722" s="130" t="s">
        <v>1291</v>
      </c>
      <c r="L1722" s="130" t="s">
        <v>2116</v>
      </c>
      <c r="M1722" s="130" t="s">
        <v>1925</v>
      </c>
      <c r="N1722" s="130" t="s">
        <v>120</v>
      </c>
      <c r="O1722" s="130" t="s">
        <v>1860</v>
      </c>
      <c r="P1722" s="130" t="s">
        <v>1861</v>
      </c>
      <c r="Q1722" s="130" t="s">
        <v>1127</v>
      </c>
      <c r="R1722" s="130" t="s">
        <v>1191</v>
      </c>
      <c r="S1722" s="130" t="s">
        <v>1157</v>
      </c>
      <c r="T1722" s="130" t="s">
        <v>1847</v>
      </c>
      <c r="U1722" s="130">
        <v>6800</v>
      </c>
      <c r="V1722" s="131">
        <v>100</v>
      </c>
      <c r="W1722" s="131">
        <v>6900</v>
      </c>
      <c r="X1722" s="131">
        <v>6900</v>
      </c>
      <c r="Y1722" s="131">
        <v>0</v>
      </c>
      <c r="Z1722" s="131">
        <v>6900</v>
      </c>
      <c r="AA1722" s="131">
        <v>0</v>
      </c>
      <c r="AB1722" s="131">
        <v>6870.7900000000009</v>
      </c>
      <c r="AC1722" s="131">
        <v>29.209999999999127</v>
      </c>
      <c r="AD1722" s="131">
        <v>6870.7900000000009</v>
      </c>
      <c r="AE1722" s="132">
        <v>29.209999999999127</v>
      </c>
    </row>
    <row r="1723" spans="1:31" x14ac:dyDescent="0.2">
      <c r="A1723" s="133">
        <v>293</v>
      </c>
      <c r="B1723" s="133" t="s">
        <v>1841</v>
      </c>
      <c r="C1723" s="133" t="s">
        <v>1199</v>
      </c>
      <c r="D1723" s="133" t="s">
        <v>2115</v>
      </c>
      <c r="E1723" s="133" t="s">
        <v>1201</v>
      </c>
      <c r="F1723" s="133" t="s">
        <v>1117</v>
      </c>
      <c r="G1723" s="133" t="s">
        <v>1276</v>
      </c>
      <c r="H1723" s="133" t="s">
        <v>1277</v>
      </c>
      <c r="I1723" s="133" t="s">
        <v>1288</v>
      </c>
      <c r="J1723" s="133" t="s">
        <v>1289</v>
      </c>
      <c r="K1723" s="130" t="s">
        <v>1292</v>
      </c>
      <c r="L1723" s="130" t="s">
        <v>2116</v>
      </c>
      <c r="M1723" s="130" t="s">
        <v>1925</v>
      </c>
      <c r="N1723" s="130" t="s">
        <v>120</v>
      </c>
      <c r="O1723" s="130" t="s">
        <v>1860</v>
      </c>
      <c r="P1723" s="130" t="s">
        <v>1861</v>
      </c>
      <c r="Q1723" s="130" t="s">
        <v>1127</v>
      </c>
      <c r="R1723" s="130" t="s">
        <v>1191</v>
      </c>
      <c r="S1723" s="130" t="s">
        <v>1157</v>
      </c>
      <c r="T1723" s="130" t="s">
        <v>1847</v>
      </c>
      <c r="U1723" s="130">
        <v>600</v>
      </c>
      <c r="V1723" s="131">
        <v>0</v>
      </c>
      <c r="W1723" s="131">
        <v>600</v>
      </c>
      <c r="X1723" s="131">
        <v>600</v>
      </c>
      <c r="Y1723" s="131">
        <v>0</v>
      </c>
      <c r="Z1723" s="131">
        <v>600</v>
      </c>
      <c r="AA1723" s="131">
        <v>0</v>
      </c>
      <c r="AB1723" s="131">
        <v>0</v>
      </c>
      <c r="AC1723" s="131">
        <v>600</v>
      </c>
      <c r="AD1723" s="131">
        <v>0</v>
      </c>
      <c r="AE1723" s="132">
        <v>600</v>
      </c>
    </row>
    <row r="1724" spans="1:31" x14ac:dyDescent="0.2">
      <c r="A1724" s="133">
        <v>293</v>
      </c>
      <c r="B1724" s="133" t="s">
        <v>1841</v>
      </c>
      <c r="C1724" s="133" t="s">
        <v>1199</v>
      </c>
      <c r="D1724" s="133" t="s">
        <v>2115</v>
      </c>
      <c r="E1724" s="133" t="s">
        <v>1201</v>
      </c>
      <c r="F1724" s="133" t="s">
        <v>1117</v>
      </c>
      <c r="G1724" s="133" t="s">
        <v>1276</v>
      </c>
      <c r="H1724" s="130" t="s">
        <v>1293</v>
      </c>
      <c r="I1724" s="130" t="s">
        <v>1294</v>
      </c>
      <c r="J1724" s="130" t="s">
        <v>1295</v>
      </c>
      <c r="K1724" s="130" t="s">
        <v>1296</v>
      </c>
      <c r="L1724" s="130" t="s">
        <v>2116</v>
      </c>
      <c r="M1724" s="130" t="s">
        <v>1925</v>
      </c>
      <c r="N1724" s="130" t="s">
        <v>120</v>
      </c>
      <c r="O1724" s="130" t="s">
        <v>1860</v>
      </c>
      <c r="P1724" s="130" t="s">
        <v>1861</v>
      </c>
      <c r="Q1724" s="130" t="s">
        <v>1127</v>
      </c>
      <c r="R1724" s="130" t="s">
        <v>1191</v>
      </c>
      <c r="S1724" s="130" t="s">
        <v>1157</v>
      </c>
      <c r="T1724" s="130" t="s">
        <v>1847</v>
      </c>
      <c r="U1724" s="130">
        <v>15840</v>
      </c>
      <c r="V1724" s="131">
        <v>0</v>
      </c>
      <c r="W1724" s="131">
        <v>15840</v>
      </c>
      <c r="X1724" s="131">
        <v>0</v>
      </c>
      <c r="Y1724" s="131">
        <v>15840</v>
      </c>
      <c r="Z1724" s="131">
        <v>0</v>
      </c>
      <c r="AA1724" s="131">
        <v>15840</v>
      </c>
      <c r="AB1724" s="131">
        <v>0</v>
      </c>
      <c r="AC1724" s="131">
        <v>15840</v>
      </c>
      <c r="AD1724" s="131">
        <v>0</v>
      </c>
      <c r="AE1724" s="132">
        <v>15840</v>
      </c>
    </row>
    <row r="1725" spans="1:31" x14ac:dyDescent="0.2">
      <c r="A1725" s="133">
        <v>293</v>
      </c>
      <c r="B1725" s="133" t="s">
        <v>1841</v>
      </c>
      <c r="C1725" s="133" t="s">
        <v>1199</v>
      </c>
      <c r="D1725" s="133" t="s">
        <v>2115</v>
      </c>
      <c r="E1725" s="133" t="s">
        <v>1201</v>
      </c>
      <c r="F1725" s="133" t="s">
        <v>1117</v>
      </c>
      <c r="G1725" s="133" t="s">
        <v>1276</v>
      </c>
      <c r="H1725" s="130" t="s">
        <v>1297</v>
      </c>
      <c r="I1725" s="130" t="s">
        <v>1298</v>
      </c>
      <c r="J1725" s="130" t="s">
        <v>1298</v>
      </c>
      <c r="K1725" s="130" t="s">
        <v>1299</v>
      </c>
      <c r="L1725" s="130" t="s">
        <v>2116</v>
      </c>
      <c r="M1725" s="130" t="s">
        <v>1925</v>
      </c>
      <c r="N1725" s="130" t="s">
        <v>120</v>
      </c>
      <c r="O1725" s="130" t="s">
        <v>1860</v>
      </c>
      <c r="P1725" s="130" t="s">
        <v>1861</v>
      </c>
      <c r="Q1725" s="130" t="s">
        <v>1127</v>
      </c>
      <c r="R1725" s="130" t="s">
        <v>1191</v>
      </c>
      <c r="S1725" s="130" t="s">
        <v>1157</v>
      </c>
      <c r="T1725" s="130" t="s">
        <v>1847</v>
      </c>
      <c r="U1725" s="130">
        <v>12122</v>
      </c>
      <c r="V1725" s="131">
        <v>119</v>
      </c>
      <c r="W1725" s="131">
        <v>12241</v>
      </c>
      <c r="X1725" s="131">
        <v>12241</v>
      </c>
      <c r="Y1725" s="131">
        <v>0</v>
      </c>
      <c r="Z1725" s="131">
        <v>12241</v>
      </c>
      <c r="AA1725" s="131">
        <v>0</v>
      </c>
      <c r="AB1725" s="131">
        <v>11891.630000000001</v>
      </c>
      <c r="AC1725" s="131">
        <v>349.36999999999898</v>
      </c>
      <c r="AD1725" s="131">
        <v>11891.630000000001</v>
      </c>
      <c r="AE1725" s="132">
        <v>349.36999999999898</v>
      </c>
    </row>
    <row r="1726" spans="1:31" x14ac:dyDescent="0.2">
      <c r="A1726" s="133">
        <v>293</v>
      </c>
      <c r="B1726" s="133" t="s">
        <v>1841</v>
      </c>
      <c r="C1726" s="133" t="s">
        <v>1199</v>
      </c>
      <c r="D1726" s="133" t="s">
        <v>2115</v>
      </c>
      <c r="E1726" s="133" t="s">
        <v>1201</v>
      </c>
      <c r="F1726" s="133" t="s">
        <v>1117</v>
      </c>
      <c r="G1726" s="133" t="s">
        <v>1276</v>
      </c>
      <c r="H1726" s="133" t="s">
        <v>1297</v>
      </c>
      <c r="I1726" s="133" t="s">
        <v>1298</v>
      </c>
      <c r="J1726" s="133" t="s">
        <v>1298</v>
      </c>
      <c r="K1726" s="130" t="s">
        <v>1300</v>
      </c>
      <c r="L1726" s="130" t="s">
        <v>2116</v>
      </c>
      <c r="M1726" s="130" t="s">
        <v>1925</v>
      </c>
      <c r="N1726" s="130" t="s">
        <v>120</v>
      </c>
      <c r="O1726" s="130" t="s">
        <v>1860</v>
      </c>
      <c r="P1726" s="130" t="s">
        <v>1861</v>
      </c>
      <c r="Q1726" s="130" t="s">
        <v>1127</v>
      </c>
      <c r="R1726" s="130" t="s">
        <v>1191</v>
      </c>
      <c r="S1726" s="130" t="s">
        <v>1157</v>
      </c>
      <c r="T1726" s="130" t="s">
        <v>1847</v>
      </c>
      <c r="U1726" s="130">
        <v>1527</v>
      </c>
      <c r="V1726" s="131">
        <v>270</v>
      </c>
      <c r="W1726" s="131">
        <v>1797</v>
      </c>
      <c r="X1726" s="131">
        <v>1797</v>
      </c>
      <c r="Y1726" s="131">
        <v>0</v>
      </c>
      <c r="Z1726" s="131">
        <v>1797</v>
      </c>
      <c r="AA1726" s="131">
        <v>0</v>
      </c>
      <c r="AB1726" s="131">
        <v>748.9</v>
      </c>
      <c r="AC1726" s="131">
        <v>1048.0999999999999</v>
      </c>
      <c r="AD1726" s="131">
        <v>748.9</v>
      </c>
      <c r="AE1726" s="132">
        <v>1048.0999999999999</v>
      </c>
    </row>
    <row r="1727" spans="1:31" x14ac:dyDescent="0.2">
      <c r="A1727" s="133">
        <v>293</v>
      </c>
      <c r="B1727" s="133" t="s">
        <v>1841</v>
      </c>
      <c r="C1727" s="133" t="s">
        <v>1199</v>
      </c>
      <c r="D1727" s="133" t="s">
        <v>2115</v>
      </c>
      <c r="E1727" s="133" t="s">
        <v>1201</v>
      </c>
      <c r="F1727" s="133" t="s">
        <v>1117</v>
      </c>
      <c r="G1727" s="133" t="s">
        <v>1276</v>
      </c>
      <c r="H1727" s="130" t="s">
        <v>1514</v>
      </c>
      <c r="I1727" s="130" t="s">
        <v>1515</v>
      </c>
      <c r="J1727" s="130" t="s">
        <v>1515</v>
      </c>
      <c r="K1727" s="130" t="s">
        <v>1518</v>
      </c>
      <c r="L1727" s="130" t="s">
        <v>2116</v>
      </c>
      <c r="M1727" s="130" t="s">
        <v>1925</v>
      </c>
      <c r="N1727" s="130" t="s">
        <v>120</v>
      </c>
      <c r="O1727" s="130" t="s">
        <v>1860</v>
      </c>
      <c r="P1727" s="130" t="s">
        <v>1861</v>
      </c>
      <c r="Q1727" s="130" t="s">
        <v>1127</v>
      </c>
      <c r="R1727" s="130" t="s">
        <v>1191</v>
      </c>
      <c r="S1727" s="130" t="s">
        <v>1157</v>
      </c>
      <c r="T1727" s="130" t="s">
        <v>1847</v>
      </c>
      <c r="U1727" s="130">
        <v>0</v>
      </c>
      <c r="V1727" s="131">
        <v>1320</v>
      </c>
      <c r="W1727" s="131">
        <v>1320</v>
      </c>
      <c r="X1727" s="131">
        <v>1319.47</v>
      </c>
      <c r="Y1727" s="131">
        <v>0.52999999999997272</v>
      </c>
      <c r="Z1727" s="131">
        <v>1319.47</v>
      </c>
      <c r="AA1727" s="131">
        <v>0.52999999999997272</v>
      </c>
      <c r="AB1727" s="131">
        <v>1319.47</v>
      </c>
      <c r="AC1727" s="131">
        <v>0.52999999999997272</v>
      </c>
      <c r="AD1727" s="131">
        <v>1319.47</v>
      </c>
      <c r="AE1727" s="132">
        <v>0.52999999999997272</v>
      </c>
    </row>
    <row r="1728" spans="1:31" x14ac:dyDescent="0.2">
      <c r="A1728" s="133">
        <v>293</v>
      </c>
      <c r="B1728" s="133" t="s">
        <v>1841</v>
      </c>
      <c r="C1728" s="133" t="s">
        <v>1199</v>
      </c>
      <c r="D1728" s="133" t="s">
        <v>2115</v>
      </c>
      <c r="E1728" s="133" t="s">
        <v>1201</v>
      </c>
      <c r="F1728" s="133" t="s">
        <v>1117</v>
      </c>
      <c r="G1728" s="130" t="s">
        <v>1202</v>
      </c>
      <c r="H1728" s="130" t="s">
        <v>1216</v>
      </c>
      <c r="I1728" s="130" t="s">
        <v>1301</v>
      </c>
      <c r="J1728" s="130" t="s">
        <v>1301</v>
      </c>
      <c r="K1728" s="130" t="s">
        <v>1302</v>
      </c>
      <c r="L1728" s="130" t="s">
        <v>2116</v>
      </c>
      <c r="M1728" s="130" t="s">
        <v>1925</v>
      </c>
      <c r="N1728" s="130" t="s">
        <v>120</v>
      </c>
      <c r="O1728" s="130" t="s">
        <v>1860</v>
      </c>
      <c r="P1728" s="130" t="s">
        <v>1861</v>
      </c>
      <c r="Q1728" s="130" t="s">
        <v>1127</v>
      </c>
      <c r="R1728" s="130" t="s">
        <v>1191</v>
      </c>
      <c r="S1728" s="130" t="s">
        <v>1157</v>
      </c>
      <c r="T1728" s="130" t="s">
        <v>1847</v>
      </c>
      <c r="U1728" s="130">
        <v>69561</v>
      </c>
      <c r="V1728" s="131">
        <v>-1700</v>
      </c>
      <c r="W1728" s="131">
        <v>67861</v>
      </c>
      <c r="X1728" s="131">
        <v>42900</v>
      </c>
      <c r="Y1728" s="131">
        <v>24961</v>
      </c>
      <c r="Z1728" s="131">
        <v>42900</v>
      </c>
      <c r="AA1728" s="131">
        <v>24961</v>
      </c>
      <c r="AB1728" s="131">
        <v>42900</v>
      </c>
      <c r="AC1728" s="131">
        <v>24961</v>
      </c>
      <c r="AD1728" s="131">
        <v>42900</v>
      </c>
      <c r="AE1728" s="132">
        <v>24961</v>
      </c>
    </row>
    <row r="1729" spans="1:31" x14ac:dyDescent="0.2">
      <c r="A1729" s="133">
        <v>293</v>
      </c>
      <c r="B1729" s="133" t="s">
        <v>1841</v>
      </c>
      <c r="C1729" s="133" t="s">
        <v>1199</v>
      </c>
      <c r="D1729" s="133" t="s">
        <v>2115</v>
      </c>
      <c r="E1729" s="133" t="s">
        <v>1201</v>
      </c>
      <c r="F1729" s="133" t="s">
        <v>1117</v>
      </c>
      <c r="G1729" s="133" t="s">
        <v>1202</v>
      </c>
      <c r="H1729" s="133" t="s">
        <v>1216</v>
      </c>
      <c r="I1729" s="130" t="s">
        <v>1242</v>
      </c>
      <c r="J1729" s="130" t="s">
        <v>1243</v>
      </c>
      <c r="K1729" s="130" t="s">
        <v>1303</v>
      </c>
      <c r="L1729" s="130" t="s">
        <v>2116</v>
      </c>
      <c r="M1729" s="130" t="s">
        <v>1925</v>
      </c>
      <c r="N1729" s="130" t="s">
        <v>120</v>
      </c>
      <c r="O1729" s="130" t="s">
        <v>1860</v>
      </c>
      <c r="P1729" s="130" t="s">
        <v>1861</v>
      </c>
      <c r="Q1729" s="130" t="s">
        <v>1127</v>
      </c>
      <c r="R1729" s="130" t="s">
        <v>1191</v>
      </c>
      <c r="S1729" s="130" t="s">
        <v>1157</v>
      </c>
      <c r="T1729" s="130" t="s">
        <v>1847</v>
      </c>
      <c r="U1729" s="130">
        <v>2646</v>
      </c>
      <c r="V1729" s="131">
        <v>0</v>
      </c>
      <c r="W1729" s="131">
        <v>2646</v>
      </c>
      <c r="X1729" s="131">
        <v>0</v>
      </c>
      <c r="Y1729" s="131">
        <v>2646</v>
      </c>
      <c r="Z1729" s="131">
        <v>0</v>
      </c>
      <c r="AA1729" s="131">
        <v>2646</v>
      </c>
      <c r="AB1729" s="131">
        <v>0</v>
      </c>
      <c r="AC1729" s="131">
        <v>2646</v>
      </c>
      <c r="AD1729" s="131">
        <v>0</v>
      </c>
      <c r="AE1729" s="132">
        <v>2646</v>
      </c>
    </row>
    <row r="1730" spans="1:31" x14ac:dyDescent="0.2">
      <c r="A1730" s="133">
        <v>293</v>
      </c>
      <c r="B1730" s="133" t="s">
        <v>1841</v>
      </c>
      <c r="C1730" s="133" t="s">
        <v>1199</v>
      </c>
      <c r="D1730" s="133" t="s">
        <v>2115</v>
      </c>
      <c r="E1730" s="133" t="s">
        <v>1201</v>
      </c>
      <c r="F1730" s="133" t="s">
        <v>1117</v>
      </c>
      <c r="G1730" s="133" t="s">
        <v>1202</v>
      </c>
      <c r="H1730" s="133" t="s">
        <v>1216</v>
      </c>
      <c r="I1730" s="130" t="s">
        <v>1222</v>
      </c>
      <c r="J1730" s="130" t="s">
        <v>1304</v>
      </c>
      <c r="K1730" s="130" t="s">
        <v>1248</v>
      </c>
      <c r="L1730" s="130" t="s">
        <v>2116</v>
      </c>
      <c r="M1730" s="130" t="s">
        <v>1925</v>
      </c>
      <c r="N1730" s="130" t="s">
        <v>120</v>
      </c>
      <c r="O1730" s="130" t="s">
        <v>1860</v>
      </c>
      <c r="P1730" s="130" t="s">
        <v>1861</v>
      </c>
      <c r="Q1730" s="130" t="s">
        <v>1127</v>
      </c>
      <c r="R1730" s="130" t="s">
        <v>1191</v>
      </c>
      <c r="S1730" s="130" t="s">
        <v>1157</v>
      </c>
      <c r="T1730" s="130" t="s">
        <v>1847</v>
      </c>
      <c r="U1730" s="130">
        <v>17899</v>
      </c>
      <c r="V1730" s="131">
        <v>-4937</v>
      </c>
      <c r="W1730" s="131">
        <v>12962</v>
      </c>
      <c r="X1730" s="131">
        <v>600</v>
      </c>
      <c r="Y1730" s="131">
        <v>12362</v>
      </c>
      <c r="Z1730" s="131">
        <v>600</v>
      </c>
      <c r="AA1730" s="131">
        <v>12362</v>
      </c>
      <c r="AB1730" s="131">
        <v>600</v>
      </c>
      <c r="AC1730" s="131">
        <v>12362</v>
      </c>
      <c r="AD1730" s="131">
        <v>600</v>
      </c>
      <c r="AE1730" s="132">
        <v>12362</v>
      </c>
    </row>
    <row r="1731" spans="1:31" x14ac:dyDescent="0.2">
      <c r="A1731" s="133">
        <v>293</v>
      </c>
      <c r="B1731" s="133" t="s">
        <v>1841</v>
      </c>
      <c r="C1731" s="133" t="s">
        <v>1199</v>
      </c>
      <c r="D1731" s="133" t="s">
        <v>2115</v>
      </c>
      <c r="E1731" s="133" t="s">
        <v>1201</v>
      </c>
      <c r="F1731" s="133" t="s">
        <v>1117</v>
      </c>
      <c r="G1731" s="133" t="s">
        <v>1202</v>
      </c>
      <c r="H1731" s="133" t="s">
        <v>1216</v>
      </c>
      <c r="I1731" s="133" t="s">
        <v>1222</v>
      </c>
      <c r="J1731" s="133" t="s">
        <v>1304</v>
      </c>
      <c r="K1731" s="130" t="s">
        <v>1305</v>
      </c>
      <c r="L1731" s="130" t="s">
        <v>2116</v>
      </c>
      <c r="M1731" s="130" t="s">
        <v>1925</v>
      </c>
      <c r="N1731" s="130" t="s">
        <v>120</v>
      </c>
      <c r="O1731" s="130" t="s">
        <v>1860</v>
      </c>
      <c r="P1731" s="130" t="s">
        <v>1861</v>
      </c>
      <c r="Q1731" s="130" t="s">
        <v>1127</v>
      </c>
      <c r="R1731" s="130" t="s">
        <v>1191</v>
      </c>
      <c r="S1731" s="130" t="s">
        <v>1157</v>
      </c>
      <c r="T1731" s="130" t="s">
        <v>1847</v>
      </c>
      <c r="U1731" s="130">
        <v>4653</v>
      </c>
      <c r="V1731" s="131">
        <v>4937</v>
      </c>
      <c r="W1731" s="131">
        <v>9590</v>
      </c>
      <c r="X1731" s="131">
        <v>8290</v>
      </c>
      <c r="Y1731" s="131">
        <v>1300</v>
      </c>
      <c r="Z1731" s="131">
        <v>6099.43</v>
      </c>
      <c r="AA1731" s="131">
        <v>3490.5699999999997</v>
      </c>
      <c r="AB1731" s="131">
        <v>6099.43</v>
      </c>
      <c r="AC1731" s="131">
        <v>3490.5699999999997</v>
      </c>
      <c r="AD1731" s="131">
        <v>6099.43</v>
      </c>
      <c r="AE1731" s="132">
        <v>3490.5699999999997</v>
      </c>
    </row>
    <row r="1732" spans="1:31" x14ac:dyDescent="0.2">
      <c r="A1732" s="133">
        <v>293</v>
      </c>
      <c r="B1732" s="133" t="s">
        <v>1841</v>
      </c>
      <c r="C1732" s="133" t="s">
        <v>1199</v>
      </c>
      <c r="D1732" s="133" t="s">
        <v>2115</v>
      </c>
      <c r="E1732" s="133" t="s">
        <v>1201</v>
      </c>
      <c r="F1732" s="133" t="s">
        <v>1117</v>
      </c>
      <c r="G1732" s="133" t="s">
        <v>1202</v>
      </c>
      <c r="H1732" s="130" t="s">
        <v>1203</v>
      </c>
      <c r="I1732" s="130" t="s">
        <v>1204</v>
      </c>
      <c r="J1732" s="130" t="s">
        <v>1205</v>
      </c>
      <c r="K1732" s="130" t="s">
        <v>1255</v>
      </c>
      <c r="L1732" s="130" t="s">
        <v>2116</v>
      </c>
      <c r="M1732" s="130" t="s">
        <v>1925</v>
      </c>
      <c r="N1732" s="130" t="s">
        <v>120</v>
      </c>
      <c r="O1732" s="130" t="s">
        <v>1860</v>
      </c>
      <c r="P1732" s="130" t="s">
        <v>1861</v>
      </c>
      <c r="Q1732" s="130" t="s">
        <v>1127</v>
      </c>
      <c r="R1732" s="130" t="s">
        <v>1191</v>
      </c>
      <c r="S1732" s="130" t="s">
        <v>1157</v>
      </c>
      <c r="T1732" s="130" t="s">
        <v>1847</v>
      </c>
      <c r="U1732" s="130">
        <v>2546</v>
      </c>
      <c r="V1732" s="131">
        <v>1200</v>
      </c>
      <c r="W1732" s="131">
        <v>3746</v>
      </c>
      <c r="X1732" s="131">
        <v>2958</v>
      </c>
      <c r="Y1732" s="131">
        <v>788</v>
      </c>
      <c r="Z1732" s="131">
        <v>2817.2</v>
      </c>
      <c r="AA1732" s="131">
        <v>928.80000000000018</v>
      </c>
      <c r="AB1732" s="131">
        <v>2817.2</v>
      </c>
      <c r="AC1732" s="131">
        <v>928.80000000000018</v>
      </c>
      <c r="AD1732" s="131">
        <v>2817.2</v>
      </c>
      <c r="AE1732" s="132">
        <v>928.80000000000018</v>
      </c>
    </row>
    <row r="1733" spans="1:31" x14ac:dyDescent="0.2">
      <c r="A1733" s="133">
        <v>293</v>
      </c>
      <c r="B1733" s="133" t="s">
        <v>1841</v>
      </c>
      <c r="C1733" s="133" t="s">
        <v>1199</v>
      </c>
      <c r="D1733" s="133" t="s">
        <v>2115</v>
      </c>
      <c r="E1733" s="133" t="s">
        <v>1201</v>
      </c>
      <c r="F1733" s="133" t="s">
        <v>1117</v>
      </c>
      <c r="G1733" s="133" t="s">
        <v>1202</v>
      </c>
      <c r="H1733" s="133" t="s">
        <v>1203</v>
      </c>
      <c r="I1733" s="133" t="s">
        <v>1204</v>
      </c>
      <c r="J1733" s="133" t="s">
        <v>1205</v>
      </c>
      <c r="K1733" s="130" t="s">
        <v>1256</v>
      </c>
      <c r="L1733" s="130" t="s">
        <v>2116</v>
      </c>
      <c r="M1733" s="130" t="s">
        <v>1925</v>
      </c>
      <c r="N1733" s="130" t="s">
        <v>120</v>
      </c>
      <c r="O1733" s="130" t="s">
        <v>1860</v>
      </c>
      <c r="P1733" s="130" t="s">
        <v>1861</v>
      </c>
      <c r="Q1733" s="130" t="s">
        <v>1127</v>
      </c>
      <c r="R1733" s="130" t="s">
        <v>1191</v>
      </c>
      <c r="S1733" s="130" t="s">
        <v>1157</v>
      </c>
      <c r="T1733" s="130" t="s">
        <v>1847</v>
      </c>
      <c r="U1733" s="130">
        <v>1231</v>
      </c>
      <c r="V1733" s="131">
        <v>500</v>
      </c>
      <c r="W1733" s="131">
        <v>1731</v>
      </c>
      <c r="X1733" s="131">
        <v>1731</v>
      </c>
      <c r="Y1733" s="131">
        <v>0</v>
      </c>
      <c r="Z1733" s="131">
        <v>1347.4</v>
      </c>
      <c r="AA1733" s="131">
        <v>383.59999999999991</v>
      </c>
      <c r="AB1733" s="131">
        <v>1347.4</v>
      </c>
      <c r="AC1733" s="131">
        <v>383.59999999999991</v>
      </c>
      <c r="AD1733" s="131">
        <v>1347.4</v>
      </c>
      <c r="AE1733" s="132">
        <v>383.59999999999991</v>
      </c>
    </row>
    <row r="1734" spans="1:31" x14ac:dyDescent="0.2">
      <c r="A1734" s="133">
        <v>293</v>
      </c>
      <c r="B1734" s="133" t="s">
        <v>1841</v>
      </c>
      <c r="C1734" s="133" t="s">
        <v>1199</v>
      </c>
      <c r="D1734" s="133" t="s">
        <v>2115</v>
      </c>
      <c r="E1734" s="133" t="s">
        <v>1201</v>
      </c>
      <c r="F1734" s="133" t="s">
        <v>1117</v>
      </c>
      <c r="G1734" s="133" t="s">
        <v>1202</v>
      </c>
      <c r="H1734" s="133" t="s">
        <v>1203</v>
      </c>
      <c r="I1734" s="130" t="s">
        <v>1224</v>
      </c>
      <c r="J1734" s="130" t="s">
        <v>1529</v>
      </c>
      <c r="K1734" s="130" t="s">
        <v>1848</v>
      </c>
      <c r="L1734" s="130" t="s">
        <v>2116</v>
      </c>
      <c r="M1734" s="130" t="s">
        <v>1925</v>
      </c>
      <c r="N1734" s="130" t="s">
        <v>120</v>
      </c>
      <c r="O1734" s="130" t="s">
        <v>1860</v>
      </c>
      <c r="P1734" s="130" t="s">
        <v>1861</v>
      </c>
      <c r="Q1734" s="130" t="s">
        <v>1127</v>
      </c>
      <c r="R1734" s="130" t="s">
        <v>1191</v>
      </c>
      <c r="S1734" s="130" t="s">
        <v>1157</v>
      </c>
      <c r="T1734" s="130" t="s">
        <v>1847</v>
      </c>
      <c r="U1734" s="130">
        <v>1566</v>
      </c>
      <c r="V1734" s="131">
        <v>0</v>
      </c>
      <c r="W1734" s="131">
        <v>1566</v>
      </c>
      <c r="X1734" s="131">
        <v>0</v>
      </c>
      <c r="Y1734" s="131">
        <v>1566</v>
      </c>
      <c r="Z1734" s="131">
        <v>0</v>
      </c>
      <c r="AA1734" s="131">
        <v>1566</v>
      </c>
      <c r="AB1734" s="131">
        <v>0</v>
      </c>
      <c r="AC1734" s="131">
        <v>1566</v>
      </c>
      <c r="AD1734" s="131">
        <v>0</v>
      </c>
      <c r="AE1734" s="132">
        <v>1566</v>
      </c>
    </row>
    <row r="1735" spans="1:31" x14ac:dyDescent="0.2">
      <c r="A1735" s="133">
        <v>293</v>
      </c>
      <c r="B1735" s="133" t="s">
        <v>1841</v>
      </c>
      <c r="C1735" s="133" t="s">
        <v>1199</v>
      </c>
      <c r="D1735" s="133" t="s">
        <v>2115</v>
      </c>
      <c r="E1735" s="133" t="s">
        <v>1201</v>
      </c>
      <c r="F1735" s="133" t="s">
        <v>1117</v>
      </c>
      <c r="G1735" s="133" t="s">
        <v>1202</v>
      </c>
      <c r="H1735" s="133" t="s">
        <v>1203</v>
      </c>
      <c r="I1735" s="133" t="s">
        <v>1224</v>
      </c>
      <c r="J1735" s="133" t="s">
        <v>1529</v>
      </c>
      <c r="K1735" s="130" t="s">
        <v>1530</v>
      </c>
      <c r="L1735" s="130" t="s">
        <v>2116</v>
      </c>
      <c r="M1735" s="130" t="s">
        <v>1925</v>
      </c>
      <c r="N1735" s="130" t="s">
        <v>120</v>
      </c>
      <c r="O1735" s="130" t="s">
        <v>1860</v>
      </c>
      <c r="P1735" s="130" t="s">
        <v>1861</v>
      </c>
      <c r="Q1735" s="130" t="s">
        <v>1127</v>
      </c>
      <c r="R1735" s="130" t="s">
        <v>1191</v>
      </c>
      <c r="S1735" s="130" t="s">
        <v>1157</v>
      </c>
      <c r="T1735" s="130" t="s">
        <v>1847</v>
      </c>
      <c r="U1735" s="130">
        <v>550</v>
      </c>
      <c r="V1735" s="131">
        <v>0</v>
      </c>
      <c r="W1735" s="131">
        <v>550</v>
      </c>
      <c r="X1735" s="131">
        <v>480</v>
      </c>
      <c r="Y1735" s="131">
        <v>70</v>
      </c>
      <c r="Z1735" s="131">
        <v>0</v>
      </c>
      <c r="AA1735" s="131">
        <v>550</v>
      </c>
      <c r="AB1735" s="131">
        <v>0</v>
      </c>
      <c r="AC1735" s="131">
        <v>550</v>
      </c>
      <c r="AD1735" s="131">
        <v>0</v>
      </c>
      <c r="AE1735" s="132">
        <v>550</v>
      </c>
    </row>
    <row r="1736" spans="1:31" x14ac:dyDescent="0.2">
      <c r="A1736" s="133">
        <v>293</v>
      </c>
      <c r="B1736" s="133" t="s">
        <v>1841</v>
      </c>
      <c r="C1736" s="133" t="s">
        <v>1199</v>
      </c>
      <c r="D1736" s="133" t="s">
        <v>2115</v>
      </c>
      <c r="E1736" s="133" t="s">
        <v>1201</v>
      </c>
      <c r="F1736" s="133" t="s">
        <v>1117</v>
      </c>
      <c r="G1736" s="133" t="s">
        <v>1202</v>
      </c>
      <c r="H1736" s="133" t="s">
        <v>1203</v>
      </c>
      <c r="I1736" s="133" t="s">
        <v>1224</v>
      </c>
      <c r="J1736" s="130" t="s">
        <v>1853</v>
      </c>
      <c r="K1736" s="130" t="s">
        <v>1854</v>
      </c>
      <c r="L1736" s="130" t="s">
        <v>2116</v>
      </c>
      <c r="M1736" s="130" t="s">
        <v>1925</v>
      </c>
      <c r="N1736" s="130" t="s">
        <v>120</v>
      </c>
      <c r="O1736" s="130" t="s">
        <v>1860</v>
      </c>
      <c r="P1736" s="130" t="s">
        <v>1861</v>
      </c>
      <c r="Q1736" s="130" t="s">
        <v>1127</v>
      </c>
      <c r="R1736" s="130" t="s">
        <v>1191</v>
      </c>
      <c r="S1736" s="130" t="s">
        <v>1157</v>
      </c>
      <c r="T1736" s="130" t="s">
        <v>1847</v>
      </c>
      <c r="U1736" s="130">
        <v>0</v>
      </c>
      <c r="V1736" s="131">
        <v>2877</v>
      </c>
      <c r="W1736" s="131">
        <v>2877</v>
      </c>
      <c r="X1736" s="131">
        <v>2876.96</v>
      </c>
      <c r="Y1736" s="131">
        <v>3.999999999996362E-2</v>
      </c>
      <c r="Z1736" s="131">
        <v>2876.96</v>
      </c>
      <c r="AA1736" s="131">
        <v>3.999999999996362E-2</v>
      </c>
      <c r="AB1736" s="131">
        <v>2876.96</v>
      </c>
      <c r="AC1736" s="131">
        <v>3.999999999996362E-2</v>
      </c>
      <c r="AD1736" s="131">
        <v>2876.96</v>
      </c>
      <c r="AE1736" s="132">
        <v>3.999999999996362E-2</v>
      </c>
    </row>
    <row r="1737" spans="1:31" x14ac:dyDescent="0.2">
      <c r="A1737" s="133">
        <v>293</v>
      </c>
      <c r="B1737" s="133" t="s">
        <v>1841</v>
      </c>
      <c r="C1737" s="133" t="s">
        <v>1199</v>
      </c>
      <c r="D1737" s="133" t="s">
        <v>2115</v>
      </c>
      <c r="E1737" s="133" t="s">
        <v>1201</v>
      </c>
      <c r="F1737" s="133" t="s">
        <v>1117</v>
      </c>
      <c r="G1737" s="133" t="s">
        <v>1202</v>
      </c>
      <c r="H1737" s="133" t="s">
        <v>1203</v>
      </c>
      <c r="I1737" s="130" t="s">
        <v>1315</v>
      </c>
      <c r="J1737" s="130" t="s">
        <v>1316</v>
      </c>
      <c r="K1737" s="130" t="s">
        <v>1533</v>
      </c>
      <c r="L1737" s="130" t="s">
        <v>2116</v>
      </c>
      <c r="M1737" s="130" t="s">
        <v>1925</v>
      </c>
      <c r="N1737" s="130" t="s">
        <v>120</v>
      </c>
      <c r="O1737" s="130" t="s">
        <v>1860</v>
      </c>
      <c r="P1737" s="130" t="s">
        <v>1861</v>
      </c>
      <c r="Q1737" s="130" t="s">
        <v>1127</v>
      </c>
      <c r="R1737" s="130" t="s">
        <v>1191</v>
      </c>
      <c r="S1737" s="130" t="s">
        <v>1157</v>
      </c>
      <c r="T1737" s="130" t="s">
        <v>1847</v>
      </c>
      <c r="U1737" s="130">
        <v>0</v>
      </c>
      <c r="V1737" s="131">
        <v>43383</v>
      </c>
      <c r="W1737" s="131">
        <v>43383</v>
      </c>
      <c r="X1737" s="131">
        <v>40260</v>
      </c>
      <c r="Y1737" s="131">
        <v>3123</v>
      </c>
      <c r="Z1737" s="131">
        <v>40260</v>
      </c>
      <c r="AA1737" s="131">
        <v>3123</v>
      </c>
      <c r="AB1737" s="131">
        <v>40260</v>
      </c>
      <c r="AC1737" s="131">
        <v>3123</v>
      </c>
      <c r="AD1737" s="131">
        <v>40260</v>
      </c>
      <c r="AE1737" s="132">
        <v>3123</v>
      </c>
    </row>
    <row r="1738" spans="1:31" x14ac:dyDescent="0.2">
      <c r="A1738" s="133">
        <v>293</v>
      </c>
      <c r="B1738" s="133" t="s">
        <v>1841</v>
      </c>
      <c r="C1738" s="133" t="s">
        <v>1199</v>
      </c>
      <c r="D1738" s="133" t="s">
        <v>2115</v>
      </c>
      <c r="E1738" s="133" t="s">
        <v>1201</v>
      </c>
      <c r="F1738" s="133" t="s">
        <v>1117</v>
      </c>
      <c r="G1738" s="133" t="s">
        <v>1202</v>
      </c>
      <c r="H1738" s="133" t="s">
        <v>1203</v>
      </c>
      <c r="I1738" s="130" t="s">
        <v>1269</v>
      </c>
      <c r="J1738" s="130" t="s">
        <v>1534</v>
      </c>
      <c r="K1738" s="130" t="s">
        <v>1535</v>
      </c>
      <c r="L1738" s="130" t="s">
        <v>2116</v>
      </c>
      <c r="M1738" s="130" t="s">
        <v>1925</v>
      </c>
      <c r="N1738" s="130" t="s">
        <v>120</v>
      </c>
      <c r="O1738" s="130" t="s">
        <v>1860</v>
      </c>
      <c r="P1738" s="130" t="s">
        <v>1861</v>
      </c>
      <c r="Q1738" s="130" t="s">
        <v>1127</v>
      </c>
      <c r="R1738" s="130" t="s">
        <v>1191</v>
      </c>
      <c r="S1738" s="130" t="s">
        <v>1157</v>
      </c>
      <c r="T1738" s="130" t="s">
        <v>1847</v>
      </c>
      <c r="U1738" s="130">
        <v>500</v>
      </c>
      <c r="V1738" s="131">
        <v>5000</v>
      </c>
      <c r="W1738" s="131">
        <v>5500</v>
      </c>
      <c r="X1738" s="131">
        <v>1500</v>
      </c>
      <c r="Y1738" s="131">
        <v>4000</v>
      </c>
      <c r="Z1738" s="131">
        <v>1500</v>
      </c>
      <c r="AA1738" s="131">
        <v>4000</v>
      </c>
      <c r="AB1738" s="131">
        <v>1500</v>
      </c>
      <c r="AC1738" s="131">
        <v>4000</v>
      </c>
      <c r="AD1738" s="131">
        <v>1500</v>
      </c>
      <c r="AE1738" s="132">
        <v>4000</v>
      </c>
    </row>
    <row r="1739" spans="1:31" x14ac:dyDescent="0.2">
      <c r="A1739" s="133">
        <v>293</v>
      </c>
      <c r="B1739" s="133" t="s">
        <v>1841</v>
      </c>
      <c r="C1739" s="133" t="s">
        <v>1199</v>
      </c>
      <c r="D1739" s="133" t="s">
        <v>2115</v>
      </c>
      <c r="E1739" s="133" t="s">
        <v>1201</v>
      </c>
      <c r="F1739" s="133" t="s">
        <v>1117</v>
      </c>
      <c r="G1739" s="133" t="s">
        <v>1202</v>
      </c>
      <c r="H1739" s="133" t="s">
        <v>1203</v>
      </c>
      <c r="I1739" s="133" t="s">
        <v>1269</v>
      </c>
      <c r="J1739" s="130" t="s">
        <v>1270</v>
      </c>
      <c r="K1739" s="130" t="s">
        <v>1272</v>
      </c>
      <c r="L1739" s="130" t="s">
        <v>2116</v>
      </c>
      <c r="M1739" s="130" t="s">
        <v>1925</v>
      </c>
      <c r="N1739" s="130" t="s">
        <v>120</v>
      </c>
      <c r="O1739" s="130" t="s">
        <v>1860</v>
      </c>
      <c r="P1739" s="130" t="s">
        <v>1861</v>
      </c>
      <c r="Q1739" s="130" t="s">
        <v>1127</v>
      </c>
      <c r="R1739" s="130" t="s">
        <v>1191</v>
      </c>
      <c r="S1739" s="130" t="s">
        <v>1157</v>
      </c>
      <c r="T1739" s="130" t="s">
        <v>1847</v>
      </c>
      <c r="U1739" s="130">
        <v>448</v>
      </c>
      <c r="V1739" s="131">
        <v>0</v>
      </c>
      <c r="W1739" s="131">
        <v>448</v>
      </c>
      <c r="X1739" s="131">
        <v>0</v>
      </c>
      <c r="Y1739" s="131">
        <v>448</v>
      </c>
      <c r="Z1739" s="131">
        <v>0</v>
      </c>
      <c r="AA1739" s="131">
        <v>448</v>
      </c>
      <c r="AB1739" s="131">
        <v>0</v>
      </c>
      <c r="AC1739" s="131">
        <v>448</v>
      </c>
      <c r="AD1739" s="131">
        <v>0</v>
      </c>
      <c r="AE1739" s="132">
        <v>448</v>
      </c>
    </row>
    <row r="1740" spans="1:31" x14ac:dyDescent="0.2">
      <c r="A1740" s="133">
        <v>293</v>
      </c>
      <c r="B1740" s="133" t="s">
        <v>1841</v>
      </c>
      <c r="C1740" s="133" t="s">
        <v>1199</v>
      </c>
      <c r="D1740" s="133" t="s">
        <v>2115</v>
      </c>
      <c r="E1740" s="133" t="s">
        <v>1201</v>
      </c>
      <c r="F1740" s="133" t="s">
        <v>1117</v>
      </c>
      <c r="G1740" s="133" t="s">
        <v>1202</v>
      </c>
      <c r="H1740" s="133" t="s">
        <v>1203</v>
      </c>
      <c r="I1740" s="130" t="s">
        <v>1209</v>
      </c>
      <c r="J1740" s="130" t="s">
        <v>1324</v>
      </c>
      <c r="K1740" s="130" t="s">
        <v>1325</v>
      </c>
      <c r="L1740" s="130" t="s">
        <v>2116</v>
      </c>
      <c r="M1740" s="130" t="s">
        <v>1925</v>
      </c>
      <c r="N1740" s="130" t="s">
        <v>120</v>
      </c>
      <c r="O1740" s="130" t="s">
        <v>1860</v>
      </c>
      <c r="P1740" s="130" t="s">
        <v>1861</v>
      </c>
      <c r="Q1740" s="130" t="s">
        <v>1127</v>
      </c>
      <c r="R1740" s="130" t="s">
        <v>1191</v>
      </c>
      <c r="S1740" s="130" t="s">
        <v>1157</v>
      </c>
      <c r="T1740" s="130" t="s">
        <v>1847</v>
      </c>
      <c r="U1740" s="130">
        <v>0</v>
      </c>
      <c r="V1740" s="131">
        <v>10000</v>
      </c>
      <c r="W1740" s="131">
        <v>10000</v>
      </c>
      <c r="X1740" s="131">
        <v>0</v>
      </c>
      <c r="Y1740" s="131">
        <v>10000</v>
      </c>
      <c r="Z1740" s="131">
        <v>0</v>
      </c>
      <c r="AA1740" s="131">
        <v>10000</v>
      </c>
      <c r="AB1740" s="131">
        <v>0</v>
      </c>
      <c r="AC1740" s="131">
        <v>10000</v>
      </c>
      <c r="AD1740" s="131">
        <v>0</v>
      </c>
      <c r="AE1740" s="132">
        <v>10000</v>
      </c>
    </row>
    <row r="1741" spans="1:31" x14ac:dyDescent="0.2">
      <c r="A1741" s="130">
        <v>294</v>
      </c>
      <c r="B1741" s="130" t="s">
        <v>1841</v>
      </c>
      <c r="C1741" s="130" t="s">
        <v>1199</v>
      </c>
      <c r="D1741" s="130" t="s">
        <v>2117</v>
      </c>
      <c r="E1741" s="130" t="s">
        <v>1201</v>
      </c>
      <c r="F1741" s="130" t="s">
        <v>1117</v>
      </c>
      <c r="G1741" s="130" t="s">
        <v>1276</v>
      </c>
      <c r="H1741" s="130" t="s">
        <v>1277</v>
      </c>
      <c r="I1741" s="130" t="s">
        <v>1278</v>
      </c>
      <c r="J1741" s="130" t="s">
        <v>1278</v>
      </c>
      <c r="K1741" s="130" t="s">
        <v>1279</v>
      </c>
      <c r="L1741" s="130" t="s">
        <v>2118</v>
      </c>
      <c r="M1741" s="130" t="s">
        <v>1925</v>
      </c>
      <c r="N1741" s="130" t="s">
        <v>120</v>
      </c>
      <c r="O1741" s="130" t="s">
        <v>1860</v>
      </c>
      <c r="P1741" s="130" t="s">
        <v>1861</v>
      </c>
      <c r="Q1741" s="130" t="s">
        <v>1127</v>
      </c>
      <c r="R1741" s="130" t="s">
        <v>1191</v>
      </c>
      <c r="S1741" s="130" t="s">
        <v>1157</v>
      </c>
      <c r="T1741" s="130" t="s">
        <v>1847</v>
      </c>
      <c r="U1741" s="130">
        <v>110867</v>
      </c>
      <c r="V1741" s="131">
        <v>0</v>
      </c>
      <c r="W1741" s="131">
        <v>110867</v>
      </c>
      <c r="X1741" s="131">
        <v>110867</v>
      </c>
      <c r="Y1741" s="131">
        <v>0</v>
      </c>
      <c r="Z1741" s="131">
        <v>110867</v>
      </c>
      <c r="AA1741" s="131">
        <v>0</v>
      </c>
      <c r="AB1741" s="131">
        <v>34308.25</v>
      </c>
      <c r="AC1741" s="131">
        <v>76558.75</v>
      </c>
      <c r="AD1741" s="131">
        <v>34308.25</v>
      </c>
      <c r="AE1741" s="132">
        <v>76558.75</v>
      </c>
    </row>
    <row r="1742" spans="1:31" x14ac:dyDescent="0.2">
      <c r="A1742" s="133">
        <v>294</v>
      </c>
      <c r="B1742" s="133" t="s">
        <v>1841</v>
      </c>
      <c r="C1742" s="133" t="s">
        <v>1199</v>
      </c>
      <c r="D1742" s="133" t="s">
        <v>2117</v>
      </c>
      <c r="E1742" s="133" t="s">
        <v>1201</v>
      </c>
      <c r="F1742" s="133" t="s">
        <v>1117</v>
      </c>
      <c r="G1742" s="133" t="s">
        <v>1276</v>
      </c>
      <c r="H1742" s="133" t="s">
        <v>1277</v>
      </c>
      <c r="I1742" s="133" t="s">
        <v>1278</v>
      </c>
      <c r="J1742" s="133" t="s">
        <v>1278</v>
      </c>
      <c r="K1742" s="130" t="s">
        <v>1281</v>
      </c>
      <c r="L1742" s="130" t="s">
        <v>2118</v>
      </c>
      <c r="M1742" s="130" t="s">
        <v>1925</v>
      </c>
      <c r="N1742" s="130" t="s">
        <v>120</v>
      </c>
      <c r="O1742" s="130" t="s">
        <v>1860</v>
      </c>
      <c r="P1742" s="130" t="s">
        <v>1861</v>
      </c>
      <c r="Q1742" s="130" t="s">
        <v>1127</v>
      </c>
      <c r="R1742" s="130" t="s">
        <v>1191</v>
      </c>
      <c r="S1742" s="130" t="s">
        <v>1157</v>
      </c>
      <c r="T1742" s="130" t="s">
        <v>1847</v>
      </c>
      <c r="U1742" s="130">
        <v>54722</v>
      </c>
      <c r="V1742" s="131">
        <v>1000</v>
      </c>
      <c r="W1742" s="131">
        <v>55722</v>
      </c>
      <c r="X1742" s="131">
        <v>55722</v>
      </c>
      <c r="Y1742" s="131">
        <v>0</v>
      </c>
      <c r="Z1742" s="131">
        <v>55722</v>
      </c>
      <c r="AA1742" s="131">
        <v>0</v>
      </c>
      <c r="AB1742" s="131">
        <v>55707.15</v>
      </c>
      <c r="AC1742" s="131">
        <v>14.849999999998545</v>
      </c>
      <c r="AD1742" s="131">
        <v>55707.15</v>
      </c>
      <c r="AE1742" s="132">
        <v>14.849999999998545</v>
      </c>
    </row>
    <row r="1743" spans="1:31" x14ac:dyDescent="0.2">
      <c r="A1743" s="133">
        <v>294</v>
      </c>
      <c r="B1743" s="133" t="s">
        <v>1841</v>
      </c>
      <c r="C1743" s="133" t="s">
        <v>1199</v>
      </c>
      <c r="D1743" s="133" t="s">
        <v>2117</v>
      </c>
      <c r="E1743" s="133" t="s">
        <v>1201</v>
      </c>
      <c r="F1743" s="133" t="s">
        <v>1117</v>
      </c>
      <c r="G1743" s="133" t="s">
        <v>1276</v>
      </c>
      <c r="H1743" s="133" t="s">
        <v>1277</v>
      </c>
      <c r="I1743" s="133" t="s">
        <v>1278</v>
      </c>
      <c r="J1743" s="130" t="s">
        <v>1283</v>
      </c>
      <c r="K1743" s="130" t="s">
        <v>1284</v>
      </c>
      <c r="L1743" s="130" t="s">
        <v>2118</v>
      </c>
      <c r="M1743" s="130" t="s">
        <v>1925</v>
      </c>
      <c r="N1743" s="130" t="s">
        <v>120</v>
      </c>
      <c r="O1743" s="130" t="s">
        <v>1860</v>
      </c>
      <c r="P1743" s="130" t="s">
        <v>1861</v>
      </c>
      <c r="Q1743" s="130" t="s">
        <v>1127</v>
      </c>
      <c r="R1743" s="130" t="s">
        <v>1191</v>
      </c>
      <c r="S1743" s="130" t="s">
        <v>1157</v>
      </c>
      <c r="T1743" s="130" t="s">
        <v>1847</v>
      </c>
      <c r="U1743" s="130">
        <v>257843</v>
      </c>
      <c r="V1743" s="131">
        <v>0</v>
      </c>
      <c r="W1743" s="131">
        <v>257843</v>
      </c>
      <c r="X1743" s="131">
        <v>257843</v>
      </c>
      <c r="Y1743" s="131">
        <v>0</v>
      </c>
      <c r="Z1743" s="131">
        <v>257843</v>
      </c>
      <c r="AA1743" s="131">
        <v>0</v>
      </c>
      <c r="AB1743" s="131">
        <v>127264.84000000003</v>
      </c>
      <c r="AC1743" s="131">
        <v>130578.15999999997</v>
      </c>
      <c r="AD1743" s="131">
        <v>127264.84000000003</v>
      </c>
      <c r="AE1743" s="132">
        <v>130578.15999999997</v>
      </c>
    </row>
    <row r="1744" spans="1:31" x14ac:dyDescent="0.2">
      <c r="A1744" s="133">
        <v>294</v>
      </c>
      <c r="B1744" s="133" t="s">
        <v>1841</v>
      </c>
      <c r="C1744" s="133" t="s">
        <v>1199</v>
      </c>
      <c r="D1744" s="133" t="s">
        <v>2117</v>
      </c>
      <c r="E1744" s="133" t="s">
        <v>1201</v>
      </c>
      <c r="F1744" s="133" t="s">
        <v>1117</v>
      </c>
      <c r="G1744" s="133" t="s">
        <v>1276</v>
      </c>
      <c r="H1744" s="133" t="s">
        <v>1277</v>
      </c>
      <c r="I1744" s="130" t="s">
        <v>1288</v>
      </c>
      <c r="J1744" s="130" t="s">
        <v>1289</v>
      </c>
      <c r="K1744" s="130" t="s">
        <v>1290</v>
      </c>
      <c r="L1744" s="130" t="s">
        <v>2118</v>
      </c>
      <c r="M1744" s="130" t="s">
        <v>1925</v>
      </c>
      <c r="N1744" s="130" t="s">
        <v>120</v>
      </c>
      <c r="O1744" s="130" t="s">
        <v>1860</v>
      </c>
      <c r="P1744" s="130" t="s">
        <v>1861</v>
      </c>
      <c r="Q1744" s="130" t="s">
        <v>1127</v>
      </c>
      <c r="R1744" s="130" t="s">
        <v>1191</v>
      </c>
      <c r="S1744" s="130" t="s">
        <v>1157</v>
      </c>
      <c r="T1744" s="130" t="s">
        <v>1847</v>
      </c>
      <c r="U1744" s="130">
        <v>6600</v>
      </c>
      <c r="V1744" s="131">
        <v>0</v>
      </c>
      <c r="W1744" s="131">
        <v>6600</v>
      </c>
      <c r="X1744" s="131">
        <v>6600</v>
      </c>
      <c r="Y1744" s="131">
        <v>0</v>
      </c>
      <c r="Z1744" s="131">
        <v>6600</v>
      </c>
      <c r="AA1744" s="131">
        <v>0</v>
      </c>
      <c r="AB1744" s="131">
        <v>0</v>
      </c>
      <c r="AC1744" s="131">
        <v>6600</v>
      </c>
      <c r="AD1744" s="131">
        <v>0</v>
      </c>
      <c r="AE1744" s="132">
        <v>6600</v>
      </c>
    </row>
    <row r="1745" spans="1:31" x14ac:dyDescent="0.2">
      <c r="A1745" s="133">
        <v>294</v>
      </c>
      <c r="B1745" s="133" t="s">
        <v>1841</v>
      </c>
      <c r="C1745" s="133" t="s">
        <v>1199</v>
      </c>
      <c r="D1745" s="133" t="s">
        <v>2117</v>
      </c>
      <c r="E1745" s="133" t="s">
        <v>1201</v>
      </c>
      <c r="F1745" s="133" t="s">
        <v>1117</v>
      </c>
      <c r="G1745" s="133" t="s">
        <v>1276</v>
      </c>
      <c r="H1745" s="133" t="s">
        <v>1277</v>
      </c>
      <c r="I1745" s="133" t="s">
        <v>1288</v>
      </c>
      <c r="J1745" s="133" t="s">
        <v>1289</v>
      </c>
      <c r="K1745" s="130" t="s">
        <v>1291</v>
      </c>
      <c r="L1745" s="130" t="s">
        <v>2118</v>
      </c>
      <c r="M1745" s="130" t="s">
        <v>1925</v>
      </c>
      <c r="N1745" s="130" t="s">
        <v>120</v>
      </c>
      <c r="O1745" s="130" t="s">
        <v>1860</v>
      </c>
      <c r="P1745" s="130" t="s">
        <v>1861</v>
      </c>
      <c r="Q1745" s="130" t="s">
        <v>1127</v>
      </c>
      <c r="R1745" s="130" t="s">
        <v>1191</v>
      </c>
      <c r="S1745" s="130" t="s">
        <v>1157</v>
      </c>
      <c r="T1745" s="130" t="s">
        <v>1847</v>
      </c>
      <c r="U1745" s="130">
        <v>2800</v>
      </c>
      <c r="V1745" s="131">
        <v>1201</v>
      </c>
      <c r="W1745" s="131">
        <v>4001</v>
      </c>
      <c r="X1745" s="131">
        <v>4001</v>
      </c>
      <c r="Y1745" s="131">
        <v>0</v>
      </c>
      <c r="Z1745" s="131">
        <v>4001</v>
      </c>
      <c r="AA1745" s="131">
        <v>0</v>
      </c>
      <c r="AB1745" s="131">
        <v>3995.7</v>
      </c>
      <c r="AC1745" s="131">
        <v>5.3000000000001819</v>
      </c>
      <c r="AD1745" s="131">
        <v>3995.7</v>
      </c>
      <c r="AE1745" s="132">
        <v>5.3000000000001819</v>
      </c>
    </row>
    <row r="1746" spans="1:31" x14ac:dyDescent="0.2">
      <c r="A1746" s="133">
        <v>294</v>
      </c>
      <c r="B1746" s="133" t="s">
        <v>1841</v>
      </c>
      <c r="C1746" s="133" t="s">
        <v>1199</v>
      </c>
      <c r="D1746" s="133" t="s">
        <v>2117</v>
      </c>
      <c r="E1746" s="133" t="s">
        <v>1201</v>
      </c>
      <c r="F1746" s="133" t="s">
        <v>1117</v>
      </c>
      <c r="G1746" s="133" t="s">
        <v>1276</v>
      </c>
      <c r="H1746" s="130" t="s">
        <v>1293</v>
      </c>
      <c r="I1746" s="130" t="s">
        <v>1294</v>
      </c>
      <c r="J1746" s="130" t="s">
        <v>1295</v>
      </c>
      <c r="K1746" s="130" t="s">
        <v>1296</v>
      </c>
      <c r="L1746" s="130" t="s">
        <v>2118</v>
      </c>
      <c r="M1746" s="130" t="s">
        <v>1925</v>
      </c>
      <c r="N1746" s="130" t="s">
        <v>120</v>
      </c>
      <c r="O1746" s="130" t="s">
        <v>1860</v>
      </c>
      <c r="P1746" s="130" t="s">
        <v>1861</v>
      </c>
      <c r="Q1746" s="130" t="s">
        <v>1127</v>
      </c>
      <c r="R1746" s="130" t="s">
        <v>1191</v>
      </c>
      <c r="S1746" s="130" t="s">
        <v>1157</v>
      </c>
      <c r="T1746" s="130" t="s">
        <v>1847</v>
      </c>
      <c r="U1746" s="130">
        <v>5808</v>
      </c>
      <c r="V1746" s="131">
        <v>0</v>
      </c>
      <c r="W1746" s="131">
        <v>5808</v>
      </c>
      <c r="X1746" s="131">
        <v>0</v>
      </c>
      <c r="Y1746" s="131">
        <v>5808</v>
      </c>
      <c r="Z1746" s="131">
        <v>0</v>
      </c>
      <c r="AA1746" s="131">
        <v>5808</v>
      </c>
      <c r="AB1746" s="131">
        <v>0</v>
      </c>
      <c r="AC1746" s="131">
        <v>5808</v>
      </c>
      <c r="AD1746" s="131">
        <v>0</v>
      </c>
      <c r="AE1746" s="132">
        <v>5808</v>
      </c>
    </row>
    <row r="1747" spans="1:31" x14ac:dyDescent="0.2">
      <c r="A1747" s="133">
        <v>294</v>
      </c>
      <c r="B1747" s="133" t="s">
        <v>1841</v>
      </c>
      <c r="C1747" s="133" t="s">
        <v>1199</v>
      </c>
      <c r="D1747" s="133" t="s">
        <v>2117</v>
      </c>
      <c r="E1747" s="133" t="s">
        <v>1201</v>
      </c>
      <c r="F1747" s="133" t="s">
        <v>1117</v>
      </c>
      <c r="G1747" s="133" t="s">
        <v>1276</v>
      </c>
      <c r="H1747" s="130" t="s">
        <v>1297</v>
      </c>
      <c r="I1747" s="130" t="s">
        <v>1298</v>
      </c>
      <c r="J1747" s="130" t="s">
        <v>1298</v>
      </c>
      <c r="K1747" s="130" t="s">
        <v>1299</v>
      </c>
      <c r="L1747" s="130" t="s">
        <v>2118</v>
      </c>
      <c r="M1747" s="130" t="s">
        <v>1925</v>
      </c>
      <c r="N1747" s="130" t="s">
        <v>120</v>
      </c>
      <c r="O1747" s="130" t="s">
        <v>1860</v>
      </c>
      <c r="P1747" s="130" t="s">
        <v>1861</v>
      </c>
      <c r="Q1747" s="130" t="s">
        <v>1127</v>
      </c>
      <c r="R1747" s="130" t="s">
        <v>1191</v>
      </c>
      <c r="S1747" s="130" t="s">
        <v>1157</v>
      </c>
      <c r="T1747" s="130" t="s">
        <v>1847</v>
      </c>
      <c r="U1747" s="130">
        <v>8102</v>
      </c>
      <c r="V1747" s="131">
        <v>438</v>
      </c>
      <c r="W1747" s="131">
        <v>8540</v>
      </c>
      <c r="X1747" s="131">
        <v>8540</v>
      </c>
      <c r="Y1747" s="131">
        <v>0</v>
      </c>
      <c r="Z1747" s="131">
        <v>8540</v>
      </c>
      <c r="AA1747" s="131">
        <v>0</v>
      </c>
      <c r="AB1747" s="131">
        <v>8087.9599999999991</v>
      </c>
      <c r="AC1747" s="131">
        <v>452.04000000000087</v>
      </c>
      <c r="AD1747" s="131">
        <v>8087.9599999999991</v>
      </c>
      <c r="AE1747" s="132">
        <v>452.04000000000087</v>
      </c>
    </row>
    <row r="1748" spans="1:31" x14ac:dyDescent="0.2">
      <c r="A1748" s="133">
        <v>294</v>
      </c>
      <c r="B1748" s="133" t="s">
        <v>1841</v>
      </c>
      <c r="C1748" s="133" t="s">
        <v>1199</v>
      </c>
      <c r="D1748" s="133" t="s">
        <v>2117</v>
      </c>
      <c r="E1748" s="133" t="s">
        <v>1201</v>
      </c>
      <c r="F1748" s="133" t="s">
        <v>1117</v>
      </c>
      <c r="G1748" s="133" t="s">
        <v>1276</v>
      </c>
      <c r="H1748" s="130" t="s">
        <v>1514</v>
      </c>
      <c r="I1748" s="130" t="s">
        <v>1515</v>
      </c>
      <c r="J1748" s="130" t="s">
        <v>1515</v>
      </c>
      <c r="K1748" s="130" t="s">
        <v>1516</v>
      </c>
      <c r="L1748" s="130" t="s">
        <v>2118</v>
      </c>
      <c r="M1748" s="130" t="s">
        <v>1925</v>
      </c>
      <c r="N1748" s="130" t="s">
        <v>120</v>
      </c>
      <c r="O1748" s="130" t="s">
        <v>1860</v>
      </c>
      <c r="P1748" s="130" t="s">
        <v>1861</v>
      </c>
      <c r="Q1748" s="130" t="s">
        <v>1127</v>
      </c>
      <c r="R1748" s="130" t="s">
        <v>1191</v>
      </c>
      <c r="S1748" s="130" t="s">
        <v>1157</v>
      </c>
      <c r="T1748" s="130" t="s">
        <v>1847</v>
      </c>
      <c r="U1748" s="130">
        <v>0</v>
      </c>
      <c r="V1748" s="131">
        <v>114310</v>
      </c>
      <c r="W1748" s="131">
        <v>114310</v>
      </c>
      <c r="X1748" s="131">
        <v>114310</v>
      </c>
      <c r="Y1748" s="131">
        <v>0</v>
      </c>
      <c r="Z1748" s="131">
        <v>114310</v>
      </c>
      <c r="AA1748" s="131">
        <v>0</v>
      </c>
      <c r="AB1748" s="131">
        <v>114310</v>
      </c>
      <c r="AC1748" s="131">
        <v>0</v>
      </c>
      <c r="AD1748" s="131">
        <v>114310</v>
      </c>
      <c r="AE1748" s="132">
        <v>0</v>
      </c>
    </row>
    <row r="1749" spans="1:31" x14ac:dyDescent="0.2">
      <c r="A1749" s="133">
        <v>294</v>
      </c>
      <c r="B1749" s="133" t="s">
        <v>1841</v>
      </c>
      <c r="C1749" s="133" t="s">
        <v>1199</v>
      </c>
      <c r="D1749" s="133" t="s">
        <v>2117</v>
      </c>
      <c r="E1749" s="133" t="s">
        <v>1201</v>
      </c>
      <c r="F1749" s="133" t="s">
        <v>1117</v>
      </c>
      <c r="G1749" s="133" t="s">
        <v>1276</v>
      </c>
      <c r="H1749" s="133" t="s">
        <v>1514</v>
      </c>
      <c r="I1749" s="133" t="s">
        <v>1515</v>
      </c>
      <c r="J1749" s="133" t="s">
        <v>1515</v>
      </c>
      <c r="K1749" s="130" t="s">
        <v>1518</v>
      </c>
      <c r="L1749" s="130" t="s">
        <v>2118</v>
      </c>
      <c r="M1749" s="130" t="s">
        <v>1925</v>
      </c>
      <c r="N1749" s="130" t="s">
        <v>120</v>
      </c>
      <c r="O1749" s="130" t="s">
        <v>1860</v>
      </c>
      <c r="P1749" s="130" t="s">
        <v>1861</v>
      </c>
      <c r="Q1749" s="130" t="s">
        <v>1127</v>
      </c>
      <c r="R1749" s="130" t="s">
        <v>1191</v>
      </c>
      <c r="S1749" s="130" t="s">
        <v>1157</v>
      </c>
      <c r="T1749" s="130" t="s">
        <v>1847</v>
      </c>
      <c r="U1749" s="130">
        <v>0</v>
      </c>
      <c r="V1749" s="131">
        <v>3637</v>
      </c>
      <c r="W1749" s="131">
        <v>3637</v>
      </c>
      <c r="X1749" s="131">
        <v>3636.49</v>
      </c>
      <c r="Y1749" s="131">
        <v>0.51000000000021828</v>
      </c>
      <c r="Z1749" s="131">
        <v>3636.49</v>
      </c>
      <c r="AA1749" s="131">
        <v>0.51000000000021828</v>
      </c>
      <c r="AB1749" s="131">
        <v>3636.49</v>
      </c>
      <c r="AC1749" s="131">
        <v>0.51000000000021828</v>
      </c>
      <c r="AD1749" s="131">
        <v>3636.49</v>
      </c>
      <c r="AE1749" s="132">
        <v>0.51000000000021828</v>
      </c>
    </row>
    <row r="1750" spans="1:31" x14ac:dyDescent="0.2">
      <c r="A1750" s="133">
        <v>294</v>
      </c>
      <c r="B1750" s="133" t="s">
        <v>1841</v>
      </c>
      <c r="C1750" s="133" t="s">
        <v>1199</v>
      </c>
      <c r="D1750" s="133" t="s">
        <v>2117</v>
      </c>
      <c r="E1750" s="133" t="s">
        <v>1201</v>
      </c>
      <c r="F1750" s="133" t="s">
        <v>1117</v>
      </c>
      <c r="G1750" s="130" t="s">
        <v>1202</v>
      </c>
      <c r="H1750" s="130" t="s">
        <v>1216</v>
      </c>
      <c r="I1750" s="130" t="s">
        <v>1301</v>
      </c>
      <c r="J1750" s="130" t="s">
        <v>1301</v>
      </c>
      <c r="K1750" s="130" t="s">
        <v>1302</v>
      </c>
      <c r="L1750" s="130" t="s">
        <v>2118</v>
      </c>
      <c r="M1750" s="130" t="s">
        <v>1925</v>
      </c>
      <c r="N1750" s="130" t="s">
        <v>120</v>
      </c>
      <c r="O1750" s="130" t="s">
        <v>1860</v>
      </c>
      <c r="P1750" s="130" t="s">
        <v>1861</v>
      </c>
      <c r="Q1750" s="130" t="s">
        <v>1127</v>
      </c>
      <c r="R1750" s="130" t="s">
        <v>1191</v>
      </c>
      <c r="S1750" s="130" t="s">
        <v>1157</v>
      </c>
      <c r="T1750" s="130" t="s">
        <v>1847</v>
      </c>
      <c r="U1750" s="130">
        <v>14920</v>
      </c>
      <c r="V1750" s="131">
        <v>-10000</v>
      </c>
      <c r="W1750" s="131">
        <v>4920</v>
      </c>
      <c r="X1750" s="131">
        <v>4600</v>
      </c>
      <c r="Y1750" s="131">
        <v>320</v>
      </c>
      <c r="Z1750" s="131">
        <v>4600</v>
      </c>
      <c r="AA1750" s="131">
        <v>320</v>
      </c>
      <c r="AB1750" s="131">
        <v>4600</v>
      </c>
      <c r="AC1750" s="131">
        <v>320</v>
      </c>
      <c r="AD1750" s="131">
        <v>4600</v>
      </c>
      <c r="AE1750" s="132">
        <v>320</v>
      </c>
    </row>
    <row r="1751" spans="1:31" x14ac:dyDescent="0.2">
      <c r="A1751" s="133">
        <v>294</v>
      </c>
      <c r="B1751" s="133" t="s">
        <v>1841</v>
      </c>
      <c r="C1751" s="133" t="s">
        <v>1199</v>
      </c>
      <c r="D1751" s="133" t="s">
        <v>2117</v>
      </c>
      <c r="E1751" s="133" t="s">
        <v>1201</v>
      </c>
      <c r="F1751" s="133" t="s">
        <v>1117</v>
      </c>
      <c r="G1751" s="133" t="s">
        <v>1202</v>
      </c>
      <c r="H1751" s="133" t="s">
        <v>1216</v>
      </c>
      <c r="I1751" s="130" t="s">
        <v>1242</v>
      </c>
      <c r="J1751" s="130" t="s">
        <v>1243</v>
      </c>
      <c r="K1751" s="130" t="s">
        <v>1303</v>
      </c>
      <c r="L1751" s="130" t="s">
        <v>2118</v>
      </c>
      <c r="M1751" s="130" t="s">
        <v>1925</v>
      </c>
      <c r="N1751" s="130" t="s">
        <v>120</v>
      </c>
      <c r="O1751" s="130" t="s">
        <v>1860</v>
      </c>
      <c r="P1751" s="130" t="s">
        <v>1861</v>
      </c>
      <c r="Q1751" s="130" t="s">
        <v>1127</v>
      </c>
      <c r="R1751" s="130" t="s">
        <v>1191</v>
      </c>
      <c r="S1751" s="130" t="s">
        <v>1157</v>
      </c>
      <c r="T1751" s="130" t="s">
        <v>1847</v>
      </c>
      <c r="U1751" s="130">
        <v>6030</v>
      </c>
      <c r="V1751" s="131">
        <v>2550</v>
      </c>
      <c r="W1751" s="131">
        <v>8580</v>
      </c>
      <c r="X1751" s="131">
        <v>8580</v>
      </c>
      <c r="Y1751" s="131">
        <v>0</v>
      </c>
      <c r="Z1751" s="131">
        <v>8580</v>
      </c>
      <c r="AA1751" s="131">
        <v>0</v>
      </c>
      <c r="AB1751" s="131">
        <v>8580</v>
      </c>
      <c r="AC1751" s="131">
        <v>0</v>
      </c>
      <c r="AD1751" s="131">
        <v>0</v>
      </c>
      <c r="AE1751" s="132">
        <v>8580</v>
      </c>
    </row>
    <row r="1752" spans="1:31" x14ac:dyDescent="0.2">
      <c r="A1752" s="133">
        <v>294</v>
      </c>
      <c r="B1752" s="133" t="s">
        <v>1841</v>
      </c>
      <c r="C1752" s="133" t="s">
        <v>1199</v>
      </c>
      <c r="D1752" s="133" t="s">
        <v>2117</v>
      </c>
      <c r="E1752" s="133" t="s">
        <v>1201</v>
      </c>
      <c r="F1752" s="133" t="s">
        <v>1117</v>
      </c>
      <c r="G1752" s="133" t="s">
        <v>1202</v>
      </c>
      <c r="H1752" s="133" t="s">
        <v>1216</v>
      </c>
      <c r="I1752" s="133" t="s">
        <v>1242</v>
      </c>
      <c r="J1752" s="133" t="s">
        <v>1243</v>
      </c>
      <c r="K1752" s="130" t="s">
        <v>1244</v>
      </c>
      <c r="L1752" s="130" t="s">
        <v>2118</v>
      </c>
      <c r="M1752" s="130" t="s">
        <v>1925</v>
      </c>
      <c r="N1752" s="130" t="s">
        <v>120</v>
      </c>
      <c r="O1752" s="130" t="s">
        <v>1860</v>
      </c>
      <c r="P1752" s="130" t="s">
        <v>1861</v>
      </c>
      <c r="Q1752" s="130" t="s">
        <v>1127</v>
      </c>
      <c r="R1752" s="130" t="s">
        <v>1191</v>
      </c>
      <c r="S1752" s="130" t="s">
        <v>1157</v>
      </c>
      <c r="T1752" s="130" t="s">
        <v>1847</v>
      </c>
      <c r="U1752" s="130">
        <v>2970</v>
      </c>
      <c r="V1752" s="131">
        <v>-2970</v>
      </c>
      <c r="W1752" s="131">
        <v>0</v>
      </c>
      <c r="X1752" s="131">
        <v>0</v>
      </c>
      <c r="Y1752" s="131">
        <v>0</v>
      </c>
      <c r="Z1752" s="131">
        <v>0</v>
      </c>
      <c r="AA1752" s="131">
        <v>0</v>
      </c>
      <c r="AB1752" s="131">
        <v>0</v>
      </c>
      <c r="AC1752" s="131">
        <v>0</v>
      </c>
      <c r="AD1752" s="131">
        <v>0</v>
      </c>
      <c r="AE1752" s="132">
        <v>0</v>
      </c>
    </row>
    <row r="1753" spans="1:31" x14ac:dyDescent="0.2">
      <c r="A1753" s="133">
        <v>294</v>
      </c>
      <c r="B1753" s="133" t="s">
        <v>1841</v>
      </c>
      <c r="C1753" s="133" t="s">
        <v>1199</v>
      </c>
      <c r="D1753" s="133" t="s">
        <v>2117</v>
      </c>
      <c r="E1753" s="133" t="s">
        <v>1201</v>
      </c>
      <c r="F1753" s="133" t="s">
        <v>1117</v>
      </c>
      <c r="G1753" s="133" t="s">
        <v>1202</v>
      </c>
      <c r="H1753" s="133" t="s">
        <v>1216</v>
      </c>
      <c r="I1753" s="130" t="s">
        <v>1222</v>
      </c>
      <c r="J1753" s="130" t="s">
        <v>1304</v>
      </c>
      <c r="K1753" s="130" t="s">
        <v>1248</v>
      </c>
      <c r="L1753" s="130" t="s">
        <v>2118</v>
      </c>
      <c r="M1753" s="130" t="s">
        <v>1925</v>
      </c>
      <c r="N1753" s="130" t="s">
        <v>120</v>
      </c>
      <c r="O1753" s="130" t="s">
        <v>1860</v>
      </c>
      <c r="P1753" s="130" t="s">
        <v>1861</v>
      </c>
      <c r="Q1753" s="130" t="s">
        <v>1127</v>
      </c>
      <c r="R1753" s="130" t="s">
        <v>1191</v>
      </c>
      <c r="S1753" s="130" t="s">
        <v>1157</v>
      </c>
      <c r="T1753" s="130" t="s">
        <v>1847</v>
      </c>
      <c r="U1753" s="130">
        <v>4000</v>
      </c>
      <c r="V1753" s="131">
        <v>-2500</v>
      </c>
      <c r="W1753" s="131">
        <v>1500</v>
      </c>
      <c r="X1753" s="131">
        <v>500</v>
      </c>
      <c r="Y1753" s="131">
        <v>1000</v>
      </c>
      <c r="Z1753" s="131">
        <v>500</v>
      </c>
      <c r="AA1753" s="131">
        <v>1000</v>
      </c>
      <c r="AB1753" s="131">
        <v>500</v>
      </c>
      <c r="AC1753" s="131">
        <v>1000</v>
      </c>
      <c r="AD1753" s="131">
        <v>500</v>
      </c>
      <c r="AE1753" s="132">
        <v>1000</v>
      </c>
    </row>
    <row r="1754" spans="1:31" x14ac:dyDescent="0.2">
      <c r="A1754" s="133">
        <v>294</v>
      </c>
      <c r="B1754" s="133" t="s">
        <v>1841</v>
      </c>
      <c r="C1754" s="133" t="s">
        <v>1199</v>
      </c>
      <c r="D1754" s="133" t="s">
        <v>2117</v>
      </c>
      <c r="E1754" s="133" t="s">
        <v>1201</v>
      </c>
      <c r="F1754" s="133" t="s">
        <v>1117</v>
      </c>
      <c r="G1754" s="133" t="s">
        <v>1202</v>
      </c>
      <c r="H1754" s="133" t="s">
        <v>1216</v>
      </c>
      <c r="I1754" s="133" t="s">
        <v>1222</v>
      </c>
      <c r="J1754" s="133" t="s">
        <v>1304</v>
      </c>
      <c r="K1754" s="130" t="s">
        <v>1305</v>
      </c>
      <c r="L1754" s="130" t="s">
        <v>2118</v>
      </c>
      <c r="M1754" s="130" t="s">
        <v>1925</v>
      </c>
      <c r="N1754" s="130" t="s">
        <v>120</v>
      </c>
      <c r="O1754" s="130" t="s">
        <v>1860</v>
      </c>
      <c r="P1754" s="130" t="s">
        <v>1861</v>
      </c>
      <c r="Q1754" s="130" t="s">
        <v>1127</v>
      </c>
      <c r="R1754" s="130" t="s">
        <v>1191</v>
      </c>
      <c r="S1754" s="130" t="s">
        <v>1157</v>
      </c>
      <c r="T1754" s="130" t="s">
        <v>1847</v>
      </c>
      <c r="U1754" s="130">
        <v>5236</v>
      </c>
      <c r="V1754" s="131">
        <v>880</v>
      </c>
      <c r="W1754" s="131">
        <v>6116</v>
      </c>
      <c r="X1754" s="131">
        <v>5458.5</v>
      </c>
      <c r="Y1754" s="131">
        <v>657.5</v>
      </c>
      <c r="Z1754" s="131">
        <v>4929.17</v>
      </c>
      <c r="AA1754" s="131">
        <v>1186.83</v>
      </c>
      <c r="AB1754" s="131">
        <v>4929.17</v>
      </c>
      <c r="AC1754" s="131">
        <v>1186.83</v>
      </c>
      <c r="AD1754" s="131">
        <v>3976.77</v>
      </c>
      <c r="AE1754" s="132">
        <v>2139.23</v>
      </c>
    </row>
    <row r="1755" spans="1:31" x14ac:dyDescent="0.2">
      <c r="A1755" s="133">
        <v>294</v>
      </c>
      <c r="B1755" s="133" t="s">
        <v>1841</v>
      </c>
      <c r="C1755" s="133" t="s">
        <v>1199</v>
      </c>
      <c r="D1755" s="133" t="s">
        <v>2117</v>
      </c>
      <c r="E1755" s="133" t="s">
        <v>1201</v>
      </c>
      <c r="F1755" s="133" t="s">
        <v>1117</v>
      </c>
      <c r="G1755" s="133" t="s">
        <v>1202</v>
      </c>
      <c r="H1755" s="133" t="s">
        <v>1216</v>
      </c>
      <c r="I1755" s="133" t="s">
        <v>1222</v>
      </c>
      <c r="J1755" s="130" t="s">
        <v>1245</v>
      </c>
      <c r="K1755" s="130" t="s">
        <v>1246</v>
      </c>
      <c r="L1755" s="130" t="s">
        <v>2118</v>
      </c>
      <c r="M1755" s="130" t="s">
        <v>1925</v>
      </c>
      <c r="N1755" s="130" t="s">
        <v>120</v>
      </c>
      <c r="O1755" s="130" t="s">
        <v>1860</v>
      </c>
      <c r="P1755" s="130" t="s">
        <v>1861</v>
      </c>
      <c r="Q1755" s="130" t="s">
        <v>1127</v>
      </c>
      <c r="R1755" s="130" t="s">
        <v>1191</v>
      </c>
      <c r="S1755" s="130" t="s">
        <v>1157</v>
      </c>
      <c r="T1755" s="130" t="s">
        <v>1847</v>
      </c>
      <c r="U1755" s="130">
        <v>1000</v>
      </c>
      <c r="V1755" s="131">
        <v>0</v>
      </c>
      <c r="W1755" s="131">
        <v>1000</v>
      </c>
      <c r="X1755" s="131">
        <v>500</v>
      </c>
      <c r="Y1755" s="131">
        <v>500</v>
      </c>
      <c r="Z1755" s="131">
        <v>500</v>
      </c>
      <c r="AA1755" s="131">
        <v>500</v>
      </c>
      <c r="AB1755" s="131">
        <v>500</v>
      </c>
      <c r="AC1755" s="131">
        <v>500</v>
      </c>
      <c r="AD1755" s="131">
        <v>500</v>
      </c>
      <c r="AE1755" s="132">
        <v>500</v>
      </c>
    </row>
    <row r="1756" spans="1:31" x14ac:dyDescent="0.2">
      <c r="A1756" s="133">
        <v>294</v>
      </c>
      <c r="B1756" s="133" t="s">
        <v>1841</v>
      </c>
      <c r="C1756" s="133" t="s">
        <v>1199</v>
      </c>
      <c r="D1756" s="133" t="s">
        <v>2117</v>
      </c>
      <c r="E1756" s="133" t="s">
        <v>1201</v>
      </c>
      <c r="F1756" s="133" t="s">
        <v>1117</v>
      </c>
      <c r="G1756" s="133" t="s">
        <v>1202</v>
      </c>
      <c r="H1756" s="133" t="s">
        <v>1216</v>
      </c>
      <c r="I1756" s="130" t="s">
        <v>1247</v>
      </c>
      <c r="J1756" s="130" t="s">
        <v>1248</v>
      </c>
      <c r="K1756" s="130" t="s">
        <v>1249</v>
      </c>
      <c r="L1756" s="130" t="s">
        <v>2118</v>
      </c>
      <c r="M1756" s="130" t="s">
        <v>1925</v>
      </c>
      <c r="N1756" s="130" t="s">
        <v>120</v>
      </c>
      <c r="O1756" s="130" t="s">
        <v>1860</v>
      </c>
      <c r="P1756" s="130" t="s">
        <v>1861</v>
      </c>
      <c r="Q1756" s="130" t="s">
        <v>1127</v>
      </c>
      <c r="R1756" s="130" t="s">
        <v>1191</v>
      </c>
      <c r="S1756" s="130" t="s">
        <v>1157</v>
      </c>
      <c r="T1756" s="130" t="s">
        <v>1847</v>
      </c>
      <c r="U1756" s="130">
        <v>5000</v>
      </c>
      <c r="V1756" s="131">
        <v>0</v>
      </c>
      <c r="W1756" s="131">
        <v>5000</v>
      </c>
      <c r="X1756" s="131">
        <v>0</v>
      </c>
      <c r="Y1756" s="131">
        <v>5000</v>
      </c>
      <c r="Z1756" s="131">
        <v>0</v>
      </c>
      <c r="AA1756" s="131">
        <v>5000</v>
      </c>
      <c r="AB1756" s="131">
        <v>0</v>
      </c>
      <c r="AC1756" s="131">
        <v>5000</v>
      </c>
      <c r="AD1756" s="131">
        <v>0</v>
      </c>
      <c r="AE1756" s="132">
        <v>5000</v>
      </c>
    </row>
    <row r="1757" spans="1:31" x14ac:dyDescent="0.2">
      <c r="A1757" s="133">
        <v>294</v>
      </c>
      <c r="B1757" s="133" t="s">
        <v>1841</v>
      </c>
      <c r="C1757" s="133" t="s">
        <v>1199</v>
      </c>
      <c r="D1757" s="133" t="s">
        <v>2117</v>
      </c>
      <c r="E1757" s="133" t="s">
        <v>1201</v>
      </c>
      <c r="F1757" s="133" t="s">
        <v>1117</v>
      </c>
      <c r="G1757" s="133" t="s">
        <v>1202</v>
      </c>
      <c r="H1757" s="133" t="s">
        <v>1216</v>
      </c>
      <c r="I1757" s="133" t="s">
        <v>1247</v>
      </c>
      <c r="J1757" s="133" t="s">
        <v>1248</v>
      </c>
      <c r="K1757" s="130" t="s">
        <v>1522</v>
      </c>
      <c r="L1757" s="130" t="s">
        <v>2118</v>
      </c>
      <c r="M1757" s="130" t="s">
        <v>1925</v>
      </c>
      <c r="N1757" s="130" t="s">
        <v>120</v>
      </c>
      <c r="O1757" s="130" t="s">
        <v>1860</v>
      </c>
      <c r="P1757" s="130" t="s">
        <v>1861</v>
      </c>
      <c r="Q1757" s="130" t="s">
        <v>1127</v>
      </c>
      <c r="R1757" s="130" t="s">
        <v>1191</v>
      </c>
      <c r="S1757" s="130" t="s">
        <v>1157</v>
      </c>
      <c r="T1757" s="130" t="s">
        <v>1847</v>
      </c>
      <c r="U1757" s="130">
        <v>7400</v>
      </c>
      <c r="V1757" s="131">
        <v>4900</v>
      </c>
      <c r="W1757" s="131">
        <v>12300</v>
      </c>
      <c r="X1757" s="131">
        <v>4900</v>
      </c>
      <c r="Y1757" s="131">
        <v>7400</v>
      </c>
      <c r="Z1757" s="131">
        <v>4900</v>
      </c>
      <c r="AA1757" s="131">
        <v>7400</v>
      </c>
      <c r="AB1757" s="131">
        <v>4900</v>
      </c>
      <c r="AC1757" s="131">
        <v>7400</v>
      </c>
      <c r="AD1757" s="131">
        <v>4900</v>
      </c>
      <c r="AE1757" s="132">
        <v>7400</v>
      </c>
    </row>
    <row r="1758" spans="1:31" x14ac:dyDescent="0.2">
      <c r="A1758" s="133">
        <v>294</v>
      </c>
      <c r="B1758" s="133" t="s">
        <v>1841</v>
      </c>
      <c r="C1758" s="133" t="s">
        <v>1199</v>
      </c>
      <c r="D1758" s="133" t="s">
        <v>2117</v>
      </c>
      <c r="E1758" s="133" t="s">
        <v>1201</v>
      </c>
      <c r="F1758" s="133" t="s">
        <v>1117</v>
      </c>
      <c r="G1758" s="133" t="s">
        <v>1202</v>
      </c>
      <c r="H1758" s="133" t="s">
        <v>1216</v>
      </c>
      <c r="I1758" s="130" t="s">
        <v>1252</v>
      </c>
      <c r="J1758" s="130" t="s">
        <v>1253</v>
      </c>
      <c r="K1758" s="130" t="s">
        <v>1528</v>
      </c>
      <c r="L1758" s="130" t="s">
        <v>2118</v>
      </c>
      <c r="M1758" s="130" t="s">
        <v>1925</v>
      </c>
      <c r="N1758" s="130" t="s">
        <v>120</v>
      </c>
      <c r="O1758" s="130" t="s">
        <v>1860</v>
      </c>
      <c r="P1758" s="130" t="s">
        <v>1861</v>
      </c>
      <c r="Q1758" s="130" t="s">
        <v>1127</v>
      </c>
      <c r="R1758" s="130" t="s">
        <v>1191</v>
      </c>
      <c r="S1758" s="130" t="s">
        <v>1157</v>
      </c>
      <c r="T1758" s="130" t="s">
        <v>1847</v>
      </c>
      <c r="U1758" s="130">
        <v>2800</v>
      </c>
      <c r="V1758" s="131">
        <v>-1200</v>
      </c>
      <c r="W1758" s="131">
        <v>1600</v>
      </c>
      <c r="X1758" s="131">
        <v>0</v>
      </c>
      <c r="Y1758" s="131">
        <v>1600</v>
      </c>
      <c r="Z1758" s="131">
        <v>0</v>
      </c>
      <c r="AA1758" s="131">
        <v>1600</v>
      </c>
      <c r="AB1758" s="131">
        <v>0</v>
      </c>
      <c r="AC1758" s="131">
        <v>1600</v>
      </c>
      <c r="AD1758" s="131">
        <v>0</v>
      </c>
      <c r="AE1758" s="132">
        <v>1600</v>
      </c>
    </row>
    <row r="1759" spans="1:31" x14ac:dyDescent="0.2">
      <c r="A1759" s="133">
        <v>294</v>
      </c>
      <c r="B1759" s="133" t="s">
        <v>1841</v>
      </c>
      <c r="C1759" s="133" t="s">
        <v>1199</v>
      </c>
      <c r="D1759" s="133" t="s">
        <v>2117</v>
      </c>
      <c r="E1759" s="133" t="s">
        <v>1201</v>
      </c>
      <c r="F1759" s="133" t="s">
        <v>1117</v>
      </c>
      <c r="G1759" s="133" t="s">
        <v>1202</v>
      </c>
      <c r="H1759" s="133" t="s">
        <v>1216</v>
      </c>
      <c r="I1759" s="133" t="s">
        <v>1252</v>
      </c>
      <c r="J1759" s="133" t="s">
        <v>1253</v>
      </c>
      <c r="K1759" s="130" t="s">
        <v>1899</v>
      </c>
      <c r="L1759" s="130" t="s">
        <v>2118</v>
      </c>
      <c r="M1759" s="130" t="s">
        <v>1925</v>
      </c>
      <c r="N1759" s="130" t="s">
        <v>120</v>
      </c>
      <c r="O1759" s="130" t="s">
        <v>1860</v>
      </c>
      <c r="P1759" s="130" t="s">
        <v>1861</v>
      </c>
      <c r="Q1759" s="130" t="s">
        <v>1127</v>
      </c>
      <c r="R1759" s="130" t="s">
        <v>1191</v>
      </c>
      <c r="S1759" s="130" t="s">
        <v>1157</v>
      </c>
      <c r="T1759" s="130" t="s">
        <v>1847</v>
      </c>
      <c r="U1759" s="130">
        <v>8459</v>
      </c>
      <c r="V1759" s="131">
        <v>-732</v>
      </c>
      <c r="W1759" s="131">
        <v>7727</v>
      </c>
      <c r="X1759" s="131">
        <v>5806</v>
      </c>
      <c r="Y1759" s="131">
        <v>1921</v>
      </c>
      <c r="Z1759" s="131">
        <v>5806</v>
      </c>
      <c r="AA1759" s="131">
        <v>1921</v>
      </c>
      <c r="AB1759" s="131">
        <v>5806</v>
      </c>
      <c r="AC1759" s="131">
        <v>1921</v>
      </c>
      <c r="AD1759" s="131">
        <v>5806</v>
      </c>
      <c r="AE1759" s="132">
        <v>1921</v>
      </c>
    </row>
    <row r="1760" spans="1:31" x14ac:dyDescent="0.2">
      <c r="A1760" s="133">
        <v>294</v>
      </c>
      <c r="B1760" s="133" t="s">
        <v>1841</v>
      </c>
      <c r="C1760" s="133" t="s">
        <v>1199</v>
      </c>
      <c r="D1760" s="133" t="s">
        <v>2117</v>
      </c>
      <c r="E1760" s="133" t="s">
        <v>1201</v>
      </c>
      <c r="F1760" s="133" t="s">
        <v>1117</v>
      </c>
      <c r="G1760" s="133" t="s">
        <v>1202</v>
      </c>
      <c r="H1760" s="133" t="s">
        <v>1216</v>
      </c>
      <c r="I1760" s="133" t="s">
        <v>1252</v>
      </c>
      <c r="J1760" s="133" t="s">
        <v>1253</v>
      </c>
      <c r="K1760" s="130" t="s">
        <v>1254</v>
      </c>
      <c r="L1760" s="130" t="s">
        <v>2118</v>
      </c>
      <c r="M1760" s="130" t="s">
        <v>1925</v>
      </c>
      <c r="N1760" s="130" t="s">
        <v>120</v>
      </c>
      <c r="O1760" s="130" t="s">
        <v>1860</v>
      </c>
      <c r="P1760" s="130" t="s">
        <v>1861</v>
      </c>
      <c r="Q1760" s="130" t="s">
        <v>1127</v>
      </c>
      <c r="R1760" s="130" t="s">
        <v>1191</v>
      </c>
      <c r="S1760" s="130" t="s">
        <v>1157</v>
      </c>
      <c r="T1760" s="130" t="s">
        <v>1847</v>
      </c>
      <c r="U1760" s="130">
        <v>2000</v>
      </c>
      <c r="V1760" s="131">
        <v>-2000</v>
      </c>
      <c r="W1760" s="131">
        <v>0</v>
      </c>
      <c r="X1760" s="131">
        <v>0</v>
      </c>
      <c r="Y1760" s="131">
        <v>0</v>
      </c>
      <c r="Z1760" s="131">
        <v>0</v>
      </c>
      <c r="AA1760" s="131">
        <v>0</v>
      </c>
      <c r="AB1760" s="131">
        <v>0</v>
      </c>
      <c r="AC1760" s="131">
        <v>0</v>
      </c>
      <c r="AD1760" s="131">
        <v>0</v>
      </c>
      <c r="AE1760" s="132">
        <v>0</v>
      </c>
    </row>
    <row r="1761" spans="1:31" x14ac:dyDescent="0.2">
      <c r="A1761" s="133">
        <v>294</v>
      </c>
      <c r="B1761" s="133" t="s">
        <v>1841</v>
      </c>
      <c r="C1761" s="133" t="s">
        <v>1199</v>
      </c>
      <c r="D1761" s="133" t="s">
        <v>2117</v>
      </c>
      <c r="E1761" s="133" t="s">
        <v>1201</v>
      </c>
      <c r="F1761" s="133" t="s">
        <v>1117</v>
      </c>
      <c r="G1761" s="133" t="s">
        <v>1202</v>
      </c>
      <c r="H1761" s="130" t="s">
        <v>1203</v>
      </c>
      <c r="I1761" s="130" t="s">
        <v>1204</v>
      </c>
      <c r="J1761" s="130" t="s">
        <v>1205</v>
      </c>
      <c r="K1761" s="130" t="s">
        <v>1255</v>
      </c>
      <c r="L1761" s="130" t="s">
        <v>2118</v>
      </c>
      <c r="M1761" s="130" t="s">
        <v>1925</v>
      </c>
      <c r="N1761" s="130" t="s">
        <v>120</v>
      </c>
      <c r="O1761" s="130" t="s">
        <v>1860</v>
      </c>
      <c r="P1761" s="130" t="s">
        <v>1861</v>
      </c>
      <c r="Q1761" s="130" t="s">
        <v>1127</v>
      </c>
      <c r="R1761" s="130" t="s">
        <v>1191</v>
      </c>
      <c r="S1761" s="130" t="s">
        <v>1157</v>
      </c>
      <c r="T1761" s="130" t="s">
        <v>1847</v>
      </c>
      <c r="U1761" s="130">
        <v>3800</v>
      </c>
      <c r="V1761" s="131">
        <v>6854</v>
      </c>
      <c r="W1761" s="131">
        <v>10654</v>
      </c>
      <c r="X1761" s="131">
        <v>10653.8</v>
      </c>
      <c r="Y1761" s="131">
        <v>0.2000000000007276</v>
      </c>
      <c r="Z1761" s="131">
        <v>10646.02</v>
      </c>
      <c r="AA1761" s="131">
        <v>7.9799999999995634</v>
      </c>
      <c r="AB1761" s="131">
        <v>10646.02</v>
      </c>
      <c r="AC1761" s="131">
        <v>7.9799999999995634</v>
      </c>
      <c r="AD1761" s="131">
        <v>10646.02</v>
      </c>
      <c r="AE1761" s="132">
        <v>7.9799999999995634</v>
      </c>
    </row>
    <row r="1762" spans="1:31" x14ac:dyDescent="0.2">
      <c r="A1762" s="133">
        <v>294</v>
      </c>
      <c r="B1762" s="133" t="s">
        <v>1841</v>
      </c>
      <c r="C1762" s="133" t="s">
        <v>1199</v>
      </c>
      <c r="D1762" s="133" t="s">
        <v>2117</v>
      </c>
      <c r="E1762" s="133" t="s">
        <v>1201</v>
      </c>
      <c r="F1762" s="133" t="s">
        <v>1117</v>
      </c>
      <c r="G1762" s="133" t="s">
        <v>1202</v>
      </c>
      <c r="H1762" s="133" t="s">
        <v>1203</v>
      </c>
      <c r="I1762" s="133" t="s">
        <v>1204</v>
      </c>
      <c r="J1762" s="133" t="s">
        <v>1205</v>
      </c>
      <c r="K1762" s="130" t="s">
        <v>1256</v>
      </c>
      <c r="L1762" s="130" t="s">
        <v>2118</v>
      </c>
      <c r="M1762" s="130" t="s">
        <v>1925</v>
      </c>
      <c r="N1762" s="130" t="s">
        <v>120</v>
      </c>
      <c r="O1762" s="130" t="s">
        <v>1860</v>
      </c>
      <c r="P1762" s="130" t="s">
        <v>1861</v>
      </c>
      <c r="Q1762" s="130" t="s">
        <v>1127</v>
      </c>
      <c r="R1762" s="130" t="s">
        <v>1191</v>
      </c>
      <c r="S1762" s="130" t="s">
        <v>1157</v>
      </c>
      <c r="T1762" s="130" t="s">
        <v>1847</v>
      </c>
      <c r="U1762" s="130">
        <v>3468</v>
      </c>
      <c r="V1762" s="131">
        <v>6000</v>
      </c>
      <c r="W1762" s="131">
        <v>9468</v>
      </c>
      <c r="X1762" s="131">
        <v>9460</v>
      </c>
      <c r="Y1762" s="131">
        <v>8</v>
      </c>
      <c r="Z1762" s="131">
        <v>9458</v>
      </c>
      <c r="AA1762" s="131">
        <v>10</v>
      </c>
      <c r="AB1762" s="131">
        <v>9458</v>
      </c>
      <c r="AC1762" s="131">
        <v>10</v>
      </c>
      <c r="AD1762" s="131">
        <v>9458</v>
      </c>
      <c r="AE1762" s="132">
        <v>10</v>
      </c>
    </row>
    <row r="1763" spans="1:31" x14ac:dyDescent="0.2">
      <c r="A1763" s="133">
        <v>294</v>
      </c>
      <c r="B1763" s="133" t="s">
        <v>1841</v>
      </c>
      <c r="C1763" s="133" t="s">
        <v>1199</v>
      </c>
      <c r="D1763" s="133" t="s">
        <v>2117</v>
      </c>
      <c r="E1763" s="133" t="s">
        <v>1201</v>
      </c>
      <c r="F1763" s="133" t="s">
        <v>1117</v>
      </c>
      <c r="G1763" s="133" t="s">
        <v>1202</v>
      </c>
      <c r="H1763" s="133" t="s">
        <v>1203</v>
      </c>
      <c r="I1763" s="133" t="s">
        <v>1204</v>
      </c>
      <c r="J1763" s="133" t="s">
        <v>1205</v>
      </c>
      <c r="K1763" s="130" t="s">
        <v>1206</v>
      </c>
      <c r="L1763" s="130" t="s">
        <v>2118</v>
      </c>
      <c r="M1763" s="130" t="s">
        <v>1925</v>
      </c>
      <c r="N1763" s="130" t="s">
        <v>120</v>
      </c>
      <c r="O1763" s="130" t="s">
        <v>1860</v>
      </c>
      <c r="P1763" s="130" t="s">
        <v>1861</v>
      </c>
      <c r="Q1763" s="130" t="s">
        <v>1127</v>
      </c>
      <c r="R1763" s="130" t="s">
        <v>1191</v>
      </c>
      <c r="S1763" s="130" t="s">
        <v>1157</v>
      </c>
      <c r="T1763" s="130" t="s">
        <v>1847</v>
      </c>
      <c r="U1763" s="130">
        <v>2000</v>
      </c>
      <c r="V1763" s="131">
        <v>-2000</v>
      </c>
      <c r="W1763" s="131">
        <v>0</v>
      </c>
      <c r="X1763" s="131">
        <v>0</v>
      </c>
      <c r="Y1763" s="131">
        <v>0</v>
      </c>
      <c r="Z1763" s="131">
        <v>0</v>
      </c>
      <c r="AA1763" s="131">
        <v>0</v>
      </c>
      <c r="AB1763" s="131">
        <v>0</v>
      </c>
      <c r="AC1763" s="131">
        <v>0</v>
      </c>
      <c r="AD1763" s="131">
        <v>0</v>
      </c>
      <c r="AE1763" s="132">
        <v>0</v>
      </c>
    </row>
    <row r="1764" spans="1:31" x14ac:dyDescent="0.2">
      <c r="A1764" s="133">
        <v>294</v>
      </c>
      <c r="B1764" s="133" t="s">
        <v>1841</v>
      </c>
      <c r="C1764" s="133" t="s">
        <v>1199</v>
      </c>
      <c r="D1764" s="133" t="s">
        <v>2117</v>
      </c>
      <c r="E1764" s="133" t="s">
        <v>1201</v>
      </c>
      <c r="F1764" s="133" t="s">
        <v>1117</v>
      </c>
      <c r="G1764" s="133" t="s">
        <v>1202</v>
      </c>
      <c r="H1764" s="133" t="s">
        <v>1203</v>
      </c>
      <c r="I1764" s="130" t="s">
        <v>1224</v>
      </c>
      <c r="J1764" s="130" t="s">
        <v>1529</v>
      </c>
      <c r="K1764" s="130" t="s">
        <v>1530</v>
      </c>
      <c r="L1764" s="130" t="s">
        <v>2118</v>
      </c>
      <c r="M1764" s="130" t="s">
        <v>1925</v>
      </c>
      <c r="N1764" s="130" t="s">
        <v>120</v>
      </c>
      <c r="O1764" s="130" t="s">
        <v>1860</v>
      </c>
      <c r="P1764" s="130" t="s">
        <v>1861</v>
      </c>
      <c r="Q1764" s="130" t="s">
        <v>1127</v>
      </c>
      <c r="R1764" s="130" t="s">
        <v>1191</v>
      </c>
      <c r="S1764" s="130" t="s">
        <v>1157</v>
      </c>
      <c r="T1764" s="130" t="s">
        <v>1847</v>
      </c>
      <c r="U1764" s="130">
        <v>350</v>
      </c>
      <c r="V1764" s="131">
        <v>0</v>
      </c>
      <c r="W1764" s="131">
        <v>350</v>
      </c>
      <c r="X1764" s="131">
        <v>0</v>
      </c>
      <c r="Y1764" s="131">
        <v>350</v>
      </c>
      <c r="Z1764" s="131">
        <v>0</v>
      </c>
      <c r="AA1764" s="131">
        <v>350</v>
      </c>
      <c r="AB1764" s="131">
        <v>0</v>
      </c>
      <c r="AC1764" s="131">
        <v>350</v>
      </c>
      <c r="AD1764" s="131">
        <v>0</v>
      </c>
      <c r="AE1764" s="132">
        <v>350</v>
      </c>
    </row>
    <row r="1765" spans="1:31" x14ac:dyDescent="0.2">
      <c r="A1765" s="133">
        <v>294</v>
      </c>
      <c r="B1765" s="133" t="s">
        <v>1841</v>
      </c>
      <c r="C1765" s="133" t="s">
        <v>1199</v>
      </c>
      <c r="D1765" s="133" t="s">
        <v>2117</v>
      </c>
      <c r="E1765" s="133" t="s">
        <v>1201</v>
      </c>
      <c r="F1765" s="133" t="s">
        <v>1117</v>
      </c>
      <c r="G1765" s="133" t="s">
        <v>1202</v>
      </c>
      <c r="H1765" s="133" t="s">
        <v>1203</v>
      </c>
      <c r="I1765" s="133" t="s">
        <v>1224</v>
      </c>
      <c r="J1765" s="133" t="s">
        <v>1529</v>
      </c>
      <c r="K1765" s="130" t="s">
        <v>1531</v>
      </c>
      <c r="L1765" s="130" t="s">
        <v>2118</v>
      </c>
      <c r="M1765" s="130" t="s">
        <v>1925</v>
      </c>
      <c r="N1765" s="130" t="s">
        <v>120</v>
      </c>
      <c r="O1765" s="130" t="s">
        <v>1860</v>
      </c>
      <c r="P1765" s="130" t="s">
        <v>1861</v>
      </c>
      <c r="Q1765" s="130" t="s">
        <v>1127</v>
      </c>
      <c r="R1765" s="130" t="s">
        <v>1191</v>
      </c>
      <c r="S1765" s="130" t="s">
        <v>1157</v>
      </c>
      <c r="T1765" s="130" t="s">
        <v>1847</v>
      </c>
      <c r="U1765" s="130">
        <v>1000</v>
      </c>
      <c r="V1765" s="131">
        <v>0</v>
      </c>
      <c r="W1765" s="131">
        <v>1000</v>
      </c>
      <c r="X1765" s="131">
        <v>850</v>
      </c>
      <c r="Y1765" s="131">
        <v>150</v>
      </c>
      <c r="Z1765" s="131">
        <v>0</v>
      </c>
      <c r="AA1765" s="131">
        <v>1000</v>
      </c>
      <c r="AB1765" s="131">
        <v>0</v>
      </c>
      <c r="AC1765" s="131">
        <v>1000</v>
      </c>
      <c r="AD1765" s="131">
        <v>0</v>
      </c>
      <c r="AE1765" s="132">
        <v>1000</v>
      </c>
    </row>
    <row r="1766" spans="1:31" x14ac:dyDescent="0.2">
      <c r="A1766" s="133">
        <v>294</v>
      </c>
      <c r="B1766" s="133" t="s">
        <v>1841</v>
      </c>
      <c r="C1766" s="133" t="s">
        <v>1199</v>
      </c>
      <c r="D1766" s="133" t="s">
        <v>2117</v>
      </c>
      <c r="E1766" s="133" t="s">
        <v>1201</v>
      </c>
      <c r="F1766" s="133" t="s">
        <v>1117</v>
      </c>
      <c r="G1766" s="133" t="s">
        <v>1202</v>
      </c>
      <c r="H1766" s="133" t="s">
        <v>1203</v>
      </c>
      <c r="I1766" s="133" t="s">
        <v>1224</v>
      </c>
      <c r="J1766" s="130" t="s">
        <v>1225</v>
      </c>
      <c r="K1766" s="130" t="s">
        <v>1226</v>
      </c>
      <c r="L1766" s="130" t="s">
        <v>2118</v>
      </c>
      <c r="M1766" s="130" t="s">
        <v>1925</v>
      </c>
      <c r="N1766" s="130" t="s">
        <v>120</v>
      </c>
      <c r="O1766" s="130" t="s">
        <v>1860</v>
      </c>
      <c r="P1766" s="130" t="s">
        <v>1861</v>
      </c>
      <c r="Q1766" s="130" t="s">
        <v>1127</v>
      </c>
      <c r="R1766" s="130" t="s">
        <v>1191</v>
      </c>
      <c r="S1766" s="130" t="s">
        <v>1157</v>
      </c>
      <c r="T1766" s="130" t="s">
        <v>1847</v>
      </c>
      <c r="U1766" s="130">
        <v>9488</v>
      </c>
      <c r="V1766" s="131">
        <v>0</v>
      </c>
      <c r="W1766" s="131">
        <v>9488</v>
      </c>
      <c r="X1766" s="131">
        <v>4000</v>
      </c>
      <c r="Y1766" s="131">
        <v>5488</v>
      </c>
      <c r="Z1766" s="131">
        <v>4000</v>
      </c>
      <c r="AA1766" s="131">
        <v>5488</v>
      </c>
      <c r="AB1766" s="131">
        <v>4000</v>
      </c>
      <c r="AC1766" s="131">
        <v>5488</v>
      </c>
      <c r="AD1766" s="131">
        <v>4000</v>
      </c>
      <c r="AE1766" s="132">
        <v>5488</v>
      </c>
    </row>
    <row r="1767" spans="1:31" x14ac:dyDescent="0.2">
      <c r="A1767" s="133">
        <v>294</v>
      </c>
      <c r="B1767" s="133" t="s">
        <v>1841</v>
      </c>
      <c r="C1767" s="133" t="s">
        <v>1199</v>
      </c>
      <c r="D1767" s="133" t="s">
        <v>2117</v>
      </c>
      <c r="E1767" s="133" t="s">
        <v>1201</v>
      </c>
      <c r="F1767" s="133" t="s">
        <v>1117</v>
      </c>
      <c r="G1767" s="133" t="s">
        <v>1202</v>
      </c>
      <c r="H1767" s="133" t="s">
        <v>1203</v>
      </c>
      <c r="I1767" s="130" t="s">
        <v>1269</v>
      </c>
      <c r="J1767" s="130" t="s">
        <v>1270</v>
      </c>
      <c r="K1767" s="130" t="s">
        <v>1272</v>
      </c>
      <c r="L1767" s="130" t="s">
        <v>2118</v>
      </c>
      <c r="M1767" s="130" t="s">
        <v>1925</v>
      </c>
      <c r="N1767" s="130" t="s">
        <v>120</v>
      </c>
      <c r="O1767" s="130" t="s">
        <v>1860</v>
      </c>
      <c r="P1767" s="130" t="s">
        <v>1861</v>
      </c>
      <c r="Q1767" s="130" t="s">
        <v>1127</v>
      </c>
      <c r="R1767" s="130" t="s">
        <v>1191</v>
      </c>
      <c r="S1767" s="130" t="s">
        <v>1157</v>
      </c>
      <c r="T1767" s="130" t="s">
        <v>1847</v>
      </c>
      <c r="U1767" s="130">
        <v>100</v>
      </c>
      <c r="V1767" s="131">
        <v>0</v>
      </c>
      <c r="W1767" s="131">
        <v>100</v>
      </c>
      <c r="X1767" s="131">
        <v>0</v>
      </c>
      <c r="Y1767" s="131">
        <v>100</v>
      </c>
      <c r="Z1767" s="131">
        <v>0</v>
      </c>
      <c r="AA1767" s="131">
        <v>100</v>
      </c>
      <c r="AB1767" s="131">
        <v>0</v>
      </c>
      <c r="AC1767" s="131">
        <v>100</v>
      </c>
      <c r="AD1767" s="131">
        <v>0</v>
      </c>
      <c r="AE1767" s="132">
        <v>100</v>
      </c>
    </row>
    <row r="1768" spans="1:31" x14ac:dyDescent="0.2">
      <c r="A1768" s="133">
        <v>294</v>
      </c>
      <c r="B1768" s="133" t="s">
        <v>1841</v>
      </c>
      <c r="C1768" s="133" t="s">
        <v>1199</v>
      </c>
      <c r="D1768" s="133" t="s">
        <v>2117</v>
      </c>
      <c r="E1768" s="133" t="s">
        <v>1201</v>
      </c>
      <c r="F1768" s="133" t="s">
        <v>1117</v>
      </c>
      <c r="G1768" s="133" t="s">
        <v>1202</v>
      </c>
      <c r="H1768" s="133" t="s">
        <v>1203</v>
      </c>
      <c r="I1768" s="130" t="s">
        <v>1209</v>
      </c>
      <c r="J1768" s="130" t="s">
        <v>1210</v>
      </c>
      <c r="K1768" s="130" t="s">
        <v>1539</v>
      </c>
      <c r="L1768" s="130" t="s">
        <v>2118</v>
      </c>
      <c r="M1768" s="130" t="s">
        <v>1925</v>
      </c>
      <c r="N1768" s="130" t="s">
        <v>120</v>
      </c>
      <c r="O1768" s="130" t="s">
        <v>1860</v>
      </c>
      <c r="P1768" s="130" t="s">
        <v>1861</v>
      </c>
      <c r="Q1768" s="130" t="s">
        <v>1127</v>
      </c>
      <c r="R1768" s="130" t="s">
        <v>1191</v>
      </c>
      <c r="S1768" s="130" t="s">
        <v>1157</v>
      </c>
      <c r="T1768" s="130" t="s">
        <v>1847</v>
      </c>
      <c r="U1768" s="130">
        <v>2970</v>
      </c>
      <c r="V1768" s="131">
        <v>14268</v>
      </c>
      <c r="W1768" s="131">
        <v>17238</v>
      </c>
      <c r="X1768" s="131">
        <v>17238</v>
      </c>
      <c r="Y1768" s="131">
        <v>0</v>
      </c>
      <c r="Z1768" s="131">
        <v>17238</v>
      </c>
      <c r="AA1768" s="131">
        <v>0</v>
      </c>
      <c r="AB1768" s="131">
        <v>17238</v>
      </c>
      <c r="AC1768" s="131">
        <v>0</v>
      </c>
      <c r="AD1768" s="131">
        <v>17238</v>
      </c>
      <c r="AE1768" s="132">
        <v>0</v>
      </c>
    </row>
    <row r="1769" spans="1:31" x14ac:dyDescent="0.2">
      <c r="A1769" s="133">
        <v>294</v>
      </c>
      <c r="B1769" s="133" t="s">
        <v>1841</v>
      </c>
      <c r="C1769" s="133" t="s">
        <v>1199</v>
      </c>
      <c r="D1769" s="133" t="s">
        <v>2117</v>
      </c>
      <c r="E1769" s="133" t="s">
        <v>1201</v>
      </c>
      <c r="F1769" s="133" t="s">
        <v>1117</v>
      </c>
      <c r="G1769" s="133" t="s">
        <v>1202</v>
      </c>
      <c r="H1769" s="133" t="s">
        <v>1203</v>
      </c>
      <c r="I1769" s="133" t="s">
        <v>1209</v>
      </c>
      <c r="J1769" s="133" t="s">
        <v>1210</v>
      </c>
      <c r="K1769" s="130" t="s">
        <v>1211</v>
      </c>
      <c r="L1769" s="130" t="s">
        <v>2118</v>
      </c>
      <c r="M1769" s="130" t="s">
        <v>1925</v>
      </c>
      <c r="N1769" s="130" t="s">
        <v>120</v>
      </c>
      <c r="O1769" s="130" t="s">
        <v>1860</v>
      </c>
      <c r="P1769" s="130" t="s">
        <v>1861</v>
      </c>
      <c r="Q1769" s="130" t="s">
        <v>1127</v>
      </c>
      <c r="R1769" s="130" t="s">
        <v>1191</v>
      </c>
      <c r="S1769" s="130" t="s">
        <v>1157</v>
      </c>
      <c r="T1769" s="130" t="s">
        <v>1847</v>
      </c>
      <c r="U1769" s="130">
        <v>6000</v>
      </c>
      <c r="V1769" s="131">
        <v>-4968</v>
      </c>
      <c r="W1769" s="131">
        <v>1032</v>
      </c>
      <c r="X1769" s="131">
        <v>1000</v>
      </c>
      <c r="Y1769" s="131">
        <v>32</v>
      </c>
      <c r="Z1769" s="131">
        <v>1000</v>
      </c>
      <c r="AA1769" s="131">
        <v>32</v>
      </c>
      <c r="AB1769" s="131">
        <v>1000</v>
      </c>
      <c r="AC1769" s="131">
        <v>32</v>
      </c>
      <c r="AD1769" s="131">
        <v>1000</v>
      </c>
      <c r="AE1769" s="132">
        <v>32</v>
      </c>
    </row>
    <row r="1770" spans="1:31" x14ac:dyDescent="0.2">
      <c r="A1770" s="133">
        <v>294</v>
      </c>
      <c r="B1770" s="133" t="s">
        <v>1841</v>
      </c>
      <c r="C1770" s="133" t="s">
        <v>1199</v>
      </c>
      <c r="D1770" s="133" t="s">
        <v>2117</v>
      </c>
      <c r="E1770" s="133" t="s">
        <v>1201</v>
      </c>
      <c r="F1770" s="133" t="s">
        <v>1117</v>
      </c>
      <c r="G1770" s="133" t="s">
        <v>1202</v>
      </c>
      <c r="H1770" s="133" t="s">
        <v>1203</v>
      </c>
      <c r="I1770" s="133" t="s">
        <v>1209</v>
      </c>
      <c r="J1770" s="133" t="s">
        <v>1210</v>
      </c>
      <c r="K1770" s="130" t="s">
        <v>1274</v>
      </c>
      <c r="L1770" s="130" t="s">
        <v>2118</v>
      </c>
      <c r="M1770" s="130" t="s">
        <v>1925</v>
      </c>
      <c r="N1770" s="130" t="s">
        <v>120</v>
      </c>
      <c r="O1770" s="130" t="s">
        <v>1860</v>
      </c>
      <c r="P1770" s="130" t="s">
        <v>1861</v>
      </c>
      <c r="Q1770" s="130" t="s">
        <v>1127</v>
      </c>
      <c r="R1770" s="130" t="s">
        <v>1191</v>
      </c>
      <c r="S1770" s="130" t="s">
        <v>1157</v>
      </c>
      <c r="T1770" s="130" t="s">
        <v>1847</v>
      </c>
      <c r="U1770" s="130">
        <v>10500</v>
      </c>
      <c r="V1770" s="131">
        <v>-10500</v>
      </c>
      <c r="W1770" s="131">
        <v>0</v>
      </c>
      <c r="X1770" s="131">
        <v>0</v>
      </c>
      <c r="Y1770" s="131">
        <v>0</v>
      </c>
      <c r="Z1770" s="131">
        <v>0</v>
      </c>
      <c r="AA1770" s="131">
        <v>0</v>
      </c>
      <c r="AB1770" s="131">
        <v>0</v>
      </c>
      <c r="AC1770" s="131">
        <v>0</v>
      </c>
      <c r="AD1770" s="131">
        <v>0</v>
      </c>
      <c r="AE1770" s="132">
        <v>0</v>
      </c>
    </row>
    <row r="1771" spans="1:31" x14ac:dyDescent="0.2">
      <c r="A1771" s="133">
        <v>294</v>
      </c>
      <c r="B1771" s="133" t="s">
        <v>1841</v>
      </c>
      <c r="C1771" s="133" t="s">
        <v>1199</v>
      </c>
      <c r="D1771" s="133" t="s">
        <v>2117</v>
      </c>
      <c r="E1771" s="133" t="s">
        <v>1201</v>
      </c>
      <c r="F1771" s="133" t="s">
        <v>1117</v>
      </c>
      <c r="G1771" s="133" t="s">
        <v>1202</v>
      </c>
      <c r="H1771" s="133" t="s">
        <v>1203</v>
      </c>
      <c r="I1771" s="133" t="s">
        <v>1209</v>
      </c>
      <c r="J1771" s="130" t="s">
        <v>2105</v>
      </c>
      <c r="K1771" s="130" t="s">
        <v>2106</v>
      </c>
      <c r="L1771" s="130" t="s">
        <v>2118</v>
      </c>
      <c r="M1771" s="130" t="s">
        <v>1925</v>
      </c>
      <c r="N1771" s="130" t="s">
        <v>120</v>
      </c>
      <c r="O1771" s="130" t="s">
        <v>1860</v>
      </c>
      <c r="P1771" s="130" t="s">
        <v>1861</v>
      </c>
      <c r="Q1771" s="130" t="s">
        <v>1127</v>
      </c>
      <c r="R1771" s="130" t="s">
        <v>1191</v>
      </c>
      <c r="S1771" s="130" t="s">
        <v>1157</v>
      </c>
      <c r="T1771" s="130" t="s">
        <v>1847</v>
      </c>
      <c r="U1771" s="130">
        <v>0</v>
      </c>
      <c r="V1771" s="131">
        <v>43782</v>
      </c>
      <c r="W1771" s="131">
        <v>43782</v>
      </c>
      <c r="X1771" s="131">
        <v>43782</v>
      </c>
      <c r="Y1771" s="131">
        <v>0</v>
      </c>
      <c r="Z1771" s="131">
        <v>43782</v>
      </c>
      <c r="AA1771" s="131">
        <v>0</v>
      </c>
      <c r="AB1771" s="131">
        <v>43782</v>
      </c>
      <c r="AC1771" s="131">
        <v>0</v>
      </c>
      <c r="AD1771" s="131">
        <v>43782</v>
      </c>
      <c r="AE1771" s="132">
        <v>0</v>
      </c>
    </row>
    <row r="1772" spans="1:31" x14ac:dyDescent="0.2">
      <c r="A1772" s="133">
        <v>294</v>
      </c>
      <c r="B1772" s="133" t="s">
        <v>1841</v>
      </c>
      <c r="C1772" s="133" t="s">
        <v>1199</v>
      </c>
      <c r="D1772" s="133" t="s">
        <v>2117</v>
      </c>
      <c r="E1772" s="133" t="s">
        <v>1201</v>
      </c>
      <c r="F1772" s="133" t="s">
        <v>1117</v>
      </c>
      <c r="G1772" s="133" t="s">
        <v>1202</v>
      </c>
      <c r="H1772" s="133" t="s">
        <v>1203</v>
      </c>
      <c r="I1772" s="130" t="s">
        <v>1309</v>
      </c>
      <c r="J1772" s="130" t="s">
        <v>1310</v>
      </c>
      <c r="K1772" s="130" t="s">
        <v>1310</v>
      </c>
      <c r="L1772" s="130" t="s">
        <v>2118</v>
      </c>
      <c r="M1772" s="130" t="s">
        <v>1925</v>
      </c>
      <c r="N1772" s="130" t="s">
        <v>120</v>
      </c>
      <c r="O1772" s="130" t="s">
        <v>1860</v>
      </c>
      <c r="P1772" s="130" t="s">
        <v>1861</v>
      </c>
      <c r="Q1772" s="130" t="s">
        <v>1127</v>
      </c>
      <c r="R1772" s="130" t="s">
        <v>1191</v>
      </c>
      <c r="S1772" s="130" t="s">
        <v>1157</v>
      </c>
      <c r="T1772" s="130" t="s">
        <v>1847</v>
      </c>
      <c r="U1772" s="130">
        <v>20909</v>
      </c>
      <c r="V1772" s="131">
        <v>4600</v>
      </c>
      <c r="W1772" s="131">
        <v>25509</v>
      </c>
      <c r="X1772" s="131">
        <v>19500</v>
      </c>
      <c r="Y1772" s="131">
        <v>6009</v>
      </c>
      <c r="Z1772" s="131">
        <v>19500</v>
      </c>
      <c r="AA1772" s="131">
        <v>6009</v>
      </c>
      <c r="AB1772" s="131">
        <v>19500</v>
      </c>
      <c r="AC1772" s="131">
        <v>6009</v>
      </c>
      <c r="AD1772" s="131">
        <v>19500</v>
      </c>
      <c r="AE1772" s="132">
        <v>6009</v>
      </c>
    </row>
    <row r="1773" spans="1:31" x14ac:dyDescent="0.2">
      <c r="A1773" s="133">
        <v>294</v>
      </c>
      <c r="B1773" s="133" t="s">
        <v>1841</v>
      </c>
      <c r="C1773" s="133" t="s">
        <v>1199</v>
      </c>
      <c r="D1773" s="133" t="s">
        <v>2117</v>
      </c>
      <c r="E1773" s="130" t="s">
        <v>1855</v>
      </c>
      <c r="F1773" s="130" t="s">
        <v>1117</v>
      </c>
      <c r="G1773" s="130" t="s">
        <v>1202</v>
      </c>
      <c r="H1773" s="130" t="s">
        <v>1203</v>
      </c>
      <c r="I1773" s="130" t="s">
        <v>1315</v>
      </c>
      <c r="J1773" s="130" t="s">
        <v>1316</v>
      </c>
      <c r="K1773" s="130" t="s">
        <v>1900</v>
      </c>
      <c r="L1773" s="130" t="s">
        <v>2118</v>
      </c>
      <c r="M1773" s="130" t="s">
        <v>1925</v>
      </c>
      <c r="N1773" s="130" t="s">
        <v>120</v>
      </c>
      <c r="O1773" s="130" t="s">
        <v>1860</v>
      </c>
      <c r="P1773" s="130" t="s">
        <v>1861</v>
      </c>
      <c r="Q1773" s="130" t="s">
        <v>1127</v>
      </c>
      <c r="R1773" s="130" t="s">
        <v>1191</v>
      </c>
      <c r="S1773" s="130" t="s">
        <v>1157</v>
      </c>
      <c r="T1773" s="130" t="s">
        <v>1847</v>
      </c>
      <c r="U1773" s="130">
        <v>0</v>
      </c>
      <c r="V1773" s="131">
        <v>3500</v>
      </c>
      <c r="W1773" s="131">
        <v>3500</v>
      </c>
      <c r="X1773" s="131">
        <v>3500</v>
      </c>
      <c r="Y1773" s="131">
        <v>0</v>
      </c>
      <c r="Z1773" s="131">
        <v>3500</v>
      </c>
      <c r="AA1773" s="131">
        <v>0</v>
      </c>
      <c r="AB1773" s="131">
        <v>3500</v>
      </c>
      <c r="AC1773" s="131">
        <v>0</v>
      </c>
      <c r="AD1773" s="131">
        <v>3500</v>
      </c>
      <c r="AE1773" s="132">
        <v>0</v>
      </c>
    </row>
    <row r="1774" spans="1:31" x14ac:dyDescent="0.2">
      <c r="A1774" s="133">
        <v>294</v>
      </c>
      <c r="B1774" s="133" t="s">
        <v>1841</v>
      </c>
      <c r="C1774" s="133" t="s">
        <v>1199</v>
      </c>
      <c r="D1774" s="133" t="s">
        <v>2117</v>
      </c>
      <c r="E1774" s="133" t="s">
        <v>1855</v>
      </c>
      <c r="F1774" s="133" t="s">
        <v>1117</v>
      </c>
      <c r="G1774" s="133" t="s">
        <v>1202</v>
      </c>
      <c r="H1774" s="133" t="s">
        <v>1203</v>
      </c>
      <c r="I1774" s="130" t="s">
        <v>1209</v>
      </c>
      <c r="J1774" s="130" t="s">
        <v>1210</v>
      </c>
      <c r="K1774" s="130" t="s">
        <v>1211</v>
      </c>
      <c r="L1774" s="130" t="s">
        <v>2118</v>
      </c>
      <c r="M1774" s="130" t="s">
        <v>1925</v>
      </c>
      <c r="N1774" s="130" t="s">
        <v>120</v>
      </c>
      <c r="O1774" s="130" t="s">
        <v>1860</v>
      </c>
      <c r="P1774" s="130" t="s">
        <v>1861</v>
      </c>
      <c r="Q1774" s="130" t="s">
        <v>1127</v>
      </c>
      <c r="R1774" s="130" t="s">
        <v>1191</v>
      </c>
      <c r="S1774" s="130" t="s">
        <v>1157</v>
      </c>
      <c r="T1774" s="130" t="s">
        <v>1847</v>
      </c>
      <c r="U1774" s="130">
        <v>0</v>
      </c>
      <c r="V1774" s="131">
        <v>2500</v>
      </c>
      <c r="W1774" s="131">
        <v>2500</v>
      </c>
      <c r="X1774" s="131">
        <v>2500</v>
      </c>
      <c r="Y1774" s="131">
        <v>0</v>
      </c>
      <c r="Z1774" s="131">
        <v>2500</v>
      </c>
      <c r="AA1774" s="131">
        <v>0</v>
      </c>
      <c r="AB1774" s="131">
        <v>2500</v>
      </c>
      <c r="AC1774" s="131">
        <v>0</v>
      </c>
      <c r="AD1774" s="131">
        <v>2500</v>
      </c>
      <c r="AE1774" s="132">
        <v>0</v>
      </c>
    </row>
    <row r="1775" spans="1:31" x14ac:dyDescent="0.2">
      <c r="A1775" s="133">
        <v>294</v>
      </c>
      <c r="B1775" s="133" t="s">
        <v>1841</v>
      </c>
      <c r="C1775" s="133" t="s">
        <v>1199</v>
      </c>
      <c r="D1775" s="133" t="s">
        <v>2117</v>
      </c>
      <c r="E1775" s="133" t="s">
        <v>1855</v>
      </c>
      <c r="F1775" s="133" t="s">
        <v>1117</v>
      </c>
      <c r="G1775" s="133" t="s">
        <v>1202</v>
      </c>
      <c r="H1775" s="133" t="s">
        <v>1203</v>
      </c>
      <c r="I1775" s="133" t="s">
        <v>1209</v>
      </c>
      <c r="J1775" s="130" t="s">
        <v>2105</v>
      </c>
      <c r="K1775" s="130" t="s">
        <v>2112</v>
      </c>
      <c r="L1775" s="130" t="s">
        <v>2118</v>
      </c>
      <c r="M1775" s="130" t="s">
        <v>1925</v>
      </c>
      <c r="N1775" s="130" t="s">
        <v>120</v>
      </c>
      <c r="O1775" s="130" t="s">
        <v>1860</v>
      </c>
      <c r="P1775" s="130" t="s">
        <v>1861</v>
      </c>
      <c r="Q1775" s="130" t="s">
        <v>1127</v>
      </c>
      <c r="R1775" s="130" t="s">
        <v>1191</v>
      </c>
      <c r="S1775" s="130" t="s">
        <v>1157</v>
      </c>
      <c r="T1775" s="130" t="s">
        <v>1847</v>
      </c>
      <c r="U1775" s="130">
        <v>0</v>
      </c>
      <c r="V1775" s="131">
        <v>9000</v>
      </c>
      <c r="W1775" s="131">
        <v>9000</v>
      </c>
      <c r="X1775" s="131">
        <v>9000</v>
      </c>
      <c r="Y1775" s="131">
        <v>0</v>
      </c>
      <c r="Z1775" s="131">
        <v>9000</v>
      </c>
      <c r="AA1775" s="131">
        <v>0</v>
      </c>
      <c r="AB1775" s="131">
        <v>9000</v>
      </c>
      <c r="AC1775" s="131">
        <v>0</v>
      </c>
      <c r="AD1775" s="131">
        <v>9000</v>
      </c>
      <c r="AE1775" s="132">
        <v>0</v>
      </c>
    </row>
    <row r="1776" spans="1:31" x14ac:dyDescent="0.2">
      <c r="A1776" s="130">
        <v>295</v>
      </c>
      <c r="B1776" s="130" t="s">
        <v>1841</v>
      </c>
      <c r="C1776" s="130" t="s">
        <v>1199</v>
      </c>
      <c r="D1776" s="130" t="s">
        <v>2119</v>
      </c>
      <c r="E1776" s="130" t="s">
        <v>1143</v>
      </c>
      <c r="F1776" s="130" t="s">
        <v>1117</v>
      </c>
      <c r="G1776" s="130" t="s">
        <v>1202</v>
      </c>
      <c r="H1776" s="130" t="s">
        <v>1203</v>
      </c>
      <c r="I1776" s="130" t="s">
        <v>1264</v>
      </c>
      <c r="J1776" s="130" t="s">
        <v>1265</v>
      </c>
      <c r="K1776" s="130" t="s">
        <v>1266</v>
      </c>
      <c r="L1776" s="130" t="s">
        <v>2120</v>
      </c>
      <c r="M1776" s="130" t="s">
        <v>1925</v>
      </c>
      <c r="N1776" s="130" t="s">
        <v>1588</v>
      </c>
      <c r="O1776" s="130" t="s">
        <v>1860</v>
      </c>
      <c r="P1776" s="130" t="s">
        <v>1968</v>
      </c>
      <c r="Q1776" s="130" t="s">
        <v>1127</v>
      </c>
      <c r="R1776" s="130" t="s">
        <v>1191</v>
      </c>
      <c r="S1776" s="130" t="s">
        <v>1191</v>
      </c>
      <c r="T1776" s="130" t="s">
        <v>1891</v>
      </c>
      <c r="U1776" s="130">
        <v>435935</v>
      </c>
      <c r="V1776" s="131">
        <v>0</v>
      </c>
      <c r="W1776" s="131">
        <v>435935</v>
      </c>
      <c r="X1776" s="131">
        <v>0</v>
      </c>
      <c r="Y1776" s="131">
        <v>435935</v>
      </c>
      <c r="Z1776" s="131">
        <v>0</v>
      </c>
      <c r="AA1776" s="131">
        <v>435935</v>
      </c>
      <c r="AB1776" s="131">
        <v>0</v>
      </c>
      <c r="AC1776" s="131">
        <v>435935</v>
      </c>
      <c r="AD1776" s="131">
        <v>0</v>
      </c>
      <c r="AE1776" s="132">
        <v>435935</v>
      </c>
    </row>
    <row r="1777" spans="1:31" x14ac:dyDescent="0.2">
      <c r="A1777" s="130">
        <v>296</v>
      </c>
      <c r="B1777" s="130" t="s">
        <v>1841</v>
      </c>
      <c r="C1777" s="130" t="s">
        <v>1199</v>
      </c>
      <c r="D1777" s="130" t="s">
        <v>2119</v>
      </c>
      <c r="E1777" s="130" t="s">
        <v>1116</v>
      </c>
      <c r="F1777" s="130" t="s">
        <v>1117</v>
      </c>
      <c r="G1777" s="130" t="s">
        <v>1202</v>
      </c>
      <c r="H1777" s="130" t="s">
        <v>1203</v>
      </c>
      <c r="I1777" s="130" t="s">
        <v>1264</v>
      </c>
      <c r="J1777" s="130" t="s">
        <v>1265</v>
      </c>
      <c r="K1777" s="130" t="s">
        <v>1266</v>
      </c>
      <c r="L1777" s="130" t="s">
        <v>2121</v>
      </c>
      <c r="M1777" s="130" t="s">
        <v>1925</v>
      </c>
      <c r="N1777" s="130" t="s">
        <v>152</v>
      </c>
      <c r="O1777" s="130" t="s">
        <v>1835</v>
      </c>
      <c r="P1777" s="130" t="s">
        <v>1968</v>
      </c>
      <c r="Q1777" s="130" t="s">
        <v>1127</v>
      </c>
      <c r="R1777" s="130" t="s">
        <v>1191</v>
      </c>
      <c r="S1777" s="130" t="s">
        <v>1157</v>
      </c>
      <c r="T1777" s="130" t="s">
        <v>1891</v>
      </c>
      <c r="U1777" s="130">
        <v>276933</v>
      </c>
      <c r="V1777" s="131">
        <v>0</v>
      </c>
      <c r="W1777" s="131">
        <v>276933</v>
      </c>
      <c r="X1777" s="131">
        <v>0</v>
      </c>
      <c r="Y1777" s="131">
        <v>276933</v>
      </c>
      <c r="Z1777" s="131">
        <v>0</v>
      </c>
      <c r="AA1777" s="131">
        <v>276933</v>
      </c>
      <c r="AB1777" s="131">
        <v>0</v>
      </c>
      <c r="AC1777" s="131">
        <v>276933</v>
      </c>
      <c r="AD1777" s="131">
        <v>0</v>
      </c>
      <c r="AE1777" s="132">
        <v>276933</v>
      </c>
    </row>
    <row r="1778" spans="1:31" x14ac:dyDescent="0.2">
      <c r="A1778" s="130">
        <v>297</v>
      </c>
      <c r="B1778" s="130" t="s">
        <v>1841</v>
      </c>
      <c r="C1778" s="130" t="s">
        <v>1199</v>
      </c>
      <c r="D1778" s="130" t="s">
        <v>2122</v>
      </c>
      <c r="E1778" s="130" t="s">
        <v>1201</v>
      </c>
      <c r="F1778" s="130" t="s">
        <v>1117</v>
      </c>
      <c r="G1778" s="130" t="s">
        <v>1233</v>
      </c>
      <c r="H1778" s="130" t="s">
        <v>2123</v>
      </c>
      <c r="I1778" s="130" t="s">
        <v>2123</v>
      </c>
      <c r="J1778" s="130" t="s">
        <v>2123</v>
      </c>
      <c r="K1778" s="130" t="s">
        <v>2124</v>
      </c>
      <c r="L1778" s="130" t="s">
        <v>2125</v>
      </c>
      <c r="M1778" s="130" t="s">
        <v>1925</v>
      </c>
      <c r="N1778" s="130" t="s">
        <v>2126</v>
      </c>
      <c r="O1778" s="130" t="s">
        <v>2127</v>
      </c>
      <c r="P1778" s="130" t="s">
        <v>2128</v>
      </c>
      <c r="Q1778" s="130" t="s">
        <v>1127</v>
      </c>
      <c r="R1778" s="130" t="s">
        <v>1191</v>
      </c>
      <c r="S1778" s="130" t="s">
        <v>1157</v>
      </c>
      <c r="T1778" s="130" t="s">
        <v>1893</v>
      </c>
      <c r="U1778" s="130">
        <v>2054738</v>
      </c>
      <c r="V1778" s="131">
        <v>222000</v>
      </c>
      <c r="W1778" s="131">
        <v>2276738</v>
      </c>
      <c r="X1778" s="131">
        <v>2058337.08</v>
      </c>
      <c r="Y1778" s="131">
        <v>218400.91999999993</v>
      </c>
      <c r="Z1778" s="131">
        <v>2058337.08</v>
      </c>
      <c r="AA1778" s="131">
        <v>218400.91999999993</v>
      </c>
      <c r="AB1778" s="131">
        <v>972837.28</v>
      </c>
      <c r="AC1778" s="131">
        <v>1303900.72</v>
      </c>
      <c r="AD1778" s="131">
        <v>972837.28</v>
      </c>
      <c r="AE1778" s="132">
        <v>1303900.72</v>
      </c>
    </row>
    <row r="1779" spans="1:31" x14ac:dyDescent="0.2">
      <c r="A1779" s="133">
        <v>297</v>
      </c>
      <c r="B1779" s="133" t="s">
        <v>1841</v>
      </c>
      <c r="C1779" s="133" t="s">
        <v>1199</v>
      </c>
      <c r="D1779" s="133" t="s">
        <v>2122</v>
      </c>
      <c r="E1779" s="133" t="s">
        <v>1201</v>
      </c>
      <c r="F1779" s="133" t="s">
        <v>1117</v>
      </c>
      <c r="G1779" s="133" t="s">
        <v>1233</v>
      </c>
      <c r="H1779" s="133" t="s">
        <v>2123</v>
      </c>
      <c r="I1779" s="133" t="s">
        <v>2123</v>
      </c>
      <c r="J1779" s="130" t="s">
        <v>2129</v>
      </c>
      <c r="K1779" s="130" t="s">
        <v>1289</v>
      </c>
      <c r="L1779" s="130" t="s">
        <v>2125</v>
      </c>
      <c r="M1779" s="130" t="s">
        <v>1925</v>
      </c>
      <c r="N1779" s="130" t="s">
        <v>2126</v>
      </c>
      <c r="O1779" s="130" t="s">
        <v>2127</v>
      </c>
      <c r="P1779" s="130" t="s">
        <v>2128</v>
      </c>
      <c r="Q1779" s="130" t="s">
        <v>1127</v>
      </c>
      <c r="R1779" s="130" t="s">
        <v>1191</v>
      </c>
      <c r="S1779" s="130" t="s">
        <v>1157</v>
      </c>
      <c r="T1779" s="130" t="s">
        <v>1893</v>
      </c>
      <c r="U1779" s="130">
        <v>169000</v>
      </c>
      <c r="V1779" s="131">
        <v>0</v>
      </c>
      <c r="W1779" s="131">
        <v>169000</v>
      </c>
      <c r="X1779" s="131">
        <v>169000</v>
      </c>
      <c r="Y1779" s="131">
        <v>0</v>
      </c>
      <c r="Z1779" s="131">
        <v>169000</v>
      </c>
      <c r="AA1779" s="131">
        <v>0</v>
      </c>
      <c r="AB1779" s="131">
        <v>64000</v>
      </c>
      <c r="AC1779" s="131">
        <v>105000</v>
      </c>
      <c r="AD1779" s="131">
        <v>64000</v>
      </c>
      <c r="AE1779" s="132">
        <v>105000</v>
      </c>
    </row>
    <row r="1780" spans="1:31" x14ac:dyDescent="0.2">
      <c r="A1780" s="133">
        <v>297</v>
      </c>
      <c r="B1780" s="133" t="s">
        <v>1841</v>
      </c>
      <c r="C1780" s="133" t="s">
        <v>1199</v>
      </c>
      <c r="D1780" s="133" t="s">
        <v>2122</v>
      </c>
      <c r="E1780" s="133" t="s">
        <v>1201</v>
      </c>
      <c r="F1780" s="133" t="s">
        <v>1117</v>
      </c>
      <c r="G1780" s="133" t="s">
        <v>1233</v>
      </c>
      <c r="H1780" s="133" t="s">
        <v>2123</v>
      </c>
      <c r="I1780" s="133" t="s">
        <v>2123</v>
      </c>
      <c r="J1780" s="133" t="s">
        <v>2129</v>
      </c>
      <c r="K1780" s="130" t="s">
        <v>2130</v>
      </c>
      <c r="L1780" s="130" t="s">
        <v>2125</v>
      </c>
      <c r="M1780" s="130" t="s">
        <v>1925</v>
      </c>
      <c r="N1780" s="130" t="s">
        <v>2126</v>
      </c>
      <c r="O1780" s="130" t="s">
        <v>2127</v>
      </c>
      <c r="P1780" s="130" t="s">
        <v>2128</v>
      </c>
      <c r="Q1780" s="130" t="s">
        <v>1127</v>
      </c>
      <c r="R1780" s="130" t="s">
        <v>1191</v>
      </c>
      <c r="S1780" s="130" t="s">
        <v>1157</v>
      </c>
      <c r="T1780" s="130" t="s">
        <v>1893</v>
      </c>
      <c r="U1780" s="130">
        <v>0</v>
      </c>
      <c r="V1780" s="131">
        <v>23000</v>
      </c>
      <c r="W1780" s="131">
        <v>23000</v>
      </c>
      <c r="X1780" s="131">
        <v>23000</v>
      </c>
      <c r="Y1780" s="131">
        <v>0</v>
      </c>
      <c r="Z1780" s="131">
        <v>23000</v>
      </c>
      <c r="AA1780" s="131">
        <v>0</v>
      </c>
      <c r="AB1780" s="131">
        <v>9332.75</v>
      </c>
      <c r="AC1780" s="131">
        <v>13667.25</v>
      </c>
      <c r="AD1780" s="131">
        <v>9332.75</v>
      </c>
      <c r="AE1780" s="132">
        <v>13667.25</v>
      </c>
    </row>
    <row r="1781" spans="1:31" x14ac:dyDescent="0.2">
      <c r="A1781" s="133">
        <v>297</v>
      </c>
      <c r="B1781" s="133" t="s">
        <v>1841</v>
      </c>
      <c r="C1781" s="133" t="s">
        <v>1199</v>
      </c>
      <c r="D1781" s="133" t="s">
        <v>2122</v>
      </c>
      <c r="E1781" s="133" t="s">
        <v>1201</v>
      </c>
      <c r="F1781" s="133" t="s">
        <v>1117</v>
      </c>
      <c r="G1781" s="133" t="s">
        <v>1233</v>
      </c>
      <c r="H1781" s="130" t="s">
        <v>1234</v>
      </c>
      <c r="I1781" s="130" t="s">
        <v>1850</v>
      </c>
      <c r="J1781" s="130" t="s">
        <v>1851</v>
      </c>
      <c r="K1781" s="130" t="s">
        <v>2131</v>
      </c>
      <c r="L1781" s="130" t="s">
        <v>2125</v>
      </c>
      <c r="M1781" s="130" t="s">
        <v>1925</v>
      </c>
      <c r="N1781" s="130" t="s">
        <v>2126</v>
      </c>
      <c r="O1781" s="130" t="s">
        <v>2127</v>
      </c>
      <c r="P1781" s="130" t="s">
        <v>2128</v>
      </c>
      <c r="Q1781" s="130" t="s">
        <v>1127</v>
      </c>
      <c r="R1781" s="130" t="s">
        <v>1191</v>
      </c>
      <c r="S1781" s="130" t="s">
        <v>1157</v>
      </c>
      <c r="T1781" s="130" t="s">
        <v>1893</v>
      </c>
      <c r="U1781" s="130">
        <v>0</v>
      </c>
      <c r="V1781" s="131">
        <v>4500</v>
      </c>
      <c r="W1781" s="131">
        <v>4500</v>
      </c>
      <c r="X1781" s="131">
        <v>4500</v>
      </c>
      <c r="Y1781" s="131">
        <v>0</v>
      </c>
      <c r="Z1781" s="131">
        <v>4500</v>
      </c>
      <c r="AA1781" s="131">
        <v>0</v>
      </c>
      <c r="AB1781" s="131">
        <v>4500</v>
      </c>
      <c r="AC1781" s="131">
        <v>0</v>
      </c>
      <c r="AD1781" s="131">
        <v>4500</v>
      </c>
      <c r="AE1781" s="132">
        <v>0</v>
      </c>
    </row>
    <row r="1782" spans="1:31" x14ac:dyDescent="0.2">
      <c r="A1782" s="133">
        <v>297</v>
      </c>
      <c r="B1782" s="133" t="s">
        <v>1841</v>
      </c>
      <c r="C1782" s="133" t="s">
        <v>1199</v>
      </c>
      <c r="D1782" s="133" t="s">
        <v>2122</v>
      </c>
      <c r="E1782" s="133" t="s">
        <v>1201</v>
      </c>
      <c r="F1782" s="133" t="s">
        <v>1117</v>
      </c>
      <c r="G1782" s="133" t="s">
        <v>1233</v>
      </c>
      <c r="H1782" s="133" t="s">
        <v>1234</v>
      </c>
      <c r="I1782" s="130" t="s">
        <v>2132</v>
      </c>
      <c r="J1782" s="130" t="s">
        <v>2133</v>
      </c>
      <c r="K1782" s="130" t="s">
        <v>2134</v>
      </c>
      <c r="L1782" s="130" t="s">
        <v>2125</v>
      </c>
      <c r="M1782" s="130" t="s">
        <v>1925</v>
      </c>
      <c r="N1782" s="130" t="s">
        <v>2126</v>
      </c>
      <c r="O1782" s="130" t="s">
        <v>2127</v>
      </c>
      <c r="P1782" s="130" t="s">
        <v>2128</v>
      </c>
      <c r="Q1782" s="130" t="s">
        <v>1127</v>
      </c>
      <c r="R1782" s="130" t="s">
        <v>1191</v>
      </c>
      <c r="S1782" s="130" t="s">
        <v>1157</v>
      </c>
      <c r="T1782" s="130" t="s">
        <v>1893</v>
      </c>
      <c r="U1782" s="130">
        <v>15535</v>
      </c>
      <c r="V1782" s="131">
        <v>0</v>
      </c>
      <c r="W1782" s="131">
        <v>15535</v>
      </c>
      <c r="X1782" s="131">
        <v>15535</v>
      </c>
      <c r="Y1782" s="131">
        <v>0</v>
      </c>
      <c r="Z1782" s="131">
        <v>15535</v>
      </c>
      <c r="AA1782" s="131">
        <v>0</v>
      </c>
      <c r="AB1782" s="131">
        <v>0</v>
      </c>
      <c r="AC1782" s="131">
        <v>15535</v>
      </c>
      <c r="AD1782" s="131">
        <v>0</v>
      </c>
      <c r="AE1782" s="132">
        <v>15535</v>
      </c>
    </row>
    <row r="1783" spans="1:31" x14ac:dyDescent="0.2">
      <c r="A1783" s="130">
        <v>298</v>
      </c>
      <c r="B1783" s="130" t="s">
        <v>1841</v>
      </c>
      <c r="C1783" s="130" t="s">
        <v>1199</v>
      </c>
      <c r="D1783" s="130" t="s">
        <v>2135</v>
      </c>
      <c r="E1783" s="130" t="s">
        <v>1201</v>
      </c>
      <c r="F1783" s="130" t="s">
        <v>1117</v>
      </c>
      <c r="G1783" s="130" t="s">
        <v>1276</v>
      </c>
      <c r="H1783" s="130" t="s">
        <v>1277</v>
      </c>
      <c r="I1783" s="130" t="s">
        <v>1278</v>
      </c>
      <c r="J1783" s="130" t="s">
        <v>1278</v>
      </c>
      <c r="K1783" s="130" t="s">
        <v>1279</v>
      </c>
      <c r="L1783" s="130" t="s">
        <v>2136</v>
      </c>
      <c r="M1783" s="130" t="s">
        <v>1925</v>
      </c>
      <c r="N1783" s="130" t="s">
        <v>120</v>
      </c>
      <c r="O1783" s="130" t="s">
        <v>2137</v>
      </c>
      <c r="P1783" s="130" t="s">
        <v>2138</v>
      </c>
      <c r="Q1783" s="130" t="s">
        <v>1127</v>
      </c>
      <c r="R1783" s="130" t="s">
        <v>1191</v>
      </c>
      <c r="S1783" s="130" t="s">
        <v>1157</v>
      </c>
      <c r="T1783" s="130" t="s">
        <v>2139</v>
      </c>
      <c r="U1783" s="130">
        <v>222627</v>
      </c>
      <c r="V1783" s="131">
        <v>-20204</v>
      </c>
      <c r="W1783" s="131">
        <v>202423</v>
      </c>
      <c r="X1783" s="131">
        <v>202423</v>
      </c>
      <c r="Y1783" s="131">
        <v>0</v>
      </c>
      <c r="Z1783" s="131">
        <v>201710.5</v>
      </c>
      <c r="AA1783" s="131">
        <v>712.5</v>
      </c>
      <c r="AB1783" s="131">
        <v>86758.279999999984</v>
      </c>
      <c r="AC1783" s="131">
        <v>115664.72000000002</v>
      </c>
      <c r="AD1783" s="131">
        <v>86758.279999999984</v>
      </c>
      <c r="AE1783" s="132">
        <v>115664.72000000002</v>
      </c>
    </row>
    <row r="1784" spans="1:31" x14ac:dyDescent="0.2">
      <c r="A1784" s="133">
        <v>298</v>
      </c>
      <c r="B1784" s="133" t="s">
        <v>1841</v>
      </c>
      <c r="C1784" s="133" t="s">
        <v>1199</v>
      </c>
      <c r="D1784" s="133" t="s">
        <v>2135</v>
      </c>
      <c r="E1784" s="133" t="s">
        <v>1201</v>
      </c>
      <c r="F1784" s="133" t="s">
        <v>1117</v>
      </c>
      <c r="G1784" s="133" t="s">
        <v>1276</v>
      </c>
      <c r="H1784" s="133" t="s">
        <v>1277</v>
      </c>
      <c r="I1784" s="133" t="s">
        <v>1278</v>
      </c>
      <c r="J1784" s="133" t="s">
        <v>1278</v>
      </c>
      <c r="K1784" s="130" t="s">
        <v>1281</v>
      </c>
      <c r="L1784" s="130" t="s">
        <v>2136</v>
      </c>
      <c r="M1784" s="130" t="s">
        <v>1925</v>
      </c>
      <c r="N1784" s="130" t="s">
        <v>120</v>
      </c>
      <c r="O1784" s="130" t="s">
        <v>2137</v>
      </c>
      <c r="P1784" s="130" t="s">
        <v>2138</v>
      </c>
      <c r="Q1784" s="130" t="s">
        <v>1127</v>
      </c>
      <c r="R1784" s="130" t="s">
        <v>1191</v>
      </c>
      <c r="S1784" s="130" t="s">
        <v>1157</v>
      </c>
      <c r="T1784" s="130" t="s">
        <v>2139</v>
      </c>
      <c r="U1784" s="130">
        <v>58874</v>
      </c>
      <c r="V1784" s="131">
        <v>21310</v>
      </c>
      <c r="W1784" s="131">
        <v>80184</v>
      </c>
      <c r="X1784" s="131">
        <v>80184</v>
      </c>
      <c r="Y1784" s="131">
        <v>0</v>
      </c>
      <c r="Z1784" s="131">
        <v>80184</v>
      </c>
      <c r="AA1784" s="131">
        <v>0</v>
      </c>
      <c r="AB1784" s="131">
        <v>40257.599999999999</v>
      </c>
      <c r="AC1784" s="131">
        <v>39926.400000000001</v>
      </c>
      <c r="AD1784" s="131">
        <v>40257.599999999999</v>
      </c>
      <c r="AE1784" s="132">
        <v>39926.400000000001</v>
      </c>
    </row>
    <row r="1785" spans="1:31" x14ac:dyDescent="0.2">
      <c r="A1785" s="133">
        <v>298</v>
      </c>
      <c r="B1785" s="133" t="s">
        <v>1841</v>
      </c>
      <c r="C1785" s="133" t="s">
        <v>1199</v>
      </c>
      <c r="D1785" s="133" t="s">
        <v>2135</v>
      </c>
      <c r="E1785" s="133" t="s">
        <v>1201</v>
      </c>
      <c r="F1785" s="133" t="s">
        <v>1117</v>
      </c>
      <c r="G1785" s="133" t="s">
        <v>1276</v>
      </c>
      <c r="H1785" s="133" t="s">
        <v>1277</v>
      </c>
      <c r="I1785" s="133" t="s">
        <v>1278</v>
      </c>
      <c r="J1785" s="133" t="s">
        <v>1278</v>
      </c>
      <c r="K1785" s="130" t="s">
        <v>1282</v>
      </c>
      <c r="L1785" s="130" t="s">
        <v>2136</v>
      </c>
      <c r="M1785" s="130" t="s">
        <v>1925</v>
      </c>
      <c r="N1785" s="130" t="s">
        <v>120</v>
      </c>
      <c r="O1785" s="130" t="s">
        <v>2137</v>
      </c>
      <c r="P1785" s="130" t="s">
        <v>2138</v>
      </c>
      <c r="Q1785" s="130" t="s">
        <v>1127</v>
      </c>
      <c r="R1785" s="130" t="s">
        <v>1191</v>
      </c>
      <c r="S1785" s="130" t="s">
        <v>1157</v>
      </c>
      <c r="T1785" s="130" t="s">
        <v>2139</v>
      </c>
      <c r="U1785" s="130">
        <v>20689</v>
      </c>
      <c r="V1785" s="131">
        <v>0</v>
      </c>
      <c r="W1785" s="131">
        <v>20689</v>
      </c>
      <c r="X1785" s="131">
        <v>20689</v>
      </c>
      <c r="Y1785" s="131">
        <v>0</v>
      </c>
      <c r="Z1785" s="131">
        <v>20689</v>
      </c>
      <c r="AA1785" s="131">
        <v>0</v>
      </c>
      <c r="AB1785" s="131">
        <v>12723.57</v>
      </c>
      <c r="AC1785" s="131">
        <v>7965.43</v>
      </c>
      <c r="AD1785" s="131">
        <v>12723.57</v>
      </c>
      <c r="AE1785" s="132">
        <v>7965.43</v>
      </c>
    </row>
    <row r="1786" spans="1:31" x14ac:dyDescent="0.2">
      <c r="A1786" s="133">
        <v>298</v>
      </c>
      <c r="B1786" s="133" t="s">
        <v>1841</v>
      </c>
      <c r="C1786" s="133" t="s">
        <v>1199</v>
      </c>
      <c r="D1786" s="133" t="s">
        <v>2135</v>
      </c>
      <c r="E1786" s="133" t="s">
        <v>1201</v>
      </c>
      <c r="F1786" s="133" t="s">
        <v>1117</v>
      </c>
      <c r="G1786" s="133" t="s">
        <v>1276</v>
      </c>
      <c r="H1786" s="133" t="s">
        <v>1277</v>
      </c>
      <c r="I1786" s="133" t="s">
        <v>1278</v>
      </c>
      <c r="J1786" s="130" t="s">
        <v>1283</v>
      </c>
      <c r="K1786" s="130" t="s">
        <v>1284</v>
      </c>
      <c r="L1786" s="130" t="s">
        <v>2136</v>
      </c>
      <c r="M1786" s="130" t="s">
        <v>1925</v>
      </c>
      <c r="N1786" s="130" t="s">
        <v>120</v>
      </c>
      <c r="O1786" s="130" t="s">
        <v>2137</v>
      </c>
      <c r="P1786" s="130" t="s">
        <v>2138</v>
      </c>
      <c r="Q1786" s="130" t="s">
        <v>1127</v>
      </c>
      <c r="R1786" s="130" t="s">
        <v>1191</v>
      </c>
      <c r="S1786" s="130" t="s">
        <v>1157</v>
      </c>
      <c r="T1786" s="130" t="s">
        <v>2139</v>
      </c>
      <c r="U1786" s="130">
        <v>345861</v>
      </c>
      <c r="V1786" s="131">
        <v>0</v>
      </c>
      <c r="W1786" s="131">
        <v>345861</v>
      </c>
      <c r="X1786" s="131">
        <v>345861</v>
      </c>
      <c r="Y1786" s="131">
        <v>0</v>
      </c>
      <c r="Z1786" s="131">
        <v>345861</v>
      </c>
      <c r="AA1786" s="131">
        <v>0</v>
      </c>
      <c r="AB1786" s="131">
        <v>126871</v>
      </c>
      <c r="AC1786" s="131">
        <v>218990</v>
      </c>
      <c r="AD1786" s="131">
        <v>126871</v>
      </c>
      <c r="AE1786" s="132">
        <v>218990</v>
      </c>
    </row>
    <row r="1787" spans="1:31" x14ac:dyDescent="0.2">
      <c r="A1787" s="133">
        <v>298</v>
      </c>
      <c r="B1787" s="133" t="s">
        <v>1841</v>
      </c>
      <c r="C1787" s="133" t="s">
        <v>1199</v>
      </c>
      <c r="D1787" s="133" t="s">
        <v>2135</v>
      </c>
      <c r="E1787" s="133" t="s">
        <v>1201</v>
      </c>
      <c r="F1787" s="133" t="s">
        <v>1117</v>
      </c>
      <c r="G1787" s="133" t="s">
        <v>1276</v>
      </c>
      <c r="H1787" s="133" t="s">
        <v>1277</v>
      </c>
      <c r="I1787" s="130" t="s">
        <v>1285</v>
      </c>
      <c r="J1787" s="130" t="s">
        <v>1286</v>
      </c>
      <c r="K1787" s="130" t="s">
        <v>1287</v>
      </c>
      <c r="L1787" s="130" t="s">
        <v>2136</v>
      </c>
      <c r="M1787" s="130" t="s">
        <v>1925</v>
      </c>
      <c r="N1787" s="130" t="s">
        <v>120</v>
      </c>
      <c r="O1787" s="130" t="s">
        <v>2137</v>
      </c>
      <c r="P1787" s="130" t="s">
        <v>2138</v>
      </c>
      <c r="Q1787" s="130" t="s">
        <v>1127</v>
      </c>
      <c r="R1787" s="130" t="s">
        <v>1191</v>
      </c>
      <c r="S1787" s="130" t="s">
        <v>1157</v>
      </c>
      <c r="T1787" s="130" t="s">
        <v>2139</v>
      </c>
      <c r="U1787" s="130">
        <v>41011</v>
      </c>
      <c r="V1787" s="131">
        <v>9000</v>
      </c>
      <c r="W1787" s="131">
        <v>50011</v>
      </c>
      <c r="X1787" s="131">
        <v>50011</v>
      </c>
      <c r="Y1787" s="131">
        <v>0</v>
      </c>
      <c r="Z1787" s="131">
        <v>50011</v>
      </c>
      <c r="AA1787" s="131">
        <v>0</v>
      </c>
      <c r="AB1787" s="131">
        <v>18604.63</v>
      </c>
      <c r="AC1787" s="131">
        <v>31406.37</v>
      </c>
      <c r="AD1787" s="131">
        <v>18604.63</v>
      </c>
      <c r="AE1787" s="132">
        <v>31406.37</v>
      </c>
    </row>
    <row r="1788" spans="1:31" x14ac:dyDescent="0.2">
      <c r="A1788" s="133">
        <v>298</v>
      </c>
      <c r="B1788" s="133" t="s">
        <v>1841</v>
      </c>
      <c r="C1788" s="133" t="s">
        <v>1199</v>
      </c>
      <c r="D1788" s="133" t="s">
        <v>2135</v>
      </c>
      <c r="E1788" s="133" t="s">
        <v>1201</v>
      </c>
      <c r="F1788" s="133" t="s">
        <v>1117</v>
      </c>
      <c r="G1788" s="133" t="s">
        <v>1276</v>
      </c>
      <c r="H1788" s="133" t="s">
        <v>1277</v>
      </c>
      <c r="I1788" s="130" t="s">
        <v>1288</v>
      </c>
      <c r="J1788" s="130" t="s">
        <v>1289</v>
      </c>
      <c r="K1788" s="130" t="s">
        <v>1290</v>
      </c>
      <c r="L1788" s="130" t="s">
        <v>2136</v>
      </c>
      <c r="M1788" s="130" t="s">
        <v>1925</v>
      </c>
      <c r="N1788" s="130" t="s">
        <v>120</v>
      </c>
      <c r="O1788" s="130" t="s">
        <v>2137</v>
      </c>
      <c r="P1788" s="130" t="s">
        <v>2138</v>
      </c>
      <c r="Q1788" s="130" t="s">
        <v>1127</v>
      </c>
      <c r="R1788" s="130" t="s">
        <v>1191</v>
      </c>
      <c r="S1788" s="130" t="s">
        <v>1157</v>
      </c>
      <c r="T1788" s="130" t="s">
        <v>2139</v>
      </c>
      <c r="U1788" s="130">
        <v>12000</v>
      </c>
      <c r="V1788" s="131">
        <v>0</v>
      </c>
      <c r="W1788" s="131">
        <v>12000</v>
      </c>
      <c r="X1788" s="131">
        <v>12000</v>
      </c>
      <c r="Y1788" s="131">
        <v>0</v>
      </c>
      <c r="Z1788" s="131">
        <v>12000</v>
      </c>
      <c r="AA1788" s="131">
        <v>0</v>
      </c>
      <c r="AB1788" s="131">
        <v>0</v>
      </c>
      <c r="AC1788" s="131">
        <v>12000</v>
      </c>
      <c r="AD1788" s="131">
        <v>0</v>
      </c>
      <c r="AE1788" s="132">
        <v>12000</v>
      </c>
    </row>
    <row r="1789" spans="1:31" x14ac:dyDescent="0.2">
      <c r="A1789" s="133">
        <v>298</v>
      </c>
      <c r="B1789" s="133" t="s">
        <v>1841</v>
      </c>
      <c r="C1789" s="133" t="s">
        <v>1199</v>
      </c>
      <c r="D1789" s="133" t="s">
        <v>2135</v>
      </c>
      <c r="E1789" s="133" t="s">
        <v>1201</v>
      </c>
      <c r="F1789" s="133" t="s">
        <v>1117</v>
      </c>
      <c r="G1789" s="133" t="s">
        <v>1276</v>
      </c>
      <c r="H1789" s="133" t="s">
        <v>1277</v>
      </c>
      <c r="I1789" s="133" t="s">
        <v>1288</v>
      </c>
      <c r="J1789" s="133" t="s">
        <v>1289</v>
      </c>
      <c r="K1789" s="130" t="s">
        <v>1291</v>
      </c>
      <c r="L1789" s="130" t="s">
        <v>2136</v>
      </c>
      <c r="M1789" s="130" t="s">
        <v>1925</v>
      </c>
      <c r="N1789" s="130" t="s">
        <v>120</v>
      </c>
      <c r="O1789" s="130" t="s">
        <v>2137</v>
      </c>
      <c r="P1789" s="130" t="s">
        <v>2138</v>
      </c>
      <c r="Q1789" s="130" t="s">
        <v>1127</v>
      </c>
      <c r="R1789" s="130" t="s">
        <v>1191</v>
      </c>
      <c r="S1789" s="130" t="s">
        <v>1157</v>
      </c>
      <c r="T1789" s="130" t="s">
        <v>2139</v>
      </c>
      <c r="U1789" s="130">
        <v>7800</v>
      </c>
      <c r="V1789" s="131">
        <v>0</v>
      </c>
      <c r="W1789" s="131">
        <v>7800</v>
      </c>
      <c r="X1789" s="131">
        <v>7800</v>
      </c>
      <c r="Y1789" s="131">
        <v>0</v>
      </c>
      <c r="Z1789" s="131">
        <v>7800</v>
      </c>
      <c r="AA1789" s="131">
        <v>0</v>
      </c>
      <c r="AB1789" s="131">
        <v>5449</v>
      </c>
      <c r="AC1789" s="131">
        <v>2351</v>
      </c>
      <c r="AD1789" s="131">
        <v>5449</v>
      </c>
      <c r="AE1789" s="132">
        <v>2351</v>
      </c>
    </row>
    <row r="1790" spans="1:31" x14ac:dyDescent="0.2">
      <c r="A1790" s="133">
        <v>298</v>
      </c>
      <c r="B1790" s="133" t="s">
        <v>1841</v>
      </c>
      <c r="C1790" s="133" t="s">
        <v>1199</v>
      </c>
      <c r="D1790" s="133" t="s">
        <v>2135</v>
      </c>
      <c r="E1790" s="133" t="s">
        <v>1201</v>
      </c>
      <c r="F1790" s="133" t="s">
        <v>1117</v>
      </c>
      <c r="G1790" s="133" t="s">
        <v>1276</v>
      </c>
      <c r="H1790" s="133" t="s">
        <v>1277</v>
      </c>
      <c r="I1790" s="133" t="s">
        <v>1288</v>
      </c>
      <c r="J1790" s="133" t="s">
        <v>1289</v>
      </c>
      <c r="K1790" s="130" t="s">
        <v>1292</v>
      </c>
      <c r="L1790" s="130" t="s">
        <v>2136</v>
      </c>
      <c r="M1790" s="130" t="s">
        <v>1925</v>
      </c>
      <c r="N1790" s="130" t="s">
        <v>120</v>
      </c>
      <c r="O1790" s="130" t="s">
        <v>2137</v>
      </c>
      <c r="P1790" s="130" t="s">
        <v>2138</v>
      </c>
      <c r="Q1790" s="130" t="s">
        <v>1127</v>
      </c>
      <c r="R1790" s="130" t="s">
        <v>1191</v>
      </c>
      <c r="S1790" s="130" t="s">
        <v>1157</v>
      </c>
      <c r="T1790" s="130" t="s">
        <v>2139</v>
      </c>
      <c r="U1790" s="130">
        <v>1800</v>
      </c>
      <c r="V1790" s="131">
        <v>0</v>
      </c>
      <c r="W1790" s="131">
        <v>1800</v>
      </c>
      <c r="X1790" s="131">
        <v>1800</v>
      </c>
      <c r="Y1790" s="131">
        <v>0</v>
      </c>
      <c r="Z1790" s="131">
        <v>1800</v>
      </c>
      <c r="AA1790" s="131">
        <v>0</v>
      </c>
      <c r="AB1790" s="131">
        <v>0</v>
      </c>
      <c r="AC1790" s="131">
        <v>1800</v>
      </c>
      <c r="AD1790" s="131">
        <v>0</v>
      </c>
      <c r="AE1790" s="132">
        <v>1800</v>
      </c>
    </row>
    <row r="1791" spans="1:31" x14ac:dyDescent="0.2">
      <c r="A1791" s="133">
        <v>298</v>
      </c>
      <c r="B1791" s="133" t="s">
        <v>1841</v>
      </c>
      <c r="C1791" s="133" t="s">
        <v>1199</v>
      </c>
      <c r="D1791" s="133" t="s">
        <v>2135</v>
      </c>
      <c r="E1791" s="133" t="s">
        <v>1201</v>
      </c>
      <c r="F1791" s="133" t="s">
        <v>1117</v>
      </c>
      <c r="G1791" s="133" t="s">
        <v>1276</v>
      </c>
      <c r="H1791" s="130" t="s">
        <v>1293</v>
      </c>
      <c r="I1791" s="130" t="s">
        <v>1294</v>
      </c>
      <c r="J1791" s="130" t="s">
        <v>1295</v>
      </c>
      <c r="K1791" s="130" t="s">
        <v>1296</v>
      </c>
      <c r="L1791" s="130" t="s">
        <v>2136</v>
      </c>
      <c r="M1791" s="130" t="s">
        <v>1925</v>
      </c>
      <c r="N1791" s="130" t="s">
        <v>120</v>
      </c>
      <c r="O1791" s="130" t="s">
        <v>2137</v>
      </c>
      <c r="P1791" s="130" t="s">
        <v>2138</v>
      </c>
      <c r="Q1791" s="130" t="s">
        <v>1127</v>
      </c>
      <c r="R1791" s="130" t="s">
        <v>1191</v>
      </c>
      <c r="S1791" s="130" t="s">
        <v>1157</v>
      </c>
      <c r="T1791" s="130" t="s">
        <v>2139</v>
      </c>
      <c r="U1791" s="130">
        <v>8550</v>
      </c>
      <c r="V1791" s="131">
        <v>0</v>
      </c>
      <c r="W1791" s="131">
        <v>8550</v>
      </c>
      <c r="X1791" s="131">
        <v>8480</v>
      </c>
      <c r="Y1791" s="131">
        <v>70</v>
      </c>
      <c r="Z1791" s="131">
        <v>8480</v>
      </c>
      <c r="AA1791" s="131">
        <v>70</v>
      </c>
      <c r="AB1791" s="131">
        <v>8480</v>
      </c>
      <c r="AC1791" s="131">
        <v>70</v>
      </c>
      <c r="AD1791" s="131">
        <v>0</v>
      </c>
      <c r="AE1791" s="132">
        <v>8550</v>
      </c>
    </row>
    <row r="1792" spans="1:31" x14ac:dyDescent="0.2">
      <c r="A1792" s="133">
        <v>298</v>
      </c>
      <c r="B1792" s="133" t="s">
        <v>1841</v>
      </c>
      <c r="C1792" s="133" t="s">
        <v>1199</v>
      </c>
      <c r="D1792" s="133" t="s">
        <v>2135</v>
      </c>
      <c r="E1792" s="133" t="s">
        <v>1201</v>
      </c>
      <c r="F1792" s="133" t="s">
        <v>1117</v>
      </c>
      <c r="G1792" s="133" t="s">
        <v>1276</v>
      </c>
      <c r="H1792" s="130" t="s">
        <v>1297</v>
      </c>
      <c r="I1792" s="130" t="s">
        <v>1298</v>
      </c>
      <c r="J1792" s="130" t="s">
        <v>1298</v>
      </c>
      <c r="K1792" s="130" t="s">
        <v>1299</v>
      </c>
      <c r="L1792" s="130" t="s">
        <v>2136</v>
      </c>
      <c r="M1792" s="130" t="s">
        <v>1925</v>
      </c>
      <c r="N1792" s="130" t="s">
        <v>120</v>
      </c>
      <c r="O1792" s="130" t="s">
        <v>2137</v>
      </c>
      <c r="P1792" s="130" t="s">
        <v>2138</v>
      </c>
      <c r="Q1792" s="130" t="s">
        <v>1127</v>
      </c>
      <c r="R1792" s="130" t="s">
        <v>1191</v>
      </c>
      <c r="S1792" s="130" t="s">
        <v>1157</v>
      </c>
      <c r="T1792" s="130" t="s">
        <v>2139</v>
      </c>
      <c r="U1792" s="130">
        <v>29271</v>
      </c>
      <c r="V1792" s="131">
        <v>327</v>
      </c>
      <c r="W1792" s="131">
        <v>29598</v>
      </c>
      <c r="X1792" s="131">
        <v>29598</v>
      </c>
      <c r="Y1792" s="131">
        <v>0</v>
      </c>
      <c r="Z1792" s="131">
        <v>29598</v>
      </c>
      <c r="AA1792" s="131">
        <v>0</v>
      </c>
      <c r="AB1792" s="131">
        <v>12387</v>
      </c>
      <c r="AC1792" s="131">
        <v>17211</v>
      </c>
      <c r="AD1792" s="131">
        <v>12387</v>
      </c>
      <c r="AE1792" s="132">
        <v>17211</v>
      </c>
    </row>
    <row r="1793" spans="1:31" x14ac:dyDescent="0.2">
      <c r="A1793" s="133">
        <v>298</v>
      </c>
      <c r="B1793" s="133" t="s">
        <v>1841</v>
      </c>
      <c r="C1793" s="133" t="s">
        <v>1199</v>
      </c>
      <c r="D1793" s="133" t="s">
        <v>2135</v>
      </c>
      <c r="E1793" s="133" t="s">
        <v>1201</v>
      </c>
      <c r="F1793" s="133" t="s">
        <v>1117</v>
      </c>
      <c r="G1793" s="133" t="s">
        <v>1276</v>
      </c>
      <c r="H1793" s="133" t="s">
        <v>1297</v>
      </c>
      <c r="I1793" s="133" t="s">
        <v>1298</v>
      </c>
      <c r="J1793" s="133" t="s">
        <v>1298</v>
      </c>
      <c r="K1793" s="130" t="s">
        <v>1300</v>
      </c>
      <c r="L1793" s="130" t="s">
        <v>2136</v>
      </c>
      <c r="M1793" s="130" t="s">
        <v>1925</v>
      </c>
      <c r="N1793" s="130" t="s">
        <v>120</v>
      </c>
      <c r="O1793" s="130" t="s">
        <v>2137</v>
      </c>
      <c r="P1793" s="130" t="s">
        <v>2138</v>
      </c>
      <c r="Q1793" s="130" t="s">
        <v>1127</v>
      </c>
      <c r="R1793" s="130" t="s">
        <v>1191</v>
      </c>
      <c r="S1793" s="130" t="s">
        <v>1157</v>
      </c>
      <c r="T1793" s="130" t="s">
        <v>2139</v>
      </c>
      <c r="U1793" s="130">
        <v>3691</v>
      </c>
      <c r="V1793" s="131">
        <v>810</v>
      </c>
      <c r="W1793" s="131">
        <v>4501</v>
      </c>
      <c r="X1793" s="131">
        <v>4501</v>
      </c>
      <c r="Y1793" s="131">
        <v>0</v>
      </c>
      <c r="Z1793" s="131">
        <v>4501</v>
      </c>
      <c r="AA1793" s="131">
        <v>0</v>
      </c>
      <c r="AB1793" s="131">
        <v>1676.18</v>
      </c>
      <c r="AC1793" s="131">
        <v>2824.8199999999997</v>
      </c>
      <c r="AD1793" s="131">
        <v>1676</v>
      </c>
      <c r="AE1793" s="132">
        <v>2825</v>
      </c>
    </row>
    <row r="1794" spans="1:31" x14ac:dyDescent="0.2">
      <c r="A1794" s="133">
        <v>298</v>
      </c>
      <c r="B1794" s="133" t="s">
        <v>1841</v>
      </c>
      <c r="C1794" s="133" t="s">
        <v>1199</v>
      </c>
      <c r="D1794" s="133" t="s">
        <v>2135</v>
      </c>
      <c r="E1794" s="133" t="s">
        <v>1201</v>
      </c>
      <c r="F1794" s="133" t="s">
        <v>1117</v>
      </c>
      <c r="G1794" s="133" t="s">
        <v>1276</v>
      </c>
      <c r="H1794" s="130" t="s">
        <v>1514</v>
      </c>
      <c r="I1794" s="130" t="s">
        <v>1515</v>
      </c>
      <c r="J1794" s="130" t="s">
        <v>1515</v>
      </c>
      <c r="K1794" s="130" t="s">
        <v>1516</v>
      </c>
      <c r="L1794" s="130" t="s">
        <v>2136</v>
      </c>
      <c r="M1794" s="130" t="s">
        <v>1925</v>
      </c>
      <c r="N1794" s="130" t="s">
        <v>120</v>
      </c>
      <c r="O1794" s="130" t="s">
        <v>2137</v>
      </c>
      <c r="P1794" s="130" t="s">
        <v>2138</v>
      </c>
      <c r="Q1794" s="130" t="s">
        <v>1127</v>
      </c>
      <c r="R1794" s="130" t="s">
        <v>1191</v>
      </c>
      <c r="S1794" s="130" t="s">
        <v>1157</v>
      </c>
      <c r="T1794" s="130" t="s">
        <v>2139</v>
      </c>
      <c r="U1794" s="130">
        <v>0</v>
      </c>
      <c r="V1794" s="131">
        <v>304553</v>
      </c>
      <c r="W1794" s="131">
        <v>304553</v>
      </c>
      <c r="X1794" s="131">
        <v>304552.36</v>
      </c>
      <c r="Y1794" s="131">
        <v>0.64000000001396984</v>
      </c>
      <c r="Z1794" s="131">
        <v>302309</v>
      </c>
      <c r="AA1794" s="131">
        <v>2244</v>
      </c>
      <c r="AB1794" s="131">
        <v>302309</v>
      </c>
      <c r="AC1794" s="131">
        <v>2244</v>
      </c>
      <c r="AD1794" s="131">
        <v>302309</v>
      </c>
      <c r="AE1794" s="132">
        <v>2244</v>
      </c>
    </row>
    <row r="1795" spans="1:31" x14ac:dyDescent="0.2">
      <c r="A1795" s="133">
        <v>298</v>
      </c>
      <c r="B1795" s="133" t="s">
        <v>1841</v>
      </c>
      <c r="C1795" s="133" t="s">
        <v>1199</v>
      </c>
      <c r="D1795" s="133" t="s">
        <v>2135</v>
      </c>
      <c r="E1795" s="133" t="s">
        <v>1201</v>
      </c>
      <c r="F1795" s="133" t="s">
        <v>1117</v>
      </c>
      <c r="G1795" s="133" t="s">
        <v>1276</v>
      </c>
      <c r="H1795" s="133" t="s">
        <v>1514</v>
      </c>
      <c r="I1795" s="133" t="s">
        <v>1515</v>
      </c>
      <c r="J1795" s="133" t="s">
        <v>1515</v>
      </c>
      <c r="K1795" s="130" t="s">
        <v>1517</v>
      </c>
      <c r="L1795" s="130" t="s">
        <v>2136</v>
      </c>
      <c r="M1795" s="130" t="s">
        <v>1925</v>
      </c>
      <c r="N1795" s="130" t="s">
        <v>120</v>
      </c>
      <c r="O1795" s="130" t="s">
        <v>2137</v>
      </c>
      <c r="P1795" s="130" t="s">
        <v>2138</v>
      </c>
      <c r="Q1795" s="130" t="s">
        <v>1127</v>
      </c>
      <c r="R1795" s="130" t="s">
        <v>1191</v>
      </c>
      <c r="S1795" s="130" t="s">
        <v>1157</v>
      </c>
      <c r="T1795" s="130" t="s">
        <v>2139</v>
      </c>
      <c r="U1795" s="130">
        <v>0</v>
      </c>
      <c r="V1795" s="131">
        <v>4171</v>
      </c>
      <c r="W1795" s="131">
        <v>4171</v>
      </c>
      <c r="X1795" s="131">
        <v>4170.0600000000004</v>
      </c>
      <c r="Y1795" s="131">
        <v>0.93999999999959982</v>
      </c>
      <c r="Z1795" s="131">
        <v>4170.0600000000004</v>
      </c>
      <c r="AA1795" s="131">
        <v>0.93999999999959982</v>
      </c>
      <c r="AB1795" s="131">
        <v>4170.0600000000004</v>
      </c>
      <c r="AC1795" s="131">
        <v>0.93999999999959982</v>
      </c>
      <c r="AD1795" s="131">
        <v>4170.0600000000004</v>
      </c>
      <c r="AE1795" s="132">
        <v>0.93999999999959982</v>
      </c>
    </row>
    <row r="1796" spans="1:31" x14ac:dyDescent="0.2">
      <c r="A1796" s="133">
        <v>298</v>
      </c>
      <c r="B1796" s="133" t="s">
        <v>1841</v>
      </c>
      <c r="C1796" s="133" t="s">
        <v>1199</v>
      </c>
      <c r="D1796" s="133" t="s">
        <v>2135</v>
      </c>
      <c r="E1796" s="133" t="s">
        <v>1201</v>
      </c>
      <c r="F1796" s="133" t="s">
        <v>1117</v>
      </c>
      <c r="G1796" s="133" t="s">
        <v>1276</v>
      </c>
      <c r="H1796" s="133" t="s">
        <v>1514</v>
      </c>
      <c r="I1796" s="133" t="s">
        <v>1515</v>
      </c>
      <c r="J1796" s="133" t="s">
        <v>1515</v>
      </c>
      <c r="K1796" s="130" t="s">
        <v>1518</v>
      </c>
      <c r="L1796" s="130" t="s">
        <v>2136</v>
      </c>
      <c r="M1796" s="130" t="s">
        <v>1925</v>
      </c>
      <c r="N1796" s="130" t="s">
        <v>120</v>
      </c>
      <c r="O1796" s="130" t="s">
        <v>2137</v>
      </c>
      <c r="P1796" s="130" t="s">
        <v>2138</v>
      </c>
      <c r="Q1796" s="130" t="s">
        <v>1127</v>
      </c>
      <c r="R1796" s="130" t="s">
        <v>1191</v>
      </c>
      <c r="S1796" s="130" t="s">
        <v>1157</v>
      </c>
      <c r="T1796" s="130" t="s">
        <v>2139</v>
      </c>
      <c r="U1796" s="130">
        <v>0</v>
      </c>
      <c r="V1796" s="131">
        <v>4056</v>
      </c>
      <c r="W1796" s="131">
        <v>4056</v>
      </c>
      <c r="X1796" s="131">
        <v>4055.78</v>
      </c>
      <c r="Y1796" s="131">
        <v>0.21999999999979991</v>
      </c>
      <c r="Z1796" s="131">
        <v>3063.2</v>
      </c>
      <c r="AA1796" s="131">
        <v>992.80000000000018</v>
      </c>
      <c r="AB1796" s="131">
        <v>3063.2</v>
      </c>
      <c r="AC1796" s="131">
        <v>992.80000000000018</v>
      </c>
      <c r="AD1796" s="131">
        <v>3063.2</v>
      </c>
      <c r="AE1796" s="132">
        <v>992.80000000000018</v>
      </c>
    </row>
    <row r="1797" spans="1:31" x14ac:dyDescent="0.2">
      <c r="A1797" s="133">
        <v>298</v>
      </c>
      <c r="B1797" s="133" t="s">
        <v>1841</v>
      </c>
      <c r="C1797" s="133" t="s">
        <v>1199</v>
      </c>
      <c r="D1797" s="133" t="s">
        <v>2135</v>
      </c>
      <c r="E1797" s="133" t="s">
        <v>1201</v>
      </c>
      <c r="F1797" s="133" t="s">
        <v>1117</v>
      </c>
      <c r="G1797" s="130" t="s">
        <v>1202</v>
      </c>
      <c r="H1797" s="130" t="s">
        <v>1216</v>
      </c>
      <c r="I1797" s="130" t="s">
        <v>1301</v>
      </c>
      <c r="J1797" s="130" t="s">
        <v>1301</v>
      </c>
      <c r="K1797" s="130" t="s">
        <v>1302</v>
      </c>
      <c r="L1797" s="130" t="s">
        <v>2136</v>
      </c>
      <c r="M1797" s="130" t="s">
        <v>1925</v>
      </c>
      <c r="N1797" s="130" t="s">
        <v>120</v>
      </c>
      <c r="O1797" s="130" t="s">
        <v>2137</v>
      </c>
      <c r="P1797" s="130" t="s">
        <v>2138</v>
      </c>
      <c r="Q1797" s="130" t="s">
        <v>1127</v>
      </c>
      <c r="R1797" s="130" t="s">
        <v>1191</v>
      </c>
      <c r="S1797" s="130" t="s">
        <v>1157</v>
      </c>
      <c r="T1797" s="130" t="s">
        <v>2139</v>
      </c>
      <c r="U1797" s="130">
        <v>18000</v>
      </c>
      <c r="V1797" s="131">
        <v>0</v>
      </c>
      <c r="W1797" s="131">
        <v>18000</v>
      </c>
      <c r="X1797" s="131">
        <v>0</v>
      </c>
      <c r="Y1797" s="131">
        <v>18000</v>
      </c>
      <c r="Z1797" s="131">
        <v>0</v>
      </c>
      <c r="AA1797" s="131">
        <v>18000</v>
      </c>
      <c r="AB1797" s="131">
        <v>0</v>
      </c>
      <c r="AC1797" s="131">
        <v>18000</v>
      </c>
      <c r="AD1797" s="131">
        <v>0</v>
      </c>
      <c r="AE1797" s="132">
        <v>18000</v>
      </c>
    </row>
    <row r="1798" spans="1:31" x14ac:dyDescent="0.2">
      <c r="A1798" s="133">
        <v>298</v>
      </c>
      <c r="B1798" s="133" t="s">
        <v>1841</v>
      </c>
      <c r="C1798" s="133" t="s">
        <v>1199</v>
      </c>
      <c r="D1798" s="133" t="s">
        <v>2135</v>
      </c>
      <c r="E1798" s="133" t="s">
        <v>1201</v>
      </c>
      <c r="F1798" s="133" t="s">
        <v>1117</v>
      </c>
      <c r="G1798" s="133" t="s">
        <v>1202</v>
      </c>
      <c r="H1798" s="133" t="s">
        <v>1216</v>
      </c>
      <c r="I1798" s="130" t="s">
        <v>1217</v>
      </c>
      <c r="J1798" s="130" t="s">
        <v>1218</v>
      </c>
      <c r="K1798" s="130" t="s">
        <v>1219</v>
      </c>
      <c r="L1798" s="130" t="s">
        <v>2136</v>
      </c>
      <c r="M1798" s="130" t="s">
        <v>1925</v>
      </c>
      <c r="N1798" s="130" t="s">
        <v>120</v>
      </c>
      <c r="O1798" s="130" t="s">
        <v>2137</v>
      </c>
      <c r="P1798" s="130" t="s">
        <v>2138</v>
      </c>
      <c r="Q1798" s="130" t="s">
        <v>1127</v>
      </c>
      <c r="R1798" s="130" t="s">
        <v>1191</v>
      </c>
      <c r="S1798" s="130" t="s">
        <v>1157</v>
      </c>
      <c r="T1798" s="130" t="s">
        <v>2139</v>
      </c>
      <c r="U1798" s="130">
        <v>5000</v>
      </c>
      <c r="V1798" s="131">
        <v>0</v>
      </c>
      <c r="W1798" s="131">
        <v>5000</v>
      </c>
      <c r="X1798" s="131">
        <v>1050</v>
      </c>
      <c r="Y1798" s="131">
        <v>3950</v>
      </c>
      <c r="Z1798" s="131">
        <v>1050</v>
      </c>
      <c r="AA1798" s="131">
        <v>3950</v>
      </c>
      <c r="AB1798" s="131">
        <v>1050</v>
      </c>
      <c r="AC1798" s="131">
        <v>3950</v>
      </c>
      <c r="AD1798" s="131">
        <v>0</v>
      </c>
      <c r="AE1798" s="132">
        <v>5000</v>
      </c>
    </row>
    <row r="1799" spans="1:31" x14ac:dyDescent="0.2">
      <c r="A1799" s="133">
        <v>298</v>
      </c>
      <c r="B1799" s="133" t="s">
        <v>1841</v>
      </c>
      <c r="C1799" s="133" t="s">
        <v>1199</v>
      </c>
      <c r="D1799" s="133" t="s">
        <v>2135</v>
      </c>
      <c r="E1799" s="133" t="s">
        <v>1201</v>
      </c>
      <c r="F1799" s="133" t="s">
        <v>1117</v>
      </c>
      <c r="G1799" s="133" t="s">
        <v>1202</v>
      </c>
      <c r="H1799" s="133" t="s">
        <v>1216</v>
      </c>
      <c r="I1799" s="130" t="s">
        <v>1242</v>
      </c>
      <c r="J1799" s="130" t="s">
        <v>1243</v>
      </c>
      <c r="K1799" s="130" t="s">
        <v>1303</v>
      </c>
      <c r="L1799" s="130" t="s">
        <v>2136</v>
      </c>
      <c r="M1799" s="130" t="s">
        <v>1925</v>
      </c>
      <c r="N1799" s="130" t="s">
        <v>120</v>
      </c>
      <c r="O1799" s="130" t="s">
        <v>2137</v>
      </c>
      <c r="P1799" s="130" t="s">
        <v>2138</v>
      </c>
      <c r="Q1799" s="130" t="s">
        <v>1127</v>
      </c>
      <c r="R1799" s="130" t="s">
        <v>1191</v>
      </c>
      <c r="S1799" s="130" t="s">
        <v>1157</v>
      </c>
      <c r="T1799" s="130" t="s">
        <v>2139</v>
      </c>
      <c r="U1799" s="130">
        <v>3000</v>
      </c>
      <c r="V1799" s="131">
        <v>-685</v>
      </c>
      <c r="W1799" s="131">
        <v>2315</v>
      </c>
      <c r="X1799" s="131">
        <v>2314.6</v>
      </c>
      <c r="Y1799" s="131">
        <v>0.40000000000009095</v>
      </c>
      <c r="Z1799" s="131">
        <v>2314.6</v>
      </c>
      <c r="AA1799" s="131">
        <v>0.40000000000009095</v>
      </c>
      <c r="AB1799" s="131">
        <v>2314.6</v>
      </c>
      <c r="AC1799" s="131">
        <v>0.40000000000009095</v>
      </c>
      <c r="AD1799" s="131">
        <v>0</v>
      </c>
      <c r="AE1799" s="132">
        <v>2315</v>
      </c>
    </row>
    <row r="1800" spans="1:31" x14ac:dyDescent="0.2">
      <c r="A1800" s="133">
        <v>298</v>
      </c>
      <c r="B1800" s="133" t="s">
        <v>1841</v>
      </c>
      <c r="C1800" s="133" t="s">
        <v>1199</v>
      </c>
      <c r="D1800" s="133" t="s">
        <v>2135</v>
      </c>
      <c r="E1800" s="133" t="s">
        <v>1201</v>
      </c>
      <c r="F1800" s="133" t="s">
        <v>1117</v>
      </c>
      <c r="G1800" s="133" t="s">
        <v>1202</v>
      </c>
      <c r="H1800" s="133" t="s">
        <v>1216</v>
      </c>
      <c r="I1800" s="130" t="s">
        <v>1222</v>
      </c>
      <c r="J1800" s="130" t="s">
        <v>1304</v>
      </c>
      <c r="K1800" s="130" t="s">
        <v>1248</v>
      </c>
      <c r="L1800" s="130" t="s">
        <v>2136</v>
      </c>
      <c r="M1800" s="130" t="s">
        <v>1925</v>
      </c>
      <c r="N1800" s="130" t="s">
        <v>120</v>
      </c>
      <c r="O1800" s="130" t="s">
        <v>2137</v>
      </c>
      <c r="P1800" s="130" t="s">
        <v>2138</v>
      </c>
      <c r="Q1800" s="130" t="s">
        <v>1127</v>
      </c>
      <c r="R1800" s="130" t="s">
        <v>1191</v>
      </c>
      <c r="S1800" s="130" t="s">
        <v>1157</v>
      </c>
      <c r="T1800" s="130" t="s">
        <v>2139</v>
      </c>
      <c r="U1800" s="130">
        <v>8298</v>
      </c>
      <c r="V1800" s="131">
        <v>-5800</v>
      </c>
      <c r="W1800" s="131">
        <v>2498</v>
      </c>
      <c r="X1800" s="131">
        <v>0</v>
      </c>
      <c r="Y1800" s="131">
        <v>2498</v>
      </c>
      <c r="Z1800" s="131">
        <v>0</v>
      </c>
      <c r="AA1800" s="131">
        <v>2498</v>
      </c>
      <c r="AB1800" s="131">
        <v>0</v>
      </c>
      <c r="AC1800" s="131">
        <v>2498</v>
      </c>
      <c r="AD1800" s="131">
        <v>0</v>
      </c>
      <c r="AE1800" s="132">
        <v>2498</v>
      </c>
    </row>
    <row r="1801" spans="1:31" x14ac:dyDescent="0.2">
      <c r="A1801" s="133">
        <v>298</v>
      </c>
      <c r="B1801" s="133" t="s">
        <v>1841</v>
      </c>
      <c r="C1801" s="133" t="s">
        <v>1199</v>
      </c>
      <c r="D1801" s="133" t="s">
        <v>2135</v>
      </c>
      <c r="E1801" s="133" t="s">
        <v>1201</v>
      </c>
      <c r="F1801" s="133" t="s">
        <v>1117</v>
      </c>
      <c r="G1801" s="133" t="s">
        <v>1202</v>
      </c>
      <c r="H1801" s="133" t="s">
        <v>1216</v>
      </c>
      <c r="I1801" s="133" t="s">
        <v>1222</v>
      </c>
      <c r="J1801" s="133" t="s">
        <v>1304</v>
      </c>
      <c r="K1801" s="130" t="s">
        <v>1305</v>
      </c>
      <c r="L1801" s="130" t="s">
        <v>2136</v>
      </c>
      <c r="M1801" s="130" t="s">
        <v>1925</v>
      </c>
      <c r="N1801" s="130" t="s">
        <v>120</v>
      </c>
      <c r="O1801" s="130" t="s">
        <v>2137</v>
      </c>
      <c r="P1801" s="130" t="s">
        <v>2138</v>
      </c>
      <c r="Q1801" s="130" t="s">
        <v>1127</v>
      </c>
      <c r="R1801" s="130" t="s">
        <v>1191</v>
      </c>
      <c r="S1801" s="130" t="s">
        <v>1157</v>
      </c>
      <c r="T1801" s="130" t="s">
        <v>2139</v>
      </c>
      <c r="U1801" s="130">
        <v>11750</v>
      </c>
      <c r="V1801" s="131">
        <v>0</v>
      </c>
      <c r="W1801" s="131">
        <v>11750</v>
      </c>
      <c r="X1801" s="131">
        <v>10544</v>
      </c>
      <c r="Y1801" s="131">
        <v>1206</v>
      </c>
      <c r="Z1801" s="131">
        <v>8869.84</v>
      </c>
      <c r="AA1801" s="131">
        <v>2880.16</v>
      </c>
      <c r="AB1801" s="131">
        <v>8869.84</v>
      </c>
      <c r="AC1801" s="131">
        <v>2880.16</v>
      </c>
      <c r="AD1801" s="131">
        <v>0</v>
      </c>
      <c r="AE1801" s="132">
        <v>11750</v>
      </c>
    </row>
    <row r="1802" spans="1:31" x14ac:dyDescent="0.2">
      <c r="A1802" s="133">
        <v>298</v>
      </c>
      <c r="B1802" s="133" t="s">
        <v>1841</v>
      </c>
      <c r="C1802" s="133" t="s">
        <v>1199</v>
      </c>
      <c r="D1802" s="133" t="s">
        <v>2135</v>
      </c>
      <c r="E1802" s="133" t="s">
        <v>1201</v>
      </c>
      <c r="F1802" s="133" t="s">
        <v>1117</v>
      </c>
      <c r="G1802" s="133" t="s">
        <v>1202</v>
      </c>
      <c r="H1802" s="133" t="s">
        <v>1216</v>
      </c>
      <c r="I1802" s="133" t="s">
        <v>1222</v>
      </c>
      <c r="J1802" s="130" t="s">
        <v>1245</v>
      </c>
      <c r="K1802" s="130" t="s">
        <v>1246</v>
      </c>
      <c r="L1802" s="130" t="s">
        <v>2136</v>
      </c>
      <c r="M1802" s="130" t="s">
        <v>1925</v>
      </c>
      <c r="N1802" s="130" t="s">
        <v>120</v>
      </c>
      <c r="O1802" s="130" t="s">
        <v>2137</v>
      </c>
      <c r="P1802" s="130" t="s">
        <v>2138</v>
      </c>
      <c r="Q1802" s="130" t="s">
        <v>1127</v>
      </c>
      <c r="R1802" s="130" t="s">
        <v>1191</v>
      </c>
      <c r="S1802" s="130" t="s">
        <v>1157</v>
      </c>
      <c r="T1802" s="130" t="s">
        <v>2139</v>
      </c>
      <c r="U1802" s="130">
        <v>3300</v>
      </c>
      <c r="V1802" s="131">
        <v>0</v>
      </c>
      <c r="W1802" s="131">
        <v>3300</v>
      </c>
      <c r="X1802" s="131">
        <v>2968</v>
      </c>
      <c r="Y1802" s="131">
        <v>332</v>
      </c>
      <c r="Z1802" s="131">
        <v>2968</v>
      </c>
      <c r="AA1802" s="131">
        <v>332</v>
      </c>
      <c r="AB1802" s="131">
        <v>2968</v>
      </c>
      <c r="AC1802" s="131">
        <v>332</v>
      </c>
      <c r="AD1802" s="131">
        <v>0</v>
      </c>
      <c r="AE1802" s="132">
        <v>3300</v>
      </c>
    </row>
    <row r="1803" spans="1:31" x14ac:dyDescent="0.2">
      <c r="A1803" s="133">
        <v>298</v>
      </c>
      <c r="B1803" s="133" t="s">
        <v>1841</v>
      </c>
      <c r="C1803" s="133" t="s">
        <v>1199</v>
      </c>
      <c r="D1803" s="133" t="s">
        <v>2135</v>
      </c>
      <c r="E1803" s="133" t="s">
        <v>1201</v>
      </c>
      <c r="F1803" s="133" t="s">
        <v>1117</v>
      </c>
      <c r="G1803" s="133" t="s">
        <v>1202</v>
      </c>
      <c r="H1803" s="130" t="s">
        <v>1203</v>
      </c>
      <c r="I1803" s="130" t="s">
        <v>1204</v>
      </c>
      <c r="J1803" s="130" t="s">
        <v>1205</v>
      </c>
      <c r="K1803" s="130" t="s">
        <v>1255</v>
      </c>
      <c r="L1803" s="130" t="s">
        <v>2136</v>
      </c>
      <c r="M1803" s="130" t="s">
        <v>1925</v>
      </c>
      <c r="N1803" s="130" t="s">
        <v>120</v>
      </c>
      <c r="O1803" s="130" t="s">
        <v>2137</v>
      </c>
      <c r="P1803" s="130" t="s">
        <v>2138</v>
      </c>
      <c r="Q1803" s="130" t="s">
        <v>1127</v>
      </c>
      <c r="R1803" s="130" t="s">
        <v>1191</v>
      </c>
      <c r="S1803" s="130" t="s">
        <v>1157</v>
      </c>
      <c r="T1803" s="130" t="s">
        <v>2139</v>
      </c>
      <c r="U1803" s="130">
        <v>2500</v>
      </c>
      <c r="V1803" s="131">
        <v>-1815</v>
      </c>
      <c r="W1803" s="131">
        <v>685</v>
      </c>
      <c r="X1803" s="131">
        <v>0</v>
      </c>
      <c r="Y1803" s="131">
        <v>685</v>
      </c>
      <c r="Z1803" s="131">
        <v>0</v>
      </c>
      <c r="AA1803" s="131">
        <v>685</v>
      </c>
      <c r="AB1803" s="131">
        <v>0</v>
      </c>
      <c r="AC1803" s="131">
        <v>685</v>
      </c>
      <c r="AD1803" s="131">
        <v>0</v>
      </c>
      <c r="AE1803" s="132">
        <v>685</v>
      </c>
    </row>
    <row r="1804" spans="1:31" x14ac:dyDescent="0.2">
      <c r="A1804" s="133">
        <v>298</v>
      </c>
      <c r="B1804" s="133" t="s">
        <v>1841</v>
      </c>
      <c r="C1804" s="133" t="s">
        <v>1199</v>
      </c>
      <c r="D1804" s="133" t="s">
        <v>2135</v>
      </c>
      <c r="E1804" s="133" t="s">
        <v>1201</v>
      </c>
      <c r="F1804" s="133" t="s">
        <v>1117</v>
      </c>
      <c r="G1804" s="133" t="s">
        <v>1202</v>
      </c>
      <c r="H1804" s="133" t="s">
        <v>1203</v>
      </c>
      <c r="I1804" s="133" t="s">
        <v>1204</v>
      </c>
      <c r="J1804" s="133" t="s">
        <v>1205</v>
      </c>
      <c r="K1804" s="130" t="s">
        <v>1256</v>
      </c>
      <c r="L1804" s="130" t="s">
        <v>2136</v>
      </c>
      <c r="M1804" s="130" t="s">
        <v>1925</v>
      </c>
      <c r="N1804" s="130" t="s">
        <v>120</v>
      </c>
      <c r="O1804" s="130" t="s">
        <v>2137</v>
      </c>
      <c r="P1804" s="130" t="s">
        <v>2138</v>
      </c>
      <c r="Q1804" s="130" t="s">
        <v>1127</v>
      </c>
      <c r="R1804" s="130" t="s">
        <v>1191</v>
      </c>
      <c r="S1804" s="130" t="s">
        <v>1157</v>
      </c>
      <c r="T1804" s="130" t="s">
        <v>2139</v>
      </c>
      <c r="U1804" s="130">
        <v>2000</v>
      </c>
      <c r="V1804" s="131">
        <v>-1600</v>
      </c>
      <c r="W1804" s="131">
        <v>400</v>
      </c>
      <c r="X1804" s="131">
        <v>0</v>
      </c>
      <c r="Y1804" s="131">
        <v>400</v>
      </c>
      <c r="Z1804" s="131">
        <v>0</v>
      </c>
      <c r="AA1804" s="131">
        <v>400</v>
      </c>
      <c r="AB1804" s="131">
        <v>0</v>
      </c>
      <c r="AC1804" s="131">
        <v>400</v>
      </c>
      <c r="AD1804" s="131">
        <v>0</v>
      </c>
      <c r="AE1804" s="132">
        <v>400</v>
      </c>
    </row>
    <row r="1805" spans="1:31" x14ac:dyDescent="0.2">
      <c r="A1805" s="133">
        <v>298</v>
      </c>
      <c r="B1805" s="133" t="s">
        <v>1841</v>
      </c>
      <c r="C1805" s="133" t="s">
        <v>1199</v>
      </c>
      <c r="D1805" s="133" t="s">
        <v>2135</v>
      </c>
      <c r="E1805" s="133" t="s">
        <v>1201</v>
      </c>
      <c r="F1805" s="133" t="s">
        <v>1117</v>
      </c>
      <c r="G1805" s="133" t="s">
        <v>1202</v>
      </c>
      <c r="H1805" s="133" t="s">
        <v>1203</v>
      </c>
      <c r="I1805" s="130" t="s">
        <v>1224</v>
      </c>
      <c r="J1805" s="130" t="s">
        <v>1257</v>
      </c>
      <c r="K1805" s="130" t="s">
        <v>1258</v>
      </c>
      <c r="L1805" s="130" t="s">
        <v>2136</v>
      </c>
      <c r="M1805" s="130" t="s">
        <v>1925</v>
      </c>
      <c r="N1805" s="130" t="s">
        <v>120</v>
      </c>
      <c r="O1805" s="130" t="s">
        <v>2137</v>
      </c>
      <c r="P1805" s="130" t="s">
        <v>2138</v>
      </c>
      <c r="Q1805" s="130" t="s">
        <v>1127</v>
      </c>
      <c r="R1805" s="130" t="s">
        <v>1191</v>
      </c>
      <c r="S1805" s="130" t="s">
        <v>1157</v>
      </c>
      <c r="T1805" s="130" t="s">
        <v>2139</v>
      </c>
      <c r="U1805" s="130">
        <v>11500</v>
      </c>
      <c r="V1805" s="131">
        <v>0</v>
      </c>
      <c r="W1805" s="131">
        <v>11500</v>
      </c>
      <c r="X1805" s="131">
        <v>11500</v>
      </c>
      <c r="Y1805" s="131">
        <v>0</v>
      </c>
      <c r="Z1805" s="131">
        <v>10365.200000000001</v>
      </c>
      <c r="AA1805" s="131">
        <v>1134.7999999999993</v>
      </c>
      <c r="AB1805" s="131">
        <v>10365.200000000001</v>
      </c>
      <c r="AC1805" s="131">
        <v>1134.7999999999993</v>
      </c>
      <c r="AD1805" s="131">
        <v>10365.200000000001</v>
      </c>
      <c r="AE1805" s="132">
        <v>1134.7999999999993</v>
      </c>
    </row>
    <row r="1806" spans="1:31" x14ac:dyDescent="0.2">
      <c r="A1806" s="133">
        <v>298</v>
      </c>
      <c r="B1806" s="133" t="s">
        <v>1841</v>
      </c>
      <c r="C1806" s="133" t="s">
        <v>1199</v>
      </c>
      <c r="D1806" s="133" t="s">
        <v>2135</v>
      </c>
      <c r="E1806" s="133" t="s">
        <v>1201</v>
      </c>
      <c r="F1806" s="133" t="s">
        <v>1117</v>
      </c>
      <c r="G1806" s="133" t="s">
        <v>1202</v>
      </c>
      <c r="H1806" s="133" t="s">
        <v>1203</v>
      </c>
      <c r="I1806" s="133" t="s">
        <v>1224</v>
      </c>
      <c r="J1806" s="133" t="s">
        <v>1257</v>
      </c>
      <c r="K1806" s="130" t="s">
        <v>1259</v>
      </c>
      <c r="L1806" s="130" t="s">
        <v>2136</v>
      </c>
      <c r="M1806" s="130" t="s">
        <v>1925</v>
      </c>
      <c r="N1806" s="130" t="s">
        <v>120</v>
      </c>
      <c r="O1806" s="130" t="s">
        <v>2137</v>
      </c>
      <c r="P1806" s="130" t="s">
        <v>2138</v>
      </c>
      <c r="Q1806" s="130" t="s">
        <v>1127</v>
      </c>
      <c r="R1806" s="130" t="s">
        <v>1191</v>
      </c>
      <c r="S1806" s="130" t="s">
        <v>1157</v>
      </c>
      <c r="T1806" s="130" t="s">
        <v>2139</v>
      </c>
      <c r="U1806" s="130">
        <v>360</v>
      </c>
      <c r="V1806" s="131">
        <v>0</v>
      </c>
      <c r="W1806" s="131">
        <v>360</v>
      </c>
      <c r="X1806" s="131">
        <v>360</v>
      </c>
      <c r="Y1806" s="131">
        <v>0</v>
      </c>
      <c r="Z1806" s="131">
        <v>161.30000000000001</v>
      </c>
      <c r="AA1806" s="131">
        <v>198.7</v>
      </c>
      <c r="AB1806" s="131">
        <v>161.30000000000001</v>
      </c>
      <c r="AC1806" s="131">
        <v>198.7</v>
      </c>
      <c r="AD1806" s="131">
        <v>161.30000000000001</v>
      </c>
      <c r="AE1806" s="132">
        <v>198.7</v>
      </c>
    </row>
    <row r="1807" spans="1:31" x14ac:dyDescent="0.2">
      <c r="A1807" s="133">
        <v>298</v>
      </c>
      <c r="B1807" s="133" t="s">
        <v>1841</v>
      </c>
      <c r="C1807" s="133" t="s">
        <v>1199</v>
      </c>
      <c r="D1807" s="133" t="s">
        <v>2135</v>
      </c>
      <c r="E1807" s="133" t="s">
        <v>1201</v>
      </c>
      <c r="F1807" s="133" t="s">
        <v>1117</v>
      </c>
      <c r="G1807" s="133" t="s">
        <v>1202</v>
      </c>
      <c r="H1807" s="133" t="s">
        <v>1203</v>
      </c>
      <c r="I1807" s="133" t="s">
        <v>1224</v>
      </c>
      <c r="J1807" s="130" t="s">
        <v>1529</v>
      </c>
      <c r="K1807" s="130" t="s">
        <v>1530</v>
      </c>
      <c r="L1807" s="130" t="s">
        <v>2136</v>
      </c>
      <c r="M1807" s="130" t="s">
        <v>1925</v>
      </c>
      <c r="N1807" s="130" t="s">
        <v>120</v>
      </c>
      <c r="O1807" s="130" t="s">
        <v>2137</v>
      </c>
      <c r="P1807" s="130" t="s">
        <v>2138</v>
      </c>
      <c r="Q1807" s="130" t="s">
        <v>1127</v>
      </c>
      <c r="R1807" s="130" t="s">
        <v>1191</v>
      </c>
      <c r="S1807" s="130" t="s">
        <v>1157</v>
      </c>
      <c r="T1807" s="130" t="s">
        <v>2139</v>
      </c>
      <c r="U1807" s="130">
        <v>120</v>
      </c>
      <c r="V1807" s="131">
        <v>0</v>
      </c>
      <c r="W1807" s="131">
        <v>120</v>
      </c>
      <c r="X1807" s="131">
        <v>120</v>
      </c>
      <c r="Y1807" s="131">
        <v>0</v>
      </c>
      <c r="Z1807" s="131">
        <v>49.95</v>
      </c>
      <c r="AA1807" s="131">
        <v>70.05</v>
      </c>
      <c r="AB1807" s="131">
        <v>49.95</v>
      </c>
      <c r="AC1807" s="131">
        <v>70.05</v>
      </c>
      <c r="AD1807" s="131">
        <v>49.95</v>
      </c>
      <c r="AE1807" s="132">
        <v>70.05</v>
      </c>
    </row>
    <row r="1808" spans="1:31" x14ac:dyDescent="0.2">
      <c r="A1808" s="133">
        <v>298</v>
      </c>
      <c r="B1808" s="133" t="s">
        <v>1841</v>
      </c>
      <c r="C1808" s="133" t="s">
        <v>1199</v>
      </c>
      <c r="D1808" s="133" t="s">
        <v>2135</v>
      </c>
      <c r="E1808" s="133" t="s">
        <v>1201</v>
      </c>
      <c r="F1808" s="133" t="s">
        <v>1117</v>
      </c>
      <c r="G1808" s="133" t="s">
        <v>1202</v>
      </c>
      <c r="H1808" s="133" t="s">
        <v>1203</v>
      </c>
      <c r="I1808" s="133" t="s">
        <v>1224</v>
      </c>
      <c r="J1808" s="133" t="s">
        <v>1529</v>
      </c>
      <c r="K1808" s="130" t="s">
        <v>1531</v>
      </c>
      <c r="L1808" s="130" t="s">
        <v>2136</v>
      </c>
      <c r="M1808" s="130" t="s">
        <v>1925</v>
      </c>
      <c r="N1808" s="130" t="s">
        <v>120</v>
      </c>
      <c r="O1808" s="130" t="s">
        <v>2137</v>
      </c>
      <c r="P1808" s="130" t="s">
        <v>2138</v>
      </c>
      <c r="Q1808" s="130" t="s">
        <v>1127</v>
      </c>
      <c r="R1808" s="130" t="s">
        <v>1191</v>
      </c>
      <c r="S1808" s="130" t="s">
        <v>1157</v>
      </c>
      <c r="T1808" s="130" t="s">
        <v>2139</v>
      </c>
      <c r="U1808" s="130">
        <v>5172</v>
      </c>
      <c r="V1808" s="131">
        <v>0</v>
      </c>
      <c r="W1808" s="131">
        <v>5172</v>
      </c>
      <c r="X1808" s="131">
        <v>5172</v>
      </c>
      <c r="Y1808" s="131">
        <v>0</v>
      </c>
      <c r="Z1808" s="131">
        <v>2150.0500000000002</v>
      </c>
      <c r="AA1808" s="131">
        <v>3021.95</v>
      </c>
      <c r="AB1808" s="131">
        <v>2150.0500000000002</v>
      </c>
      <c r="AC1808" s="131">
        <v>3021.95</v>
      </c>
      <c r="AD1808" s="131">
        <v>2150.0500000000002</v>
      </c>
      <c r="AE1808" s="132">
        <v>3021.95</v>
      </c>
    </row>
    <row r="1809" spans="1:31" x14ac:dyDescent="0.2">
      <c r="A1809" s="133">
        <v>298</v>
      </c>
      <c r="B1809" s="133" t="s">
        <v>1841</v>
      </c>
      <c r="C1809" s="133" t="s">
        <v>1199</v>
      </c>
      <c r="D1809" s="133" t="s">
        <v>2135</v>
      </c>
      <c r="E1809" s="133" t="s">
        <v>1201</v>
      </c>
      <c r="F1809" s="133" t="s">
        <v>1117</v>
      </c>
      <c r="G1809" s="133" t="s">
        <v>1202</v>
      </c>
      <c r="H1809" s="133" t="s">
        <v>1203</v>
      </c>
      <c r="I1809" s="130" t="s">
        <v>1264</v>
      </c>
      <c r="J1809" s="130" t="s">
        <v>1900</v>
      </c>
      <c r="K1809" s="130" t="s">
        <v>1900</v>
      </c>
      <c r="L1809" s="130" t="s">
        <v>2136</v>
      </c>
      <c r="M1809" s="130" t="s">
        <v>1925</v>
      </c>
      <c r="N1809" s="130" t="s">
        <v>120</v>
      </c>
      <c r="O1809" s="130" t="s">
        <v>2137</v>
      </c>
      <c r="P1809" s="130" t="s">
        <v>2138</v>
      </c>
      <c r="Q1809" s="130" t="s">
        <v>1127</v>
      </c>
      <c r="R1809" s="130" t="s">
        <v>1191</v>
      </c>
      <c r="S1809" s="130" t="s">
        <v>1157</v>
      </c>
      <c r="T1809" s="130" t="s">
        <v>2139</v>
      </c>
      <c r="U1809" s="130">
        <v>600</v>
      </c>
      <c r="V1809" s="131">
        <v>0</v>
      </c>
      <c r="W1809" s="131">
        <v>600</v>
      </c>
      <c r="X1809" s="131">
        <v>600</v>
      </c>
      <c r="Y1809" s="131">
        <v>0</v>
      </c>
      <c r="Z1809" s="131">
        <v>600</v>
      </c>
      <c r="AA1809" s="131">
        <v>0</v>
      </c>
      <c r="AB1809" s="131">
        <v>600</v>
      </c>
      <c r="AC1809" s="131">
        <v>0</v>
      </c>
      <c r="AD1809" s="131">
        <v>600</v>
      </c>
      <c r="AE1809" s="132">
        <v>0</v>
      </c>
    </row>
    <row r="1810" spans="1:31" x14ac:dyDescent="0.2">
      <c r="A1810" s="133">
        <v>298</v>
      </c>
      <c r="B1810" s="133" t="s">
        <v>1841</v>
      </c>
      <c r="C1810" s="133" t="s">
        <v>1199</v>
      </c>
      <c r="D1810" s="133" t="s">
        <v>2135</v>
      </c>
      <c r="E1810" s="133" t="s">
        <v>1201</v>
      </c>
      <c r="F1810" s="133" t="s">
        <v>1117</v>
      </c>
      <c r="G1810" s="133" t="s">
        <v>1202</v>
      </c>
      <c r="H1810" s="133" t="s">
        <v>1203</v>
      </c>
      <c r="I1810" s="130" t="s">
        <v>1209</v>
      </c>
      <c r="J1810" s="130" t="s">
        <v>1210</v>
      </c>
      <c r="K1810" s="130" t="s">
        <v>1211</v>
      </c>
      <c r="L1810" s="130" t="s">
        <v>2136</v>
      </c>
      <c r="M1810" s="130" t="s">
        <v>1925</v>
      </c>
      <c r="N1810" s="130" t="s">
        <v>120</v>
      </c>
      <c r="O1810" s="130" t="s">
        <v>2137</v>
      </c>
      <c r="P1810" s="130" t="s">
        <v>2138</v>
      </c>
      <c r="Q1810" s="130" t="s">
        <v>1127</v>
      </c>
      <c r="R1810" s="130" t="s">
        <v>1191</v>
      </c>
      <c r="S1810" s="130" t="s">
        <v>1157</v>
      </c>
      <c r="T1810" s="130" t="s">
        <v>2139</v>
      </c>
      <c r="U1810" s="130">
        <v>9500</v>
      </c>
      <c r="V1810" s="131">
        <v>0</v>
      </c>
      <c r="W1810" s="131">
        <v>9500</v>
      </c>
      <c r="X1810" s="131">
        <v>3850</v>
      </c>
      <c r="Y1810" s="131">
        <v>5650</v>
      </c>
      <c r="Z1810" s="131">
        <v>3850</v>
      </c>
      <c r="AA1810" s="131">
        <v>5650</v>
      </c>
      <c r="AB1810" s="131">
        <v>3850</v>
      </c>
      <c r="AC1810" s="131">
        <v>5650</v>
      </c>
      <c r="AD1810" s="131">
        <v>0</v>
      </c>
      <c r="AE1810" s="132">
        <v>9500</v>
      </c>
    </row>
    <row r="1811" spans="1:31" x14ac:dyDescent="0.2">
      <c r="A1811" s="133">
        <v>298</v>
      </c>
      <c r="B1811" s="133" t="s">
        <v>1841</v>
      </c>
      <c r="C1811" s="133" t="s">
        <v>1199</v>
      </c>
      <c r="D1811" s="133" t="s">
        <v>2135</v>
      </c>
      <c r="E1811" s="133" t="s">
        <v>1201</v>
      </c>
      <c r="F1811" s="133" t="s">
        <v>1117</v>
      </c>
      <c r="G1811" s="133" t="s">
        <v>1202</v>
      </c>
      <c r="H1811" s="133" t="s">
        <v>1203</v>
      </c>
      <c r="I1811" s="133" t="s">
        <v>1209</v>
      </c>
      <c r="J1811" s="133" t="s">
        <v>1210</v>
      </c>
      <c r="K1811" s="130" t="s">
        <v>1274</v>
      </c>
      <c r="L1811" s="130" t="s">
        <v>2136</v>
      </c>
      <c r="M1811" s="130" t="s">
        <v>1925</v>
      </c>
      <c r="N1811" s="130" t="s">
        <v>120</v>
      </c>
      <c r="O1811" s="130" t="s">
        <v>2137</v>
      </c>
      <c r="P1811" s="130" t="s">
        <v>2138</v>
      </c>
      <c r="Q1811" s="130" t="s">
        <v>1127</v>
      </c>
      <c r="R1811" s="130" t="s">
        <v>1191</v>
      </c>
      <c r="S1811" s="130" t="s">
        <v>1157</v>
      </c>
      <c r="T1811" s="130" t="s">
        <v>2139</v>
      </c>
      <c r="U1811" s="130">
        <v>4900</v>
      </c>
      <c r="V1811" s="131">
        <v>-2500</v>
      </c>
      <c r="W1811" s="131">
        <v>2400</v>
      </c>
      <c r="X1811" s="131">
        <v>2400</v>
      </c>
      <c r="Y1811" s="131">
        <v>0</v>
      </c>
      <c r="Z1811" s="131">
        <v>2400</v>
      </c>
      <c r="AA1811" s="131">
        <v>0</v>
      </c>
      <c r="AB1811" s="131">
        <v>2400</v>
      </c>
      <c r="AC1811" s="131">
        <v>0</v>
      </c>
      <c r="AD1811" s="131">
        <v>2400</v>
      </c>
      <c r="AE1811" s="132">
        <v>0</v>
      </c>
    </row>
    <row r="1812" spans="1:31" x14ac:dyDescent="0.2">
      <c r="A1812" s="133">
        <v>298</v>
      </c>
      <c r="B1812" s="133" t="s">
        <v>1841</v>
      </c>
      <c r="C1812" s="133" t="s">
        <v>1199</v>
      </c>
      <c r="D1812" s="133" t="s">
        <v>2135</v>
      </c>
      <c r="E1812" s="133" t="s">
        <v>1201</v>
      </c>
      <c r="F1812" s="133" t="s">
        <v>1117</v>
      </c>
      <c r="G1812" s="133" t="s">
        <v>1202</v>
      </c>
      <c r="H1812" s="133" t="s">
        <v>1203</v>
      </c>
      <c r="I1812" s="130" t="s">
        <v>1309</v>
      </c>
      <c r="J1812" s="130" t="s">
        <v>1310</v>
      </c>
      <c r="K1812" s="130" t="s">
        <v>1310</v>
      </c>
      <c r="L1812" s="130" t="s">
        <v>2136</v>
      </c>
      <c r="M1812" s="130" t="s">
        <v>1925</v>
      </c>
      <c r="N1812" s="130" t="s">
        <v>120</v>
      </c>
      <c r="O1812" s="130" t="s">
        <v>2137</v>
      </c>
      <c r="P1812" s="130" t="s">
        <v>2138</v>
      </c>
      <c r="Q1812" s="130" t="s">
        <v>1127</v>
      </c>
      <c r="R1812" s="130" t="s">
        <v>1191</v>
      </c>
      <c r="S1812" s="130" t="s">
        <v>1157</v>
      </c>
      <c r="T1812" s="130" t="s">
        <v>2139</v>
      </c>
      <c r="U1812" s="130">
        <v>14000</v>
      </c>
      <c r="V1812" s="131">
        <v>12400</v>
      </c>
      <c r="W1812" s="131">
        <v>26400</v>
      </c>
      <c r="X1812" s="131">
        <v>26400</v>
      </c>
      <c r="Y1812" s="131">
        <v>0</v>
      </c>
      <c r="Z1812" s="131">
        <v>26400</v>
      </c>
      <c r="AA1812" s="131">
        <v>0</v>
      </c>
      <c r="AB1812" s="131">
        <v>26400</v>
      </c>
      <c r="AC1812" s="131">
        <v>0</v>
      </c>
      <c r="AD1812" s="131">
        <v>19100</v>
      </c>
      <c r="AE1812" s="132">
        <v>7300</v>
      </c>
    </row>
    <row r="1813" spans="1:31" x14ac:dyDescent="0.2">
      <c r="A1813" s="133">
        <v>298</v>
      </c>
      <c r="B1813" s="133" t="s">
        <v>1841</v>
      </c>
      <c r="C1813" s="133" t="s">
        <v>1199</v>
      </c>
      <c r="D1813" s="133" t="s">
        <v>2135</v>
      </c>
      <c r="E1813" s="133" t="s">
        <v>1201</v>
      </c>
      <c r="F1813" s="133" t="s">
        <v>1117</v>
      </c>
      <c r="G1813" s="130" t="s">
        <v>1118</v>
      </c>
      <c r="H1813" s="130" t="s">
        <v>1149</v>
      </c>
      <c r="I1813" s="130" t="s">
        <v>1182</v>
      </c>
      <c r="J1813" s="130" t="s">
        <v>1347</v>
      </c>
      <c r="K1813" s="130" t="s">
        <v>1348</v>
      </c>
      <c r="L1813" s="130" t="s">
        <v>2136</v>
      </c>
      <c r="M1813" s="130" t="s">
        <v>1925</v>
      </c>
      <c r="N1813" s="130" t="s">
        <v>120</v>
      </c>
      <c r="O1813" s="130" t="s">
        <v>2137</v>
      </c>
      <c r="P1813" s="130" t="s">
        <v>2138</v>
      </c>
      <c r="Q1813" s="130" t="s">
        <v>1127</v>
      </c>
      <c r="R1813" s="130" t="s">
        <v>1191</v>
      </c>
      <c r="S1813" s="130" t="s">
        <v>1157</v>
      </c>
      <c r="T1813" s="130" t="s">
        <v>2139</v>
      </c>
      <c r="U1813" s="130">
        <v>0</v>
      </c>
      <c r="V1813" s="131">
        <v>0</v>
      </c>
      <c r="W1813" s="131">
        <v>0</v>
      </c>
      <c r="X1813" s="131">
        <v>0</v>
      </c>
      <c r="Y1813" s="131">
        <v>0</v>
      </c>
      <c r="Z1813" s="131">
        <v>0</v>
      </c>
      <c r="AA1813" s="131">
        <v>0</v>
      </c>
      <c r="AB1813" s="131">
        <v>0</v>
      </c>
      <c r="AC1813" s="131">
        <v>0</v>
      </c>
      <c r="AD1813" s="131">
        <v>0</v>
      </c>
      <c r="AE1813" s="132">
        <v>0</v>
      </c>
    </row>
    <row r="1814" spans="1:31" x14ac:dyDescent="0.2">
      <c r="A1814" s="133">
        <v>298</v>
      </c>
      <c r="B1814" s="133" t="s">
        <v>1841</v>
      </c>
      <c r="C1814" s="133" t="s">
        <v>1199</v>
      </c>
      <c r="D1814" s="133" t="s">
        <v>2135</v>
      </c>
      <c r="E1814" s="130" t="s">
        <v>1855</v>
      </c>
      <c r="F1814" s="130" t="s">
        <v>1117</v>
      </c>
      <c r="G1814" s="130" t="s">
        <v>1202</v>
      </c>
      <c r="H1814" s="130" t="s">
        <v>1216</v>
      </c>
      <c r="I1814" s="130" t="s">
        <v>1301</v>
      </c>
      <c r="J1814" s="130" t="s">
        <v>1301</v>
      </c>
      <c r="K1814" s="130" t="s">
        <v>1302</v>
      </c>
      <c r="L1814" s="130" t="s">
        <v>2136</v>
      </c>
      <c r="M1814" s="130" t="s">
        <v>1925</v>
      </c>
      <c r="N1814" s="130" t="s">
        <v>120</v>
      </c>
      <c r="O1814" s="130" t="s">
        <v>2137</v>
      </c>
      <c r="P1814" s="130" t="s">
        <v>2138</v>
      </c>
      <c r="Q1814" s="130" t="s">
        <v>1127</v>
      </c>
      <c r="R1814" s="130" t="s">
        <v>1191</v>
      </c>
      <c r="S1814" s="130" t="s">
        <v>1157</v>
      </c>
      <c r="T1814" s="130" t="s">
        <v>2139</v>
      </c>
      <c r="U1814" s="130">
        <v>284750</v>
      </c>
      <c r="V1814" s="131">
        <v>30000</v>
      </c>
      <c r="W1814" s="131">
        <v>314750</v>
      </c>
      <c r="X1814" s="131">
        <v>284670</v>
      </c>
      <c r="Y1814" s="131">
        <v>30080</v>
      </c>
      <c r="Z1814" s="131">
        <v>0</v>
      </c>
      <c r="AA1814" s="131">
        <v>314750</v>
      </c>
      <c r="AB1814" s="131">
        <v>0</v>
      </c>
      <c r="AC1814" s="131">
        <v>314750</v>
      </c>
      <c r="AD1814" s="131">
        <v>0</v>
      </c>
      <c r="AE1814" s="132">
        <v>314750</v>
      </c>
    </row>
    <row r="1815" spans="1:31" x14ac:dyDescent="0.2">
      <c r="A1815" s="133">
        <v>298</v>
      </c>
      <c r="B1815" s="133" t="s">
        <v>1841</v>
      </c>
      <c r="C1815" s="133" t="s">
        <v>1199</v>
      </c>
      <c r="D1815" s="133" t="s">
        <v>2135</v>
      </c>
      <c r="E1815" s="133" t="s">
        <v>1855</v>
      </c>
      <c r="F1815" s="133" t="s">
        <v>1117</v>
      </c>
      <c r="G1815" s="133" t="s">
        <v>1202</v>
      </c>
      <c r="H1815" s="133" t="s">
        <v>1216</v>
      </c>
      <c r="I1815" s="130" t="s">
        <v>1217</v>
      </c>
      <c r="J1815" s="130" t="s">
        <v>1218</v>
      </c>
      <c r="K1815" s="130" t="s">
        <v>1219</v>
      </c>
      <c r="L1815" s="130" t="s">
        <v>2136</v>
      </c>
      <c r="M1815" s="130" t="s">
        <v>1925</v>
      </c>
      <c r="N1815" s="130" t="s">
        <v>120</v>
      </c>
      <c r="O1815" s="130" t="s">
        <v>2137</v>
      </c>
      <c r="P1815" s="130" t="s">
        <v>2138</v>
      </c>
      <c r="Q1815" s="130" t="s">
        <v>1127</v>
      </c>
      <c r="R1815" s="130" t="s">
        <v>1191</v>
      </c>
      <c r="S1815" s="130" t="s">
        <v>1157</v>
      </c>
      <c r="T1815" s="130" t="s">
        <v>2139</v>
      </c>
      <c r="U1815" s="130">
        <v>12500</v>
      </c>
      <c r="V1815" s="131">
        <v>0</v>
      </c>
      <c r="W1815" s="131">
        <v>12500</v>
      </c>
      <c r="X1815" s="131">
        <v>7920</v>
      </c>
      <c r="Y1815" s="131">
        <v>4580</v>
      </c>
      <c r="Z1815" s="131">
        <v>7920</v>
      </c>
      <c r="AA1815" s="131">
        <v>4580</v>
      </c>
      <c r="AB1815" s="131">
        <v>7920</v>
      </c>
      <c r="AC1815" s="131">
        <v>4580</v>
      </c>
      <c r="AD1815" s="131">
        <v>0</v>
      </c>
      <c r="AE1815" s="132">
        <v>12500</v>
      </c>
    </row>
    <row r="1816" spans="1:31" x14ac:dyDescent="0.2">
      <c r="A1816" s="133">
        <v>298</v>
      </c>
      <c r="B1816" s="133" t="s">
        <v>1841</v>
      </c>
      <c r="C1816" s="133" t="s">
        <v>1199</v>
      </c>
      <c r="D1816" s="133" t="s">
        <v>2135</v>
      </c>
      <c r="E1816" s="133" t="s">
        <v>1855</v>
      </c>
      <c r="F1816" s="133" t="s">
        <v>1117</v>
      </c>
      <c r="G1816" s="133" t="s">
        <v>1202</v>
      </c>
      <c r="H1816" s="133" t="s">
        <v>1216</v>
      </c>
      <c r="I1816" s="130" t="s">
        <v>1222</v>
      </c>
      <c r="J1816" s="130" t="s">
        <v>1304</v>
      </c>
      <c r="K1816" s="130" t="s">
        <v>1248</v>
      </c>
      <c r="L1816" s="130" t="s">
        <v>2136</v>
      </c>
      <c r="M1816" s="130" t="s">
        <v>1925</v>
      </c>
      <c r="N1816" s="130" t="s">
        <v>120</v>
      </c>
      <c r="O1816" s="130" t="s">
        <v>2137</v>
      </c>
      <c r="P1816" s="130" t="s">
        <v>2138</v>
      </c>
      <c r="Q1816" s="130" t="s">
        <v>1127</v>
      </c>
      <c r="R1816" s="130" t="s">
        <v>1191</v>
      </c>
      <c r="S1816" s="130" t="s">
        <v>1157</v>
      </c>
      <c r="T1816" s="130" t="s">
        <v>2139</v>
      </c>
      <c r="U1816" s="130">
        <v>11400</v>
      </c>
      <c r="V1816" s="131">
        <v>0</v>
      </c>
      <c r="W1816" s="131">
        <v>11400</v>
      </c>
      <c r="X1816" s="131">
        <v>0</v>
      </c>
      <c r="Y1816" s="131">
        <v>11400</v>
      </c>
      <c r="Z1816" s="131">
        <v>0</v>
      </c>
      <c r="AA1816" s="131">
        <v>11400</v>
      </c>
      <c r="AB1816" s="131">
        <v>0</v>
      </c>
      <c r="AC1816" s="131">
        <v>11400</v>
      </c>
      <c r="AD1816" s="131">
        <v>0</v>
      </c>
      <c r="AE1816" s="132">
        <v>11400</v>
      </c>
    </row>
    <row r="1817" spans="1:31" x14ac:dyDescent="0.2">
      <c r="A1817" s="133">
        <v>298</v>
      </c>
      <c r="B1817" s="133" t="s">
        <v>1841</v>
      </c>
      <c r="C1817" s="133" t="s">
        <v>1199</v>
      </c>
      <c r="D1817" s="133" t="s">
        <v>2135</v>
      </c>
      <c r="E1817" s="133" t="s">
        <v>1855</v>
      </c>
      <c r="F1817" s="133" t="s">
        <v>1117</v>
      </c>
      <c r="G1817" s="133" t="s">
        <v>1202</v>
      </c>
      <c r="H1817" s="133" t="s">
        <v>1216</v>
      </c>
      <c r="I1817" s="133" t="s">
        <v>1222</v>
      </c>
      <c r="J1817" s="133" t="s">
        <v>1304</v>
      </c>
      <c r="K1817" s="130" t="s">
        <v>1305</v>
      </c>
      <c r="L1817" s="130" t="s">
        <v>2136</v>
      </c>
      <c r="M1817" s="130" t="s">
        <v>1925</v>
      </c>
      <c r="N1817" s="130" t="s">
        <v>120</v>
      </c>
      <c r="O1817" s="130" t="s">
        <v>2137</v>
      </c>
      <c r="P1817" s="130" t="s">
        <v>2138</v>
      </c>
      <c r="Q1817" s="130" t="s">
        <v>1127</v>
      </c>
      <c r="R1817" s="130" t="s">
        <v>1191</v>
      </c>
      <c r="S1817" s="130" t="s">
        <v>1157</v>
      </c>
      <c r="T1817" s="130" t="s">
        <v>2139</v>
      </c>
      <c r="U1817" s="130">
        <v>4000</v>
      </c>
      <c r="V1817" s="131">
        <v>0</v>
      </c>
      <c r="W1817" s="131">
        <v>4000</v>
      </c>
      <c r="X1817" s="131">
        <v>3270</v>
      </c>
      <c r="Y1817" s="131">
        <v>730</v>
      </c>
      <c r="Z1817" s="131">
        <v>3270</v>
      </c>
      <c r="AA1817" s="131">
        <v>730</v>
      </c>
      <c r="AB1817" s="131">
        <v>3270</v>
      </c>
      <c r="AC1817" s="131">
        <v>730</v>
      </c>
      <c r="AD1817" s="131">
        <v>0</v>
      </c>
      <c r="AE1817" s="132">
        <v>4000</v>
      </c>
    </row>
    <row r="1818" spans="1:31" x14ac:dyDescent="0.2">
      <c r="A1818" s="133">
        <v>298</v>
      </c>
      <c r="B1818" s="133" t="s">
        <v>1841</v>
      </c>
      <c r="C1818" s="133" t="s">
        <v>1199</v>
      </c>
      <c r="D1818" s="133" t="s">
        <v>2135</v>
      </c>
      <c r="E1818" s="133" t="s">
        <v>1855</v>
      </c>
      <c r="F1818" s="133" t="s">
        <v>1117</v>
      </c>
      <c r="G1818" s="133" t="s">
        <v>1202</v>
      </c>
      <c r="H1818" s="133" t="s">
        <v>1216</v>
      </c>
      <c r="I1818" s="133" t="s">
        <v>1222</v>
      </c>
      <c r="J1818" s="130" t="s">
        <v>1245</v>
      </c>
      <c r="K1818" s="130" t="s">
        <v>1246</v>
      </c>
      <c r="L1818" s="130" t="s">
        <v>2136</v>
      </c>
      <c r="M1818" s="130" t="s">
        <v>1925</v>
      </c>
      <c r="N1818" s="130" t="s">
        <v>120</v>
      </c>
      <c r="O1818" s="130" t="s">
        <v>2137</v>
      </c>
      <c r="P1818" s="130" t="s">
        <v>2138</v>
      </c>
      <c r="Q1818" s="130" t="s">
        <v>1127</v>
      </c>
      <c r="R1818" s="130" t="s">
        <v>1191</v>
      </c>
      <c r="S1818" s="130" t="s">
        <v>1157</v>
      </c>
      <c r="T1818" s="130" t="s">
        <v>2139</v>
      </c>
      <c r="U1818" s="130">
        <v>1500</v>
      </c>
      <c r="V1818" s="131">
        <v>0</v>
      </c>
      <c r="W1818" s="131">
        <v>1500</v>
      </c>
      <c r="X1818" s="131">
        <v>0</v>
      </c>
      <c r="Y1818" s="131">
        <v>1500</v>
      </c>
      <c r="Z1818" s="131">
        <v>0</v>
      </c>
      <c r="AA1818" s="131">
        <v>1500</v>
      </c>
      <c r="AB1818" s="131">
        <v>0</v>
      </c>
      <c r="AC1818" s="131">
        <v>1500</v>
      </c>
      <c r="AD1818" s="131">
        <v>0</v>
      </c>
      <c r="AE1818" s="132">
        <v>1500</v>
      </c>
    </row>
    <row r="1819" spans="1:31" x14ac:dyDescent="0.2">
      <c r="A1819" s="133">
        <v>298</v>
      </c>
      <c r="B1819" s="133" t="s">
        <v>1841</v>
      </c>
      <c r="C1819" s="133" t="s">
        <v>1199</v>
      </c>
      <c r="D1819" s="133" t="s">
        <v>2135</v>
      </c>
      <c r="E1819" s="133" t="s">
        <v>1855</v>
      </c>
      <c r="F1819" s="133" t="s">
        <v>1117</v>
      </c>
      <c r="G1819" s="133" t="s">
        <v>1202</v>
      </c>
      <c r="H1819" s="130" t="s">
        <v>1203</v>
      </c>
      <c r="I1819" s="130" t="s">
        <v>1224</v>
      </c>
      <c r="J1819" s="130" t="s">
        <v>1257</v>
      </c>
      <c r="K1819" s="130" t="s">
        <v>1258</v>
      </c>
      <c r="L1819" s="130" t="s">
        <v>2136</v>
      </c>
      <c r="M1819" s="130" t="s">
        <v>1925</v>
      </c>
      <c r="N1819" s="130" t="s">
        <v>120</v>
      </c>
      <c r="O1819" s="130" t="s">
        <v>2137</v>
      </c>
      <c r="P1819" s="130" t="s">
        <v>2138</v>
      </c>
      <c r="Q1819" s="130" t="s">
        <v>1127</v>
      </c>
      <c r="R1819" s="130" t="s">
        <v>1191</v>
      </c>
      <c r="S1819" s="130" t="s">
        <v>1157</v>
      </c>
      <c r="T1819" s="130" t="s">
        <v>2139</v>
      </c>
      <c r="U1819" s="130">
        <v>17000</v>
      </c>
      <c r="V1819" s="131">
        <v>0</v>
      </c>
      <c r="W1819" s="131">
        <v>17000</v>
      </c>
      <c r="X1819" s="131">
        <v>17000</v>
      </c>
      <c r="Y1819" s="131">
        <v>0</v>
      </c>
      <c r="Z1819" s="131">
        <v>0</v>
      </c>
      <c r="AA1819" s="131">
        <v>17000</v>
      </c>
      <c r="AB1819" s="131">
        <v>0</v>
      </c>
      <c r="AC1819" s="131">
        <v>17000</v>
      </c>
      <c r="AD1819" s="131">
        <v>0</v>
      </c>
      <c r="AE1819" s="132">
        <v>17000</v>
      </c>
    </row>
    <row r="1820" spans="1:31" x14ac:dyDescent="0.2">
      <c r="A1820" s="133">
        <v>298</v>
      </c>
      <c r="B1820" s="133" t="s">
        <v>1841</v>
      </c>
      <c r="C1820" s="133" t="s">
        <v>1199</v>
      </c>
      <c r="D1820" s="133" t="s">
        <v>2135</v>
      </c>
      <c r="E1820" s="133" t="s">
        <v>1855</v>
      </c>
      <c r="F1820" s="133" t="s">
        <v>1117</v>
      </c>
      <c r="G1820" s="133" t="s">
        <v>1202</v>
      </c>
      <c r="H1820" s="133" t="s">
        <v>1203</v>
      </c>
      <c r="I1820" s="130" t="s">
        <v>1264</v>
      </c>
      <c r="J1820" s="130" t="s">
        <v>1900</v>
      </c>
      <c r="K1820" s="130" t="s">
        <v>1900</v>
      </c>
      <c r="L1820" s="130" t="s">
        <v>2136</v>
      </c>
      <c r="M1820" s="130" t="s">
        <v>1925</v>
      </c>
      <c r="N1820" s="130" t="s">
        <v>120</v>
      </c>
      <c r="O1820" s="130" t="s">
        <v>2137</v>
      </c>
      <c r="P1820" s="130" t="s">
        <v>2138</v>
      </c>
      <c r="Q1820" s="130" t="s">
        <v>1127</v>
      </c>
      <c r="R1820" s="130" t="s">
        <v>1191</v>
      </c>
      <c r="S1820" s="130" t="s">
        <v>1157</v>
      </c>
      <c r="T1820" s="130" t="s">
        <v>2139</v>
      </c>
      <c r="U1820" s="130">
        <v>1500</v>
      </c>
      <c r="V1820" s="131">
        <v>0</v>
      </c>
      <c r="W1820" s="131">
        <v>1500</v>
      </c>
      <c r="X1820" s="131">
        <v>0</v>
      </c>
      <c r="Y1820" s="131">
        <v>1500</v>
      </c>
      <c r="Z1820" s="131">
        <v>0</v>
      </c>
      <c r="AA1820" s="131">
        <v>1500</v>
      </c>
      <c r="AB1820" s="131">
        <v>0</v>
      </c>
      <c r="AC1820" s="131">
        <v>1500</v>
      </c>
      <c r="AD1820" s="131">
        <v>0</v>
      </c>
      <c r="AE1820" s="132">
        <v>1500</v>
      </c>
    </row>
    <row r="1821" spans="1:31" x14ac:dyDescent="0.2">
      <c r="A1821" s="133">
        <v>298</v>
      </c>
      <c r="B1821" s="133" t="s">
        <v>1841</v>
      </c>
      <c r="C1821" s="133" t="s">
        <v>1199</v>
      </c>
      <c r="D1821" s="133" t="s">
        <v>2135</v>
      </c>
      <c r="E1821" s="133" t="s">
        <v>1855</v>
      </c>
      <c r="F1821" s="133" t="s">
        <v>1117</v>
      </c>
      <c r="G1821" s="133" t="s">
        <v>1202</v>
      </c>
      <c r="H1821" s="133" t="s">
        <v>1203</v>
      </c>
      <c r="I1821" s="130" t="s">
        <v>1209</v>
      </c>
      <c r="J1821" s="130" t="s">
        <v>1210</v>
      </c>
      <c r="K1821" s="130" t="s">
        <v>1211</v>
      </c>
      <c r="L1821" s="130" t="s">
        <v>2136</v>
      </c>
      <c r="M1821" s="130" t="s">
        <v>1925</v>
      </c>
      <c r="N1821" s="130" t="s">
        <v>120</v>
      </c>
      <c r="O1821" s="130" t="s">
        <v>2137</v>
      </c>
      <c r="P1821" s="130" t="s">
        <v>2138</v>
      </c>
      <c r="Q1821" s="130" t="s">
        <v>1127</v>
      </c>
      <c r="R1821" s="130" t="s">
        <v>1191</v>
      </c>
      <c r="S1821" s="130" t="s">
        <v>1157</v>
      </c>
      <c r="T1821" s="130" t="s">
        <v>2139</v>
      </c>
      <c r="U1821" s="130">
        <v>10000</v>
      </c>
      <c r="V1821" s="131">
        <v>0</v>
      </c>
      <c r="W1821" s="131">
        <v>10000</v>
      </c>
      <c r="X1821" s="131">
        <v>7220</v>
      </c>
      <c r="Y1821" s="131">
        <v>2780</v>
      </c>
      <c r="Z1821" s="131">
        <v>7220</v>
      </c>
      <c r="AA1821" s="131">
        <v>2780</v>
      </c>
      <c r="AB1821" s="131">
        <v>7220</v>
      </c>
      <c r="AC1821" s="131">
        <v>2780</v>
      </c>
      <c r="AD1821" s="131">
        <v>0</v>
      </c>
      <c r="AE1821" s="132">
        <v>10000</v>
      </c>
    </row>
    <row r="1822" spans="1:31" x14ac:dyDescent="0.2">
      <c r="A1822" s="133">
        <v>298</v>
      </c>
      <c r="B1822" s="133" t="s">
        <v>1841</v>
      </c>
      <c r="C1822" s="133" t="s">
        <v>1199</v>
      </c>
      <c r="D1822" s="133" t="s">
        <v>2135</v>
      </c>
      <c r="E1822" s="133" t="s">
        <v>1855</v>
      </c>
      <c r="F1822" s="133" t="s">
        <v>1117</v>
      </c>
      <c r="G1822" s="133" t="s">
        <v>1202</v>
      </c>
      <c r="H1822" s="133" t="s">
        <v>1203</v>
      </c>
      <c r="I1822" s="133" t="s">
        <v>1209</v>
      </c>
      <c r="J1822" s="133" t="s">
        <v>1210</v>
      </c>
      <c r="K1822" s="130" t="s">
        <v>1274</v>
      </c>
      <c r="L1822" s="130" t="s">
        <v>2136</v>
      </c>
      <c r="M1822" s="130" t="s">
        <v>1925</v>
      </c>
      <c r="N1822" s="130" t="s">
        <v>120</v>
      </c>
      <c r="O1822" s="130" t="s">
        <v>2137</v>
      </c>
      <c r="P1822" s="130" t="s">
        <v>2138</v>
      </c>
      <c r="Q1822" s="130" t="s">
        <v>1127</v>
      </c>
      <c r="R1822" s="130" t="s">
        <v>1191</v>
      </c>
      <c r="S1822" s="130" t="s">
        <v>1157</v>
      </c>
      <c r="T1822" s="130" t="s">
        <v>2139</v>
      </c>
      <c r="U1822" s="130">
        <v>1350</v>
      </c>
      <c r="V1822" s="131">
        <v>0</v>
      </c>
      <c r="W1822" s="131">
        <v>1350</v>
      </c>
      <c r="X1822" s="131">
        <v>0</v>
      </c>
      <c r="Y1822" s="131">
        <v>1350</v>
      </c>
      <c r="Z1822" s="131">
        <v>0</v>
      </c>
      <c r="AA1822" s="131">
        <v>1350</v>
      </c>
      <c r="AB1822" s="131">
        <v>0</v>
      </c>
      <c r="AC1822" s="131">
        <v>1350</v>
      </c>
      <c r="AD1822" s="131">
        <v>0</v>
      </c>
      <c r="AE1822" s="132">
        <v>1350</v>
      </c>
    </row>
    <row r="1823" spans="1:31" x14ac:dyDescent="0.2">
      <c r="A1823" s="133">
        <v>298</v>
      </c>
      <c r="B1823" s="133" t="s">
        <v>1841</v>
      </c>
      <c r="C1823" s="133" t="s">
        <v>1199</v>
      </c>
      <c r="D1823" s="133" t="s">
        <v>2135</v>
      </c>
      <c r="E1823" s="133" t="s">
        <v>1855</v>
      </c>
      <c r="F1823" s="133" t="s">
        <v>1117</v>
      </c>
      <c r="G1823" s="133" t="s">
        <v>1202</v>
      </c>
      <c r="H1823" s="133" t="s">
        <v>1203</v>
      </c>
      <c r="I1823" s="130" t="s">
        <v>1309</v>
      </c>
      <c r="J1823" s="130" t="s">
        <v>1310</v>
      </c>
      <c r="K1823" s="130" t="s">
        <v>1310</v>
      </c>
      <c r="L1823" s="130" t="s">
        <v>2136</v>
      </c>
      <c r="M1823" s="130" t="s">
        <v>1925</v>
      </c>
      <c r="N1823" s="130" t="s">
        <v>120</v>
      </c>
      <c r="O1823" s="130" t="s">
        <v>2137</v>
      </c>
      <c r="P1823" s="130" t="s">
        <v>2138</v>
      </c>
      <c r="Q1823" s="130" t="s">
        <v>1127</v>
      </c>
      <c r="R1823" s="130" t="s">
        <v>1191</v>
      </c>
      <c r="S1823" s="130" t="s">
        <v>1157</v>
      </c>
      <c r="T1823" s="130" t="s">
        <v>2139</v>
      </c>
      <c r="U1823" s="130">
        <v>56000</v>
      </c>
      <c r="V1823" s="131">
        <v>0</v>
      </c>
      <c r="W1823" s="131">
        <v>56000</v>
      </c>
      <c r="X1823" s="131">
        <v>35100</v>
      </c>
      <c r="Y1823" s="131">
        <v>20900</v>
      </c>
      <c r="Z1823" s="131">
        <v>35100</v>
      </c>
      <c r="AA1823" s="131">
        <v>20900</v>
      </c>
      <c r="AB1823" s="131">
        <v>30600</v>
      </c>
      <c r="AC1823" s="131">
        <v>25400</v>
      </c>
      <c r="AD1823" s="131">
        <v>14400</v>
      </c>
      <c r="AE1823" s="132">
        <v>41600</v>
      </c>
    </row>
    <row r="1824" spans="1:31" x14ac:dyDescent="0.2">
      <c r="A1824" s="133">
        <v>298</v>
      </c>
      <c r="B1824" s="133" t="s">
        <v>1841</v>
      </c>
      <c r="C1824" s="133" t="s">
        <v>1199</v>
      </c>
      <c r="D1824" s="133" t="s">
        <v>2135</v>
      </c>
      <c r="E1824" s="133" t="s">
        <v>1855</v>
      </c>
      <c r="F1824" s="133" t="s">
        <v>1117</v>
      </c>
      <c r="G1824" s="130" t="s">
        <v>1118</v>
      </c>
      <c r="H1824" s="130" t="s">
        <v>1149</v>
      </c>
      <c r="I1824" s="130" t="s">
        <v>1182</v>
      </c>
      <c r="J1824" s="130" t="s">
        <v>1347</v>
      </c>
      <c r="K1824" s="130" t="s">
        <v>1348</v>
      </c>
      <c r="L1824" s="130" t="s">
        <v>2136</v>
      </c>
      <c r="M1824" s="130" t="s">
        <v>1925</v>
      </c>
      <c r="N1824" s="130" t="s">
        <v>120</v>
      </c>
      <c r="O1824" s="130" t="s">
        <v>2137</v>
      </c>
      <c r="P1824" s="130" t="s">
        <v>2138</v>
      </c>
      <c r="Q1824" s="130" t="s">
        <v>1127</v>
      </c>
      <c r="R1824" s="130" t="s">
        <v>1191</v>
      </c>
      <c r="S1824" s="130" t="s">
        <v>1157</v>
      </c>
      <c r="T1824" s="130" t="s">
        <v>2139</v>
      </c>
      <c r="U1824" s="130">
        <v>0</v>
      </c>
      <c r="V1824" s="131">
        <v>6700</v>
      </c>
      <c r="W1824" s="131">
        <v>6700</v>
      </c>
      <c r="X1824" s="131">
        <v>0</v>
      </c>
      <c r="Y1824" s="131">
        <v>6700</v>
      </c>
      <c r="Z1824" s="131">
        <v>0</v>
      </c>
      <c r="AA1824" s="131">
        <v>6700</v>
      </c>
      <c r="AB1824" s="131">
        <v>0</v>
      </c>
      <c r="AC1824" s="131">
        <v>6700</v>
      </c>
      <c r="AD1824" s="131">
        <v>0</v>
      </c>
      <c r="AE1824" s="132">
        <v>6700</v>
      </c>
    </row>
    <row r="1825" spans="1:31" x14ac:dyDescent="0.2">
      <c r="A1825" s="130">
        <v>299</v>
      </c>
      <c r="B1825" s="130" t="s">
        <v>1841</v>
      </c>
      <c r="C1825" s="130" t="s">
        <v>1199</v>
      </c>
      <c r="D1825" s="130" t="s">
        <v>2140</v>
      </c>
      <c r="E1825" s="130" t="s">
        <v>1201</v>
      </c>
      <c r="F1825" s="130" t="s">
        <v>1117</v>
      </c>
      <c r="G1825" s="130" t="s">
        <v>1202</v>
      </c>
      <c r="H1825" s="130" t="s">
        <v>1216</v>
      </c>
      <c r="I1825" s="130" t="s">
        <v>1301</v>
      </c>
      <c r="J1825" s="130" t="s">
        <v>1301</v>
      </c>
      <c r="K1825" s="130" t="s">
        <v>1302</v>
      </c>
      <c r="L1825" s="130" t="s">
        <v>2141</v>
      </c>
      <c r="M1825" s="130" t="s">
        <v>1925</v>
      </c>
      <c r="N1825" s="130" t="s">
        <v>1568</v>
      </c>
      <c r="O1825" s="130" t="s">
        <v>1569</v>
      </c>
      <c r="P1825" s="130" t="s">
        <v>2142</v>
      </c>
      <c r="Q1825" s="130" t="s">
        <v>1127</v>
      </c>
      <c r="R1825" s="130" t="s">
        <v>1191</v>
      </c>
      <c r="S1825" s="130" t="s">
        <v>1191</v>
      </c>
      <c r="T1825" s="130" t="s">
        <v>1847</v>
      </c>
      <c r="U1825" s="130">
        <v>5400</v>
      </c>
      <c r="V1825" s="131">
        <v>0</v>
      </c>
      <c r="W1825" s="131">
        <v>5400</v>
      </c>
      <c r="X1825" s="131">
        <v>0</v>
      </c>
      <c r="Y1825" s="131">
        <v>5400</v>
      </c>
      <c r="Z1825" s="131">
        <v>0</v>
      </c>
      <c r="AA1825" s="131">
        <v>5400</v>
      </c>
      <c r="AB1825" s="131">
        <v>0</v>
      </c>
      <c r="AC1825" s="131">
        <v>5400</v>
      </c>
      <c r="AD1825" s="131">
        <v>0</v>
      </c>
      <c r="AE1825" s="132">
        <v>5400</v>
      </c>
    </row>
    <row r="1826" spans="1:31" x14ac:dyDescent="0.2">
      <c r="A1826" s="133">
        <v>299</v>
      </c>
      <c r="B1826" s="133" t="s">
        <v>1841</v>
      </c>
      <c r="C1826" s="133" t="s">
        <v>1199</v>
      </c>
      <c r="D1826" s="133" t="s">
        <v>2140</v>
      </c>
      <c r="E1826" s="133" t="s">
        <v>1201</v>
      </c>
      <c r="F1826" s="133" t="s">
        <v>1117</v>
      </c>
      <c r="G1826" s="133" t="s">
        <v>1202</v>
      </c>
      <c r="H1826" s="133" t="s">
        <v>1216</v>
      </c>
      <c r="I1826" s="130" t="s">
        <v>1217</v>
      </c>
      <c r="J1826" s="130" t="s">
        <v>1218</v>
      </c>
      <c r="K1826" s="130" t="s">
        <v>1219</v>
      </c>
      <c r="L1826" s="130" t="s">
        <v>2141</v>
      </c>
      <c r="M1826" s="130" t="s">
        <v>1925</v>
      </c>
      <c r="N1826" s="130" t="s">
        <v>1568</v>
      </c>
      <c r="O1826" s="130" t="s">
        <v>1569</v>
      </c>
      <c r="P1826" s="130" t="s">
        <v>2142</v>
      </c>
      <c r="Q1826" s="130" t="s">
        <v>1127</v>
      </c>
      <c r="R1826" s="130" t="s">
        <v>1191</v>
      </c>
      <c r="S1826" s="130" t="s">
        <v>1191</v>
      </c>
      <c r="T1826" s="130" t="s">
        <v>1847</v>
      </c>
      <c r="U1826" s="130">
        <v>21675</v>
      </c>
      <c r="V1826" s="131">
        <v>0</v>
      </c>
      <c r="W1826" s="131">
        <v>21675</v>
      </c>
      <c r="X1826" s="131">
        <v>0</v>
      </c>
      <c r="Y1826" s="131">
        <v>21675</v>
      </c>
      <c r="Z1826" s="131">
        <v>0</v>
      </c>
      <c r="AA1826" s="131">
        <v>21675</v>
      </c>
      <c r="AB1826" s="131">
        <v>0</v>
      </c>
      <c r="AC1826" s="131">
        <v>21675</v>
      </c>
      <c r="AD1826" s="131">
        <v>0</v>
      </c>
      <c r="AE1826" s="132">
        <v>21675</v>
      </c>
    </row>
    <row r="1827" spans="1:31" x14ac:dyDescent="0.2">
      <c r="A1827" s="133">
        <v>299</v>
      </c>
      <c r="B1827" s="133" t="s">
        <v>1841</v>
      </c>
      <c r="C1827" s="133" t="s">
        <v>1199</v>
      </c>
      <c r="D1827" s="133" t="s">
        <v>2140</v>
      </c>
      <c r="E1827" s="133" t="s">
        <v>1201</v>
      </c>
      <c r="F1827" s="133" t="s">
        <v>1117</v>
      </c>
      <c r="G1827" s="133" t="s">
        <v>1202</v>
      </c>
      <c r="H1827" s="133" t="s">
        <v>1216</v>
      </c>
      <c r="I1827" s="130" t="s">
        <v>1242</v>
      </c>
      <c r="J1827" s="130" t="s">
        <v>1243</v>
      </c>
      <c r="K1827" s="130" t="s">
        <v>1303</v>
      </c>
      <c r="L1827" s="130" t="s">
        <v>2141</v>
      </c>
      <c r="M1827" s="130" t="s">
        <v>1925</v>
      </c>
      <c r="N1827" s="130" t="s">
        <v>1568</v>
      </c>
      <c r="O1827" s="130" t="s">
        <v>1569</v>
      </c>
      <c r="P1827" s="130" t="s">
        <v>2142</v>
      </c>
      <c r="Q1827" s="130" t="s">
        <v>1127</v>
      </c>
      <c r="R1827" s="130" t="s">
        <v>1191</v>
      </c>
      <c r="S1827" s="130" t="s">
        <v>1191</v>
      </c>
      <c r="T1827" s="130" t="s">
        <v>1847</v>
      </c>
      <c r="U1827" s="130">
        <v>5214</v>
      </c>
      <c r="V1827" s="131">
        <v>0</v>
      </c>
      <c r="W1827" s="131">
        <v>5214</v>
      </c>
      <c r="X1827" s="131">
        <v>0</v>
      </c>
      <c r="Y1827" s="131">
        <v>5214</v>
      </c>
      <c r="Z1827" s="131">
        <v>0</v>
      </c>
      <c r="AA1827" s="131">
        <v>5214</v>
      </c>
      <c r="AB1827" s="131">
        <v>0</v>
      </c>
      <c r="AC1827" s="131">
        <v>5214</v>
      </c>
      <c r="AD1827" s="131">
        <v>0</v>
      </c>
      <c r="AE1827" s="132">
        <v>5214</v>
      </c>
    </row>
    <row r="1828" spans="1:31" x14ac:dyDescent="0.2">
      <c r="A1828" s="133">
        <v>299</v>
      </c>
      <c r="B1828" s="133" t="s">
        <v>1841</v>
      </c>
      <c r="C1828" s="133" t="s">
        <v>1199</v>
      </c>
      <c r="D1828" s="133" t="s">
        <v>2140</v>
      </c>
      <c r="E1828" s="133" t="s">
        <v>1201</v>
      </c>
      <c r="F1828" s="133" t="s">
        <v>1117</v>
      </c>
      <c r="G1828" s="133" t="s">
        <v>1202</v>
      </c>
      <c r="H1828" s="133" t="s">
        <v>1216</v>
      </c>
      <c r="I1828" s="130" t="s">
        <v>1222</v>
      </c>
      <c r="J1828" s="130" t="s">
        <v>1304</v>
      </c>
      <c r="K1828" s="130" t="s">
        <v>1248</v>
      </c>
      <c r="L1828" s="130" t="s">
        <v>2141</v>
      </c>
      <c r="M1828" s="130" t="s">
        <v>1925</v>
      </c>
      <c r="N1828" s="130" t="s">
        <v>1568</v>
      </c>
      <c r="O1828" s="130" t="s">
        <v>1569</v>
      </c>
      <c r="P1828" s="130" t="s">
        <v>2142</v>
      </c>
      <c r="Q1828" s="130" t="s">
        <v>1127</v>
      </c>
      <c r="R1828" s="130" t="s">
        <v>1191</v>
      </c>
      <c r="S1828" s="130" t="s">
        <v>1191</v>
      </c>
      <c r="T1828" s="130" t="s">
        <v>1847</v>
      </c>
      <c r="U1828" s="130">
        <v>1071</v>
      </c>
      <c r="V1828" s="131">
        <v>0</v>
      </c>
      <c r="W1828" s="131">
        <v>1071</v>
      </c>
      <c r="X1828" s="131">
        <v>0</v>
      </c>
      <c r="Y1828" s="131">
        <v>1071</v>
      </c>
      <c r="Z1828" s="131">
        <v>0</v>
      </c>
      <c r="AA1828" s="131">
        <v>1071</v>
      </c>
      <c r="AB1828" s="131">
        <v>0</v>
      </c>
      <c r="AC1828" s="131">
        <v>1071</v>
      </c>
      <c r="AD1828" s="131">
        <v>0</v>
      </c>
      <c r="AE1828" s="132">
        <v>1071</v>
      </c>
    </row>
    <row r="1829" spans="1:31" x14ac:dyDescent="0.2">
      <c r="A1829" s="133">
        <v>299</v>
      </c>
      <c r="B1829" s="133" t="s">
        <v>1841</v>
      </c>
      <c r="C1829" s="133" t="s">
        <v>1199</v>
      </c>
      <c r="D1829" s="133" t="s">
        <v>2140</v>
      </c>
      <c r="E1829" s="133" t="s">
        <v>1201</v>
      </c>
      <c r="F1829" s="133" t="s">
        <v>1117</v>
      </c>
      <c r="G1829" s="133" t="s">
        <v>1202</v>
      </c>
      <c r="H1829" s="133" t="s">
        <v>1216</v>
      </c>
      <c r="I1829" s="133" t="s">
        <v>1222</v>
      </c>
      <c r="J1829" s="133" t="s">
        <v>1304</v>
      </c>
      <c r="K1829" s="130" t="s">
        <v>1305</v>
      </c>
      <c r="L1829" s="130" t="s">
        <v>2141</v>
      </c>
      <c r="M1829" s="130" t="s">
        <v>1925</v>
      </c>
      <c r="N1829" s="130" t="s">
        <v>1568</v>
      </c>
      <c r="O1829" s="130" t="s">
        <v>1569</v>
      </c>
      <c r="P1829" s="130" t="s">
        <v>2142</v>
      </c>
      <c r="Q1829" s="130" t="s">
        <v>1127</v>
      </c>
      <c r="R1829" s="130" t="s">
        <v>1191</v>
      </c>
      <c r="S1829" s="130" t="s">
        <v>1191</v>
      </c>
      <c r="T1829" s="130" t="s">
        <v>1847</v>
      </c>
      <c r="U1829" s="130">
        <v>8302</v>
      </c>
      <c r="V1829" s="131">
        <v>0</v>
      </c>
      <c r="W1829" s="131">
        <v>8302</v>
      </c>
      <c r="X1829" s="131">
        <v>0</v>
      </c>
      <c r="Y1829" s="131">
        <v>8302</v>
      </c>
      <c r="Z1829" s="131">
        <v>0</v>
      </c>
      <c r="AA1829" s="131">
        <v>8302</v>
      </c>
      <c r="AB1829" s="131">
        <v>0</v>
      </c>
      <c r="AC1829" s="131">
        <v>8302</v>
      </c>
      <c r="AD1829" s="131">
        <v>0</v>
      </c>
      <c r="AE1829" s="132">
        <v>8302</v>
      </c>
    </row>
    <row r="1830" spans="1:31" x14ac:dyDescent="0.2">
      <c r="A1830" s="133">
        <v>299</v>
      </c>
      <c r="B1830" s="133" t="s">
        <v>1841</v>
      </c>
      <c r="C1830" s="133" t="s">
        <v>1199</v>
      </c>
      <c r="D1830" s="133" t="s">
        <v>2140</v>
      </c>
      <c r="E1830" s="133" t="s">
        <v>1201</v>
      </c>
      <c r="F1830" s="133" t="s">
        <v>1117</v>
      </c>
      <c r="G1830" s="133" t="s">
        <v>1202</v>
      </c>
      <c r="H1830" s="133" t="s">
        <v>1216</v>
      </c>
      <c r="I1830" s="133" t="s">
        <v>1222</v>
      </c>
      <c r="J1830" s="130" t="s">
        <v>1245</v>
      </c>
      <c r="K1830" s="130" t="s">
        <v>1246</v>
      </c>
      <c r="L1830" s="130" t="s">
        <v>2141</v>
      </c>
      <c r="M1830" s="130" t="s">
        <v>1925</v>
      </c>
      <c r="N1830" s="130" t="s">
        <v>1568</v>
      </c>
      <c r="O1830" s="130" t="s">
        <v>1569</v>
      </c>
      <c r="P1830" s="130" t="s">
        <v>2142</v>
      </c>
      <c r="Q1830" s="130" t="s">
        <v>1127</v>
      </c>
      <c r="R1830" s="130" t="s">
        <v>1191</v>
      </c>
      <c r="S1830" s="130" t="s">
        <v>1191</v>
      </c>
      <c r="T1830" s="130" t="s">
        <v>1847</v>
      </c>
      <c r="U1830" s="130">
        <v>100</v>
      </c>
      <c r="V1830" s="131">
        <v>0</v>
      </c>
      <c r="W1830" s="131">
        <v>100</v>
      </c>
      <c r="X1830" s="131">
        <v>0</v>
      </c>
      <c r="Y1830" s="131">
        <v>100</v>
      </c>
      <c r="Z1830" s="131">
        <v>0</v>
      </c>
      <c r="AA1830" s="131">
        <v>100</v>
      </c>
      <c r="AB1830" s="131">
        <v>0</v>
      </c>
      <c r="AC1830" s="131">
        <v>100</v>
      </c>
      <c r="AD1830" s="131">
        <v>0</v>
      </c>
      <c r="AE1830" s="132">
        <v>100</v>
      </c>
    </row>
    <row r="1831" spans="1:31" x14ac:dyDescent="0.2">
      <c r="A1831" s="133">
        <v>299</v>
      </c>
      <c r="B1831" s="133" t="s">
        <v>1841</v>
      </c>
      <c r="C1831" s="133" t="s">
        <v>1199</v>
      </c>
      <c r="D1831" s="133" t="s">
        <v>2140</v>
      </c>
      <c r="E1831" s="133" t="s">
        <v>1201</v>
      </c>
      <c r="F1831" s="133" t="s">
        <v>1117</v>
      </c>
      <c r="G1831" s="133" t="s">
        <v>1202</v>
      </c>
      <c r="H1831" s="133" t="s">
        <v>1216</v>
      </c>
      <c r="I1831" s="130" t="s">
        <v>1252</v>
      </c>
      <c r="J1831" s="130" t="s">
        <v>1253</v>
      </c>
      <c r="K1831" s="130" t="s">
        <v>1899</v>
      </c>
      <c r="L1831" s="130" t="s">
        <v>2141</v>
      </c>
      <c r="M1831" s="130" t="s">
        <v>1925</v>
      </c>
      <c r="N1831" s="130" t="s">
        <v>1568</v>
      </c>
      <c r="O1831" s="130" t="s">
        <v>1569</v>
      </c>
      <c r="P1831" s="130" t="s">
        <v>2142</v>
      </c>
      <c r="Q1831" s="130" t="s">
        <v>1127</v>
      </c>
      <c r="R1831" s="130" t="s">
        <v>1191</v>
      </c>
      <c r="S1831" s="130" t="s">
        <v>1191</v>
      </c>
      <c r="T1831" s="130" t="s">
        <v>1847</v>
      </c>
      <c r="U1831" s="130">
        <v>405</v>
      </c>
      <c r="V1831" s="131">
        <v>0</v>
      </c>
      <c r="W1831" s="131">
        <v>405</v>
      </c>
      <c r="X1831" s="131">
        <v>0</v>
      </c>
      <c r="Y1831" s="131">
        <v>405</v>
      </c>
      <c r="Z1831" s="131">
        <v>0</v>
      </c>
      <c r="AA1831" s="131">
        <v>405</v>
      </c>
      <c r="AB1831" s="131">
        <v>0</v>
      </c>
      <c r="AC1831" s="131">
        <v>405</v>
      </c>
      <c r="AD1831" s="131">
        <v>0</v>
      </c>
      <c r="AE1831" s="132">
        <v>405</v>
      </c>
    </row>
    <row r="1832" spans="1:31" x14ac:dyDescent="0.2">
      <c r="A1832" s="133">
        <v>299</v>
      </c>
      <c r="B1832" s="133" t="s">
        <v>1841</v>
      </c>
      <c r="C1832" s="133" t="s">
        <v>1199</v>
      </c>
      <c r="D1832" s="133" t="s">
        <v>2140</v>
      </c>
      <c r="E1832" s="133" t="s">
        <v>1201</v>
      </c>
      <c r="F1832" s="133" t="s">
        <v>1117</v>
      </c>
      <c r="G1832" s="133" t="s">
        <v>1202</v>
      </c>
      <c r="H1832" s="130" t="s">
        <v>1203</v>
      </c>
      <c r="I1832" s="130" t="s">
        <v>1209</v>
      </c>
      <c r="J1832" s="130" t="s">
        <v>1210</v>
      </c>
      <c r="K1832" s="130" t="s">
        <v>1539</v>
      </c>
      <c r="L1832" s="130" t="s">
        <v>2141</v>
      </c>
      <c r="M1832" s="130" t="s">
        <v>1925</v>
      </c>
      <c r="N1832" s="130" t="s">
        <v>1568</v>
      </c>
      <c r="O1832" s="130" t="s">
        <v>1569</v>
      </c>
      <c r="P1832" s="130" t="s">
        <v>2142</v>
      </c>
      <c r="Q1832" s="130" t="s">
        <v>1127</v>
      </c>
      <c r="R1832" s="130" t="s">
        <v>1191</v>
      </c>
      <c r="S1832" s="130" t="s">
        <v>1191</v>
      </c>
      <c r="T1832" s="130" t="s">
        <v>1847</v>
      </c>
      <c r="U1832" s="130">
        <v>7875</v>
      </c>
      <c r="V1832" s="131">
        <v>0</v>
      </c>
      <c r="W1832" s="131">
        <v>7875</v>
      </c>
      <c r="X1832" s="131">
        <v>0</v>
      </c>
      <c r="Y1832" s="131">
        <v>7875</v>
      </c>
      <c r="Z1832" s="131">
        <v>0</v>
      </c>
      <c r="AA1832" s="131">
        <v>7875</v>
      </c>
      <c r="AB1832" s="131">
        <v>0</v>
      </c>
      <c r="AC1832" s="131">
        <v>7875</v>
      </c>
      <c r="AD1832" s="131">
        <v>0</v>
      </c>
      <c r="AE1832" s="132">
        <v>7875</v>
      </c>
    </row>
    <row r="1833" spans="1:31" x14ac:dyDescent="0.2">
      <c r="A1833" s="133">
        <v>299</v>
      </c>
      <c r="B1833" s="133" t="s">
        <v>1841</v>
      </c>
      <c r="C1833" s="133" t="s">
        <v>1199</v>
      </c>
      <c r="D1833" s="133" t="s">
        <v>2140</v>
      </c>
      <c r="E1833" s="133" t="s">
        <v>1201</v>
      </c>
      <c r="F1833" s="133" t="s">
        <v>1117</v>
      </c>
      <c r="G1833" s="133" t="s">
        <v>1202</v>
      </c>
      <c r="H1833" s="133" t="s">
        <v>1203</v>
      </c>
      <c r="I1833" s="133" t="s">
        <v>1209</v>
      </c>
      <c r="J1833" s="133" t="s">
        <v>1210</v>
      </c>
      <c r="K1833" s="130" t="s">
        <v>1211</v>
      </c>
      <c r="L1833" s="130" t="s">
        <v>2141</v>
      </c>
      <c r="M1833" s="130" t="s">
        <v>1925</v>
      </c>
      <c r="N1833" s="130" t="s">
        <v>1568</v>
      </c>
      <c r="O1833" s="130" t="s">
        <v>1569</v>
      </c>
      <c r="P1833" s="130" t="s">
        <v>2142</v>
      </c>
      <c r="Q1833" s="130" t="s">
        <v>1127</v>
      </c>
      <c r="R1833" s="130" t="s">
        <v>1191</v>
      </c>
      <c r="S1833" s="130" t="s">
        <v>1191</v>
      </c>
      <c r="T1833" s="130" t="s">
        <v>1847</v>
      </c>
      <c r="U1833" s="130">
        <v>8358</v>
      </c>
      <c r="V1833" s="131">
        <v>0</v>
      </c>
      <c r="W1833" s="131">
        <v>8358</v>
      </c>
      <c r="X1833" s="131">
        <v>0</v>
      </c>
      <c r="Y1833" s="131">
        <v>8358</v>
      </c>
      <c r="Z1833" s="131">
        <v>0</v>
      </c>
      <c r="AA1833" s="131">
        <v>8358</v>
      </c>
      <c r="AB1833" s="131">
        <v>0</v>
      </c>
      <c r="AC1833" s="131">
        <v>8358</v>
      </c>
      <c r="AD1833" s="131">
        <v>0</v>
      </c>
      <c r="AE1833" s="132">
        <v>8358</v>
      </c>
    </row>
    <row r="1834" spans="1:31" x14ac:dyDescent="0.2">
      <c r="A1834" s="133">
        <v>299</v>
      </c>
      <c r="B1834" s="133" t="s">
        <v>1841</v>
      </c>
      <c r="C1834" s="133" t="s">
        <v>1199</v>
      </c>
      <c r="D1834" s="133" t="s">
        <v>2140</v>
      </c>
      <c r="E1834" s="133" t="s">
        <v>1201</v>
      </c>
      <c r="F1834" s="133" t="s">
        <v>1117</v>
      </c>
      <c r="G1834" s="133" t="s">
        <v>1202</v>
      </c>
      <c r="H1834" s="133" t="s">
        <v>1203</v>
      </c>
      <c r="I1834" s="133" t="s">
        <v>1209</v>
      </c>
      <c r="J1834" s="130" t="s">
        <v>1324</v>
      </c>
      <c r="K1834" s="130" t="s">
        <v>1325</v>
      </c>
      <c r="L1834" s="130" t="s">
        <v>2141</v>
      </c>
      <c r="M1834" s="130" t="s">
        <v>1925</v>
      </c>
      <c r="N1834" s="130" t="s">
        <v>1568</v>
      </c>
      <c r="O1834" s="130" t="s">
        <v>1569</v>
      </c>
      <c r="P1834" s="130" t="s">
        <v>2142</v>
      </c>
      <c r="Q1834" s="130" t="s">
        <v>1127</v>
      </c>
      <c r="R1834" s="130" t="s">
        <v>1191</v>
      </c>
      <c r="S1834" s="130" t="s">
        <v>1191</v>
      </c>
      <c r="T1834" s="130" t="s">
        <v>1847</v>
      </c>
      <c r="U1834" s="130">
        <v>21600</v>
      </c>
      <c r="V1834" s="131">
        <v>0</v>
      </c>
      <c r="W1834" s="131">
        <v>21600</v>
      </c>
      <c r="X1834" s="131">
        <v>16500</v>
      </c>
      <c r="Y1834" s="131">
        <v>5100</v>
      </c>
      <c r="Z1834" s="131">
        <v>16500</v>
      </c>
      <c r="AA1834" s="131">
        <v>5100</v>
      </c>
      <c r="AB1834" s="131">
        <v>16500</v>
      </c>
      <c r="AC1834" s="131">
        <v>5100</v>
      </c>
      <c r="AD1834" s="131">
        <v>16500</v>
      </c>
      <c r="AE1834" s="132">
        <v>5100</v>
      </c>
    </row>
    <row r="1835" spans="1:31" x14ac:dyDescent="0.2">
      <c r="A1835" s="130">
        <v>300</v>
      </c>
      <c r="B1835" s="130" t="s">
        <v>1841</v>
      </c>
      <c r="C1835" s="130" t="s">
        <v>1199</v>
      </c>
      <c r="D1835" s="130" t="s">
        <v>2143</v>
      </c>
      <c r="E1835" s="130" t="s">
        <v>1201</v>
      </c>
      <c r="F1835" s="130" t="s">
        <v>1117</v>
      </c>
      <c r="G1835" s="130" t="s">
        <v>1276</v>
      </c>
      <c r="H1835" s="130" t="s">
        <v>1277</v>
      </c>
      <c r="I1835" s="130" t="s">
        <v>1278</v>
      </c>
      <c r="J1835" s="130" t="s">
        <v>1278</v>
      </c>
      <c r="K1835" s="130" t="s">
        <v>1281</v>
      </c>
      <c r="L1835" s="130" t="s">
        <v>2144</v>
      </c>
      <c r="M1835" s="130" t="s">
        <v>1925</v>
      </c>
      <c r="N1835" s="130" t="s">
        <v>120</v>
      </c>
      <c r="O1835" s="130" t="s">
        <v>1845</v>
      </c>
      <c r="P1835" s="130" t="s">
        <v>1846</v>
      </c>
      <c r="Q1835" s="130" t="s">
        <v>1127</v>
      </c>
      <c r="R1835" s="130" t="s">
        <v>1191</v>
      </c>
      <c r="S1835" s="130" t="s">
        <v>1191</v>
      </c>
      <c r="T1835" s="130" t="s">
        <v>1847</v>
      </c>
      <c r="U1835" s="130">
        <v>17707</v>
      </c>
      <c r="V1835" s="131">
        <v>0</v>
      </c>
      <c r="W1835" s="131">
        <v>17707</v>
      </c>
      <c r="X1835" s="131">
        <v>0</v>
      </c>
      <c r="Y1835" s="131">
        <v>17707</v>
      </c>
      <c r="Z1835" s="131">
        <v>0</v>
      </c>
      <c r="AA1835" s="131">
        <v>17707</v>
      </c>
      <c r="AB1835" s="131">
        <v>0</v>
      </c>
      <c r="AC1835" s="131">
        <v>17707</v>
      </c>
      <c r="AD1835" s="131">
        <v>0</v>
      </c>
      <c r="AE1835" s="132">
        <v>17707</v>
      </c>
    </row>
    <row r="1836" spans="1:31" x14ac:dyDescent="0.2">
      <c r="A1836" s="133">
        <v>300</v>
      </c>
      <c r="B1836" s="133" t="s">
        <v>1841</v>
      </c>
      <c r="C1836" s="133" t="s">
        <v>1199</v>
      </c>
      <c r="D1836" s="133" t="s">
        <v>2143</v>
      </c>
      <c r="E1836" s="133" t="s">
        <v>1201</v>
      </c>
      <c r="F1836" s="133" t="s">
        <v>1117</v>
      </c>
      <c r="G1836" s="133" t="s">
        <v>1276</v>
      </c>
      <c r="H1836" s="133" t="s">
        <v>1277</v>
      </c>
      <c r="I1836" s="130" t="s">
        <v>2145</v>
      </c>
      <c r="J1836" s="130" t="s">
        <v>2146</v>
      </c>
      <c r="K1836" s="130" t="s">
        <v>2147</v>
      </c>
      <c r="L1836" s="130" t="s">
        <v>2144</v>
      </c>
      <c r="M1836" s="130" t="s">
        <v>1925</v>
      </c>
      <c r="N1836" s="130" t="s">
        <v>120</v>
      </c>
      <c r="O1836" s="130" t="s">
        <v>1845</v>
      </c>
      <c r="P1836" s="130" t="s">
        <v>1846</v>
      </c>
      <c r="Q1836" s="130" t="s">
        <v>1127</v>
      </c>
      <c r="R1836" s="130" t="s">
        <v>1191</v>
      </c>
      <c r="S1836" s="130" t="s">
        <v>1191</v>
      </c>
      <c r="T1836" s="130" t="s">
        <v>1847</v>
      </c>
      <c r="U1836" s="130">
        <v>978120</v>
      </c>
      <c r="V1836" s="131">
        <v>0</v>
      </c>
      <c r="W1836" s="131">
        <v>978120</v>
      </c>
      <c r="X1836" s="131">
        <v>978120</v>
      </c>
      <c r="Y1836" s="131">
        <v>0</v>
      </c>
      <c r="Z1836" s="131">
        <v>978120</v>
      </c>
      <c r="AA1836" s="131">
        <v>0</v>
      </c>
      <c r="AB1836" s="131">
        <v>407550</v>
      </c>
      <c r="AC1836" s="131">
        <v>570570</v>
      </c>
      <c r="AD1836" s="131">
        <v>407550</v>
      </c>
      <c r="AE1836" s="132">
        <v>570570</v>
      </c>
    </row>
    <row r="1837" spans="1:31" x14ac:dyDescent="0.2">
      <c r="A1837" s="133">
        <v>300</v>
      </c>
      <c r="B1837" s="133" t="s">
        <v>1841</v>
      </c>
      <c r="C1837" s="133" t="s">
        <v>1199</v>
      </c>
      <c r="D1837" s="133" t="s">
        <v>2143</v>
      </c>
      <c r="E1837" s="133" t="s">
        <v>1201</v>
      </c>
      <c r="F1837" s="133" t="s">
        <v>1117</v>
      </c>
      <c r="G1837" s="133" t="s">
        <v>1276</v>
      </c>
      <c r="H1837" s="133" t="s">
        <v>1277</v>
      </c>
      <c r="I1837" s="130" t="s">
        <v>1285</v>
      </c>
      <c r="J1837" s="130" t="s">
        <v>1286</v>
      </c>
      <c r="K1837" s="130" t="s">
        <v>1287</v>
      </c>
      <c r="L1837" s="130" t="s">
        <v>2144</v>
      </c>
      <c r="M1837" s="130" t="s">
        <v>1925</v>
      </c>
      <c r="N1837" s="130" t="s">
        <v>120</v>
      </c>
      <c r="O1837" s="130" t="s">
        <v>1845</v>
      </c>
      <c r="P1837" s="130" t="s">
        <v>1846</v>
      </c>
      <c r="Q1837" s="130" t="s">
        <v>1127</v>
      </c>
      <c r="R1837" s="130" t="s">
        <v>1191</v>
      </c>
      <c r="S1837" s="130" t="s">
        <v>1191</v>
      </c>
      <c r="T1837" s="130" t="s">
        <v>1847</v>
      </c>
      <c r="U1837" s="130">
        <v>50741</v>
      </c>
      <c r="V1837" s="131">
        <v>2400</v>
      </c>
      <c r="W1837" s="131">
        <v>53141</v>
      </c>
      <c r="X1837" s="131">
        <v>53141</v>
      </c>
      <c r="Y1837" s="131">
        <v>0</v>
      </c>
      <c r="Z1837" s="131">
        <v>53141</v>
      </c>
      <c r="AA1837" s="131">
        <v>0</v>
      </c>
      <c r="AB1837" s="131">
        <v>6143.75</v>
      </c>
      <c r="AC1837" s="131">
        <v>46997.25</v>
      </c>
      <c r="AD1837" s="131">
        <v>6143.75</v>
      </c>
      <c r="AE1837" s="132">
        <v>46997.25</v>
      </c>
    </row>
    <row r="1838" spans="1:31" x14ac:dyDescent="0.2">
      <c r="A1838" s="133">
        <v>300</v>
      </c>
      <c r="B1838" s="133" t="s">
        <v>1841</v>
      </c>
      <c r="C1838" s="133" t="s">
        <v>1199</v>
      </c>
      <c r="D1838" s="133" t="s">
        <v>2143</v>
      </c>
      <c r="E1838" s="133" t="s">
        <v>1201</v>
      </c>
      <c r="F1838" s="133" t="s">
        <v>1117</v>
      </c>
      <c r="G1838" s="133" t="s">
        <v>1276</v>
      </c>
      <c r="H1838" s="133" t="s">
        <v>1277</v>
      </c>
      <c r="I1838" s="130" t="s">
        <v>1288</v>
      </c>
      <c r="J1838" s="130" t="s">
        <v>1289</v>
      </c>
      <c r="K1838" s="130" t="s">
        <v>1290</v>
      </c>
      <c r="L1838" s="130" t="s">
        <v>2144</v>
      </c>
      <c r="M1838" s="130" t="s">
        <v>1925</v>
      </c>
      <c r="N1838" s="130" t="s">
        <v>120</v>
      </c>
      <c r="O1838" s="130" t="s">
        <v>1845</v>
      </c>
      <c r="P1838" s="130" t="s">
        <v>1846</v>
      </c>
      <c r="Q1838" s="130" t="s">
        <v>1127</v>
      </c>
      <c r="R1838" s="130" t="s">
        <v>1191</v>
      </c>
      <c r="S1838" s="130" t="s">
        <v>1191</v>
      </c>
      <c r="T1838" s="130" t="s">
        <v>1847</v>
      </c>
      <c r="U1838" s="130">
        <v>10000</v>
      </c>
      <c r="V1838" s="131">
        <v>0</v>
      </c>
      <c r="W1838" s="131">
        <v>10000</v>
      </c>
      <c r="X1838" s="131">
        <v>0</v>
      </c>
      <c r="Y1838" s="131">
        <v>10000</v>
      </c>
      <c r="Z1838" s="131">
        <v>0</v>
      </c>
      <c r="AA1838" s="131">
        <v>10000</v>
      </c>
      <c r="AB1838" s="131">
        <v>0</v>
      </c>
      <c r="AC1838" s="131">
        <v>10000</v>
      </c>
      <c r="AD1838" s="131">
        <v>0</v>
      </c>
      <c r="AE1838" s="132">
        <v>10000</v>
      </c>
    </row>
    <row r="1839" spans="1:31" x14ac:dyDescent="0.2">
      <c r="A1839" s="133">
        <v>300</v>
      </c>
      <c r="B1839" s="133" t="s">
        <v>1841</v>
      </c>
      <c r="C1839" s="133" t="s">
        <v>1199</v>
      </c>
      <c r="D1839" s="133" t="s">
        <v>2143</v>
      </c>
      <c r="E1839" s="133" t="s">
        <v>1201</v>
      </c>
      <c r="F1839" s="133" t="s">
        <v>1117</v>
      </c>
      <c r="G1839" s="133" t="s">
        <v>1276</v>
      </c>
      <c r="H1839" s="133" t="s">
        <v>1277</v>
      </c>
      <c r="I1839" s="133" t="s">
        <v>1288</v>
      </c>
      <c r="J1839" s="133" t="s">
        <v>1289</v>
      </c>
      <c r="K1839" s="130" t="s">
        <v>1291</v>
      </c>
      <c r="L1839" s="130" t="s">
        <v>2144</v>
      </c>
      <c r="M1839" s="130" t="s">
        <v>1925</v>
      </c>
      <c r="N1839" s="130" t="s">
        <v>120</v>
      </c>
      <c r="O1839" s="130" t="s">
        <v>1845</v>
      </c>
      <c r="P1839" s="130" t="s">
        <v>1846</v>
      </c>
      <c r="Q1839" s="130" t="s">
        <v>1127</v>
      </c>
      <c r="R1839" s="130" t="s">
        <v>1191</v>
      </c>
      <c r="S1839" s="130" t="s">
        <v>1191</v>
      </c>
      <c r="T1839" s="130" t="s">
        <v>1847</v>
      </c>
      <c r="U1839" s="130">
        <v>7600</v>
      </c>
      <c r="V1839" s="131">
        <v>0</v>
      </c>
      <c r="W1839" s="131">
        <v>7600</v>
      </c>
      <c r="X1839" s="131">
        <v>0</v>
      </c>
      <c r="Y1839" s="131">
        <v>7600</v>
      </c>
      <c r="Z1839" s="131">
        <v>0</v>
      </c>
      <c r="AA1839" s="131">
        <v>7600</v>
      </c>
      <c r="AB1839" s="131">
        <v>0</v>
      </c>
      <c r="AC1839" s="131">
        <v>7600</v>
      </c>
      <c r="AD1839" s="131">
        <v>0</v>
      </c>
      <c r="AE1839" s="132">
        <v>7600</v>
      </c>
    </row>
    <row r="1840" spans="1:31" x14ac:dyDescent="0.2">
      <c r="A1840" s="133">
        <v>300</v>
      </c>
      <c r="B1840" s="133" t="s">
        <v>1841</v>
      </c>
      <c r="C1840" s="133" t="s">
        <v>1199</v>
      </c>
      <c r="D1840" s="133" t="s">
        <v>2143</v>
      </c>
      <c r="E1840" s="133" t="s">
        <v>1201</v>
      </c>
      <c r="F1840" s="133" t="s">
        <v>1117</v>
      </c>
      <c r="G1840" s="133" t="s">
        <v>1276</v>
      </c>
      <c r="H1840" s="133" t="s">
        <v>1277</v>
      </c>
      <c r="I1840" s="133" t="s">
        <v>1288</v>
      </c>
      <c r="J1840" s="133" t="s">
        <v>1289</v>
      </c>
      <c r="K1840" s="130" t="s">
        <v>1292</v>
      </c>
      <c r="L1840" s="130" t="s">
        <v>2144</v>
      </c>
      <c r="M1840" s="130" t="s">
        <v>1925</v>
      </c>
      <c r="N1840" s="130" t="s">
        <v>120</v>
      </c>
      <c r="O1840" s="130" t="s">
        <v>1845</v>
      </c>
      <c r="P1840" s="130" t="s">
        <v>1846</v>
      </c>
      <c r="Q1840" s="130" t="s">
        <v>1127</v>
      </c>
      <c r="R1840" s="130" t="s">
        <v>1191</v>
      </c>
      <c r="S1840" s="130" t="s">
        <v>1191</v>
      </c>
      <c r="T1840" s="130" t="s">
        <v>1847</v>
      </c>
      <c r="U1840" s="130">
        <v>1200</v>
      </c>
      <c r="V1840" s="131">
        <v>0</v>
      </c>
      <c r="W1840" s="131">
        <v>1200</v>
      </c>
      <c r="X1840" s="131">
        <v>1200</v>
      </c>
      <c r="Y1840" s="131">
        <v>0</v>
      </c>
      <c r="Z1840" s="131">
        <v>1200</v>
      </c>
      <c r="AA1840" s="131">
        <v>0</v>
      </c>
      <c r="AB1840" s="131">
        <v>0</v>
      </c>
      <c r="AC1840" s="131">
        <v>1200</v>
      </c>
      <c r="AD1840" s="131">
        <v>0</v>
      </c>
      <c r="AE1840" s="132">
        <v>1200</v>
      </c>
    </row>
    <row r="1841" spans="1:31" x14ac:dyDescent="0.2">
      <c r="A1841" s="133">
        <v>300</v>
      </c>
      <c r="B1841" s="133" t="s">
        <v>1841</v>
      </c>
      <c r="C1841" s="133" t="s">
        <v>1199</v>
      </c>
      <c r="D1841" s="133" t="s">
        <v>2143</v>
      </c>
      <c r="E1841" s="133" t="s">
        <v>1201</v>
      </c>
      <c r="F1841" s="133" t="s">
        <v>1117</v>
      </c>
      <c r="G1841" s="133" t="s">
        <v>1276</v>
      </c>
      <c r="H1841" s="130" t="s">
        <v>1297</v>
      </c>
      <c r="I1841" s="130" t="s">
        <v>1298</v>
      </c>
      <c r="J1841" s="130" t="s">
        <v>1298</v>
      </c>
      <c r="K1841" s="130" t="s">
        <v>1299</v>
      </c>
      <c r="L1841" s="130" t="s">
        <v>2144</v>
      </c>
      <c r="M1841" s="130" t="s">
        <v>1925</v>
      </c>
      <c r="N1841" s="130" t="s">
        <v>120</v>
      </c>
      <c r="O1841" s="130" t="s">
        <v>1845</v>
      </c>
      <c r="P1841" s="130" t="s">
        <v>1846</v>
      </c>
      <c r="Q1841" s="130" t="s">
        <v>1127</v>
      </c>
      <c r="R1841" s="130" t="s">
        <v>1191</v>
      </c>
      <c r="S1841" s="130" t="s">
        <v>1191</v>
      </c>
      <c r="T1841" s="130" t="s">
        <v>1847</v>
      </c>
      <c r="U1841" s="130">
        <v>3009</v>
      </c>
      <c r="V1841" s="131">
        <v>0</v>
      </c>
      <c r="W1841" s="131">
        <v>3009</v>
      </c>
      <c r="X1841" s="131">
        <v>0</v>
      </c>
      <c r="Y1841" s="131">
        <v>3009</v>
      </c>
      <c r="Z1841" s="131">
        <v>0</v>
      </c>
      <c r="AA1841" s="131">
        <v>3009</v>
      </c>
      <c r="AB1841" s="131">
        <v>0</v>
      </c>
      <c r="AC1841" s="131">
        <v>3009</v>
      </c>
      <c r="AD1841" s="131">
        <v>0</v>
      </c>
      <c r="AE1841" s="132">
        <v>3009</v>
      </c>
    </row>
    <row r="1842" spans="1:31" x14ac:dyDescent="0.2">
      <c r="A1842" s="133">
        <v>300</v>
      </c>
      <c r="B1842" s="133" t="s">
        <v>1841</v>
      </c>
      <c r="C1842" s="133" t="s">
        <v>1199</v>
      </c>
      <c r="D1842" s="133" t="s">
        <v>2143</v>
      </c>
      <c r="E1842" s="133" t="s">
        <v>1201</v>
      </c>
      <c r="F1842" s="133" t="s">
        <v>1117</v>
      </c>
      <c r="G1842" s="133" t="s">
        <v>1276</v>
      </c>
      <c r="H1842" s="133" t="s">
        <v>1297</v>
      </c>
      <c r="I1842" s="133" t="s">
        <v>1298</v>
      </c>
      <c r="J1842" s="133" t="s">
        <v>1298</v>
      </c>
      <c r="K1842" s="130" t="s">
        <v>1300</v>
      </c>
      <c r="L1842" s="130" t="s">
        <v>2144</v>
      </c>
      <c r="M1842" s="130" t="s">
        <v>1925</v>
      </c>
      <c r="N1842" s="130" t="s">
        <v>120</v>
      </c>
      <c r="O1842" s="130" t="s">
        <v>1845</v>
      </c>
      <c r="P1842" s="130" t="s">
        <v>1846</v>
      </c>
      <c r="Q1842" s="130" t="s">
        <v>1127</v>
      </c>
      <c r="R1842" s="130" t="s">
        <v>1191</v>
      </c>
      <c r="S1842" s="130" t="s">
        <v>1191</v>
      </c>
      <c r="T1842" s="130" t="s">
        <v>1847</v>
      </c>
      <c r="U1842" s="130">
        <v>4460</v>
      </c>
      <c r="V1842" s="131">
        <v>323</v>
      </c>
      <c r="W1842" s="131">
        <v>4783</v>
      </c>
      <c r="X1842" s="131">
        <v>4783</v>
      </c>
      <c r="Y1842" s="131">
        <v>0</v>
      </c>
      <c r="Z1842" s="131">
        <v>4783</v>
      </c>
      <c r="AA1842" s="131">
        <v>0</v>
      </c>
      <c r="AB1842" s="131">
        <v>527.85</v>
      </c>
      <c r="AC1842" s="131">
        <v>4255.1499999999996</v>
      </c>
      <c r="AD1842" s="131">
        <v>527.85</v>
      </c>
      <c r="AE1842" s="132">
        <v>4255.1499999999996</v>
      </c>
    </row>
    <row r="1843" spans="1:31" x14ac:dyDescent="0.2">
      <c r="A1843" s="133">
        <v>300</v>
      </c>
      <c r="B1843" s="133" t="s">
        <v>1841</v>
      </c>
      <c r="C1843" s="133" t="s">
        <v>1199</v>
      </c>
      <c r="D1843" s="133" t="s">
        <v>2143</v>
      </c>
      <c r="E1843" s="133" t="s">
        <v>1201</v>
      </c>
      <c r="F1843" s="133" t="s">
        <v>1117</v>
      </c>
      <c r="G1843" s="130" t="s">
        <v>1202</v>
      </c>
      <c r="H1843" s="130" t="s">
        <v>1216</v>
      </c>
      <c r="I1843" s="130" t="s">
        <v>1301</v>
      </c>
      <c r="J1843" s="130" t="s">
        <v>1301</v>
      </c>
      <c r="K1843" s="130" t="s">
        <v>1302</v>
      </c>
      <c r="L1843" s="130" t="s">
        <v>2144</v>
      </c>
      <c r="M1843" s="130" t="s">
        <v>1925</v>
      </c>
      <c r="N1843" s="130" t="s">
        <v>120</v>
      </c>
      <c r="O1843" s="130" t="s">
        <v>1845</v>
      </c>
      <c r="P1843" s="130" t="s">
        <v>1846</v>
      </c>
      <c r="Q1843" s="130" t="s">
        <v>1127</v>
      </c>
      <c r="R1843" s="130" t="s">
        <v>1191</v>
      </c>
      <c r="S1843" s="130" t="s">
        <v>1191</v>
      </c>
      <c r="T1843" s="130" t="s">
        <v>1847</v>
      </c>
      <c r="U1843" s="130">
        <v>0</v>
      </c>
      <c r="V1843" s="131">
        <v>4000</v>
      </c>
      <c r="W1843" s="131">
        <v>4000</v>
      </c>
      <c r="X1843" s="131">
        <v>3528.5</v>
      </c>
      <c r="Y1843" s="131">
        <v>471.5</v>
      </c>
      <c r="Z1843" s="131">
        <v>3528.5</v>
      </c>
      <c r="AA1843" s="131">
        <v>471.5</v>
      </c>
      <c r="AB1843" s="131">
        <v>3528.5</v>
      </c>
      <c r="AC1843" s="131">
        <v>471.5</v>
      </c>
      <c r="AD1843" s="131">
        <v>3528.5</v>
      </c>
      <c r="AE1843" s="132">
        <v>471.5</v>
      </c>
    </row>
    <row r="1844" spans="1:31" x14ac:dyDescent="0.2">
      <c r="A1844" s="133">
        <v>300</v>
      </c>
      <c r="B1844" s="133" t="s">
        <v>1841</v>
      </c>
      <c r="C1844" s="133" t="s">
        <v>1199</v>
      </c>
      <c r="D1844" s="133" t="s">
        <v>2143</v>
      </c>
      <c r="E1844" s="133" t="s">
        <v>1201</v>
      </c>
      <c r="F1844" s="133" t="s">
        <v>1117</v>
      </c>
      <c r="G1844" s="133" t="s">
        <v>1202</v>
      </c>
      <c r="H1844" s="133" t="s">
        <v>1216</v>
      </c>
      <c r="I1844" s="130" t="s">
        <v>1217</v>
      </c>
      <c r="J1844" s="130" t="s">
        <v>1218</v>
      </c>
      <c r="K1844" s="130" t="s">
        <v>1219</v>
      </c>
      <c r="L1844" s="130" t="s">
        <v>2144</v>
      </c>
      <c r="M1844" s="130" t="s">
        <v>1925</v>
      </c>
      <c r="N1844" s="130" t="s">
        <v>120</v>
      </c>
      <c r="O1844" s="130" t="s">
        <v>1845</v>
      </c>
      <c r="P1844" s="130" t="s">
        <v>1846</v>
      </c>
      <c r="Q1844" s="130" t="s">
        <v>1127</v>
      </c>
      <c r="R1844" s="130" t="s">
        <v>1191</v>
      </c>
      <c r="S1844" s="130" t="s">
        <v>1191</v>
      </c>
      <c r="T1844" s="130" t="s">
        <v>1847</v>
      </c>
      <c r="U1844" s="130">
        <v>0</v>
      </c>
      <c r="V1844" s="131">
        <v>4800</v>
      </c>
      <c r="W1844" s="131">
        <v>4800</v>
      </c>
      <c r="X1844" s="131">
        <v>4800</v>
      </c>
      <c r="Y1844" s="131">
        <v>0</v>
      </c>
      <c r="Z1844" s="131">
        <v>4800</v>
      </c>
      <c r="AA1844" s="131">
        <v>0</v>
      </c>
      <c r="AB1844" s="131">
        <v>4800</v>
      </c>
      <c r="AC1844" s="131">
        <v>0</v>
      </c>
      <c r="AD1844" s="131">
        <v>0</v>
      </c>
      <c r="AE1844" s="132">
        <v>4800</v>
      </c>
    </row>
    <row r="1845" spans="1:31" x14ac:dyDescent="0.2">
      <c r="A1845" s="133">
        <v>300</v>
      </c>
      <c r="B1845" s="133" t="s">
        <v>1841</v>
      </c>
      <c r="C1845" s="133" t="s">
        <v>1199</v>
      </c>
      <c r="D1845" s="133" t="s">
        <v>2143</v>
      </c>
      <c r="E1845" s="133" t="s">
        <v>1201</v>
      </c>
      <c r="F1845" s="133" t="s">
        <v>1117</v>
      </c>
      <c r="G1845" s="133" t="s">
        <v>1202</v>
      </c>
      <c r="H1845" s="133" t="s">
        <v>1216</v>
      </c>
      <c r="I1845" s="130" t="s">
        <v>1242</v>
      </c>
      <c r="J1845" s="130" t="s">
        <v>1243</v>
      </c>
      <c r="K1845" s="130" t="s">
        <v>1303</v>
      </c>
      <c r="L1845" s="130" t="s">
        <v>2144</v>
      </c>
      <c r="M1845" s="130" t="s">
        <v>1925</v>
      </c>
      <c r="N1845" s="130" t="s">
        <v>120</v>
      </c>
      <c r="O1845" s="130" t="s">
        <v>1845</v>
      </c>
      <c r="P1845" s="130" t="s">
        <v>1846</v>
      </c>
      <c r="Q1845" s="130" t="s">
        <v>1127</v>
      </c>
      <c r="R1845" s="130" t="s">
        <v>1191</v>
      </c>
      <c r="S1845" s="130" t="s">
        <v>1191</v>
      </c>
      <c r="T1845" s="130" t="s">
        <v>1847</v>
      </c>
      <c r="U1845" s="130">
        <v>500000</v>
      </c>
      <c r="V1845" s="131">
        <v>-469625</v>
      </c>
      <c r="W1845" s="131">
        <v>30375</v>
      </c>
      <c r="X1845" s="131">
        <v>30375</v>
      </c>
      <c r="Y1845" s="131">
        <v>0</v>
      </c>
      <c r="Z1845" s="131">
        <v>30375</v>
      </c>
      <c r="AA1845" s="131">
        <v>0</v>
      </c>
      <c r="AB1845" s="131">
        <v>30375</v>
      </c>
      <c r="AC1845" s="131">
        <v>0</v>
      </c>
      <c r="AD1845" s="131">
        <v>0</v>
      </c>
      <c r="AE1845" s="132">
        <v>30375</v>
      </c>
    </row>
    <row r="1846" spans="1:31" x14ac:dyDescent="0.2">
      <c r="A1846" s="133">
        <v>300</v>
      </c>
      <c r="B1846" s="133" t="s">
        <v>1841</v>
      </c>
      <c r="C1846" s="133" t="s">
        <v>1199</v>
      </c>
      <c r="D1846" s="133" t="s">
        <v>2143</v>
      </c>
      <c r="E1846" s="133" t="s">
        <v>1201</v>
      </c>
      <c r="F1846" s="133" t="s">
        <v>1117</v>
      </c>
      <c r="G1846" s="133" t="s">
        <v>1202</v>
      </c>
      <c r="H1846" s="133" t="s">
        <v>1216</v>
      </c>
      <c r="I1846" s="130" t="s">
        <v>1222</v>
      </c>
      <c r="J1846" s="130" t="s">
        <v>1304</v>
      </c>
      <c r="K1846" s="130" t="s">
        <v>1248</v>
      </c>
      <c r="L1846" s="130" t="s">
        <v>2144</v>
      </c>
      <c r="M1846" s="130" t="s">
        <v>1925</v>
      </c>
      <c r="N1846" s="130" t="s">
        <v>120</v>
      </c>
      <c r="O1846" s="130" t="s">
        <v>1845</v>
      </c>
      <c r="P1846" s="130" t="s">
        <v>1846</v>
      </c>
      <c r="Q1846" s="130" t="s">
        <v>1127</v>
      </c>
      <c r="R1846" s="130" t="s">
        <v>1191</v>
      </c>
      <c r="S1846" s="130" t="s">
        <v>1191</v>
      </c>
      <c r="T1846" s="130" t="s">
        <v>1847</v>
      </c>
      <c r="U1846" s="130">
        <v>100000</v>
      </c>
      <c r="V1846" s="131">
        <v>-87000</v>
      </c>
      <c r="W1846" s="131">
        <v>13000</v>
      </c>
      <c r="X1846" s="131">
        <v>0</v>
      </c>
      <c r="Y1846" s="131">
        <v>13000</v>
      </c>
      <c r="Z1846" s="131">
        <v>0</v>
      </c>
      <c r="AA1846" s="131">
        <v>13000</v>
      </c>
      <c r="AB1846" s="131">
        <v>0</v>
      </c>
      <c r="AC1846" s="131">
        <v>13000</v>
      </c>
      <c r="AD1846" s="131">
        <v>0</v>
      </c>
      <c r="AE1846" s="132">
        <v>13000</v>
      </c>
    </row>
    <row r="1847" spans="1:31" x14ac:dyDescent="0.2">
      <c r="A1847" s="133">
        <v>300</v>
      </c>
      <c r="B1847" s="133" t="s">
        <v>1841</v>
      </c>
      <c r="C1847" s="133" t="s">
        <v>1199</v>
      </c>
      <c r="D1847" s="133" t="s">
        <v>2143</v>
      </c>
      <c r="E1847" s="133" t="s">
        <v>1201</v>
      </c>
      <c r="F1847" s="133" t="s">
        <v>1117</v>
      </c>
      <c r="G1847" s="133" t="s">
        <v>1202</v>
      </c>
      <c r="H1847" s="133" t="s">
        <v>1216</v>
      </c>
      <c r="I1847" s="133" t="s">
        <v>1222</v>
      </c>
      <c r="J1847" s="133" t="s">
        <v>1304</v>
      </c>
      <c r="K1847" s="130" t="s">
        <v>1305</v>
      </c>
      <c r="L1847" s="130" t="s">
        <v>2144</v>
      </c>
      <c r="M1847" s="130" t="s">
        <v>1925</v>
      </c>
      <c r="N1847" s="130" t="s">
        <v>120</v>
      </c>
      <c r="O1847" s="130" t="s">
        <v>1845</v>
      </c>
      <c r="P1847" s="130" t="s">
        <v>1846</v>
      </c>
      <c r="Q1847" s="130" t="s">
        <v>1127</v>
      </c>
      <c r="R1847" s="130" t="s">
        <v>1191</v>
      </c>
      <c r="S1847" s="130" t="s">
        <v>1191</v>
      </c>
      <c r="T1847" s="130" t="s">
        <v>1847</v>
      </c>
      <c r="U1847" s="130">
        <v>500000</v>
      </c>
      <c r="V1847" s="131">
        <v>-465700</v>
      </c>
      <c r="W1847" s="131">
        <v>34300</v>
      </c>
      <c r="X1847" s="131">
        <v>7996.8</v>
      </c>
      <c r="Y1847" s="131">
        <v>26303.200000000001</v>
      </c>
      <c r="Z1847" s="131">
        <v>7633.26</v>
      </c>
      <c r="AA1847" s="131">
        <v>26666.739999999998</v>
      </c>
      <c r="AB1847" s="131">
        <v>7633.26</v>
      </c>
      <c r="AC1847" s="131">
        <v>26666.739999999998</v>
      </c>
      <c r="AD1847" s="131">
        <v>7633.26</v>
      </c>
      <c r="AE1847" s="132">
        <v>26666.739999999998</v>
      </c>
    </row>
    <row r="1848" spans="1:31" x14ac:dyDescent="0.2">
      <c r="A1848" s="133">
        <v>300</v>
      </c>
      <c r="B1848" s="133" t="s">
        <v>1841</v>
      </c>
      <c r="C1848" s="133" t="s">
        <v>1199</v>
      </c>
      <c r="D1848" s="133" t="s">
        <v>2143</v>
      </c>
      <c r="E1848" s="133" t="s">
        <v>1201</v>
      </c>
      <c r="F1848" s="133" t="s">
        <v>1117</v>
      </c>
      <c r="G1848" s="133" t="s">
        <v>1202</v>
      </c>
      <c r="H1848" s="133" t="s">
        <v>1216</v>
      </c>
      <c r="I1848" s="133" t="s">
        <v>1222</v>
      </c>
      <c r="J1848" s="130" t="s">
        <v>1245</v>
      </c>
      <c r="K1848" s="130" t="s">
        <v>1246</v>
      </c>
      <c r="L1848" s="130" t="s">
        <v>2144</v>
      </c>
      <c r="M1848" s="130" t="s">
        <v>1925</v>
      </c>
      <c r="N1848" s="130" t="s">
        <v>120</v>
      </c>
      <c r="O1848" s="130" t="s">
        <v>1845</v>
      </c>
      <c r="P1848" s="130" t="s">
        <v>1846</v>
      </c>
      <c r="Q1848" s="130" t="s">
        <v>1127</v>
      </c>
      <c r="R1848" s="130" t="s">
        <v>1191</v>
      </c>
      <c r="S1848" s="130" t="s">
        <v>1191</v>
      </c>
      <c r="T1848" s="130" t="s">
        <v>1847</v>
      </c>
      <c r="U1848" s="130">
        <v>0</v>
      </c>
      <c r="V1848" s="131">
        <v>2570</v>
      </c>
      <c r="W1848" s="131">
        <v>2570</v>
      </c>
      <c r="X1848" s="131">
        <v>1186</v>
      </c>
      <c r="Y1848" s="131">
        <v>1384</v>
      </c>
      <c r="Z1848" s="131">
        <v>1186</v>
      </c>
      <c r="AA1848" s="131">
        <v>1384</v>
      </c>
      <c r="AB1848" s="131">
        <v>1186</v>
      </c>
      <c r="AC1848" s="131">
        <v>1384</v>
      </c>
      <c r="AD1848" s="131">
        <v>1186</v>
      </c>
      <c r="AE1848" s="132">
        <v>1384</v>
      </c>
    </row>
    <row r="1849" spans="1:31" x14ac:dyDescent="0.2">
      <c r="A1849" s="133">
        <v>300</v>
      </c>
      <c r="B1849" s="133" t="s">
        <v>1841</v>
      </c>
      <c r="C1849" s="133" t="s">
        <v>1199</v>
      </c>
      <c r="D1849" s="133" t="s">
        <v>2143</v>
      </c>
      <c r="E1849" s="133" t="s">
        <v>1201</v>
      </c>
      <c r="F1849" s="133" t="s">
        <v>1117</v>
      </c>
      <c r="G1849" s="133" t="s">
        <v>1202</v>
      </c>
      <c r="H1849" s="133" t="s">
        <v>1216</v>
      </c>
      <c r="I1849" s="130" t="s">
        <v>1247</v>
      </c>
      <c r="J1849" s="130" t="s">
        <v>1248</v>
      </c>
      <c r="K1849" s="130" t="s">
        <v>1251</v>
      </c>
      <c r="L1849" s="130" t="s">
        <v>2144</v>
      </c>
      <c r="M1849" s="130" t="s">
        <v>1925</v>
      </c>
      <c r="N1849" s="130" t="s">
        <v>120</v>
      </c>
      <c r="O1849" s="130" t="s">
        <v>1845</v>
      </c>
      <c r="P1849" s="130" t="s">
        <v>1846</v>
      </c>
      <c r="Q1849" s="130" t="s">
        <v>1127</v>
      </c>
      <c r="R1849" s="130" t="s">
        <v>1191</v>
      </c>
      <c r="S1849" s="130" t="s">
        <v>1191</v>
      </c>
      <c r="T1849" s="130" t="s">
        <v>1847</v>
      </c>
      <c r="U1849" s="130">
        <v>0</v>
      </c>
      <c r="V1849" s="131">
        <v>25000</v>
      </c>
      <c r="W1849" s="131">
        <v>25000</v>
      </c>
      <c r="X1849" s="131">
        <v>0</v>
      </c>
      <c r="Y1849" s="131">
        <v>25000</v>
      </c>
      <c r="Z1849" s="131">
        <v>0</v>
      </c>
      <c r="AA1849" s="131">
        <v>25000</v>
      </c>
      <c r="AB1849" s="131">
        <v>0</v>
      </c>
      <c r="AC1849" s="131">
        <v>25000</v>
      </c>
      <c r="AD1849" s="131">
        <v>0</v>
      </c>
      <c r="AE1849" s="132">
        <v>25000</v>
      </c>
    </row>
    <row r="1850" spans="1:31" x14ac:dyDescent="0.2">
      <c r="A1850" s="133">
        <v>300</v>
      </c>
      <c r="B1850" s="133" t="s">
        <v>1841</v>
      </c>
      <c r="C1850" s="133" t="s">
        <v>1199</v>
      </c>
      <c r="D1850" s="133" t="s">
        <v>2143</v>
      </c>
      <c r="E1850" s="133" t="s">
        <v>1201</v>
      </c>
      <c r="F1850" s="133" t="s">
        <v>1117</v>
      </c>
      <c r="G1850" s="133" t="s">
        <v>1202</v>
      </c>
      <c r="H1850" s="133" t="s">
        <v>1216</v>
      </c>
      <c r="I1850" s="130" t="s">
        <v>1252</v>
      </c>
      <c r="J1850" s="130" t="s">
        <v>1253</v>
      </c>
      <c r="K1850" s="130" t="s">
        <v>1899</v>
      </c>
      <c r="L1850" s="130" t="s">
        <v>2144</v>
      </c>
      <c r="M1850" s="130" t="s">
        <v>1925</v>
      </c>
      <c r="N1850" s="130" t="s">
        <v>120</v>
      </c>
      <c r="O1850" s="130" t="s">
        <v>1845</v>
      </c>
      <c r="P1850" s="130" t="s">
        <v>1846</v>
      </c>
      <c r="Q1850" s="130" t="s">
        <v>1127</v>
      </c>
      <c r="R1850" s="130" t="s">
        <v>1191</v>
      </c>
      <c r="S1850" s="130" t="s">
        <v>1191</v>
      </c>
      <c r="T1850" s="130" t="s">
        <v>1847</v>
      </c>
      <c r="U1850" s="130">
        <v>0</v>
      </c>
      <c r="V1850" s="131">
        <v>22755</v>
      </c>
      <c r="W1850" s="131">
        <v>22755</v>
      </c>
      <c r="X1850" s="131">
        <v>22617</v>
      </c>
      <c r="Y1850" s="131">
        <v>138</v>
      </c>
      <c r="Z1850" s="131">
        <v>22617</v>
      </c>
      <c r="AA1850" s="131">
        <v>138</v>
      </c>
      <c r="AB1850" s="131">
        <v>22617</v>
      </c>
      <c r="AC1850" s="131">
        <v>138</v>
      </c>
      <c r="AD1850" s="131">
        <v>17017</v>
      </c>
      <c r="AE1850" s="132">
        <v>5738</v>
      </c>
    </row>
    <row r="1851" spans="1:31" x14ac:dyDescent="0.2">
      <c r="A1851" s="133">
        <v>300</v>
      </c>
      <c r="B1851" s="133" t="s">
        <v>1841</v>
      </c>
      <c r="C1851" s="133" t="s">
        <v>1199</v>
      </c>
      <c r="D1851" s="133" t="s">
        <v>2143</v>
      </c>
      <c r="E1851" s="133" t="s">
        <v>1201</v>
      </c>
      <c r="F1851" s="133" t="s">
        <v>1117</v>
      </c>
      <c r="G1851" s="133" t="s">
        <v>1202</v>
      </c>
      <c r="H1851" s="133" t="s">
        <v>1216</v>
      </c>
      <c r="I1851" s="133" t="s">
        <v>1252</v>
      </c>
      <c r="J1851" s="133" t="s">
        <v>1253</v>
      </c>
      <c r="K1851" s="130" t="s">
        <v>1254</v>
      </c>
      <c r="L1851" s="130" t="s">
        <v>2144</v>
      </c>
      <c r="M1851" s="130" t="s">
        <v>1925</v>
      </c>
      <c r="N1851" s="130" t="s">
        <v>120</v>
      </c>
      <c r="O1851" s="130" t="s">
        <v>1845</v>
      </c>
      <c r="P1851" s="130" t="s">
        <v>1846</v>
      </c>
      <c r="Q1851" s="130" t="s">
        <v>1127</v>
      </c>
      <c r="R1851" s="130" t="s">
        <v>1191</v>
      </c>
      <c r="S1851" s="130" t="s">
        <v>1191</v>
      </c>
      <c r="T1851" s="130" t="s">
        <v>1847</v>
      </c>
      <c r="U1851" s="130">
        <v>0</v>
      </c>
      <c r="V1851" s="131">
        <v>4580</v>
      </c>
      <c r="W1851" s="131">
        <v>4580</v>
      </c>
      <c r="X1851" s="131">
        <v>1000</v>
      </c>
      <c r="Y1851" s="131">
        <v>3580</v>
      </c>
      <c r="Z1851" s="131">
        <v>1000</v>
      </c>
      <c r="AA1851" s="131">
        <v>3580</v>
      </c>
      <c r="AB1851" s="131">
        <v>1000</v>
      </c>
      <c r="AC1851" s="131">
        <v>3580</v>
      </c>
      <c r="AD1851" s="131">
        <v>1000</v>
      </c>
      <c r="AE1851" s="132">
        <v>3580</v>
      </c>
    </row>
    <row r="1852" spans="1:31" x14ac:dyDescent="0.2">
      <c r="A1852" s="133">
        <v>300</v>
      </c>
      <c r="B1852" s="133" t="s">
        <v>1841</v>
      </c>
      <c r="C1852" s="133" t="s">
        <v>1199</v>
      </c>
      <c r="D1852" s="133" t="s">
        <v>2143</v>
      </c>
      <c r="E1852" s="133" t="s">
        <v>1201</v>
      </c>
      <c r="F1852" s="133" t="s">
        <v>1117</v>
      </c>
      <c r="G1852" s="133" t="s">
        <v>1202</v>
      </c>
      <c r="H1852" s="130" t="s">
        <v>1203</v>
      </c>
      <c r="I1852" s="130" t="s">
        <v>1204</v>
      </c>
      <c r="J1852" s="130" t="s">
        <v>1205</v>
      </c>
      <c r="K1852" s="130" t="s">
        <v>1255</v>
      </c>
      <c r="L1852" s="130" t="s">
        <v>2144</v>
      </c>
      <c r="M1852" s="130" t="s">
        <v>1925</v>
      </c>
      <c r="N1852" s="130" t="s">
        <v>120</v>
      </c>
      <c r="O1852" s="130" t="s">
        <v>1845</v>
      </c>
      <c r="P1852" s="130" t="s">
        <v>1846</v>
      </c>
      <c r="Q1852" s="130" t="s">
        <v>1127</v>
      </c>
      <c r="R1852" s="130" t="s">
        <v>1191</v>
      </c>
      <c r="S1852" s="130" t="s">
        <v>1191</v>
      </c>
      <c r="T1852" s="130" t="s">
        <v>1847</v>
      </c>
      <c r="U1852" s="130">
        <v>0</v>
      </c>
      <c r="V1852" s="131">
        <v>70000</v>
      </c>
      <c r="W1852" s="131">
        <v>70000</v>
      </c>
      <c r="X1852" s="131">
        <v>50841.77</v>
      </c>
      <c r="Y1852" s="131">
        <v>19158.230000000003</v>
      </c>
      <c r="Z1852" s="131">
        <v>49630.49</v>
      </c>
      <c r="AA1852" s="131">
        <v>20369.510000000002</v>
      </c>
      <c r="AB1852" s="131">
        <v>49630.49</v>
      </c>
      <c r="AC1852" s="131">
        <v>20369.510000000002</v>
      </c>
      <c r="AD1852" s="131">
        <v>49630.49</v>
      </c>
      <c r="AE1852" s="132">
        <v>20369.510000000002</v>
      </c>
    </row>
    <row r="1853" spans="1:31" x14ac:dyDescent="0.2">
      <c r="A1853" s="133">
        <v>300</v>
      </c>
      <c r="B1853" s="133" t="s">
        <v>1841</v>
      </c>
      <c r="C1853" s="133" t="s">
        <v>1199</v>
      </c>
      <c r="D1853" s="133" t="s">
        <v>2143</v>
      </c>
      <c r="E1853" s="133" t="s">
        <v>1201</v>
      </c>
      <c r="F1853" s="133" t="s">
        <v>1117</v>
      </c>
      <c r="G1853" s="133" t="s">
        <v>1202</v>
      </c>
      <c r="H1853" s="133" t="s">
        <v>1203</v>
      </c>
      <c r="I1853" s="133" t="s">
        <v>1204</v>
      </c>
      <c r="J1853" s="133" t="s">
        <v>1205</v>
      </c>
      <c r="K1853" s="130" t="s">
        <v>1256</v>
      </c>
      <c r="L1853" s="130" t="s">
        <v>2144</v>
      </c>
      <c r="M1853" s="130" t="s">
        <v>1925</v>
      </c>
      <c r="N1853" s="130" t="s">
        <v>120</v>
      </c>
      <c r="O1853" s="130" t="s">
        <v>1845</v>
      </c>
      <c r="P1853" s="130" t="s">
        <v>1846</v>
      </c>
      <c r="Q1853" s="130" t="s">
        <v>1127</v>
      </c>
      <c r="R1853" s="130" t="s">
        <v>1191</v>
      </c>
      <c r="S1853" s="130" t="s">
        <v>1191</v>
      </c>
      <c r="T1853" s="130" t="s">
        <v>1847</v>
      </c>
      <c r="U1853" s="130">
        <v>0</v>
      </c>
      <c r="V1853" s="131">
        <v>60000</v>
      </c>
      <c r="W1853" s="131">
        <v>60000</v>
      </c>
      <c r="X1853" s="131">
        <v>40958.1</v>
      </c>
      <c r="Y1853" s="131">
        <v>19041.900000000001</v>
      </c>
      <c r="Z1853" s="131">
        <v>40835.1</v>
      </c>
      <c r="AA1853" s="131">
        <v>19164.900000000001</v>
      </c>
      <c r="AB1853" s="131">
        <v>40835.1</v>
      </c>
      <c r="AC1853" s="131">
        <v>19164.900000000001</v>
      </c>
      <c r="AD1853" s="131">
        <v>40835.1</v>
      </c>
      <c r="AE1853" s="132">
        <v>19164.900000000001</v>
      </c>
    </row>
    <row r="1854" spans="1:31" x14ac:dyDescent="0.2">
      <c r="A1854" s="133">
        <v>300</v>
      </c>
      <c r="B1854" s="133" t="s">
        <v>1841</v>
      </c>
      <c r="C1854" s="133" t="s">
        <v>1199</v>
      </c>
      <c r="D1854" s="133" t="s">
        <v>2143</v>
      </c>
      <c r="E1854" s="133" t="s">
        <v>1201</v>
      </c>
      <c r="F1854" s="133" t="s">
        <v>1117</v>
      </c>
      <c r="G1854" s="133" t="s">
        <v>1202</v>
      </c>
      <c r="H1854" s="133" t="s">
        <v>1203</v>
      </c>
      <c r="I1854" s="130" t="s">
        <v>1264</v>
      </c>
      <c r="J1854" s="130" t="s">
        <v>1532</v>
      </c>
      <c r="K1854" s="130" t="s">
        <v>1249</v>
      </c>
      <c r="L1854" s="130" t="s">
        <v>2144</v>
      </c>
      <c r="M1854" s="130" t="s">
        <v>1925</v>
      </c>
      <c r="N1854" s="130" t="s">
        <v>120</v>
      </c>
      <c r="O1854" s="130" t="s">
        <v>1845</v>
      </c>
      <c r="P1854" s="130" t="s">
        <v>1846</v>
      </c>
      <c r="Q1854" s="130" t="s">
        <v>1127</v>
      </c>
      <c r="R1854" s="130" t="s">
        <v>1191</v>
      </c>
      <c r="S1854" s="130" t="s">
        <v>1191</v>
      </c>
      <c r="T1854" s="130" t="s">
        <v>1847</v>
      </c>
      <c r="U1854" s="130">
        <v>0</v>
      </c>
      <c r="V1854" s="131">
        <v>5000</v>
      </c>
      <c r="W1854" s="131">
        <v>5000</v>
      </c>
      <c r="X1854" s="131">
        <v>2200</v>
      </c>
      <c r="Y1854" s="131">
        <v>2800</v>
      </c>
      <c r="Z1854" s="131">
        <v>2200</v>
      </c>
      <c r="AA1854" s="131">
        <v>2800</v>
      </c>
      <c r="AB1854" s="131">
        <v>2200</v>
      </c>
      <c r="AC1854" s="131">
        <v>2800</v>
      </c>
      <c r="AD1854" s="131">
        <v>2200</v>
      </c>
      <c r="AE1854" s="132">
        <v>2800</v>
      </c>
    </row>
    <row r="1855" spans="1:31" x14ac:dyDescent="0.2">
      <c r="A1855" s="133">
        <v>300</v>
      </c>
      <c r="B1855" s="133" t="s">
        <v>1841</v>
      </c>
      <c r="C1855" s="133" t="s">
        <v>1199</v>
      </c>
      <c r="D1855" s="133" t="s">
        <v>2143</v>
      </c>
      <c r="E1855" s="133" t="s">
        <v>1201</v>
      </c>
      <c r="F1855" s="133" t="s">
        <v>1117</v>
      </c>
      <c r="G1855" s="133" t="s">
        <v>1202</v>
      </c>
      <c r="H1855" s="133" t="s">
        <v>1203</v>
      </c>
      <c r="I1855" s="130" t="s">
        <v>1315</v>
      </c>
      <c r="J1855" s="130" t="s">
        <v>1316</v>
      </c>
      <c r="K1855" s="130" t="s">
        <v>1582</v>
      </c>
      <c r="L1855" s="130" t="s">
        <v>2144</v>
      </c>
      <c r="M1855" s="130" t="s">
        <v>1925</v>
      </c>
      <c r="N1855" s="130" t="s">
        <v>120</v>
      </c>
      <c r="O1855" s="130" t="s">
        <v>1845</v>
      </c>
      <c r="P1855" s="130" t="s">
        <v>1846</v>
      </c>
      <c r="Q1855" s="130" t="s">
        <v>1127</v>
      </c>
      <c r="R1855" s="130" t="s">
        <v>1191</v>
      </c>
      <c r="S1855" s="130" t="s">
        <v>1191</v>
      </c>
      <c r="T1855" s="130" t="s">
        <v>1847</v>
      </c>
      <c r="U1855" s="130">
        <v>190780</v>
      </c>
      <c r="V1855" s="131">
        <v>224720</v>
      </c>
      <c r="W1855" s="131">
        <v>415500</v>
      </c>
      <c r="X1855" s="131">
        <v>11600</v>
      </c>
      <c r="Y1855" s="131">
        <v>403900</v>
      </c>
      <c r="Z1855" s="131">
        <v>3600</v>
      </c>
      <c r="AA1855" s="131">
        <v>411900</v>
      </c>
      <c r="AB1855" s="131">
        <v>3600</v>
      </c>
      <c r="AC1855" s="131">
        <v>411900</v>
      </c>
      <c r="AD1855" s="131">
        <v>1800</v>
      </c>
      <c r="AE1855" s="132">
        <v>413700</v>
      </c>
    </row>
    <row r="1856" spans="1:31" x14ac:dyDescent="0.2">
      <c r="A1856" s="133">
        <v>300</v>
      </c>
      <c r="B1856" s="133" t="s">
        <v>1841</v>
      </c>
      <c r="C1856" s="133" t="s">
        <v>1199</v>
      </c>
      <c r="D1856" s="133" t="s">
        <v>2143</v>
      </c>
      <c r="E1856" s="133" t="s">
        <v>1201</v>
      </c>
      <c r="F1856" s="133" t="s">
        <v>1117</v>
      </c>
      <c r="G1856" s="133" t="s">
        <v>1202</v>
      </c>
      <c r="H1856" s="133" t="s">
        <v>1203</v>
      </c>
      <c r="I1856" s="130" t="s">
        <v>1269</v>
      </c>
      <c r="J1856" s="130" t="s">
        <v>1270</v>
      </c>
      <c r="K1856" s="130" t="s">
        <v>1272</v>
      </c>
      <c r="L1856" s="130" t="s">
        <v>2144</v>
      </c>
      <c r="M1856" s="130" t="s">
        <v>1925</v>
      </c>
      <c r="N1856" s="130" t="s">
        <v>120</v>
      </c>
      <c r="O1856" s="130" t="s">
        <v>1845</v>
      </c>
      <c r="P1856" s="130" t="s">
        <v>1846</v>
      </c>
      <c r="Q1856" s="130" t="s">
        <v>1127</v>
      </c>
      <c r="R1856" s="130" t="s">
        <v>1191</v>
      </c>
      <c r="S1856" s="130" t="s">
        <v>1191</v>
      </c>
      <c r="T1856" s="130" t="s">
        <v>1847</v>
      </c>
      <c r="U1856" s="130">
        <v>0</v>
      </c>
      <c r="V1856" s="131">
        <v>1000</v>
      </c>
      <c r="W1856" s="131">
        <v>1000</v>
      </c>
      <c r="X1856" s="131">
        <v>0</v>
      </c>
      <c r="Y1856" s="131">
        <v>1000</v>
      </c>
      <c r="Z1856" s="131">
        <v>0</v>
      </c>
      <c r="AA1856" s="131">
        <v>1000</v>
      </c>
      <c r="AB1856" s="131">
        <v>0</v>
      </c>
      <c r="AC1856" s="131">
        <v>1000</v>
      </c>
      <c r="AD1856" s="131">
        <v>0</v>
      </c>
      <c r="AE1856" s="132">
        <v>1000</v>
      </c>
    </row>
    <row r="1857" spans="1:31" x14ac:dyDescent="0.2">
      <c r="A1857" s="133">
        <v>300</v>
      </c>
      <c r="B1857" s="133" t="s">
        <v>1841</v>
      </c>
      <c r="C1857" s="133" t="s">
        <v>1199</v>
      </c>
      <c r="D1857" s="133" t="s">
        <v>2143</v>
      </c>
      <c r="E1857" s="133" t="s">
        <v>1201</v>
      </c>
      <c r="F1857" s="133" t="s">
        <v>1117</v>
      </c>
      <c r="G1857" s="133" t="s">
        <v>1202</v>
      </c>
      <c r="H1857" s="133" t="s">
        <v>1203</v>
      </c>
      <c r="I1857" s="130" t="s">
        <v>1209</v>
      </c>
      <c r="J1857" s="130" t="s">
        <v>1210</v>
      </c>
      <c r="K1857" s="130" t="s">
        <v>1539</v>
      </c>
      <c r="L1857" s="130" t="s">
        <v>2144</v>
      </c>
      <c r="M1857" s="130" t="s">
        <v>1925</v>
      </c>
      <c r="N1857" s="130" t="s">
        <v>120</v>
      </c>
      <c r="O1857" s="130" t="s">
        <v>1845</v>
      </c>
      <c r="P1857" s="130" t="s">
        <v>1846</v>
      </c>
      <c r="Q1857" s="130" t="s">
        <v>1127</v>
      </c>
      <c r="R1857" s="130" t="s">
        <v>1191</v>
      </c>
      <c r="S1857" s="130" t="s">
        <v>1191</v>
      </c>
      <c r="T1857" s="130" t="s">
        <v>1847</v>
      </c>
      <c r="U1857" s="130">
        <v>0</v>
      </c>
      <c r="V1857" s="131">
        <v>15000</v>
      </c>
      <c r="W1857" s="131">
        <v>15000</v>
      </c>
      <c r="X1857" s="131">
        <v>0</v>
      </c>
      <c r="Y1857" s="131">
        <v>15000</v>
      </c>
      <c r="Z1857" s="131">
        <v>0</v>
      </c>
      <c r="AA1857" s="131">
        <v>15000</v>
      </c>
      <c r="AB1857" s="131">
        <v>0</v>
      </c>
      <c r="AC1857" s="131">
        <v>15000</v>
      </c>
      <c r="AD1857" s="131">
        <v>0</v>
      </c>
      <c r="AE1857" s="132">
        <v>15000</v>
      </c>
    </row>
    <row r="1858" spans="1:31" x14ac:dyDescent="0.2">
      <c r="A1858" s="133">
        <v>300</v>
      </c>
      <c r="B1858" s="133" t="s">
        <v>1841</v>
      </c>
      <c r="C1858" s="133" t="s">
        <v>1199</v>
      </c>
      <c r="D1858" s="133" t="s">
        <v>2143</v>
      </c>
      <c r="E1858" s="133" t="s">
        <v>1201</v>
      </c>
      <c r="F1858" s="133" t="s">
        <v>1117</v>
      </c>
      <c r="G1858" s="133" t="s">
        <v>1202</v>
      </c>
      <c r="H1858" s="133" t="s">
        <v>1203</v>
      </c>
      <c r="I1858" s="133" t="s">
        <v>1209</v>
      </c>
      <c r="J1858" s="133" t="s">
        <v>1210</v>
      </c>
      <c r="K1858" s="130" t="s">
        <v>1211</v>
      </c>
      <c r="L1858" s="130" t="s">
        <v>2144</v>
      </c>
      <c r="M1858" s="130" t="s">
        <v>1925</v>
      </c>
      <c r="N1858" s="130" t="s">
        <v>120</v>
      </c>
      <c r="O1858" s="130" t="s">
        <v>1845</v>
      </c>
      <c r="P1858" s="130" t="s">
        <v>1846</v>
      </c>
      <c r="Q1858" s="130" t="s">
        <v>1127</v>
      </c>
      <c r="R1858" s="130" t="s">
        <v>1191</v>
      </c>
      <c r="S1858" s="130" t="s">
        <v>1191</v>
      </c>
      <c r="T1858" s="130" t="s">
        <v>1847</v>
      </c>
      <c r="U1858" s="130">
        <v>0</v>
      </c>
      <c r="V1858" s="131">
        <v>2400</v>
      </c>
      <c r="W1858" s="131">
        <v>2400</v>
      </c>
      <c r="X1858" s="131">
        <v>2400</v>
      </c>
      <c r="Y1858" s="131">
        <v>0</v>
      </c>
      <c r="Z1858" s="131">
        <v>2400</v>
      </c>
      <c r="AA1858" s="131">
        <v>0</v>
      </c>
      <c r="AB1858" s="131">
        <v>2400</v>
      </c>
      <c r="AC1858" s="131">
        <v>0</v>
      </c>
      <c r="AD1858" s="131">
        <v>2400</v>
      </c>
      <c r="AE1858" s="132">
        <v>0</v>
      </c>
    </row>
    <row r="1859" spans="1:31" x14ac:dyDescent="0.2">
      <c r="A1859" s="133">
        <v>300</v>
      </c>
      <c r="B1859" s="133" t="s">
        <v>1841</v>
      </c>
      <c r="C1859" s="133" t="s">
        <v>1199</v>
      </c>
      <c r="D1859" s="133" t="s">
        <v>2143</v>
      </c>
      <c r="E1859" s="133" t="s">
        <v>1201</v>
      </c>
      <c r="F1859" s="133" t="s">
        <v>1117</v>
      </c>
      <c r="G1859" s="133" t="s">
        <v>1202</v>
      </c>
      <c r="H1859" s="133" t="s">
        <v>1203</v>
      </c>
      <c r="I1859" s="133" t="s">
        <v>1209</v>
      </c>
      <c r="J1859" s="130" t="s">
        <v>1212</v>
      </c>
      <c r="K1859" s="130" t="s">
        <v>1213</v>
      </c>
      <c r="L1859" s="130" t="s">
        <v>2144</v>
      </c>
      <c r="M1859" s="130" t="s">
        <v>1925</v>
      </c>
      <c r="N1859" s="130" t="s">
        <v>120</v>
      </c>
      <c r="O1859" s="130" t="s">
        <v>1845</v>
      </c>
      <c r="P1859" s="130" t="s">
        <v>1846</v>
      </c>
      <c r="Q1859" s="130" t="s">
        <v>1127</v>
      </c>
      <c r="R1859" s="130" t="s">
        <v>1191</v>
      </c>
      <c r="S1859" s="130" t="s">
        <v>1191</v>
      </c>
      <c r="T1859" s="130" t="s">
        <v>1847</v>
      </c>
      <c r="U1859" s="130">
        <v>0</v>
      </c>
      <c r="V1859" s="131">
        <v>0</v>
      </c>
      <c r="W1859" s="131">
        <v>0</v>
      </c>
      <c r="X1859" s="131">
        <v>0</v>
      </c>
      <c r="Y1859" s="131">
        <v>0</v>
      </c>
      <c r="Z1859" s="131">
        <v>0</v>
      </c>
      <c r="AA1859" s="131">
        <v>0</v>
      </c>
      <c r="AB1859" s="131">
        <v>0</v>
      </c>
      <c r="AC1859" s="131">
        <v>0</v>
      </c>
      <c r="AD1859" s="131">
        <v>0</v>
      </c>
      <c r="AE1859" s="132">
        <v>0</v>
      </c>
    </row>
    <row r="1860" spans="1:31" x14ac:dyDescent="0.2">
      <c r="A1860" s="133">
        <v>300</v>
      </c>
      <c r="B1860" s="133" t="s">
        <v>1841</v>
      </c>
      <c r="C1860" s="133" t="s">
        <v>1199</v>
      </c>
      <c r="D1860" s="133" t="s">
        <v>2143</v>
      </c>
      <c r="E1860" s="133" t="s">
        <v>1201</v>
      </c>
      <c r="F1860" s="133" t="s">
        <v>1117</v>
      </c>
      <c r="G1860" s="133" t="s">
        <v>1202</v>
      </c>
      <c r="H1860" s="133" t="s">
        <v>1203</v>
      </c>
      <c r="I1860" s="130" t="s">
        <v>1309</v>
      </c>
      <c r="J1860" s="130" t="s">
        <v>1310</v>
      </c>
      <c r="K1860" s="130" t="s">
        <v>1310</v>
      </c>
      <c r="L1860" s="130" t="s">
        <v>2144</v>
      </c>
      <c r="M1860" s="130" t="s">
        <v>1925</v>
      </c>
      <c r="N1860" s="130" t="s">
        <v>120</v>
      </c>
      <c r="O1860" s="130" t="s">
        <v>1845</v>
      </c>
      <c r="P1860" s="130" t="s">
        <v>1846</v>
      </c>
      <c r="Q1860" s="130" t="s">
        <v>1127</v>
      </c>
      <c r="R1860" s="130" t="s">
        <v>1191</v>
      </c>
      <c r="S1860" s="130" t="s">
        <v>1191</v>
      </c>
      <c r="T1860" s="130" t="s">
        <v>1847</v>
      </c>
      <c r="U1860" s="130">
        <v>500000</v>
      </c>
      <c r="V1860" s="131">
        <v>580500</v>
      </c>
      <c r="W1860" s="131">
        <v>1080500</v>
      </c>
      <c r="X1860" s="131">
        <v>226534</v>
      </c>
      <c r="Y1860" s="131">
        <v>853966</v>
      </c>
      <c r="Z1860" s="131">
        <v>129109</v>
      </c>
      <c r="AA1860" s="131">
        <v>951391</v>
      </c>
      <c r="AB1860" s="131">
        <v>129109</v>
      </c>
      <c r="AC1860" s="131">
        <v>951391</v>
      </c>
      <c r="AD1860" s="131">
        <v>53743</v>
      </c>
      <c r="AE1860" s="132">
        <v>1026757</v>
      </c>
    </row>
    <row r="1861" spans="1:31" x14ac:dyDescent="0.2">
      <c r="A1861" s="130">
        <v>301</v>
      </c>
      <c r="B1861" s="130" t="s">
        <v>1841</v>
      </c>
      <c r="C1861" s="130" t="s">
        <v>1199</v>
      </c>
      <c r="D1861" s="130" t="s">
        <v>2148</v>
      </c>
      <c r="E1861" s="130" t="s">
        <v>1201</v>
      </c>
      <c r="F1861" s="130" t="s">
        <v>1117</v>
      </c>
      <c r="G1861" s="130" t="s">
        <v>1276</v>
      </c>
      <c r="H1861" s="130" t="s">
        <v>1277</v>
      </c>
      <c r="I1861" s="130" t="s">
        <v>1278</v>
      </c>
      <c r="J1861" s="130" t="s">
        <v>1278</v>
      </c>
      <c r="K1861" s="130" t="s">
        <v>1279</v>
      </c>
      <c r="L1861" s="130" t="s">
        <v>2149</v>
      </c>
      <c r="M1861" s="130" t="s">
        <v>1925</v>
      </c>
      <c r="N1861" s="130" t="s">
        <v>120</v>
      </c>
      <c r="O1861" s="130" t="s">
        <v>1860</v>
      </c>
      <c r="P1861" s="130" t="s">
        <v>1861</v>
      </c>
      <c r="Q1861" s="130" t="s">
        <v>1127</v>
      </c>
      <c r="R1861" s="130" t="s">
        <v>1191</v>
      </c>
      <c r="S1861" s="130" t="s">
        <v>1157</v>
      </c>
      <c r="T1861" s="130" t="s">
        <v>1847</v>
      </c>
      <c r="U1861" s="130">
        <v>96989</v>
      </c>
      <c r="V1861" s="131">
        <v>0</v>
      </c>
      <c r="W1861" s="131">
        <v>96989</v>
      </c>
      <c r="X1861" s="131">
        <v>96989</v>
      </c>
      <c r="Y1861" s="131">
        <v>0</v>
      </c>
      <c r="Z1861" s="131">
        <v>96989</v>
      </c>
      <c r="AA1861" s="131">
        <v>0</v>
      </c>
      <c r="AB1861" s="131">
        <v>17634</v>
      </c>
      <c r="AC1861" s="131">
        <v>79355</v>
      </c>
      <c r="AD1861" s="131">
        <v>17634</v>
      </c>
      <c r="AE1861" s="132">
        <v>79355</v>
      </c>
    </row>
    <row r="1862" spans="1:31" x14ac:dyDescent="0.2">
      <c r="A1862" s="133">
        <v>301</v>
      </c>
      <c r="B1862" s="133" t="s">
        <v>1841</v>
      </c>
      <c r="C1862" s="133" t="s">
        <v>1199</v>
      </c>
      <c r="D1862" s="133" t="s">
        <v>2148</v>
      </c>
      <c r="E1862" s="133" t="s">
        <v>1201</v>
      </c>
      <c r="F1862" s="133" t="s">
        <v>1117</v>
      </c>
      <c r="G1862" s="133" t="s">
        <v>1276</v>
      </c>
      <c r="H1862" s="133" t="s">
        <v>1277</v>
      </c>
      <c r="I1862" s="133" t="s">
        <v>1278</v>
      </c>
      <c r="J1862" s="133" t="s">
        <v>1278</v>
      </c>
      <c r="K1862" s="130" t="s">
        <v>1281</v>
      </c>
      <c r="L1862" s="130" t="s">
        <v>2149</v>
      </c>
      <c r="M1862" s="130" t="s">
        <v>1925</v>
      </c>
      <c r="N1862" s="130" t="s">
        <v>120</v>
      </c>
      <c r="O1862" s="130" t="s">
        <v>1860</v>
      </c>
      <c r="P1862" s="130" t="s">
        <v>1861</v>
      </c>
      <c r="Q1862" s="130" t="s">
        <v>1127</v>
      </c>
      <c r="R1862" s="130" t="s">
        <v>1191</v>
      </c>
      <c r="S1862" s="130" t="s">
        <v>1157</v>
      </c>
      <c r="T1862" s="130" t="s">
        <v>1847</v>
      </c>
      <c r="U1862" s="130">
        <v>14507</v>
      </c>
      <c r="V1862" s="131">
        <v>4400</v>
      </c>
      <c r="W1862" s="131">
        <v>18907</v>
      </c>
      <c r="X1862" s="131">
        <v>18907</v>
      </c>
      <c r="Y1862" s="131">
        <v>0</v>
      </c>
      <c r="Z1862" s="131">
        <v>18907</v>
      </c>
      <c r="AA1862" s="131">
        <v>0</v>
      </c>
      <c r="AB1862" s="131">
        <v>18849.86</v>
      </c>
      <c r="AC1862" s="131">
        <v>57.139999999999418</v>
      </c>
      <c r="AD1862" s="131">
        <v>18849.86</v>
      </c>
      <c r="AE1862" s="132">
        <v>57.139999999999418</v>
      </c>
    </row>
    <row r="1863" spans="1:31" x14ac:dyDescent="0.2">
      <c r="A1863" s="133">
        <v>301</v>
      </c>
      <c r="B1863" s="133" t="s">
        <v>1841</v>
      </c>
      <c r="C1863" s="133" t="s">
        <v>1199</v>
      </c>
      <c r="D1863" s="133" t="s">
        <v>2148</v>
      </c>
      <c r="E1863" s="133" t="s">
        <v>1201</v>
      </c>
      <c r="F1863" s="133" t="s">
        <v>1117</v>
      </c>
      <c r="G1863" s="133" t="s">
        <v>1276</v>
      </c>
      <c r="H1863" s="133" t="s">
        <v>1277</v>
      </c>
      <c r="I1863" s="133" t="s">
        <v>1278</v>
      </c>
      <c r="J1863" s="133" t="s">
        <v>1278</v>
      </c>
      <c r="K1863" s="130" t="s">
        <v>1282</v>
      </c>
      <c r="L1863" s="130" t="s">
        <v>2149</v>
      </c>
      <c r="M1863" s="130" t="s">
        <v>1925</v>
      </c>
      <c r="N1863" s="130" t="s">
        <v>120</v>
      </c>
      <c r="O1863" s="130" t="s">
        <v>1860</v>
      </c>
      <c r="P1863" s="130" t="s">
        <v>1861</v>
      </c>
      <c r="Q1863" s="130" t="s">
        <v>1127</v>
      </c>
      <c r="R1863" s="130" t="s">
        <v>1191</v>
      </c>
      <c r="S1863" s="130" t="s">
        <v>1157</v>
      </c>
      <c r="T1863" s="130" t="s">
        <v>1847</v>
      </c>
      <c r="U1863" s="130">
        <v>15767</v>
      </c>
      <c r="V1863" s="131">
        <v>0</v>
      </c>
      <c r="W1863" s="131">
        <v>15767</v>
      </c>
      <c r="X1863" s="131">
        <v>15767</v>
      </c>
      <c r="Y1863" s="131">
        <v>0</v>
      </c>
      <c r="Z1863" s="131">
        <v>15767</v>
      </c>
      <c r="AA1863" s="131">
        <v>0</v>
      </c>
      <c r="AB1863" s="131">
        <v>719.8</v>
      </c>
      <c r="AC1863" s="131">
        <v>15047.2</v>
      </c>
      <c r="AD1863" s="131">
        <v>719.8</v>
      </c>
      <c r="AE1863" s="132">
        <v>15047.2</v>
      </c>
    </row>
    <row r="1864" spans="1:31" x14ac:dyDescent="0.2">
      <c r="A1864" s="133">
        <v>301</v>
      </c>
      <c r="B1864" s="133" t="s">
        <v>1841</v>
      </c>
      <c r="C1864" s="133" t="s">
        <v>1199</v>
      </c>
      <c r="D1864" s="133" t="s">
        <v>2148</v>
      </c>
      <c r="E1864" s="133" t="s">
        <v>1201</v>
      </c>
      <c r="F1864" s="133" t="s">
        <v>1117</v>
      </c>
      <c r="G1864" s="133" t="s">
        <v>1276</v>
      </c>
      <c r="H1864" s="133" t="s">
        <v>1277</v>
      </c>
      <c r="I1864" s="133" t="s">
        <v>1278</v>
      </c>
      <c r="J1864" s="130" t="s">
        <v>1283</v>
      </c>
      <c r="K1864" s="130" t="s">
        <v>1284</v>
      </c>
      <c r="L1864" s="130" t="s">
        <v>2149</v>
      </c>
      <c r="M1864" s="130" t="s">
        <v>1925</v>
      </c>
      <c r="N1864" s="130" t="s">
        <v>120</v>
      </c>
      <c r="O1864" s="130" t="s">
        <v>1860</v>
      </c>
      <c r="P1864" s="130" t="s">
        <v>1861</v>
      </c>
      <c r="Q1864" s="130" t="s">
        <v>1127</v>
      </c>
      <c r="R1864" s="130" t="s">
        <v>1191</v>
      </c>
      <c r="S1864" s="130" t="s">
        <v>1157</v>
      </c>
      <c r="T1864" s="130" t="s">
        <v>1847</v>
      </c>
      <c r="U1864" s="130">
        <v>227622</v>
      </c>
      <c r="V1864" s="131">
        <v>0</v>
      </c>
      <c r="W1864" s="131">
        <v>227622</v>
      </c>
      <c r="X1864" s="131">
        <v>227622</v>
      </c>
      <c r="Y1864" s="131">
        <v>0</v>
      </c>
      <c r="Z1864" s="131">
        <v>227622</v>
      </c>
      <c r="AA1864" s="131">
        <v>0</v>
      </c>
      <c r="AB1864" s="131">
        <v>71534.69</v>
      </c>
      <c r="AC1864" s="131">
        <v>156087.31</v>
      </c>
      <c r="AD1864" s="131">
        <v>71534.69</v>
      </c>
      <c r="AE1864" s="132">
        <v>156087.31</v>
      </c>
    </row>
    <row r="1865" spans="1:31" x14ac:dyDescent="0.2">
      <c r="A1865" s="133">
        <v>301</v>
      </c>
      <c r="B1865" s="133" t="s">
        <v>1841</v>
      </c>
      <c r="C1865" s="133" t="s">
        <v>1199</v>
      </c>
      <c r="D1865" s="133" t="s">
        <v>2148</v>
      </c>
      <c r="E1865" s="133" t="s">
        <v>1201</v>
      </c>
      <c r="F1865" s="133" t="s">
        <v>1117</v>
      </c>
      <c r="G1865" s="133" t="s">
        <v>1276</v>
      </c>
      <c r="H1865" s="133" t="s">
        <v>1277</v>
      </c>
      <c r="I1865" s="130" t="s">
        <v>1285</v>
      </c>
      <c r="J1865" s="130" t="s">
        <v>1286</v>
      </c>
      <c r="K1865" s="130" t="s">
        <v>1287</v>
      </c>
      <c r="L1865" s="130" t="s">
        <v>2149</v>
      </c>
      <c r="M1865" s="130" t="s">
        <v>1925</v>
      </c>
      <c r="N1865" s="130" t="s">
        <v>120</v>
      </c>
      <c r="O1865" s="130" t="s">
        <v>1860</v>
      </c>
      <c r="P1865" s="130" t="s">
        <v>1861</v>
      </c>
      <c r="Q1865" s="130" t="s">
        <v>1127</v>
      </c>
      <c r="R1865" s="130" t="s">
        <v>1191</v>
      </c>
      <c r="S1865" s="130" t="s">
        <v>1157</v>
      </c>
      <c r="T1865" s="130" t="s">
        <v>1847</v>
      </c>
      <c r="U1865" s="130">
        <v>92911</v>
      </c>
      <c r="V1865" s="131">
        <v>9000</v>
      </c>
      <c r="W1865" s="131">
        <v>101911</v>
      </c>
      <c r="X1865" s="131">
        <v>101911</v>
      </c>
      <c r="Y1865" s="131">
        <v>0</v>
      </c>
      <c r="Z1865" s="131">
        <v>101473.5</v>
      </c>
      <c r="AA1865" s="131">
        <v>437.5</v>
      </c>
      <c r="AB1865" s="131">
        <v>41576.019999999997</v>
      </c>
      <c r="AC1865" s="131">
        <v>60334.98</v>
      </c>
      <c r="AD1865" s="131">
        <v>41576.019999999997</v>
      </c>
      <c r="AE1865" s="132">
        <v>60334.98</v>
      </c>
    </row>
    <row r="1866" spans="1:31" x14ac:dyDescent="0.2">
      <c r="A1866" s="133">
        <v>301</v>
      </c>
      <c r="B1866" s="133" t="s">
        <v>1841</v>
      </c>
      <c r="C1866" s="133" t="s">
        <v>1199</v>
      </c>
      <c r="D1866" s="133" t="s">
        <v>2148</v>
      </c>
      <c r="E1866" s="133" t="s">
        <v>1201</v>
      </c>
      <c r="F1866" s="133" t="s">
        <v>1117</v>
      </c>
      <c r="G1866" s="133" t="s">
        <v>1276</v>
      </c>
      <c r="H1866" s="133" t="s">
        <v>1277</v>
      </c>
      <c r="I1866" s="130" t="s">
        <v>1288</v>
      </c>
      <c r="J1866" s="130" t="s">
        <v>1289</v>
      </c>
      <c r="K1866" s="130" t="s">
        <v>1290</v>
      </c>
      <c r="L1866" s="130" t="s">
        <v>2149</v>
      </c>
      <c r="M1866" s="130" t="s">
        <v>1925</v>
      </c>
      <c r="N1866" s="130" t="s">
        <v>120</v>
      </c>
      <c r="O1866" s="130" t="s">
        <v>1860</v>
      </c>
      <c r="P1866" s="130" t="s">
        <v>1861</v>
      </c>
      <c r="Q1866" s="130" t="s">
        <v>1127</v>
      </c>
      <c r="R1866" s="130" t="s">
        <v>1191</v>
      </c>
      <c r="S1866" s="130" t="s">
        <v>1157</v>
      </c>
      <c r="T1866" s="130" t="s">
        <v>1847</v>
      </c>
      <c r="U1866" s="130">
        <v>6600</v>
      </c>
      <c r="V1866" s="131">
        <v>0</v>
      </c>
      <c r="W1866" s="131">
        <v>6600</v>
      </c>
      <c r="X1866" s="131">
        <v>6600</v>
      </c>
      <c r="Y1866" s="131">
        <v>0</v>
      </c>
      <c r="Z1866" s="131">
        <v>6600</v>
      </c>
      <c r="AA1866" s="131">
        <v>0</v>
      </c>
      <c r="AB1866" s="131">
        <v>0</v>
      </c>
      <c r="AC1866" s="131">
        <v>6600</v>
      </c>
      <c r="AD1866" s="131">
        <v>0</v>
      </c>
      <c r="AE1866" s="132">
        <v>6600</v>
      </c>
    </row>
    <row r="1867" spans="1:31" x14ac:dyDescent="0.2">
      <c r="A1867" s="133">
        <v>301</v>
      </c>
      <c r="B1867" s="133" t="s">
        <v>1841</v>
      </c>
      <c r="C1867" s="133" t="s">
        <v>1199</v>
      </c>
      <c r="D1867" s="133" t="s">
        <v>2148</v>
      </c>
      <c r="E1867" s="133" t="s">
        <v>1201</v>
      </c>
      <c r="F1867" s="133" t="s">
        <v>1117</v>
      </c>
      <c r="G1867" s="133" t="s">
        <v>1276</v>
      </c>
      <c r="H1867" s="133" t="s">
        <v>1277</v>
      </c>
      <c r="I1867" s="133" t="s">
        <v>1288</v>
      </c>
      <c r="J1867" s="133" t="s">
        <v>1289</v>
      </c>
      <c r="K1867" s="130" t="s">
        <v>1291</v>
      </c>
      <c r="L1867" s="130" t="s">
        <v>2149</v>
      </c>
      <c r="M1867" s="130" t="s">
        <v>1925</v>
      </c>
      <c r="N1867" s="130" t="s">
        <v>120</v>
      </c>
      <c r="O1867" s="130" t="s">
        <v>1860</v>
      </c>
      <c r="P1867" s="130" t="s">
        <v>1861</v>
      </c>
      <c r="Q1867" s="130" t="s">
        <v>1127</v>
      </c>
      <c r="R1867" s="130" t="s">
        <v>1191</v>
      </c>
      <c r="S1867" s="130" t="s">
        <v>1157</v>
      </c>
      <c r="T1867" s="130" t="s">
        <v>1847</v>
      </c>
      <c r="U1867" s="130">
        <v>4400</v>
      </c>
      <c r="V1867" s="131">
        <v>-100</v>
      </c>
      <c r="W1867" s="131">
        <v>4300</v>
      </c>
      <c r="X1867" s="131">
        <v>4300</v>
      </c>
      <c r="Y1867" s="131">
        <v>0</v>
      </c>
      <c r="Z1867" s="131">
        <v>4300</v>
      </c>
      <c r="AA1867" s="131">
        <v>0</v>
      </c>
      <c r="AB1867" s="131">
        <v>1965.29</v>
      </c>
      <c r="AC1867" s="131">
        <v>2334.71</v>
      </c>
      <c r="AD1867" s="131">
        <v>1965.29</v>
      </c>
      <c r="AE1867" s="132">
        <v>2334.71</v>
      </c>
    </row>
    <row r="1868" spans="1:31" x14ac:dyDescent="0.2">
      <c r="A1868" s="133">
        <v>301</v>
      </c>
      <c r="B1868" s="133" t="s">
        <v>1841</v>
      </c>
      <c r="C1868" s="133" t="s">
        <v>1199</v>
      </c>
      <c r="D1868" s="133" t="s">
        <v>2148</v>
      </c>
      <c r="E1868" s="133" t="s">
        <v>1201</v>
      </c>
      <c r="F1868" s="133" t="s">
        <v>1117</v>
      </c>
      <c r="G1868" s="133" t="s">
        <v>1276</v>
      </c>
      <c r="H1868" s="133" t="s">
        <v>1277</v>
      </c>
      <c r="I1868" s="133" t="s">
        <v>1288</v>
      </c>
      <c r="J1868" s="133" t="s">
        <v>1289</v>
      </c>
      <c r="K1868" s="130" t="s">
        <v>1292</v>
      </c>
      <c r="L1868" s="130" t="s">
        <v>2149</v>
      </c>
      <c r="M1868" s="130" t="s">
        <v>1925</v>
      </c>
      <c r="N1868" s="130" t="s">
        <v>120</v>
      </c>
      <c r="O1868" s="130" t="s">
        <v>1860</v>
      </c>
      <c r="P1868" s="130" t="s">
        <v>1861</v>
      </c>
      <c r="Q1868" s="130" t="s">
        <v>1127</v>
      </c>
      <c r="R1868" s="130" t="s">
        <v>1191</v>
      </c>
      <c r="S1868" s="130" t="s">
        <v>1157</v>
      </c>
      <c r="T1868" s="130" t="s">
        <v>1847</v>
      </c>
      <c r="U1868" s="130">
        <v>1800</v>
      </c>
      <c r="V1868" s="131">
        <v>0</v>
      </c>
      <c r="W1868" s="131">
        <v>1800</v>
      </c>
      <c r="X1868" s="131">
        <v>1800</v>
      </c>
      <c r="Y1868" s="131">
        <v>0</v>
      </c>
      <c r="Z1868" s="131">
        <v>1800</v>
      </c>
      <c r="AA1868" s="131">
        <v>0</v>
      </c>
      <c r="AB1868" s="131">
        <v>0</v>
      </c>
      <c r="AC1868" s="131">
        <v>1800</v>
      </c>
      <c r="AD1868" s="131">
        <v>0</v>
      </c>
      <c r="AE1868" s="132">
        <v>1800</v>
      </c>
    </row>
    <row r="1869" spans="1:31" x14ac:dyDescent="0.2">
      <c r="A1869" s="133">
        <v>301</v>
      </c>
      <c r="B1869" s="133" t="s">
        <v>1841</v>
      </c>
      <c r="C1869" s="133" t="s">
        <v>1199</v>
      </c>
      <c r="D1869" s="133" t="s">
        <v>2148</v>
      </c>
      <c r="E1869" s="133" t="s">
        <v>1201</v>
      </c>
      <c r="F1869" s="133" t="s">
        <v>1117</v>
      </c>
      <c r="G1869" s="133" t="s">
        <v>1276</v>
      </c>
      <c r="H1869" s="130" t="s">
        <v>1293</v>
      </c>
      <c r="I1869" s="130" t="s">
        <v>1294</v>
      </c>
      <c r="J1869" s="130" t="s">
        <v>1295</v>
      </c>
      <c r="K1869" s="130" t="s">
        <v>1296</v>
      </c>
      <c r="L1869" s="130" t="s">
        <v>2149</v>
      </c>
      <c r="M1869" s="130" t="s">
        <v>1925</v>
      </c>
      <c r="N1869" s="130" t="s">
        <v>120</v>
      </c>
      <c r="O1869" s="130" t="s">
        <v>1860</v>
      </c>
      <c r="P1869" s="130" t="s">
        <v>1861</v>
      </c>
      <c r="Q1869" s="130" t="s">
        <v>1127</v>
      </c>
      <c r="R1869" s="130" t="s">
        <v>1191</v>
      </c>
      <c r="S1869" s="130" t="s">
        <v>1157</v>
      </c>
      <c r="T1869" s="130" t="s">
        <v>1847</v>
      </c>
      <c r="U1869" s="130">
        <v>13200</v>
      </c>
      <c r="V1869" s="131">
        <v>0</v>
      </c>
      <c r="W1869" s="131">
        <v>13200</v>
      </c>
      <c r="X1869" s="131">
        <v>0</v>
      </c>
      <c r="Y1869" s="131">
        <v>13200</v>
      </c>
      <c r="Z1869" s="131">
        <v>0</v>
      </c>
      <c r="AA1869" s="131">
        <v>13200</v>
      </c>
      <c r="AB1869" s="131">
        <v>0</v>
      </c>
      <c r="AC1869" s="131">
        <v>13200</v>
      </c>
      <c r="AD1869" s="131">
        <v>0</v>
      </c>
      <c r="AE1869" s="132">
        <v>13200</v>
      </c>
    </row>
    <row r="1870" spans="1:31" x14ac:dyDescent="0.2">
      <c r="A1870" s="133">
        <v>301</v>
      </c>
      <c r="B1870" s="133" t="s">
        <v>1841</v>
      </c>
      <c r="C1870" s="133" t="s">
        <v>1199</v>
      </c>
      <c r="D1870" s="133" t="s">
        <v>2148</v>
      </c>
      <c r="E1870" s="133" t="s">
        <v>1201</v>
      </c>
      <c r="F1870" s="133" t="s">
        <v>1117</v>
      </c>
      <c r="G1870" s="133" t="s">
        <v>1276</v>
      </c>
      <c r="H1870" s="130" t="s">
        <v>1297</v>
      </c>
      <c r="I1870" s="130" t="s">
        <v>1298</v>
      </c>
      <c r="J1870" s="130" t="s">
        <v>1298</v>
      </c>
      <c r="K1870" s="130" t="s">
        <v>1299</v>
      </c>
      <c r="L1870" s="130" t="s">
        <v>2149</v>
      </c>
      <c r="M1870" s="130" t="s">
        <v>1925</v>
      </c>
      <c r="N1870" s="130" t="s">
        <v>120</v>
      </c>
      <c r="O1870" s="130" t="s">
        <v>1860</v>
      </c>
      <c r="P1870" s="130" t="s">
        <v>1861</v>
      </c>
      <c r="Q1870" s="130" t="s">
        <v>1127</v>
      </c>
      <c r="R1870" s="130" t="s">
        <v>1191</v>
      </c>
      <c r="S1870" s="130" t="s">
        <v>1157</v>
      </c>
      <c r="T1870" s="130" t="s">
        <v>1847</v>
      </c>
      <c r="U1870" s="130">
        <v>11228</v>
      </c>
      <c r="V1870" s="131">
        <v>-1261</v>
      </c>
      <c r="W1870" s="131">
        <v>9967</v>
      </c>
      <c r="X1870" s="131">
        <v>7391</v>
      </c>
      <c r="Y1870" s="131">
        <v>2576</v>
      </c>
      <c r="Z1870" s="131">
        <v>7391</v>
      </c>
      <c r="AA1870" s="131">
        <v>2576</v>
      </c>
      <c r="AB1870" s="131">
        <v>3306.8999999999996</v>
      </c>
      <c r="AC1870" s="131">
        <v>6660.1</v>
      </c>
      <c r="AD1870" s="131">
        <v>3306.8999999999996</v>
      </c>
      <c r="AE1870" s="132">
        <v>6660.1</v>
      </c>
    </row>
    <row r="1871" spans="1:31" x14ac:dyDescent="0.2">
      <c r="A1871" s="133">
        <v>301</v>
      </c>
      <c r="B1871" s="133" t="s">
        <v>1841</v>
      </c>
      <c r="C1871" s="133" t="s">
        <v>1199</v>
      </c>
      <c r="D1871" s="133" t="s">
        <v>2148</v>
      </c>
      <c r="E1871" s="133" t="s">
        <v>1201</v>
      </c>
      <c r="F1871" s="133" t="s">
        <v>1117</v>
      </c>
      <c r="G1871" s="133" t="s">
        <v>1276</v>
      </c>
      <c r="H1871" s="133" t="s">
        <v>1297</v>
      </c>
      <c r="I1871" s="133" t="s">
        <v>1298</v>
      </c>
      <c r="J1871" s="133" t="s">
        <v>1298</v>
      </c>
      <c r="K1871" s="130" t="s">
        <v>1300</v>
      </c>
      <c r="L1871" s="130" t="s">
        <v>2149</v>
      </c>
      <c r="M1871" s="130" t="s">
        <v>1925</v>
      </c>
      <c r="N1871" s="130" t="s">
        <v>120</v>
      </c>
      <c r="O1871" s="130" t="s">
        <v>1860</v>
      </c>
      <c r="P1871" s="130" t="s">
        <v>1861</v>
      </c>
      <c r="Q1871" s="130" t="s">
        <v>1127</v>
      </c>
      <c r="R1871" s="130" t="s">
        <v>1191</v>
      </c>
      <c r="S1871" s="130" t="s">
        <v>1157</v>
      </c>
      <c r="T1871" s="130" t="s">
        <v>1847</v>
      </c>
      <c r="U1871" s="130">
        <v>7289</v>
      </c>
      <c r="V1871" s="131">
        <v>610</v>
      </c>
      <c r="W1871" s="131">
        <v>7899</v>
      </c>
      <c r="X1871" s="131">
        <v>7899</v>
      </c>
      <c r="Y1871" s="131">
        <v>0</v>
      </c>
      <c r="Z1871" s="131">
        <v>7899</v>
      </c>
      <c r="AA1871" s="131">
        <v>0</v>
      </c>
      <c r="AB1871" s="131">
        <v>3291.3999999999996</v>
      </c>
      <c r="AC1871" s="131">
        <v>4607.6000000000004</v>
      </c>
      <c r="AD1871" s="131">
        <v>3291.3999999999996</v>
      </c>
      <c r="AE1871" s="132">
        <v>4607.6000000000004</v>
      </c>
    </row>
    <row r="1872" spans="1:31" x14ac:dyDescent="0.2">
      <c r="A1872" s="133">
        <v>301</v>
      </c>
      <c r="B1872" s="133" t="s">
        <v>1841</v>
      </c>
      <c r="C1872" s="133" t="s">
        <v>1199</v>
      </c>
      <c r="D1872" s="133" t="s">
        <v>2148</v>
      </c>
      <c r="E1872" s="133" t="s">
        <v>1201</v>
      </c>
      <c r="F1872" s="133" t="s">
        <v>1117</v>
      </c>
      <c r="G1872" s="133" t="s">
        <v>1276</v>
      </c>
      <c r="H1872" s="130" t="s">
        <v>1514</v>
      </c>
      <c r="I1872" s="130" t="s">
        <v>1515</v>
      </c>
      <c r="J1872" s="130" t="s">
        <v>1515</v>
      </c>
      <c r="K1872" s="130" t="s">
        <v>1518</v>
      </c>
      <c r="L1872" s="130" t="s">
        <v>2149</v>
      </c>
      <c r="M1872" s="130" t="s">
        <v>1925</v>
      </c>
      <c r="N1872" s="130" t="s">
        <v>120</v>
      </c>
      <c r="O1872" s="130" t="s">
        <v>1860</v>
      </c>
      <c r="P1872" s="130" t="s">
        <v>1861</v>
      </c>
      <c r="Q1872" s="130" t="s">
        <v>1127</v>
      </c>
      <c r="R1872" s="130" t="s">
        <v>1191</v>
      </c>
      <c r="S1872" s="130" t="s">
        <v>1157</v>
      </c>
      <c r="T1872" s="130" t="s">
        <v>1847</v>
      </c>
      <c r="U1872" s="130">
        <v>0</v>
      </c>
      <c r="V1872" s="131">
        <v>1027</v>
      </c>
      <c r="W1872" s="131">
        <v>1027</v>
      </c>
      <c r="X1872" s="131">
        <v>1026.79</v>
      </c>
      <c r="Y1872" s="131">
        <v>0.21000000000003638</v>
      </c>
      <c r="Z1872" s="131">
        <v>1026.79</v>
      </c>
      <c r="AA1872" s="131">
        <v>0.21000000000003638</v>
      </c>
      <c r="AB1872" s="131">
        <v>1026.79</v>
      </c>
      <c r="AC1872" s="131">
        <v>0.21000000000003638</v>
      </c>
      <c r="AD1872" s="131">
        <v>1026.79</v>
      </c>
      <c r="AE1872" s="132">
        <v>0.21000000000003638</v>
      </c>
    </row>
    <row r="1873" spans="1:31" x14ac:dyDescent="0.2">
      <c r="A1873" s="133">
        <v>301</v>
      </c>
      <c r="B1873" s="133" t="s">
        <v>1841</v>
      </c>
      <c r="C1873" s="133" t="s">
        <v>1199</v>
      </c>
      <c r="D1873" s="133" t="s">
        <v>2148</v>
      </c>
      <c r="E1873" s="133" t="s">
        <v>1201</v>
      </c>
      <c r="F1873" s="133" t="s">
        <v>1117</v>
      </c>
      <c r="G1873" s="130" t="s">
        <v>1202</v>
      </c>
      <c r="H1873" s="130" t="s">
        <v>1216</v>
      </c>
      <c r="I1873" s="130" t="s">
        <v>1301</v>
      </c>
      <c r="J1873" s="130" t="s">
        <v>1301</v>
      </c>
      <c r="K1873" s="130" t="s">
        <v>1302</v>
      </c>
      <c r="L1873" s="130" t="s">
        <v>2149</v>
      </c>
      <c r="M1873" s="130" t="s">
        <v>1925</v>
      </c>
      <c r="N1873" s="130" t="s">
        <v>120</v>
      </c>
      <c r="O1873" s="130" t="s">
        <v>1860</v>
      </c>
      <c r="P1873" s="130" t="s">
        <v>1861</v>
      </c>
      <c r="Q1873" s="130" t="s">
        <v>1127</v>
      </c>
      <c r="R1873" s="130" t="s">
        <v>1191</v>
      </c>
      <c r="S1873" s="130" t="s">
        <v>1157</v>
      </c>
      <c r="T1873" s="130" t="s">
        <v>1847</v>
      </c>
      <c r="U1873" s="130">
        <v>4500</v>
      </c>
      <c r="V1873" s="131">
        <v>6467</v>
      </c>
      <c r="W1873" s="131">
        <v>10967</v>
      </c>
      <c r="X1873" s="131">
        <v>10696.04</v>
      </c>
      <c r="Y1873" s="131">
        <v>270.95999999999913</v>
      </c>
      <c r="Z1873" s="131">
        <v>8915.36</v>
      </c>
      <c r="AA1873" s="131">
        <v>2051.6399999999994</v>
      </c>
      <c r="AB1873" s="131">
        <v>8915.36</v>
      </c>
      <c r="AC1873" s="131">
        <v>2051.6399999999994</v>
      </c>
      <c r="AD1873" s="131">
        <v>8915.36</v>
      </c>
      <c r="AE1873" s="132">
        <v>2051.6399999999994</v>
      </c>
    </row>
    <row r="1874" spans="1:31" x14ac:dyDescent="0.2">
      <c r="A1874" s="133">
        <v>301</v>
      </c>
      <c r="B1874" s="133" t="s">
        <v>1841</v>
      </c>
      <c r="C1874" s="133" t="s">
        <v>1199</v>
      </c>
      <c r="D1874" s="133" t="s">
        <v>2148</v>
      </c>
      <c r="E1874" s="133" t="s">
        <v>1201</v>
      </c>
      <c r="F1874" s="133" t="s">
        <v>1117</v>
      </c>
      <c r="G1874" s="133" t="s">
        <v>1202</v>
      </c>
      <c r="H1874" s="133" t="s">
        <v>1216</v>
      </c>
      <c r="I1874" s="130" t="s">
        <v>1217</v>
      </c>
      <c r="J1874" s="130" t="s">
        <v>1218</v>
      </c>
      <c r="K1874" s="130" t="s">
        <v>1219</v>
      </c>
      <c r="L1874" s="130" t="s">
        <v>2149</v>
      </c>
      <c r="M1874" s="130" t="s">
        <v>1925</v>
      </c>
      <c r="N1874" s="130" t="s">
        <v>120</v>
      </c>
      <c r="O1874" s="130" t="s">
        <v>1860</v>
      </c>
      <c r="P1874" s="130" t="s">
        <v>1861</v>
      </c>
      <c r="Q1874" s="130" t="s">
        <v>1127</v>
      </c>
      <c r="R1874" s="130" t="s">
        <v>1191</v>
      </c>
      <c r="S1874" s="130" t="s">
        <v>1157</v>
      </c>
      <c r="T1874" s="130" t="s">
        <v>1847</v>
      </c>
      <c r="U1874" s="130">
        <v>2700</v>
      </c>
      <c r="V1874" s="131">
        <v>3675</v>
      </c>
      <c r="W1874" s="131">
        <v>6375</v>
      </c>
      <c r="X1874" s="131">
        <v>3300</v>
      </c>
      <c r="Y1874" s="131">
        <v>3075</v>
      </c>
      <c r="Z1874" s="131">
        <v>3300</v>
      </c>
      <c r="AA1874" s="131">
        <v>3075</v>
      </c>
      <c r="AB1874" s="131">
        <v>3300</v>
      </c>
      <c r="AC1874" s="131">
        <v>3075</v>
      </c>
      <c r="AD1874" s="131">
        <v>3300</v>
      </c>
      <c r="AE1874" s="132">
        <v>3075</v>
      </c>
    </row>
    <row r="1875" spans="1:31" x14ac:dyDescent="0.2">
      <c r="A1875" s="133">
        <v>301</v>
      </c>
      <c r="B1875" s="133" t="s">
        <v>1841</v>
      </c>
      <c r="C1875" s="133" t="s">
        <v>1199</v>
      </c>
      <c r="D1875" s="133" t="s">
        <v>2148</v>
      </c>
      <c r="E1875" s="133" t="s">
        <v>1201</v>
      </c>
      <c r="F1875" s="133" t="s">
        <v>1117</v>
      </c>
      <c r="G1875" s="133" t="s">
        <v>1202</v>
      </c>
      <c r="H1875" s="133" t="s">
        <v>1216</v>
      </c>
      <c r="I1875" s="130" t="s">
        <v>1242</v>
      </c>
      <c r="J1875" s="130" t="s">
        <v>1243</v>
      </c>
      <c r="K1875" s="130" t="s">
        <v>1303</v>
      </c>
      <c r="L1875" s="130" t="s">
        <v>2149</v>
      </c>
      <c r="M1875" s="130" t="s">
        <v>1925</v>
      </c>
      <c r="N1875" s="130" t="s">
        <v>120</v>
      </c>
      <c r="O1875" s="130" t="s">
        <v>1860</v>
      </c>
      <c r="P1875" s="130" t="s">
        <v>1861</v>
      </c>
      <c r="Q1875" s="130" t="s">
        <v>1127</v>
      </c>
      <c r="R1875" s="130" t="s">
        <v>1191</v>
      </c>
      <c r="S1875" s="130" t="s">
        <v>1157</v>
      </c>
      <c r="T1875" s="130" t="s">
        <v>1847</v>
      </c>
      <c r="U1875" s="130">
        <v>9500</v>
      </c>
      <c r="V1875" s="131">
        <v>3460</v>
      </c>
      <c r="W1875" s="131">
        <v>12960</v>
      </c>
      <c r="X1875" s="131">
        <v>12960</v>
      </c>
      <c r="Y1875" s="131">
        <v>0</v>
      </c>
      <c r="Z1875" s="131">
        <v>12960</v>
      </c>
      <c r="AA1875" s="131">
        <v>0</v>
      </c>
      <c r="AB1875" s="131">
        <v>12960</v>
      </c>
      <c r="AC1875" s="131">
        <v>0</v>
      </c>
      <c r="AD1875" s="131">
        <v>0</v>
      </c>
      <c r="AE1875" s="132">
        <v>12960</v>
      </c>
    </row>
    <row r="1876" spans="1:31" x14ac:dyDescent="0.2">
      <c r="A1876" s="133">
        <v>301</v>
      </c>
      <c r="B1876" s="133" t="s">
        <v>1841</v>
      </c>
      <c r="C1876" s="133" t="s">
        <v>1199</v>
      </c>
      <c r="D1876" s="133" t="s">
        <v>2148</v>
      </c>
      <c r="E1876" s="133" t="s">
        <v>1201</v>
      </c>
      <c r="F1876" s="133" t="s">
        <v>1117</v>
      </c>
      <c r="G1876" s="133" t="s">
        <v>1202</v>
      </c>
      <c r="H1876" s="133" t="s">
        <v>1216</v>
      </c>
      <c r="I1876" s="130" t="s">
        <v>1222</v>
      </c>
      <c r="J1876" s="130" t="s">
        <v>1304</v>
      </c>
      <c r="K1876" s="130" t="s">
        <v>1248</v>
      </c>
      <c r="L1876" s="130" t="s">
        <v>2149</v>
      </c>
      <c r="M1876" s="130" t="s">
        <v>1925</v>
      </c>
      <c r="N1876" s="130" t="s">
        <v>120</v>
      </c>
      <c r="O1876" s="130" t="s">
        <v>1860</v>
      </c>
      <c r="P1876" s="130" t="s">
        <v>1861</v>
      </c>
      <c r="Q1876" s="130" t="s">
        <v>1127</v>
      </c>
      <c r="R1876" s="130" t="s">
        <v>1191</v>
      </c>
      <c r="S1876" s="130" t="s">
        <v>1157</v>
      </c>
      <c r="T1876" s="130" t="s">
        <v>1847</v>
      </c>
      <c r="U1876" s="130">
        <v>6500</v>
      </c>
      <c r="V1876" s="131">
        <v>11515</v>
      </c>
      <c r="W1876" s="131">
        <v>18015</v>
      </c>
      <c r="X1876" s="131">
        <v>13038</v>
      </c>
      <c r="Y1876" s="131">
        <v>4977</v>
      </c>
      <c r="Z1876" s="131">
        <v>13038</v>
      </c>
      <c r="AA1876" s="131">
        <v>4977</v>
      </c>
      <c r="AB1876" s="131">
        <v>13038</v>
      </c>
      <c r="AC1876" s="131">
        <v>4977</v>
      </c>
      <c r="AD1876" s="131">
        <v>4580</v>
      </c>
      <c r="AE1876" s="132">
        <v>13435</v>
      </c>
    </row>
    <row r="1877" spans="1:31" x14ac:dyDescent="0.2">
      <c r="A1877" s="133">
        <v>301</v>
      </c>
      <c r="B1877" s="133" t="s">
        <v>1841</v>
      </c>
      <c r="C1877" s="133" t="s">
        <v>1199</v>
      </c>
      <c r="D1877" s="133" t="s">
        <v>2148</v>
      </c>
      <c r="E1877" s="133" t="s">
        <v>1201</v>
      </c>
      <c r="F1877" s="133" t="s">
        <v>1117</v>
      </c>
      <c r="G1877" s="133" t="s">
        <v>1202</v>
      </c>
      <c r="H1877" s="133" t="s">
        <v>1216</v>
      </c>
      <c r="I1877" s="133" t="s">
        <v>1222</v>
      </c>
      <c r="J1877" s="133" t="s">
        <v>1304</v>
      </c>
      <c r="K1877" s="130" t="s">
        <v>1305</v>
      </c>
      <c r="L1877" s="130" t="s">
        <v>2149</v>
      </c>
      <c r="M1877" s="130" t="s">
        <v>1925</v>
      </c>
      <c r="N1877" s="130" t="s">
        <v>120</v>
      </c>
      <c r="O1877" s="130" t="s">
        <v>1860</v>
      </c>
      <c r="P1877" s="130" t="s">
        <v>1861</v>
      </c>
      <c r="Q1877" s="130" t="s">
        <v>1127</v>
      </c>
      <c r="R1877" s="130" t="s">
        <v>1191</v>
      </c>
      <c r="S1877" s="130" t="s">
        <v>1157</v>
      </c>
      <c r="T1877" s="130" t="s">
        <v>1847</v>
      </c>
      <c r="U1877" s="130">
        <v>5187</v>
      </c>
      <c r="V1877" s="131">
        <v>2966</v>
      </c>
      <c r="W1877" s="131">
        <v>8153</v>
      </c>
      <c r="X1877" s="131">
        <v>8152</v>
      </c>
      <c r="Y1877" s="131">
        <v>1</v>
      </c>
      <c r="Z1877" s="131">
        <v>8152</v>
      </c>
      <c r="AA1877" s="131">
        <v>1</v>
      </c>
      <c r="AB1877" s="131">
        <v>8152</v>
      </c>
      <c r="AC1877" s="131">
        <v>1</v>
      </c>
      <c r="AD1877" s="131">
        <v>8152</v>
      </c>
      <c r="AE1877" s="132">
        <v>1</v>
      </c>
    </row>
    <row r="1878" spans="1:31" x14ac:dyDescent="0.2">
      <c r="A1878" s="133">
        <v>301</v>
      </c>
      <c r="B1878" s="133" t="s">
        <v>1841</v>
      </c>
      <c r="C1878" s="133" t="s">
        <v>1199</v>
      </c>
      <c r="D1878" s="133" t="s">
        <v>2148</v>
      </c>
      <c r="E1878" s="133" t="s">
        <v>1201</v>
      </c>
      <c r="F1878" s="133" t="s">
        <v>1117</v>
      </c>
      <c r="G1878" s="133" t="s">
        <v>1202</v>
      </c>
      <c r="H1878" s="133" t="s">
        <v>1216</v>
      </c>
      <c r="I1878" s="133" t="s">
        <v>1222</v>
      </c>
      <c r="J1878" s="130" t="s">
        <v>1245</v>
      </c>
      <c r="K1878" s="130" t="s">
        <v>1246</v>
      </c>
      <c r="L1878" s="130" t="s">
        <v>2149</v>
      </c>
      <c r="M1878" s="130" t="s">
        <v>1925</v>
      </c>
      <c r="N1878" s="130" t="s">
        <v>120</v>
      </c>
      <c r="O1878" s="130" t="s">
        <v>1860</v>
      </c>
      <c r="P1878" s="130" t="s">
        <v>1861</v>
      </c>
      <c r="Q1878" s="130" t="s">
        <v>1127</v>
      </c>
      <c r="R1878" s="130" t="s">
        <v>1191</v>
      </c>
      <c r="S1878" s="130" t="s">
        <v>1157</v>
      </c>
      <c r="T1878" s="130" t="s">
        <v>1847</v>
      </c>
      <c r="U1878" s="130">
        <v>600</v>
      </c>
      <c r="V1878" s="131">
        <v>0</v>
      </c>
      <c r="W1878" s="131">
        <v>600</v>
      </c>
      <c r="X1878" s="131">
        <v>0</v>
      </c>
      <c r="Y1878" s="131">
        <v>600</v>
      </c>
      <c r="Z1878" s="131">
        <v>0</v>
      </c>
      <c r="AA1878" s="131">
        <v>600</v>
      </c>
      <c r="AB1878" s="131">
        <v>0</v>
      </c>
      <c r="AC1878" s="131">
        <v>600</v>
      </c>
      <c r="AD1878" s="131">
        <v>0</v>
      </c>
      <c r="AE1878" s="132">
        <v>600</v>
      </c>
    </row>
    <row r="1879" spans="1:31" x14ac:dyDescent="0.2">
      <c r="A1879" s="133">
        <v>301</v>
      </c>
      <c r="B1879" s="133" t="s">
        <v>1841</v>
      </c>
      <c r="C1879" s="133" t="s">
        <v>1199</v>
      </c>
      <c r="D1879" s="133" t="s">
        <v>2148</v>
      </c>
      <c r="E1879" s="133" t="s">
        <v>1201</v>
      </c>
      <c r="F1879" s="133" t="s">
        <v>1117</v>
      </c>
      <c r="G1879" s="133" t="s">
        <v>1202</v>
      </c>
      <c r="H1879" s="133" t="s">
        <v>1216</v>
      </c>
      <c r="I1879" s="130" t="s">
        <v>1247</v>
      </c>
      <c r="J1879" s="130" t="s">
        <v>1248</v>
      </c>
      <c r="K1879" s="130" t="s">
        <v>1249</v>
      </c>
      <c r="L1879" s="130" t="s">
        <v>2149</v>
      </c>
      <c r="M1879" s="130" t="s">
        <v>1925</v>
      </c>
      <c r="N1879" s="130" t="s">
        <v>120</v>
      </c>
      <c r="O1879" s="130" t="s">
        <v>1860</v>
      </c>
      <c r="P1879" s="130" t="s">
        <v>1861</v>
      </c>
      <c r="Q1879" s="130" t="s">
        <v>1127</v>
      </c>
      <c r="R1879" s="130" t="s">
        <v>1191</v>
      </c>
      <c r="S1879" s="130" t="s">
        <v>1157</v>
      </c>
      <c r="T1879" s="130" t="s">
        <v>1847</v>
      </c>
      <c r="U1879" s="130">
        <v>2500</v>
      </c>
      <c r="V1879" s="131">
        <v>0</v>
      </c>
      <c r="W1879" s="131">
        <v>2500</v>
      </c>
      <c r="X1879" s="131">
        <v>700</v>
      </c>
      <c r="Y1879" s="131">
        <v>1800</v>
      </c>
      <c r="Z1879" s="131">
        <v>141</v>
      </c>
      <c r="AA1879" s="131">
        <v>2359</v>
      </c>
      <c r="AB1879" s="131">
        <v>141</v>
      </c>
      <c r="AC1879" s="131">
        <v>2359</v>
      </c>
      <c r="AD1879" s="131">
        <v>141</v>
      </c>
      <c r="AE1879" s="132">
        <v>2359</v>
      </c>
    </row>
    <row r="1880" spans="1:31" x14ac:dyDescent="0.2">
      <c r="A1880" s="133">
        <v>301</v>
      </c>
      <c r="B1880" s="133" t="s">
        <v>1841</v>
      </c>
      <c r="C1880" s="133" t="s">
        <v>1199</v>
      </c>
      <c r="D1880" s="133" t="s">
        <v>2148</v>
      </c>
      <c r="E1880" s="133" t="s">
        <v>1201</v>
      </c>
      <c r="F1880" s="133" t="s">
        <v>1117</v>
      </c>
      <c r="G1880" s="133" t="s">
        <v>1202</v>
      </c>
      <c r="H1880" s="133" t="s">
        <v>1216</v>
      </c>
      <c r="I1880" s="133" t="s">
        <v>1247</v>
      </c>
      <c r="J1880" s="133" t="s">
        <v>1248</v>
      </c>
      <c r="K1880" s="130" t="s">
        <v>1521</v>
      </c>
      <c r="L1880" s="130" t="s">
        <v>2149</v>
      </c>
      <c r="M1880" s="130" t="s">
        <v>1925</v>
      </c>
      <c r="N1880" s="130" t="s">
        <v>120</v>
      </c>
      <c r="O1880" s="130" t="s">
        <v>1860</v>
      </c>
      <c r="P1880" s="130" t="s">
        <v>1861</v>
      </c>
      <c r="Q1880" s="130" t="s">
        <v>1127</v>
      </c>
      <c r="R1880" s="130" t="s">
        <v>1191</v>
      </c>
      <c r="S1880" s="130" t="s">
        <v>1157</v>
      </c>
      <c r="T1880" s="130" t="s">
        <v>1847</v>
      </c>
      <c r="U1880" s="130">
        <v>0</v>
      </c>
      <c r="V1880" s="131">
        <v>18667</v>
      </c>
      <c r="W1880" s="131">
        <v>18667</v>
      </c>
      <c r="X1880" s="131">
        <v>18480</v>
      </c>
      <c r="Y1880" s="131">
        <v>187</v>
      </c>
      <c r="Z1880" s="131">
        <v>18480</v>
      </c>
      <c r="AA1880" s="131">
        <v>187</v>
      </c>
      <c r="AB1880" s="131">
        <v>18480</v>
      </c>
      <c r="AC1880" s="131">
        <v>187</v>
      </c>
      <c r="AD1880" s="131">
        <v>18480</v>
      </c>
      <c r="AE1880" s="132">
        <v>187</v>
      </c>
    </row>
    <row r="1881" spans="1:31" x14ac:dyDescent="0.2">
      <c r="A1881" s="133">
        <v>301</v>
      </c>
      <c r="B1881" s="133" t="s">
        <v>1841</v>
      </c>
      <c r="C1881" s="133" t="s">
        <v>1199</v>
      </c>
      <c r="D1881" s="133" t="s">
        <v>2148</v>
      </c>
      <c r="E1881" s="133" t="s">
        <v>1201</v>
      </c>
      <c r="F1881" s="133" t="s">
        <v>1117</v>
      </c>
      <c r="G1881" s="133" t="s">
        <v>1202</v>
      </c>
      <c r="H1881" s="133" t="s">
        <v>1216</v>
      </c>
      <c r="I1881" s="130" t="s">
        <v>1252</v>
      </c>
      <c r="J1881" s="130" t="s">
        <v>1253</v>
      </c>
      <c r="K1881" s="130" t="s">
        <v>1254</v>
      </c>
      <c r="L1881" s="130" t="s">
        <v>2149</v>
      </c>
      <c r="M1881" s="130" t="s">
        <v>1925</v>
      </c>
      <c r="N1881" s="130" t="s">
        <v>120</v>
      </c>
      <c r="O1881" s="130" t="s">
        <v>1860</v>
      </c>
      <c r="P1881" s="130" t="s">
        <v>1861</v>
      </c>
      <c r="Q1881" s="130" t="s">
        <v>1127</v>
      </c>
      <c r="R1881" s="130" t="s">
        <v>1191</v>
      </c>
      <c r="S1881" s="130" t="s">
        <v>1157</v>
      </c>
      <c r="T1881" s="130" t="s">
        <v>1847</v>
      </c>
      <c r="U1881" s="130">
        <v>1500</v>
      </c>
      <c r="V1881" s="131">
        <v>-450</v>
      </c>
      <c r="W1881" s="131">
        <v>1050</v>
      </c>
      <c r="X1881" s="131">
        <v>39</v>
      </c>
      <c r="Y1881" s="131">
        <v>1011</v>
      </c>
      <c r="Z1881" s="131">
        <v>39</v>
      </c>
      <c r="AA1881" s="131">
        <v>1011</v>
      </c>
      <c r="AB1881" s="131">
        <v>39</v>
      </c>
      <c r="AC1881" s="131">
        <v>1011</v>
      </c>
      <c r="AD1881" s="131">
        <v>39</v>
      </c>
      <c r="AE1881" s="132">
        <v>1011</v>
      </c>
    </row>
    <row r="1882" spans="1:31" x14ac:dyDescent="0.2">
      <c r="A1882" s="133">
        <v>301</v>
      </c>
      <c r="B1882" s="133" t="s">
        <v>1841</v>
      </c>
      <c r="C1882" s="133" t="s">
        <v>1199</v>
      </c>
      <c r="D1882" s="133" t="s">
        <v>2148</v>
      </c>
      <c r="E1882" s="133" t="s">
        <v>1201</v>
      </c>
      <c r="F1882" s="133" t="s">
        <v>1117</v>
      </c>
      <c r="G1882" s="133" t="s">
        <v>1202</v>
      </c>
      <c r="H1882" s="130" t="s">
        <v>1203</v>
      </c>
      <c r="I1882" s="130" t="s">
        <v>1204</v>
      </c>
      <c r="J1882" s="130" t="s">
        <v>1205</v>
      </c>
      <c r="K1882" s="130" t="s">
        <v>1255</v>
      </c>
      <c r="L1882" s="130" t="s">
        <v>2149</v>
      </c>
      <c r="M1882" s="130" t="s">
        <v>1925</v>
      </c>
      <c r="N1882" s="130" t="s">
        <v>120</v>
      </c>
      <c r="O1882" s="130" t="s">
        <v>1860</v>
      </c>
      <c r="P1882" s="130" t="s">
        <v>1861</v>
      </c>
      <c r="Q1882" s="130" t="s">
        <v>1127</v>
      </c>
      <c r="R1882" s="130" t="s">
        <v>1191</v>
      </c>
      <c r="S1882" s="130" t="s">
        <v>1157</v>
      </c>
      <c r="T1882" s="130" t="s">
        <v>1847</v>
      </c>
      <c r="U1882" s="130">
        <v>5650</v>
      </c>
      <c r="V1882" s="131">
        <v>0</v>
      </c>
      <c r="W1882" s="131">
        <v>5650</v>
      </c>
      <c r="X1882" s="131">
        <v>1100</v>
      </c>
      <c r="Y1882" s="131">
        <v>4550</v>
      </c>
      <c r="Z1882" s="131">
        <v>1050</v>
      </c>
      <c r="AA1882" s="131">
        <v>4600</v>
      </c>
      <c r="AB1882" s="131">
        <v>1050</v>
      </c>
      <c r="AC1882" s="131">
        <v>4600</v>
      </c>
      <c r="AD1882" s="131">
        <v>1050</v>
      </c>
      <c r="AE1882" s="132">
        <v>4600</v>
      </c>
    </row>
    <row r="1883" spans="1:31" x14ac:dyDescent="0.2">
      <c r="A1883" s="133">
        <v>301</v>
      </c>
      <c r="B1883" s="133" t="s">
        <v>1841</v>
      </c>
      <c r="C1883" s="133" t="s">
        <v>1199</v>
      </c>
      <c r="D1883" s="133" t="s">
        <v>2148</v>
      </c>
      <c r="E1883" s="133" t="s">
        <v>1201</v>
      </c>
      <c r="F1883" s="133" t="s">
        <v>1117</v>
      </c>
      <c r="G1883" s="133" t="s">
        <v>1202</v>
      </c>
      <c r="H1883" s="133" t="s">
        <v>1203</v>
      </c>
      <c r="I1883" s="133" t="s">
        <v>1204</v>
      </c>
      <c r="J1883" s="133" t="s">
        <v>1205</v>
      </c>
      <c r="K1883" s="130" t="s">
        <v>1256</v>
      </c>
      <c r="L1883" s="130" t="s">
        <v>2149</v>
      </c>
      <c r="M1883" s="130" t="s">
        <v>1925</v>
      </c>
      <c r="N1883" s="130" t="s">
        <v>120</v>
      </c>
      <c r="O1883" s="130" t="s">
        <v>1860</v>
      </c>
      <c r="P1883" s="130" t="s">
        <v>1861</v>
      </c>
      <c r="Q1883" s="130" t="s">
        <v>1127</v>
      </c>
      <c r="R1883" s="130" t="s">
        <v>1191</v>
      </c>
      <c r="S1883" s="130" t="s">
        <v>1157</v>
      </c>
      <c r="T1883" s="130" t="s">
        <v>1847</v>
      </c>
      <c r="U1883" s="130">
        <v>5000</v>
      </c>
      <c r="V1883" s="131">
        <v>0</v>
      </c>
      <c r="W1883" s="131">
        <v>5000</v>
      </c>
      <c r="X1883" s="131">
        <v>2261.3000000000002</v>
      </c>
      <c r="Y1883" s="131">
        <v>2738.7</v>
      </c>
      <c r="Z1883" s="131">
        <v>2261.3000000000002</v>
      </c>
      <c r="AA1883" s="131">
        <v>2738.7</v>
      </c>
      <c r="AB1883" s="131">
        <v>2261.3000000000002</v>
      </c>
      <c r="AC1883" s="131">
        <v>2738.7</v>
      </c>
      <c r="AD1883" s="131">
        <v>2261.3000000000002</v>
      </c>
      <c r="AE1883" s="132">
        <v>2738.7</v>
      </c>
    </row>
    <row r="1884" spans="1:31" x14ac:dyDescent="0.2">
      <c r="A1884" s="133">
        <v>301</v>
      </c>
      <c r="B1884" s="133" t="s">
        <v>1841</v>
      </c>
      <c r="C1884" s="133" t="s">
        <v>1199</v>
      </c>
      <c r="D1884" s="133" t="s">
        <v>2148</v>
      </c>
      <c r="E1884" s="133" t="s">
        <v>1201</v>
      </c>
      <c r="F1884" s="133" t="s">
        <v>1117</v>
      </c>
      <c r="G1884" s="133" t="s">
        <v>1202</v>
      </c>
      <c r="H1884" s="133" t="s">
        <v>1203</v>
      </c>
      <c r="I1884" s="133" t="s">
        <v>1204</v>
      </c>
      <c r="J1884" s="133" t="s">
        <v>1205</v>
      </c>
      <c r="K1884" s="130" t="s">
        <v>1206</v>
      </c>
      <c r="L1884" s="130" t="s">
        <v>2149</v>
      </c>
      <c r="M1884" s="130" t="s">
        <v>1925</v>
      </c>
      <c r="N1884" s="130" t="s">
        <v>120</v>
      </c>
      <c r="O1884" s="130" t="s">
        <v>1860</v>
      </c>
      <c r="P1884" s="130" t="s">
        <v>1861</v>
      </c>
      <c r="Q1884" s="130" t="s">
        <v>1127</v>
      </c>
      <c r="R1884" s="130" t="s">
        <v>1191</v>
      </c>
      <c r="S1884" s="130" t="s">
        <v>1157</v>
      </c>
      <c r="T1884" s="130" t="s">
        <v>1847</v>
      </c>
      <c r="U1884" s="130">
        <v>900</v>
      </c>
      <c r="V1884" s="131">
        <v>-150</v>
      </c>
      <c r="W1884" s="131">
        <v>750</v>
      </c>
      <c r="X1884" s="131">
        <v>749.94</v>
      </c>
      <c r="Y1884" s="131">
        <v>5.999999999994543E-2</v>
      </c>
      <c r="Z1884" s="131">
        <v>711.64</v>
      </c>
      <c r="AA1884" s="131">
        <v>38.360000000000014</v>
      </c>
      <c r="AB1884" s="131">
        <v>711.64</v>
      </c>
      <c r="AC1884" s="131">
        <v>38.360000000000014</v>
      </c>
      <c r="AD1884" s="131">
        <v>711.64</v>
      </c>
      <c r="AE1884" s="132">
        <v>38.360000000000014</v>
      </c>
    </row>
    <row r="1885" spans="1:31" x14ac:dyDescent="0.2">
      <c r="A1885" s="133">
        <v>301</v>
      </c>
      <c r="B1885" s="133" t="s">
        <v>1841</v>
      </c>
      <c r="C1885" s="133" t="s">
        <v>1199</v>
      </c>
      <c r="D1885" s="133" t="s">
        <v>2148</v>
      </c>
      <c r="E1885" s="133" t="s">
        <v>1201</v>
      </c>
      <c r="F1885" s="133" t="s">
        <v>1117</v>
      </c>
      <c r="G1885" s="133" t="s">
        <v>1202</v>
      </c>
      <c r="H1885" s="133" t="s">
        <v>1203</v>
      </c>
      <c r="I1885" s="130" t="s">
        <v>1224</v>
      </c>
      <c r="J1885" s="130" t="s">
        <v>1257</v>
      </c>
      <c r="K1885" s="130" t="s">
        <v>1258</v>
      </c>
      <c r="L1885" s="130" t="s">
        <v>2149</v>
      </c>
      <c r="M1885" s="130" t="s">
        <v>1925</v>
      </c>
      <c r="N1885" s="130" t="s">
        <v>120</v>
      </c>
      <c r="O1885" s="130" t="s">
        <v>1860</v>
      </c>
      <c r="P1885" s="130" t="s">
        <v>1861</v>
      </c>
      <c r="Q1885" s="130" t="s">
        <v>1127</v>
      </c>
      <c r="R1885" s="130" t="s">
        <v>1191</v>
      </c>
      <c r="S1885" s="130" t="s">
        <v>1157</v>
      </c>
      <c r="T1885" s="130" t="s">
        <v>1847</v>
      </c>
      <c r="U1885" s="130">
        <v>660</v>
      </c>
      <c r="V1885" s="131">
        <v>0</v>
      </c>
      <c r="W1885" s="131">
        <v>660</v>
      </c>
      <c r="X1885" s="131">
        <v>27</v>
      </c>
      <c r="Y1885" s="131">
        <v>633</v>
      </c>
      <c r="Z1885" s="131">
        <v>27</v>
      </c>
      <c r="AA1885" s="131">
        <v>633</v>
      </c>
      <c r="AB1885" s="131">
        <v>27</v>
      </c>
      <c r="AC1885" s="131">
        <v>633</v>
      </c>
      <c r="AD1885" s="131">
        <v>27</v>
      </c>
      <c r="AE1885" s="132">
        <v>633</v>
      </c>
    </row>
    <row r="1886" spans="1:31" x14ac:dyDescent="0.2">
      <c r="A1886" s="133">
        <v>301</v>
      </c>
      <c r="B1886" s="133" t="s">
        <v>1841</v>
      </c>
      <c r="C1886" s="133" t="s">
        <v>1199</v>
      </c>
      <c r="D1886" s="133" t="s">
        <v>2148</v>
      </c>
      <c r="E1886" s="133" t="s">
        <v>1201</v>
      </c>
      <c r="F1886" s="133" t="s">
        <v>1117</v>
      </c>
      <c r="G1886" s="133" t="s">
        <v>1202</v>
      </c>
      <c r="H1886" s="133" t="s">
        <v>1203</v>
      </c>
      <c r="I1886" s="133" t="s">
        <v>1224</v>
      </c>
      <c r="J1886" s="133" t="s">
        <v>1257</v>
      </c>
      <c r="K1886" s="130" t="s">
        <v>1259</v>
      </c>
      <c r="L1886" s="130" t="s">
        <v>2149</v>
      </c>
      <c r="M1886" s="130" t="s">
        <v>1925</v>
      </c>
      <c r="N1886" s="130" t="s">
        <v>120</v>
      </c>
      <c r="O1886" s="130" t="s">
        <v>1860</v>
      </c>
      <c r="P1886" s="130" t="s">
        <v>1861</v>
      </c>
      <c r="Q1886" s="130" t="s">
        <v>1127</v>
      </c>
      <c r="R1886" s="130" t="s">
        <v>1191</v>
      </c>
      <c r="S1886" s="130" t="s">
        <v>1157</v>
      </c>
      <c r="T1886" s="130" t="s">
        <v>1847</v>
      </c>
      <c r="U1886" s="130">
        <v>200</v>
      </c>
      <c r="V1886" s="131">
        <v>0</v>
      </c>
      <c r="W1886" s="131">
        <v>200</v>
      </c>
      <c r="X1886" s="131">
        <v>0</v>
      </c>
      <c r="Y1886" s="131">
        <v>200</v>
      </c>
      <c r="Z1886" s="131">
        <v>0</v>
      </c>
      <c r="AA1886" s="131">
        <v>200</v>
      </c>
      <c r="AB1886" s="131">
        <v>0</v>
      </c>
      <c r="AC1886" s="131">
        <v>200</v>
      </c>
      <c r="AD1886" s="131">
        <v>0</v>
      </c>
      <c r="AE1886" s="132">
        <v>200</v>
      </c>
    </row>
    <row r="1887" spans="1:31" x14ac:dyDescent="0.2">
      <c r="A1887" s="133">
        <v>301</v>
      </c>
      <c r="B1887" s="133" t="s">
        <v>1841</v>
      </c>
      <c r="C1887" s="133" t="s">
        <v>1199</v>
      </c>
      <c r="D1887" s="133" t="s">
        <v>2148</v>
      </c>
      <c r="E1887" s="133" t="s">
        <v>1201</v>
      </c>
      <c r="F1887" s="133" t="s">
        <v>1117</v>
      </c>
      <c r="G1887" s="133" t="s">
        <v>1202</v>
      </c>
      <c r="H1887" s="133" t="s">
        <v>1203</v>
      </c>
      <c r="I1887" s="133" t="s">
        <v>1224</v>
      </c>
      <c r="J1887" s="130" t="s">
        <v>1529</v>
      </c>
      <c r="K1887" s="130" t="s">
        <v>1531</v>
      </c>
      <c r="L1887" s="130" t="s">
        <v>2149</v>
      </c>
      <c r="M1887" s="130" t="s">
        <v>1925</v>
      </c>
      <c r="N1887" s="130" t="s">
        <v>120</v>
      </c>
      <c r="O1887" s="130" t="s">
        <v>1860</v>
      </c>
      <c r="P1887" s="130" t="s">
        <v>1861</v>
      </c>
      <c r="Q1887" s="130" t="s">
        <v>1127</v>
      </c>
      <c r="R1887" s="130" t="s">
        <v>1191</v>
      </c>
      <c r="S1887" s="130" t="s">
        <v>1157</v>
      </c>
      <c r="T1887" s="130" t="s">
        <v>1847</v>
      </c>
      <c r="U1887" s="130">
        <v>190000</v>
      </c>
      <c r="V1887" s="131">
        <v>40808</v>
      </c>
      <c r="W1887" s="131">
        <v>230808</v>
      </c>
      <c r="X1887" s="131">
        <v>92323.199999999997</v>
      </c>
      <c r="Y1887" s="131">
        <v>138484.79999999999</v>
      </c>
      <c r="Z1887" s="131">
        <v>38468</v>
      </c>
      <c r="AA1887" s="131">
        <v>192340</v>
      </c>
      <c r="AB1887" s="131">
        <v>38468</v>
      </c>
      <c r="AC1887" s="131">
        <v>192340</v>
      </c>
      <c r="AD1887" s="131">
        <v>38468</v>
      </c>
      <c r="AE1887" s="132">
        <v>192340</v>
      </c>
    </row>
    <row r="1888" spans="1:31" x14ac:dyDescent="0.2">
      <c r="A1888" s="133">
        <v>301</v>
      </c>
      <c r="B1888" s="133" t="s">
        <v>1841</v>
      </c>
      <c r="C1888" s="133" t="s">
        <v>1199</v>
      </c>
      <c r="D1888" s="133" t="s">
        <v>2148</v>
      </c>
      <c r="E1888" s="133" t="s">
        <v>1201</v>
      </c>
      <c r="F1888" s="133" t="s">
        <v>1117</v>
      </c>
      <c r="G1888" s="133" t="s">
        <v>1202</v>
      </c>
      <c r="H1888" s="133" t="s">
        <v>1203</v>
      </c>
      <c r="I1888" s="133" t="s">
        <v>1224</v>
      </c>
      <c r="J1888" s="130" t="s">
        <v>1306</v>
      </c>
      <c r="K1888" s="130" t="s">
        <v>1307</v>
      </c>
      <c r="L1888" s="130" t="s">
        <v>2149</v>
      </c>
      <c r="M1888" s="130" t="s">
        <v>1925</v>
      </c>
      <c r="N1888" s="130" t="s">
        <v>120</v>
      </c>
      <c r="O1888" s="130" t="s">
        <v>1860</v>
      </c>
      <c r="P1888" s="130" t="s">
        <v>1861</v>
      </c>
      <c r="Q1888" s="130" t="s">
        <v>1127</v>
      </c>
      <c r="R1888" s="130" t="s">
        <v>1191</v>
      </c>
      <c r="S1888" s="130" t="s">
        <v>1157</v>
      </c>
      <c r="T1888" s="130" t="s">
        <v>1847</v>
      </c>
      <c r="U1888" s="130">
        <v>10050</v>
      </c>
      <c r="V1888" s="131">
        <v>100</v>
      </c>
      <c r="W1888" s="131">
        <v>10150</v>
      </c>
      <c r="X1888" s="131">
        <v>10076</v>
      </c>
      <c r="Y1888" s="131">
        <v>74</v>
      </c>
      <c r="Z1888" s="131">
        <v>10076</v>
      </c>
      <c r="AA1888" s="131">
        <v>74</v>
      </c>
      <c r="AB1888" s="131">
        <v>10076</v>
      </c>
      <c r="AC1888" s="131">
        <v>74</v>
      </c>
      <c r="AD1888" s="131">
        <v>1576</v>
      </c>
      <c r="AE1888" s="132">
        <v>8574</v>
      </c>
    </row>
    <row r="1889" spans="1:31" x14ac:dyDescent="0.2">
      <c r="A1889" s="133">
        <v>301</v>
      </c>
      <c r="B1889" s="133" t="s">
        <v>1841</v>
      </c>
      <c r="C1889" s="133" t="s">
        <v>1199</v>
      </c>
      <c r="D1889" s="133" t="s">
        <v>2148</v>
      </c>
      <c r="E1889" s="133" t="s">
        <v>1201</v>
      </c>
      <c r="F1889" s="133" t="s">
        <v>1117</v>
      </c>
      <c r="G1889" s="133" t="s">
        <v>1202</v>
      </c>
      <c r="H1889" s="133" t="s">
        <v>1203</v>
      </c>
      <c r="I1889" s="133" t="s">
        <v>1224</v>
      </c>
      <c r="J1889" s="130" t="s">
        <v>1225</v>
      </c>
      <c r="K1889" s="130" t="s">
        <v>1226</v>
      </c>
      <c r="L1889" s="130" t="s">
        <v>2149</v>
      </c>
      <c r="M1889" s="130" t="s">
        <v>1925</v>
      </c>
      <c r="N1889" s="130" t="s">
        <v>120</v>
      </c>
      <c r="O1889" s="130" t="s">
        <v>1860</v>
      </c>
      <c r="P1889" s="130" t="s">
        <v>1861</v>
      </c>
      <c r="Q1889" s="130" t="s">
        <v>1127</v>
      </c>
      <c r="R1889" s="130" t="s">
        <v>1191</v>
      </c>
      <c r="S1889" s="130" t="s">
        <v>1157</v>
      </c>
      <c r="T1889" s="130" t="s">
        <v>1847</v>
      </c>
      <c r="U1889" s="130">
        <v>500</v>
      </c>
      <c r="V1889" s="131">
        <v>0</v>
      </c>
      <c r="W1889" s="131">
        <v>500</v>
      </c>
      <c r="X1889" s="131">
        <v>0</v>
      </c>
      <c r="Y1889" s="131">
        <v>500</v>
      </c>
      <c r="Z1889" s="131">
        <v>0</v>
      </c>
      <c r="AA1889" s="131">
        <v>500</v>
      </c>
      <c r="AB1889" s="131">
        <v>0</v>
      </c>
      <c r="AC1889" s="131">
        <v>500</v>
      </c>
      <c r="AD1889" s="131">
        <v>0</v>
      </c>
      <c r="AE1889" s="132">
        <v>500</v>
      </c>
    </row>
    <row r="1890" spans="1:31" x14ac:dyDescent="0.2">
      <c r="A1890" s="133">
        <v>301</v>
      </c>
      <c r="B1890" s="133" t="s">
        <v>1841</v>
      </c>
      <c r="C1890" s="133" t="s">
        <v>1199</v>
      </c>
      <c r="D1890" s="133" t="s">
        <v>2148</v>
      </c>
      <c r="E1890" s="133" t="s">
        <v>1201</v>
      </c>
      <c r="F1890" s="133" t="s">
        <v>1117</v>
      </c>
      <c r="G1890" s="133" t="s">
        <v>1202</v>
      </c>
      <c r="H1890" s="133" t="s">
        <v>1203</v>
      </c>
      <c r="I1890" s="130" t="s">
        <v>1260</v>
      </c>
      <c r="J1890" s="130" t="s">
        <v>1261</v>
      </c>
      <c r="K1890" s="130" t="s">
        <v>1262</v>
      </c>
      <c r="L1890" s="130" t="s">
        <v>2149</v>
      </c>
      <c r="M1890" s="130" t="s">
        <v>1925</v>
      </c>
      <c r="N1890" s="130" t="s">
        <v>120</v>
      </c>
      <c r="O1890" s="130" t="s">
        <v>1860</v>
      </c>
      <c r="P1890" s="130" t="s">
        <v>1861</v>
      </c>
      <c r="Q1890" s="130" t="s">
        <v>1127</v>
      </c>
      <c r="R1890" s="130" t="s">
        <v>1191</v>
      </c>
      <c r="S1890" s="130" t="s">
        <v>1157</v>
      </c>
      <c r="T1890" s="130" t="s">
        <v>1847</v>
      </c>
      <c r="U1890" s="130">
        <v>180</v>
      </c>
      <c r="V1890" s="131">
        <v>0</v>
      </c>
      <c r="W1890" s="131">
        <v>180</v>
      </c>
      <c r="X1890" s="131">
        <v>0</v>
      </c>
      <c r="Y1890" s="131">
        <v>180</v>
      </c>
      <c r="Z1890" s="131">
        <v>0</v>
      </c>
      <c r="AA1890" s="131">
        <v>180</v>
      </c>
      <c r="AB1890" s="131">
        <v>0</v>
      </c>
      <c r="AC1890" s="131">
        <v>180</v>
      </c>
      <c r="AD1890" s="131">
        <v>0</v>
      </c>
      <c r="AE1890" s="132">
        <v>180</v>
      </c>
    </row>
    <row r="1891" spans="1:31" x14ac:dyDescent="0.2">
      <c r="A1891" s="133">
        <v>301</v>
      </c>
      <c r="B1891" s="133" t="s">
        <v>1841</v>
      </c>
      <c r="C1891" s="133" t="s">
        <v>1199</v>
      </c>
      <c r="D1891" s="133" t="s">
        <v>2148</v>
      </c>
      <c r="E1891" s="133" t="s">
        <v>1201</v>
      </c>
      <c r="F1891" s="133" t="s">
        <v>1117</v>
      </c>
      <c r="G1891" s="133" t="s">
        <v>1202</v>
      </c>
      <c r="H1891" s="133" t="s">
        <v>1203</v>
      </c>
      <c r="I1891" s="130" t="s">
        <v>1264</v>
      </c>
      <c r="J1891" s="130" t="s">
        <v>1265</v>
      </c>
      <c r="K1891" s="130" t="s">
        <v>1266</v>
      </c>
      <c r="L1891" s="130" t="s">
        <v>2149</v>
      </c>
      <c r="M1891" s="130" t="s">
        <v>1925</v>
      </c>
      <c r="N1891" s="130" t="s">
        <v>120</v>
      </c>
      <c r="O1891" s="130" t="s">
        <v>1860</v>
      </c>
      <c r="P1891" s="130" t="s">
        <v>1861</v>
      </c>
      <c r="Q1891" s="130" t="s">
        <v>1127</v>
      </c>
      <c r="R1891" s="130" t="s">
        <v>1191</v>
      </c>
      <c r="S1891" s="130" t="s">
        <v>1157</v>
      </c>
      <c r="T1891" s="130" t="s">
        <v>1847</v>
      </c>
      <c r="U1891" s="130">
        <v>0</v>
      </c>
      <c r="V1891" s="131">
        <v>4200</v>
      </c>
      <c r="W1891" s="131">
        <v>4200</v>
      </c>
      <c r="X1891" s="131">
        <v>4200</v>
      </c>
      <c r="Y1891" s="131">
        <v>0</v>
      </c>
      <c r="Z1891" s="131">
        <v>4200</v>
      </c>
      <c r="AA1891" s="131">
        <v>0</v>
      </c>
      <c r="AB1891" s="131">
        <v>4200</v>
      </c>
      <c r="AC1891" s="131">
        <v>0</v>
      </c>
      <c r="AD1891" s="131">
        <v>0</v>
      </c>
      <c r="AE1891" s="132">
        <v>4200</v>
      </c>
    </row>
    <row r="1892" spans="1:31" x14ac:dyDescent="0.2">
      <c r="A1892" s="133">
        <v>301</v>
      </c>
      <c r="B1892" s="133" t="s">
        <v>1841</v>
      </c>
      <c r="C1892" s="133" t="s">
        <v>1199</v>
      </c>
      <c r="D1892" s="133" t="s">
        <v>2148</v>
      </c>
      <c r="E1892" s="133" t="s">
        <v>1201</v>
      </c>
      <c r="F1892" s="133" t="s">
        <v>1117</v>
      </c>
      <c r="G1892" s="133" t="s">
        <v>1202</v>
      </c>
      <c r="H1892" s="133" t="s">
        <v>1203</v>
      </c>
      <c r="I1892" s="130" t="s">
        <v>1269</v>
      </c>
      <c r="J1892" s="130" t="s">
        <v>1534</v>
      </c>
      <c r="K1892" s="130" t="s">
        <v>1535</v>
      </c>
      <c r="L1892" s="130" t="s">
        <v>2149</v>
      </c>
      <c r="M1892" s="130" t="s">
        <v>1925</v>
      </c>
      <c r="N1892" s="130" t="s">
        <v>120</v>
      </c>
      <c r="O1892" s="130" t="s">
        <v>1860</v>
      </c>
      <c r="P1892" s="130" t="s">
        <v>1861</v>
      </c>
      <c r="Q1892" s="130" t="s">
        <v>1127</v>
      </c>
      <c r="R1892" s="130" t="s">
        <v>1191</v>
      </c>
      <c r="S1892" s="130" t="s">
        <v>1157</v>
      </c>
      <c r="T1892" s="130" t="s">
        <v>1847</v>
      </c>
      <c r="U1892" s="130">
        <v>2600</v>
      </c>
      <c r="V1892" s="131">
        <v>-100</v>
      </c>
      <c r="W1892" s="131">
        <v>2500</v>
      </c>
      <c r="X1892" s="131">
        <v>1645</v>
      </c>
      <c r="Y1892" s="131">
        <v>855</v>
      </c>
      <c r="Z1892" s="131">
        <v>645</v>
      </c>
      <c r="AA1892" s="131">
        <v>1855</v>
      </c>
      <c r="AB1892" s="131">
        <v>645</v>
      </c>
      <c r="AC1892" s="131">
        <v>1855</v>
      </c>
      <c r="AD1892" s="131">
        <v>645</v>
      </c>
      <c r="AE1892" s="132">
        <v>1855</v>
      </c>
    </row>
    <row r="1893" spans="1:31" x14ac:dyDescent="0.2">
      <c r="A1893" s="133">
        <v>301</v>
      </c>
      <c r="B1893" s="133" t="s">
        <v>1841</v>
      </c>
      <c r="C1893" s="133" t="s">
        <v>1199</v>
      </c>
      <c r="D1893" s="133" t="s">
        <v>2148</v>
      </c>
      <c r="E1893" s="133" t="s">
        <v>1201</v>
      </c>
      <c r="F1893" s="133" t="s">
        <v>1117</v>
      </c>
      <c r="G1893" s="133" t="s">
        <v>1202</v>
      </c>
      <c r="H1893" s="133" t="s">
        <v>1203</v>
      </c>
      <c r="I1893" s="133" t="s">
        <v>1269</v>
      </c>
      <c r="J1893" s="130" t="s">
        <v>1270</v>
      </c>
      <c r="K1893" s="130" t="s">
        <v>1272</v>
      </c>
      <c r="L1893" s="130" t="s">
        <v>2149</v>
      </c>
      <c r="M1893" s="130" t="s">
        <v>1925</v>
      </c>
      <c r="N1893" s="130" t="s">
        <v>120</v>
      </c>
      <c r="O1893" s="130" t="s">
        <v>1860</v>
      </c>
      <c r="P1893" s="130" t="s">
        <v>1861</v>
      </c>
      <c r="Q1893" s="130" t="s">
        <v>1127</v>
      </c>
      <c r="R1893" s="130" t="s">
        <v>1191</v>
      </c>
      <c r="S1893" s="130" t="s">
        <v>1157</v>
      </c>
      <c r="T1893" s="130" t="s">
        <v>1847</v>
      </c>
      <c r="U1893" s="130">
        <v>200</v>
      </c>
      <c r="V1893" s="131">
        <v>0</v>
      </c>
      <c r="W1893" s="131">
        <v>200</v>
      </c>
      <c r="X1893" s="131">
        <v>0</v>
      </c>
      <c r="Y1893" s="131">
        <v>200</v>
      </c>
      <c r="Z1893" s="131">
        <v>0</v>
      </c>
      <c r="AA1893" s="131">
        <v>200</v>
      </c>
      <c r="AB1893" s="131">
        <v>0</v>
      </c>
      <c r="AC1893" s="131">
        <v>200</v>
      </c>
      <c r="AD1893" s="131">
        <v>0</v>
      </c>
      <c r="AE1893" s="132">
        <v>200</v>
      </c>
    </row>
    <row r="1894" spans="1:31" x14ac:dyDescent="0.2">
      <c r="A1894" s="133">
        <v>301</v>
      </c>
      <c r="B1894" s="133" t="s">
        <v>1841</v>
      </c>
      <c r="C1894" s="133" t="s">
        <v>1199</v>
      </c>
      <c r="D1894" s="133" t="s">
        <v>2148</v>
      </c>
      <c r="E1894" s="133" t="s">
        <v>1201</v>
      </c>
      <c r="F1894" s="133" t="s">
        <v>1117</v>
      </c>
      <c r="G1894" s="133" t="s">
        <v>1202</v>
      </c>
      <c r="H1894" s="133" t="s">
        <v>1203</v>
      </c>
      <c r="I1894" s="130" t="s">
        <v>1209</v>
      </c>
      <c r="J1894" s="130" t="s">
        <v>1210</v>
      </c>
      <c r="K1894" s="130" t="s">
        <v>1889</v>
      </c>
      <c r="L1894" s="130" t="s">
        <v>2149</v>
      </c>
      <c r="M1894" s="130" t="s">
        <v>1925</v>
      </c>
      <c r="N1894" s="130" t="s">
        <v>120</v>
      </c>
      <c r="O1894" s="130" t="s">
        <v>1860</v>
      </c>
      <c r="P1894" s="130" t="s">
        <v>1861</v>
      </c>
      <c r="Q1894" s="130" t="s">
        <v>1127</v>
      </c>
      <c r="R1894" s="130" t="s">
        <v>1191</v>
      </c>
      <c r="S1894" s="130" t="s">
        <v>1157</v>
      </c>
      <c r="T1894" s="130" t="s">
        <v>1847</v>
      </c>
      <c r="U1894" s="130">
        <v>500</v>
      </c>
      <c r="V1894" s="131">
        <v>0</v>
      </c>
      <c r="W1894" s="131">
        <v>500</v>
      </c>
      <c r="X1894" s="131">
        <v>0</v>
      </c>
      <c r="Y1894" s="131">
        <v>500</v>
      </c>
      <c r="Z1894" s="131">
        <v>0</v>
      </c>
      <c r="AA1894" s="131">
        <v>500</v>
      </c>
      <c r="AB1894" s="131">
        <v>0</v>
      </c>
      <c r="AC1894" s="131">
        <v>500</v>
      </c>
      <c r="AD1894" s="131">
        <v>0</v>
      </c>
      <c r="AE1894" s="132">
        <v>500</v>
      </c>
    </row>
    <row r="1895" spans="1:31" x14ac:dyDescent="0.2">
      <c r="A1895" s="133">
        <v>301</v>
      </c>
      <c r="B1895" s="133" t="s">
        <v>1841</v>
      </c>
      <c r="C1895" s="133" t="s">
        <v>1199</v>
      </c>
      <c r="D1895" s="133" t="s">
        <v>2148</v>
      </c>
      <c r="E1895" s="133" t="s">
        <v>1201</v>
      </c>
      <c r="F1895" s="133" t="s">
        <v>1117</v>
      </c>
      <c r="G1895" s="133" t="s">
        <v>1202</v>
      </c>
      <c r="H1895" s="133" t="s">
        <v>1203</v>
      </c>
      <c r="I1895" s="133" t="s">
        <v>1209</v>
      </c>
      <c r="J1895" s="133" t="s">
        <v>1210</v>
      </c>
      <c r="K1895" s="130" t="s">
        <v>1539</v>
      </c>
      <c r="L1895" s="130" t="s">
        <v>2149</v>
      </c>
      <c r="M1895" s="130" t="s">
        <v>1925</v>
      </c>
      <c r="N1895" s="130" t="s">
        <v>120</v>
      </c>
      <c r="O1895" s="130" t="s">
        <v>1860</v>
      </c>
      <c r="P1895" s="130" t="s">
        <v>1861</v>
      </c>
      <c r="Q1895" s="130" t="s">
        <v>1127</v>
      </c>
      <c r="R1895" s="130" t="s">
        <v>1191</v>
      </c>
      <c r="S1895" s="130" t="s">
        <v>1157</v>
      </c>
      <c r="T1895" s="130" t="s">
        <v>1847</v>
      </c>
      <c r="U1895" s="130">
        <v>8200</v>
      </c>
      <c r="V1895" s="131">
        <v>800</v>
      </c>
      <c r="W1895" s="131">
        <v>9000</v>
      </c>
      <c r="X1895" s="131">
        <v>8731.9</v>
      </c>
      <c r="Y1895" s="131">
        <v>268.10000000000036</v>
      </c>
      <c r="Z1895" s="131">
        <v>6231.9</v>
      </c>
      <c r="AA1895" s="131">
        <v>2768.1000000000004</v>
      </c>
      <c r="AB1895" s="131">
        <v>6231.9</v>
      </c>
      <c r="AC1895" s="131">
        <v>2768.1000000000004</v>
      </c>
      <c r="AD1895" s="131">
        <v>6231.9</v>
      </c>
      <c r="AE1895" s="132">
        <v>2768.1000000000004</v>
      </c>
    </row>
    <row r="1896" spans="1:31" x14ac:dyDescent="0.2">
      <c r="A1896" s="133">
        <v>301</v>
      </c>
      <c r="B1896" s="133" t="s">
        <v>1841</v>
      </c>
      <c r="C1896" s="133" t="s">
        <v>1199</v>
      </c>
      <c r="D1896" s="133" t="s">
        <v>2148</v>
      </c>
      <c r="E1896" s="133" t="s">
        <v>1201</v>
      </c>
      <c r="F1896" s="133" t="s">
        <v>1117</v>
      </c>
      <c r="G1896" s="133" t="s">
        <v>1202</v>
      </c>
      <c r="H1896" s="133" t="s">
        <v>1203</v>
      </c>
      <c r="I1896" s="133" t="s">
        <v>1209</v>
      </c>
      <c r="J1896" s="133" t="s">
        <v>1210</v>
      </c>
      <c r="K1896" s="130" t="s">
        <v>1274</v>
      </c>
      <c r="L1896" s="130" t="s">
        <v>2149</v>
      </c>
      <c r="M1896" s="130" t="s">
        <v>1925</v>
      </c>
      <c r="N1896" s="130" t="s">
        <v>120</v>
      </c>
      <c r="O1896" s="130" t="s">
        <v>1860</v>
      </c>
      <c r="P1896" s="130" t="s">
        <v>1861</v>
      </c>
      <c r="Q1896" s="130" t="s">
        <v>1127</v>
      </c>
      <c r="R1896" s="130" t="s">
        <v>1191</v>
      </c>
      <c r="S1896" s="130" t="s">
        <v>1157</v>
      </c>
      <c r="T1896" s="130" t="s">
        <v>1847</v>
      </c>
      <c r="U1896" s="130">
        <v>8900</v>
      </c>
      <c r="V1896" s="131">
        <v>0</v>
      </c>
      <c r="W1896" s="131">
        <v>8900</v>
      </c>
      <c r="X1896" s="131">
        <v>6234</v>
      </c>
      <c r="Y1896" s="131">
        <v>2666</v>
      </c>
      <c r="Z1896" s="131">
        <v>6234</v>
      </c>
      <c r="AA1896" s="131">
        <v>2666</v>
      </c>
      <c r="AB1896" s="131">
        <v>6234</v>
      </c>
      <c r="AC1896" s="131">
        <v>2666</v>
      </c>
      <c r="AD1896" s="131">
        <v>6234</v>
      </c>
      <c r="AE1896" s="132">
        <v>2666</v>
      </c>
    </row>
    <row r="1897" spans="1:31" x14ac:dyDescent="0.2">
      <c r="A1897" s="133">
        <v>301</v>
      </c>
      <c r="B1897" s="133" t="s">
        <v>1841</v>
      </c>
      <c r="C1897" s="133" t="s">
        <v>1199</v>
      </c>
      <c r="D1897" s="133" t="s">
        <v>2148</v>
      </c>
      <c r="E1897" s="133" t="s">
        <v>1201</v>
      </c>
      <c r="F1897" s="133" t="s">
        <v>1117</v>
      </c>
      <c r="G1897" s="133" t="s">
        <v>1202</v>
      </c>
      <c r="H1897" s="133" t="s">
        <v>1203</v>
      </c>
      <c r="I1897" s="133" t="s">
        <v>1209</v>
      </c>
      <c r="J1897" s="130" t="s">
        <v>1536</v>
      </c>
      <c r="K1897" s="130" t="s">
        <v>1537</v>
      </c>
      <c r="L1897" s="130" t="s">
        <v>2149</v>
      </c>
      <c r="M1897" s="130" t="s">
        <v>1925</v>
      </c>
      <c r="N1897" s="130" t="s">
        <v>120</v>
      </c>
      <c r="O1897" s="130" t="s">
        <v>1860</v>
      </c>
      <c r="P1897" s="130" t="s">
        <v>1861</v>
      </c>
      <c r="Q1897" s="130" t="s">
        <v>1127</v>
      </c>
      <c r="R1897" s="130" t="s">
        <v>1191</v>
      </c>
      <c r="S1897" s="130" t="s">
        <v>1157</v>
      </c>
      <c r="T1897" s="130" t="s">
        <v>1847</v>
      </c>
      <c r="U1897" s="130">
        <v>0</v>
      </c>
      <c r="V1897" s="131">
        <v>25600</v>
      </c>
      <c r="W1897" s="131">
        <v>25600</v>
      </c>
      <c r="X1897" s="131">
        <v>25600</v>
      </c>
      <c r="Y1897" s="131">
        <v>0</v>
      </c>
      <c r="Z1897" s="131">
        <v>25600</v>
      </c>
      <c r="AA1897" s="131">
        <v>0</v>
      </c>
      <c r="AB1897" s="131">
        <v>25600</v>
      </c>
      <c r="AC1897" s="131">
        <v>0</v>
      </c>
      <c r="AD1897" s="131">
        <v>25600</v>
      </c>
      <c r="AE1897" s="132">
        <v>0</v>
      </c>
    </row>
    <row r="1898" spans="1:31" x14ac:dyDescent="0.2">
      <c r="A1898" s="133">
        <v>301</v>
      </c>
      <c r="B1898" s="133" t="s">
        <v>1841</v>
      </c>
      <c r="C1898" s="133" t="s">
        <v>1199</v>
      </c>
      <c r="D1898" s="133" t="s">
        <v>2148</v>
      </c>
      <c r="E1898" s="133" t="s">
        <v>1201</v>
      </c>
      <c r="F1898" s="133" t="s">
        <v>1117</v>
      </c>
      <c r="G1898" s="133" t="s">
        <v>1202</v>
      </c>
      <c r="H1898" s="133" t="s">
        <v>1203</v>
      </c>
      <c r="I1898" s="130" t="s">
        <v>1309</v>
      </c>
      <c r="J1898" s="130" t="s">
        <v>1310</v>
      </c>
      <c r="K1898" s="130" t="s">
        <v>1310</v>
      </c>
      <c r="L1898" s="130" t="s">
        <v>2149</v>
      </c>
      <c r="M1898" s="130" t="s">
        <v>1925</v>
      </c>
      <c r="N1898" s="130" t="s">
        <v>120</v>
      </c>
      <c r="O1898" s="130" t="s">
        <v>1860</v>
      </c>
      <c r="P1898" s="130" t="s">
        <v>1861</v>
      </c>
      <c r="Q1898" s="130" t="s">
        <v>1127</v>
      </c>
      <c r="R1898" s="130" t="s">
        <v>1191</v>
      </c>
      <c r="S1898" s="130" t="s">
        <v>1157</v>
      </c>
      <c r="T1898" s="130" t="s">
        <v>1847</v>
      </c>
      <c r="U1898" s="130">
        <v>63473</v>
      </c>
      <c r="V1898" s="131">
        <v>53991</v>
      </c>
      <c r="W1898" s="131">
        <v>117464</v>
      </c>
      <c r="X1898" s="131">
        <v>90000</v>
      </c>
      <c r="Y1898" s="131">
        <v>27464</v>
      </c>
      <c r="Z1898" s="131">
        <v>82000</v>
      </c>
      <c r="AA1898" s="131">
        <v>35464</v>
      </c>
      <c r="AB1898" s="131">
        <v>82000</v>
      </c>
      <c r="AC1898" s="131">
        <v>35464</v>
      </c>
      <c r="AD1898" s="131">
        <v>63000</v>
      </c>
      <c r="AE1898" s="132">
        <v>54464</v>
      </c>
    </row>
    <row r="1899" spans="1:31" x14ac:dyDescent="0.2">
      <c r="A1899" s="133">
        <v>301</v>
      </c>
      <c r="B1899" s="133" t="s">
        <v>1841</v>
      </c>
      <c r="C1899" s="133" t="s">
        <v>1199</v>
      </c>
      <c r="D1899" s="133" t="s">
        <v>2148</v>
      </c>
      <c r="E1899" s="130" t="s">
        <v>1855</v>
      </c>
      <c r="F1899" s="130" t="s">
        <v>1117</v>
      </c>
      <c r="G1899" s="130" t="s">
        <v>1202</v>
      </c>
      <c r="H1899" s="130" t="s">
        <v>1216</v>
      </c>
      <c r="I1899" s="130" t="s">
        <v>1247</v>
      </c>
      <c r="J1899" s="130" t="s">
        <v>1248</v>
      </c>
      <c r="K1899" s="130" t="s">
        <v>1521</v>
      </c>
      <c r="L1899" s="130" t="s">
        <v>2149</v>
      </c>
      <c r="M1899" s="130" t="s">
        <v>1925</v>
      </c>
      <c r="N1899" s="130" t="s">
        <v>120</v>
      </c>
      <c r="O1899" s="130" t="s">
        <v>1860</v>
      </c>
      <c r="P1899" s="130" t="s">
        <v>1861</v>
      </c>
      <c r="Q1899" s="130" t="s">
        <v>1127</v>
      </c>
      <c r="R1899" s="130" t="s">
        <v>1191</v>
      </c>
      <c r="S1899" s="130" t="s">
        <v>1157</v>
      </c>
      <c r="T1899" s="130" t="s">
        <v>1847</v>
      </c>
      <c r="U1899" s="130">
        <v>0</v>
      </c>
      <c r="V1899" s="131">
        <v>68855</v>
      </c>
      <c r="W1899" s="131">
        <v>68855</v>
      </c>
      <c r="X1899" s="131">
        <v>64507</v>
      </c>
      <c r="Y1899" s="131">
        <v>4348</v>
      </c>
      <c r="Z1899" s="131">
        <v>64507</v>
      </c>
      <c r="AA1899" s="131">
        <v>4348</v>
      </c>
      <c r="AB1899" s="131">
        <v>64507</v>
      </c>
      <c r="AC1899" s="131">
        <v>4348</v>
      </c>
      <c r="AD1899" s="131">
        <v>0</v>
      </c>
      <c r="AE1899" s="132">
        <v>68855</v>
      </c>
    </row>
    <row r="1900" spans="1:31" x14ac:dyDescent="0.2">
      <c r="A1900" s="133">
        <v>301</v>
      </c>
      <c r="B1900" s="133" t="s">
        <v>1841</v>
      </c>
      <c r="C1900" s="133" t="s">
        <v>1199</v>
      </c>
      <c r="D1900" s="133" t="s">
        <v>2148</v>
      </c>
      <c r="E1900" s="133" t="s">
        <v>1855</v>
      </c>
      <c r="F1900" s="133" t="s">
        <v>1117</v>
      </c>
      <c r="G1900" s="133" t="s">
        <v>1202</v>
      </c>
      <c r="H1900" s="130" t="s">
        <v>1203</v>
      </c>
      <c r="I1900" s="130" t="s">
        <v>1309</v>
      </c>
      <c r="J1900" s="130" t="s">
        <v>1310</v>
      </c>
      <c r="K1900" s="130" t="s">
        <v>1310</v>
      </c>
      <c r="L1900" s="130" t="s">
        <v>2149</v>
      </c>
      <c r="M1900" s="130" t="s">
        <v>1925</v>
      </c>
      <c r="N1900" s="130" t="s">
        <v>120</v>
      </c>
      <c r="O1900" s="130" t="s">
        <v>1860</v>
      </c>
      <c r="P1900" s="130" t="s">
        <v>1861</v>
      </c>
      <c r="Q1900" s="130" t="s">
        <v>1127</v>
      </c>
      <c r="R1900" s="130" t="s">
        <v>1191</v>
      </c>
      <c r="S1900" s="130" t="s">
        <v>1157</v>
      </c>
      <c r="T1900" s="130" t="s">
        <v>1847</v>
      </c>
      <c r="U1900" s="130">
        <v>0</v>
      </c>
      <c r="V1900" s="131">
        <v>48000</v>
      </c>
      <c r="W1900" s="131">
        <v>48000</v>
      </c>
      <c r="X1900" s="131">
        <v>48000</v>
      </c>
      <c r="Y1900" s="131">
        <v>0</v>
      </c>
      <c r="Z1900" s="131">
        <v>48000</v>
      </c>
      <c r="AA1900" s="131">
        <v>0</v>
      </c>
      <c r="AB1900" s="131">
        <v>48000</v>
      </c>
      <c r="AC1900" s="131">
        <v>0</v>
      </c>
      <c r="AD1900" s="131">
        <v>0</v>
      </c>
      <c r="AE1900" s="132">
        <v>48000</v>
      </c>
    </row>
    <row r="1901" spans="1:31" x14ac:dyDescent="0.2">
      <c r="A1901" s="133">
        <v>301</v>
      </c>
      <c r="B1901" s="133" t="s">
        <v>1841</v>
      </c>
      <c r="C1901" s="133" t="s">
        <v>1199</v>
      </c>
      <c r="D1901" s="133" t="s">
        <v>2148</v>
      </c>
      <c r="E1901" s="133" t="s">
        <v>1855</v>
      </c>
      <c r="F1901" s="133" t="s">
        <v>1117</v>
      </c>
      <c r="G1901" s="130" t="s">
        <v>1118</v>
      </c>
      <c r="H1901" s="130" t="s">
        <v>1149</v>
      </c>
      <c r="I1901" s="130" t="s">
        <v>1182</v>
      </c>
      <c r="J1901" s="130" t="s">
        <v>1377</v>
      </c>
      <c r="K1901" s="130" t="s">
        <v>1378</v>
      </c>
      <c r="L1901" s="130" t="s">
        <v>2149</v>
      </c>
      <c r="M1901" s="130" t="s">
        <v>1925</v>
      </c>
      <c r="N1901" s="130" t="s">
        <v>120</v>
      </c>
      <c r="O1901" s="130" t="s">
        <v>1860</v>
      </c>
      <c r="P1901" s="130" t="s">
        <v>1861</v>
      </c>
      <c r="Q1901" s="130" t="s">
        <v>1127</v>
      </c>
      <c r="R1901" s="130" t="s">
        <v>1191</v>
      </c>
      <c r="S1901" s="130" t="s">
        <v>1157</v>
      </c>
      <c r="T1901" s="130" t="s">
        <v>1847</v>
      </c>
      <c r="U1901" s="130">
        <v>0</v>
      </c>
      <c r="V1901" s="131">
        <v>2400</v>
      </c>
      <c r="W1901" s="131">
        <v>2400</v>
      </c>
      <c r="X1901" s="131">
        <v>2400</v>
      </c>
      <c r="Y1901" s="131">
        <v>0</v>
      </c>
      <c r="Z1901" s="131">
        <v>1606.66</v>
      </c>
      <c r="AA1901" s="131">
        <v>793.33999999999992</v>
      </c>
      <c r="AB1901" s="131">
        <v>1606.66</v>
      </c>
      <c r="AC1901" s="131">
        <v>793.33999999999992</v>
      </c>
      <c r="AD1901" s="131">
        <v>0</v>
      </c>
      <c r="AE1901" s="132">
        <v>2400</v>
      </c>
    </row>
    <row r="1902" spans="1:31" x14ac:dyDescent="0.2">
      <c r="A1902" s="133">
        <v>301</v>
      </c>
      <c r="B1902" s="133" t="s">
        <v>1841</v>
      </c>
      <c r="C1902" s="133" t="s">
        <v>1199</v>
      </c>
      <c r="D1902" s="133" t="s">
        <v>2148</v>
      </c>
      <c r="E1902" s="133" t="s">
        <v>1855</v>
      </c>
      <c r="F1902" s="133" t="s">
        <v>1117</v>
      </c>
      <c r="G1902" s="133" t="s">
        <v>1118</v>
      </c>
      <c r="H1902" s="133" t="s">
        <v>1149</v>
      </c>
      <c r="I1902" s="133" t="s">
        <v>1182</v>
      </c>
      <c r="J1902" s="130" t="s">
        <v>1382</v>
      </c>
      <c r="K1902" s="130" t="s">
        <v>1378</v>
      </c>
      <c r="L1902" s="130" t="s">
        <v>2149</v>
      </c>
      <c r="M1902" s="130" t="s">
        <v>1925</v>
      </c>
      <c r="N1902" s="130" t="s">
        <v>120</v>
      </c>
      <c r="O1902" s="130" t="s">
        <v>1860</v>
      </c>
      <c r="P1902" s="130" t="s">
        <v>1861</v>
      </c>
      <c r="Q1902" s="130" t="s">
        <v>1127</v>
      </c>
      <c r="R1902" s="130" t="s">
        <v>1191</v>
      </c>
      <c r="S1902" s="130" t="s">
        <v>1157</v>
      </c>
      <c r="T1902" s="130" t="s">
        <v>1847</v>
      </c>
      <c r="U1902" s="130">
        <v>0</v>
      </c>
      <c r="V1902" s="131">
        <v>0</v>
      </c>
      <c r="W1902" s="131">
        <v>0</v>
      </c>
      <c r="X1902" s="131">
        <v>0</v>
      </c>
      <c r="Y1902" s="131">
        <v>0</v>
      </c>
      <c r="Z1902" s="131">
        <v>0</v>
      </c>
      <c r="AA1902" s="131">
        <v>0</v>
      </c>
      <c r="AB1902" s="131">
        <v>0</v>
      </c>
      <c r="AC1902" s="131">
        <v>0</v>
      </c>
      <c r="AD1902" s="131">
        <v>0</v>
      </c>
      <c r="AE1902" s="132">
        <v>0</v>
      </c>
    </row>
    <row r="1903" spans="1:31" x14ac:dyDescent="0.2">
      <c r="A1903" s="133">
        <v>301</v>
      </c>
      <c r="B1903" s="133" t="s">
        <v>1841</v>
      </c>
      <c r="C1903" s="133" t="s">
        <v>1199</v>
      </c>
      <c r="D1903" s="133" t="s">
        <v>2148</v>
      </c>
      <c r="E1903" s="133" t="s">
        <v>1855</v>
      </c>
      <c r="F1903" s="133" t="s">
        <v>1117</v>
      </c>
      <c r="G1903" s="133" t="s">
        <v>1118</v>
      </c>
      <c r="H1903" s="133" t="s">
        <v>1149</v>
      </c>
      <c r="I1903" s="133" t="s">
        <v>1182</v>
      </c>
      <c r="J1903" s="130" t="s">
        <v>1347</v>
      </c>
      <c r="K1903" s="130" t="s">
        <v>1348</v>
      </c>
      <c r="L1903" s="130" t="s">
        <v>2149</v>
      </c>
      <c r="M1903" s="130" t="s">
        <v>1925</v>
      </c>
      <c r="N1903" s="130" t="s">
        <v>120</v>
      </c>
      <c r="O1903" s="130" t="s">
        <v>1860</v>
      </c>
      <c r="P1903" s="130" t="s">
        <v>1861</v>
      </c>
      <c r="Q1903" s="130" t="s">
        <v>1127</v>
      </c>
      <c r="R1903" s="130" t="s">
        <v>1191</v>
      </c>
      <c r="S1903" s="130" t="s">
        <v>1157</v>
      </c>
      <c r="T1903" s="130" t="s">
        <v>1847</v>
      </c>
      <c r="U1903" s="130">
        <v>0</v>
      </c>
      <c r="V1903" s="131">
        <v>34646</v>
      </c>
      <c r="W1903" s="131">
        <v>34646</v>
      </c>
      <c r="X1903" s="131">
        <v>34646</v>
      </c>
      <c r="Y1903" s="131">
        <v>0</v>
      </c>
      <c r="Z1903" s="131">
        <v>31489.1</v>
      </c>
      <c r="AA1903" s="131">
        <v>3156.9000000000015</v>
      </c>
      <c r="AB1903" s="131">
        <v>31489.1</v>
      </c>
      <c r="AC1903" s="131">
        <v>3156.9000000000015</v>
      </c>
      <c r="AD1903" s="131">
        <v>28995.52</v>
      </c>
      <c r="AE1903" s="132">
        <v>5650.48</v>
      </c>
    </row>
    <row r="1904" spans="1:31" x14ac:dyDescent="0.2">
      <c r="A1904" s="133">
        <v>301</v>
      </c>
      <c r="B1904" s="133" t="s">
        <v>1841</v>
      </c>
      <c r="C1904" s="133" t="s">
        <v>1199</v>
      </c>
      <c r="D1904" s="133" t="s">
        <v>2148</v>
      </c>
      <c r="E1904" s="133" t="s">
        <v>1855</v>
      </c>
      <c r="F1904" s="133" t="s">
        <v>1117</v>
      </c>
      <c r="G1904" s="133" t="s">
        <v>1118</v>
      </c>
      <c r="H1904" s="133" t="s">
        <v>1149</v>
      </c>
      <c r="I1904" s="133" t="s">
        <v>1182</v>
      </c>
      <c r="J1904" s="133" t="s">
        <v>1347</v>
      </c>
      <c r="K1904" s="130" t="s">
        <v>1355</v>
      </c>
      <c r="L1904" s="130" t="s">
        <v>2149</v>
      </c>
      <c r="M1904" s="130" t="s">
        <v>1925</v>
      </c>
      <c r="N1904" s="130" t="s">
        <v>120</v>
      </c>
      <c r="O1904" s="130" t="s">
        <v>1860</v>
      </c>
      <c r="P1904" s="130" t="s">
        <v>1861</v>
      </c>
      <c r="Q1904" s="130" t="s">
        <v>1127</v>
      </c>
      <c r="R1904" s="130" t="s">
        <v>1191</v>
      </c>
      <c r="S1904" s="130" t="s">
        <v>1157</v>
      </c>
      <c r="T1904" s="130" t="s">
        <v>1847</v>
      </c>
      <c r="U1904" s="130">
        <v>0</v>
      </c>
      <c r="V1904" s="131">
        <v>30943</v>
      </c>
      <c r="W1904" s="131">
        <v>30943</v>
      </c>
      <c r="X1904" s="131">
        <v>12200</v>
      </c>
      <c r="Y1904" s="131">
        <v>18743</v>
      </c>
      <c r="Z1904" s="131">
        <v>12200</v>
      </c>
      <c r="AA1904" s="131">
        <v>18743</v>
      </c>
      <c r="AB1904" s="131">
        <v>12200</v>
      </c>
      <c r="AC1904" s="131">
        <v>18743</v>
      </c>
      <c r="AD1904" s="131">
        <v>0</v>
      </c>
      <c r="AE1904" s="132">
        <v>30943</v>
      </c>
    </row>
    <row r="1905" spans="1:31" x14ac:dyDescent="0.2">
      <c r="A1905" s="133">
        <v>301</v>
      </c>
      <c r="B1905" s="133" t="s">
        <v>1841</v>
      </c>
      <c r="C1905" s="133" t="s">
        <v>1199</v>
      </c>
      <c r="D1905" s="133" t="s">
        <v>2148</v>
      </c>
      <c r="E1905" s="133" t="s">
        <v>1855</v>
      </c>
      <c r="F1905" s="133" t="s">
        <v>1117</v>
      </c>
      <c r="G1905" s="133" t="s">
        <v>1118</v>
      </c>
      <c r="H1905" s="133" t="s">
        <v>1149</v>
      </c>
      <c r="I1905" s="133" t="s">
        <v>1182</v>
      </c>
      <c r="J1905" s="130" t="s">
        <v>1183</v>
      </c>
      <c r="K1905" s="130" t="s">
        <v>2150</v>
      </c>
      <c r="L1905" s="130" t="s">
        <v>2149</v>
      </c>
      <c r="M1905" s="130" t="s">
        <v>1925</v>
      </c>
      <c r="N1905" s="130" t="s">
        <v>120</v>
      </c>
      <c r="O1905" s="130" t="s">
        <v>1860</v>
      </c>
      <c r="P1905" s="130" t="s">
        <v>1861</v>
      </c>
      <c r="Q1905" s="130" t="s">
        <v>1127</v>
      </c>
      <c r="R1905" s="130" t="s">
        <v>1191</v>
      </c>
      <c r="S1905" s="130" t="s">
        <v>1157</v>
      </c>
      <c r="T1905" s="130" t="s">
        <v>1847</v>
      </c>
      <c r="U1905" s="130">
        <v>0</v>
      </c>
      <c r="V1905" s="131">
        <v>1290</v>
      </c>
      <c r="W1905" s="131">
        <v>1290</v>
      </c>
      <c r="X1905" s="131">
        <v>1290</v>
      </c>
      <c r="Y1905" s="131">
        <v>0</v>
      </c>
      <c r="Z1905" s="131">
        <v>1290</v>
      </c>
      <c r="AA1905" s="131">
        <v>0</v>
      </c>
      <c r="AB1905" s="131">
        <v>1290</v>
      </c>
      <c r="AC1905" s="131">
        <v>0</v>
      </c>
      <c r="AD1905" s="131">
        <v>1290</v>
      </c>
      <c r="AE1905" s="132">
        <v>0</v>
      </c>
    </row>
    <row r="1906" spans="1:31" x14ac:dyDescent="0.2">
      <c r="A1906" s="130">
        <v>302</v>
      </c>
      <c r="B1906" s="130" t="s">
        <v>1841</v>
      </c>
      <c r="C1906" s="130" t="s">
        <v>1199</v>
      </c>
      <c r="D1906" s="130" t="s">
        <v>2151</v>
      </c>
      <c r="E1906" s="130" t="s">
        <v>1201</v>
      </c>
      <c r="F1906" s="130" t="s">
        <v>1117</v>
      </c>
      <c r="G1906" s="130" t="s">
        <v>1202</v>
      </c>
      <c r="H1906" s="130" t="s">
        <v>1216</v>
      </c>
      <c r="I1906" s="130" t="s">
        <v>1217</v>
      </c>
      <c r="J1906" s="130" t="s">
        <v>1218</v>
      </c>
      <c r="K1906" s="130" t="s">
        <v>1219</v>
      </c>
      <c r="L1906" s="130" t="s">
        <v>2152</v>
      </c>
      <c r="M1906" s="130" t="s">
        <v>1925</v>
      </c>
      <c r="N1906" s="130" t="s">
        <v>1568</v>
      </c>
      <c r="O1906" s="130" t="s">
        <v>1569</v>
      </c>
      <c r="P1906" s="130" t="s">
        <v>1570</v>
      </c>
      <c r="Q1906" s="130" t="s">
        <v>1127</v>
      </c>
      <c r="R1906" s="130" t="s">
        <v>1191</v>
      </c>
      <c r="S1906" s="130" t="s">
        <v>1191</v>
      </c>
      <c r="T1906" s="130" t="s">
        <v>1142</v>
      </c>
      <c r="U1906" s="130">
        <v>0</v>
      </c>
      <c r="V1906" s="131">
        <v>3400</v>
      </c>
      <c r="W1906" s="131">
        <v>3400</v>
      </c>
      <c r="X1906" s="131">
        <v>2630</v>
      </c>
      <c r="Y1906" s="131">
        <v>770</v>
      </c>
      <c r="Z1906" s="131">
        <v>2630</v>
      </c>
      <c r="AA1906" s="131">
        <v>770</v>
      </c>
      <c r="AB1906" s="131">
        <v>2630</v>
      </c>
      <c r="AC1906" s="131">
        <v>770</v>
      </c>
      <c r="AD1906" s="131">
        <v>2630</v>
      </c>
      <c r="AE1906" s="132">
        <v>770</v>
      </c>
    </row>
    <row r="1907" spans="1:31" x14ac:dyDescent="0.2">
      <c r="A1907" s="133">
        <v>302</v>
      </c>
      <c r="B1907" s="133" t="s">
        <v>1841</v>
      </c>
      <c r="C1907" s="133" t="s">
        <v>1199</v>
      </c>
      <c r="D1907" s="133" t="s">
        <v>2151</v>
      </c>
      <c r="E1907" s="133" t="s">
        <v>1201</v>
      </c>
      <c r="F1907" s="133" t="s">
        <v>1117</v>
      </c>
      <c r="G1907" s="133" t="s">
        <v>1202</v>
      </c>
      <c r="H1907" s="133" t="s">
        <v>1216</v>
      </c>
      <c r="I1907" s="130" t="s">
        <v>1242</v>
      </c>
      <c r="J1907" s="130" t="s">
        <v>1243</v>
      </c>
      <c r="K1907" s="130" t="s">
        <v>1303</v>
      </c>
      <c r="L1907" s="130" t="s">
        <v>2152</v>
      </c>
      <c r="M1907" s="130" t="s">
        <v>1925</v>
      </c>
      <c r="N1907" s="130" t="s">
        <v>1568</v>
      </c>
      <c r="O1907" s="130" t="s">
        <v>1569</v>
      </c>
      <c r="P1907" s="130" t="s">
        <v>1570</v>
      </c>
      <c r="Q1907" s="130" t="s">
        <v>1127</v>
      </c>
      <c r="R1907" s="130" t="s">
        <v>1191</v>
      </c>
      <c r="S1907" s="130" t="s">
        <v>1191</v>
      </c>
      <c r="T1907" s="130" t="s">
        <v>1142</v>
      </c>
      <c r="U1907" s="130">
        <v>250000</v>
      </c>
      <c r="V1907" s="131">
        <v>-188990</v>
      </c>
      <c r="W1907" s="131">
        <v>61010</v>
      </c>
      <c r="X1907" s="131">
        <v>7035</v>
      </c>
      <c r="Y1907" s="131">
        <v>53975</v>
      </c>
      <c r="Z1907" s="131">
        <v>7035</v>
      </c>
      <c r="AA1907" s="131">
        <v>53975</v>
      </c>
      <c r="AB1907" s="131">
        <v>7035</v>
      </c>
      <c r="AC1907" s="131">
        <v>53975</v>
      </c>
      <c r="AD1907" s="131">
        <v>0</v>
      </c>
      <c r="AE1907" s="132">
        <v>61010</v>
      </c>
    </row>
    <row r="1908" spans="1:31" x14ac:dyDescent="0.2">
      <c r="A1908" s="133">
        <v>302</v>
      </c>
      <c r="B1908" s="133" t="s">
        <v>1841</v>
      </c>
      <c r="C1908" s="133" t="s">
        <v>1199</v>
      </c>
      <c r="D1908" s="133" t="s">
        <v>2151</v>
      </c>
      <c r="E1908" s="133" t="s">
        <v>1201</v>
      </c>
      <c r="F1908" s="133" t="s">
        <v>1117</v>
      </c>
      <c r="G1908" s="133" t="s">
        <v>1202</v>
      </c>
      <c r="H1908" s="133" t="s">
        <v>1216</v>
      </c>
      <c r="I1908" s="130" t="s">
        <v>1222</v>
      </c>
      <c r="J1908" s="130" t="s">
        <v>1304</v>
      </c>
      <c r="K1908" s="130" t="s">
        <v>1305</v>
      </c>
      <c r="L1908" s="130" t="s">
        <v>2152</v>
      </c>
      <c r="M1908" s="130" t="s">
        <v>1925</v>
      </c>
      <c r="N1908" s="130" t="s">
        <v>1568</v>
      </c>
      <c r="O1908" s="130" t="s">
        <v>1569</v>
      </c>
      <c r="P1908" s="130" t="s">
        <v>1570</v>
      </c>
      <c r="Q1908" s="130" t="s">
        <v>1127</v>
      </c>
      <c r="R1908" s="130" t="s">
        <v>1191</v>
      </c>
      <c r="S1908" s="130" t="s">
        <v>1191</v>
      </c>
      <c r="T1908" s="130" t="s">
        <v>1142</v>
      </c>
      <c r="U1908" s="130">
        <v>0</v>
      </c>
      <c r="V1908" s="131">
        <v>11472</v>
      </c>
      <c r="W1908" s="131">
        <v>11472</v>
      </c>
      <c r="X1908" s="131">
        <v>10700.5</v>
      </c>
      <c r="Y1908" s="131">
        <v>771.5</v>
      </c>
      <c r="Z1908" s="131">
        <v>9367.1299999999992</v>
      </c>
      <c r="AA1908" s="131">
        <v>2104.8700000000008</v>
      </c>
      <c r="AB1908" s="131">
        <v>9367.130000000001</v>
      </c>
      <c r="AC1908" s="131">
        <v>2104.869999999999</v>
      </c>
      <c r="AD1908" s="131">
        <v>5108.5</v>
      </c>
      <c r="AE1908" s="132">
        <v>6363.5</v>
      </c>
    </row>
    <row r="1909" spans="1:31" x14ac:dyDescent="0.2">
      <c r="A1909" s="133">
        <v>302</v>
      </c>
      <c r="B1909" s="133" t="s">
        <v>1841</v>
      </c>
      <c r="C1909" s="133" t="s">
        <v>1199</v>
      </c>
      <c r="D1909" s="133" t="s">
        <v>2151</v>
      </c>
      <c r="E1909" s="133" t="s">
        <v>1201</v>
      </c>
      <c r="F1909" s="133" t="s">
        <v>1117</v>
      </c>
      <c r="G1909" s="133" t="s">
        <v>1202</v>
      </c>
      <c r="H1909" s="130" t="s">
        <v>1203</v>
      </c>
      <c r="I1909" s="130" t="s">
        <v>1264</v>
      </c>
      <c r="J1909" s="130" t="s">
        <v>1265</v>
      </c>
      <c r="K1909" s="130" t="s">
        <v>1266</v>
      </c>
      <c r="L1909" s="130" t="s">
        <v>2152</v>
      </c>
      <c r="M1909" s="130" t="s">
        <v>1925</v>
      </c>
      <c r="N1909" s="130" t="s">
        <v>1568</v>
      </c>
      <c r="O1909" s="130" t="s">
        <v>1569</v>
      </c>
      <c r="P1909" s="130" t="s">
        <v>1570</v>
      </c>
      <c r="Q1909" s="130" t="s">
        <v>1127</v>
      </c>
      <c r="R1909" s="130" t="s">
        <v>1191</v>
      </c>
      <c r="S1909" s="130" t="s">
        <v>1191</v>
      </c>
      <c r="T1909" s="130" t="s">
        <v>1142</v>
      </c>
      <c r="U1909" s="130">
        <v>0</v>
      </c>
      <c r="V1909" s="131">
        <v>7300</v>
      </c>
      <c r="W1909" s="131">
        <v>7300</v>
      </c>
      <c r="X1909" s="131">
        <v>2000</v>
      </c>
      <c r="Y1909" s="131">
        <v>5300</v>
      </c>
      <c r="Z1909" s="131">
        <v>2000</v>
      </c>
      <c r="AA1909" s="131">
        <v>5300</v>
      </c>
      <c r="AB1909" s="131">
        <v>2000</v>
      </c>
      <c r="AC1909" s="131">
        <v>5300</v>
      </c>
      <c r="AD1909" s="131">
        <v>2000</v>
      </c>
      <c r="AE1909" s="132">
        <v>5300</v>
      </c>
    </row>
    <row r="1910" spans="1:31" x14ac:dyDescent="0.2">
      <c r="A1910" s="133">
        <v>302</v>
      </c>
      <c r="B1910" s="133" t="s">
        <v>1841</v>
      </c>
      <c r="C1910" s="133" t="s">
        <v>1199</v>
      </c>
      <c r="D1910" s="133" t="s">
        <v>2151</v>
      </c>
      <c r="E1910" s="133" t="s">
        <v>1201</v>
      </c>
      <c r="F1910" s="133" t="s">
        <v>1117</v>
      </c>
      <c r="G1910" s="133" t="s">
        <v>1202</v>
      </c>
      <c r="H1910" s="133" t="s">
        <v>1203</v>
      </c>
      <c r="I1910" s="130" t="s">
        <v>1315</v>
      </c>
      <c r="J1910" s="130" t="s">
        <v>1316</v>
      </c>
      <c r="K1910" s="130" t="s">
        <v>1582</v>
      </c>
      <c r="L1910" s="130" t="s">
        <v>2152</v>
      </c>
      <c r="M1910" s="130" t="s">
        <v>1925</v>
      </c>
      <c r="N1910" s="130" t="s">
        <v>1568</v>
      </c>
      <c r="O1910" s="130" t="s">
        <v>1569</v>
      </c>
      <c r="P1910" s="130" t="s">
        <v>1570</v>
      </c>
      <c r="Q1910" s="130" t="s">
        <v>1127</v>
      </c>
      <c r="R1910" s="130" t="s">
        <v>1191</v>
      </c>
      <c r="S1910" s="130" t="s">
        <v>1191</v>
      </c>
      <c r="T1910" s="130" t="s">
        <v>1142</v>
      </c>
      <c r="U1910" s="130">
        <v>0</v>
      </c>
      <c r="V1910" s="131">
        <v>16800</v>
      </c>
      <c r="W1910" s="131">
        <v>16800</v>
      </c>
      <c r="X1910" s="131">
        <v>16800</v>
      </c>
      <c r="Y1910" s="131">
        <v>0</v>
      </c>
      <c r="Z1910" s="131">
        <v>16800</v>
      </c>
      <c r="AA1910" s="131">
        <v>0</v>
      </c>
      <c r="AB1910" s="131">
        <v>16800</v>
      </c>
      <c r="AC1910" s="131">
        <v>0</v>
      </c>
      <c r="AD1910" s="131">
        <v>8960</v>
      </c>
      <c r="AE1910" s="132">
        <v>7840</v>
      </c>
    </row>
    <row r="1911" spans="1:31" x14ac:dyDescent="0.2">
      <c r="A1911" s="133">
        <v>302</v>
      </c>
      <c r="B1911" s="133" t="s">
        <v>1841</v>
      </c>
      <c r="C1911" s="133" t="s">
        <v>1199</v>
      </c>
      <c r="D1911" s="133" t="s">
        <v>2151</v>
      </c>
      <c r="E1911" s="133" t="s">
        <v>1201</v>
      </c>
      <c r="F1911" s="133" t="s">
        <v>1117</v>
      </c>
      <c r="G1911" s="133" t="s">
        <v>1202</v>
      </c>
      <c r="H1911" s="133" t="s">
        <v>1203</v>
      </c>
      <c r="I1911" s="130" t="s">
        <v>1209</v>
      </c>
      <c r="J1911" s="130" t="s">
        <v>1210</v>
      </c>
      <c r="K1911" s="130" t="s">
        <v>1539</v>
      </c>
      <c r="L1911" s="130" t="s">
        <v>2152</v>
      </c>
      <c r="M1911" s="130" t="s">
        <v>1925</v>
      </c>
      <c r="N1911" s="130" t="s">
        <v>1568</v>
      </c>
      <c r="O1911" s="130" t="s">
        <v>1569</v>
      </c>
      <c r="P1911" s="130" t="s">
        <v>1570</v>
      </c>
      <c r="Q1911" s="130" t="s">
        <v>1127</v>
      </c>
      <c r="R1911" s="130" t="s">
        <v>1191</v>
      </c>
      <c r="S1911" s="130" t="s">
        <v>1191</v>
      </c>
      <c r="T1911" s="130" t="s">
        <v>1142</v>
      </c>
      <c r="U1911" s="130">
        <v>0</v>
      </c>
      <c r="V1911" s="131">
        <v>30000</v>
      </c>
      <c r="W1911" s="131">
        <v>30000</v>
      </c>
      <c r="X1911" s="131">
        <v>29506</v>
      </c>
      <c r="Y1911" s="131">
        <v>494</v>
      </c>
      <c r="Z1911" s="131">
        <v>29506</v>
      </c>
      <c r="AA1911" s="131">
        <v>494</v>
      </c>
      <c r="AB1911" s="131">
        <v>29506</v>
      </c>
      <c r="AC1911" s="131">
        <v>494</v>
      </c>
      <c r="AD1911" s="131">
        <v>2500</v>
      </c>
      <c r="AE1911" s="132">
        <v>27500</v>
      </c>
    </row>
    <row r="1912" spans="1:31" x14ac:dyDescent="0.2">
      <c r="A1912" s="133">
        <v>302</v>
      </c>
      <c r="B1912" s="133" t="s">
        <v>1841</v>
      </c>
      <c r="C1912" s="133" t="s">
        <v>1199</v>
      </c>
      <c r="D1912" s="133" t="s">
        <v>2151</v>
      </c>
      <c r="E1912" s="133" t="s">
        <v>1201</v>
      </c>
      <c r="F1912" s="133" t="s">
        <v>1117</v>
      </c>
      <c r="G1912" s="133" t="s">
        <v>1202</v>
      </c>
      <c r="H1912" s="133" t="s">
        <v>1203</v>
      </c>
      <c r="I1912" s="133" t="s">
        <v>1209</v>
      </c>
      <c r="J1912" s="133" t="s">
        <v>1210</v>
      </c>
      <c r="K1912" s="130" t="s">
        <v>1211</v>
      </c>
      <c r="L1912" s="130" t="s">
        <v>2152</v>
      </c>
      <c r="M1912" s="130" t="s">
        <v>1925</v>
      </c>
      <c r="N1912" s="130" t="s">
        <v>1568</v>
      </c>
      <c r="O1912" s="130" t="s">
        <v>1569</v>
      </c>
      <c r="P1912" s="130" t="s">
        <v>1570</v>
      </c>
      <c r="Q1912" s="130" t="s">
        <v>1127</v>
      </c>
      <c r="R1912" s="130" t="s">
        <v>1191</v>
      </c>
      <c r="S1912" s="130" t="s">
        <v>1191</v>
      </c>
      <c r="T1912" s="130" t="s">
        <v>1142</v>
      </c>
      <c r="U1912" s="130">
        <v>0</v>
      </c>
      <c r="V1912" s="131">
        <v>12238</v>
      </c>
      <c r="W1912" s="131">
        <v>12238</v>
      </c>
      <c r="X1912" s="131">
        <v>8870</v>
      </c>
      <c r="Y1912" s="131">
        <v>3368</v>
      </c>
      <c r="Z1912" s="131">
        <v>8870</v>
      </c>
      <c r="AA1912" s="131">
        <v>3368</v>
      </c>
      <c r="AB1912" s="131">
        <v>8870</v>
      </c>
      <c r="AC1912" s="131">
        <v>3368</v>
      </c>
      <c r="AD1912" s="131">
        <v>8870</v>
      </c>
      <c r="AE1912" s="132">
        <v>3368</v>
      </c>
    </row>
    <row r="1913" spans="1:31" x14ac:dyDescent="0.2">
      <c r="A1913" s="133">
        <v>302</v>
      </c>
      <c r="B1913" s="133" t="s">
        <v>1841</v>
      </c>
      <c r="C1913" s="133" t="s">
        <v>1199</v>
      </c>
      <c r="D1913" s="133" t="s">
        <v>2151</v>
      </c>
      <c r="E1913" s="133" t="s">
        <v>1201</v>
      </c>
      <c r="F1913" s="133" t="s">
        <v>1117</v>
      </c>
      <c r="G1913" s="133" t="s">
        <v>1202</v>
      </c>
      <c r="H1913" s="133" t="s">
        <v>1203</v>
      </c>
      <c r="I1913" s="130" t="s">
        <v>1309</v>
      </c>
      <c r="J1913" s="130" t="s">
        <v>1310</v>
      </c>
      <c r="K1913" s="130" t="s">
        <v>1310</v>
      </c>
      <c r="L1913" s="130" t="s">
        <v>2152</v>
      </c>
      <c r="M1913" s="130" t="s">
        <v>1925</v>
      </c>
      <c r="N1913" s="130" t="s">
        <v>1568</v>
      </c>
      <c r="O1913" s="130" t="s">
        <v>1569</v>
      </c>
      <c r="P1913" s="130" t="s">
        <v>1570</v>
      </c>
      <c r="Q1913" s="130" t="s">
        <v>1127</v>
      </c>
      <c r="R1913" s="130" t="s">
        <v>1191</v>
      </c>
      <c r="S1913" s="130" t="s">
        <v>1191</v>
      </c>
      <c r="T1913" s="130" t="s">
        <v>1142</v>
      </c>
      <c r="U1913" s="130">
        <v>0</v>
      </c>
      <c r="V1913" s="131">
        <v>96000</v>
      </c>
      <c r="W1913" s="131">
        <v>96000</v>
      </c>
      <c r="X1913" s="131">
        <v>78400</v>
      </c>
      <c r="Y1913" s="131">
        <v>17600</v>
      </c>
      <c r="Z1913" s="131">
        <v>78400</v>
      </c>
      <c r="AA1913" s="131">
        <v>17600</v>
      </c>
      <c r="AB1913" s="131">
        <v>78400</v>
      </c>
      <c r="AC1913" s="131">
        <v>17600</v>
      </c>
      <c r="AD1913" s="131">
        <v>44900</v>
      </c>
      <c r="AE1913" s="132">
        <v>51100</v>
      </c>
    </row>
    <row r="1914" spans="1:31" x14ac:dyDescent="0.2">
      <c r="A1914" s="133">
        <v>302</v>
      </c>
      <c r="B1914" s="133" t="s">
        <v>1841</v>
      </c>
      <c r="C1914" s="133" t="s">
        <v>1199</v>
      </c>
      <c r="D1914" s="133" t="s">
        <v>2151</v>
      </c>
      <c r="E1914" s="133" t="s">
        <v>1201</v>
      </c>
      <c r="F1914" s="133" t="s">
        <v>1117</v>
      </c>
      <c r="G1914" s="130" t="s">
        <v>1118</v>
      </c>
      <c r="H1914" s="130" t="s">
        <v>1149</v>
      </c>
      <c r="I1914" s="130" t="s">
        <v>1182</v>
      </c>
      <c r="J1914" s="130" t="s">
        <v>1377</v>
      </c>
      <c r="K1914" s="130" t="s">
        <v>1378</v>
      </c>
      <c r="L1914" s="130" t="s">
        <v>2152</v>
      </c>
      <c r="M1914" s="130" t="s">
        <v>1925</v>
      </c>
      <c r="N1914" s="130" t="s">
        <v>1568</v>
      </c>
      <c r="O1914" s="130" t="s">
        <v>1569</v>
      </c>
      <c r="P1914" s="130" t="s">
        <v>1570</v>
      </c>
      <c r="Q1914" s="130" t="s">
        <v>1127</v>
      </c>
      <c r="R1914" s="130" t="s">
        <v>1191</v>
      </c>
      <c r="S1914" s="130" t="s">
        <v>1191</v>
      </c>
      <c r="T1914" s="130" t="s">
        <v>1142</v>
      </c>
      <c r="U1914" s="130">
        <v>0</v>
      </c>
      <c r="V1914" s="131">
        <v>2450</v>
      </c>
      <c r="W1914" s="131">
        <v>2450</v>
      </c>
      <c r="X1914" s="131">
        <v>0</v>
      </c>
      <c r="Y1914" s="131">
        <v>2450</v>
      </c>
      <c r="Z1914" s="131">
        <v>0</v>
      </c>
      <c r="AA1914" s="131">
        <v>2450</v>
      </c>
      <c r="AB1914" s="131">
        <v>0</v>
      </c>
      <c r="AC1914" s="131">
        <v>2450</v>
      </c>
      <c r="AD1914" s="131">
        <v>0</v>
      </c>
      <c r="AE1914" s="132">
        <v>2450</v>
      </c>
    </row>
    <row r="1915" spans="1:31" x14ac:dyDescent="0.2">
      <c r="A1915" s="133">
        <v>302</v>
      </c>
      <c r="B1915" s="133" t="s">
        <v>1841</v>
      </c>
      <c r="C1915" s="133" t="s">
        <v>1199</v>
      </c>
      <c r="D1915" s="133" t="s">
        <v>2151</v>
      </c>
      <c r="E1915" s="133" t="s">
        <v>1201</v>
      </c>
      <c r="F1915" s="133" t="s">
        <v>1117</v>
      </c>
      <c r="G1915" s="133" t="s">
        <v>1118</v>
      </c>
      <c r="H1915" s="133" t="s">
        <v>1149</v>
      </c>
      <c r="I1915" s="133" t="s">
        <v>1182</v>
      </c>
      <c r="J1915" s="130" t="s">
        <v>1347</v>
      </c>
      <c r="K1915" s="130" t="s">
        <v>1348</v>
      </c>
      <c r="L1915" s="130" t="s">
        <v>2152</v>
      </c>
      <c r="M1915" s="130" t="s">
        <v>1925</v>
      </c>
      <c r="N1915" s="130" t="s">
        <v>1568</v>
      </c>
      <c r="O1915" s="130" t="s">
        <v>1569</v>
      </c>
      <c r="P1915" s="130" t="s">
        <v>1570</v>
      </c>
      <c r="Q1915" s="130" t="s">
        <v>1127</v>
      </c>
      <c r="R1915" s="130" t="s">
        <v>1191</v>
      </c>
      <c r="S1915" s="130" t="s">
        <v>1191</v>
      </c>
      <c r="T1915" s="130" t="s">
        <v>1142</v>
      </c>
      <c r="U1915" s="130">
        <v>0</v>
      </c>
      <c r="V1915" s="131">
        <v>8000</v>
      </c>
      <c r="W1915" s="131">
        <v>8000</v>
      </c>
      <c r="X1915" s="131">
        <v>1098</v>
      </c>
      <c r="Y1915" s="131">
        <v>6902</v>
      </c>
      <c r="Z1915" s="131">
        <v>1098</v>
      </c>
      <c r="AA1915" s="131">
        <v>6902</v>
      </c>
      <c r="AB1915" s="131">
        <v>1098</v>
      </c>
      <c r="AC1915" s="131">
        <v>6902</v>
      </c>
      <c r="AD1915" s="131">
        <v>0</v>
      </c>
      <c r="AE1915" s="132">
        <v>8000</v>
      </c>
    </row>
    <row r="1916" spans="1:31" x14ac:dyDescent="0.2">
      <c r="A1916" s="133">
        <v>302</v>
      </c>
      <c r="B1916" s="133" t="s">
        <v>1841</v>
      </c>
      <c r="C1916" s="133" t="s">
        <v>1199</v>
      </c>
      <c r="D1916" s="133" t="s">
        <v>2151</v>
      </c>
      <c r="E1916" s="133" t="s">
        <v>1201</v>
      </c>
      <c r="F1916" s="133" t="s">
        <v>1117</v>
      </c>
      <c r="G1916" s="133" t="s">
        <v>1118</v>
      </c>
      <c r="H1916" s="133" t="s">
        <v>1149</v>
      </c>
      <c r="I1916" s="133" t="s">
        <v>1182</v>
      </c>
      <c r="J1916" s="133" t="s">
        <v>1347</v>
      </c>
      <c r="K1916" s="130" t="s">
        <v>1419</v>
      </c>
      <c r="L1916" s="130" t="s">
        <v>2152</v>
      </c>
      <c r="M1916" s="130" t="s">
        <v>1925</v>
      </c>
      <c r="N1916" s="130" t="s">
        <v>1568</v>
      </c>
      <c r="O1916" s="130" t="s">
        <v>1569</v>
      </c>
      <c r="P1916" s="130" t="s">
        <v>1570</v>
      </c>
      <c r="Q1916" s="130" t="s">
        <v>1127</v>
      </c>
      <c r="R1916" s="130" t="s">
        <v>1191</v>
      </c>
      <c r="S1916" s="130" t="s">
        <v>1191</v>
      </c>
      <c r="T1916" s="130" t="s">
        <v>1142</v>
      </c>
      <c r="U1916" s="130">
        <v>0</v>
      </c>
      <c r="V1916" s="131">
        <v>600</v>
      </c>
      <c r="W1916" s="131">
        <v>600</v>
      </c>
      <c r="X1916" s="131">
        <v>0</v>
      </c>
      <c r="Y1916" s="131">
        <v>600</v>
      </c>
      <c r="Z1916" s="131">
        <v>0</v>
      </c>
      <c r="AA1916" s="131">
        <v>600</v>
      </c>
      <c r="AB1916" s="131">
        <v>0</v>
      </c>
      <c r="AC1916" s="131">
        <v>600</v>
      </c>
      <c r="AD1916" s="131">
        <v>0</v>
      </c>
      <c r="AE1916" s="132">
        <v>600</v>
      </c>
    </row>
    <row r="1917" spans="1:31" x14ac:dyDescent="0.2">
      <c r="A1917" s="133">
        <v>302</v>
      </c>
      <c r="B1917" s="133" t="s">
        <v>1841</v>
      </c>
      <c r="C1917" s="133" t="s">
        <v>1199</v>
      </c>
      <c r="D1917" s="133" t="s">
        <v>2151</v>
      </c>
      <c r="E1917" s="133" t="s">
        <v>1201</v>
      </c>
      <c r="F1917" s="133" t="s">
        <v>1117</v>
      </c>
      <c r="G1917" s="133" t="s">
        <v>1118</v>
      </c>
      <c r="H1917" s="133" t="s">
        <v>1149</v>
      </c>
      <c r="I1917" s="133" t="s">
        <v>1182</v>
      </c>
      <c r="J1917" s="130" t="s">
        <v>1183</v>
      </c>
      <c r="K1917" s="130" t="s">
        <v>2153</v>
      </c>
      <c r="L1917" s="130" t="s">
        <v>2152</v>
      </c>
      <c r="M1917" s="130" t="s">
        <v>1925</v>
      </c>
      <c r="N1917" s="130" t="s">
        <v>1568</v>
      </c>
      <c r="O1917" s="130" t="s">
        <v>1569</v>
      </c>
      <c r="P1917" s="130" t="s">
        <v>1570</v>
      </c>
      <c r="Q1917" s="130" t="s">
        <v>1127</v>
      </c>
      <c r="R1917" s="130" t="s">
        <v>1191</v>
      </c>
      <c r="S1917" s="130" t="s">
        <v>1191</v>
      </c>
      <c r="T1917" s="130" t="s">
        <v>1142</v>
      </c>
      <c r="U1917" s="130">
        <v>0</v>
      </c>
      <c r="V1917" s="131">
        <v>730</v>
      </c>
      <c r="W1917" s="131">
        <v>730</v>
      </c>
      <c r="X1917" s="131">
        <v>0</v>
      </c>
      <c r="Y1917" s="131">
        <v>730</v>
      </c>
      <c r="Z1917" s="131">
        <v>0</v>
      </c>
      <c r="AA1917" s="131">
        <v>730</v>
      </c>
      <c r="AB1917" s="131">
        <v>0</v>
      </c>
      <c r="AC1917" s="131">
        <v>730</v>
      </c>
      <c r="AD1917" s="131">
        <v>0</v>
      </c>
      <c r="AE1917" s="132">
        <v>730</v>
      </c>
    </row>
    <row r="1918" spans="1:31" x14ac:dyDescent="0.2">
      <c r="A1918" s="130">
        <v>303</v>
      </c>
      <c r="B1918" s="130" t="s">
        <v>2154</v>
      </c>
      <c r="C1918" s="130" t="s">
        <v>1114</v>
      </c>
      <c r="D1918" s="130" t="s">
        <v>1168</v>
      </c>
      <c r="E1918" s="130" t="s">
        <v>1116</v>
      </c>
      <c r="F1918" s="130" t="s">
        <v>1117</v>
      </c>
      <c r="G1918" s="130" t="s">
        <v>1118</v>
      </c>
      <c r="H1918" s="130" t="s">
        <v>1119</v>
      </c>
      <c r="I1918" s="130" t="s">
        <v>1169</v>
      </c>
      <c r="J1918" s="130" t="s">
        <v>2155</v>
      </c>
      <c r="K1918" s="130" t="s">
        <v>1131</v>
      </c>
      <c r="L1918" s="130" t="s">
        <v>2156</v>
      </c>
      <c r="M1918" s="130" t="s">
        <v>1172</v>
      </c>
      <c r="N1918" s="130" t="s">
        <v>1154</v>
      </c>
      <c r="O1918" s="130" t="s">
        <v>1173</v>
      </c>
      <c r="P1918" s="130" t="s">
        <v>1186</v>
      </c>
      <c r="Q1918" s="130" t="s">
        <v>1127</v>
      </c>
      <c r="R1918" s="130" t="s">
        <v>1140</v>
      </c>
      <c r="S1918" s="130" t="s">
        <v>1386</v>
      </c>
      <c r="T1918" s="130" t="s">
        <v>1176</v>
      </c>
      <c r="U1918" s="130">
        <v>0</v>
      </c>
      <c r="V1918" s="131">
        <v>189200</v>
      </c>
      <c r="W1918" s="131">
        <v>189200</v>
      </c>
      <c r="X1918" s="131">
        <v>189170.47</v>
      </c>
      <c r="Y1918" s="131">
        <v>29.529999999998836</v>
      </c>
      <c r="Z1918" s="131">
        <v>189170.47</v>
      </c>
      <c r="AA1918" s="131">
        <v>29.529999999998836</v>
      </c>
      <c r="AB1918" s="131">
        <v>182938.66999999998</v>
      </c>
      <c r="AC1918" s="131">
        <v>6261.3300000000163</v>
      </c>
      <c r="AD1918" s="131">
        <v>182938.66999999998</v>
      </c>
      <c r="AE1918" s="132">
        <v>6261.3300000000163</v>
      </c>
    </row>
    <row r="1919" spans="1:31" x14ac:dyDescent="0.2">
      <c r="A1919" s="133">
        <v>303</v>
      </c>
      <c r="B1919" s="133" t="s">
        <v>2154</v>
      </c>
      <c r="C1919" s="133" t="s">
        <v>1114</v>
      </c>
      <c r="D1919" s="133" t="s">
        <v>1168</v>
      </c>
      <c r="E1919" s="133" t="s">
        <v>1116</v>
      </c>
      <c r="F1919" s="133" t="s">
        <v>1117</v>
      </c>
      <c r="G1919" s="133" t="s">
        <v>1118</v>
      </c>
      <c r="H1919" s="133" t="s">
        <v>1119</v>
      </c>
      <c r="I1919" s="133" t="s">
        <v>1169</v>
      </c>
      <c r="J1919" s="133" t="s">
        <v>2155</v>
      </c>
      <c r="K1919" s="130" t="s">
        <v>1177</v>
      </c>
      <c r="L1919" s="130" t="s">
        <v>2156</v>
      </c>
      <c r="M1919" s="130" t="s">
        <v>1172</v>
      </c>
      <c r="N1919" s="130" t="s">
        <v>1154</v>
      </c>
      <c r="O1919" s="130" t="s">
        <v>1173</v>
      </c>
      <c r="P1919" s="130" t="s">
        <v>1186</v>
      </c>
      <c r="Q1919" s="130" t="s">
        <v>1127</v>
      </c>
      <c r="R1919" s="130" t="s">
        <v>1140</v>
      </c>
      <c r="S1919" s="130" t="s">
        <v>1386</v>
      </c>
      <c r="T1919" s="130" t="s">
        <v>1176</v>
      </c>
      <c r="U1919" s="130">
        <v>0</v>
      </c>
      <c r="V1919" s="131">
        <v>365300</v>
      </c>
      <c r="W1919" s="131">
        <v>365300</v>
      </c>
      <c r="X1919" s="131">
        <v>350121.82</v>
      </c>
      <c r="Y1919" s="131">
        <v>15178.179999999993</v>
      </c>
      <c r="Z1919" s="131">
        <v>198102.98</v>
      </c>
      <c r="AA1919" s="131">
        <v>167197.01999999999</v>
      </c>
      <c r="AB1919" s="131">
        <v>198102.98</v>
      </c>
      <c r="AC1919" s="131">
        <v>167197.01999999999</v>
      </c>
      <c r="AD1919" s="131">
        <v>87750</v>
      </c>
      <c r="AE1919" s="132">
        <v>277550</v>
      </c>
    </row>
    <row r="1920" spans="1:31" x14ac:dyDescent="0.2">
      <c r="A1920" s="133">
        <v>303</v>
      </c>
      <c r="B1920" s="133" t="s">
        <v>2154</v>
      </c>
      <c r="C1920" s="133" t="s">
        <v>1114</v>
      </c>
      <c r="D1920" s="133" t="s">
        <v>1168</v>
      </c>
      <c r="E1920" s="133" t="s">
        <v>1116</v>
      </c>
      <c r="F1920" s="133" t="s">
        <v>1117</v>
      </c>
      <c r="G1920" s="133" t="s">
        <v>1118</v>
      </c>
      <c r="H1920" s="133" t="s">
        <v>1119</v>
      </c>
      <c r="I1920" s="133" t="s">
        <v>1169</v>
      </c>
      <c r="J1920" s="133" t="s">
        <v>2155</v>
      </c>
      <c r="K1920" s="130" t="s">
        <v>1132</v>
      </c>
      <c r="L1920" s="130" t="s">
        <v>2156</v>
      </c>
      <c r="M1920" s="130" t="s">
        <v>1172</v>
      </c>
      <c r="N1920" s="130" t="s">
        <v>1154</v>
      </c>
      <c r="O1920" s="130" t="s">
        <v>1173</v>
      </c>
      <c r="P1920" s="130" t="s">
        <v>1186</v>
      </c>
      <c r="Q1920" s="130" t="s">
        <v>1127</v>
      </c>
      <c r="R1920" s="130" t="s">
        <v>1140</v>
      </c>
      <c r="S1920" s="130" t="s">
        <v>1386</v>
      </c>
      <c r="T1920" s="130" t="s">
        <v>1176</v>
      </c>
      <c r="U1920" s="130">
        <v>0</v>
      </c>
      <c r="V1920" s="131">
        <v>333500</v>
      </c>
      <c r="W1920" s="131">
        <v>333500</v>
      </c>
      <c r="X1920" s="131">
        <v>315895.90999999997</v>
      </c>
      <c r="Y1920" s="131">
        <v>17604.090000000026</v>
      </c>
      <c r="Z1920" s="131">
        <v>129145.91</v>
      </c>
      <c r="AA1920" s="131">
        <v>204354.09</v>
      </c>
      <c r="AB1920" s="131">
        <v>129145.91</v>
      </c>
      <c r="AC1920" s="131">
        <v>204354.09</v>
      </c>
      <c r="AD1920" s="131">
        <v>81445.91</v>
      </c>
      <c r="AE1920" s="132">
        <v>252054.09</v>
      </c>
    </row>
    <row r="1921" spans="1:31" x14ac:dyDescent="0.2">
      <c r="A1921" s="133">
        <v>303</v>
      </c>
      <c r="B1921" s="133" t="s">
        <v>2154</v>
      </c>
      <c r="C1921" s="133" t="s">
        <v>1114</v>
      </c>
      <c r="D1921" s="133" t="s">
        <v>1168</v>
      </c>
      <c r="E1921" s="133" t="s">
        <v>1116</v>
      </c>
      <c r="F1921" s="133" t="s">
        <v>1117</v>
      </c>
      <c r="G1921" s="133" t="s">
        <v>1118</v>
      </c>
      <c r="H1921" s="133" t="s">
        <v>1119</v>
      </c>
      <c r="I1921" s="133" t="s">
        <v>1169</v>
      </c>
      <c r="J1921" s="130" t="s">
        <v>1170</v>
      </c>
      <c r="K1921" s="130" t="s">
        <v>1122</v>
      </c>
      <c r="L1921" s="130" t="s">
        <v>2156</v>
      </c>
      <c r="M1921" s="130" t="s">
        <v>1172</v>
      </c>
      <c r="N1921" s="130" t="s">
        <v>1154</v>
      </c>
      <c r="O1921" s="130" t="s">
        <v>1173</v>
      </c>
      <c r="P1921" s="130" t="s">
        <v>1186</v>
      </c>
      <c r="Q1921" s="130" t="s">
        <v>1127</v>
      </c>
      <c r="R1921" s="130" t="s">
        <v>1140</v>
      </c>
      <c r="S1921" s="130" t="s">
        <v>1386</v>
      </c>
      <c r="T1921" s="130" t="s">
        <v>1176</v>
      </c>
      <c r="U1921" s="130">
        <v>0</v>
      </c>
      <c r="V1921" s="131">
        <v>0</v>
      </c>
      <c r="W1921" s="131">
        <v>0</v>
      </c>
      <c r="X1921" s="131">
        <v>0</v>
      </c>
      <c r="Y1921" s="131">
        <v>0</v>
      </c>
      <c r="Z1921" s="131">
        <v>0</v>
      </c>
      <c r="AA1921" s="131">
        <v>0</v>
      </c>
      <c r="AB1921" s="131">
        <v>0</v>
      </c>
      <c r="AC1921" s="131">
        <v>0</v>
      </c>
      <c r="AD1921" s="131">
        <v>0</v>
      </c>
      <c r="AE1921" s="132">
        <v>0</v>
      </c>
    </row>
    <row r="1922" spans="1:31" x14ac:dyDescent="0.2">
      <c r="A1922" s="133">
        <v>303</v>
      </c>
      <c r="B1922" s="133" t="s">
        <v>2154</v>
      </c>
      <c r="C1922" s="133" t="s">
        <v>1114</v>
      </c>
      <c r="D1922" s="133" t="s">
        <v>1168</v>
      </c>
      <c r="E1922" s="133" t="s">
        <v>1116</v>
      </c>
      <c r="F1922" s="133" t="s">
        <v>1117</v>
      </c>
      <c r="G1922" s="133" t="s">
        <v>1118</v>
      </c>
      <c r="H1922" s="130" t="s">
        <v>1133</v>
      </c>
      <c r="I1922" s="130" t="s">
        <v>1134</v>
      </c>
      <c r="J1922" s="130" t="s">
        <v>1135</v>
      </c>
      <c r="K1922" s="130" t="s">
        <v>1178</v>
      </c>
      <c r="L1922" s="130" t="s">
        <v>2156</v>
      </c>
      <c r="M1922" s="130" t="s">
        <v>1172</v>
      </c>
      <c r="N1922" s="130" t="s">
        <v>1154</v>
      </c>
      <c r="O1922" s="130" t="s">
        <v>1173</v>
      </c>
      <c r="P1922" s="130" t="s">
        <v>1186</v>
      </c>
      <c r="Q1922" s="130" t="s">
        <v>1127</v>
      </c>
      <c r="R1922" s="130" t="s">
        <v>1140</v>
      </c>
      <c r="S1922" s="130" t="s">
        <v>1386</v>
      </c>
      <c r="T1922" s="130" t="s">
        <v>1176</v>
      </c>
      <c r="U1922" s="130">
        <v>0</v>
      </c>
      <c r="V1922" s="131">
        <v>48000</v>
      </c>
      <c r="W1922" s="131">
        <v>48000</v>
      </c>
      <c r="X1922" s="131">
        <v>48000</v>
      </c>
      <c r="Y1922" s="131">
        <v>0</v>
      </c>
      <c r="Z1922" s="131">
        <v>48000</v>
      </c>
      <c r="AA1922" s="131">
        <v>0</v>
      </c>
      <c r="AB1922" s="131">
        <v>26794.36</v>
      </c>
      <c r="AC1922" s="131">
        <v>21205.64</v>
      </c>
      <c r="AD1922" s="131">
        <v>26794.36</v>
      </c>
      <c r="AE1922" s="132">
        <v>21205.64</v>
      </c>
    </row>
    <row r="1923" spans="1:31" x14ac:dyDescent="0.2">
      <c r="A1923" s="133">
        <v>303</v>
      </c>
      <c r="B1923" s="133" t="s">
        <v>2154</v>
      </c>
      <c r="C1923" s="133" t="s">
        <v>1114</v>
      </c>
      <c r="D1923" s="133" t="s">
        <v>1168</v>
      </c>
      <c r="E1923" s="133" t="s">
        <v>1116</v>
      </c>
      <c r="F1923" s="133" t="s">
        <v>1117</v>
      </c>
      <c r="G1923" s="133" t="s">
        <v>1118</v>
      </c>
      <c r="H1923" s="133" t="s">
        <v>1133</v>
      </c>
      <c r="I1923" s="133" t="s">
        <v>1134</v>
      </c>
      <c r="J1923" s="133" t="s">
        <v>1135</v>
      </c>
      <c r="K1923" s="130" t="s">
        <v>1179</v>
      </c>
      <c r="L1923" s="130" t="s">
        <v>2156</v>
      </c>
      <c r="M1923" s="130" t="s">
        <v>1172</v>
      </c>
      <c r="N1923" s="130" t="s">
        <v>1154</v>
      </c>
      <c r="O1923" s="130" t="s">
        <v>1173</v>
      </c>
      <c r="P1923" s="130" t="s">
        <v>1186</v>
      </c>
      <c r="Q1923" s="130" t="s">
        <v>1127</v>
      </c>
      <c r="R1923" s="130" t="s">
        <v>1140</v>
      </c>
      <c r="S1923" s="130" t="s">
        <v>1386</v>
      </c>
      <c r="T1923" s="130" t="s">
        <v>1176</v>
      </c>
      <c r="U1923" s="130">
        <v>0</v>
      </c>
      <c r="V1923" s="131">
        <v>28000</v>
      </c>
      <c r="W1923" s="131">
        <v>28000</v>
      </c>
      <c r="X1923" s="131">
        <v>26604</v>
      </c>
      <c r="Y1923" s="131">
        <v>1396</v>
      </c>
      <c r="Z1923" s="131">
        <v>26604</v>
      </c>
      <c r="AA1923" s="131">
        <v>1396</v>
      </c>
      <c r="AB1923" s="131">
        <v>26604</v>
      </c>
      <c r="AC1923" s="131">
        <v>1396</v>
      </c>
      <c r="AD1923" s="131">
        <v>5160</v>
      </c>
      <c r="AE1923" s="132">
        <v>22840</v>
      </c>
    </row>
    <row r="1924" spans="1:31" x14ac:dyDescent="0.2">
      <c r="A1924" s="133">
        <v>303</v>
      </c>
      <c r="B1924" s="133" t="s">
        <v>2154</v>
      </c>
      <c r="C1924" s="133" t="s">
        <v>1114</v>
      </c>
      <c r="D1924" s="133" t="s">
        <v>1168</v>
      </c>
      <c r="E1924" s="133" t="s">
        <v>1116</v>
      </c>
      <c r="F1924" s="133" t="s">
        <v>1117</v>
      </c>
      <c r="G1924" s="133" t="s">
        <v>1118</v>
      </c>
      <c r="H1924" s="133" t="s">
        <v>1133</v>
      </c>
      <c r="I1924" s="133" t="s">
        <v>1134</v>
      </c>
      <c r="J1924" s="133" t="s">
        <v>1135</v>
      </c>
      <c r="K1924" s="130" t="s">
        <v>1144</v>
      </c>
      <c r="L1924" s="130" t="s">
        <v>2156</v>
      </c>
      <c r="M1924" s="130" t="s">
        <v>1172</v>
      </c>
      <c r="N1924" s="130" t="s">
        <v>1154</v>
      </c>
      <c r="O1924" s="130" t="s">
        <v>1173</v>
      </c>
      <c r="P1924" s="130" t="s">
        <v>1186</v>
      </c>
      <c r="Q1924" s="130" t="s">
        <v>1127</v>
      </c>
      <c r="R1924" s="130" t="s">
        <v>1140</v>
      </c>
      <c r="S1924" s="130" t="s">
        <v>1386</v>
      </c>
      <c r="T1924" s="130" t="s">
        <v>1176</v>
      </c>
      <c r="U1924" s="130">
        <v>0</v>
      </c>
      <c r="V1924" s="131">
        <v>36000</v>
      </c>
      <c r="W1924" s="131">
        <v>36000</v>
      </c>
      <c r="X1924" s="131">
        <v>35400</v>
      </c>
      <c r="Y1924" s="131">
        <v>600</v>
      </c>
      <c r="Z1924" s="131">
        <v>35400</v>
      </c>
      <c r="AA1924" s="131">
        <v>600</v>
      </c>
      <c r="AB1924" s="131">
        <v>35400</v>
      </c>
      <c r="AC1924" s="131">
        <v>600</v>
      </c>
      <c r="AD1924" s="131">
        <v>0</v>
      </c>
      <c r="AE1924" s="132">
        <v>36000</v>
      </c>
    </row>
    <row r="1925" spans="1:31" x14ac:dyDescent="0.2">
      <c r="A1925" s="130">
        <v>304</v>
      </c>
      <c r="B1925" s="130" t="s">
        <v>943</v>
      </c>
      <c r="C1925" s="130" t="s">
        <v>1114</v>
      </c>
      <c r="D1925" s="130" t="s">
        <v>1602</v>
      </c>
      <c r="E1925" s="130" t="s">
        <v>1116</v>
      </c>
      <c r="F1925" s="130" t="s">
        <v>1117</v>
      </c>
      <c r="G1925" s="130" t="s">
        <v>1118</v>
      </c>
      <c r="H1925" s="130" t="s">
        <v>1119</v>
      </c>
      <c r="I1925" s="130" t="s">
        <v>1169</v>
      </c>
      <c r="J1925" s="130" t="s">
        <v>1195</v>
      </c>
      <c r="K1925" s="130" t="s">
        <v>1592</v>
      </c>
      <c r="L1925" s="130" t="s">
        <v>2157</v>
      </c>
      <c r="M1925" s="130" t="s">
        <v>1587</v>
      </c>
      <c r="N1925" s="130" t="s">
        <v>1588</v>
      </c>
      <c r="O1925" s="130" t="s">
        <v>1589</v>
      </c>
      <c r="P1925" s="130" t="s">
        <v>1604</v>
      </c>
      <c r="Q1925" s="130" t="s">
        <v>1127</v>
      </c>
      <c r="R1925" s="130" t="s">
        <v>1409</v>
      </c>
      <c r="S1925" s="130" t="s">
        <v>2158</v>
      </c>
      <c r="T1925" s="130" t="s">
        <v>1158</v>
      </c>
      <c r="U1925" s="130">
        <v>0</v>
      </c>
      <c r="V1925" s="131">
        <v>0</v>
      </c>
      <c r="W1925" s="131">
        <v>0</v>
      </c>
      <c r="X1925" s="131">
        <v>0</v>
      </c>
      <c r="Y1925" s="131">
        <v>0</v>
      </c>
      <c r="Z1925" s="131">
        <v>0</v>
      </c>
      <c r="AA1925" s="131">
        <v>0</v>
      </c>
      <c r="AB1925" s="131">
        <v>0</v>
      </c>
      <c r="AC1925" s="131">
        <v>0</v>
      </c>
      <c r="AD1925" s="131">
        <v>0</v>
      </c>
      <c r="AE1925" s="132">
        <v>0</v>
      </c>
    </row>
    <row r="1926" spans="1:31" x14ac:dyDescent="0.2">
      <c r="A1926" s="133">
        <v>304</v>
      </c>
      <c r="B1926" s="133" t="s">
        <v>943</v>
      </c>
      <c r="C1926" s="133" t="s">
        <v>1114</v>
      </c>
      <c r="D1926" s="133" t="s">
        <v>1602</v>
      </c>
      <c r="E1926" s="133" t="s">
        <v>1116</v>
      </c>
      <c r="F1926" s="133" t="s">
        <v>1117</v>
      </c>
      <c r="G1926" s="133" t="s">
        <v>1118</v>
      </c>
      <c r="H1926" s="130" t="s">
        <v>1133</v>
      </c>
      <c r="I1926" s="130" t="s">
        <v>1134</v>
      </c>
      <c r="J1926" s="130" t="s">
        <v>1166</v>
      </c>
      <c r="K1926" s="130" t="s">
        <v>1167</v>
      </c>
      <c r="L1926" s="130" t="s">
        <v>2157</v>
      </c>
      <c r="M1926" s="130" t="s">
        <v>1587</v>
      </c>
      <c r="N1926" s="130" t="s">
        <v>1588</v>
      </c>
      <c r="O1926" s="130" t="s">
        <v>1589</v>
      </c>
      <c r="P1926" s="130" t="s">
        <v>1604</v>
      </c>
      <c r="Q1926" s="130" t="s">
        <v>1127</v>
      </c>
      <c r="R1926" s="130" t="s">
        <v>1409</v>
      </c>
      <c r="S1926" s="130" t="s">
        <v>2158</v>
      </c>
      <c r="T1926" s="130" t="s">
        <v>1158</v>
      </c>
      <c r="U1926" s="130">
        <v>0</v>
      </c>
      <c r="V1926" s="131">
        <v>350000</v>
      </c>
      <c r="W1926" s="131">
        <v>350000</v>
      </c>
      <c r="X1926" s="131">
        <v>314117</v>
      </c>
      <c r="Y1926" s="131">
        <v>35883</v>
      </c>
      <c r="Z1926" s="131">
        <v>314117</v>
      </c>
      <c r="AA1926" s="131">
        <v>35883</v>
      </c>
      <c r="AB1926" s="131">
        <v>243533.16</v>
      </c>
      <c r="AC1926" s="131">
        <v>106466.84</v>
      </c>
      <c r="AD1926" s="131">
        <v>139323.16</v>
      </c>
      <c r="AE1926" s="132">
        <v>210676.84</v>
      </c>
    </row>
    <row r="1927" spans="1:31" x14ac:dyDescent="0.2">
      <c r="A1927" s="130">
        <v>305</v>
      </c>
      <c r="B1927" s="130" t="s">
        <v>967</v>
      </c>
      <c r="C1927" s="130" t="s">
        <v>1114</v>
      </c>
      <c r="D1927" s="130" t="s">
        <v>1367</v>
      </c>
      <c r="E1927" s="130" t="s">
        <v>1116</v>
      </c>
      <c r="F1927" s="130" t="s">
        <v>1117</v>
      </c>
      <c r="G1927" s="130" t="s">
        <v>1118</v>
      </c>
      <c r="H1927" s="130" t="s">
        <v>1119</v>
      </c>
      <c r="I1927" s="130" t="s">
        <v>1120</v>
      </c>
      <c r="J1927" s="130" t="s">
        <v>1358</v>
      </c>
      <c r="K1927" s="130" t="s">
        <v>1177</v>
      </c>
      <c r="L1927" s="130" t="s">
        <v>2159</v>
      </c>
      <c r="M1927" s="130" t="s">
        <v>1360</v>
      </c>
      <c r="N1927" s="130" t="s">
        <v>168</v>
      </c>
      <c r="O1927" s="130" t="s">
        <v>1361</v>
      </c>
      <c r="P1927" s="130" t="s">
        <v>1366</v>
      </c>
      <c r="Q1927" s="130" t="s">
        <v>1127</v>
      </c>
      <c r="R1927" s="130" t="s">
        <v>1413</v>
      </c>
      <c r="S1927" s="130" t="s">
        <v>1414</v>
      </c>
      <c r="T1927" s="130" t="s">
        <v>1158</v>
      </c>
      <c r="U1927" s="130">
        <v>0</v>
      </c>
      <c r="V1927" s="131">
        <v>0</v>
      </c>
      <c r="W1927" s="131">
        <v>0</v>
      </c>
      <c r="X1927" s="131">
        <v>0</v>
      </c>
      <c r="Y1927" s="131">
        <v>0</v>
      </c>
      <c r="Z1927" s="131">
        <v>0</v>
      </c>
      <c r="AA1927" s="131">
        <v>0</v>
      </c>
      <c r="AB1927" s="131">
        <v>0</v>
      </c>
      <c r="AC1927" s="131">
        <v>0</v>
      </c>
      <c r="AD1927" s="131">
        <v>0</v>
      </c>
      <c r="AE1927" s="132">
        <v>0</v>
      </c>
    </row>
    <row r="1928" spans="1:31" x14ac:dyDescent="0.2">
      <c r="A1928" s="130">
        <v>306</v>
      </c>
      <c r="B1928" s="130" t="s">
        <v>2160</v>
      </c>
      <c r="C1928" s="130" t="s">
        <v>1114</v>
      </c>
      <c r="D1928" s="130" t="s">
        <v>1779</v>
      </c>
      <c r="E1928" s="130" t="s">
        <v>1116</v>
      </c>
      <c r="F1928" s="130" t="s">
        <v>1117</v>
      </c>
      <c r="G1928" s="130" t="s">
        <v>1118</v>
      </c>
      <c r="H1928" s="130" t="s">
        <v>1119</v>
      </c>
      <c r="I1928" s="130" t="s">
        <v>1120</v>
      </c>
      <c r="J1928" s="130" t="s">
        <v>1358</v>
      </c>
      <c r="K1928" s="130" t="s">
        <v>1131</v>
      </c>
      <c r="L1928" s="130" t="s">
        <v>2161</v>
      </c>
      <c r="M1928" s="130" t="s">
        <v>1776</v>
      </c>
      <c r="N1928" s="130" t="s">
        <v>168</v>
      </c>
      <c r="O1928" s="130" t="s">
        <v>1361</v>
      </c>
      <c r="P1928" s="130" t="s">
        <v>1777</v>
      </c>
      <c r="Q1928" s="130" t="s">
        <v>1127</v>
      </c>
      <c r="R1928" s="130" t="s">
        <v>1380</v>
      </c>
      <c r="S1928" s="130" t="s">
        <v>2162</v>
      </c>
      <c r="T1928" s="130" t="s">
        <v>1130</v>
      </c>
      <c r="U1928" s="130">
        <v>0</v>
      </c>
      <c r="V1928" s="131">
        <v>1018761</v>
      </c>
      <c r="W1928" s="131">
        <v>1018761</v>
      </c>
      <c r="X1928" s="131">
        <v>1018761</v>
      </c>
      <c r="Y1928" s="131">
        <v>0</v>
      </c>
      <c r="Z1928" s="131">
        <v>1018761</v>
      </c>
      <c r="AA1928" s="131">
        <v>0</v>
      </c>
      <c r="AB1928" s="131">
        <v>991262.83</v>
      </c>
      <c r="AC1928" s="131">
        <v>27498.170000000042</v>
      </c>
      <c r="AD1928" s="131">
        <v>991262.83</v>
      </c>
      <c r="AE1928" s="132">
        <v>27498.170000000042</v>
      </c>
    </row>
    <row r="1929" spans="1:31" x14ac:dyDescent="0.2">
      <c r="A1929" s="133">
        <v>306</v>
      </c>
      <c r="B1929" s="133" t="s">
        <v>2160</v>
      </c>
      <c r="C1929" s="133" t="s">
        <v>1114</v>
      </c>
      <c r="D1929" s="133" t="s">
        <v>1779</v>
      </c>
      <c r="E1929" s="133" t="s">
        <v>1116</v>
      </c>
      <c r="F1929" s="133" t="s">
        <v>1117</v>
      </c>
      <c r="G1929" s="133" t="s">
        <v>1118</v>
      </c>
      <c r="H1929" s="133" t="s">
        <v>1119</v>
      </c>
      <c r="I1929" s="133" t="s">
        <v>1120</v>
      </c>
      <c r="J1929" s="133" t="s">
        <v>1358</v>
      </c>
      <c r="K1929" s="130" t="s">
        <v>1177</v>
      </c>
      <c r="L1929" s="130" t="s">
        <v>2161</v>
      </c>
      <c r="M1929" s="130" t="s">
        <v>1776</v>
      </c>
      <c r="N1929" s="130" t="s">
        <v>168</v>
      </c>
      <c r="O1929" s="130" t="s">
        <v>1361</v>
      </c>
      <c r="P1929" s="130" t="s">
        <v>1777</v>
      </c>
      <c r="Q1929" s="130" t="s">
        <v>1127</v>
      </c>
      <c r="R1929" s="130" t="s">
        <v>1380</v>
      </c>
      <c r="S1929" s="130" t="s">
        <v>2162</v>
      </c>
      <c r="T1929" s="130" t="s">
        <v>1130</v>
      </c>
      <c r="U1929" s="130">
        <v>0</v>
      </c>
      <c r="V1929" s="131">
        <v>762916</v>
      </c>
      <c r="W1929" s="131">
        <v>762916</v>
      </c>
      <c r="X1929" s="131">
        <v>751496.71</v>
      </c>
      <c r="Y1929" s="131">
        <v>11419.290000000037</v>
      </c>
      <c r="Z1929" s="131">
        <v>543071.65</v>
      </c>
      <c r="AA1929" s="131">
        <v>219844.34999999998</v>
      </c>
      <c r="AB1929" s="131">
        <v>387284.25</v>
      </c>
      <c r="AC1929" s="131">
        <v>375631.75</v>
      </c>
      <c r="AD1929" s="131">
        <v>249383.41</v>
      </c>
      <c r="AE1929" s="132">
        <v>513532.58999999997</v>
      </c>
    </row>
    <row r="1930" spans="1:31" x14ac:dyDescent="0.2">
      <c r="A1930" s="133">
        <v>306</v>
      </c>
      <c r="B1930" s="133" t="s">
        <v>2160</v>
      </c>
      <c r="C1930" s="133" t="s">
        <v>1114</v>
      </c>
      <c r="D1930" s="133" t="s">
        <v>1779</v>
      </c>
      <c r="E1930" s="133" t="s">
        <v>1116</v>
      </c>
      <c r="F1930" s="133" t="s">
        <v>1117</v>
      </c>
      <c r="G1930" s="133" t="s">
        <v>1118</v>
      </c>
      <c r="H1930" s="133" t="s">
        <v>1119</v>
      </c>
      <c r="I1930" s="133" t="s">
        <v>1120</v>
      </c>
      <c r="J1930" s="133" t="s">
        <v>1358</v>
      </c>
      <c r="K1930" s="130" t="s">
        <v>1132</v>
      </c>
      <c r="L1930" s="130" t="s">
        <v>2161</v>
      </c>
      <c r="M1930" s="130" t="s">
        <v>1776</v>
      </c>
      <c r="N1930" s="130" t="s">
        <v>168</v>
      </c>
      <c r="O1930" s="130" t="s">
        <v>1361</v>
      </c>
      <c r="P1930" s="130" t="s">
        <v>1777</v>
      </c>
      <c r="Q1930" s="130" t="s">
        <v>1127</v>
      </c>
      <c r="R1930" s="130" t="s">
        <v>1380</v>
      </c>
      <c r="S1930" s="130" t="s">
        <v>2162</v>
      </c>
      <c r="T1930" s="130" t="s">
        <v>1130</v>
      </c>
      <c r="U1930" s="130">
        <v>0</v>
      </c>
      <c r="V1930" s="131">
        <v>398517</v>
      </c>
      <c r="W1930" s="131">
        <v>398517</v>
      </c>
      <c r="X1930" s="131">
        <v>47601</v>
      </c>
      <c r="Y1930" s="131">
        <v>350916</v>
      </c>
      <c r="Z1930" s="131">
        <v>47601</v>
      </c>
      <c r="AA1930" s="131">
        <v>350916</v>
      </c>
      <c r="AB1930" s="131">
        <v>47601</v>
      </c>
      <c r="AC1930" s="131">
        <v>350916</v>
      </c>
      <c r="AD1930" s="131">
        <v>18032</v>
      </c>
      <c r="AE1930" s="132">
        <v>380485</v>
      </c>
    </row>
    <row r="1931" spans="1:31" x14ac:dyDescent="0.2">
      <c r="A1931" s="133">
        <v>306</v>
      </c>
      <c r="B1931" s="133" t="s">
        <v>2160</v>
      </c>
      <c r="C1931" s="133" t="s">
        <v>1114</v>
      </c>
      <c r="D1931" s="133" t="s">
        <v>1779</v>
      </c>
      <c r="E1931" s="133" t="s">
        <v>1116</v>
      </c>
      <c r="F1931" s="133" t="s">
        <v>1117</v>
      </c>
      <c r="G1931" s="133" t="s">
        <v>1118</v>
      </c>
      <c r="H1931" s="130" t="s">
        <v>1149</v>
      </c>
      <c r="I1931" s="130" t="s">
        <v>1182</v>
      </c>
      <c r="J1931" s="130" t="s">
        <v>1377</v>
      </c>
      <c r="K1931" s="130" t="s">
        <v>1378</v>
      </c>
      <c r="L1931" s="130" t="s">
        <v>2161</v>
      </c>
      <c r="M1931" s="130" t="s">
        <v>1776</v>
      </c>
      <c r="N1931" s="130" t="s">
        <v>168</v>
      </c>
      <c r="O1931" s="130" t="s">
        <v>1361</v>
      </c>
      <c r="P1931" s="130" t="s">
        <v>1777</v>
      </c>
      <c r="Q1931" s="130" t="s">
        <v>1127</v>
      </c>
      <c r="R1931" s="130" t="s">
        <v>1380</v>
      </c>
      <c r="S1931" s="130" t="s">
        <v>2162</v>
      </c>
      <c r="T1931" s="130" t="s">
        <v>1130</v>
      </c>
      <c r="U1931" s="130">
        <v>0</v>
      </c>
      <c r="V1931" s="131">
        <v>12903</v>
      </c>
      <c r="W1931" s="131">
        <v>12903</v>
      </c>
      <c r="X1931" s="131">
        <v>0</v>
      </c>
      <c r="Y1931" s="131">
        <v>12903</v>
      </c>
      <c r="Z1931" s="131">
        <v>0</v>
      </c>
      <c r="AA1931" s="131">
        <v>12903</v>
      </c>
      <c r="AB1931" s="131">
        <v>0</v>
      </c>
      <c r="AC1931" s="131">
        <v>12903</v>
      </c>
      <c r="AD1931" s="131">
        <v>0</v>
      </c>
      <c r="AE1931" s="132">
        <v>12903</v>
      </c>
    </row>
    <row r="1932" spans="1:31" x14ac:dyDescent="0.2">
      <c r="A1932" s="133">
        <v>306</v>
      </c>
      <c r="B1932" s="133" t="s">
        <v>2160</v>
      </c>
      <c r="C1932" s="133" t="s">
        <v>1114</v>
      </c>
      <c r="D1932" s="133" t="s">
        <v>1779</v>
      </c>
      <c r="E1932" s="133" t="s">
        <v>1116</v>
      </c>
      <c r="F1932" s="133" t="s">
        <v>1117</v>
      </c>
      <c r="G1932" s="133" t="s">
        <v>1118</v>
      </c>
      <c r="H1932" s="133" t="s">
        <v>1149</v>
      </c>
      <c r="I1932" s="133" t="s">
        <v>1182</v>
      </c>
      <c r="J1932" s="130" t="s">
        <v>1382</v>
      </c>
      <c r="K1932" s="130" t="s">
        <v>1383</v>
      </c>
      <c r="L1932" s="130" t="s">
        <v>2161</v>
      </c>
      <c r="M1932" s="130" t="s">
        <v>1776</v>
      </c>
      <c r="N1932" s="130" t="s">
        <v>168</v>
      </c>
      <c r="O1932" s="130" t="s">
        <v>1361</v>
      </c>
      <c r="P1932" s="130" t="s">
        <v>1777</v>
      </c>
      <c r="Q1932" s="130" t="s">
        <v>1127</v>
      </c>
      <c r="R1932" s="130" t="s">
        <v>1380</v>
      </c>
      <c r="S1932" s="130" t="s">
        <v>2162</v>
      </c>
      <c r="T1932" s="130" t="s">
        <v>1130</v>
      </c>
      <c r="U1932" s="130">
        <v>0</v>
      </c>
      <c r="V1932" s="131">
        <v>57812</v>
      </c>
      <c r="W1932" s="131">
        <v>57812</v>
      </c>
      <c r="X1932" s="131">
        <v>8670</v>
      </c>
      <c r="Y1932" s="131">
        <v>49142</v>
      </c>
      <c r="Z1932" s="131">
        <v>8670</v>
      </c>
      <c r="AA1932" s="131">
        <v>49142</v>
      </c>
      <c r="AB1932" s="131">
        <v>8670</v>
      </c>
      <c r="AC1932" s="131">
        <v>49142</v>
      </c>
      <c r="AD1932" s="131">
        <v>8670</v>
      </c>
      <c r="AE1932" s="132">
        <v>49142</v>
      </c>
    </row>
    <row r="1933" spans="1:31" x14ac:dyDescent="0.2">
      <c r="A1933" s="133">
        <v>306</v>
      </c>
      <c r="B1933" s="133" t="s">
        <v>2160</v>
      </c>
      <c r="C1933" s="133" t="s">
        <v>1114</v>
      </c>
      <c r="D1933" s="133" t="s">
        <v>1779</v>
      </c>
      <c r="E1933" s="133" t="s">
        <v>1116</v>
      </c>
      <c r="F1933" s="133" t="s">
        <v>1117</v>
      </c>
      <c r="G1933" s="133" t="s">
        <v>1118</v>
      </c>
      <c r="H1933" s="133" t="s">
        <v>1149</v>
      </c>
      <c r="I1933" s="133" t="s">
        <v>1182</v>
      </c>
      <c r="J1933" s="133" t="s">
        <v>1382</v>
      </c>
      <c r="K1933" s="130" t="s">
        <v>1378</v>
      </c>
      <c r="L1933" s="130" t="s">
        <v>2161</v>
      </c>
      <c r="M1933" s="130" t="s">
        <v>1776</v>
      </c>
      <c r="N1933" s="130" t="s">
        <v>168</v>
      </c>
      <c r="O1933" s="130" t="s">
        <v>1361</v>
      </c>
      <c r="P1933" s="130" t="s">
        <v>1777</v>
      </c>
      <c r="Q1933" s="130" t="s">
        <v>1127</v>
      </c>
      <c r="R1933" s="130" t="s">
        <v>1380</v>
      </c>
      <c r="S1933" s="130" t="s">
        <v>2162</v>
      </c>
      <c r="T1933" s="130" t="s">
        <v>1130</v>
      </c>
      <c r="U1933" s="130">
        <v>0</v>
      </c>
      <c r="V1933" s="131">
        <v>115922</v>
      </c>
      <c r="W1933" s="131">
        <v>115922</v>
      </c>
      <c r="X1933" s="131">
        <v>104697</v>
      </c>
      <c r="Y1933" s="131">
        <v>11225</v>
      </c>
      <c r="Z1933" s="131">
        <v>104697</v>
      </c>
      <c r="AA1933" s="131">
        <v>11225</v>
      </c>
      <c r="AB1933" s="131">
        <v>104697</v>
      </c>
      <c r="AC1933" s="131">
        <v>11225</v>
      </c>
      <c r="AD1933" s="131">
        <v>65080</v>
      </c>
      <c r="AE1933" s="132">
        <v>50842</v>
      </c>
    </row>
    <row r="1934" spans="1:31" x14ac:dyDescent="0.2">
      <c r="A1934" s="133">
        <v>306</v>
      </c>
      <c r="B1934" s="133" t="s">
        <v>2160</v>
      </c>
      <c r="C1934" s="133" t="s">
        <v>1114</v>
      </c>
      <c r="D1934" s="133" t="s">
        <v>1779</v>
      </c>
      <c r="E1934" s="133" t="s">
        <v>1116</v>
      </c>
      <c r="F1934" s="133" t="s">
        <v>1117</v>
      </c>
      <c r="G1934" s="133" t="s">
        <v>1118</v>
      </c>
      <c r="H1934" s="133" t="s">
        <v>1149</v>
      </c>
      <c r="I1934" s="133" t="s">
        <v>1182</v>
      </c>
      <c r="J1934" s="130" t="s">
        <v>1347</v>
      </c>
      <c r="K1934" s="130" t="s">
        <v>1348</v>
      </c>
      <c r="L1934" s="130" t="s">
        <v>2161</v>
      </c>
      <c r="M1934" s="130" t="s">
        <v>1776</v>
      </c>
      <c r="N1934" s="130" t="s">
        <v>168</v>
      </c>
      <c r="O1934" s="130" t="s">
        <v>1361</v>
      </c>
      <c r="P1934" s="130" t="s">
        <v>1777</v>
      </c>
      <c r="Q1934" s="130" t="s">
        <v>1127</v>
      </c>
      <c r="R1934" s="130" t="s">
        <v>1380</v>
      </c>
      <c r="S1934" s="130" t="s">
        <v>2162</v>
      </c>
      <c r="T1934" s="130" t="s">
        <v>1130</v>
      </c>
      <c r="U1934" s="130">
        <v>0</v>
      </c>
      <c r="V1934" s="131">
        <v>14565</v>
      </c>
      <c r="W1934" s="131">
        <v>14565</v>
      </c>
      <c r="X1934" s="131">
        <v>0</v>
      </c>
      <c r="Y1934" s="131">
        <v>14565</v>
      </c>
      <c r="Z1934" s="131">
        <v>0</v>
      </c>
      <c r="AA1934" s="131">
        <v>14565</v>
      </c>
      <c r="AB1934" s="131">
        <v>0</v>
      </c>
      <c r="AC1934" s="131">
        <v>14565</v>
      </c>
      <c r="AD1934" s="131">
        <v>0</v>
      </c>
      <c r="AE1934" s="132">
        <v>14565</v>
      </c>
    </row>
    <row r="1935" spans="1:31" x14ac:dyDescent="0.2">
      <c r="A1935" s="133">
        <v>306</v>
      </c>
      <c r="B1935" s="133" t="s">
        <v>2160</v>
      </c>
      <c r="C1935" s="133" t="s">
        <v>1114</v>
      </c>
      <c r="D1935" s="133" t="s">
        <v>1779</v>
      </c>
      <c r="E1935" s="133" t="s">
        <v>1116</v>
      </c>
      <c r="F1935" s="133" t="s">
        <v>1117</v>
      </c>
      <c r="G1935" s="133" t="s">
        <v>1118</v>
      </c>
      <c r="H1935" s="130" t="s">
        <v>1133</v>
      </c>
      <c r="I1935" s="130" t="s">
        <v>1134</v>
      </c>
      <c r="J1935" s="130" t="s">
        <v>1135</v>
      </c>
      <c r="K1935" s="130" t="s">
        <v>1178</v>
      </c>
      <c r="L1935" s="130" t="s">
        <v>2161</v>
      </c>
      <c r="M1935" s="130" t="s">
        <v>1776</v>
      </c>
      <c r="N1935" s="130" t="s">
        <v>168</v>
      </c>
      <c r="O1935" s="130" t="s">
        <v>1361</v>
      </c>
      <c r="P1935" s="130" t="s">
        <v>1777</v>
      </c>
      <c r="Q1935" s="130" t="s">
        <v>1127</v>
      </c>
      <c r="R1935" s="130" t="s">
        <v>1380</v>
      </c>
      <c r="S1935" s="130" t="s">
        <v>2162</v>
      </c>
      <c r="T1935" s="130" t="s">
        <v>1130</v>
      </c>
      <c r="U1935" s="130">
        <v>0</v>
      </c>
      <c r="V1935" s="131">
        <v>251490</v>
      </c>
      <c r="W1935" s="131">
        <v>251490</v>
      </c>
      <c r="X1935" s="131">
        <v>210000</v>
      </c>
      <c r="Y1935" s="131">
        <v>41490</v>
      </c>
      <c r="Z1935" s="131">
        <v>210000</v>
      </c>
      <c r="AA1935" s="131">
        <v>41490</v>
      </c>
      <c r="AB1935" s="131">
        <v>89499.6</v>
      </c>
      <c r="AC1935" s="131">
        <v>161990.39999999999</v>
      </c>
      <c r="AD1935" s="131">
        <v>89499.6</v>
      </c>
      <c r="AE1935" s="132">
        <v>161990.39999999999</v>
      </c>
    </row>
    <row r="1936" spans="1:31" x14ac:dyDescent="0.2">
      <c r="A1936" s="133">
        <v>306</v>
      </c>
      <c r="B1936" s="133" t="s">
        <v>2160</v>
      </c>
      <c r="C1936" s="133" t="s">
        <v>1114</v>
      </c>
      <c r="D1936" s="133" t="s">
        <v>1779</v>
      </c>
      <c r="E1936" s="133" t="s">
        <v>1116</v>
      </c>
      <c r="F1936" s="133" t="s">
        <v>1117</v>
      </c>
      <c r="G1936" s="133" t="s">
        <v>1118</v>
      </c>
      <c r="H1936" s="133" t="s">
        <v>1133</v>
      </c>
      <c r="I1936" s="133" t="s">
        <v>1134</v>
      </c>
      <c r="J1936" s="133" t="s">
        <v>1135</v>
      </c>
      <c r="K1936" s="130" t="s">
        <v>1179</v>
      </c>
      <c r="L1936" s="130" t="s">
        <v>2161</v>
      </c>
      <c r="M1936" s="130" t="s">
        <v>1776</v>
      </c>
      <c r="N1936" s="130" t="s">
        <v>168</v>
      </c>
      <c r="O1936" s="130" t="s">
        <v>1361</v>
      </c>
      <c r="P1936" s="130" t="s">
        <v>1777</v>
      </c>
      <c r="Q1936" s="130" t="s">
        <v>1127</v>
      </c>
      <c r="R1936" s="130" t="s">
        <v>1380</v>
      </c>
      <c r="S1936" s="130" t="s">
        <v>2162</v>
      </c>
      <c r="T1936" s="130" t="s">
        <v>1130</v>
      </c>
      <c r="U1936" s="130">
        <v>0</v>
      </c>
      <c r="V1936" s="131">
        <v>40342</v>
      </c>
      <c r="W1936" s="131">
        <v>40342</v>
      </c>
      <c r="X1936" s="131">
        <v>3861.59</v>
      </c>
      <c r="Y1936" s="131">
        <v>36480.410000000003</v>
      </c>
      <c r="Z1936" s="131">
        <v>3861.59</v>
      </c>
      <c r="AA1936" s="131">
        <v>36480.410000000003</v>
      </c>
      <c r="AB1936" s="131">
        <v>3861.59</v>
      </c>
      <c r="AC1936" s="131">
        <v>36480.410000000003</v>
      </c>
      <c r="AD1936" s="131">
        <v>0</v>
      </c>
      <c r="AE1936" s="132">
        <v>40342</v>
      </c>
    </row>
    <row r="1937" spans="1:31" x14ac:dyDescent="0.2">
      <c r="A1937" s="133">
        <v>306</v>
      </c>
      <c r="B1937" s="133" t="s">
        <v>2160</v>
      </c>
      <c r="C1937" s="133" t="s">
        <v>1114</v>
      </c>
      <c r="D1937" s="133" t="s">
        <v>1779</v>
      </c>
      <c r="E1937" s="133" t="s">
        <v>1116</v>
      </c>
      <c r="F1937" s="133" t="s">
        <v>1117</v>
      </c>
      <c r="G1937" s="133" t="s">
        <v>1118</v>
      </c>
      <c r="H1937" s="133" t="s">
        <v>1133</v>
      </c>
      <c r="I1937" s="133" t="s">
        <v>1134</v>
      </c>
      <c r="J1937" s="133" t="s">
        <v>1135</v>
      </c>
      <c r="K1937" s="130" t="s">
        <v>1144</v>
      </c>
      <c r="L1937" s="130" t="s">
        <v>2161</v>
      </c>
      <c r="M1937" s="130" t="s">
        <v>1776</v>
      </c>
      <c r="N1937" s="130" t="s">
        <v>168</v>
      </c>
      <c r="O1937" s="130" t="s">
        <v>1361</v>
      </c>
      <c r="P1937" s="130" t="s">
        <v>1777</v>
      </c>
      <c r="Q1937" s="130" t="s">
        <v>1127</v>
      </c>
      <c r="R1937" s="130" t="s">
        <v>1380</v>
      </c>
      <c r="S1937" s="130" t="s">
        <v>2162</v>
      </c>
      <c r="T1937" s="130" t="s">
        <v>1130</v>
      </c>
      <c r="U1937" s="130">
        <v>0</v>
      </c>
      <c r="V1937" s="131">
        <v>43605</v>
      </c>
      <c r="W1937" s="131">
        <v>43605</v>
      </c>
      <c r="X1937" s="131">
        <v>20850</v>
      </c>
      <c r="Y1937" s="131">
        <v>22755</v>
      </c>
      <c r="Z1937" s="131">
        <v>20850</v>
      </c>
      <c r="AA1937" s="131">
        <v>22755</v>
      </c>
      <c r="AB1937" s="131">
        <v>20850</v>
      </c>
      <c r="AC1937" s="131">
        <v>22755</v>
      </c>
      <c r="AD1937" s="131">
        <v>14696</v>
      </c>
      <c r="AE1937" s="132">
        <v>28909</v>
      </c>
    </row>
    <row r="1938" spans="1:31" x14ac:dyDescent="0.2">
      <c r="A1938" s="130">
        <v>307</v>
      </c>
      <c r="B1938" s="130" t="s">
        <v>2163</v>
      </c>
      <c r="C1938" s="130" t="s">
        <v>1114</v>
      </c>
      <c r="D1938" s="130" t="s">
        <v>1367</v>
      </c>
      <c r="E1938" s="130" t="s">
        <v>1116</v>
      </c>
      <c r="F1938" s="130" t="s">
        <v>1117</v>
      </c>
      <c r="G1938" s="130" t="s">
        <v>1118</v>
      </c>
      <c r="H1938" s="130" t="s">
        <v>1119</v>
      </c>
      <c r="I1938" s="130" t="s">
        <v>1120</v>
      </c>
      <c r="J1938" s="130" t="s">
        <v>1358</v>
      </c>
      <c r="K1938" s="130" t="s">
        <v>1131</v>
      </c>
      <c r="L1938" s="130" t="s">
        <v>2164</v>
      </c>
      <c r="M1938" s="130" t="s">
        <v>1360</v>
      </c>
      <c r="N1938" s="130" t="s">
        <v>168</v>
      </c>
      <c r="O1938" s="130" t="s">
        <v>1361</v>
      </c>
      <c r="P1938" s="130" t="s">
        <v>1366</v>
      </c>
      <c r="Q1938" s="130" t="s">
        <v>1127</v>
      </c>
      <c r="R1938" s="130" t="s">
        <v>1191</v>
      </c>
      <c r="S1938" s="130" t="s">
        <v>1191</v>
      </c>
      <c r="T1938" s="130" t="s">
        <v>1130</v>
      </c>
      <c r="U1938" s="130">
        <v>0</v>
      </c>
      <c r="V1938" s="131">
        <v>750202</v>
      </c>
      <c r="W1938" s="131">
        <v>750202</v>
      </c>
      <c r="X1938" s="131">
        <v>750202</v>
      </c>
      <c r="Y1938" s="131">
        <v>0</v>
      </c>
      <c r="Z1938" s="131">
        <v>750202</v>
      </c>
      <c r="AA1938" s="131">
        <v>0</v>
      </c>
      <c r="AB1938" s="131">
        <v>739850.33</v>
      </c>
      <c r="AC1938" s="131">
        <v>10351.670000000042</v>
      </c>
      <c r="AD1938" s="131">
        <v>739850.33</v>
      </c>
      <c r="AE1938" s="132">
        <v>10351.670000000042</v>
      </c>
    </row>
    <row r="1939" spans="1:31" x14ac:dyDescent="0.2">
      <c r="A1939" s="133">
        <v>307</v>
      </c>
      <c r="B1939" s="133" t="s">
        <v>2163</v>
      </c>
      <c r="C1939" s="133" t="s">
        <v>1114</v>
      </c>
      <c r="D1939" s="133" t="s">
        <v>1367</v>
      </c>
      <c r="E1939" s="133" t="s">
        <v>1116</v>
      </c>
      <c r="F1939" s="133" t="s">
        <v>1117</v>
      </c>
      <c r="G1939" s="133" t="s">
        <v>1118</v>
      </c>
      <c r="H1939" s="133" t="s">
        <v>1119</v>
      </c>
      <c r="I1939" s="133" t="s">
        <v>1120</v>
      </c>
      <c r="J1939" s="133" t="s">
        <v>1358</v>
      </c>
      <c r="K1939" s="130" t="s">
        <v>1177</v>
      </c>
      <c r="L1939" s="130" t="s">
        <v>2164</v>
      </c>
      <c r="M1939" s="130" t="s">
        <v>1360</v>
      </c>
      <c r="N1939" s="130" t="s">
        <v>168</v>
      </c>
      <c r="O1939" s="130" t="s">
        <v>1361</v>
      </c>
      <c r="P1939" s="130" t="s">
        <v>1366</v>
      </c>
      <c r="Q1939" s="130" t="s">
        <v>1127</v>
      </c>
      <c r="R1939" s="130" t="s">
        <v>1191</v>
      </c>
      <c r="S1939" s="130" t="s">
        <v>1191</v>
      </c>
      <c r="T1939" s="130" t="s">
        <v>1130</v>
      </c>
      <c r="U1939" s="130">
        <v>0</v>
      </c>
      <c r="V1939" s="131">
        <v>350727</v>
      </c>
      <c r="W1939" s="131">
        <v>350727</v>
      </c>
      <c r="X1939" s="131">
        <v>314356.93</v>
      </c>
      <c r="Y1939" s="131">
        <v>36370.070000000007</v>
      </c>
      <c r="Z1939" s="131">
        <v>314356.93</v>
      </c>
      <c r="AA1939" s="131">
        <v>36370.070000000007</v>
      </c>
      <c r="AB1939" s="131">
        <v>314356.93</v>
      </c>
      <c r="AC1939" s="131">
        <v>36370.070000000007</v>
      </c>
      <c r="AD1939" s="131">
        <v>285677.93</v>
      </c>
      <c r="AE1939" s="132">
        <v>65049.070000000007</v>
      </c>
    </row>
    <row r="1940" spans="1:31" x14ac:dyDescent="0.2">
      <c r="A1940" s="133">
        <v>307</v>
      </c>
      <c r="B1940" s="133" t="s">
        <v>2163</v>
      </c>
      <c r="C1940" s="133" t="s">
        <v>1114</v>
      </c>
      <c r="D1940" s="133" t="s">
        <v>1367</v>
      </c>
      <c r="E1940" s="133" t="s">
        <v>1116</v>
      </c>
      <c r="F1940" s="133" t="s">
        <v>1117</v>
      </c>
      <c r="G1940" s="133" t="s">
        <v>1118</v>
      </c>
      <c r="H1940" s="133" t="s">
        <v>1119</v>
      </c>
      <c r="I1940" s="133" t="s">
        <v>1120</v>
      </c>
      <c r="J1940" s="133" t="s">
        <v>1358</v>
      </c>
      <c r="K1940" s="130" t="s">
        <v>1132</v>
      </c>
      <c r="L1940" s="130" t="s">
        <v>2164</v>
      </c>
      <c r="M1940" s="130" t="s">
        <v>1360</v>
      </c>
      <c r="N1940" s="130" t="s">
        <v>168</v>
      </c>
      <c r="O1940" s="130" t="s">
        <v>1361</v>
      </c>
      <c r="P1940" s="130" t="s">
        <v>1366</v>
      </c>
      <c r="Q1940" s="130" t="s">
        <v>1127</v>
      </c>
      <c r="R1940" s="130" t="s">
        <v>1191</v>
      </c>
      <c r="S1940" s="130" t="s">
        <v>1191</v>
      </c>
      <c r="T1940" s="130" t="s">
        <v>1130</v>
      </c>
      <c r="U1940" s="130">
        <v>0</v>
      </c>
      <c r="V1940" s="131">
        <v>47577</v>
      </c>
      <c r="W1940" s="131">
        <v>47577</v>
      </c>
      <c r="X1940" s="131">
        <v>39201.1</v>
      </c>
      <c r="Y1940" s="131">
        <v>8375.9000000000015</v>
      </c>
      <c r="Z1940" s="131">
        <v>39201.1</v>
      </c>
      <c r="AA1940" s="131">
        <v>8375.9000000000015</v>
      </c>
      <c r="AB1940" s="131">
        <v>39201.1</v>
      </c>
      <c r="AC1940" s="131">
        <v>8375.9000000000015</v>
      </c>
      <c r="AD1940" s="131">
        <v>28501.1</v>
      </c>
      <c r="AE1940" s="132">
        <v>19075.900000000001</v>
      </c>
    </row>
    <row r="1941" spans="1:31" x14ac:dyDescent="0.2">
      <c r="A1941" s="133">
        <v>307</v>
      </c>
      <c r="B1941" s="133" t="s">
        <v>2163</v>
      </c>
      <c r="C1941" s="133" t="s">
        <v>1114</v>
      </c>
      <c r="D1941" s="133" t="s">
        <v>1367</v>
      </c>
      <c r="E1941" s="133" t="s">
        <v>1116</v>
      </c>
      <c r="F1941" s="133" t="s">
        <v>1117</v>
      </c>
      <c r="G1941" s="133" t="s">
        <v>1118</v>
      </c>
      <c r="H1941" s="130" t="s">
        <v>1149</v>
      </c>
      <c r="I1941" s="130" t="s">
        <v>1182</v>
      </c>
      <c r="J1941" s="130" t="s">
        <v>1377</v>
      </c>
      <c r="K1941" s="130" t="s">
        <v>1378</v>
      </c>
      <c r="L1941" s="130" t="s">
        <v>2164</v>
      </c>
      <c r="M1941" s="130" t="s">
        <v>1360</v>
      </c>
      <c r="N1941" s="130" t="s">
        <v>168</v>
      </c>
      <c r="O1941" s="130" t="s">
        <v>1361</v>
      </c>
      <c r="P1941" s="130" t="s">
        <v>1366</v>
      </c>
      <c r="Q1941" s="130" t="s">
        <v>1127</v>
      </c>
      <c r="R1941" s="130" t="s">
        <v>1191</v>
      </c>
      <c r="S1941" s="130" t="s">
        <v>1191</v>
      </c>
      <c r="T1941" s="130" t="s">
        <v>1130</v>
      </c>
      <c r="U1941" s="130">
        <v>0</v>
      </c>
      <c r="V1941" s="131">
        <v>220</v>
      </c>
      <c r="W1941" s="131">
        <v>220</v>
      </c>
      <c r="X1941" s="131">
        <v>0</v>
      </c>
      <c r="Y1941" s="131">
        <v>220</v>
      </c>
      <c r="Z1941" s="131">
        <v>0</v>
      </c>
      <c r="AA1941" s="131">
        <v>220</v>
      </c>
      <c r="AB1941" s="131">
        <v>0</v>
      </c>
      <c r="AC1941" s="131">
        <v>220</v>
      </c>
      <c r="AD1941" s="131">
        <v>0</v>
      </c>
      <c r="AE1941" s="132">
        <v>220</v>
      </c>
    </row>
    <row r="1942" spans="1:31" x14ac:dyDescent="0.2">
      <c r="A1942" s="133">
        <v>307</v>
      </c>
      <c r="B1942" s="133" t="s">
        <v>2163</v>
      </c>
      <c r="C1942" s="133" t="s">
        <v>1114</v>
      </c>
      <c r="D1942" s="133" t="s">
        <v>1367</v>
      </c>
      <c r="E1942" s="133" t="s">
        <v>1116</v>
      </c>
      <c r="F1942" s="133" t="s">
        <v>1117</v>
      </c>
      <c r="G1942" s="133" t="s">
        <v>1118</v>
      </c>
      <c r="H1942" s="133" t="s">
        <v>1149</v>
      </c>
      <c r="I1942" s="133" t="s">
        <v>1182</v>
      </c>
      <c r="J1942" s="130" t="s">
        <v>1347</v>
      </c>
      <c r="K1942" s="130" t="s">
        <v>1348</v>
      </c>
      <c r="L1942" s="130" t="s">
        <v>2164</v>
      </c>
      <c r="M1942" s="130" t="s">
        <v>1360</v>
      </c>
      <c r="N1942" s="130" t="s">
        <v>168</v>
      </c>
      <c r="O1942" s="130" t="s">
        <v>1361</v>
      </c>
      <c r="P1942" s="130" t="s">
        <v>1366</v>
      </c>
      <c r="Q1942" s="130" t="s">
        <v>1127</v>
      </c>
      <c r="R1942" s="130" t="s">
        <v>1191</v>
      </c>
      <c r="S1942" s="130" t="s">
        <v>1191</v>
      </c>
      <c r="T1942" s="130" t="s">
        <v>1130</v>
      </c>
      <c r="U1942" s="130">
        <v>0</v>
      </c>
      <c r="V1942" s="131">
        <v>1201</v>
      </c>
      <c r="W1942" s="131">
        <v>1201</v>
      </c>
      <c r="X1942" s="131">
        <v>0</v>
      </c>
      <c r="Y1942" s="131">
        <v>1201</v>
      </c>
      <c r="Z1942" s="131">
        <v>0</v>
      </c>
      <c r="AA1942" s="131">
        <v>1201</v>
      </c>
      <c r="AB1942" s="131">
        <v>0</v>
      </c>
      <c r="AC1942" s="131">
        <v>1201</v>
      </c>
      <c r="AD1942" s="131">
        <v>0</v>
      </c>
      <c r="AE1942" s="132">
        <v>1201</v>
      </c>
    </row>
    <row r="1943" spans="1:31" x14ac:dyDescent="0.2">
      <c r="A1943" s="133">
        <v>307</v>
      </c>
      <c r="B1943" s="133" t="s">
        <v>2163</v>
      </c>
      <c r="C1943" s="133" t="s">
        <v>1114</v>
      </c>
      <c r="D1943" s="133" t="s">
        <v>1367</v>
      </c>
      <c r="E1943" s="133" t="s">
        <v>1116</v>
      </c>
      <c r="F1943" s="133" t="s">
        <v>1117</v>
      </c>
      <c r="G1943" s="133" t="s">
        <v>1118</v>
      </c>
      <c r="H1943" s="130" t="s">
        <v>1133</v>
      </c>
      <c r="I1943" s="130" t="s">
        <v>1134</v>
      </c>
      <c r="J1943" s="130" t="s">
        <v>1135</v>
      </c>
      <c r="K1943" s="130" t="s">
        <v>1178</v>
      </c>
      <c r="L1943" s="130" t="s">
        <v>2164</v>
      </c>
      <c r="M1943" s="130" t="s">
        <v>1360</v>
      </c>
      <c r="N1943" s="130" t="s">
        <v>168</v>
      </c>
      <c r="O1943" s="130" t="s">
        <v>1361</v>
      </c>
      <c r="P1943" s="130" t="s">
        <v>1366</v>
      </c>
      <c r="Q1943" s="130" t="s">
        <v>1127</v>
      </c>
      <c r="R1943" s="130" t="s">
        <v>1191</v>
      </c>
      <c r="S1943" s="130" t="s">
        <v>1191</v>
      </c>
      <c r="T1943" s="130" t="s">
        <v>1130</v>
      </c>
      <c r="U1943" s="130">
        <v>0</v>
      </c>
      <c r="V1943" s="131">
        <v>77491</v>
      </c>
      <c r="W1943" s="131">
        <v>77491</v>
      </c>
      <c r="X1943" s="131">
        <v>65000</v>
      </c>
      <c r="Y1943" s="131">
        <v>12491</v>
      </c>
      <c r="Z1943" s="131">
        <v>65000</v>
      </c>
      <c r="AA1943" s="131">
        <v>12491</v>
      </c>
      <c r="AB1943" s="131">
        <v>56802.719999999994</v>
      </c>
      <c r="AC1943" s="131">
        <v>20688.280000000006</v>
      </c>
      <c r="AD1943" s="131">
        <v>51411.399999999994</v>
      </c>
      <c r="AE1943" s="132">
        <v>26079.600000000006</v>
      </c>
    </row>
    <row r="1944" spans="1:31" x14ac:dyDescent="0.2">
      <c r="A1944" s="133">
        <v>307</v>
      </c>
      <c r="B1944" s="133" t="s">
        <v>2163</v>
      </c>
      <c r="C1944" s="133" t="s">
        <v>1114</v>
      </c>
      <c r="D1944" s="133" t="s">
        <v>1367</v>
      </c>
      <c r="E1944" s="133" t="s">
        <v>1116</v>
      </c>
      <c r="F1944" s="133" t="s">
        <v>1117</v>
      </c>
      <c r="G1944" s="133" t="s">
        <v>1118</v>
      </c>
      <c r="H1944" s="133" t="s">
        <v>1133</v>
      </c>
      <c r="I1944" s="133" t="s">
        <v>1134</v>
      </c>
      <c r="J1944" s="133" t="s">
        <v>1135</v>
      </c>
      <c r="K1944" s="130" t="s">
        <v>1179</v>
      </c>
      <c r="L1944" s="130" t="s">
        <v>2164</v>
      </c>
      <c r="M1944" s="130" t="s">
        <v>1360</v>
      </c>
      <c r="N1944" s="130" t="s">
        <v>168</v>
      </c>
      <c r="O1944" s="130" t="s">
        <v>1361</v>
      </c>
      <c r="P1944" s="130" t="s">
        <v>1366</v>
      </c>
      <c r="Q1944" s="130" t="s">
        <v>1127</v>
      </c>
      <c r="R1944" s="130" t="s">
        <v>1191</v>
      </c>
      <c r="S1944" s="130" t="s">
        <v>1191</v>
      </c>
      <c r="T1944" s="130" t="s">
        <v>1130</v>
      </c>
      <c r="U1944" s="130">
        <v>0</v>
      </c>
      <c r="V1944" s="131">
        <v>21018</v>
      </c>
      <c r="W1944" s="131">
        <v>21018</v>
      </c>
      <c r="X1944" s="131">
        <v>9891.2000000000007</v>
      </c>
      <c r="Y1944" s="131">
        <v>11126.8</v>
      </c>
      <c r="Z1944" s="131">
        <v>9891.2000000000007</v>
      </c>
      <c r="AA1944" s="131">
        <v>11126.8</v>
      </c>
      <c r="AB1944" s="131">
        <v>9891.2000000000007</v>
      </c>
      <c r="AC1944" s="131">
        <v>11126.8</v>
      </c>
      <c r="AD1944" s="131">
        <v>7849.4</v>
      </c>
      <c r="AE1944" s="132">
        <v>13168.6</v>
      </c>
    </row>
    <row r="1945" spans="1:31" x14ac:dyDescent="0.2">
      <c r="A1945" s="133">
        <v>307</v>
      </c>
      <c r="B1945" s="133" t="s">
        <v>2163</v>
      </c>
      <c r="C1945" s="133" t="s">
        <v>1114</v>
      </c>
      <c r="D1945" s="133" t="s">
        <v>1367</v>
      </c>
      <c r="E1945" s="133" t="s">
        <v>1116</v>
      </c>
      <c r="F1945" s="133" t="s">
        <v>1117</v>
      </c>
      <c r="G1945" s="133" t="s">
        <v>1118</v>
      </c>
      <c r="H1945" s="133" t="s">
        <v>1133</v>
      </c>
      <c r="I1945" s="133" t="s">
        <v>1134</v>
      </c>
      <c r="J1945" s="133" t="s">
        <v>1135</v>
      </c>
      <c r="K1945" s="130" t="s">
        <v>1144</v>
      </c>
      <c r="L1945" s="130" t="s">
        <v>2164</v>
      </c>
      <c r="M1945" s="130" t="s">
        <v>1360</v>
      </c>
      <c r="N1945" s="130" t="s">
        <v>168</v>
      </c>
      <c r="O1945" s="130" t="s">
        <v>1361</v>
      </c>
      <c r="P1945" s="130" t="s">
        <v>1366</v>
      </c>
      <c r="Q1945" s="130" t="s">
        <v>1127</v>
      </c>
      <c r="R1945" s="130" t="s">
        <v>1191</v>
      </c>
      <c r="S1945" s="130" t="s">
        <v>1191</v>
      </c>
      <c r="T1945" s="130" t="s">
        <v>1130</v>
      </c>
      <c r="U1945" s="130">
        <v>0</v>
      </c>
      <c r="V1945" s="131">
        <v>24299</v>
      </c>
      <c r="W1945" s="131">
        <v>24299</v>
      </c>
      <c r="X1945" s="131">
        <v>15690</v>
      </c>
      <c r="Y1945" s="131">
        <v>8609</v>
      </c>
      <c r="Z1945" s="131">
        <v>15690</v>
      </c>
      <c r="AA1945" s="131">
        <v>8609</v>
      </c>
      <c r="AB1945" s="131">
        <v>15690</v>
      </c>
      <c r="AC1945" s="131">
        <v>8609</v>
      </c>
      <c r="AD1945" s="131">
        <v>15690</v>
      </c>
      <c r="AE1945" s="132">
        <v>8609</v>
      </c>
    </row>
    <row r="1946" spans="1:31" x14ac:dyDescent="0.2">
      <c r="A1946" s="130">
        <v>308</v>
      </c>
      <c r="B1946" s="130" t="s">
        <v>1020</v>
      </c>
      <c r="C1946" s="130" t="s">
        <v>1114</v>
      </c>
      <c r="D1946" s="130" t="s">
        <v>1602</v>
      </c>
      <c r="E1946" s="130" t="s">
        <v>1116</v>
      </c>
      <c r="F1946" s="130" t="s">
        <v>1117</v>
      </c>
      <c r="G1946" s="130" t="s">
        <v>1118</v>
      </c>
      <c r="H1946" s="130" t="s">
        <v>1133</v>
      </c>
      <c r="I1946" s="130" t="s">
        <v>1134</v>
      </c>
      <c r="J1946" s="130" t="s">
        <v>1166</v>
      </c>
      <c r="K1946" s="130" t="s">
        <v>1167</v>
      </c>
      <c r="L1946" s="130" t="s">
        <v>2165</v>
      </c>
      <c r="M1946" s="130" t="s">
        <v>1587</v>
      </c>
      <c r="N1946" s="130" t="s">
        <v>1588</v>
      </c>
      <c r="O1946" s="130" t="s">
        <v>1589</v>
      </c>
      <c r="P1946" s="130" t="s">
        <v>1604</v>
      </c>
      <c r="Q1946" s="130" t="s">
        <v>1127</v>
      </c>
      <c r="R1946" s="130" t="s">
        <v>1409</v>
      </c>
      <c r="S1946" s="130" t="s">
        <v>1157</v>
      </c>
      <c r="T1946" s="130" t="s">
        <v>1158</v>
      </c>
      <c r="U1946" s="130">
        <v>0</v>
      </c>
      <c r="V1946" s="131">
        <v>350000</v>
      </c>
      <c r="W1946" s="131">
        <v>350000</v>
      </c>
      <c r="X1946" s="131">
        <v>178545</v>
      </c>
      <c r="Y1946" s="131">
        <v>171455</v>
      </c>
      <c r="Z1946" s="131">
        <v>178545</v>
      </c>
      <c r="AA1946" s="131">
        <v>171455</v>
      </c>
      <c r="AB1946" s="131">
        <v>163619.96000000002</v>
      </c>
      <c r="AC1946" s="131">
        <v>186380.03999999998</v>
      </c>
      <c r="AD1946" s="131">
        <v>65074.959999999992</v>
      </c>
      <c r="AE1946" s="132">
        <v>284925.04000000004</v>
      </c>
    </row>
    <row r="1947" spans="1:31" x14ac:dyDescent="0.2">
      <c r="A1947" s="130">
        <v>309</v>
      </c>
      <c r="B1947" s="130" t="s">
        <v>1021</v>
      </c>
      <c r="C1947" s="130" t="s">
        <v>1114</v>
      </c>
      <c r="D1947" s="130" t="s">
        <v>1584</v>
      </c>
      <c r="E1947" s="130" t="s">
        <v>1116</v>
      </c>
      <c r="F1947" s="130" t="s">
        <v>1117</v>
      </c>
      <c r="G1947" s="130" t="s">
        <v>1118</v>
      </c>
      <c r="H1947" s="130" t="s">
        <v>1133</v>
      </c>
      <c r="I1947" s="130" t="s">
        <v>1134</v>
      </c>
      <c r="J1947" s="130" t="s">
        <v>1166</v>
      </c>
      <c r="K1947" s="130" t="s">
        <v>1167</v>
      </c>
      <c r="L1947" s="130" t="s">
        <v>2166</v>
      </c>
      <c r="M1947" s="130" t="s">
        <v>1587</v>
      </c>
      <c r="N1947" s="130" t="s">
        <v>1588</v>
      </c>
      <c r="O1947" s="130" t="s">
        <v>1589</v>
      </c>
      <c r="P1947" s="130" t="s">
        <v>1590</v>
      </c>
      <c r="Q1947" s="130" t="s">
        <v>1127</v>
      </c>
      <c r="R1947" s="130" t="s">
        <v>1409</v>
      </c>
      <c r="S1947" s="130" t="s">
        <v>1157</v>
      </c>
      <c r="T1947" s="130" t="s">
        <v>1158</v>
      </c>
      <c r="U1947" s="130">
        <v>0</v>
      </c>
      <c r="V1947" s="131">
        <v>400000</v>
      </c>
      <c r="W1947" s="131">
        <v>400000</v>
      </c>
      <c r="X1947" s="131">
        <v>200000</v>
      </c>
      <c r="Y1947" s="131">
        <v>200000</v>
      </c>
      <c r="Z1947" s="131">
        <v>0</v>
      </c>
      <c r="AA1947" s="131">
        <v>400000</v>
      </c>
      <c r="AB1947" s="131">
        <v>0</v>
      </c>
      <c r="AC1947" s="131">
        <v>400000</v>
      </c>
      <c r="AD1947" s="131">
        <v>0</v>
      </c>
      <c r="AE1947" s="132">
        <v>400000</v>
      </c>
    </row>
    <row r="1948" spans="1:31" x14ac:dyDescent="0.2">
      <c r="A1948" s="130">
        <v>310</v>
      </c>
      <c r="B1948" s="130" t="s">
        <v>968</v>
      </c>
      <c r="C1948" s="130" t="s">
        <v>1114</v>
      </c>
      <c r="D1948" s="130" t="s">
        <v>1602</v>
      </c>
      <c r="E1948" s="130" t="s">
        <v>1116</v>
      </c>
      <c r="F1948" s="130" t="s">
        <v>1117</v>
      </c>
      <c r="G1948" s="130" t="s">
        <v>1118</v>
      </c>
      <c r="H1948" s="130" t="s">
        <v>1133</v>
      </c>
      <c r="I1948" s="130" t="s">
        <v>1134</v>
      </c>
      <c r="J1948" s="130" t="s">
        <v>1166</v>
      </c>
      <c r="K1948" s="130" t="s">
        <v>1167</v>
      </c>
      <c r="L1948" s="130" t="s">
        <v>2167</v>
      </c>
      <c r="M1948" s="130" t="s">
        <v>1587</v>
      </c>
      <c r="N1948" s="130" t="s">
        <v>1588</v>
      </c>
      <c r="O1948" s="130" t="s">
        <v>1589</v>
      </c>
      <c r="P1948" s="130" t="s">
        <v>1604</v>
      </c>
      <c r="Q1948" s="130" t="s">
        <v>1127</v>
      </c>
      <c r="R1948" s="130" t="s">
        <v>1409</v>
      </c>
      <c r="S1948" s="130" t="s">
        <v>1157</v>
      </c>
      <c r="T1948" s="130" t="s">
        <v>1158</v>
      </c>
      <c r="U1948" s="130">
        <v>0</v>
      </c>
      <c r="V1948" s="131">
        <v>386035</v>
      </c>
      <c r="W1948" s="131">
        <v>386035</v>
      </c>
      <c r="X1948" s="131">
        <v>360984</v>
      </c>
      <c r="Y1948" s="131">
        <v>25051</v>
      </c>
      <c r="Z1948" s="131">
        <v>360192.91</v>
      </c>
      <c r="AA1948" s="131">
        <v>25842.090000000026</v>
      </c>
      <c r="AB1948" s="131">
        <v>272756.71000000002</v>
      </c>
      <c r="AC1948" s="131">
        <v>113278.28999999998</v>
      </c>
      <c r="AD1948" s="131">
        <v>169656.71</v>
      </c>
      <c r="AE1948" s="132">
        <v>216378.29</v>
      </c>
    </row>
    <row r="1949" spans="1:31" x14ac:dyDescent="0.2">
      <c r="A1949" s="130">
        <v>311</v>
      </c>
      <c r="B1949" s="130" t="s">
        <v>180</v>
      </c>
      <c r="C1949" s="130" t="s">
        <v>1114</v>
      </c>
      <c r="D1949" s="130" t="s">
        <v>1357</v>
      </c>
      <c r="E1949" s="130" t="s">
        <v>1116</v>
      </c>
      <c r="F1949" s="130" t="s">
        <v>1117</v>
      </c>
      <c r="G1949" s="130" t="s">
        <v>1118</v>
      </c>
      <c r="H1949" s="130" t="s">
        <v>1119</v>
      </c>
      <c r="I1949" s="130" t="s">
        <v>1120</v>
      </c>
      <c r="J1949" s="130" t="s">
        <v>1358</v>
      </c>
      <c r="K1949" s="130" t="s">
        <v>1131</v>
      </c>
      <c r="L1949" s="130" t="s">
        <v>2168</v>
      </c>
      <c r="M1949" s="130" t="s">
        <v>1360</v>
      </c>
      <c r="N1949" s="130" t="s">
        <v>168</v>
      </c>
      <c r="O1949" s="130" t="s">
        <v>1361</v>
      </c>
      <c r="P1949" s="130" t="s">
        <v>1362</v>
      </c>
      <c r="Q1949" s="130" t="s">
        <v>1127</v>
      </c>
      <c r="R1949" s="130" t="s">
        <v>1140</v>
      </c>
      <c r="S1949" s="130" t="s">
        <v>1407</v>
      </c>
      <c r="T1949" s="130" t="s">
        <v>1130</v>
      </c>
      <c r="U1949" s="130">
        <v>0</v>
      </c>
      <c r="V1949" s="131">
        <v>985345</v>
      </c>
      <c r="W1949" s="131">
        <v>985345</v>
      </c>
      <c r="X1949" s="131">
        <v>985345</v>
      </c>
      <c r="Y1949" s="131">
        <v>0</v>
      </c>
      <c r="Z1949" s="131">
        <v>985345</v>
      </c>
      <c r="AA1949" s="131">
        <v>0</v>
      </c>
      <c r="AB1949" s="131">
        <v>917124.25</v>
      </c>
      <c r="AC1949" s="131">
        <v>68220.75</v>
      </c>
      <c r="AD1949" s="131">
        <v>917124.25</v>
      </c>
      <c r="AE1949" s="132">
        <v>68220.75</v>
      </c>
    </row>
    <row r="1950" spans="1:31" x14ac:dyDescent="0.2">
      <c r="A1950" s="133">
        <v>311</v>
      </c>
      <c r="B1950" s="133" t="s">
        <v>180</v>
      </c>
      <c r="C1950" s="133" t="s">
        <v>1114</v>
      </c>
      <c r="D1950" s="133" t="s">
        <v>1357</v>
      </c>
      <c r="E1950" s="133" t="s">
        <v>1116</v>
      </c>
      <c r="F1950" s="133" t="s">
        <v>1117</v>
      </c>
      <c r="G1950" s="133" t="s">
        <v>1118</v>
      </c>
      <c r="H1950" s="133" t="s">
        <v>1119</v>
      </c>
      <c r="I1950" s="133" t="s">
        <v>1120</v>
      </c>
      <c r="J1950" s="133" t="s">
        <v>1358</v>
      </c>
      <c r="K1950" s="130" t="s">
        <v>1177</v>
      </c>
      <c r="L1950" s="130" t="s">
        <v>2168</v>
      </c>
      <c r="M1950" s="130" t="s">
        <v>1360</v>
      </c>
      <c r="N1950" s="130" t="s">
        <v>168</v>
      </c>
      <c r="O1950" s="130" t="s">
        <v>1361</v>
      </c>
      <c r="P1950" s="130" t="s">
        <v>1362</v>
      </c>
      <c r="Q1950" s="130" t="s">
        <v>1127</v>
      </c>
      <c r="R1950" s="130" t="s">
        <v>1140</v>
      </c>
      <c r="S1950" s="130" t="s">
        <v>1407</v>
      </c>
      <c r="T1950" s="130" t="s">
        <v>1130</v>
      </c>
      <c r="U1950" s="130">
        <v>0</v>
      </c>
      <c r="V1950" s="131">
        <v>1455751</v>
      </c>
      <c r="W1950" s="131">
        <v>1455751</v>
      </c>
      <c r="X1950" s="131">
        <v>963046.35</v>
      </c>
      <c r="Y1950" s="131">
        <v>492704.65</v>
      </c>
      <c r="Z1950" s="131">
        <v>751396.84</v>
      </c>
      <c r="AA1950" s="131">
        <v>704354.16</v>
      </c>
      <c r="AB1950" s="131">
        <v>748156.84</v>
      </c>
      <c r="AC1950" s="131">
        <v>707594.16</v>
      </c>
      <c r="AD1950" s="131">
        <v>632940.84</v>
      </c>
      <c r="AE1950" s="132">
        <v>822810.16</v>
      </c>
    </row>
    <row r="1951" spans="1:31" x14ac:dyDescent="0.2">
      <c r="A1951" s="133">
        <v>311</v>
      </c>
      <c r="B1951" s="133" t="s">
        <v>180</v>
      </c>
      <c r="C1951" s="133" t="s">
        <v>1114</v>
      </c>
      <c r="D1951" s="133" t="s">
        <v>1357</v>
      </c>
      <c r="E1951" s="133" t="s">
        <v>1116</v>
      </c>
      <c r="F1951" s="133" t="s">
        <v>1117</v>
      </c>
      <c r="G1951" s="133" t="s">
        <v>1118</v>
      </c>
      <c r="H1951" s="133" t="s">
        <v>1119</v>
      </c>
      <c r="I1951" s="133" t="s">
        <v>1120</v>
      </c>
      <c r="J1951" s="133" t="s">
        <v>1358</v>
      </c>
      <c r="K1951" s="130" t="s">
        <v>1132</v>
      </c>
      <c r="L1951" s="130" t="s">
        <v>2168</v>
      </c>
      <c r="M1951" s="130" t="s">
        <v>1360</v>
      </c>
      <c r="N1951" s="130" t="s">
        <v>168</v>
      </c>
      <c r="O1951" s="130" t="s">
        <v>1361</v>
      </c>
      <c r="P1951" s="130" t="s">
        <v>1362</v>
      </c>
      <c r="Q1951" s="130" t="s">
        <v>1127</v>
      </c>
      <c r="R1951" s="130" t="s">
        <v>1140</v>
      </c>
      <c r="S1951" s="130" t="s">
        <v>1407</v>
      </c>
      <c r="T1951" s="130" t="s">
        <v>1130</v>
      </c>
      <c r="U1951" s="130">
        <v>0</v>
      </c>
      <c r="V1951" s="131">
        <v>335000</v>
      </c>
      <c r="W1951" s="131">
        <v>335000</v>
      </c>
      <c r="X1951" s="131">
        <v>57100</v>
      </c>
      <c r="Y1951" s="131">
        <v>277900</v>
      </c>
      <c r="Z1951" s="131">
        <v>57100</v>
      </c>
      <c r="AA1951" s="131">
        <v>277900</v>
      </c>
      <c r="AB1951" s="131">
        <v>57100</v>
      </c>
      <c r="AC1951" s="131">
        <v>277900</v>
      </c>
      <c r="AD1951" s="131">
        <v>19311</v>
      </c>
      <c r="AE1951" s="132">
        <v>315689</v>
      </c>
    </row>
    <row r="1952" spans="1:31" x14ac:dyDescent="0.2">
      <c r="A1952" s="133">
        <v>311</v>
      </c>
      <c r="B1952" s="133" t="s">
        <v>180</v>
      </c>
      <c r="C1952" s="133" t="s">
        <v>1114</v>
      </c>
      <c r="D1952" s="133" t="s">
        <v>1357</v>
      </c>
      <c r="E1952" s="133" t="s">
        <v>1116</v>
      </c>
      <c r="F1952" s="133" t="s">
        <v>1117</v>
      </c>
      <c r="G1952" s="133" t="s">
        <v>1118</v>
      </c>
      <c r="H1952" s="130" t="s">
        <v>1149</v>
      </c>
      <c r="I1952" s="130" t="s">
        <v>1182</v>
      </c>
      <c r="J1952" s="130" t="s">
        <v>1382</v>
      </c>
      <c r="K1952" s="130" t="s">
        <v>1383</v>
      </c>
      <c r="L1952" s="130" t="s">
        <v>2168</v>
      </c>
      <c r="M1952" s="130" t="s">
        <v>1360</v>
      </c>
      <c r="N1952" s="130" t="s">
        <v>168</v>
      </c>
      <c r="O1952" s="130" t="s">
        <v>1361</v>
      </c>
      <c r="P1952" s="130" t="s">
        <v>1362</v>
      </c>
      <c r="Q1952" s="130" t="s">
        <v>1127</v>
      </c>
      <c r="R1952" s="130" t="s">
        <v>1140</v>
      </c>
      <c r="S1952" s="130" t="s">
        <v>1407</v>
      </c>
      <c r="T1952" s="130" t="s">
        <v>1130</v>
      </c>
      <c r="U1952" s="130">
        <v>0</v>
      </c>
      <c r="V1952" s="131">
        <v>150000</v>
      </c>
      <c r="W1952" s="131">
        <v>150000</v>
      </c>
      <c r="X1952" s="131">
        <v>140061</v>
      </c>
      <c r="Y1952" s="131">
        <v>9939</v>
      </c>
      <c r="Z1952" s="131">
        <v>8510</v>
      </c>
      <c r="AA1952" s="131">
        <v>141490</v>
      </c>
      <c r="AB1952" s="131">
        <v>8510</v>
      </c>
      <c r="AC1952" s="131">
        <v>141490</v>
      </c>
      <c r="AD1952" s="131">
        <v>8510</v>
      </c>
      <c r="AE1952" s="132">
        <v>141490</v>
      </c>
    </row>
    <row r="1953" spans="1:31" x14ac:dyDescent="0.2">
      <c r="A1953" s="133">
        <v>311</v>
      </c>
      <c r="B1953" s="133" t="s">
        <v>180</v>
      </c>
      <c r="C1953" s="133" t="s">
        <v>1114</v>
      </c>
      <c r="D1953" s="133" t="s">
        <v>1357</v>
      </c>
      <c r="E1953" s="133" t="s">
        <v>1116</v>
      </c>
      <c r="F1953" s="133" t="s">
        <v>1117</v>
      </c>
      <c r="G1953" s="133" t="s">
        <v>1118</v>
      </c>
      <c r="H1953" s="133" t="s">
        <v>1149</v>
      </c>
      <c r="I1953" s="133" t="s">
        <v>1182</v>
      </c>
      <c r="J1953" s="133" t="s">
        <v>1382</v>
      </c>
      <c r="K1953" s="130" t="s">
        <v>1378</v>
      </c>
      <c r="L1953" s="130" t="s">
        <v>2168</v>
      </c>
      <c r="M1953" s="130" t="s">
        <v>1360</v>
      </c>
      <c r="N1953" s="130" t="s">
        <v>168</v>
      </c>
      <c r="O1953" s="130" t="s">
        <v>1361</v>
      </c>
      <c r="P1953" s="130" t="s">
        <v>1362</v>
      </c>
      <c r="Q1953" s="130" t="s">
        <v>1127</v>
      </c>
      <c r="R1953" s="130" t="s">
        <v>1140</v>
      </c>
      <c r="S1953" s="130" t="s">
        <v>1407</v>
      </c>
      <c r="T1953" s="130" t="s">
        <v>1130</v>
      </c>
      <c r="U1953" s="130">
        <v>0</v>
      </c>
      <c r="V1953" s="131">
        <v>142200</v>
      </c>
      <c r="W1953" s="131">
        <v>142200</v>
      </c>
      <c r="X1953" s="131">
        <v>26330</v>
      </c>
      <c r="Y1953" s="131">
        <v>115870</v>
      </c>
      <c r="Z1953" s="131">
        <v>10280</v>
      </c>
      <c r="AA1953" s="131">
        <v>131920</v>
      </c>
      <c r="AB1953" s="131">
        <v>5850</v>
      </c>
      <c r="AC1953" s="131">
        <v>136350</v>
      </c>
      <c r="AD1953" s="131">
        <v>5850</v>
      </c>
      <c r="AE1953" s="132">
        <v>136350</v>
      </c>
    </row>
    <row r="1954" spans="1:31" x14ac:dyDescent="0.2">
      <c r="A1954" s="133">
        <v>311</v>
      </c>
      <c r="B1954" s="133" t="s">
        <v>180</v>
      </c>
      <c r="C1954" s="133" t="s">
        <v>1114</v>
      </c>
      <c r="D1954" s="133" t="s">
        <v>1357</v>
      </c>
      <c r="E1954" s="133" t="s">
        <v>1116</v>
      </c>
      <c r="F1954" s="133" t="s">
        <v>1117</v>
      </c>
      <c r="G1954" s="133" t="s">
        <v>1118</v>
      </c>
      <c r="H1954" s="130" t="s">
        <v>1133</v>
      </c>
      <c r="I1954" s="130" t="s">
        <v>1134</v>
      </c>
      <c r="J1954" s="130" t="s">
        <v>1135</v>
      </c>
      <c r="K1954" s="130" t="s">
        <v>1178</v>
      </c>
      <c r="L1954" s="130" t="s">
        <v>2168</v>
      </c>
      <c r="M1954" s="130" t="s">
        <v>1360</v>
      </c>
      <c r="N1954" s="130" t="s">
        <v>168</v>
      </c>
      <c r="O1954" s="130" t="s">
        <v>1361</v>
      </c>
      <c r="P1954" s="130" t="s">
        <v>1362</v>
      </c>
      <c r="Q1954" s="130" t="s">
        <v>1127</v>
      </c>
      <c r="R1954" s="130" t="s">
        <v>1140</v>
      </c>
      <c r="S1954" s="130" t="s">
        <v>1407</v>
      </c>
      <c r="T1954" s="130" t="s">
        <v>1130</v>
      </c>
      <c r="U1954" s="130">
        <v>0</v>
      </c>
      <c r="V1954" s="131">
        <v>140000</v>
      </c>
      <c r="W1954" s="131">
        <v>140000</v>
      </c>
      <c r="X1954" s="131">
        <v>140000</v>
      </c>
      <c r="Y1954" s="131">
        <v>0</v>
      </c>
      <c r="Z1954" s="131">
        <v>140000</v>
      </c>
      <c r="AA1954" s="131">
        <v>0</v>
      </c>
      <c r="AB1954" s="131">
        <v>111136.32000000001</v>
      </c>
      <c r="AC1954" s="131">
        <v>28863.679999999993</v>
      </c>
      <c r="AD1954" s="131">
        <v>111136.32000000001</v>
      </c>
      <c r="AE1954" s="132">
        <v>28863.679999999993</v>
      </c>
    </row>
    <row r="1955" spans="1:31" x14ac:dyDescent="0.2">
      <c r="A1955" s="133">
        <v>311</v>
      </c>
      <c r="B1955" s="133" t="s">
        <v>180</v>
      </c>
      <c r="C1955" s="133" t="s">
        <v>1114</v>
      </c>
      <c r="D1955" s="133" t="s">
        <v>1357</v>
      </c>
      <c r="E1955" s="133" t="s">
        <v>1116</v>
      </c>
      <c r="F1955" s="133" t="s">
        <v>1117</v>
      </c>
      <c r="G1955" s="133" t="s">
        <v>1118</v>
      </c>
      <c r="H1955" s="133" t="s">
        <v>1133</v>
      </c>
      <c r="I1955" s="133" t="s">
        <v>1134</v>
      </c>
      <c r="J1955" s="133" t="s">
        <v>1135</v>
      </c>
      <c r="K1955" s="130" t="s">
        <v>1179</v>
      </c>
      <c r="L1955" s="130" t="s">
        <v>2168</v>
      </c>
      <c r="M1955" s="130" t="s">
        <v>1360</v>
      </c>
      <c r="N1955" s="130" t="s">
        <v>168</v>
      </c>
      <c r="O1955" s="130" t="s">
        <v>1361</v>
      </c>
      <c r="P1955" s="130" t="s">
        <v>1362</v>
      </c>
      <c r="Q1955" s="130" t="s">
        <v>1127</v>
      </c>
      <c r="R1955" s="130" t="s">
        <v>1140</v>
      </c>
      <c r="S1955" s="130" t="s">
        <v>1407</v>
      </c>
      <c r="T1955" s="130" t="s">
        <v>1130</v>
      </c>
      <c r="U1955" s="130">
        <v>0</v>
      </c>
      <c r="V1955" s="131">
        <v>3300</v>
      </c>
      <c r="W1955" s="131">
        <v>3300</v>
      </c>
      <c r="X1955" s="131">
        <v>2994</v>
      </c>
      <c r="Y1955" s="131">
        <v>306</v>
      </c>
      <c r="Z1955" s="131">
        <v>2994</v>
      </c>
      <c r="AA1955" s="131">
        <v>306</v>
      </c>
      <c r="AB1955" s="131">
        <v>2994</v>
      </c>
      <c r="AC1955" s="131">
        <v>306</v>
      </c>
      <c r="AD1955" s="131">
        <v>2662</v>
      </c>
      <c r="AE1955" s="132">
        <v>638</v>
      </c>
    </row>
    <row r="1956" spans="1:31" x14ac:dyDescent="0.2">
      <c r="A1956" s="133">
        <v>311</v>
      </c>
      <c r="B1956" s="133" t="s">
        <v>180</v>
      </c>
      <c r="C1956" s="133" t="s">
        <v>1114</v>
      </c>
      <c r="D1956" s="133" t="s">
        <v>1357</v>
      </c>
      <c r="E1956" s="133" t="s">
        <v>1116</v>
      </c>
      <c r="F1956" s="133" t="s">
        <v>1117</v>
      </c>
      <c r="G1956" s="133" t="s">
        <v>1118</v>
      </c>
      <c r="H1956" s="133" t="s">
        <v>1133</v>
      </c>
      <c r="I1956" s="133" t="s">
        <v>1134</v>
      </c>
      <c r="J1956" s="133" t="s">
        <v>1135</v>
      </c>
      <c r="K1956" s="130" t="s">
        <v>1144</v>
      </c>
      <c r="L1956" s="130" t="s">
        <v>2168</v>
      </c>
      <c r="M1956" s="130" t="s">
        <v>1360</v>
      </c>
      <c r="N1956" s="130" t="s">
        <v>168</v>
      </c>
      <c r="O1956" s="130" t="s">
        <v>1361</v>
      </c>
      <c r="P1956" s="130" t="s">
        <v>1362</v>
      </c>
      <c r="Q1956" s="130" t="s">
        <v>1127</v>
      </c>
      <c r="R1956" s="130" t="s">
        <v>1140</v>
      </c>
      <c r="S1956" s="130" t="s">
        <v>1407</v>
      </c>
      <c r="T1956" s="130" t="s">
        <v>1130</v>
      </c>
      <c r="U1956" s="130">
        <v>0</v>
      </c>
      <c r="V1956" s="131">
        <v>12500</v>
      </c>
      <c r="W1956" s="131">
        <v>12500</v>
      </c>
      <c r="X1956" s="131">
        <v>6216.5</v>
      </c>
      <c r="Y1956" s="131">
        <v>6283.5</v>
      </c>
      <c r="Z1956" s="131">
        <v>6216.5</v>
      </c>
      <c r="AA1956" s="131">
        <v>6283.5</v>
      </c>
      <c r="AB1956" s="131">
        <v>6216.5</v>
      </c>
      <c r="AC1956" s="131">
        <v>6283.5</v>
      </c>
      <c r="AD1956" s="131">
        <v>6216.5</v>
      </c>
      <c r="AE1956" s="132">
        <v>6283.5</v>
      </c>
    </row>
    <row r="1957" spans="1:31" x14ac:dyDescent="0.2">
      <c r="A1957" s="130">
        <v>312</v>
      </c>
      <c r="B1957" s="130" t="s">
        <v>1841</v>
      </c>
      <c r="C1957" s="130" t="s">
        <v>1199</v>
      </c>
      <c r="D1957" s="130" t="s">
        <v>2115</v>
      </c>
      <c r="E1957" s="130" t="s">
        <v>1201</v>
      </c>
      <c r="F1957" s="130" t="s">
        <v>1117</v>
      </c>
      <c r="G1957" s="130" t="s">
        <v>1202</v>
      </c>
      <c r="H1957" s="130" t="s">
        <v>1216</v>
      </c>
      <c r="I1957" s="130" t="s">
        <v>1301</v>
      </c>
      <c r="J1957" s="130" t="s">
        <v>1301</v>
      </c>
      <c r="K1957" s="130" t="s">
        <v>1302</v>
      </c>
      <c r="L1957" s="130" t="s">
        <v>2169</v>
      </c>
      <c r="M1957" s="130" t="s">
        <v>1925</v>
      </c>
      <c r="N1957" s="130" t="s">
        <v>120</v>
      </c>
      <c r="O1957" s="130" t="s">
        <v>1860</v>
      </c>
      <c r="P1957" s="130" t="s">
        <v>1861</v>
      </c>
      <c r="Q1957" s="130" t="s">
        <v>1127</v>
      </c>
      <c r="R1957" s="130" t="s">
        <v>1191</v>
      </c>
      <c r="S1957" s="130" t="s">
        <v>1191</v>
      </c>
      <c r="T1957" s="130" t="s">
        <v>1847</v>
      </c>
      <c r="U1957" s="130">
        <v>0</v>
      </c>
      <c r="V1957" s="131">
        <v>2200</v>
      </c>
      <c r="W1957" s="131">
        <v>2200</v>
      </c>
      <c r="X1957" s="131">
        <v>1890</v>
      </c>
      <c r="Y1957" s="131">
        <v>310</v>
      </c>
      <c r="Z1957" s="131">
        <v>0</v>
      </c>
      <c r="AA1957" s="131">
        <v>2200</v>
      </c>
      <c r="AB1957" s="131">
        <v>0</v>
      </c>
      <c r="AC1957" s="131">
        <v>2200</v>
      </c>
      <c r="AD1957" s="131">
        <v>0</v>
      </c>
      <c r="AE1957" s="132">
        <v>2200</v>
      </c>
    </row>
    <row r="1958" spans="1:31" x14ac:dyDescent="0.2">
      <c r="A1958" s="133">
        <v>312</v>
      </c>
      <c r="B1958" s="133" t="s">
        <v>1841</v>
      </c>
      <c r="C1958" s="133" t="s">
        <v>1199</v>
      </c>
      <c r="D1958" s="133" t="s">
        <v>2115</v>
      </c>
      <c r="E1958" s="133" t="s">
        <v>1201</v>
      </c>
      <c r="F1958" s="133" t="s">
        <v>1117</v>
      </c>
      <c r="G1958" s="133" t="s">
        <v>1202</v>
      </c>
      <c r="H1958" s="133" t="s">
        <v>1216</v>
      </c>
      <c r="I1958" s="130" t="s">
        <v>1217</v>
      </c>
      <c r="J1958" s="130" t="s">
        <v>1218</v>
      </c>
      <c r="K1958" s="130" t="s">
        <v>1219</v>
      </c>
      <c r="L1958" s="130" t="s">
        <v>2169</v>
      </c>
      <c r="M1958" s="130" t="s">
        <v>1925</v>
      </c>
      <c r="N1958" s="130" t="s">
        <v>120</v>
      </c>
      <c r="O1958" s="130" t="s">
        <v>1860</v>
      </c>
      <c r="P1958" s="130" t="s">
        <v>1861</v>
      </c>
      <c r="Q1958" s="130" t="s">
        <v>1127</v>
      </c>
      <c r="R1958" s="130" t="s">
        <v>1191</v>
      </c>
      <c r="S1958" s="130" t="s">
        <v>1191</v>
      </c>
      <c r="T1958" s="130" t="s">
        <v>1847</v>
      </c>
      <c r="U1958" s="130">
        <v>0</v>
      </c>
      <c r="V1958" s="131">
        <v>13030</v>
      </c>
      <c r="W1958" s="131">
        <v>13030</v>
      </c>
      <c r="X1958" s="131">
        <v>0</v>
      </c>
      <c r="Y1958" s="131">
        <v>13030</v>
      </c>
      <c r="Z1958" s="131">
        <v>0</v>
      </c>
      <c r="AA1958" s="131">
        <v>13030</v>
      </c>
      <c r="AB1958" s="131">
        <v>0</v>
      </c>
      <c r="AC1958" s="131">
        <v>13030</v>
      </c>
      <c r="AD1958" s="131">
        <v>0</v>
      </c>
      <c r="AE1958" s="132">
        <v>13030</v>
      </c>
    </row>
    <row r="1959" spans="1:31" x14ac:dyDescent="0.2">
      <c r="A1959" s="133">
        <v>312</v>
      </c>
      <c r="B1959" s="133" t="s">
        <v>1841</v>
      </c>
      <c r="C1959" s="133" t="s">
        <v>1199</v>
      </c>
      <c r="D1959" s="133" t="s">
        <v>2115</v>
      </c>
      <c r="E1959" s="133" t="s">
        <v>1201</v>
      </c>
      <c r="F1959" s="133" t="s">
        <v>1117</v>
      </c>
      <c r="G1959" s="133" t="s">
        <v>1202</v>
      </c>
      <c r="H1959" s="133" t="s">
        <v>1216</v>
      </c>
      <c r="I1959" s="130" t="s">
        <v>1242</v>
      </c>
      <c r="J1959" s="130" t="s">
        <v>1243</v>
      </c>
      <c r="K1959" s="130" t="s">
        <v>1303</v>
      </c>
      <c r="L1959" s="130" t="s">
        <v>2169</v>
      </c>
      <c r="M1959" s="130" t="s">
        <v>1925</v>
      </c>
      <c r="N1959" s="130" t="s">
        <v>120</v>
      </c>
      <c r="O1959" s="130" t="s">
        <v>1860</v>
      </c>
      <c r="P1959" s="130" t="s">
        <v>1861</v>
      </c>
      <c r="Q1959" s="130" t="s">
        <v>1127</v>
      </c>
      <c r="R1959" s="130" t="s">
        <v>1191</v>
      </c>
      <c r="S1959" s="130" t="s">
        <v>1191</v>
      </c>
      <c r="T1959" s="130" t="s">
        <v>1847</v>
      </c>
      <c r="U1959" s="130">
        <v>0</v>
      </c>
      <c r="V1959" s="131">
        <v>26970</v>
      </c>
      <c r="W1959" s="131">
        <v>26970</v>
      </c>
      <c r="X1959" s="131">
        <v>26970</v>
      </c>
      <c r="Y1959" s="131">
        <v>0</v>
      </c>
      <c r="Z1959" s="131">
        <v>26970</v>
      </c>
      <c r="AA1959" s="131">
        <v>0</v>
      </c>
      <c r="AB1959" s="131">
        <v>26970</v>
      </c>
      <c r="AC1959" s="131">
        <v>0</v>
      </c>
      <c r="AD1959" s="131">
        <v>0</v>
      </c>
      <c r="AE1959" s="132">
        <v>26970</v>
      </c>
    </row>
    <row r="1960" spans="1:31" x14ac:dyDescent="0.2">
      <c r="A1960" s="133">
        <v>312</v>
      </c>
      <c r="B1960" s="133" t="s">
        <v>1841</v>
      </c>
      <c r="C1960" s="133" t="s">
        <v>1199</v>
      </c>
      <c r="D1960" s="133" t="s">
        <v>2115</v>
      </c>
      <c r="E1960" s="133" t="s">
        <v>1201</v>
      </c>
      <c r="F1960" s="133" t="s">
        <v>1117</v>
      </c>
      <c r="G1960" s="133" t="s">
        <v>1202</v>
      </c>
      <c r="H1960" s="133" t="s">
        <v>1216</v>
      </c>
      <c r="I1960" s="130" t="s">
        <v>1222</v>
      </c>
      <c r="J1960" s="130" t="s">
        <v>1304</v>
      </c>
      <c r="K1960" s="130" t="s">
        <v>1248</v>
      </c>
      <c r="L1960" s="130" t="s">
        <v>2169</v>
      </c>
      <c r="M1960" s="130" t="s">
        <v>1925</v>
      </c>
      <c r="N1960" s="130" t="s">
        <v>120</v>
      </c>
      <c r="O1960" s="130" t="s">
        <v>1860</v>
      </c>
      <c r="P1960" s="130" t="s">
        <v>1861</v>
      </c>
      <c r="Q1960" s="130" t="s">
        <v>1127</v>
      </c>
      <c r="R1960" s="130" t="s">
        <v>1191</v>
      </c>
      <c r="S1960" s="130" t="s">
        <v>1191</v>
      </c>
      <c r="T1960" s="130" t="s">
        <v>1847</v>
      </c>
      <c r="U1960" s="130">
        <v>0</v>
      </c>
      <c r="V1960" s="131">
        <v>0</v>
      </c>
      <c r="W1960" s="131">
        <v>0</v>
      </c>
      <c r="X1960" s="131">
        <v>0</v>
      </c>
      <c r="Y1960" s="131">
        <v>0</v>
      </c>
      <c r="Z1960" s="131">
        <v>0</v>
      </c>
      <c r="AA1960" s="131">
        <v>0</v>
      </c>
      <c r="AB1960" s="131">
        <v>0</v>
      </c>
      <c r="AC1960" s="131">
        <v>0</v>
      </c>
      <c r="AD1960" s="131">
        <v>0</v>
      </c>
      <c r="AE1960" s="132">
        <v>0</v>
      </c>
    </row>
    <row r="1961" spans="1:31" x14ac:dyDescent="0.2">
      <c r="A1961" s="133">
        <v>312</v>
      </c>
      <c r="B1961" s="133" t="s">
        <v>1841</v>
      </c>
      <c r="C1961" s="133" t="s">
        <v>1199</v>
      </c>
      <c r="D1961" s="133" t="s">
        <v>2115</v>
      </c>
      <c r="E1961" s="133" t="s">
        <v>1201</v>
      </c>
      <c r="F1961" s="133" t="s">
        <v>1117</v>
      </c>
      <c r="G1961" s="133" t="s">
        <v>1202</v>
      </c>
      <c r="H1961" s="133" t="s">
        <v>1216</v>
      </c>
      <c r="I1961" s="133" t="s">
        <v>1222</v>
      </c>
      <c r="J1961" s="133" t="s">
        <v>1304</v>
      </c>
      <c r="K1961" s="130" t="s">
        <v>1305</v>
      </c>
      <c r="L1961" s="130" t="s">
        <v>2169</v>
      </c>
      <c r="M1961" s="130" t="s">
        <v>1925</v>
      </c>
      <c r="N1961" s="130" t="s">
        <v>120</v>
      </c>
      <c r="O1961" s="130" t="s">
        <v>1860</v>
      </c>
      <c r="P1961" s="130" t="s">
        <v>1861</v>
      </c>
      <c r="Q1961" s="130" t="s">
        <v>1127</v>
      </c>
      <c r="R1961" s="130" t="s">
        <v>1191</v>
      </c>
      <c r="S1961" s="130" t="s">
        <v>1191</v>
      </c>
      <c r="T1961" s="130" t="s">
        <v>1847</v>
      </c>
      <c r="U1961" s="130">
        <v>0</v>
      </c>
      <c r="V1961" s="131">
        <v>7300</v>
      </c>
      <c r="W1961" s="131">
        <v>7300</v>
      </c>
      <c r="X1961" s="131">
        <v>6750</v>
      </c>
      <c r="Y1961" s="131">
        <v>550</v>
      </c>
      <c r="Z1961" s="131">
        <v>4645.07</v>
      </c>
      <c r="AA1961" s="131">
        <v>2654.9300000000003</v>
      </c>
      <c r="AB1961" s="131">
        <v>4645.07</v>
      </c>
      <c r="AC1961" s="131">
        <v>2654.9300000000003</v>
      </c>
      <c r="AD1961" s="131">
        <v>4645.07</v>
      </c>
      <c r="AE1961" s="132">
        <v>2654.9300000000003</v>
      </c>
    </row>
    <row r="1962" spans="1:31" x14ac:dyDescent="0.2">
      <c r="A1962" s="133">
        <v>312</v>
      </c>
      <c r="B1962" s="133" t="s">
        <v>1841</v>
      </c>
      <c r="C1962" s="133" t="s">
        <v>1199</v>
      </c>
      <c r="D1962" s="133" t="s">
        <v>2115</v>
      </c>
      <c r="E1962" s="133" t="s">
        <v>1201</v>
      </c>
      <c r="F1962" s="133" t="s">
        <v>1117</v>
      </c>
      <c r="G1962" s="133" t="s">
        <v>1202</v>
      </c>
      <c r="H1962" s="133" t="s">
        <v>1216</v>
      </c>
      <c r="I1962" s="133" t="s">
        <v>1222</v>
      </c>
      <c r="J1962" s="130" t="s">
        <v>1245</v>
      </c>
      <c r="K1962" s="130" t="s">
        <v>1246</v>
      </c>
      <c r="L1962" s="130" t="s">
        <v>2169</v>
      </c>
      <c r="M1962" s="130" t="s">
        <v>1925</v>
      </c>
      <c r="N1962" s="130" t="s">
        <v>120</v>
      </c>
      <c r="O1962" s="130" t="s">
        <v>1860</v>
      </c>
      <c r="P1962" s="130" t="s">
        <v>1861</v>
      </c>
      <c r="Q1962" s="130" t="s">
        <v>1127</v>
      </c>
      <c r="R1962" s="130" t="s">
        <v>1191</v>
      </c>
      <c r="S1962" s="130" t="s">
        <v>1191</v>
      </c>
      <c r="T1962" s="130" t="s">
        <v>1847</v>
      </c>
      <c r="U1962" s="130">
        <v>0</v>
      </c>
      <c r="V1962" s="131">
        <v>700</v>
      </c>
      <c r="W1962" s="131">
        <v>700</v>
      </c>
      <c r="X1962" s="131">
        <v>696.5</v>
      </c>
      <c r="Y1962" s="131">
        <v>3.5</v>
      </c>
      <c r="Z1962" s="131">
        <v>696.5</v>
      </c>
      <c r="AA1962" s="131">
        <v>3.5</v>
      </c>
      <c r="AB1962" s="131">
        <v>696.5</v>
      </c>
      <c r="AC1962" s="131">
        <v>3.5</v>
      </c>
      <c r="AD1962" s="131">
        <v>696.5</v>
      </c>
      <c r="AE1962" s="132">
        <v>3.5</v>
      </c>
    </row>
    <row r="1963" spans="1:31" x14ac:dyDescent="0.2">
      <c r="A1963" s="133">
        <v>312</v>
      </c>
      <c r="B1963" s="133" t="s">
        <v>1841</v>
      </c>
      <c r="C1963" s="133" t="s">
        <v>1199</v>
      </c>
      <c r="D1963" s="133" t="s">
        <v>2115</v>
      </c>
      <c r="E1963" s="133" t="s">
        <v>1201</v>
      </c>
      <c r="F1963" s="133" t="s">
        <v>1117</v>
      </c>
      <c r="G1963" s="133" t="s">
        <v>1202</v>
      </c>
      <c r="H1963" s="133" t="s">
        <v>1216</v>
      </c>
      <c r="I1963" s="130" t="s">
        <v>1252</v>
      </c>
      <c r="J1963" s="130" t="s">
        <v>1253</v>
      </c>
      <c r="K1963" s="130" t="s">
        <v>1254</v>
      </c>
      <c r="L1963" s="130" t="s">
        <v>2169</v>
      </c>
      <c r="M1963" s="130" t="s">
        <v>1925</v>
      </c>
      <c r="N1963" s="130" t="s">
        <v>120</v>
      </c>
      <c r="O1963" s="130" t="s">
        <v>1860</v>
      </c>
      <c r="P1963" s="130" t="s">
        <v>1861</v>
      </c>
      <c r="Q1963" s="130" t="s">
        <v>1127</v>
      </c>
      <c r="R1963" s="130" t="s">
        <v>1191</v>
      </c>
      <c r="S1963" s="130" t="s">
        <v>1191</v>
      </c>
      <c r="T1963" s="130" t="s">
        <v>1847</v>
      </c>
      <c r="U1963" s="130">
        <v>0</v>
      </c>
      <c r="V1963" s="131">
        <v>0</v>
      </c>
      <c r="W1963" s="131">
        <v>0</v>
      </c>
      <c r="X1963" s="131">
        <v>0</v>
      </c>
      <c r="Y1963" s="131">
        <v>0</v>
      </c>
      <c r="Z1963" s="131">
        <v>0</v>
      </c>
      <c r="AA1963" s="131">
        <v>0</v>
      </c>
      <c r="AB1963" s="131">
        <v>0</v>
      </c>
      <c r="AC1963" s="131">
        <v>0</v>
      </c>
      <c r="AD1963" s="131">
        <v>0</v>
      </c>
      <c r="AE1963" s="132">
        <v>0</v>
      </c>
    </row>
    <row r="1964" spans="1:31" x14ac:dyDescent="0.2">
      <c r="A1964" s="133">
        <v>312</v>
      </c>
      <c r="B1964" s="133" t="s">
        <v>1841</v>
      </c>
      <c r="C1964" s="133" t="s">
        <v>1199</v>
      </c>
      <c r="D1964" s="133" t="s">
        <v>2115</v>
      </c>
      <c r="E1964" s="133" t="s">
        <v>1201</v>
      </c>
      <c r="F1964" s="133" t="s">
        <v>1117</v>
      </c>
      <c r="G1964" s="133" t="s">
        <v>1202</v>
      </c>
      <c r="H1964" s="130" t="s">
        <v>1203</v>
      </c>
      <c r="I1964" s="130" t="s">
        <v>1224</v>
      </c>
      <c r="J1964" s="130" t="s">
        <v>1257</v>
      </c>
      <c r="K1964" s="130" t="s">
        <v>1258</v>
      </c>
      <c r="L1964" s="130" t="s">
        <v>2169</v>
      </c>
      <c r="M1964" s="130" t="s">
        <v>1925</v>
      </c>
      <c r="N1964" s="130" t="s">
        <v>120</v>
      </c>
      <c r="O1964" s="130" t="s">
        <v>1860</v>
      </c>
      <c r="P1964" s="130" t="s">
        <v>1861</v>
      </c>
      <c r="Q1964" s="130" t="s">
        <v>1127</v>
      </c>
      <c r="R1964" s="130" t="s">
        <v>1191</v>
      </c>
      <c r="S1964" s="130" t="s">
        <v>1191</v>
      </c>
      <c r="T1964" s="130" t="s">
        <v>1847</v>
      </c>
      <c r="U1964" s="130">
        <v>0</v>
      </c>
      <c r="V1964" s="131">
        <v>16000</v>
      </c>
      <c r="W1964" s="131">
        <v>16000</v>
      </c>
      <c r="X1964" s="131">
        <v>5913.9</v>
      </c>
      <c r="Y1964" s="131">
        <v>10086.1</v>
      </c>
      <c r="Z1964" s="131">
        <v>5913.9</v>
      </c>
      <c r="AA1964" s="131">
        <v>10086.1</v>
      </c>
      <c r="AB1964" s="131">
        <v>5913.9</v>
      </c>
      <c r="AC1964" s="131">
        <v>10086.1</v>
      </c>
      <c r="AD1964" s="131">
        <v>5913.9</v>
      </c>
      <c r="AE1964" s="132">
        <v>10086.1</v>
      </c>
    </row>
    <row r="1965" spans="1:31" x14ac:dyDescent="0.2">
      <c r="A1965" s="133">
        <v>312</v>
      </c>
      <c r="B1965" s="133" t="s">
        <v>1841</v>
      </c>
      <c r="C1965" s="133" t="s">
        <v>1199</v>
      </c>
      <c r="D1965" s="133" t="s">
        <v>2115</v>
      </c>
      <c r="E1965" s="133" t="s">
        <v>1201</v>
      </c>
      <c r="F1965" s="133" t="s">
        <v>1117</v>
      </c>
      <c r="G1965" s="133" t="s">
        <v>1202</v>
      </c>
      <c r="H1965" s="133" t="s">
        <v>1203</v>
      </c>
      <c r="I1965" s="133" t="s">
        <v>1224</v>
      </c>
      <c r="J1965" s="133" t="s">
        <v>1257</v>
      </c>
      <c r="K1965" s="130" t="s">
        <v>1259</v>
      </c>
      <c r="L1965" s="130" t="s">
        <v>2169</v>
      </c>
      <c r="M1965" s="130" t="s">
        <v>1925</v>
      </c>
      <c r="N1965" s="130" t="s">
        <v>120</v>
      </c>
      <c r="O1965" s="130" t="s">
        <v>1860</v>
      </c>
      <c r="P1965" s="130" t="s">
        <v>1861</v>
      </c>
      <c r="Q1965" s="130" t="s">
        <v>1127</v>
      </c>
      <c r="R1965" s="130" t="s">
        <v>1191</v>
      </c>
      <c r="S1965" s="130" t="s">
        <v>1191</v>
      </c>
      <c r="T1965" s="130" t="s">
        <v>1847</v>
      </c>
      <c r="U1965" s="130">
        <v>0</v>
      </c>
      <c r="V1965" s="131">
        <v>8000</v>
      </c>
      <c r="W1965" s="131">
        <v>8000</v>
      </c>
      <c r="X1965" s="131">
        <v>1731.18</v>
      </c>
      <c r="Y1965" s="131">
        <v>6268.82</v>
      </c>
      <c r="Z1965" s="131">
        <v>1731.18</v>
      </c>
      <c r="AA1965" s="131">
        <v>6268.82</v>
      </c>
      <c r="AB1965" s="131">
        <v>1731.18</v>
      </c>
      <c r="AC1965" s="131">
        <v>6268.82</v>
      </c>
      <c r="AD1965" s="131">
        <v>1731.18</v>
      </c>
      <c r="AE1965" s="132">
        <v>6268.82</v>
      </c>
    </row>
    <row r="1966" spans="1:31" x14ac:dyDescent="0.2">
      <c r="A1966" s="133">
        <v>312</v>
      </c>
      <c r="B1966" s="133" t="s">
        <v>1841</v>
      </c>
      <c r="C1966" s="133" t="s">
        <v>1199</v>
      </c>
      <c r="D1966" s="133" t="s">
        <v>2115</v>
      </c>
      <c r="E1966" s="133" t="s">
        <v>1201</v>
      </c>
      <c r="F1966" s="133" t="s">
        <v>1117</v>
      </c>
      <c r="G1966" s="133" t="s">
        <v>1202</v>
      </c>
      <c r="H1966" s="133" t="s">
        <v>1203</v>
      </c>
      <c r="I1966" s="133" t="s">
        <v>1224</v>
      </c>
      <c r="J1966" s="130" t="s">
        <v>1529</v>
      </c>
      <c r="K1966" s="130" t="s">
        <v>1531</v>
      </c>
      <c r="L1966" s="130" t="s">
        <v>2169</v>
      </c>
      <c r="M1966" s="130" t="s">
        <v>1925</v>
      </c>
      <c r="N1966" s="130" t="s">
        <v>120</v>
      </c>
      <c r="O1966" s="130" t="s">
        <v>1860</v>
      </c>
      <c r="P1966" s="130" t="s">
        <v>1861</v>
      </c>
      <c r="Q1966" s="130" t="s">
        <v>1127</v>
      </c>
      <c r="R1966" s="130" t="s">
        <v>1191</v>
      </c>
      <c r="S1966" s="130" t="s">
        <v>1191</v>
      </c>
      <c r="T1966" s="130" t="s">
        <v>1847</v>
      </c>
      <c r="U1966" s="130">
        <v>0</v>
      </c>
      <c r="V1966" s="131">
        <v>7770</v>
      </c>
      <c r="W1966" s="131">
        <v>7770</v>
      </c>
      <c r="X1966" s="131">
        <v>7770</v>
      </c>
      <c r="Y1966" s="131">
        <v>0</v>
      </c>
      <c r="Z1966" s="131">
        <v>7770</v>
      </c>
      <c r="AA1966" s="131">
        <v>0</v>
      </c>
      <c r="AB1966" s="131">
        <v>7770</v>
      </c>
      <c r="AC1966" s="131">
        <v>0</v>
      </c>
      <c r="AD1966" s="131">
        <v>1428.69</v>
      </c>
      <c r="AE1966" s="132">
        <v>6341.3099999999995</v>
      </c>
    </row>
    <row r="1967" spans="1:31" x14ac:dyDescent="0.2">
      <c r="A1967" s="133">
        <v>312</v>
      </c>
      <c r="B1967" s="133" t="s">
        <v>1841</v>
      </c>
      <c r="C1967" s="133" t="s">
        <v>1199</v>
      </c>
      <c r="D1967" s="133" t="s">
        <v>2115</v>
      </c>
      <c r="E1967" s="133" t="s">
        <v>1201</v>
      </c>
      <c r="F1967" s="133" t="s">
        <v>1117</v>
      </c>
      <c r="G1967" s="133" t="s">
        <v>1202</v>
      </c>
      <c r="H1967" s="133" t="s">
        <v>1203</v>
      </c>
      <c r="I1967" s="130" t="s">
        <v>1264</v>
      </c>
      <c r="J1967" s="130" t="s">
        <v>1267</v>
      </c>
      <c r="K1967" s="130" t="s">
        <v>1268</v>
      </c>
      <c r="L1967" s="130" t="s">
        <v>2169</v>
      </c>
      <c r="M1967" s="130" t="s">
        <v>1925</v>
      </c>
      <c r="N1967" s="130" t="s">
        <v>120</v>
      </c>
      <c r="O1967" s="130" t="s">
        <v>1860</v>
      </c>
      <c r="P1967" s="130" t="s">
        <v>1861</v>
      </c>
      <c r="Q1967" s="130" t="s">
        <v>1127</v>
      </c>
      <c r="R1967" s="130" t="s">
        <v>1191</v>
      </c>
      <c r="S1967" s="130" t="s">
        <v>1191</v>
      </c>
      <c r="T1967" s="130" t="s">
        <v>1847</v>
      </c>
      <c r="U1967" s="130">
        <v>0</v>
      </c>
      <c r="V1967" s="131">
        <v>56230</v>
      </c>
      <c r="W1967" s="131">
        <v>56230</v>
      </c>
      <c r="X1967" s="131">
        <v>800</v>
      </c>
      <c r="Y1967" s="131">
        <v>55430</v>
      </c>
      <c r="Z1967" s="131">
        <v>800</v>
      </c>
      <c r="AA1967" s="131">
        <v>55430</v>
      </c>
      <c r="AB1967" s="131">
        <v>800</v>
      </c>
      <c r="AC1967" s="131">
        <v>55430</v>
      </c>
      <c r="AD1967" s="131">
        <v>800</v>
      </c>
      <c r="AE1967" s="132">
        <v>55430</v>
      </c>
    </row>
    <row r="1968" spans="1:31" x14ac:dyDescent="0.2">
      <c r="A1968" s="133">
        <v>312</v>
      </c>
      <c r="B1968" s="133" t="s">
        <v>1841</v>
      </c>
      <c r="C1968" s="133" t="s">
        <v>1199</v>
      </c>
      <c r="D1968" s="133" t="s">
        <v>2115</v>
      </c>
      <c r="E1968" s="133" t="s">
        <v>1201</v>
      </c>
      <c r="F1968" s="133" t="s">
        <v>1117</v>
      </c>
      <c r="G1968" s="133" t="s">
        <v>1202</v>
      </c>
      <c r="H1968" s="133" t="s">
        <v>1203</v>
      </c>
      <c r="I1968" s="130" t="s">
        <v>1315</v>
      </c>
      <c r="J1968" s="130" t="s">
        <v>1316</v>
      </c>
      <c r="K1968" s="130" t="s">
        <v>1533</v>
      </c>
      <c r="L1968" s="130" t="s">
        <v>2169</v>
      </c>
      <c r="M1968" s="130" t="s">
        <v>1925</v>
      </c>
      <c r="N1968" s="130" t="s">
        <v>120</v>
      </c>
      <c r="O1968" s="130" t="s">
        <v>1860</v>
      </c>
      <c r="P1968" s="130" t="s">
        <v>1861</v>
      </c>
      <c r="Q1968" s="130" t="s">
        <v>1127</v>
      </c>
      <c r="R1968" s="130" t="s">
        <v>1191</v>
      </c>
      <c r="S1968" s="130" t="s">
        <v>1191</v>
      </c>
      <c r="T1968" s="130" t="s">
        <v>1847</v>
      </c>
      <c r="U1968" s="130">
        <v>0</v>
      </c>
      <c r="V1968" s="131">
        <v>40000</v>
      </c>
      <c r="W1968" s="131">
        <v>40000</v>
      </c>
      <c r="X1968" s="131">
        <v>40000</v>
      </c>
      <c r="Y1968" s="131">
        <v>0</v>
      </c>
      <c r="Z1968" s="131">
        <v>40000</v>
      </c>
      <c r="AA1968" s="131">
        <v>0</v>
      </c>
      <c r="AB1968" s="131">
        <v>40000</v>
      </c>
      <c r="AC1968" s="131">
        <v>0</v>
      </c>
      <c r="AD1968" s="131">
        <v>20000</v>
      </c>
      <c r="AE1968" s="132">
        <v>20000</v>
      </c>
    </row>
    <row r="1969" spans="1:31" x14ac:dyDescent="0.2">
      <c r="A1969" s="133">
        <v>312</v>
      </c>
      <c r="B1969" s="133" t="s">
        <v>1841</v>
      </c>
      <c r="C1969" s="133" t="s">
        <v>1199</v>
      </c>
      <c r="D1969" s="133" t="s">
        <v>2115</v>
      </c>
      <c r="E1969" s="133" t="s">
        <v>1201</v>
      </c>
      <c r="F1969" s="133" t="s">
        <v>1117</v>
      </c>
      <c r="G1969" s="133" t="s">
        <v>1202</v>
      </c>
      <c r="H1969" s="133" t="s">
        <v>1203</v>
      </c>
      <c r="I1969" s="133" t="s">
        <v>1315</v>
      </c>
      <c r="J1969" s="133" t="s">
        <v>1316</v>
      </c>
      <c r="K1969" s="130" t="s">
        <v>1582</v>
      </c>
      <c r="L1969" s="130" t="s">
        <v>2169</v>
      </c>
      <c r="M1969" s="130" t="s">
        <v>1925</v>
      </c>
      <c r="N1969" s="130" t="s">
        <v>120</v>
      </c>
      <c r="O1969" s="130" t="s">
        <v>1860</v>
      </c>
      <c r="P1969" s="130" t="s">
        <v>1861</v>
      </c>
      <c r="Q1969" s="130" t="s">
        <v>1127</v>
      </c>
      <c r="R1969" s="130" t="s">
        <v>1191</v>
      </c>
      <c r="S1969" s="130" t="s">
        <v>1191</v>
      </c>
      <c r="T1969" s="130" t="s">
        <v>1847</v>
      </c>
      <c r="U1969" s="130">
        <v>0</v>
      </c>
      <c r="V1969" s="131">
        <v>43800</v>
      </c>
      <c r="W1969" s="131">
        <v>43800</v>
      </c>
      <c r="X1969" s="131">
        <v>43305</v>
      </c>
      <c r="Y1969" s="131">
        <v>495</v>
      </c>
      <c r="Z1969" s="131">
        <v>43305</v>
      </c>
      <c r="AA1969" s="131">
        <v>495</v>
      </c>
      <c r="AB1969" s="131">
        <v>43305</v>
      </c>
      <c r="AC1969" s="131">
        <v>495</v>
      </c>
      <c r="AD1969" s="131">
        <v>0</v>
      </c>
      <c r="AE1969" s="132">
        <v>43800</v>
      </c>
    </row>
    <row r="1970" spans="1:31" x14ac:dyDescent="0.2">
      <c r="A1970" s="133">
        <v>312</v>
      </c>
      <c r="B1970" s="133" t="s">
        <v>1841</v>
      </c>
      <c r="C1970" s="133" t="s">
        <v>1199</v>
      </c>
      <c r="D1970" s="133" t="s">
        <v>2115</v>
      </c>
      <c r="E1970" s="133" t="s">
        <v>1201</v>
      </c>
      <c r="F1970" s="133" t="s">
        <v>1117</v>
      </c>
      <c r="G1970" s="133" t="s">
        <v>1202</v>
      </c>
      <c r="H1970" s="133" t="s">
        <v>1203</v>
      </c>
      <c r="I1970" s="130" t="s">
        <v>1209</v>
      </c>
      <c r="J1970" s="130" t="s">
        <v>1210</v>
      </c>
      <c r="K1970" s="130" t="s">
        <v>1211</v>
      </c>
      <c r="L1970" s="130" t="s">
        <v>2169</v>
      </c>
      <c r="M1970" s="130" t="s">
        <v>1925</v>
      </c>
      <c r="N1970" s="130" t="s">
        <v>120</v>
      </c>
      <c r="O1970" s="130" t="s">
        <v>1860</v>
      </c>
      <c r="P1970" s="130" t="s">
        <v>1861</v>
      </c>
      <c r="Q1970" s="130" t="s">
        <v>1127</v>
      </c>
      <c r="R1970" s="130" t="s">
        <v>1191</v>
      </c>
      <c r="S1970" s="130" t="s">
        <v>1191</v>
      </c>
      <c r="T1970" s="130" t="s">
        <v>1847</v>
      </c>
      <c r="U1970" s="130">
        <v>0</v>
      </c>
      <c r="V1970" s="131">
        <v>0</v>
      </c>
      <c r="W1970" s="131">
        <v>0</v>
      </c>
      <c r="X1970" s="131">
        <v>0</v>
      </c>
      <c r="Y1970" s="131">
        <v>0</v>
      </c>
      <c r="Z1970" s="131">
        <v>0</v>
      </c>
      <c r="AA1970" s="131">
        <v>0</v>
      </c>
      <c r="AB1970" s="131">
        <v>0</v>
      </c>
      <c r="AC1970" s="131">
        <v>0</v>
      </c>
      <c r="AD1970" s="131">
        <v>0</v>
      </c>
      <c r="AE1970" s="132">
        <v>0</v>
      </c>
    </row>
    <row r="1971" spans="1:31" x14ac:dyDescent="0.2">
      <c r="A1971" s="130">
        <v>313</v>
      </c>
      <c r="B1971" s="130" t="s">
        <v>2170</v>
      </c>
      <c r="C1971" s="130" t="s">
        <v>1147</v>
      </c>
      <c r="D1971" s="130" t="s">
        <v>2017</v>
      </c>
      <c r="E1971" s="130" t="s">
        <v>1116</v>
      </c>
      <c r="F1971" s="130" t="s">
        <v>1117</v>
      </c>
      <c r="G1971" s="130" t="s">
        <v>1118</v>
      </c>
      <c r="H1971" s="130" t="s">
        <v>1119</v>
      </c>
      <c r="I1971" s="130" t="s">
        <v>1120</v>
      </c>
      <c r="J1971" s="130" t="s">
        <v>1121</v>
      </c>
      <c r="K1971" s="130" t="s">
        <v>1122</v>
      </c>
      <c r="L1971" s="130" t="s">
        <v>2171</v>
      </c>
      <c r="M1971" s="130" t="s">
        <v>1925</v>
      </c>
      <c r="N1971" s="130" t="s">
        <v>152</v>
      </c>
      <c r="O1971" s="130" t="s">
        <v>1125</v>
      </c>
      <c r="P1971" s="130" t="s">
        <v>2019</v>
      </c>
      <c r="Q1971" s="130" t="s">
        <v>1127</v>
      </c>
      <c r="R1971" s="130" t="s">
        <v>1191</v>
      </c>
      <c r="S1971" s="130" t="s">
        <v>1191</v>
      </c>
      <c r="T1971" s="130" t="s">
        <v>1188</v>
      </c>
      <c r="U1971" s="130">
        <v>0</v>
      </c>
      <c r="V1971" s="131">
        <v>0</v>
      </c>
      <c r="W1971" s="131">
        <v>0</v>
      </c>
      <c r="X1971" s="131">
        <v>0</v>
      </c>
      <c r="Y1971" s="131">
        <v>0</v>
      </c>
      <c r="Z1971" s="131">
        <v>0</v>
      </c>
      <c r="AA1971" s="131">
        <v>0</v>
      </c>
      <c r="AB1971" s="131">
        <v>0</v>
      </c>
      <c r="AC1971" s="131">
        <v>0</v>
      </c>
      <c r="AD1971" s="131">
        <v>0</v>
      </c>
      <c r="AE1971" s="132">
        <v>0</v>
      </c>
    </row>
    <row r="1972" spans="1:31" x14ac:dyDescent="0.2">
      <c r="A1972" s="133">
        <v>313</v>
      </c>
      <c r="B1972" s="133" t="s">
        <v>2170</v>
      </c>
      <c r="C1972" s="133" t="s">
        <v>1147</v>
      </c>
      <c r="D1972" s="133" t="s">
        <v>2017</v>
      </c>
      <c r="E1972" s="133" t="s">
        <v>1116</v>
      </c>
      <c r="F1972" s="133" t="s">
        <v>1117</v>
      </c>
      <c r="G1972" s="133" t="s">
        <v>1118</v>
      </c>
      <c r="H1972" s="130" t="s">
        <v>1149</v>
      </c>
      <c r="I1972" s="130" t="s">
        <v>1182</v>
      </c>
      <c r="J1972" s="130" t="s">
        <v>1942</v>
      </c>
      <c r="K1972" s="130" t="s">
        <v>1944</v>
      </c>
      <c r="L1972" s="130" t="s">
        <v>2171</v>
      </c>
      <c r="M1972" s="130" t="s">
        <v>1925</v>
      </c>
      <c r="N1972" s="130" t="s">
        <v>152</v>
      </c>
      <c r="O1972" s="130" t="s">
        <v>1125</v>
      </c>
      <c r="P1972" s="130" t="s">
        <v>2019</v>
      </c>
      <c r="Q1972" s="130" t="s">
        <v>1127</v>
      </c>
      <c r="R1972" s="130" t="s">
        <v>1191</v>
      </c>
      <c r="S1972" s="130" t="s">
        <v>1191</v>
      </c>
      <c r="T1972" s="130" t="s">
        <v>1188</v>
      </c>
      <c r="U1972" s="130">
        <v>0</v>
      </c>
      <c r="V1972" s="131">
        <v>7055027</v>
      </c>
      <c r="W1972" s="131">
        <v>7055027</v>
      </c>
      <c r="X1972" s="131">
        <v>5095000</v>
      </c>
      <c r="Y1972" s="131">
        <v>1960027</v>
      </c>
      <c r="Z1972" s="131">
        <v>5089000</v>
      </c>
      <c r="AA1972" s="131">
        <v>1966027</v>
      </c>
      <c r="AB1972" s="131">
        <v>5089000</v>
      </c>
      <c r="AC1972" s="131">
        <v>1966027</v>
      </c>
      <c r="AD1972" s="131">
        <v>5089000</v>
      </c>
      <c r="AE1972" s="132">
        <v>1966027</v>
      </c>
    </row>
    <row r="1973" spans="1:31" x14ac:dyDescent="0.2">
      <c r="A1973" s="133">
        <v>313</v>
      </c>
      <c r="B1973" s="133" t="s">
        <v>2170</v>
      </c>
      <c r="C1973" s="133" t="s">
        <v>1147</v>
      </c>
      <c r="D1973" s="133" t="s">
        <v>2017</v>
      </c>
      <c r="E1973" s="133" t="s">
        <v>1116</v>
      </c>
      <c r="F1973" s="133" t="s">
        <v>1117</v>
      </c>
      <c r="G1973" s="133" t="s">
        <v>1118</v>
      </c>
      <c r="H1973" s="130" t="s">
        <v>1159</v>
      </c>
      <c r="I1973" s="130" t="s">
        <v>1160</v>
      </c>
      <c r="J1973" s="130" t="s">
        <v>1163</v>
      </c>
      <c r="K1973" s="130" t="s">
        <v>1164</v>
      </c>
      <c r="L1973" s="130" t="s">
        <v>2171</v>
      </c>
      <c r="M1973" s="130" t="s">
        <v>1925</v>
      </c>
      <c r="N1973" s="130" t="s">
        <v>152</v>
      </c>
      <c r="O1973" s="130" t="s">
        <v>1125</v>
      </c>
      <c r="P1973" s="130" t="s">
        <v>2019</v>
      </c>
      <c r="Q1973" s="130" t="s">
        <v>1127</v>
      </c>
      <c r="R1973" s="130" t="s">
        <v>1191</v>
      </c>
      <c r="S1973" s="130" t="s">
        <v>1191</v>
      </c>
      <c r="T1973" s="130" t="s">
        <v>1188</v>
      </c>
      <c r="U1973" s="130">
        <v>0</v>
      </c>
      <c r="V1973" s="131">
        <v>87300</v>
      </c>
      <c r="W1973" s="131">
        <v>87300</v>
      </c>
      <c r="X1973" s="131">
        <v>87300</v>
      </c>
      <c r="Y1973" s="131">
        <v>0</v>
      </c>
      <c r="Z1973" s="131">
        <v>87300</v>
      </c>
      <c r="AA1973" s="131">
        <v>0</v>
      </c>
      <c r="AB1973" s="131">
        <v>69935.739999999991</v>
      </c>
      <c r="AC1973" s="131">
        <v>17364.260000000009</v>
      </c>
      <c r="AD1973" s="131">
        <v>69935.739999999991</v>
      </c>
      <c r="AE1973" s="132">
        <v>17364.260000000009</v>
      </c>
    </row>
    <row r="1974" spans="1:31" x14ac:dyDescent="0.2">
      <c r="A1974" s="133">
        <v>313</v>
      </c>
      <c r="B1974" s="133" t="s">
        <v>2170</v>
      </c>
      <c r="C1974" s="133" t="s">
        <v>1147</v>
      </c>
      <c r="D1974" s="133" t="s">
        <v>2017</v>
      </c>
      <c r="E1974" s="133" t="s">
        <v>1116</v>
      </c>
      <c r="F1974" s="133" t="s">
        <v>1117</v>
      </c>
      <c r="G1974" s="133" t="s">
        <v>1118</v>
      </c>
      <c r="H1974" s="133" t="s">
        <v>1159</v>
      </c>
      <c r="I1974" s="133" t="s">
        <v>1160</v>
      </c>
      <c r="J1974" s="133" t="s">
        <v>1163</v>
      </c>
      <c r="K1974" s="130" t="s">
        <v>1165</v>
      </c>
      <c r="L1974" s="130" t="s">
        <v>2171</v>
      </c>
      <c r="M1974" s="130" t="s">
        <v>1925</v>
      </c>
      <c r="N1974" s="130" t="s">
        <v>152</v>
      </c>
      <c r="O1974" s="130" t="s">
        <v>1125</v>
      </c>
      <c r="P1974" s="130" t="s">
        <v>2019</v>
      </c>
      <c r="Q1974" s="130" t="s">
        <v>1127</v>
      </c>
      <c r="R1974" s="130" t="s">
        <v>1191</v>
      </c>
      <c r="S1974" s="130" t="s">
        <v>1191</v>
      </c>
      <c r="T1974" s="130" t="s">
        <v>1188</v>
      </c>
      <c r="U1974" s="130">
        <v>0</v>
      </c>
      <c r="V1974" s="131">
        <v>10180</v>
      </c>
      <c r="W1974" s="131">
        <v>10180</v>
      </c>
      <c r="X1974" s="131">
        <v>8410</v>
      </c>
      <c r="Y1974" s="131">
        <v>1770</v>
      </c>
      <c r="Z1974" s="131">
        <v>7647.92</v>
      </c>
      <c r="AA1974" s="131">
        <v>2532.08</v>
      </c>
      <c r="AB1974" s="131">
        <v>7647.92</v>
      </c>
      <c r="AC1974" s="131">
        <v>2532.08</v>
      </c>
      <c r="AD1974" s="131">
        <v>6100</v>
      </c>
      <c r="AE1974" s="132">
        <v>4080</v>
      </c>
    </row>
    <row r="1975" spans="1:31" x14ac:dyDescent="0.2">
      <c r="A1975" s="133">
        <v>313</v>
      </c>
      <c r="B1975" s="133" t="s">
        <v>2170</v>
      </c>
      <c r="C1975" s="133" t="s">
        <v>1147</v>
      </c>
      <c r="D1975" s="133" t="s">
        <v>2017</v>
      </c>
      <c r="E1975" s="133" t="s">
        <v>1116</v>
      </c>
      <c r="F1975" s="133" t="s">
        <v>1117</v>
      </c>
      <c r="G1975" s="133" t="s">
        <v>1118</v>
      </c>
      <c r="H1975" s="133" t="s">
        <v>1159</v>
      </c>
      <c r="I1975" s="133" t="s">
        <v>1160</v>
      </c>
      <c r="J1975" s="133" t="s">
        <v>1163</v>
      </c>
      <c r="K1975" s="130" t="s">
        <v>1162</v>
      </c>
      <c r="L1975" s="130" t="s">
        <v>2171</v>
      </c>
      <c r="M1975" s="130" t="s">
        <v>1925</v>
      </c>
      <c r="N1975" s="130" t="s">
        <v>152</v>
      </c>
      <c r="O1975" s="130" t="s">
        <v>1125</v>
      </c>
      <c r="P1975" s="130" t="s">
        <v>2019</v>
      </c>
      <c r="Q1975" s="130" t="s">
        <v>1127</v>
      </c>
      <c r="R1975" s="130" t="s">
        <v>1191</v>
      </c>
      <c r="S1975" s="130" t="s">
        <v>1191</v>
      </c>
      <c r="T1975" s="130" t="s">
        <v>1188</v>
      </c>
      <c r="U1975" s="130">
        <v>0</v>
      </c>
      <c r="V1975" s="131">
        <v>15460</v>
      </c>
      <c r="W1975" s="131">
        <v>15460</v>
      </c>
      <c r="X1975" s="131">
        <v>15460</v>
      </c>
      <c r="Y1975" s="131">
        <v>0</v>
      </c>
      <c r="Z1975" s="131">
        <v>15460</v>
      </c>
      <c r="AA1975" s="131">
        <v>0</v>
      </c>
      <c r="AB1975" s="131">
        <v>15460</v>
      </c>
      <c r="AC1975" s="131">
        <v>0</v>
      </c>
      <c r="AD1975" s="131">
        <v>5370</v>
      </c>
      <c r="AE1975" s="132">
        <v>10090</v>
      </c>
    </row>
    <row r="1976" spans="1:31" x14ac:dyDescent="0.2">
      <c r="A1976" s="133">
        <v>313</v>
      </c>
      <c r="B1976" s="133" t="s">
        <v>2170</v>
      </c>
      <c r="C1976" s="133" t="s">
        <v>1147</v>
      </c>
      <c r="D1976" s="133" t="s">
        <v>2017</v>
      </c>
      <c r="E1976" s="133" t="s">
        <v>1116</v>
      </c>
      <c r="F1976" s="133" t="s">
        <v>1117</v>
      </c>
      <c r="G1976" s="133" t="s">
        <v>1118</v>
      </c>
      <c r="H1976" s="130" t="s">
        <v>1133</v>
      </c>
      <c r="I1976" s="130" t="s">
        <v>1134</v>
      </c>
      <c r="J1976" s="130" t="s">
        <v>1135</v>
      </c>
      <c r="K1976" s="130" t="s">
        <v>1178</v>
      </c>
      <c r="L1976" s="130" t="s">
        <v>2171</v>
      </c>
      <c r="M1976" s="130" t="s">
        <v>1925</v>
      </c>
      <c r="N1976" s="130" t="s">
        <v>152</v>
      </c>
      <c r="O1976" s="130" t="s">
        <v>1125</v>
      </c>
      <c r="P1976" s="130" t="s">
        <v>2019</v>
      </c>
      <c r="Q1976" s="130" t="s">
        <v>1127</v>
      </c>
      <c r="R1976" s="130" t="s">
        <v>1191</v>
      </c>
      <c r="S1976" s="130" t="s">
        <v>1191</v>
      </c>
      <c r="T1976" s="130" t="s">
        <v>1188</v>
      </c>
      <c r="U1976" s="130">
        <v>0</v>
      </c>
      <c r="V1976" s="131">
        <v>57126</v>
      </c>
      <c r="W1976" s="131">
        <v>57126</v>
      </c>
      <c r="X1976" s="131">
        <v>57126</v>
      </c>
      <c r="Y1976" s="131">
        <v>0</v>
      </c>
      <c r="Z1976" s="131">
        <v>57126</v>
      </c>
      <c r="AA1976" s="131">
        <v>0</v>
      </c>
      <c r="AB1976" s="131">
        <v>48531.39</v>
      </c>
      <c r="AC1976" s="131">
        <v>8594.61</v>
      </c>
      <c r="AD1976" s="131">
        <v>48531.39</v>
      </c>
      <c r="AE1976" s="132">
        <v>8594.61</v>
      </c>
    </row>
    <row r="1977" spans="1:31" x14ac:dyDescent="0.2">
      <c r="A1977" s="133">
        <v>313</v>
      </c>
      <c r="B1977" s="133" t="s">
        <v>2170</v>
      </c>
      <c r="C1977" s="133" t="s">
        <v>1147</v>
      </c>
      <c r="D1977" s="133" t="s">
        <v>2017</v>
      </c>
      <c r="E1977" s="133" t="s">
        <v>1116</v>
      </c>
      <c r="F1977" s="133" t="s">
        <v>1117</v>
      </c>
      <c r="G1977" s="133" t="s">
        <v>1118</v>
      </c>
      <c r="H1977" s="133" t="s">
        <v>1133</v>
      </c>
      <c r="I1977" s="133" t="s">
        <v>1134</v>
      </c>
      <c r="J1977" s="133" t="s">
        <v>1135</v>
      </c>
      <c r="K1977" s="130" t="s">
        <v>1179</v>
      </c>
      <c r="L1977" s="130" t="s">
        <v>2171</v>
      </c>
      <c r="M1977" s="130" t="s">
        <v>1925</v>
      </c>
      <c r="N1977" s="130" t="s">
        <v>152</v>
      </c>
      <c r="O1977" s="130" t="s">
        <v>1125</v>
      </c>
      <c r="P1977" s="130" t="s">
        <v>2019</v>
      </c>
      <c r="Q1977" s="130" t="s">
        <v>1127</v>
      </c>
      <c r="R1977" s="130" t="s">
        <v>1191</v>
      </c>
      <c r="S1977" s="130" t="s">
        <v>1191</v>
      </c>
      <c r="T1977" s="130" t="s">
        <v>1188</v>
      </c>
      <c r="U1977" s="130">
        <v>0</v>
      </c>
      <c r="V1977" s="131">
        <v>0</v>
      </c>
      <c r="W1977" s="131">
        <v>0</v>
      </c>
      <c r="X1977" s="131">
        <v>0</v>
      </c>
      <c r="Y1977" s="131">
        <v>0</v>
      </c>
      <c r="Z1977" s="131">
        <v>0</v>
      </c>
      <c r="AA1977" s="131">
        <v>0</v>
      </c>
      <c r="AB1977" s="131">
        <v>0</v>
      </c>
      <c r="AC1977" s="131">
        <v>0</v>
      </c>
      <c r="AD1977" s="131">
        <v>0</v>
      </c>
      <c r="AE1977" s="132">
        <v>0</v>
      </c>
    </row>
    <row r="1978" spans="1:31" x14ac:dyDescent="0.2">
      <c r="A1978" s="133">
        <v>313</v>
      </c>
      <c r="B1978" s="133" t="s">
        <v>2170</v>
      </c>
      <c r="C1978" s="133" t="s">
        <v>1147</v>
      </c>
      <c r="D1978" s="133" t="s">
        <v>2017</v>
      </c>
      <c r="E1978" s="133" t="s">
        <v>1116</v>
      </c>
      <c r="F1978" s="133" t="s">
        <v>1117</v>
      </c>
      <c r="G1978" s="133" t="s">
        <v>1118</v>
      </c>
      <c r="H1978" s="133" t="s">
        <v>1133</v>
      </c>
      <c r="I1978" s="133" t="s">
        <v>1134</v>
      </c>
      <c r="J1978" s="133" t="s">
        <v>1135</v>
      </c>
      <c r="K1978" s="130" t="s">
        <v>1144</v>
      </c>
      <c r="L1978" s="130" t="s">
        <v>2171</v>
      </c>
      <c r="M1978" s="130" t="s">
        <v>1925</v>
      </c>
      <c r="N1978" s="130" t="s">
        <v>152</v>
      </c>
      <c r="O1978" s="130" t="s">
        <v>1125</v>
      </c>
      <c r="P1978" s="130" t="s">
        <v>2019</v>
      </c>
      <c r="Q1978" s="130" t="s">
        <v>1127</v>
      </c>
      <c r="R1978" s="130" t="s">
        <v>1191</v>
      </c>
      <c r="S1978" s="130" t="s">
        <v>1191</v>
      </c>
      <c r="T1978" s="130" t="s">
        <v>1188</v>
      </c>
      <c r="U1978" s="130">
        <v>0</v>
      </c>
      <c r="V1978" s="131">
        <v>8905</v>
      </c>
      <c r="W1978" s="131">
        <v>8905</v>
      </c>
      <c r="X1978" s="131">
        <v>8905</v>
      </c>
      <c r="Y1978" s="131">
        <v>0</v>
      </c>
      <c r="Z1978" s="131">
        <v>8905</v>
      </c>
      <c r="AA1978" s="131">
        <v>0</v>
      </c>
      <c r="AB1978" s="131">
        <v>8905</v>
      </c>
      <c r="AC1978" s="131">
        <v>0</v>
      </c>
      <c r="AD1978" s="131">
        <v>0</v>
      </c>
      <c r="AE1978" s="132">
        <v>8905</v>
      </c>
    </row>
    <row r="1979" spans="1:31" x14ac:dyDescent="0.2">
      <c r="A1979" s="130">
        <v>314</v>
      </c>
      <c r="B1979" s="130" t="s">
        <v>2172</v>
      </c>
      <c r="C1979" s="130" t="s">
        <v>1147</v>
      </c>
      <c r="D1979" s="130" t="s">
        <v>2017</v>
      </c>
      <c r="E1979" s="130" t="s">
        <v>1116</v>
      </c>
      <c r="F1979" s="130" t="s">
        <v>1117</v>
      </c>
      <c r="G1979" s="130" t="s">
        <v>1118</v>
      </c>
      <c r="H1979" s="130" t="s">
        <v>1119</v>
      </c>
      <c r="I1979" s="130" t="s">
        <v>1120</v>
      </c>
      <c r="J1979" s="130" t="s">
        <v>1121</v>
      </c>
      <c r="K1979" s="130" t="s">
        <v>1122</v>
      </c>
      <c r="L1979" s="130" t="s">
        <v>2173</v>
      </c>
      <c r="M1979" s="130" t="s">
        <v>1925</v>
      </c>
      <c r="N1979" s="130" t="s">
        <v>152</v>
      </c>
      <c r="O1979" s="130" t="s">
        <v>1125</v>
      </c>
      <c r="P1979" s="130" t="s">
        <v>2019</v>
      </c>
      <c r="Q1979" s="130" t="s">
        <v>1127</v>
      </c>
      <c r="R1979" s="130" t="s">
        <v>1128</v>
      </c>
      <c r="S1979" s="130" t="s">
        <v>1129</v>
      </c>
      <c r="T1979" s="130" t="s">
        <v>1188</v>
      </c>
      <c r="U1979" s="130">
        <v>0</v>
      </c>
      <c r="V1979" s="131">
        <v>0</v>
      </c>
      <c r="W1979" s="131">
        <v>0</v>
      </c>
      <c r="X1979" s="131">
        <v>0</v>
      </c>
      <c r="Y1979" s="131">
        <v>0</v>
      </c>
      <c r="Z1979" s="131">
        <v>0</v>
      </c>
      <c r="AA1979" s="131">
        <v>0</v>
      </c>
      <c r="AB1979" s="131">
        <v>0</v>
      </c>
      <c r="AC1979" s="131">
        <v>0</v>
      </c>
      <c r="AD1979" s="131">
        <v>0</v>
      </c>
      <c r="AE1979" s="132">
        <v>0</v>
      </c>
    </row>
    <row r="1980" spans="1:31" x14ac:dyDescent="0.2">
      <c r="A1980" s="133">
        <v>314</v>
      </c>
      <c r="B1980" s="133" t="s">
        <v>2172</v>
      </c>
      <c r="C1980" s="133" t="s">
        <v>1147</v>
      </c>
      <c r="D1980" s="133" t="s">
        <v>2017</v>
      </c>
      <c r="E1980" s="133" t="s">
        <v>1116</v>
      </c>
      <c r="F1980" s="133" t="s">
        <v>1117</v>
      </c>
      <c r="G1980" s="133" t="s">
        <v>1118</v>
      </c>
      <c r="H1980" s="130" t="s">
        <v>1149</v>
      </c>
      <c r="I1980" s="130" t="s">
        <v>1182</v>
      </c>
      <c r="J1980" s="130" t="s">
        <v>1942</v>
      </c>
      <c r="K1980" s="130" t="s">
        <v>1944</v>
      </c>
      <c r="L1980" s="130" t="s">
        <v>2173</v>
      </c>
      <c r="M1980" s="130" t="s">
        <v>1925</v>
      </c>
      <c r="N1980" s="130" t="s">
        <v>152</v>
      </c>
      <c r="O1980" s="130" t="s">
        <v>1125</v>
      </c>
      <c r="P1980" s="130" t="s">
        <v>2019</v>
      </c>
      <c r="Q1980" s="130" t="s">
        <v>1127</v>
      </c>
      <c r="R1980" s="130" t="s">
        <v>1128</v>
      </c>
      <c r="S1980" s="130" t="s">
        <v>1129</v>
      </c>
      <c r="T1980" s="130" t="s">
        <v>1188</v>
      </c>
      <c r="U1980" s="130">
        <v>0</v>
      </c>
      <c r="V1980" s="131">
        <v>3245000</v>
      </c>
      <c r="W1980" s="131">
        <v>3245000</v>
      </c>
      <c r="X1980" s="131">
        <v>3210500</v>
      </c>
      <c r="Y1980" s="131">
        <v>34500</v>
      </c>
      <c r="Z1980" s="131">
        <v>2908500</v>
      </c>
      <c r="AA1980" s="131">
        <v>336500</v>
      </c>
      <c r="AB1980" s="131">
        <v>2908500</v>
      </c>
      <c r="AC1980" s="131">
        <v>336500</v>
      </c>
      <c r="AD1980" s="131">
        <v>2908500</v>
      </c>
      <c r="AE1980" s="132">
        <v>336500</v>
      </c>
    </row>
    <row r="1981" spans="1:31" x14ac:dyDescent="0.2">
      <c r="A1981" s="133">
        <v>314</v>
      </c>
      <c r="B1981" s="133" t="s">
        <v>2172</v>
      </c>
      <c r="C1981" s="133" t="s">
        <v>1147</v>
      </c>
      <c r="D1981" s="133" t="s">
        <v>2017</v>
      </c>
      <c r="E1981" s="133" t="s">
        <v>1116</v>
      </c>
      <c r="F1981" s="133" t="s">
        <v>1117</v>
      </c>
      <c r="G1981" s="133" t="s">
        <v>1118</v>
      </c>
      <c r="H1981" s="130" t="s">
        <v>1159</v>
      </c>
      <c r="I1981" s="130" t="s">
        <v>1160</v>
      </c>
      <c r="J1981" s="130" t="s">
        <v>1163</v>
      </c>
      <c r="K1981" s="130" t="s">
        <v>1164</v>
      </c>
      <c r="L1981" s="130" t="s">
        <v>2173</v>
      </c>
      <c r="M1981" s="130" t="s">
        <v>1925</v>
      </c>
      <c r="N1981" s="130" t="s">
        <v>152</v>
      </c>
      <c r="O1981" s="130" t="s">
        <v>1125</v>
      </c>
      <c r="P1981" s="130" t="s">
        <v>2019</v>
      </c>
      <c r="Q1981" s="130" t="s">
        <v>1127</v>
      </c>
      <c r="R1981" s="130" t="s">
        <v>1128</v>
      </c>
      <c r="S1981" s="130" t="s">
        <v>1129</v>
      </c>
      <c r="T1981" s="130" t="s">
        <v>1188</v>
      </c>
      <c r="U1981" s="130">
        <v>0</v>
      </c>
      <c r="V1981" s="131">
        <v>112488</v>
      </c>
      <c r="W1981" s="131">
        <v>112488</v>
      </c>
      <c r="X1981" s="131">
        <v>112488</v>
      </c>
      <c r="Y1981" s="131">
        <v>0</v>
      </c>
      <c r="Z1981" s="131">
        <v>112488</v>
      </c>
      <c r="AA1981" s="131">
        <v>0</v>
      </c>
      <c r="AB1981" s="131">
        <v>111236.53</v>
      </c>
      <c r="AC1981" s="131">
        <v>1251.4700000000012</v>
      </c>
      <c r="AD1981" s="131">
        <v>111236.53</v>
      </c>
      <c r="AE1981" s="132">
        <v>1251.4700000000012</v>
      </c>
    </row>
    <row r="1982" spans="1:31" x14ac:dyDescent="0.2">
      <c r="A1982" s="133">
        <v>314</v>
      </c>
      <c r="B1982" s="133" t="s">
        <v>2172</v>
      </c>
      <c r="C1982" s="133" t="s">
        <v>1147</v>
      </c>
      <c r="D1982" s="133" t="s">
        <v>2017</v>
      </c>
      <c r="E1982" s="133" t="s">
        <v>1116</v>
      </c>
      <c r="F1982" s="133" t="s">
        <v>1117</v>
      </c>
      <c r="G1982" s="133" t="s">
        <v>1118</v>
      </c>
      <c r="H1982" s="130" t="s">
        <v>1133</v>
      </c>
      <c r="I1982" s="130" t="s">
        <v>1134</v>
      </c>
      <c r="J1982" s="130" t="s">
        <v>1135</v>
      </c>
      <c r="K1982" s="130" t="s">
        <v>1178</v>
      </c>
      <c r="L1982" s="130" t="s">
        <v>2173</v>
      </c>
      <c r="M1982" s="130" t="s">
        <v>1925</v>
      </c>
      <c r="N1982" s="130" t="s">
        <v>152</v>
      </c>
      <c r="O1982" s="130" t="s">
        <v>1125</v>
      </c>
      <c r="P1982" s="130" t="s">
        <v>2019</v>
      </c>
      <c r="Q1982" s="130" t="s">
        <v>1127</v>
      </c>
      <c r="R1982" s="130" t="s">
        <v>1128</v>
      </c>
      <c r="S1982" s="130" t="s">
        <v>1129</v>
      </c>
      <c r="T1982" s="130" t="s">
        <v>1188</v>
      </c>
      <c r="U1982" s="130">
        <v>0</v>
      </c>
      <c r="V1982" s="131">
        <v>66890</v>
      </c>
      <c r="W1982" s="131">
        <v>66890</v>
      </c>
      <c r="X1982" s="131">
        <v>66890</v>
      </c>
      <c r="Y1982" s="131">
        <v>0</v>
      </c>
      <c r="Z1982" s="131">
        <v>66890</v>
      </c>
      <c r="AA1982" s="131">
        <v>0</v>
      </c>
      <c r="AB1982" s="131">
        <v>39403.58</v>
      </c>
      <c r="AC1982" s="131">
        <v>27486.42</v>
      </c>
      <c r="AD1982" s="131">
        <v>39403.58</v>
      </c>
      <c r="AE1982" s="132">
        <v>27486.42</v>
      </c>
    </row>
    <row r="1983" spans="1:31" x14ac:dyDescent="0.2">
      <c r="A1983" s="133">
        <v>314</v>
      </c>
      <c r="B1983" s="133" t="s">
        <v>2172</v>
      </c>
      <c r="C1983" s="133" t="s">
        <v>1147</v>
      </c>
      <c r="D1983" s="133" t="s">
        <v>2017</v>
      </c>
      <c r="E1983" s="133" t="s">
        <v>1116</v>
      </c>
      <c r="F1983" s="133" t="s">
        <v>1117</v>
      </c>
      <c r="G1983" s="133" t="s">
        <v>1118</v>
      </c>
      <c r="H1983" s="133" t="s">
        <v>1133</v>
      </c>
      <c r="I1983" s="133" t="s">
        <v>1134</v>
      </c>
      <c r="J1983" s="133" t="s">
        <v>1135</v>
      </c>
      <c r="K1983" s="130" t="s">
        <v>1144</v>
      </c>
      <c r="L1983" s="130" t="s">
        <v>2173</v>
      </c>
      <c r="M1983" s="130" t="s">
        <v>1925</v>
      </c>
      <c r="N1983" s="130" t="s">
        <v>152</v>
      </c>
      <c r="O1983" s="130" t="s">
        <v>1125</v>
      </c>
      <c r="P1983" s="130" t="s">
        <v>2019</v>
      </c>
      <c r="Q1983" s="130" t="s">
        <v>1127</v>
      </c>
      <c r="R1983" s="130" t="s">
        <v>1128</v>
      </c>
      <c r="S1983" s="130" t="s">
        <v>1129</v>
      </c>
      <c r="T1983" s="130" t="s">
        <v>1188</v>
      </c>
      <c r="U1983" s="130">
        <v>0</v>
      </c>
      <c r="V1983" s="131">
        <v>7500</v>
      </c>
      <c r="W1983" s="131">
        <v>7500</v>
      </c>
      <c r="X1983" s="131">
        <v>7500</v>
      </c>
      <c r="Y1983" s="131">
        <v>0</v>
      </c>
      <c r="Z1983" s="131">
        <v>7500</v>
      </c>
      <c r="AA1983" s="131">
        <v>0</v>
      </c>
      <c r="AB1983" s="131">
        <v>7500</v>
      </c>
      <c r="AC1983" s="131">
        <v>0</v>
      </c>
      <c r="AD1983" s="131">
        <v>7500</v>
      </c>
      <c r="AE1983" s="132">
        <v>0</v>
      </c>
    </row>
    <row r="1984" spans="1:31" x14ac:dyDescent="0.2">
      <c r="A1984" s="130">
        <v>315</v>
      </c>
      <c r="B1984" s="130" t="s">
        <v>182</v>
      </c>
      <c r="C1984" s="130" t="s">
        <v>1114</v>
      </c>
      <c r="D1984" s="130" t="s">
        <v>1367</v>
      </c>
      <c r="E1984" s="130" t="s">
        <v>1116</v>
      </c>
      <c r="F1984" s="130" t="s">
        <v>1117</v>
      </c>
      <c r="G1984" s="130" t="s">
        <v>1118</v>
      </c>
      <c r="H1984" s="130" t="s">
        <v>1119</v>
      </c>
      <c r="I1984" s="130" t="s">
        <v>1120</v>
      </c>
      <c r="J1984" s="130" t="s">
        <v>1358</v>
      </c>
      <c r="K1984" s="130" t="s">
        <v>1131</v>
      </c>
      <c r="L1984" s="130" t="s">
        <v>2174</v>
      </c>
      <c r="M1984" s="130" t="s">
        <v>1360</v>
      </c>
      <c r="N1984" s="130" t="s">
        <v>168</v>
      </c>
      <c r="O1984" s="130" t="s">
        <v>1361</v>
      </c>
      <c r="P1984" s="130" t="s">
        <v>1366</v>
      </c>
      <c r="Q1984" s="130" t="s">
        <v>1127</v>
      </c>
      <c r="R1984" s="130" t="s">
        <v>1472</v>
      </c>
      <c r="S1984" s="130" t="s">
        <v>1748</v>
      </c>
      <c r="T1984" s="130" t="s">
        <v>1130</v>
      </c>
      <c r="U1984" s="130">
        <v>0</v>
      </c>
      <c r="V1984" s="131">
        <v>370286</v>
      </c>
      <c r="W1984" s="131">
        <v>370286</v>
      </c>
      <c r="X1984" s="131">
        <v>370286</v>
      </c>
      <c r="Y1984" s="131">
        <v>0</v>
      </c>
      <c r="Z1984" s="131">
        <v>370286</v>
      </c>
      <c r="AA1984" s="131">
        <v>0</v>
      </c>
      <c r="AB1984" s="131">
        <v>365533.17000000004</v>
      </c>
      <c r="AC1984" s="131">
        <v>4752.8299999999581</v>
      </c>
      <c r="AD1984" s="131">
        <v>365533.17000000004</v>
      </c>
      <c r="AE1984" s="132">
        <v>4752.8299999999581</v>
      </c>
    </row>
    <row r="1985" spans="1:31" x14ac:dyDescent="0.2">
      <c r="A1985" s="133">
        <v>315</v>
      </c>
      <c r="B1985" s="133" t="s">
        <v>182</v>
      </c>
      <c r="C1985" s="133" t="s">
        <v>1114</v>
      </c>
      <c r="D1985" s="133" t="s">
        <v>1367</v>
      </c>
      <c r="E1985" s="133" t="s">
        <v>1116</v>
      </c>
      <c r="F1985" s="133" t="s">
        <v>1117</v>
      </c>
      <c r="G1985" s="133" t="s">
        <v>1118</v>
      </c>
      <c r="H1985" s="133" t="s">
        <v>1119</v>
      </c>
      <c r="I1985" s="133" t="s">
        <v>1120</v>
      </c>
      <c r="J1985" s="133" t="s">
        <v>1358</v>
      </c>
      <c r="K1985" s="130" t="s">
        <v>1177</v>
      </c>
      <c r="L1985" s="130" t="s">
        <v>2174</v>
      </c>
      <c r="M1985" s="130" t="s">
        <v>1360</v>
      </c>
      <c r="N1985" s="130" t="s">
        <v>168</v>
      </c>
      <c r="O1985" s="130" t="s">
        <v>1361</v>
      </c>
      <c r="P1985" s="130" t="s">
        <v>1366</v>
      </c>
      <c r="Q1985" s="130" t="s">
        <v>1127</v>
      </c>
      <c r="R1985" s="130" t="s">
        <v>1472</v>
      </c>
      <c r="S1985" s="130" t="s">
        <v>1748</v>
      </c>
      <c r="T1985" s="130" t="s">
        <v>1130</v>
      </c>
      <c r="U1985" s="130">
        <v>0</v>
      </c>
      <c r="V1985" s="131">
        <v>306290</v>
      </c>
      <c r="W1985" s="131">
        <v>306290</v>
      </c>
      <c r="X1985" s="131">
        <v>304207.53999999998</v>
      </c>
      <c r="Y1985" s="131">
        <v>2082.460000000021</v>
      </c>
      <c r="Z1985" s="131">
        <v>303707.53999999998</v>
      </c>
      <c r="AA1985" s="131">
        <v>2582.460000000021</v>
      </c>
      <c r="AB1985" s="131">
        <v>303707.53999999998</v>
      </c>
      <c r="AC1985" s="131">
        <v>2582.460000000021</v>
      </c>
      <c r="AD1985" s="131">
        <v>288107.53999999998</v>
      </c>
      <c r="AE1985" s="132">
        <v>18182.460000000021</v>
      </c>
    </row>
    <row r="1986" spans="1:31" x14ac:dyDescent="0.2">
      <c r="A1986" s="133">
        <v>315</v>
      </c>
      <c r="B1986" s="133" t="s">
        <v>182</v>
      </c>
      <c r="C1986" s="133" t="s">
        <v>1114</v>
      </c>
      <c r="D1986" s="133" t="s">
        <v>1367</v>
      </c>
      <c r="E1986" s="133" t="s">
        <v>1116</v>
      </c>
      <c r="F1986" s="133" t="s">
        <v>1117</v>
      </c>
      <c r="G1986" s="133" t="s">
        <v>1118</v>
      </c>
      <c r="H1986" s="133" t="s">
        <v>1119</v>
      </c>
      <c r="I1986" s="133" t="s">
        <v>1120</v>
      </c>
      <c r="J1986" s="133" t="s">
        <v>1358</v>
      </c>
      <c r="K1986" s="130" t="s">
        <v>1132</v>
      </c>
      <c r="L1986" s="130" t="s">
        <v>2174</v>
      </c>
      <c r="M1986" s="130" t="s">
        <v>1360</v>
      </c>
      <c r="N1986" s="130" t="s">
        <v>168</v>
      </c>
      <c r="O1986" s="130" t="s">
        <v>1361</v>
      </c>
      <c r="P1986" s="130" t="s">
        <v>1366</v>
      </c>
      <c r="Q1986" s="130" t="s">
        <v>1127</v>
      </c>
      <c r="R1986" s="130" t="s">
        <v>1472</v>
      </c>
      <c r="S1986" s="130" t="s">
        <v>1748</v>
      </c>
      <c r="T1986" s="130" t="s">
        <v>1130</v>
      </c>
      <c r="U1986" s="130">
        <v>0</v>
      </c>
      <c r="V1986" s="131">
        <v>140759</v>
      </c>
      <c r="W1986" s="131">
        <v>140759</v>
      </c>
      <c r="X1986" s="131">
        <v>140358.39999999999</v>
      </c>
      <c r="Y1986" s="131">
        <v>400.60000000000582</v>
      </c>
      <c r="Z1986" s="131">
        <v>140358.39999999999</v>
      </c>
      <c r="AA1986" s="131">
        <v>400.60000000000582</v>
      </c>
      <c r="AB1986" s="131">
        <v>140358.39999999999</v>
      </c>
      <c r="AC1986" s="131">
        <v>400.60000000000582</v>
      </c>
      <c r="AD1986" s="131">
        <v>95856.13</v>
      </c>
      <c r="AE1986" s="132">
        <v>44902.869999999995</v>
      </c>
    </row>
    <row r="1987" spans="1:31" x14ac:dyDescent="0.2">
      <c r="A1987" s="133">
        <v>315</v>
      </c>
      <c r="B1987" s="133" t="s">
        <v>182</v>
      </c>
      <c r="C1987" s="133" t="s">
        <v>1114</v>
      </c>
      <c r="D1987" s="133" t="s">
        <v>1367</v>
      </c>
      <c r="E1987" s="133" t="s">
        <v>1116</v>
      </c>
      <c r="F1987" s="133" t="s">
        <v>1117</v>
      </c>
      <c r="G1987" s="133" t="s">
        <v>1118</v>
      </c>
      <c r="H1987" s="130" t="s">
        <v>1149</v>
      </c>
      <c r="I1987" s="130" t="s">
        <v>1182</v>
      </c>
      <c r="J1987" s="130" t="s">
        <v>1377</v>
      </c>
      <c r="K1987" s="130" t="s">
        <v>1383</v>
      </c>
      <c r="L1987" s="130" t="s">
        <v>2174</v>
      </c>
      <c r="M1987" s="130" t="s">
        <v>1360</v>
      </c>
      <c r="N1987" s="130" t="s">
        <v>168</v>
      </c>
      <c r="O1987" s="130" t="s">
        <v>1361</v>
      </c>
      <c r="P1987" s="130" t="s">
        <v>1366</v>
      </c>
      <c r="Q1987" s="130" t="s">
        <v>1127</v>
      </c>
      <c r="R1987" s="130" t="s">
        <v>1472</v>
      </c>
      <c r="S1987" s="130" t="s">
        <v>1748</v>
      </c>
      <c r="T1987" s="130" t="s">
        <v>1130</v>
      </c>
      <c r="U1987" s="130">
        <v>0</v>
      </c>
      <c r="V1987" s="131">
        <v>0</v>
      </c>
      <c r="W1987" s="131">
        <v>0</v>
      </c>
      <c r="X1987" s="131">
        <v>0</v>
      </c>
      <c r="Y1987" s="131">
        <v>0</v>
      </c>
      <c r="Z1987" s="131">
        <v>0</v>
      </c>
      <c r="AA1987" s="131">
        <v>0</v>
      </c>
      <c r="AB1987" s="131">
        <v>0</v>
      </c>
      <c r="AC1987" s="131">
        <v>0</v>
      </c>
      <c r="AD1987" s="131">
        <v>0</v>
      </c>
      <c r="AE1987" s="132">
        <v>0</v>
      </c>
    </row>
    <row r="1988" spans="1:31" x14ac:dyDescent="0.2">
      <c r="A1988" s="133">
        <v>315</v>
      </c>
      <c r="B1988" s="133" t="s">
        <v>182</v>
      </c>
      <c r="C1988" s="133" t="s">
        <v>1114</v>
      </c>
      <c r="D1988" s="133" t="s">
        <v>1367</v>
      </c>
      <c r="E1988" s="133" t="s">
        <v>1116</v>
      </c>
      <c r="F1988" s="133" t="s">
        <v>1117</v>
      </c>
      <c r="G1988" s="133" t="s">
        <v>1118</v>
      </c>
      <c r="H1988" s="133" t="s">
        <v>1149</v>
      </c>
      <c r="I1988" s="133" t="s">
        <v>1182</v>
      </c>
      <c r="J1988" s="133" t="s">
        <v>1377</v>
      </c>
      <c r="K1988" s="130" t="s">
        <v>1378</v>
      </c>
      <c r="L1988" s="130" t="s">
        <v>2174</v>
      </c>
      <c r="M1988" s="130" t="s">
        <v>1360</v>
      </c>
      <c r="N1988" s="130" t="s">
        <v>168</v>
      </c>
      <c r="O1988" s="130" t="s">
        <v>1361</v>
      </c>
      <c r="P1988" s="130" t="s">
        <v>1366</v>
      </c>
      <c r="Q1988" s="130" t="s">
        <v>1127</v>
      </c>
      <c r="R1988" s="130" t="s">
        <v>1472</v>
      </c>
      <c r="S1988" s="130" t="s">
        <v>1748</v>
      </c>
      <c r="T1988" s="130" t="s">
        <v>1130</v>
      </c>
      <c r="U1988" s="130">
        <v>0</v>
      </c>
      <c r="V1988" s="131">
        <v>0</v>
      </c>
      <c r="W1988" s="131">
        <v>0</v>
      </c>
      <c r="X1988" s="131">
        <v>0</v>
      </c>
      <c r="Y1988" s="131">
        <v>0</v>
      </c>
      <c r="Z1988" s="131">
        <v>0</v>
      </c>
      <c r="AA1988" s="131">
        <v>0</v>
      </c>
      <c r="AB1988" s="131">
        <v>0</v>
      </c>
      <c r="AC1988" s="131">
        <v>0</v>
      </c>
      <c r="AD1988" s="131">
        <v>0</v>
      </c>
      <c r="AE1988" s="132">
        <v>0</v>
      </c>
    </row>
    <row r="1989" spans="1:31" x14ac:dyDescent="0.2">
      <c r="A1989" s="133">
        <v>315</v>
      </c>
      <c r="B1989" s="133" t="s">
        <v>182</v>
      </c>
      <c r="C1989" s="133" t="s">
        <v>1114</v>
      </c>
      <c r="D1989" s="133" t="s">
        <v>1367</v>
      </c>
      <c r="E1989" s="133" t="s">
        <v>1116</v>
      </c>
      <c r="F1989" s="133" t="s">
        <v>1117</v>
      </c>
      <c r="G1989" s="133" t="s">
        <v>1118</v>
      </c>
      <c r="H1989" s="133" t="s">
        <v>1149</v>
      </c>
      <c r="I1989" s="133" t="s">
        <v>1182</v>
      </c>
      <c r="J1989" s="130" t="s">
        <v>1382</v>
      </c>
      <c r="K1989" s="130" t="s">
        <v>1383</v>
      </c>
      <c r="L1989" s="130" t="s">
        <v>2174</v>
      </c>
      <c r="M1989" s="130" t="s">
        <v>1360</v>
      </c>
      <c r="N1989" s="130" t="s">
        <v>168</v>
      </c>
      <c r="O1989" s="130" t="s">
        <v>1361</v>
      </c>
      <c r="P1989" s="130" t="s">
        <v>1366</v>
      </c>
      <c r="Q1989" s="130" t="s">
        <v>1127</v>
      </c>
      <c r="R1989" s="130" t="s">
        <v>1472</v>
      </c>
      <c r="S1989" s="130" t="s">
        <v>1748</v>
      </c>
      <c r="T1989" s="130" t="s">
        <v>1130</v>
      </c>
      <c r="U1989" s="130">
        <v>0</v>
      </c>
      <c r="V1989" s="131">
        <v>177496</v>
      </c>
      <c r="W1989" s="131">
        <v>177496</v>
      </c>
      <c r="X1989" s="131">
        <v>177495.63</v>
      </c>
      <c r="Y1989" s="131">
        <v>0.36999999999534339</v>
      </c>
      <c r="Z1989" s="131">
        <v>177495.63</v>
      </c>
      <c r="AA1989" s="131">
        <v>0.36999999999534339</v>
      </c>
      <c r="AB1989" s="131">
        <v>166167.63</v>
      </c>
      <c r="AC1989" s="131">
        <v>11328.369999999995</v>
      </c>
      <c r="AD1989" s="131">
        <v>63578.63</v>
      </c>
      <c r="AE1989" s="132">
        <v>113917.37</v>
      </c>
    </row>
    <row r="1990" spans="1:31" x14ac:dyDescent="0.2">
      <c r="A1990" s="133">
        <v>315</v>
      </c>
      <c r="B1990" s="133" t="s">
        <v>182</v>
      </c>
      <c r="C1990" s="133" t="s">
        <v>1114</v>
      </c>
      <c r="D1990" s="133" t="s">
        <v>1367</v>
      </c>
      <c r="E1990" s="133" t="s">
        <v>1116</v>
      </c>
      <c r="F1990" s="133" t="s">
        <v>1117</v>
      </c>
      <c r="G1990" s="133" t="s">
        <v>1118</v>
      </c>
      <c r="H1990" s="133" t="s">
        <v>1149</v>
      </c>
      <c r="I1990" s="133" t="s">
        <v>1182</v>
      </c>
      <c r="J1990" s="133" t="s">
        <v>1382</v>
      </c>
      <c r="K1990" s="130" t="s">
        <v>1378</v>
      </c>
      <c r="L1990" s="130" t="s">
        <v>2174</v>
      </c>
      <c r="M1990" s="130" t="s">
        <v>1360</v>
      </c>
      <c r="N1990" s="130" t="s">
        <v>168</v>
      </c>
      <c r="O1990" s="130" t="s">
        <v>1361</v>
      </c>
      <c r="P1990" s="130" t="s">
        <v>1366</v>
      </c>
      <c r="Q1990" s="130" t="s">
        <v>1127</v>
      </c>
      <c r="R1990" s="130" t="s">
        <v>1472</v>
      </c>
      <c r="S1990" s="130" t="s">
        <v>1748</v>
      </c>
      <c r="T1990" s="130" t="s">
        <v>1130</v>
      </c>
      <c r="U1990" s="130">
        <v>0</v>
      </c>
      <c r="V1990" s="131">
        <v>51049</v>
      </c>
      <c r="W1990" s="131">
        <v>51049</v>
      </c>
      <c r="X1990" s="131">
        <v>47844.56</v>
      </c>
      <c r="Y1990" s="131">
        <v>3204.4400000000023</v>
      </c>
      <c r="Z1990" s="131">
        <v>45201.36</v>
      </c>
      <c r="AA1990" s="131">
        <v>5847.6399999999994</v>
      </c>
      <c r="AB1990" s="131">
        <v>45201.36</v>
      </c>
      <c r="AC1990" s="131">
        <v>5847.6399999999994</v>
      </c>
      <c r="AD1990" s="131">
        <v>21987.360000000001</v>
      </c>
      <c r="AE1990" s="132">
        <v>29061.64</v>
      </c>
    </row>
    <row r="1991" spans="1:31" x14ac:dyDescent="0.2">
      <c r="A1991" s="133">
        <v>315</v>
      </c>
      <c r="B1991" s="133" t="s">
        <v>182</v>
      </c>
      <c r="C1991" s="133" t="s">
        <v>1114</v>
      </c>
      <c r="D1991" s="133" t="s">
        <v>1367</v>
      </c>
      <c r="E1991" s="133" t="s">
        <v>1116</v>
      </c>
      <c r="F1991" s="133" t="s">
        <v>1117</v>
      </c>
      <c r="G1991" s="133" t="s">
        <v>1118</v>
      </c>
      <c r="H1991" s="130" t="s">
        <v>1133</v>
      </c>
      <c r="I1991" s="130" t="s">
        <v>1134</v>
      </c>
      <c r="J1991" s="130" t="s">
        <v>1135</v>
      </c>
      <c r="K1991" s="130" t="s">
        <v>1178</v>
      </c>
      <c r="L1991" s="130" t="s">
        <v>2174</v>
      </c>
      <c r="M1991" s="130" t="s">
        <v>1360</v>
      </c>
      <c r="N1991" s="130" t="s">
        <v>168</v>
      </c>
      <c r="O1991" s="130" t="s">
        <v>1361</v>
      </c>
      <c r="P1991" s="130" t="s">
        <v>1366</v>
      </c>
      <c r="Q1991" s="130" t="s">
        <v>1127</v>
      </c>
      <c r="R1991" s="130" t="s">
        <v>1472</v>
      </c>
      <c r="S1991" s="130" t="s">
        <v>1748</v>
      </c>
      <c r="T1991" s="130" t="s">
        <v>1130</v>
      </c>
      <c r="U1991" s="130">
        <v>0</v>
      </c>
      <c r="V1991" s="131">
        <v>46000</v>
      </c>
      <c r="W1991" s="131">
        <v>46000</v>
      </c>
      <c r="X1991" s="131">
        <v>46000</v>
      </c>
      <c r="Y1991" s="131">
        <v>0</v>
      </c>
      <c r="Z1991" s="131">
        <v>46000</v>
      </c>
      <c r="AA1991" s="131">
        <v>0</v>
      </c>
      <c r="AB1991" s="131">
        <v>38590.35</v>
      </c>
      <c r="AC1991" s="131">
        <v>7409.6500000000015</v>
      </c>
      <c r="AD1991" s="131">
        <v>38590.35</v>
      </c>
      <c r="AE1991" s="132">
        <v>7409.6500000000015</v>
      </c>
    </row>
    <row r="1992" spans="1:31" x14ac:dyDescent="0.2">
      <c r="A1992" s="133">
        <v>315</v>
      </c>
      <c r="B1992" s="133" t="s">
        <v>182</v>
      </c>
      <c r="C1992" s="133" t="s">
        <v>1114</v>
      </c>
      <c r="D1992" s="133" t="s">
        <v>1367</v>
      </c>
      <c r="E1992" s="133" t="s">
        <v>1116</v>
      </c>
      <c r="F1992" s="133" t="s">
        <v>1117</v>
      </c>
      <c r="G1992" s="133" t="s">
        <v>1118</v>
      </c>
      <c r="H1992" s="133" t="s">
        <v>1133</v>
      </c>
      <c r="I1992" s="133" t="s">
        <v>1134</v>
      </c>
      <c r="J1992" s="133" t="s">
        <v>1135</v>
      </c>
      <c r="K1992" s="130" t="s">
        <v>1179</v>
      </c>
      <c r="L1992" s="130" t="s">
        <v>2174</v>
      </c>
      <c r="M1992" s="130" t="s">
        <v>1360</v>
      </c>
      <c r="N1992" s="130" t="s">
        <v>168</v>
      </c>
      <c r="O1992" s="130" t="s">
        <v>1361</v>
      </c>
      <c r="P1992" s="130" t="s">
        <v>1366</v>
      </c>
      <c r="Q1992" s="130" t="s">
        <v>1127</v>
      </c>
      <c r="R1992" s="130" t="s">
        <v>1472</v>
      </c>
      <c r="S1992" s="130" t="s">
        <v>1748</v>
      </c>
      <c r="T1992" s="130" t="s">
        <v>1130</v>
      </c>
      <c r="U1992" s="130">
        <v>0</v>
      </c>
      <c r="V1992" s="131">
        <v>6640</v>
      </c>
      <c r="W1992" s="131">
        <v>6640</v>
      </c>
      <c r="X1992" s="131">
        <v>6640</v>
      </c>
      <c r="Y1992" s="131">
        <v>0</v>
      </c>
      <c r="Z1992" s="131">
        <v>6640</v>
      </c>
      <c r="AA1992" s="131">
        <v>0</v>
      </c>
      <c r="AB1992" s="131">
        <v>6640</v>
      </c>
      <c r="AC1992" s="131">
        <v>0</v>
      </c>
      <c r="AD1992" s="131">
        <v>0</v>
      </c>
      <c r="AE1992" s="132">
        <v>6640</v>
      </c>
    </row>
    <row r="1993" spans="1:31" x14ac:dyDescent="0.2">
      <c r="A1993" s="133">
        <v>315</v>
      </c>
      <c r="B1993" s="133" t="s">
        <v>182</v>
      </c>
      <c r="C1993" s="133" t="s">
        <v>1114</v>
      </c>
      <c r="D1993" s="133" t="s">
        <v>1367</v>
      </c>
      <c r="E1993" s="133" t="s">
        <v>1116</v>
      </c>
      <c r="F1993" s="133" t="s">
        <v>1117</v>
      </c>
      <c r="G1993" s="133" t="s">
        <v>1118</v>
      </c>
      <c r="H1993" s="133" t="s">
        <v>1133</v>
      </c>
      <c r="I1993" s="133" t="s">
        <v>1134</v>
      </c>
      <c r="J1993" s="133" t="s">
        <v>1135</v>
      </c>
      <c r="K1993" s="130" t="s">
        <v>1144</v>
      </c>
      <c r="L1993" s="130" t="s">
        <v>2174</v>
      </c>
      <c r="M1993" s="130" t="s">
        <v>1360</v>
      </c>
      <c r="N1993" s="130" t="s">
        <v>168</v>
      </c>
      <c r="O1993" s="130" t="s">
        <v>1361</v>
      </c>
      <c r="P1993" s="130" t="s">
        <v>1366</v>
      </c>
      <c r="Q1993" s="130" t="s">
        <v>1127</v>
      </c>
      <c r="R1993" s="130" t="s">
        <v>1472</v>
      </c>
      <c r="S1993" s="130" t="s">
        <v>1748</v>
      </c>
      <c r="T1993" s="130" t="s">
        <v>1130</v>
      </c>
      <c r="U1993" s="130">
        <v>0</v>
      </c>
      <c r="V1993" s="131">
        <v>21100</v>
      </c>
      <c r="W1993" s="131">
        <v>21100</v>
      </c>
      <c r="X1993" s="131">
        <v>21100</v>
      </c>
      <c r="Y1993" s="131">
        <v>0</v>
      </c>
      <c r="Z1993" s="131">
        <v>21100</v>
      </c>
      <c r="AA1993" s="131">
        <v>0</v>
      </c>
      <c r="AB1993" s="131">
        <v>21100</v>
      </c>
      <c r="AC1993" s="131">
        <v>0</v>
      </c>
      <c r="AD1993" s="131">
        <v>20835</v>
      </c>
      <c r="AE1993" s="132">
        <v>265</v>
      </c>
    </row>
    <row r="1994" spans="1:31" x14ac:dyDescent="0.2">
      <c r="A1994" s="130">
        <v>316</v>
      </c>
      <c r="B1994" s="130" t="s">
        <v>1026</v>
      </c>
      <c r="C1994" s="130" t="s">
        <v>1114</v>
      </c>
      <c r="D1994" s="130" t="s">
        <v>1554</v>
      </c>
      <c r="E1994" s="130" t="s">
        <v>1116</v>
      </c>
      <c r="F1994" s="130" t="s">
        <v>1117</v>
      </c>
      <c r="G1994" s="130" t="s">
        <v>1118</v>
      </c>
      <c r="H1994" s="130" t="s">
        <v>1133</v>
      </c>
      <c r="I1994" s="130" t="s">
        <v>1134</v>
      </c>
      <c r="J1994" s="130" t="s">
        <v>1166</v>
      </c>
      <c r="K1994" s="130" t="s">
        <v>1167</v>
      </c>
      <c r="L1994" s="130" t="s">
        <v>2175</v>
      </c>
      <c r="M1994" s="130" t="s">
        <v>1737</v>
      </c>
      <c r="N1994" s="130" t="s">
        <v>168</v>
      </c>
      <c r="O1994" s="130" t="s">
        <v>1551</v>
      </c>
      <c r="P1994" s="130" t="s">
        <v>1552</v>
      </c>
      <c r="Q1994" s="130" t="s">
        <v>1127</v>
      </c>
      <c r="R1994" s="130" t="s">
        <v>1191</v>
      </c>
      <c r="S1994" s="130" t="s">
        <v>1819</v>
      </c>
      <c r="T1994" s="130" t="s">
        <v>1158</v>
      </c>
      <c r="U1994" s="130">
        <v>0</v>
      </c>
      <c r="V1994" s="131">
        <v>350000</v>
      </c>
      <c r="W1994" s="131">
        <v>350000</v>
      </c>
      <c r="X1994" s="131">
        <v>250000</v>
      </c>
      <c r="Y1994" s="131">
        <v>100000</v>
      </c>
      <c r="Z1994" s="131">
        <v>250000</v>
      </c>
      <c r="AA1994" s="131">
        <v>100000</v>
      </c>
      <c r="AB1994" s="131">
        <v>51513.78</v>
      </c>
      <c r="AC1994" s="131">
        <v>298486.21999999997</v>
      </c>
      <c r="AD1994" s="131">
        <v>51513.78</v>
      </c>
      <c r="AE1994" s="132">
        <v>298486.21999999997</v>
      </c>
    </row>
    <row r="1995" spans="1:31" x14ac:dyDescent="0.2">
      <c r="A1995" s="130">
        <v>317</v>
      </c>
      <c r="B1995" s="130" t="s">
        <v>1025</v>
      </c>
      <c r="C1995" s="130" t="s">
        <v>1114</v>
      </c>
      <c r="D1995" s="130" t="s">
        <v>1357</v>
      </c>
      <c r="E1995" s="130" t="s">
        <v>1116</v>
      </c>
      <c r="F1995" s="130" t="s">
        <v>1117</v>
      </c>
      <c r="G1995" s="130" t="s">
        <v>1118</v>
      </c>
      <c r="H1995" s="130" t="s">
        <v>1133</v>
      </c>
      <c r="I1995" s="130" t="s">
        <v>1134</v>
      </c>
      <c r="J1995" s="130" t="s">
        <v>1166</v>
      </c>
      <c r="K1995" s="130" t="s">
        <v>1167</v>
      </c>
      <c r="L1995" s="130" t="s">
        <v>2176</v>
      </c>
      <c r="M1995" s="130" t="s">
        <v>1360</v>
      </c>
      <c r="N1995" s="130" t="s">
        <v>168</v>
      </c>
      <c r="O1995" s="130" t="s">
        <v>1361</v>
      </c>
      <c r="P1995" s="130" t="s">
        <v>1362</v>
      </c>
      <c r="Q1995" s="130" t="s">
        <v>1127</v>
      </c>
      <c r="R1995" s="130" t="s">
        <v>1409</v>
      </c>
      <c r="S1995" s="130" t="s">
        <v>1460</v>
      </c>
      <c r="T1995" s="130" t="s">
        <v>1158</v>
      </c>
      <c r="U1995" s="130">
        <v>0</v>
      </c>
      <c r="V1995" s="131">
        <v>81646</v>
      </c>
      <c r="W1995" s="131">
        <v>81646</v>
      </c>
      <c r="X1995" s="131">
        <v>0</v>
      </c>
      <c r="Y1995" s="131">
        <v>81646</v>
      </c>
      <c r="Z1995" s="131">
        <v>0</v>
      </c>
      <c r="AA1995" s="131">
        <v>81646</v>
      </c>
      <c r="AB1995" s="131">
        <v>0</v>
      </c>
      <c r="AC1995" s="131">
        <v>81646</v>
      </c>
      <c r="AD1995" s="131">
        <v>0</v>
      </c>
      <c r="AE1995" s="132">
        <v>81646</v>
      </c>
    </row>
    <row r="1996" spans="1:31" x14ac:dyDescent="0.2">
      <c r="A1996" s="130">
        <v>318</v>
      </c>
      <c r="B1996" s="130" t="s">
        <v>1024</v>
      </c>
      <c r="C1996" s="130" t="s">
        <v>1114</v>
      </c>
      <c r="D1996" s="130" t="s">
        <v>1367</v>
      </c>
      <c r="E1996" s="130" t="s">
        <v>1116</v>
      </c>
      <c r="F1996" s="130" t="s">
        <v>1117</v>
      </c>
      <c r="G1996" s="130" t="s">
        <v>1118</v>
      </c>
      <c r="H1996" s="130" t="s">
        <v>1133</v>
      </c>
      <c r="I1996" s="130" t="s">
        <v>1134</v>
      </c>
      <c r="J1996" s="130" t="s">
        <v>1166</v>
      </c>
      <c r="K1996" s="130" t="s">
        <v>1167</v>
      </c>
      <c r="L1996" s="130" t="s">
        <v>2177</v>
      </c>
      <c r="M1996" s="130" t="s">
        <v>1360</v>
      </c>
      <c r="N1996" s="130" t="s">
        <v>168</v>
      </c>
      <c r="O1996" s="130" t="s">
        <v>1361</v>
      </c>
      <c r="P1996" s="130" t="s">
        <v>1366</v>
      </c>
      <c r="Q1996" s="130" t="s">
        <v>1127</v>
      </c>
      <c r="R1996" s="130" t="s">
        <v>1187</v>
      </c>
      <c r="S1996" s="130" t="s">
        <v>1613</v>
      </c>
      <c r="T1996" s="130" t="s">
        <v>1158</v>
      </c>
      <c r="U1996" s="130">
        <v>0</v>
      </c>
      <c r="V1996" s="131">
        <v>292573</v>
      </c>
      <c r="W1996" s="131">
        <v>292573</v>
      </c>
      <c r="X1996" s="131">
        <v>0</v>
      </c>
      <c r="Y1996" s="131">
        <v>292573</v>
      </c>
      <c r="Z1996" s="131">
        <v>0</v>
      </c>
      <c r="AA1996" s="131">
        <v>292573</v>
      </c>
      <c r="AB1996" s="131">
        <v>0</v>
      </c>
      <c r="AC1996" s="131">
        <v>292573</v>
      </c>
      <c r="AD1996" s="131">
        <v>0</v>
      </c>
      <c r="AE1996" s="132">
        <v>292573</v>
      </c>
    </row>
    <row r="1997" spans="1:31" x14ac:dyDescent="0.2">
      <c r="A1997" s="130">
        <v>319</v>
      </c>
      <c r="B1997" s="130" t="s">
        <v>967</v>
      </c>
      <c r="C1997" s="130" t="s">
        <v>1114</v>
      </c>
      <c r="D1997" s="130" t="s">
        <v>1367</v>
      </c>
      <c r="E1997" s="130" t="s">
        <v>1116</v>
      </c>
      <c r="F1997" s="130" t="s">
        <v>1117</v>
      </c>
      <c r="G1997" s="130" t="s">
        <v>1118</v>
      </c>
      <c r="H1997" s="130" t="s">
        <v>1133</v>
      </c>
      <c r="I1997" s="130" t="s">
        <v>1134</v>
      </c>
      <c r="J1997" s="130" t="s">
        <v>1166</v>
      </c>
      <c r="K1997" s="130" t="s">
        <v>1167</v>
      </c>
      <c r="L1997" s="130" t="s">
        <v>2178</v>
      </c>
      <c r="M1997" s="130" t="s">
        <v>1360</v>
      </c>
      <c r="N1997" s="130" t="s">
        <v>168</v>
      </c>
      <c r="O1997" s="130" t="s">
        <v>1361</v>
      </c>
      <c r="P1997" s="130" t="s">
        <v>1366</v>
      </c>
      <c r="Q1997" s="130" t="s">
        <v>1127</v>
      </c>
      <c r="R1997" s="130" t="s">
        <v>1413</v>
      </c>
      <c r="S1997" s="130" t="s">
        <v>1414</v>
      </c>
      <c r="T1997" s="130" t="s">
        <v>1158</v>
      </c>
      <c r="U1997" s="130">
        <v>0</v>
      </c>
      <c r="V1997" s="131">
        <v>300000</v>
      </c>
      <c r="W1997" s="131">
        <v>300000</v>
      </c>
      <c r="X1997" s="131">
        <v>276450</v>
      </c>
      <c r="Y1997" s="131">
        <v>23550</v>
      </c>
      <c r="Z1997" s="131">
        <v>276450</v>
      </c>
      <c r="AA1997" s="131">
        <v>23550</v>
      </c>
      <c r="AB1997" s="131">
        <v>270567.39</v>
      </c>
      <c r="AC1997" s="131">
        <v>29432.609999999986</v>
      </c>
      <c r="AD1997" s="131">
        <v>267667.39</v>
      </c>
      <c r="AE1997" s="132">
        <v>32332.609999999986</v>
      </c>
    </row>
    <row r="1998" spans="1:31" x14ac:dyDescent="0.2">
      <c r="A1998" s="130">
        <v>320</v>
      </c>
      <c r="B1998" s="130" t="s">
        <v>1023</v>
      </c>
      <c r="C1998" s="130" t="s">
        <v>1114</v>
      </c>
      <c r="D1998" s="130" t="s">
        <v>1357</v>
      </c>
      <c r="E1998" s="130" t="s">
        <v>1116</v>
      </c>
      <c r="F1998" s="130" t="s">
        <v>1117</v>
      </c>
      <c r="G1998" s="130" t="s">
        <v>1118</v>
      </c>
      <c r="H1998" s="130" t="s">
        <v>1133</v>
      </c>
      <c r="I1998" s="130" t="s">
        <v>1134</v>
      </c>
      <c r="J1998" s="130" t="s">
        <v>1166</v>
      </c>
      <c r="K1998" s="130" t="s">
        <v>1167</v>
      </c>
      <c r="L1998" s="130" t="s">
        <v>2179</v>
      </c>
      <c r="M1998" s="130" t="s">
        <v>1360</v>
      </c>
      <c r="N1998" s="130" t="s">
        <v>168</v>
      </c>
      <c r="O1998" s="130" t="s">
        <v>1361</v>
      </c>
      <c r="P1998" s="130" t="s">
        <v>1362</v>
      </c>
      <c r="Q1998" s="130" t="s">
        <v>1127</v>
      </c>
      <c r="R1998" s="130" t="s">
        <v>1191</v>
      </c>
      <c r="S1998" s="130" t="s">
        <v>1191</v>
      </c>
      <c r="T1998" s="130" t="s">
        <v>1158</v>
      </c>
      <c r="U1998" s="130">
        <v>0</v>
      </c>
      <c r="V1998" s="131">
        <v>45161</v>
      </c>
      <c r="W1998" s="131">
        <v>45161</v>
      </c>
      <c r="X1998" s="131">
        <v>0</v>
      </c>
      <c r="Y1998" s="131">
        <v>45161</v>
      </c>
      <c r="Z1998" s="131">
        <v>0</v>
      </c>
      <c r="AA1998" s="131">
        <v>45161</v>
      </c>
      <c r="AB1998" s="131">
        <v>0</v>
      </c>
      <c r="AC1998" s="131">
        <v>45161</v>
      </c>
      <c r="AD1998" s="131">
        <v>0</v>
      </c>
      <c r="AE1998" s="132">
        <v>45161</v>
      </c>
    </row>
    <row r="1999" spans="1:31" x14ac:dyDescent="0.2">
      <c r="A1999" s="130">
        <v>321</v>
      </c>
      <c r="B1999" s="130" t="s">
        <v>969</v>
      </c>
      <c r="C1999" s="130" t="s">
        <v>1114</v>
      </c>
      <c r="D1999" s="130" t="s">
        <v>1473</v>
      </c>
      <c r="E1999" s="130" t="s">
        <v>1116</v>
      </c>
      <c r="F1999" s="130" t="s">
        <v>1117</v>
      </c>
      <c r="G1999" s="130" t="s">
        <v>1118</v>
      </c>
      <c r="H1999" s="130" t="s">
        <v>1133</v>
      </c>
      <c r="I1999" s="130" t="s">
        <v>1134</v>
      </c>
      <c r="J1999" s="130" t="s">
        <v>1166</v>
      </c>
      <c r="K1999" s="130" t="s">
        <v>1167</v>
      </c>
      <c r="L1999" s="130" t="s">
        <v>2180</v>
      </c>
      <c r="M1999" s="130" t="s">
        <v>1475</v>
      </c>
      <c r="N1999" s="130" t="s">
        <v>165</v>
      </c>
      <c r="O1999" s="130" t="s">
        <v>1476</v>
      </c>
      <c r="P1999" s="130" t="s">
        <v>1477</v>
      </c>
      <c r="Q1999" s="130" t="s">
        <v>1127</v>
      </c>
      <c r="R1999" s="130" t="s">
        <v>1191</v>
      </c>
      <c r="S1999" s="130" t="s">
        <v>1191</v>
      </c>
      <c r="T1999" s="130" t="s">
        <v>1158</v>
      </c>
      <c r="U1999" s="130">
        <v>0</v>
      </c>
      <c r="V1999" s="131">
        <v>325721</v>
      </c>
      <c r="W1999" s="131">
        <v>325721</v>
      </c>
      <c r="X1999" s="131">
        <v>101714</v>
      </c>
      <c r="Y1999" s="131">
        <v>224007</v>
      </c>
      <c r="Z1999" s="131">
        <v>101714</v>
      </c>
      <c r="AA1999" s="131">
        <v>224007</v>
      </c>
      <c r="AB1999" s="131">
        <v>56341.84</v>
      </c>
      <c r="AC1999" s="131">
        <v>269379.16000000003</v>
      </c>
      <c r="AD1999" s="131">
        <v>56341.84</v>
      </c>
      <c r="AE1999" s="132">
        <v>269379.16000000003</v>
      </c>
    </row>
    <row r="2000" spans="1:31" x14ac:dyDescent="0.2">
      <c r="A2000" s="130">
        <v>323</v>
      </c>
      <c r="B2000" s="130" t="s">
        <v>1022</v>
      </c>
      <c r="C2000" s="130" t="s">
        <v>1114</v>
      </c>
      <c r="D2000" s="130" t="s">
        <v>1554</v>
      </c>
      <c r="E2000" s="130" t="s">
        <v>1116</v>
      </c>
      <c r="F2000" s="130" t="s">
        <v>1117</v>
      </c>
      <c r="G2000" s="130" t="s">
        <v>1118</v>
      </c>
      <c r="H2000" s="130" t="s">
        <v>1133</v>
      </c>
      <c r="I2000" s="130" t="s">
        <v>1134</v>
      </c>
      <c r="J2000" s="130" t="s">
        <v>1166</v>
      </c>
      <c r="K2000" s="130" t="s">
        <v>1167</v>
      </c>
      <c r="L2000" s="130" t="s">
        <v>2181</v>
      </c>
      <c r="M2000" s="130" t="s">
        <v>1550</v>
      </c>
      <c r="N2000" s="130" t="s">
        <v>168</v>
      </c>
      <c r="O2000" s="130" t="s">
        <v>1551</v>
      </c>
      <c r="P2000" s="130" t="s">
        <v>1552</v>
      </c>
      <c r="Q2000" s="130" t="s">
        <v>1127</v>
      </c>
      <c r="R2000" s="130" t="s">
        <v>1380</v>
      </c>
      <c r="S2000" s="130" t="s">
        <v>1481</v>
      </c>
      <c r="T2000" s="130" t="s">
        <v>1158</v>
      </c>
      <c r="U2000" s="130">
        <v>0</v>
      </c>
      <c r="V2000" s="131">
        <v>58627</v>
      </c>
      <c r="W2000" s="131">
        <v>58627</v>
      </c>
      <c r="X2000" s="131">
        <v>0</v>
      </c>
      <c r="Y2000" s="131">
        <v>58627</v>
      </c>
      <c r="Z2000" s="131">
        <v>0</v>
      </c>
      <c r="AA2000" s="131">
        <v>58627</v>
      </c>
      <c r="AB2000" s="131">
        <v>0</v>
      </c>
      <c r="AC2000" s="131">
        <v>58627</v>
      </c>
      <c r="AD2000" s="131">
        <v>0</v>
      </c>
      <c r="AE2000" s="132">
        <v>58627</v>
      </c>
    </row>
    <row r="2001" spans="1:31" x14ac:dyDescent="0.2">
      <c r="A2001" s="130">
        <v>324</v>
      </c>
      <c r="B2001" s="130" t="s">
        <v>136</v>
      </c>
      <c r="C2001" s="130" t="s">
        <v>1114</v>
      </c>
      <c r="D2001" s="130" t="s">
        <v>1584</v>
      </c>
      <c r="E2001" s="130" t="s">
        <v>1116</v>
      </c>
      <c r="F2001" s="130" t="s">
        <v>1117</v>
      </c>
      <c r="G2001" s="130" t="s">
        <v>1118</v>
      </c>
      <c r="H2001" s="130" t="s">
        <v>1119</v>
      </c>
      <c r="I2001" s="130" t="s">
        <v>1169</v>
      </c>
      <c r="J2001" s="130" t="s">
        <v>1195</v>
      </c>
      <c r="K2001" s="130" t="s">
        <v>1196</v>
      </c>
      <c r="L2001" s="130" t="s">
        <v>2182</v>
      </c>
      <c r="M2001" s="130" t="s">
        <v>1587</v>
      </c>
      <c r="N2001" s="130" t="s">
        <v>1588</v>
      </c>
      <c r="O2001" s="130" t="s">
        <v>1589</v>
      </c>
      <c r="P2001" s="130" t="s">
        <v>1590</v>
      </c>
      <c r="Q2001" s="130" t="s">
        <v>1127</v>
      </c>
      <c r="R2001" s="130" t="s">
        <v>1448</v>
      </c>
      <c r="S2001" s="130" t="s">
        <v>1600</v>
      </c>
      <c r="T2001" s="130" t="s">
        <v>1158</v>
      </c>
      <c r="U2001" s="130">
        <v>0</v>
      </c>
      <c r="V2001" s="131">
        <v>1289186</v>
      </c>
      <c r="W2001" s="131">
        <v>1289186</v>
      </c>
      <c r="X2001" s="131">
        <v>1289186</v>
      </c>
      <c r="Y2001" s="131">
        <v>0</v>
      </c>
      <c r="Z2001" s="131">
        <v>0</v>
      </c>
      <c r="AA2001" s="131">
        <v>1289186</v>
      </c>
      <c r="AB2001" s="131">
        <v>0</v>
      </c>
      <c r="AC2001" s="131">
        <v>1289186</v>
      </c>
      <c r="AD2001" s="131">
        <v>0</v>
      </c>
      <c r="AE2001" s="132">
        <v>1289186</v>
      </c>
    </row>
    <row r="2002" spans="1:31" x14ac:dyDescent="0.2">
      <c r="A2002" s="133">
        <v>324</v>
      </c>
      <c r="B2002" s="133" t="s">
        <v>136</v>
      </c>
      <c r="C2002" s="133" t="s">
        <v>1114</v>
      </c>
      <c r="D2002" s="133" t="s">
        <v>1584</v>
      </c>
      <c r="E2002" s="133" t="s">
        <v>1116</v>
      </c>
      <c r="F2002" s="133" t="s">
        <v>1117</v>
      </c>
      <c r="G2002" s="133" t="s">
        <v>1118</v>
      </c>
      <c r="H2002" s="130" t="s">
        <v>1133</v>
      </c>
      <c r="I2002" s="130" t="s">
        <v>1134</v>
      </c>
      <c r="J2002" s="130" t="s">
        <v>1166</v>
      </c>
      <c r="K2002" s="130" t="s">
        <v>1167</v>
      </c>
      <c r="L2002" s="130" t="s">
        <v>2182</v>
      </c>
      <c r="M2002" s="130" t="s">
        <v>1587</v>
      </c>
      <c r="N2002" s="130" t="s">
        <v>1588</v>
      </c>
      <c r="O2002" s="130" t="s">
        <v>1589</v>
      </c>
      <c r="P2002" s="130" t="s">
        <v>1590</v>
      </c>
      <c r="Q2002" s="130" t="s">
        <v>1127</v>
      </c>
      <c r="R2002" s="130" t="s">
        <v>1448</v>
      </c>
      <c r="S2002" s="130" t="s">
        <v>1600</v>
      </c>
      <c r="T2002" s="130" t="s">
        <v>1158</v>
      </c>
      <c r="U2002" s="130">
        <v>0</v>
      </c>
      <c r="V2002" s="131">
        <v>19715</v>
      </c>
      <c r="W2002" s="131">
        <v>19715</v>
      </c>
      <c r="X2002" s="131">
        <v>13400</v>
      </c>
      <c r="Y2002" s="131">
        <v>6315</v>
      </c>
      <c r="Z2002" s="131">
        <v>13400</v>
      </c>
      <c r="AA2002" s="131">
        <v>6315</v>
      </c>
      <c r="AB2002" s="131">
        <v>8087.22</v>
      </c>
      <c r="AC2002" s="131">
        <v>11627.779999999999</v>
      </c>
      <c r="AD2002" s="131">
        <v>8087.22</v>
      </c>
      <c r="AE2002" s="132">
        <v>11627.779999999999</v>
      </c>
    </row>
    <row r="2003" spans="1:31" x14ac:dyDescent="0.2">
      <c r="A2003" s="130">
        <v>325</v>
      </c>
      <c r="B2003" s="130" t="s">
        <v>1027</v>
      </c>
      <c r="C2003" s="130" t="s">
        <v>1114</v>
      </c>
      <c r="D2003" s="130" t="s">
        <v>1602</v>
      </c>
      <c r="E2003" s="130" t="s">
        <v>1116</v>
      </c>
      <c r="F2003" s="130" t="s">
        <v>1117</v>
      </c>
      <c r="G2003" s="130" t="s">
        <v>1118</v>
      </c>
      <c r="H2003" s="130" t="s">
        <v>1133</v>
      </c>
      <c r="I2003" s="130" t="s">
        <v>1134</v>
      </c>
      <c r="J2003" s="130" t="s">
        <v>1166</v>
      </c>
      <c r="K2003" s="130" t="s">
        <v>1167</v>
      </c>
      <c r="L2003" s="130" t="s">
        <v>2183</v>
      </c>
      <c r="M2003" s="130" t="s">
        <v>1587</v>
      </c>
      <c r="N2003" s="130" t="s">
        <v>1588</v>
      </c>
      <c r="O2003" s="130" t="s">
        <v>1589</v>
      </c>
      <c r="P2003" s="130" t="s">
        <v>1604</v>
      </c>
      <c r="Q2003" s="130" t="s">
        <v>1127</v>
      </c>
      <c r="R2003" s="130" t="s">
        <v>1191</v>
      </c>
      <c r="S2003" s="130" t="s">
        <v>2184</v>
      </c>
      <c r="T2003" s="130" t="s">
        <v>1158</v>
      </c>
      <c r="U2003" s="130">
        <v>0</v>
      </c>
      <c r="V2003" s="131">
        <v>18371</v>
      </c>
      <c r="W2003" s="131">
        <v>18371</v>
      </c>
      <c r="X2003" s="131">
        <v>0</v>
      </c>
      <c r="Y2003" s="131">
        <v>18371</v>
      </c>
      <c r="Z2003" s="131">
        <v>0</v>
      </c>
      <c r="AA2003" s="131">
        <v>18371</v>
      </c>
      <c r="AB2003" s="131">
        <v>0</v>
      </c>
      <c r="AC2003" s="131">
        <v>18371</v>
      </c>
      <c r="AD2003" s="131">
        <v>0</v>
      </c>
      <c r="AE2003" s="132">
        <v>18371</v>
      </c>
    </row>
    <row r="2004" spans="1:31" x14ac:dyDescent="0.2">
      <c r="A2004" s="130">
        <v>326</v>
      </c>
      <c r="B2004" s="130" t="s">
        <v>1028</v>
      </c>
      <c r="C2004" s="130" t="s">
        <v>1114</v>
      </c>
      <c r="D2004" s="130" t="s">
        <v>1621</v>
      </c>
      <c r="E2004" s="130" t="s">
        <v>1116</v>
      </c>
      <c r="F2004" s="130" t="s">
        <v>1117</v>
      </c>
      <c r="G2004" s="130" t="s">
        <v>1118</v>
      </c>
      <c r="H2004" s="130" t="s">
        <v>1133</v>
      </c>
      <c r="I2004" s="130" t="s">
        <v>1134</v>
      </c>
      <c r="J2004" s="130" t="s">
        <v>1166</v>
      </c>
      <c r="K2004" s="130" t="s">
        <v>1167</v>
      </c>
      <c r="L2004" s="130" t="s">
        <v>2185</v>
      </c>
      <c r="M2004" s="130" t="s">
        <v>1587</v>
      </c>
      <c r="N2004" s="130" t="s">
        <v>1588</v>
      </c>
      <c r="O2004" s="130" t="s">
        <v>1589</v>
      </c>
      <c r="P2004" s="130" t="s">
        <v>1604</v>
      </c>
      <c r="Q2004" s="130" t="s">
        <v>1127</v>
      </c>
      <c r="R2004" s="130" t="s">
        <v>1417</v>
      </c>
      <c r="S2004" s="130" t="s">
        <v>2186</v>
      </c>
      <c r="T2004" s="130" t="s">
        <v>1158</v>
      </c>
      <c r="U2004" s="130">
        <v>0</v>
      </c>
      <c r="V2004" s="131">
        <v>225183</v>
      </c>
      <c r="W2004" s="131">
        <v>225183</v>
      </c>
      <c r="X2004" s="131">
        <v>180000</v>
      </c>
      <c r="Y2004" s="131">
        <v>45183</v>
      </c>
      <c r="Z2004" s="131">
        <v>180000</v>
      </c>
      <c r="AA2004" s="131">
        <v>45183</v>
      </c>
      <c r="AB2004" s="131">
        <v>155724.03</v>
      </c>
      <c r="AC2004" s="131">
        <v>69458.97</v>
      </c>
      <c r="AD2004" s="131">
        <v>155724.03</v>
      </c>
      <c r="AE2004" s="132">
        <v>69458.97</v>
      </c>
    </row>
    <row r="2005" spans="1:31" x14ac:dyDescent="0.2">
      <c r="A2005" s="130">
        <v>327</v>
      </c>
      <c r="B2005" s="130" t="s">
        <v>1029</v>
      </c>
      <c r="C2005" s="130" t="s">
        <v>1114</v>
      </c>
      <c r="D2005" s="130" t="s">
        <v>1584</v>
      </c>
      <c r="E2005" s="130" t="s">
        <v>1116</v>
      </c>
      <c r="F2005" s="130" t="s">
        <v>1117</v>
      </c>
      <c r="G2005" s="130" t="s">
        <v>1118</v>
      </c>
      <c r="H2005" s="130" t="s">
        <v>1133</v>
      </c>
      <c r="I2005" s="130" t="s">
        <v>1134</v>
      </c>
      <c r="J2005" s="130" t="s">
        <v>1166</v>
      </c>
      <c r="K2005" s="130" t="s">
        <v>1167</v>
      </c>
      <c r="L2005" s="130" t="s">
        <v>2187</v>
      </c>
      <c r="M2005" s="130" t="s">
        <v>1587</v>
      </c>
      <c r="N2005" s="130" t="s">
        <v>1588</v>
      </c>
      <c r="O2005" s="130" t="s">
        <v>1589</v>
      </c>
      <c r="P2005" s="130" t="s">
        <v>1590</v>
      </c>
      <c r="Q2005" s="130" t="s">
        <v>1127</v>
      </c>
      <c r="R2005" s="130" t="s">
        <v>1175</v>
      </c>
      <c r="S2005" s="130" t="s">
        <v>1157</v>
      </c>
      <c r="T2005" s="130" t="s">
        <v>1158</v>
      </c>
      <c r="U2005" s="130">
        <v>0</v>
      </c>
      <c r="V2005" s="131">
        <v>380000</v>
      </c>
      <c r="W2005" s="131">
        <v>380000</v>
      </c>
      <c r="X2005" s="131">
        <v>346000</v>
      </c>
      <c r="Y2005" s="131">
        <v>34000</v>
      </c>
      <c r="Z2005" s="131">
        <v>346000</v>
      </c>
      <c r="AA2005" s="131">
        <v>34000</v>
      </c>
      <c r="AB2005" s="131">
        <v>279030.79000000004</v>
      </c>
      <c r="AC2005" s="131">
        <v>100969.20999999996</v>
      </c>
      <c r="AD2005" s="131">
        <v>279030.79000000004</v>
      </c>
      <c r="AE2005" s="132">
        <v>100969.20999999996</v>
      </c>
    </row>
    <row r="2006" spans="1:31" x14ac:dyDescent="0.2">
      <c r="A2006" s="130">
        <v>328</v>
      </c>
      <c r="B2006" s="130" t="s">
        <v>1030</v>
      </c>
      <c r="C2006" s="130" t="s">
        <v>1114</v>
      </c>
      <c r="D2006" s="130" t="s">
        <v>1584</v>
      </c>
      <c r="E2006" s="130" t="s">
        <v>1116</v>
      </c>
      <c r="F2006" s="130" t="s">
        <v>1117</v>
      </c>
      <c r="G2006" s="130" t="s">
        <v>1118</v>
      </c>
      <c r="H2006" s="130" t="s">
        <v>1133</v>
      </c>
      <c r="I2006" s="130" t="s">
        <v>1134</v>
      </c>
      <c r="J2006" s="130" t="s">
        <v>1166</v>
      </c>
      <c r="K2006" s="130" t="s">
        <v>1167</v>
      </c>
      <c r="L2006" s="130" t="s">
        <v>2188</v>
      </c>
      <c r="M2006" s="130" t="s">
        <v>1587</v>
      </c>
      <c r="N2006" s="130" t="s">
        <v>1588</v>
      </c>
      <c r="O2006" s="130" t="s">
        <v>1589</v>
      </c>
      <c r="P2006" s="130" t="s">
        <v>1604</v>
      </c>
      <c r="Q2006" s="130" t="s">
        <v>1127</v>
      </c>
      <c r="R2006" s="130" t="s">
        <v>1499</v>
      </c>
      <c r="S2006" s="130" t="s">
        <v>1981</v>
      </c>
      <c r="T2006" s="130" t="s">
        <v>1158</v>
      </c>
      <c r="U2006" s="130">
        <v>0</v>
      </c>
      <c r="V2006" s="131">
        <v>300000</v>
      </c>
      <c r="W2006" s="131">
        <v>300000</v>
      </c>
      <c r="X2006" s="131">
        <v>300000</v>
      </c>
      <c r="Y2006" s="131">
        <v>0</v>
      </c>
      <c r="Z2006" s="131">
        <v>300000</v>
      </c>
      <c r="AA2006" s="131">
        <v>0</v>
      </c>
      <c r="AB2006" s="131">
        <v>164322.44</v>
      </c>
      <c r="AC2006" s="131">
        <v>135677.56</v>
      </c>
      <c r="AD2006" s="131">
        <v>49544.44</v>
      </c>
      <c r="AE2006" s="132">
        <v>250455.56</v>
      </c>
    </row>
    <row r="2007" spans="1:31" x14ac:dyDescent="0.2">
      <c r="A2007" s="130">
        <v>329</v>
      </c>
      <c r="B2007" s="130" t="s">
        <v>1031</v>
      </c>
      <c r="C2007" s="130" t="s">
        <v>1114</v>
      </c>
      <c r="D2007" s="130" t="s">
        <v>1584</v>
      </c>
      <c r="E2007" s="130" t="s">
        <v>1116</v>
      </c>
      <c r="F2007" s="130" t="s">
        <v>1117</v>
      </c>
      <c r="G2007" s="130" t="s">
        <v>1118</v>
      </c>
      <c r="H2007" s="130" t="s">
        <v>1133</v>
      </c>
      <c r="I2007" s="130" t="s">
        <v>1134</v>
      </c>
      <c r="J2007" s="130" t="s">
        <v>1166</v>
      </c>
      <c r="K2007" s="130" t="s">
        <v>1167</v>
      </c>
      <c r="L2007" s="130" t="s">
        <v>2189</v>
      </c>
      <c r="M2007" s="130" t="s">
        <v>1587</v>
      </c>
      <c r="N2007" s="130" t="s">
        <v>1588</v>
      </c>
      <c r="O2007" s="130" t="s">
        <v>1589</v>
      </c>
      <c r="P2007" s="130" t="s">
        <v>1590</v>
      </c>
      <c r="Q2007" s="130" t="s">
        <v>1127</v>
      </c>
      <c r="R2007" s="130" t="s">
        <v>1175</v>
      </c>
      <c r="S2007" s="130" t="s">
        <v>1401</v>
      </c>
      <c r="T2007" s="130" t="s">
        <v>1158</v>
      </c>
      <c r="U2007" s="130">
        <v>0</v>
      </c>
      <c r="V2007" s="131">
        <v>206971</v>
      </c>
      <c r="W2007" s="131">
        <v>206971</v>
      </c>
      <c r="X2007" s="131">
        <v>205718.5</v>
      </c>
      <c r="Y2007" s="131">
        <v>1252.5</v>
      </c>
      <c r="Z2007" s="131">
        <v>205718.5</v>
      </c>
      <c r="AA2007" s="131">
        <v>1252.5</v>
      </c>
      <c r="AB2007" s="131">
        <v>103635.95999999999</v>
      </c>
      <c r="AC2007" s="131">
        <v>103335.04000000001</v>
      </c>
      <c r="AD2007" s="131">
        <v>81635.959999999992</v>
      </c>
      <c r="AE2007" s="132">
        <v>125335.04000000001</v>
      </c>
    </row>
    <row r="2008" spans="1:31" x14ac:dyDescent="0.2">
      <c r="A2008" s="130">
        <v>330</v>
      </c>
      <c r="B2008" s="130" t="s">
        <v>172</v>
      </c>
      <c r="C2008" s="130" t="s">
        <v>1114</v>
      </c>
      <c r="D2008" s="130" t="s">
        <v>1774</v>
      </c>
      <c r="E2008" s="130" t="s">
        <v>1116</v>
      </c>
      <c r="F2008" s="130" t="s">
        <v>1117</v>
      </c>
      <c r="G2008" s="130" t="s">
        <v>1118</v>
      </c>
      <c r="H2008" s="130" t="s">
        <v>1133</v>
      </c>
      <c r="I2008" s="130" t="s">
        <v>1134</v>
      </c>
      <c r="J2008" s="130" t="s">
        <v>1166</v>
      </c>
      <c r="K2008" s="130" t="s">
        <v>1167</v>
      </c>
      <c r="L2008" s="130" t="s">
        <v>2190</v>
      </c>
      <c r="M2008" s="130" t="s">
        <v>1776</v>
      </c>
      <c r="N2008" s="130" t="s">
        <v>168</v>
      </c>
      <c r="O2008" s="130" t="s">
        <v>1361</v>
      </c>
      <c r="P2008" s="130" t="s">
        <v>1777</v>
      </c>
      <c r="Q2008" s="130" t="s">
        <v>1127</v>
      </c>
      <c r="R2008" s="130" t="s">
        <v>1499</v>
      </c>
      <c r="S2008" s="130" t="s">
        <v>1981</v>
      </c>
      <c r="T2008" s="130" t="s">
        <v>1158</v>
      </c>
      <c r="U2008" s="130">
        <v>0</v>
      </c>
      <c r="V2008" s="131">
        <v>57428</v>
      </c>
      <c r="W2008" s="131">
        <v>57428</v>
      </c>
      <c r="X2008" s="131">
        <v>0</v>
      </c>
      <c r="Y2008" s="131">
        <v>57428</v>
      </c>
      <c r="Z2008" s="131">
        <v>0</v>
      </c>
      <c r="AA2008" s="131">
        <v>57428</v>
      </c>
      <c r="AB2008" s="131">
        <v>0</v>
      </c>
      <c r="AC2008" s="131">
        <v>57428</v>
      </c>
      <c r="AD2008" s="131">
        <v>0</v>
      </c>
      <c r="AE2008" s="132">
        <v>57428</v>
      </c>
    </row>
    <row r="2009" spans="1:31" x14ac:dyDescent="0.2">
      <c r="A2009" s="130">
        <v>331</v>
      </c>
      <c r="B2009" s="130" t="s">
        <v>1032</v>
      </c>
      <c r="C2009" s="130" t="s">
        <v>1114</v>
      </c>
      <c r="D2009" s="130" t="s">
        <v>1774</v>
      </c>
      <c r="E2009" s="130" t="s">
        <v>1116</v>
      </c>
      <c r="F2009" s="130" t="s">
        <v>1117</v>
      </c>
      <c r="G2009" s="130" t="s">
        <v>1118</v>
      </c>
      <c r="H2009" s="130" t="s">
        <v>1133</v>
      </c>
      <c r="I2009" s="130" t="s">
        <v>1134</v>
      </c>
      <c r="J2009" s="130" t="s">
        <v>1166</v>
      </c>
      <c r="K2009" s="130" t="s">
        <v>1167</v>
      </c>
      <c r="L2009" s="130" t="s">
        <v>2191</v>
      </c>
      <c r="M2009" s="130" t="s">
        <v>1776</v>
      </c>
      <c r="N2009" s="130" t="s">
        <v>168</v>
      </c>
      <c r="O2009" s="130" t="s">
        <v>1361</v>
      </c>
      <c r="P2009" s="130" t="s">
        <v>1777</v>
      </c>
      <c r="Q2009" s="130" t="s">
        <v>1127</v>
      </c>
      <c r="R2009" s="130" t="s">
        <v>1380</v>
      </c>
      <c r="S2009" s="130" t="s">
        <v>1481</v>
      </c>
      <c r="T2009" s="130" t="s">
        <v>1158</v>
      </c>
      <c r="U2009" s="130">
        <v>0</v>
      </c>
      <c r="V2009" s="131">
        <v>175496</v>
      </c>
      <c r="W2009" s="131">
        <v>175496</v>
      </c>
      <c r="X2009" s="131">
        <v>175392</v>
      </c>
      <c r="Y2009" s="131">
        <v>104</v>
      </c>
      <c r="Z2009" s="131">
        <v>175392</v>
      </c>
      <c r="AA2009" s="131">
        <v>104</v>
      </c>
      <c r="AB2009" s="131">
        <v>156968.31</v>
      </c>
      <c r="AC2009" s="131">
        <v>18527.690000000002</v>
      </c>
      <c r="AD2009" s="131">
        <v>154225.31</v>
      </c>
      <c r="AE2009" s="132">
        <v>21270.690000000002</v>
      </c>
    </row>
    <row r="2010" spans="1:31" x14ac:dyDescent="0.2">
      <c r="A2010" s="130">
        <v>332</v>
      </c>
      <c r="B2010" s="130" t="s">
        <v>1033</v>
      </c>
      <c r="C2010" s="130" t="s">
        <v>1114</v>
      </c>
      <c r="D2010" s="130" t="s">
        <v>1774</v>
      </c>
      <c r="E2010" s="130" t="s">
        <v>1116</v>
      </c>
      <c r="F2010" s="130" t="s">
        <v>1117</v>
      </c>
      <c r="G2010" s="130" t="s">
        <v>1118</v>
      </c>
      <c r="H2010" s="130" t="s">
        <v>1133</v>
      </c>
      <c r="I2010" s="130" t="s">
        <v>1134</v>
      </c>
      <c r="J2010" s="130" t="s">
        <v>1166</v>
      </c>
      <c r="K2010" s="130" t="s">
        <v>1167</v>
      </c>
      <c r="L2010" s="130" t="s">
        <v>2192</v>
      </c>
      <c r="M2010" s="130" t="s">
        <v>1776</v>
      </c>
      <c r="N2010" s="130" t="s">
        <v>168</v>
      </c>
      <c r="O2010" s="130" t="s">
        <v>1361</v>
      </c>
      <c r="P2010" s="130" t="s">
        <v>1777</v>
      </c>
      <c r="Q2010" s="130" t="s">
        <v>1127</v>
      </c>
      <c r="R2010" s="130" t="s">
        <v>1434</v>
      </c>
      <c r="S2010" s="130" t="s">
        <v>1435</v>
      </c>
      <c r="T2010" s="130" t="s">
        <v>1158</v>
      </c>
      <c r="U2010" s="130">
        <v>0</v>
      </c>
      <c r="V2010" s="131">
        <v>129991</v>
      </c>
      <c r="W2010" s="131">
        <v>129991</v>
      </c>
      <c r="X2010" s="131">
        <v>129991</v>
      </c>
      <c r="Y2010" s="131">
        <v>0</v>
      </c>
      <c r="Z2010" s="131">
        <v>129991</v>
      </c>
      <c r="AA2010" s="131">
        <v>0</v>
      </c>
      <c r="AB2010" s="131">
        <v>129329.12</v>
      </c>
      <c r="AC2010" s="131">
        <v>661.88000000000466</v>
      </c>
      <c r="AD2010" s="131">
        <v>129329.12</v>
      </c>
      <c r="AE2010" s="132">
        <v>661.88000000000466</v>
      </c>
    </row>
    <row r="2011" spans="1:31" x14ac:dyDescent="0.2">
      <c r="A2011" s="130">
        <v>333</v>
      </c>
      <c r="B2011" s="130" t="s">
        <v>1034</v>
      </c>
      <c r="C2011" s="130" t="s">
        <v>1114</v>
      </c>
      <c r="D2011" s="130" t="s">
        <v>1774</v>
      </c>
      <c r="E2011" s="130" t="s">
        <v>1116</v>
      </c>
      <c r="F2011" s="130" t="s">
        <v>1117</v>
      </c>
      <c r="G2011" s="130" t="s">
        <v>1118</v>
      </c>
      <c r="H2011" s="130" t="s">
        <v>1133</v>
      </c>
      <c r="I2011" s="130" t="s">
        <v>1134</v>
      </c>
      <c r="J2011" s="130" t="s">
        <v>1166</v>
      </c>
      <c r="K2011" s="130" t="s">
        <v>1167</v>
      </c>
      <c r="L2011" s="130" t="s">
        <v>2193</v>
      </c>
      <c r="M2011" s="130" t="s">
        <v>1776</v>
      </c>
      <c r="N2011" s="130" t="s">
        <v>168</v>
      </c>
      <c r="O2011" s="130" t="s">
        <v>1361</v>
      </c>
      <c r="P2011" s="130" t="s">
        <v>1777</v>
      </c>
      <c r="Q2011" s="130" t="s">
        <v>1127</v>
      </c>
      <c r="R2011" s="130" t="s">
        <v>1128</v>
      </c>
      <c r="S2011" s="130" t="s">
        <v>1751</v>
      </c>
      <c r="T2011" s="130" t="s">
        <v>1158</v>
      </c>
      <c r="U2011" s="130">
        <v>0</v>
      </c>
      <c r="V2011" s="131">
        <v>32655</v>
      </c>
      <c r="W2011" s="131">
        <v>32655</v>
      </c>
      <c r="X2011" s="131">
        <v>0</v>
      </c>
      <c r="Y2011" s="131">
        <v>32655</v>
      </c>
      <c r="Z2011" s="131">
        <v>0</v>
      </c>
      <c r="AA2011" s="131">
        <v>32655</v>
      </c>
      <c r="AB2011" s="131">
        <v>0</v>
      </c>
      <c r="AC2011" s="131">
        <v>32655</v>
      </c>
      <c r="AD2011" s="131">
        <v>0</v>
      </c>
      <c r="AE2011" s="132">
        <v>32655</v>
      </c>
    </row>
    <row r="2012" spans="1:31" x14ac:dyDescent="0.2">
      <c r="A2012" s="130">
        <v>334</v>
      </c>
      <c r="B2012" s="130" t="s">
        <v>1035</v>
      </c>
      <c r="C2012" s="130" t="s">
        <v>1114</v>
      </c>
      <c r="D2012" s="130" t="s">
        <v>1774</v>
      </c>
      <c r="E2012" s="130" t="s">
        <v>1116</v>
      </c>
      <c r="F2012" s="130" t="s">
        <v>1117</v>
      </c>
      <c r="G2012" s="130" t="s">
        <v>1118</v>
      </c>
      <c r="H2012" s="130" t="s">
        <v>1133</v>
      </c>
      <c r="I2012" s="130" t="s">
        <v>1134</v>
      </c>
      <c r="J2012" s="130" t="s">
        <v>1166</v>
      </c>
      <c r="K2012" s="130" t="s">
        <v>1167</v>
      </c>
      <c r="L2012" s="130" t="s">
        <v>2194</v>
      </c>
      <c r="M2012" s="130" t="s">
        <v>1776</v>
      </c>
      <c r="N2012" s="130" t="s">
        <v>168</v>
      </c>
      <c r="O2012" s="130" t="s">
        <v>1361</v>
      </c>
      <c r="P2012" s="130" t="s">
        <v>1777</v>
      </c>
      <c r="Q2012" s="130" t="s">
        <v>1127</v>
      </c>
      <c r="R2012" s="130" t="s">
        <v>1472</v>
      </c>
      <c r="S2012" s="130" t="s">
        <v>2074</v>
      </c>
      <c r="T2012" s="130" t="s">
        <v>1158</v>
      </c>
      <c r="U2012" s="130">
        <v>0</v>
      </c>
      <c r="V2012" s="131">
        <v>24413</v>
      </c>
      <c r="W2012" s="131">
        <v>24413</v>
      </c>
      <c r="X2012" s="131">
        <v>505</v>
      </c>
      <c r="Y2012" s="131">
        <v>23908</v>
      </c>
      <c r="Z2012" s="131">
        <v>505</v>
      </c>
      <c r="AA2012" s="131">
        <v>23908</v>
      </c>
      <c r="AB2012" s="131">
        <v>505</v>
      </c>
      <c r="AC2012" s="131">
        <v>23908</v>
      </c>
      <c r="AD2012" s="131">
        <v>0</v>
      </c>
      <c r="AE2012" s="132">
        <v>24413</v>
      </c>
    </row>
    <row r="2013" spans="1:31" x14ac:dyDescent="0.2">
      <c r="A2013" s="130">
        <v>335</v>
      </c>
      <c r="B2013" s="130" t="s">
        <v>1036</v>
      </c>
      <c r="C2013" s="130" t="s">
        <v>1114</v>
      </c>
      <c r="D2013" s="130" t="s">
        <v>1774</v>
      </c>
      <c r="E2013" s="130" t="s">
        <v>1116</v>
      </c>
      <c r="F2013" s="130" t="s">
        <v>1117</v>
      </c>
      <c r="G2013" s="130" t="s">
        <v>1118</v>
      </c>
      <c r="H2013" s="130" t="s">
        <v>1133</v>
      </c>
      <c r="I2013" s="130" t="s">
        <v>1134</v>
      </c>
      <c r="J2013" s="130" t="s">
        <v>1166</v>
      </c>
      <c r="K2013" s="130" t="s">
        <v>1167</v>
      </c>
      <c r="L2013" s="130" t="s">
        <v>2195</v>
      </c>
      <c r="M2013" s="130" t="s">
        <v>1776</v>
      </c>
      <c r="N2013" s="130" t="s">
        <v>168</v>
      </c>
      <c r="O2013" s="130" t="s">
        <v>1361</v>
      </c>
      <c r="P2013" s="130" t="s">
        <v>1777</v>
      </c>
      <c r="Q2013" s="130" t="s">
        <v>1127</v>
      </c>
      <c r="R2013" s="130" t="s">
        <v>1128</v>
      </c>
      <c r="S2013" s="130" t="s">
        <v>1751</v>
      </c>
      <c r="T2013" s="130" t="s">
        <v>1158</v>
      </c>
      <c r="U2013" s="130">
        <v>0</v>
      </c>
      <c r="V2013" s="131">
        <v>28407</v>
      </c>
      <c r="W2013" s="131">
        <v>28407</v>
      </c>
      <c r="X2013" s="131">
        <v>0</v>
      </c>
      <c r="Y2013" s="131">
        <v>28407</v>
      </c>
      <c r="Z2013" s="131">
        <v>0</v>
      </c>
      <c r="AA2013" s="131">
        <v>28407</v>
      </c>
      <c r="AB2013" s="131">
        <v>0</v>
      </c>
      <c r="AC2013" s="131">
        <v>28407</v>
      </c>
      <c r="AD2013" s="131">
        <v>0</v>
      </c>
      <c r="AE2013" s="132">
        <v>28407</v>
      </c>
    </row>
    <row r="2014" spans="1:31" x14ac:dyDescent="0.2">
      <c r="A2014" s="130">
        <v>337</v>
      </c>
      <c r="B2014" s="130" t="s">
        <v>2419</v>
      </c>
      <c r="C2014" s="130" t="s">
        <v>1147</v>
      </c>
      <c r="D2014" s="130" t="s">
        <v>2420</v>
      </c>
      <c r="E2014" s="130" t="s">
        <v>1116</v>
      </c>
      <c r="F2014" s="130" t="s">
        <v>1117</v>
      </c>
      <c r="G2014" s="130" t="s">
        <v>1118</v>
      </c>
      <c r="H2014" s="130" t="s">
        <v>1133</v>
      </c>
      <c r="I2014" s="130" t="s">
        <v>1134</v>
      </c>
      <c r="J2014" s="130" t="s">
        <v>1166</v>
      </c>
      <c r="K2014" s="130" t="s">
        <v>1167</v>
      </c>
      <c r="L2014" s="130" t="s">
        <v>2421</v>
      </c>
      <c r="M2014" s="130" t="s">
        <v>1925</v>
      </c>
      <c r="N2014" s="130" t="s">
        <v>2422</v>
      </c>
      <c r="O2014" s="130" t="s">
        <v>2423</v>
      </c>
      <c r="P2014" s="130" t="s">
        <v>1968</v>
      </c>
      <c r="Q2014" s="130" t="s">
        <v>1127</v>
      </c>
      <c r="R2014" s="130" t="s">
        <v>1191</v>
      </c>
      <c r="S2014" s="130" t="s">
        <v>1191</v>
      </c>
      <c r="T2014" s="130" t="s">
        <v>1158</v>
      </c>
      <c r="U2014" s="130">
        <v>0</v>
      </c>
      <c r="V2014" s="131">
        <v>0</v>
      </c>
      <c r="W2014" s="131">
        <v>0</v>
      </c>
      <c r="X2014" s="131">
        <v>0</v>
      </c>
      <c r="Y2014" s="131">
        <v>0</v>
      </c>
      <c r="Z2014" s="131">
        <v>0</v>
      </c>
      <c r="AA2014" s="131">
        <v>0</v>
      </c>
      <c r="AB2014" s="131">
        <v>0</v>
      </c>
      <c r="AC2014" s="131">
        <v>0</v>
      </c>
      <c r="AD2014" s="131">
        <v>0</v>
      </c>
      <c r="AE2014" s="132">
        <v>0</v>
      </c>
    </row>
    <row r="2015" spans="1:31" x14ac:dyDescent="0.2">
      <c r="A2015" s="130">
        <v>341</v>
      </c>
      <c r="B2015" s="130" t="s">
        <v>1037</v>
      </c>
      <c r="C2015" s="130" t="s">
        <v>1114</v>
      </c>
      <c r="D2015" s="130" t="s">
        <v>1936</v>
      </c>
      <c r="E2015" s="130" t="s">
        <v>1116</v>
      </c>
      <c r="F2015" s="130" t="s">
        <v>1117</v>
      </c>
      <c r="G2015" s="130" t="s">
        <v>1118</v>
      </c>
      <c r="H2015" s="130" t="s">
        <v>1133</v>
      </c>
      <c r="I2015" s="130" t="s">
        <v>1134</v>
      </c>
      <c r="J2015" s="130" t="s">
        <v>1166</v>
      </c>
      <c r="K2015" s="130" t="s">
        <v>1167</v>
      </c>
      <c r="L2015" s="130" t="s">
        <v>2196</v>
      </c>
      <c r="M2015" s="130" t="s">
        <v>1925</v>
      </c>
      <c r="N2015" s="130" t="s">
        <v>152</v>
      </c>
      <c r="O2015" s="130" t="s">
        <v>1125</v>
      </c>
      <c r="P2015" s="130" t="s">
        <v>2019</v>
      </c>
      <c r="Q2015" s="130" t="s">
        <v>1127</v>
      </c>
      <c r="R2015" s="130" t="s">
        <v>1472</v>
      </c>
      <c r="S2015" s="130" t="s">
        <v>2040</v>
      </c>
      <c r="T2015" s="130" t="s">
        <v>1158</v>
      </c>
      <c r="U2015" s="130">
        <v>0</v>
      </c>
      <c r="V2015" s="131">
        <v>111816</v>
      </c>
      <c r="W2015" s="131">
        <v>111816</v>
      </c>
      <c r="X2015" s="131">
        <v>109955.5</v>
      </c>
      <c r="Y2015" s="131">
        <v>1860.5</v>
      </c>
      <c r="Z2015" s="131">
        <v>109955.5</v>
      </c>
      <c r="AA2015" s="131">
        <v>1860.5</v>
      </c>
      <c r="AB2015" s="131">
        <v>98890.12000000001</v>
      </c>
      <c r="AC2015" s="131">
        <v>12925.87999999999</v>
      </c>
      <c r="AD2015" s="131">
        <v>95934.62000000001</v>
      </c>
      <c r="AE2015" s="132">
        <v>15881.37999999999</v>
      </c>
    </row>
    <row r="2016" spans="1:31" x14ac:dyDescent="0.2">
      <c r="A2016" s="130">
        <v>342</v>
      </c>
      <c r="B2016" s="130" t="s">
        <v>1038</v>
      </c>
      <c r="C2016" s="130" t="s">
        <v>1114</v>
      </c>
      <c r="D2016" s="130" t="s">
        <v>1584</v>
      </c>
      <c r="E2016" s="130" t="s">
        <v>1116</v>
      </c>
      <c r="F2016" s="130" t="s">
        <v>1117</v>
      </c>
      <c r="G2016" s="130" t="s">
        <v>1118</v>
      </c>
      <c r="H2016" s="130" t="s">
        <v>1133</v>
      </c>
      <c r="I2016" s="130" t="s">
        <v>1134</v>
      </c>
      <c r="J2016" s="130" t="s">
        <v>1166</v>
      </c>
      <c r="K2016" s="130" t="s">
        <v>1167</v>
      </c>
      <c r="L2016" s="130" t="s">
        <v>2197</v>
      </c>
      <c r="M2016" s="130" t="s">
        <v>1587</v>
      </c>
      <c r="N2016" s="130" t="s">
        <v>1588</v>
      </c>
      <c r="O2016" s="130" t="s">
        <v>1589</v>
      </c>
      <c r="P2016" s="130" t="s">
        <v>1604</v>
      </c>
      <c r="Q2016" s="130" t="s">
        <v>1127</v>
      </c>
      <c r="R2016" s="130" t="s">
        <v>1191</v>
      </c>
      <c r="S2016" s="130" t="s">
        <v>1157</v>
      </c>
      <c r="T2016" s="130" t="s">
        <v>1158</v>
      </c>
      <c r="U2016" s="130">
        <v>0</v>
      </c>
      <c r="V2016" s="131">
        <v>380000</v>
      </c>
      <c r="W2016" s="131">
        <v>380000</v>
      </c>
      <c r="X2016" s="131">
        <v>376708.5</v>
      </c>
      <c r="Y2016" s="131">
        <v>3291.5</v>
      </c>
      <c r="Z2016" s="131">
        <v>376708.5</v>
      </c>
      <c r="AA2016" s="131">
        <v>3291.5</v>
      </c>
      <c r="AB2016" s="131">
        <v>361421.42</v>
      </c>
      <c r="AC2016" s="131">
        <v>18578.580000000016</v>
      </c>
      <c r="AD2016" s="131">
        <v>169721.41999999998</v>
      </c>
      <c r="AE2016" s="132">
        <v>210278.58000000002</v>
      </c>
    </row>
    <row r="2017" spans="1:31" x14ac:dyDescent="0.2">
      <c r="A2017" s="130">
        <v>343</v>
      </c>
      <c r="B2017" s="130" t="s">
        <v>2198</v>
      </c>
      <c r="C2017" s="130" t="s">
        <v>1147</v>
      </c>
      <c r="D2017" s="130" t="s">
        <v>2017</v>
      </c>
      <c r="E2017" s="130" t="s">
        <v>1116</v>
      </c>
      <c r="F2017" s="130" t="s">
        <v>1117</v>
      </c>
      <c r="G2017" s="130" t="s">
        <v>1118</v>
      </c>
      <c r="H2017" s="130" t="s">
        <v>1119</v>
      </c>
      <c r="I2017" s="130" t="s">
        <v>1120</v>
      </c>
      <c r="J2017" s="130" t="s">
        <v>1121</v>
      </c>
      <c r="K2017" s="130" t="s">
        <v>1122</v>
      </c>
      <c r="L2017" s="130" t="s">
        <v>2199</v>
      </c>
      <c r="M2017" s="130" t="s">
        <v>1925</v>
      </c>
      <c r="N2017" s="130" t="s">
        <v>152</v>
      </c>
      <c r="O2017" s="130" t="s">
        <v>1125</v>
      </c>
      <c r="P2017" s="130" t="s">
        <v>2019</v>
      </c>
      <c r="Q2017" s="130" t="s">
        <v>1127</v>
      </c>
      <c r="R2017" s="130" t="s">
        <v>1140</v>
      </c>
      <c r="S2017" s="130" t="s">
        <v>1141</v>
      </c>
      <c r="T2017" s="130" t="s">
        <v>1188</v>
      </c>
      <c r="U2017" s="130">
        <v>0</v>
      </c>
      <c r="V2017" s="131">
        <v>0</v>
      </c>
      <c r="W2017" s="131">
        <v>0</v>
      </c>
      <c r="X2017" s="131">
        <v>0</v>
      </c>
      <c r="Y2017" s="131">
        <v>0</v>
      </c>
      <c r="Z2017" s="131">
        <v>0</v>
      </c>
      <c r="AA2017" s="131">
        <v>0</v>
      </c>
      <c r="AB2017" s="131">
        <v>0</v>
      </c>
      <c r="AC2017" s="131">
        <v>0</v>
      </c>
      <c r="AD2017" s="131">
        <v>0</v>
      </c>
      <c r="AE2017" s="132">
        <v>0</v>
      </c>
    </row>
    <row r="2018" spans="1:31" x14ac:dyDescent="0.2">
      <c r="A2018" s="133">
        <v>343</v>
      </c>
      <c r="B2018" s="133" t="s">
        <v>2198</v>
      </c>
      <c r="C2018" s="133" t="s">
        <v>1147</v>
      </c>
      <c r="D2018" s="133" t="s">
        <v>2017</v>
      </c>
      <c r="E2018" s="133" t="s">
        <v>1116</v>
      </c>
      <c r="F2018" s="133" t="s">
        <v>1117</v>
      </c>
      <c r="G2018" s="133" t="s">
        <v>1118</v>
      </c>
      <c r="H2018" s="130" t="s">
        <v>1149</v>
      </c>
      <c r="I2018" s="130" t="s">
        <v>1182</v>
      </c>
      <c r="J2018" s="130" t="s">
        <v>1942</v>
      </c>
      <c r="K2018" s="130" t="s">
        <v>1944</v>
      </c>
      <c r="L2018" s="130" t="s">
        <v>2199</v>
      </c>
      <c r="M2018" s="130" t="s">
        <v>1925</v>
      </c>
      <c r="N2018" s="130" t="s">
        <v>152</v>
      </c>
      <c r="O2018" s="130" t="s">
        <v>1125</v>
      </c>
      <c r="P2018" s="130" t="s">
        <v>2019</v>
      </c>
      <c r="Q2018" s="130" t="s">
        <v>1127</v>
      </c>
      <c r="R2018" s="130" t="s">
        <v>1140</v>
      </c>
      <c r="S2018" s="130" t="s">
        <v>1141</v>
      </c>
      <c r="T2018" s="130" t="s">
        <v>1188</v>
      </c>
      <c r="U2018" s="130">
        <v>0</v>
      </c>
      <c r="V2018" s="131">
        <v>4805000</v>
      </c>
      <c r="W2018" s="131">
        <v>4805000</v>
      </c>
      <c r="X2018" s="131">
        <v>0</v>
      </c>
      <c r="Y2018" s="131">
        <v>4805000</v>
      </c>
      <c r="Z2018" s="131">
        <v>0</v>
      </c>
      <c r="AA2018" s="131">
        <v>4805000</v>
      </c>
      <c r="AB2018" s="131">
        <v>0</v>
      </c>
      <c r="AC2018" s="131">
        <v>4805000</v>
      </c>
      <c r="AD2018" s="131">
        <v>0</v>
      </c>
      <c r="AE2018" s="132">
        <v>4805000</v>
      </c>
    </row>
    <row r="2019" spans="1:31" x14ac:dyDescent="0.2">
      <c r="A2019" s="133">
        <v>343</v>
      </c>
      <c r="B2019" s="133" t="s">
        <v>2198</v>
      </c>
      <c r="C2019" s="133" t="s">
        <v>1147</v>
      </c>
      <c r="D2019" s="133" t="s">
        <v>2017</v>
      </c>
      <c r="E2019" s="133" t="s">
        <v>1116</v>
      </c>
      <c r="F2019" s="133" t="s">
        <v>1117</v>
      </c>
      <c r="G2019" s="133" t="s">
        <v>1118</v>
      </c>
      <c r="H2019" s="130" t="s">
        <v>1159</v>
      </c>
      <c r="I2019" s="130" t="s">
        <v>1160</v>
      </c>
      <c r="J2019" s="130" t="s">
        <v>1163</v>
      </c>
      <c r="K2019" s="130" t="s">
        <v>1164</v>
      </c>
      <c r="L2019" s="130" t="s">
        <v>2199</v>
      </c>
      <c r="M2019" s="130" t="s">
        <v>1925</v>
      </c>
      <c r="N2019" s="130" t="s">
        <v>152</v>
      </c>
      <c r="O2019" s="130" t="s">
        <v>1125</v>
      </c>
      <c r="P2019" s="130" t="s">
        <v>2019</v>
      </c>
      <c r="Q2019" s="130" t="s">
        <v>1127</v>
      </c>
      <c r="R2019" s="130" t="s">
        <v>1140</v>
      </c>
      <c r="S2019" s="130" t="s">
        <v>1141</v>
      </c>
      <c r="T2019" s="130" t="s">
        <v>1188</v>
      </c>
      <c r="U2019" s="130">
        <v>0</v>
      </c>
      <c r="V2019" s="131">
        <v>38000</v>
      </c>
      <c r="W2019" s="131">
        <v>38000</v>
      </c>
      <c r="X2019" s="131">
        <v>38000</v>
      </c>
      <c r="Y2019" s="131">
        <v>0</v>
      </c>
      <c r="Z2019" s="131">
        <v>38000</v>
      </c>
      <c r="AA2019" s="131">
        <v>0</v>
      </c>
      <c r="AB2019" s="131">
        <v>36093.760000000002</v>
      </c>
      <c r="AC2019" s="131">
        <v>1906.239999999998</v>
      </c>
      <c r="AD2019" s="131">
        <v>36093.760000000002</v>
      </c>
      <c r="AE2019" s="132">
        <v>1906.239999999998</v>
      </c>
    </row>
    <row r="2020" spans="1:31" x14ac:dyDescent="0.2">
      <c r="A2020" s="133">
        <v>343</v>
      </c>
      <c r="B2020" s="133" t="s">
        <v>2198</v>
      </c>
      <c r="C2020" s="133" t="s">
        <v>1147</v>
      </c>
      <c r="D2020" s="133" t="s">
        <v>2017</v>
      </c>
      <c r="E2020" s="133" t="s">
        <v>1116</v>
      </c>
      <c r="F2020" s="133" t="s">
        <v>1117</v>
      </c>
      <c r="G2020" s="133" t="s">
        <v>1118</v>
      </c>
      <c r="H2020" s="133" t="s">
        <v>1159</v>
      </c>
      <c r="I2020" s="133" t="s">
        <v>1160</v>
      </c>
      <c r="J2020" s="133" t="s">
        <v>1163</v>
      </c>
      <c r="K2020" s="130" t="s">
        <v>1165</v>
      </c>
      <c r="L2020" s="130" t="s">
        <v>2199</v>
      </c>
      <c r="M2020" s="130" t="s">
        <v>1925</v>
      </c>
      <c r="N2020" s="130" t="s">
        <v>152</v>
      </c>
      <c r="O2020" s="130" t="s">
        <v>1125</v>
      </c>
      <c r="P2020" s="130" t="s">
        <v>2019</v>
      </c>
      <c r="Q2020" s="130" t="s">
        <v>1127</v>
      </c>
      <c r="R2020" s="130" t="s">
        <v>1140</v>
      </c>
      <c r="S2020" s="130" t="s">
        <v>1141</v>
      </c>
      <c r="T2020" s="130" t="s">
        <v>1188</v>
      </c>
      <c r="U2020" s="130">
        <v>0</v>
      </c>
      <c r="V2020" s="131">
        <v>12000</v>
      </c>
      <c r="W2020" s="131">
        <v>12000</v>
      </c>
      <c r="X2020" s="131">
        <v>10119</v>
      </c>
      <c r="Y2020" s="131">
        <v>1881</v>
      </c>
      <c r="Z2020" s="131">
        <v>10119</v>
      </c>
      <c r="AA2020" s="131">
        <v>1881</v>
      </c>
      <c r="AB2020" s="131">
        <v>10119</v>
      </c>
      <c r="AC2020" s="131">
        <v>1881</v>
      </c>
      <c r="AD2020" s="131">
        <v>6775</v>
      </c>
      <c r="AE2020" s="132">
        <v>5225</v>
      </c>
    </row>
    <row r="2021" spans="1:31" x14ac:dyDescent="0.2">
      <c r="A2021" s="133">
        <v>343</v>
      </c>
      <c r="B2021" s="133" t="s">
        <v>2198</v>
      </c>
      <c r="C2021" s="133" t="s">
        <v>1147</v>
      </c>
      <c r="D2021" s="133" t="s">
        <v>2017</v>
      </c>
      <c r="E2021" s="133" t="s">
        <v>1116</v>
      </c>
      <c r="F2021" s="133" t="s">
        <v>1117</v>
      </c>
      <c r="G2021" s="133" t="s">
        <v>1118</v>
      </c>
      <c r="H2021" s="133" t="s">
        <v>1159</v>
      </c>
      <c r="I2021" s="133" t="s">
        <v>1160</v>
      </c>
      <c r="J2021" s="133" t="s">
        <v>1163</v>
      </c>
      <c r="K2021" s="130" t="s">
        <v>1162</v>
      </c>
      <c r="L2021" s="130" t="s">
        <v>2199</v>
      </c>
      <c r="M2021" s="130" t="s">
        <v>1925</v>
      </c>
      <c r="N2021" s="130" t="s">
        <v>152</v>
      </c>
      <c r="O2021" s="130" t="s">
        <v>1125</v>
      </c>
      <c r="P2021" s="130" t="s">
        <v>2019</v>
      </c>
      <c r="Q2021" s="130" t="s">
        <v>1127</v>
      </c>
      <c r="R2021" s="130" t="s">
        <v>1140</v>
      </c>
      <c r="S2021" s="130" t="s">
        <v>1141</v>
      </c>
      <c r="T2021" s="130" t="s">
        <v>1188</v>
      </c>
      <c r="U2021" s="130">
        <v>0</v>
      </c>
      <c r="V2021" s="131">
        <v>15500</v>
      </c>
      <c r="W2021" s="131">
        <v>15500</v>
      </c>
      <c r="X2021" s="131">
        <v>15200</v>
      </c>
      <c r="Y2021" s="131">
        <v>300</v>
      </c>
      <c r="Z2021" s="131">
        <v>15200</v>
      </c>
      <c r="AA2021" s="131">
        <v>300</v>
      </c>
      <c r="AB2021" s="131">
        <v>15200</v>
      </c>
      <c r="AC2021" s="131">
        <v>300</v>
      </c>
      <c r="AD2021" s="131">
        <v>5270</v>
      </c>
      <c r="AE2021" s="132">
        <v>10230</v>
      </c>
    </row>
    <row r="2022" spans="1:31" x14ac:dyDescent="0.2">
      <c r="A2022" s="133">
        <v>343</v>
      </c>
      <c r="B2022" s="133" t="s">
        <v>2198</v>
      </c>
      <c r="C2022" s="133" t="s">
        <v>1147</v>
      </c>
      <c r="D2022" s="133" t="s">
        <v>2017</v>
      </c>
      <c r="E2022" s="133" t="s">
        <v>1116</v>
      </c>
      <c r="F2022" s="133" t="s">
        <v>1117</v>
      </c>
      <c r="G2022" s="133" t="s">
        <v>1118</v>
      </c>
      <c r="H2022" s="130" t="s">
        <v>1133</v>
      </c>
      <c r="I2022" s="130" t="s">
        <v>1134</v>
      </c>
      <c r="J2022" s="130" t="s">
        <v>1135</v>
      </c>
      <c r="K2022" s="130" t="s">
        <v>1178</v>
      </c>
      <c r="L2022" s="130" t="s">
        <v>2199</v>
      </c>
      <c r="M2022" s="130" t="s">
        <v>1925</v>
      </c>
      <c r="N2022" s="130" t="s">
        <v>152</v>
      </c>
      <c r="O2022" s="130" t="s">
        <v>1125</v>
      </c>
      <c r="P2022" s="130" t="s">
        <v>2019</v>
      </c>
      <c r="Q2022" s="130" t="s">
        <v>1127</v>
      </c>
      <c r="R2022" s="130" t="s">
        <v>1140</v>
      </c>
      <c r="S2022" s="130" t="s">
        <v>1141</v>
      </c>
      <c r="T2022" s="130" t="s">
        <v>1188</v>
      </c>
      <c r="U2022" s="130">
        <v>0</v>
      </c>
      <c r="V2022" s="131">
        <v>36000</v>
      </c>
      <c r="W2022" s="131">
        <v>36000</v>
      </c>
      <c r="X2022" s="131">
        <v>36000</v>
      </c>
      <c r="Y2022" s="131">
        <v>0</v>
      </c>
      <c r="Z2022" s="131">
        <v>36000</v>
      </c>
      <c r="AA2022" s="131">
        <v>0</v>
      </c>
      <c r="AB2022" s="131">
        <v>35447.46</v>
      </c>
      <c r="AC2022" s="131">
        <v>552.54000000000087</v>
      </c>
      <c r="AD2022" s="131">
        <v>35447.46</v>
      </c>
      <c r="AE2022" s="132">
        <v>552.54000000000087</v>
      </c>
    </row>
    <row r="2023" spans="1:31" x14ac:dyDescent="0.2">
      <c r="A2023" s="133">
        <v>343</v>
      </c>
      <c r="B2023" s="133" t="s">
        <v>2198</v>
      </c>
      <c r="C2023" s="133" t="s">
        <v>1147</v>
      </c>
      <c r="D2023" s="133" t="s">
        <v>2017</v>
      </c>
      <c r="E2023" s="133" t="s">
        <v>1116</v>
      </c>
      <c r="F2023" s="133" t="s">
        <v>1117</v>
      </c>
      <c r="G2023" s="133" t="s">
        <v>1118</v>
      </c>
      <c r="H2023" s="133" t="s">
        <v>1133</v>
      </c>
      <c r="I2023" s="133" t="s">
        <v>1134</v>
      </c>
      <c r="J2023" s="133" t="s">
        <v>1135</v>
      </c>
      <c r="K2023" s="130" t="s">
        <v>1179</v>
      </c>
      <c r="L2023" s="130" t="s">
        <v>2199</v>
      </c>
      <c r="M2023" s="130" t="s">
        <v>1925</v>
      </c>
      <c r="N2023" s="130" t="s">
        <v>152</v>
      </c>
      <c r="O2023" s="130" t="s">
        <v>1125</v>
      </c>
      <c r="P2023" s="130" t="s">
        <v>2019</v>
      </c>
      <c r="Q2023" s="130" t="s">
        <v>1127</v>
      </c>
      <c r="R2023" s="130" t="s">
        <v>1140</v>
      </c>
      <c r="S2023" s="130" t="s">
        <v>1141</v>
      </c>
      <c r="T2023" s="130" t="s">
        <v>1188</v>
      </c>
      <c r="U2023" s="130">
        <v>0</v>
      </c>
      <c r="V2023" s="131">
        <v>6330</v>
      </c>
      <c r="W2023" s="131">
        <v>6330</v>
      </c>
      <c r="X2023" s="131">
        <v>2377</v>
      </c>
      <c r="Y2023" s="131">
        <v>3953</v>
      </c>
      <c r="Z2023" s="131">
        <v>2377</v>
      </c>
      <c r="AA2023" s="131">
        <v>3953</v>
      </c>
      <c r="AB2023" s="131">
        <v>2377</v>
      </c>
      <c r="AC2023" s="131">
        <v>3953</v>
      </c>
      <c r="AD2023" s="131">
        <v>2377</v>
      </c>
      <c r="AE2023" s="132">
        <v>3953</v>
      </c>
    </row>
    <row r="2024" spans="1:31" x14ac:dyDescent="0.2">
      <c r="A2024" s="133">
        <v>343</v>
      </c>
      <c r="B2024" s="133" t="s">
        <v>2198</v>
      </c>
      <c r="C2024" s="133" t="s">
        <v>1147</v>
      </c>
      <c r="D2024" s="133" t="s">
        <v>2017</v>
      </c>
      <c r="E2024" s="133" t="s">
        <v>1116</v>
      </c>
      <c r="F2024" s="133" t="s">
        <v>1117</v>
      </c>
      <c r="G2024" s="133" t="s">
        <v>1118</v>
      </c>
      <c r="H2024" s="133" t="s">
        <v>1133</v>
      </c>
      <c r="I2024" s="133" t="s">
        <v>1134</v>
      </c>
      <c r="J2024" s="133" t="s">
        <v>1135</v>
      </c>
      <c r="K2024" s="130" t="s">
        <v>1144</v>
      </c>
      <c r="L2024" s="130" t="s">
        <v>2199</v>
      </c>
      <c r="M2024" s="130" t="s">
        <v>1925</v>
      </c>
      <c r="N2024" s="130" t="s">
        <v>152</v>
      </c>
      <c r="O2024" s="130" t="s">
        <v>1125</v>
      </c>
      <c r="P2024" s="130" t="s">
        <v>2019</v>
      </c>
      <c r="Q2024" s="130" t="s">
        <v>1127</v>
      </c>
      <c r="R2024" s="130" t="s">
        <v>1140</v>
      </c>
      <c r="S2024" s="130" t="s">
        <v>1141</v>
      </c>
      <c r="T2024" s="130" t="s">
        <v>1188</v>
      </c>
      <c r="U2024" s="130">
        <v>0</v>
      </c>
      <c r="V2024" s="131">
        <v>11000</v>
      </c>
      <c r="W2024" s="131">
        <v>11000</v>
      </c>
      <c r="X2024" s="131">
        <v>0</v>
      </c>
      <c r="Y2024" s="131">
        <v>11000</v>
      </c>
      <c r="Z2024" s="131">
        <v>0</v>
      </c>
      <c r="AA2024" s="131">
        <v>11000</v>
      </c>
      <c r="AB2024" s="131">
        <v>0</v>
      </c>
      <c r="AC2024" s="131">
        <v>11000</v>
      </c>
      <c r="AD2024" s="131">
        <v>0</v>
      </c>
      <c r="AE2024" s="132">
        <v>11000</v>
      </c>
    </row>
    <row r="2025" spans="1:31" x14ac:dyDescent="0.2">
      <c r="A2025" s="133">
        <v>343</v>
      </c>
      <c r="B2025" s="133" t="s">
        <v>2198</v>
      </c>
      <c r="C2025" s="133" t="s">
        <v>1147</v>
      </c>
      <c r="D2025" s="133" t="s">
        <v>2017</v>
      </c>
      <c r="E2025" s="130" t="s">
        <v>1143</v>
      </c>
      <c r="F2025" s="130" t="s">
        <v>1117</v>
      </c>
      <c r="G2025" s="130" t="s">
        <v>1118</v>
      </c>
      <c r="H2025" s="130" t="s">
        <v>1149</v>
      </c>
      <c r="I2025" s="130" t="s">
        <v>1182</v>
      </c>
      <c r="J2025" s="130" t="s">
        <v>1942</v>
      </c>
      <c r="K2025" s="130" t="s">
        <v>1944</v>
      </c>
      <c r="L2025" s="130" t="s">
        <v>2199</v>
      </c>
      <c r="M2025" s="130" t="s">
        <v>1925</v>
      </c>
      <c r="N2025" s="130" t="s">
        <v>152</v>
      </c>
      <c r="O2025" s="130" t="s">
        <v>1125</v>
      </c>
      <c r="P2025" s="130" t="s">
        <v>2019</v>
      </c>
      <c r="Q2025" s="130" t="s">
        <v>1127</v>
      </c>
      <c r="R2025" s="130" t="s">
        <v>1140</v>
      </c>
      <c r="S2025" s="130" t="s">
        <v>1141</v>
      </c>
      <c r="T2025" s="130" t="s">
        <v>1188</v>
      </c>
      <c r="U2025" s="130">
        <v>0</v>
      </c>
      <c r="V2025" s="131">
        <v>3545000</v>
      </c>
      <c r="W2025" s="131">
        <v>3545000</v>
      </c>
      <c r="X2025" s="131">
        <v>3484000</v>
      </c>
      <c r="Y2025" s="131">
        <v>61000</v>
      </c>
      <c r="Z2025" s="131">
        <v>0</v>
      </c>
      <c r="AA2025" s="131">
        <v>3545000</v>
      </c>
      <c r="AB2025" s="131">
        <v>0</v>
      </c>
      <c r="AC2025" s="131">
        <v>3545000</v>
      </c>
      <c r="AD2025" s="131">
        <v>0</v>
      </c>
      <c r="AE2025" s="132">
        <v>3545000</v>
      </c>
    </row>
    <row r="2026" spans="1:31" x14ac:dyDescent="0.2">
      <c r="A2026" s="130">
        <v>344</v>
      </c>
      <c r="B2026" s="130" t="s">
        <v>2200</v>
      </c>
      <c r="C2026" s="130" t="s">
        <v>1147</v>
      </c>
      <c r="D2026" s="130" t="s">
        <v>2084</v>
      </c>
      <c r="E2026" s="130" t="s">
        <v>1116</v>
      </c>
      <c r="F2026" s="130" t="s">
        <v>1117</v>
      </c>
      <c r="G2026" s="130" t="s">
        <v>1118</v>
      </c>
      <c r="H2026" s="130" t="s">
        <v>1119</v>
      </c>
      <c r="I2026" s="130" t="s">
        <v>1120</v>
      </c>
      <c r="J2026" s="130" t="s">
        <v>1121</v>
      </c>
      <c r="K2026" s="130" t="s">
        <v>1122</v>
      </c>
      <c r="L2026" s="130" t="s">
        <v>2201</v>
      </c>
      <c r="M2026" s="130" t="s">
        <v>1124</v>
      </c>
      <c r="N2026" s="130" t="s">
        <v>152</v>
      </c>
      <c r="O2026" s="130" t="s">
        <v>1125</v>
      </c>
      <c r="P2026" s="130" t="s">
        <v>1126</v>
      </c>
      <c r="Q2026" s="130" t="s">
        <v>1127</v>
      </c>
      <c r="R2026" s="130" t="s">
        <v>1499</v>
      </c>
      <c r="S2026" s="130" t="s">
        <v>2202</v>
      </c>
      <c r="T2026" s="130" t="s">
        <v>2203</v>
      </c>
      <c r="U2026" s="130">
        <v>0</v>
      </c>
      <c r="V2026" s="131">
        <v>0</v>
      </c>
      <c r="W2026" s="131">
        <v>0</v>
      </c>
      <c r="X2026" s="131">
        <v>0</v>
      </c>
      <c r="Y2026" s="131">
        <v>0</v>
      </c>
      <c r="Z2026" s="131">
        <v>0</v>
      </c>
      <c r="AA2026" s="131">
        <v>0</v>
      </c>
      <c r="AB2026" s="131">
        <v>0</v>
      </c>
      <c r="AC2026" s="131">
        <v>0</v>
      </c>
      <c r="AD2026" s="131">
        <v>0</v>
      </c>
      <c r="AE2026" s="132">
        <v>0</v>
      </c>
    </row>
    <row r="2027" spans="1:31" x14ac:dyDescent="0.2">
      <c r="A2027" s="133">
        <v>344</v>
      </c>
      <c r="B2027" s="133" t="s">
        <v>2200</v>
      </c>
      <c r="C2027" s="133" t="s">
        <v>1147</v>
      </c>
      <c r="D2027" s="133" t="s">
        <v>2084</v>
      </c>
      <c r="E2027" s="133" t="s">
        <v>1116</v>
      </c>
      <c r="F2027" s="133" t="s">
        <v>1117</v>
      </c>
      <c r="G2027" s="133" t="s">
        <v>1118</v>
      </c>
      <c r="H2027" s="130" t="s">
        <v>1149</v>
      </c>
      <c r="I2027" s="130" t="s">
        <v>1150</v>
      </c>
      <c r="J2027" s="130" t="s">
        <v>1150</v>
      </c>
      <c r="K2027" s="130" t="s">
        <v>1469</v>
      </c>
      <c r="L2027" s="130" t="s">
        <v>2201</v>
      </c>
      <c r="M2027" s="130" t="s">
        <v>1124</v>
      </c>
      <c r="N2027" s="130" t="s">
        <v>152</v>
      </c>
      <c r="O2027" s="130" t="s">
        <v>1125</v>
      </c>
      <c r="P2027" s="130" t="s">
        <v>1126</v>
      </c>
      <c r="Q2027" s="130" t="s">
        <v>1127</v>
      </c>
      <c r="R2027" s="130" t="s">
        <v>1499</v>
      </c>
      <c r="S2027" s="130" t="s">
        <v>2202</v>
      </c>
      <c r="T2027" s="130" t="s">
        <v>2203</v>
      </c>
      <c r="U2027" s="130">
        <v>0</v>
      </c>
      <c r="V2027" s="131">
        <v>957620</v>
      </c>
      <c r="W2027" s="131">
        <v>957620</v>
      </c>
      <c r="X2027" s="131">
        <v>0</v>
      </c>
      <c r="Y2027" s="131">
        <v>957620</v>
      </c>
      <c r="Z2027" s="131">
        <v>0</v>
      </c>
      <c r="AA2027" s="131">
        <v>957620</v>
      </c>
      <c r="AB2027" s="131">
        <v>0</v>
      </c>
      <c r="AC2027" s="131">
        <v>957620</v>
      </c>
      <c r="AD2027" s="131">
        <v>0</v>
      </c>
      <c r="AE2027" s="132">
        <v>957620</v>
      </c>
    </row>
    <row r="2028" spans="1:31" x14ac:dyDescent="0.2">
      <c r="A2028" s="133">
        <v>344</v>
      </c>
      <c r="B2028" s="133" t="s">
        <v>2200</v>
      </c>
      <c r="C2028" s="133" t="s">
        <v>1147</v>
      </c>
      <c r="D2028" s="133" t="s">
        <v>2084</v>
      </c>
      <c r="E2028" s="133" t="s">
        <v>1116</v>
      </c>
      <c r="F2028" s="133" t="s">
        <v>1117</v>
      </c>
      <c r="G2028" s="133" t="s">
        <v>1118</v>
      </c>
      <c r="H2028" s="130" t="s">
        <v>1159</v>
      </c>
      <c r="I2028" s="130" t="s">
        <v>1160</v>
      </c>
      <c r="J2028" s="130" t="s">
        <v>1163</v>
      </c>
      <c r="K2028" s="130" t="s">
        <v>1164</v>
      </c>
      <c r="L2028" s="130" t="s">
        <v>2201</v>
      </c>
      <c r="M2028" s="130" t="s">
        <v>1124</v>
      </c>
      <c r="N2028" s="130" t="s">
        <v>152</v>
      </c>
      <c r="O2028" s="130" t="s">
        <v>1125</v>
      </c>
      <c r="P2028" s="130" t="s">
        <v>1126</v>
      </c>
      <c r="Q2028" s="130" t="s">
        <v>1127</v>
      </c>
      <c r="R2028" s="130" t="s">
        <v>1499</v>
      </c>
      <c r="S2028" s="130" t="s">
        <v>2202</v>
      </c>
      <c r="T2028" s="130" t="s">
        <v>2203</v>
      </c>
      <c r="U2028" s="130">
        <v>0</v>
      </c>
      <c r="V2028" s="131">
        <v>36539</v>
      </c>
      <c r="W2028" s="131">
        <v>36539</v>
      </c>
      <c r="X2028" s="131">
        <v>36539</v>
      </c>
      <c r="Y2028" s="131">
        <v>0</v>
      </c>
      <c r="Z2028" s="131">
        <v>36539</v>
      </c>
      <c r="AA2028" s="131">
        <v>0</v>
      </c>
      <c r="AB2028" s="131">
        <v>27561.469999999998</v>
      </c>
      <c r="AC2028" s="131">
        <v>8977.5300000000025</v>
      </c>
      <c r="AD2028" s="131">
        <v>27561.469999999998</v>
      </c>
      <c r="AE2028" s="132">
        <v>8977.5300000000025</v>
      </c>
    </row>
    <row r="2029" spans="1:31" x14ac:dyDescent="0.2">
      <c r="A2029" s="133">
        <v>344</v>
      </c>
      <c r="B2029" s="133" t="s">
        <v>2200</v>
      </c>
      <c r="C2029" s="133" t="s">
        <v>1147</v>
      </c>
      <c r="D2029" s="133" t="s">
        <v>2084</v>
      </c>
      <c r="E2029" s="133" t="s">
        <v>1116</v>
      </c>
      <c r="F2029" s="133" t="s">
        <v>1117</v>
      </c>
      <c r="G2029" s="133" t="s">
        <v>1118</v>
      </c>
      <c r="H2029" s="133" t="s">
        <v>1159</v>
      </c>
      <c r="I2029" s="133" t="s">
        <v>1160</v>
      </c>
      <c r="J2029" s="133" t="s">
        <v>1163</v>
      </c>
      <c r="K2029" s="130" t="s">
        <v>1165</v>
      </c>
      <c r="L2029" s="130" t="s">
        <v>2201</v>
      </c>
      <c r="M2029" s="130" t="s">
        <v>1124</v>
      </c>
      <c r="N2029" s="130" t="s">
        <v>152</v>
      </c>
      <c r="O2029" s="130" t="s">
        <v>1125</v>
      </c>
      <c r="P2029" s="130" t="s">
        <v>1126</v>
      </c>
      <c r="Q2029" s="130" t="s">
        <v>1127</v>
      </c>
      <c r="R2029" s="130" t="s">
        <v>1499</v>
      </c>
      <c r="S2029" s="130" t="s">
        <v>2202</v>
      </c>
      <c r="T2029" s="130" t="s">
        <v>2203</v>
      </c>
      <c r="U2029" s="130">
        <v>0</v>
      </c>
      <c r="V2029" s="131">
        <v>6248</v>
      </c>
      <c r="W2029" s="131">
        <v>6248</v>
      </c>
      <c r="X2029" s="131">
        <v>0</v>
      </c>
      <c r="Y2029" s="131">
        <v>6248</v>
      </c>
      <c r="Z2029" s="131">
        <v>0</v>
      </c>
      <c r="AA2029" s="131">
        <v>6248</v>
      </c>
      <c r="AB2029" s="131">
        <v>0</v>
      </c>
      <c r="AC2029" s="131">
        <v>6248</v>
      </c>
      <c r="AD2029" s="131">
        <v>0</v>
      </c>
      <c r="AE2029" s="132">
        <v>6248</v>
      </c>
    </row>
    <row r="2030" spans="1:31" x14ac:dyDescent="0.2">
      <c r="A2030" s="133">
        <v>344</v>
      </c>
      <c r="B2030" s="133" t="s">
        <v>2200</v>
      </c>
      <c r="C2030" s="133" t="s">
        <v>1147</v>
      </c>
      <c r="D2030" s="133" t="s">
        <v>2084</v>
      </c>
      <c r="E2030" s="133" t="s">
        <v>1116</v>
      </c>
      <c r="F2030" s="133" t="s">
        <v>1117</v>
      </c>
      <c r="G2030" s="133" t="s">
        <v>1118</v>
      </c>
      <c r="H2030" s="133" t="s">
        <v>1159</v>
      </c>
      <c r="I2030" s="133" t="s">
        <v>1160</v>
      </c>
      <c r="J2030" s="133" t="s">
        <v>1163</v>
      </c>
      <c r="K2030" s="130" t="s">
        <v>1162</v>
      </c>
      <c r="L2030" s="130" t="s">
        <v>2201</v>
      </c>
      <c r="M2030" s="130" t="s">
        <v>1124</v>
      </c>
      <c r="N2030" s="130" t="s">
        <v>152</v>
      </c>
      <c r="O2030" s="130" t="s">
        <v>1125</v>
      </c>
      <c r="P2030" s="130" t="s">
        <v>1126</v>
      </c>
      <c r="Q2030" s="130" t="s">
        <v>1127</v>
      </c>
      <c r="R2030" s="130" t="s">
        <v>1499</v>
      </c>
      <c r="S2030" s="130" t="s">
        <v>2202</v>
      </c>
      <c r="T2030" s="130" t="s">
        <v>2203</v>
      </c>
      <c r="U2030" s="130">
        <v>0</v>
      </c>
      <c r="V2030" s="131">
        <v>7150</v>
      </c>
      <c r="W2030" s="131">
        <v>7150</v>
      </c>
      <c r="X2030" s="131">
        <v>0</v>
      </c>
      <c r="Y2030" s="131">
        <v>7150</v>
      </c>
      <c r="Z2030" s="131">
        <v>0</v>
      </c>
      <c r="AA2030" s="131">
        <v>7150</v>
      </c>
      <c r="AB2030" s="131">
        <v>0</v>
      </c>
      <c r="AC2030" s="131">
        <v>7150</v>
      </c>
      <c r="AD2030" s="131">
        <v>0</v>
      </c>
      <c r="AE2030" s="132">
        <v>7150</v>
      </c>
    </row>
    <row r="2031" spans="1:31" x14ac:dyDescent="0.2">
      <c r="A2031" s="133">
        <v>344</v>
      </c>
      <c r="B2031" s="133" t="s">
        <v>2200</v>
      </c>
      <c r="C2031" s="133" t="s">
        <v>1147</v>
      </c>
      <c r="D2031" s="133" t="s">
        <v>2084</v>
      </c>
      <c r="E2031" s="133" t="s">
        <v>1116</v>
      </c>
      <c r="F2031" s="133" t="s">
        <v>1117</v>
      </c>
      <c r="G2031" s="133" t="s">
        <v>1118</v>
      </c>
      <c r="H2031" s="130" t="s">
        <v>1133</v>
      </c>
      <c r="I2031" s="130" t="s">
        <v>1134</v>
      </c>
      <c r="J2031" s="130" t="s">
        <v>1135</v>
      </c>
      <c r="K2031" s="130" t="s">
        <v>1178</v>
      </c>
      <c r="L2031" s="130" t="s">
        <v>2201</v>
      </c>
      <c r="M2031" s="130" t="s">
        <v>1124</v>
      </c>
      <c r="N2031" s="130" t="s">
        <v>152</v>
      </c>
      <c r="O2031" s="130" t="s">
        <v>1125</v>
      </c>
      <c r="P2031" s="130" t="s">
        <v>1126</v>
      </c>
      <c r="Q2031" s="130" t="s">
        <v>1127</v>
      </c>
      <c r="R2031" s="130" t="s">
        <v>1499</v>
      </c>
      <c r="S2031" s="130" t="s">
        <v>2202</v>
      </c>
      <c r="T2031" s="130" t="s">
        <v>2203</v>
      </c>
      <c r="U2031" s="130">
        <v>0</v>
      </c>
      <c r="V2031" s="131">
        <v>29700</v>
      </c>
      <c r="W2031" s="131">
        <v>29700</v>
      </c>
      <c r="X2031" s="131">
        <v>14000</v>
      </c>
      <c r="Y2031" s="131">
        <v>15700</v>
      </c>
      <c r="Z2031" s="131">
        <v>14000</v>
      </c>
      <c r="AA2031" s="131">
        <v>15700</v>
      </c>
      <c r="AB2031" s="131">
        <v>9376.2100000000009</v>
      </c>
      <c r="AC2031" s="131">
        <v>20323.79</v>
      </c>
      <c r="AD2031" s="131">
        <v>9376.2099999999991</v>
      </c>
      <c r="AE2031" s="132">
        <v>20323.79</v>
      </c>
    </row>
    <row r="2032" spans="1:31" x14ac:dyDescent="0.2">
      <c r="A2032" s="133">
        <v>344</v>
      </c>
      <c r="B2032" s="133" t="s">
        <v>2200</v>
      </c>
      <c r="C2032" s="133" t="s">
        <v>1147</v>
      </c>
      <c r="D2032" s="133" t="s">
        <v>2084</v>
      </c>
      <c r="E2032" s="133" t="s">
        <v>1116</v>
      </c>
      <c r="F2032" s="133" t="s">
        <v>1117</v>
      </c>
      <c r="G2032" s="133" t="s">
        <v>1118</v>
      </c>
      <c r="H2032" s="133" t="s">
        <v>1133</v>
      </c>
      <c r="I2032" s="133" t="s">
        <v>1134</v>
      </c>
      <c r="J2032" s="133" t="s">
        <v>1135</v>
      </c>
      <c r="K2032" s="130" t="s">
        <v>1179</v>
      </c>
      <c r="L2032" s="130" t="s">
        <v>2201</v>
      </c>
      <c r="M2032" s="130" t="s">
        <v>1124</v>
      </c>
      <c r="N2032" s="130" t="s">
        <v>152</v>
      </c>
      <c r="O2032" s="130" t="s">
        <v>1125</v>
      </c>
      <c r="P2032" s="130" t="s">
        <v>1126</v>
      </c>
      <c r="Q2032" s="130" t="s">
        <v>1127</v>
      </c>
      <c r="R2032" s="130" t="s">
        <v>1499</v>
      </c>
      <c r="S2032" s="130" t="s">
        <v>2202</v>
      </c>
      <c r="T2032" s="130" t="s">
        <v>2203</v>
      </c>
      <c r="U2032" s="130">
        <v>0</v>
      </c>
      <c r="V2032" s="131">
        <v>1098</v>
      </c>
      <c r="W2032" s="131">
        <v>1098</v>
      </c>
      <c r="X2032" s="131">
        <v>0</v>
      </c>
      <c r="Y2032" s="131">
        <v>1098</v>
      </c>
      <c r="Z2032" s="131">
        <v>0</v>
      </c>
      <c r="AA2032" s="131">
        <v>1098</v>
      </c>
      <c r="AB2032" s="131">
        <v>0</v>
      </c>
      <c r="AC2032" s="131">
        <v>1098</v>
      </c>
      <c r="AD2032" s="131">
        <v>0</v>
      </c>
      <c r="AE2032" s="132">
        <v>1098</v>
      </c>
    </row>
    <row r="2033" spans="1:31" x14ac:dyDescent="0.2">
      <c r="A2033" s="133">
        <v>344</v>
      </c>
      <c r="B2033" s="133" t="s">
        <v>2200</v>
      </c>
      <c r="C2033" s="133" t="s">
        <v>1147</v>
      </c>
      <c r="D2033" s="133" t="s">
        <v>2084</v>
      </c>
      <c r="E2033" s="133" t="s">
        <v>1116</v>
      </c>
      <c r="F2033" s="133" t="s">
        <v>1117</v>
      </c>
      <c r="G2033" s="133" t="s">
        <v>1118</v>
      </c>
      <c r="H2033" s="133" t="s">
        <v>1133</v>
      </c>
      <c r="I2033" s="133" t="s">
        <v>1134</v>
      </c>
      <c r="J2033" s="133" t="s">
        <v>1135</v>
      </c>
      <c r="K2033" s="130" t="s">
        <v>1144</v>
      </c>
      <c r="L2033" s="130" t="s">
        <v>2201</v>
      </c>
      <c r="M2033" s="130" t="s">
        <v>1124</v>
      </c>
      <c r="N2033" s="130" t="s">
        <v>152</v>
      </c>
      <c r="O2033" s="130" t="s">
        <v>1125</v>
      </c>
      <c r="P2033" s="130" t="s">
        <v>1126</v>
      </c>
      <c r="Q2033" s="130" t="s">
        <v>1127</v>
      </c>
      <c r="R2033" s="130" t="s">
        <v>1499</v>
      </c>
      <c r="S2033" s="130" t="s">
        <v>2202</v>
      </c>
      <c r="T2033" s="130" t="s">
        <v>2203</v>
      </c>
      <c r="U2033" s="130">
        <v>0</v>
      </c>
      <c r="V2033" s="131">
        <v>6266</v>
      </c>
      <c r="W2033" s="131">
        <v>6266</v>
      </c>
      <c r="X2033" s="131">
        <v>0</v>
      </c>
      <c r="Y2033" s="131">
        <v>6266</v>
      </c>
      <c r="Z2033" s="131">
        <v>0</v>
      </c>
      <c r="AA2033" s="131">
        <v>6266</v>
      </c>
      <c r="AB2033" s="131">
        <v>0</v>
      </c>
      <c r="AC2033" s="131">
        <v>6266</v>
      </c>
      <c r="AD2033" s="131">
        <v>0</v>
      </c>
      <c r="AE2033" s="132">
        <v>6266</v>
      </c>
    </row>
    <row r="2034" spans="1:31" x14ac:dyDescent="0.2">
      <c r="A2034" s="130">
        <v>345</v>
      </c>
      <c r="B2034" s="130" t="s">
        <v>2204</v>
      </c>
      <c r="C2034" s="130" t="s">
        <v>1147</v>
      </c>
      <c r="D2034" s="130" t="s">
        <v>1181</v>
      </c>
      <c r="E2034" s="130" t="s">
        <v>1116</v>
      </c>
      <c r="F2034" s="130" t="s">
        <v>1117</v>
      </c>
      <c r="G2034" s="130" t="s">
        <v>1118</v>
      </c>
      <c r="H2034" s="130" t="s">
        <v>1119</v>
      </c>
      <c r="I2034" s="130" t="s">
        <v>1120</v>
      </c>
      <c r="J2034" s="130" t="s">
        <v>1358</v>
      </c>
      <c r="K2034" s="130" t="s">
        <v>1131</v>
      </c>
      <c r="L2034" s="130" t="s">
        <v>2205</v>
      </c>
      <c r="M2034" s="130" t="s">
        <v>1360</v>
      </c>
      <c r="N2034" s="130" t="s">
        <v>168</v>
      </c>
      <c r="O2034" s="130" t="s">
        <v>1361</v>
      </c>
      <c r="P2034" s="130" t="s">
        <v>1362</v>
      </c>
      <c r="Q2034" s="130" t="s">
        <v>1127</v>
      </c>
      <c r="R2034" s="130" t="s">
        <v>1175</v>
      </c>
      <c r="S2034" s="130" t="s">
        <v>1455</v>
      </c>
      <c r="T2034" s="130" t="s">
        <v>1188</v>
      </c>
      <c r="U2034" s="130">
        <v>0</v>
      </c>
      <c r="V2034" s="131">
        <v>15433</v>
      </c>
      <c r="W2034" s="131">
        <v>15433</v>
      </c>
      <c r="X2034" s="131">
        <v>15432.22</v>
      </c>
      <c r="Y2034" s="131">
        <v>0.78000000000065484</v>
      </c>
      <c r="Z2034" s="131">
        <v>15432.22</v>
      </c>
      <c r="AA2034" s="131">
        <v>0.78000000000065484</v>
      </c>
      <c r="AB2034" s="131">
        <v>15432.220000000001</v>
      </c>
      <c r="AC2034" s="131">
        <v>0.77999999999883585</v>
      </c>
      <c r="AD2034" s="131">
        <v>15432.220000000001</v>
      </c>
      <c r="AE2034" s="132">
        <v>0.77999999999883585</v>
      </c>
    </row>
    <row r="2035" spans="1:31" x14ac:dyDescent="0.2">
      <c r="A2035" s="133">
        <v>345</v>
      </c>
      <c r="B2035" s="133" t="s">
        <v>2204</v>
      </c>
      <c r="C2035" s="133" t="s">
        <v>1147</v>
      </c>
      <c r="D2035" s="133" t="s">
        <v>1181</v>
      </c>
      <c r="E2035" s="133" t="s">
        <v>1116</v>
      </c>
      <c r="F2035" s="133" t="s">
        <v>1117</v>
      </c>
      <c r="G2035" s="133" t="s">
        <v>1118</v>
      </c>
      <c r="H2035" s="133" t="s">
        <v>1119</v>
      </c>
      <c r="I2035" s="133" t="s">
        <v>1120</v>
      </c>
      <c r="J2035" s="133" t="s">
        <v>1358</v>
      </c>
      <c r="K2035" s="130" t="s">
        <v>1177</v>
      </c>
      <c r="L2035" s="130" t="s">
        <v>2205</v>
      </c>
      <c r="M2035" s="130" t="s">
        <v>1360</v>
      </c>
      <c r="N2035" s="130" t="s">
        <v>168</v>
      </c>
      <c r="O2035" s="130" t="s">
        <v>1361</v>
      </c>
      <c r="P2035" s="130" t="s">
        <v>1362</v>
      </c>
      <c r="Q2035" s="130" t="s">
        <v>1127</v>
      </c>
      <c r="R2035" s="130" t="s">
        <v>1175</v>
      </c>
      <c r="S2035" s="130" t="s">
        <v>1455</v>
      </c>
      <c r="T2035" s="130" t="s">
        <v>1188</v>
      </c>
      <c r="U2035" s="130">
        <v>0</v>
      </c>
      <c r="V2035" s="131">
        <v>1039</v>
      </c>
      <c r="W2035" s="131">
        <v>1039</v>
      </c>
      <c r="X2035" s="131">
        <v>1039</v>
      </c>
      <c r="Y2035" s="131">
        <v>0</v>
      </c>
      <c r="Z2035" s="131">
        <v>1039</v>
      </c>
      <c r="AA2035" s="131">
        <v>0</v>
      </c>
      <c r="AB2035" s="131">
        <v>1039</v>
      </c>
      <c r="AC2035" s="131">
        <v>0</v>
      </c>
      <c r="AD2035" s="131">
        <v>1039</v>
      </c>
      <c r="AE2035" s="132">
        <v>0</v>
      </c>
    </row>
    <row r="2036" spans="1:31" x14ac:dyDescent="0.2">
      <c r="A2036" s="133">
        <v>345</v>
      </c>
      <c r="B2036" s="133" t="s">
        <v>2204</v>
      </c>
      <c r="C2036" s="133" t="s">
        <v>1147</v>
      </c>
      <c r="D2036" s="133" t="s">
        <v>1181</v>
      </c>
      <c r="E2036" s="133" t="s">
        <v>1116</v>
      </c>
      <c r="F2036" s="133" t="s">
        <v>1117</v>
      </c>
      <c r="G2036" s="133" t="s">
        <v>1118</v>
      </c>
      <c r="H2036" s="133" t="s">
        <v>1119</v>
      </c>
      <c r="I2036" s="133" t="s">
        <v>1120</v>
      </c>
      <c r="J2036" s="133" t="s">
        <v>1358</v>
      </c>
      <c r="K2036" s="130" t="s">
        <v>1132</v>
      </c>
      <c r="L2036" s="130" t="s">
        <v>2205</v>
      </c>
      <c r="M2036" s="130" t="s">
        <v>1360</v>
      </c>
      <c r="N2036" s="130" t="s">
        <v>168</v>
      </c>
      <c r="O2036" s="130" t="s">
        <v>1361</v>
      </c>
      <c r="P2036" s="130" t="s">
        <v>1362</v>
      </c>
      <c r="Q2036" s="130" t="s">
        <v>1127</v>
      </c>
      <c r="R2036" s="130" t="s">
        <v>1175</v>
      </c>
      <c r="S2036" s="130" t="s">
        <v>1455</v>
      </c>
      <c r="T2036" s="130" t="s">
        <v>1188</v>
      </c>
      <c r="U2036" s="130">
        <v>0</v>
      </c>
      <c r="V2036" s="131">
        <v>87410</v>
      </c>
      <c r="W2036" s="131">
        <v>87410</v>
      </c>
      <c r="X2036" s="131">
        <v>87410</v>
      </c>
      <c r="Y2036" s="131">
        <v>0</v>
      </c>
      <c r="Z2036" s="131">
        <v>87410</v>
      </c>
      <c r="AA2036" s="131">
        <v>0</v>
      </c>
      <c r="AB2036" s="131">
        <v>87410</v>
      </c>
      <c r="AC2036" s="131">
        <v>0</v>
      </c>
      <c r="AD2036" s="131">
        <v>87410</v>
      </c>
      <c r="AE2036" s="132">
        <v>0</v>
      </c>
    </row>
    <row r="2037" spans="1:31" x14ac:dyDescent="0.2">
      <c r="A2037" s="133">
        <v>345</v>
      </c>
      <c r="B2037" s="133" t="s">
        <v>2204</v>
      </c>
      <c r="C2037" s="133" t="s">
        <v>1147</v>
      </c>
      <c r="D2037" s="133" t="s">
        <v>1181</v>
      </c>
      <c r="E2037" s="133" t="s">
        <v>1116</v>
      </c>
      <c r="F2037" s="133" t="s">
        <v>1117</v>
      </c>
      <c r="G2037" s="133" t="s">
        <v>1118</v>
      </c>
      <c r="H2037" s="130" t="s">
        <v>1149</v>
      </c>
      <c r="I2037" s="130" t="s">
        <v>1182</v>
      </c>
      <c r="J2037" s="130" t="s">
        <v>1382</v>
      </c>
      <c r="K2037" s="130" t="s">
        <v>1378</v>
      </c>
      <c r="L2037" s="130" t="s">
        <v>2205</v>
      </c>
      <c r="M2037" s="130" t="s">
        <v>1360</v>
      </c>
      <c r="N2037" s="130" t="s">
        <v>168</v>
      </c>
      <c r="O2037" s="130" t="s">
        <v>1361</v>
      </c>
      <c r="P2037" s="130" t="s">
        <v>1362</v>
      </c>
      <c r="Q2037" s="130" t="s">
        <v>1127</v>
      </c>
      <c r="R2037" s="130" t="s">
        <v>1175</v>
      </c>
      <c r="S2037" s="130" t="s">
        <v>1455</v>
      </c>
      <c r="T2037" s="130" t="s">
        <v>1188</v>
      </c>
      <c r="U2037" s="130">
        <v>0</v>
      </c>
      <c r="V2037" s="131">
        <v>0</v>
      </c>
      <c r="W2037" s="131">
        <v>0</v>
      </c>
      <c r="X2037" s="131">
        <v>0</v>
      </c>
      <c r="Y2037" s="131">
        <v>0</v>
      </c>
      <c r="Z2037" s="131">
        <v>0</v>
      </c>
      <c r="AA2037" s="131">
        <v>0</v>
      </c>
      <c r="AB2037" s="131">
        <v>0</v>
      </c>
      <c r="AC2037" s="131">
        <v>0</v>
      </c>
      <c r="AD2037" s="131">
        <v>0</v>
      </c>
      <c r="AE2037" s="132">
        <v>0</v>
      </c>
    </row>
    <row r="2038" spans="1:31" x14ac:dyDescent="0.2">
      <c r="A2038" s="133">
        <v>345</v>
      </c>
      <c r="B2038" s="133" t="s">
        <v>2204</v>
      </c>
      <c r="C2038" s="133" t="s">
        <v>1147</v>
      </c>
      <c r="D2038" s="133" t="s">
        <v>1181</v>
      </c>
      <c r="E2038" s="133" t="s">
        <v>1116</v>
      </c>
      <c r="F2038" s="133" t="s">
        <v>1117</v>
      </c>
      <c r="G2038" s="133" t="s">
        <v>1118</v>
      </c>
      <c r="H2038" s="133" t="s">
        <v>1149</v>
      </c>
      <c r="I2038" s="133" t="s">
        <v>1182</v>
      </c>
      <c r="J2038" s="130" t="s">
        <v>1347</v>
      </c>
      <c r="K2038" s="130" t="s">
        <v>1348</v>
      </c>
      <c r="L2038" s="130" t="s">
        <v>2205</v>
      </c>
      <c r="M2038" s="130" t="s">
        <v>1360</v>
      </c>
      <c r="N2038" s="130" t="s">
        <v>168</v>
      </c>
      <c r="O2038" s="130" t="s">
        <v>1361</v>
      </c>
      <c r="P2038" s="130" t="s">
        <v>1362</v>
      </c>
      <c r="Q2038" s="130" t="s">
        <v>1127</v>
      </c>
      <c r="R2038" s="130" t="s">
        <v>1175</v>
      </c>
      <c r="S2038" s="130" t="s">
        <v>1455</v>
      </c>
      <c r="T2038" s="130" t="s">
        <v>1188</v>
      </c>
      <c r="U2038" s="130">
        <v>0</v>
      </c>
      <c r="V2038" s="131">
        <v>143407</v>
      </c>
      <c r="W2038" s="131">
        <v>143407</v>
      </c>
      <c r="X2038" s="131">
        <v>143406.47</v>
      </c>
      <c r="Y2038" s="131">
        <v>0.52999999999883585</v>
      </c>
      <c r="Z2038" s="131">
        <v>143406.47</v>
      </c>
      <c r="AA2038" s="131">
        <v>0.52999999999883585</v>
      </c>
      <c r="AB2038" s="131">
        <v>143406.47</v>
      </c>
      <c r="AC2038" s="131">
        <v>0.52999999999883585</v>
      </c>
      <c r="AD2038" s="131">
        <v>143406.47</v>
      </c>
      <c r="AE2038" s="132">
        <v>0.52999999999883585</v>
      </c>
    </row>
    <row r="2039" spans="1:31" x14ac:dyDescent="0.2">
      <c r="A2039" s="133">
        <v>345</v>
      </c>
      <c r="B2039" s="133" t="s">
        <v>2204</v>
      </c>
      <c r="C2039" s="133" t="s">
        <v>1147</v>
      </c>
      <c r="D2039" s="133" t="s">
        <v>1181</v>
      </c>
      <c r="E2039" s="133" t="s">
        <v>1116</v>
      </c>
      <c r="F2039" s="133" t="s">
        <v>1117</v>
      </c>
      <c r="G2039" s="133" t="s">
        <v>1118</v>
      </c>
      <c r="H2039" s="130" t="s">
        <v>1133</v>
      </c>
      <c r="I2039" s="130" t="s">
        <v>1134</v>
      </c>
      <c r="J2039" s="130" t="s">
        <v>1135</v>
      </c>
      <c r="K2039" s="130" t="s">
        <v>1178</v>
      </c>
      <c r="L2039" s="130" t="s">
        <v>2205</v>
      </c>
      <c r="M2039" s="130" t="s">
        <v>1360</v>
      </c>
      <c r="N2039" s="130" t="s">
        <v>168</v>
      </c>
      <c r="O2039" s="130" t="s">
        <v>1361</v>
      </c>
      <c r="P2039" s="130" t="s">
        <v>1362</v>
      </c>
      <c r="Q2039" s="130" t="s">
        <v>1127</v>
      </c>
      <c r="R2039" s="130" t="s">
        <v>1175</v>
      </c>
      <c r="S2039" s="130" t="s">
        <v>1455</v>
      </c>
      <c r="T2039" s="130" t="s">
        <v>1188</v>
      </c>
      <c r="U2039" s="130">
        <v>0</v>
      </c>
      <c r="V2039" s="131">
        <v>23249</v>
      </c>
      <c r="W2039" s="131">
        <v>23249</v>
      </c>
      <c r="X2039" s="131">
        <v>23249</v>
      </c>
      <c r="Y2039" s="131">
        <v>0</v>
      </c>
      <c r="Z2039" s="131">
        <v>23249</v>
      </c>
      <c r="AA2039" s="131">
        <v>0</v>
      </c>
      <c r="AB2039" s="131">
        <v>22385.97</v>
      </c>
      <c r="AC2039" s="131">
        <v>863.02999999999884</v>
      </c>
      <c r="AD2039" s="131">
        <v>22385.97</v>
      </c>
      <c r="AE2039" s="132">
        <v>863.02999999999884</v>
      </c>
    </row>
    <row r="2040" spans="1:31" x14ac:dyDescent="0.2">
      <c r="A2040" s="133">
        <v>345</v>
      </c>
      <c r="B2040" s="133" t="s">
        <v>2204</v>
      </c>
      <c r="C2040" s="133" t="s">
        <v>1147</v>
      </c>
      <c r="D2040" s="133" t="s">
        <v>1181</v>
      </c>
      <c r="E2040" s="133" t="s">
        <v>1116</v>
      </c>
      <c r="F2040" s="133" t="s">
        <v>1117</v>
      </c>
      <c r="G2040" s="133" t="s">
        <v>1118</v>
      </c>
      <c r="H2040" s="133" t="s">
        <v>1133</v>
      </c>
      <c r="I2040" s="133" t="s">
        <v>1134</v>
      </c>
      <c r="J2040" s="133" t="s">
        <v>1135</v>
      </c>
      <c r="K2040" s="130" t="s">
        <v>1179</v>
      </c>
      <c r="L2040" s="130" t="s">
        <v>2205</v>
      </c>
      <c r="M2040" s="130" t="s">
        <v>1360</v>
      </c>
      <c r="N2040" s="130" t="s">
        <v>168</v>
      </c>
      <c r="O2040" s="130" t="s">
        <v>1361</v>
      </c>
      <c r="P2040" s="130" t="s">
        <v>1362</v>
      </c>
      <c r="Q2040" s="130" t="s">
        <v>1127</v>
      </c>
      <c r="R2040" s="130" t="s">
        <v>1175</v>
      </c>
      <c r="S2040" s="130" t="s">
        <v>1455</v>
      </c>
      <c r="T2040" s="130" t="s">
        <v>1188</v>
      </c>
      <c r="U2040" s="130">
        <v>0</v>
      </c>
      <c r="V2040" s="131">
        <v>569</v>
      </c>
      <c r="W2040" s="131">
        <v>569</v>
      </c>
      <c r="X2040" s="131">
        <v>569</v>
      </c>
      <c r="Y2040" s="131">
        <v>0</v>
      </c>
      <c r="Z2040" s="131">
        <v>569</v>
      </c>
      <c r="AA2040" s="131">
        <v>0</v>
      </c>
      <c r="AB2040" s="131">
        <v>569</v>
      </c>
      <c r="AC2040" s="131">
        <v>0</v>
      </c>
      <c r="AD2040" s="131">
        <v>569</v>
      </c>
      <c r="AE2040" s="132">
        <v>0</v>
      </c>
    </row>
    <row r="2041" spans="1:31" x14ac:dyDescent="0.2">
      <c r="A2041" s="133">
        <v>345</v>
      </c>
      <c r="B2041" s="133" t="s">
        <v>2204</v>
      </c>
      <c r="C2041" s="133" t="s">
        <v>1147</v>
      </c>
      <c r="D2041" s="133" t="s">
        <v>1181</v>
      </c>
      <c r="E2041" s="133" t="s">
        <v>1116</v>
      </c>
      <c r="F2041" s="133" t="s">
        <v>1117</v>
      </c>
      <c r="G2041" s="133" t="s">
        <v>1118</v>
      </c>
      <c r="H2041" s="133" t="s">
        <v>1133</v>
      </c>
      <c r="I2041" s="133" t="s">
        <v>1134</v>
      </c>
      <c r="J2041" s="133" t="s">
        <v>1135</v>
      </c>
      <c r="K2041" s="130" t="s">
        <v>1144</v>
      </c>
      <c r="L2041" s="130" t="s">
        <v>2205</v>
      </c>
      <c r="M2041" s="130" t="s">
        <v>1360</v>
      </c>
      <c r="N2041" s="130" t="s">
        <v>168</v>
      </c>
      <c r="O2041" s="130" t="s">
        <v>1361</v>
      </c>
      <c r="P2041" s="130" t="s">
        <v>1362</v>
      </c>
      <c r="Q2041" s="130" t="s">
        <v>1127</v>
      </c>
      <c r="R2041" s="130" t="s">
        <v>1175</v>
      </c>
      <c r="S2041" s="130" t="s">
        <v>1455</v>
      </c>
      <c r="T2041" s="130" t="s">
        <v>1188</v>
      </c>
      <c r="U2041" s="130">
        <v>0</v>
      </c>
      <c r="V2041" s="131">
        <v>600</v>
      </c>
      <c r="W2041" s="131">
        <v>600</v>
      </c>
      <c r="X2041" s="131">
        <v>600</v>
      </c>
      <c r="Y2041" s="131">
        <v>0</v>
      </c>
      <c r="Z2041" s="131">
        <v>600</v>
      </c>
      <c r="AA2041" s="131">
        <v>0</v>
      </c>
      <c r="AB2041" s="131">
        <v>600</v>
      </c>
      <c r="AC2041" s="131">
        <v>0</v>
      </c>
      <c r="AD2041" s="131">
        <v>600</v>
      </c>
      <c r="AE2041" s="132">
        <v>0</v>
      </c>
    </row>
    <row r="2042" spans="1:31" x14ac:dyDescent="0.2">
      <c r="A2042" s="130">
        <v>346</v>
      </c>
      <c r="B2042" s="130" t="s">
        <v>2206</v>
      </c>
      <c r="C2042" s="130" t="s">
        <v>1147</v>
      </c>
      <c r="D2042" s="130" t="s">
        <v>2017</v>
      </c>
      <c r="E2042" s="130" t="s">
        <v>1116</v>
      </c>
      <c r="F2042" s="130" t="s">
        <v>1117</v>
      </c>
      <c r="G2042" s="130" t="s">
        <v>1118</v>
      </c>
      <c r="H2042" s="130" t="s">
        <v>1149</v>
      </c>
      <c r="I2042" s="130" t="s">
        <v>1182</v>
      </c>
      <c r="J2042" s="130" t="s">
        <v>1942</v>
      </c>
      <c r="K2042" s="130" t="s">
        <v>1944</v>
      </c>
      <c r="L2042" s="130" t="s">
        <v>2207</v>
      </c>
      <c r="M2042" s="130" t="s">
        <v>1925</v>
      </c>
      <c r="N2042" s="130" t="s">
        <v>152</v>
      </c>
      <c r="O2042" s="130" t="s">
        <v>1125</v>
      </c>
      <c r="P2042" s="130" t="s">
        <v>2019</v>
      </c>
      <c r="Q2042" s="130" t="s">
        <v>1127</v>
      </c>
      <c r="R2042" s="130" t="s">
        <v>1175</v>
      </c>
      <c r="S2042" s="130" t="s">
        <v>1157</v>
      </c>
      <c r="T2042" s="130" t="s">
        <v>1188</v>
      </c>
      <c r="U2042" s="130">
        <v>0</v>
      </c>
      <c r="V2042" s="131">
        <v>157601</v>
      </c>
      <c r="W2042" s="131">
        <v>157601</v>
      </c>
      <c r="X2042" s="131">
        <v>124500</v>
      </c>
      <c r="Y2042" s="131">
        <v>33101</v>
      </c>
      <c r="Z2042" s="131">
        <v>124500</v>
      </c>
      <c r="AA2042" s="131">
        <v>33101</v>
      </c>
      <c r="AB2042" s="131">
        <v>124500</v>
      </c>
      <c r="AC2042" s="131">
        <v>33101</v>
      </c>
      <c r="AD2042" s="131">
        <v>0</v>
      </c>
      <c r="AE2042" s="132">
        <v>157601</v>
      </c>
    </row>
    <row r="2043" spans="1:31" x14ac:dyDescent="0.2">
      <c r="A2043" s="133">
        <v>346</v>
      </c>
      <c r="B2043" s="133" t="s">
        <v>2206</v>
      </c>
      <c r="C2043" s="133" t="s">
        <v>1147</v>
      </c>
      <c r="D2043" s="133" t="s">
        <v>2017</v>
      </c>
      <c r="E2043" s="133" t="s">
        <v>1116</v>
      </c>
      <c r="F2043" s="133" t="s">
        <v>1117</v>
      </c>
      <c r="G2043" s="133" t="s">
        <v>1118</v>
      </c>
      <c r="H2043" s="130" t="s">
        <v>1159</v>
      </c>
      <c r="I2043" s="130" t="s">
        <v>1160</v>
      </c>
      <c r="J2043" s="130" t="s">
        <v>1163</v>
      </c>
      <c r="K2043" s="130" t="s">
        <v>1164</v>
      </c>
      <c r="L2043" s="130" t="s">
        <v>2207</v>
      </c>
      <c r="M2043" s="130" t="s">
        <v>1925</v>
      </c>
      <c r="N2043" s="130" t="s">
        <v>152</v>
      </c>
      <c r="O2043" s="130" t="s">
        <v>1125</v>
      </c>
      <c r="P2043" s="130" t="s">
        <v>2019</v>
      </c>
      <c r="Q2043" s="130" t="s">
        <v>1127</v>
      </c>
      <c r="R2043" s="130" t="s">
        <v>1175</v>
      </c>
      <c r="S2043" s="130" t="s">
        <v>1157</v>
      </c>
      <c r="T2043" s="130" t="s">
        <v>1188</v>
      </c>
      <c r="U2043" s="130">
        <v>0</v>
      </c>
      <c r="V2043" s="131">
        <v>150000</v>
      </c>
      <c r="W2043" s="131">
        <v>150000</v>
      </c>
      <c r="X2043" s="131">
        <v>150000</v>
      </c>
      <c r="Y2043" s="131">
        <v>0</v>
      </c>
      <c r="Z2043" s="131">
        <v>126685.79</v>
      </c>
      <c r="AA2043" s="131">
        <v>23314.210000000006</v>
      </c>
      <c r="AB2043" s="131">
        <v>117824.28</v>
      </c>
      <c r="AC2043" s="131">
        <v>32175.72</v>
      </c>
      <c r="AD2043" s="131">
        <v>117824.28</v>
      </c>
      <c r="AE2043" s="132">
        <v>32175.72</v>
      </c>
    </row>
    <row r="2044" spans="1:31" x14ac:dyDescent="0.2">
      <c r="A2044" s="133">
        <v>346</v>
      </c>
      <c r="B2044" s="133" t="s">
        <v>2206</v>
      </c>
      <c r="C2044" s="133" t="s">
        <v>1147</v>
      </c>
      <c r="D2044" s="133" t="s">
        <v>2017</v>
      </c>
      <c r="E2044" s="133" t="s">
        <v>1116</v>
      </c>
      <c r="F2044" s="133" t="s">
        <v>1117</v>
      </c>
      <c r="G2044" s="133" t="s">
        <v>1118</v>
      </c>
      <c r="H2044" s="133" t="s">
        <v>1159</v>
      </c>
      <c r="I2044" s="133" t="s">
        <v>1160</v>
      </c>
      <c r="J2044" s="133" t="s">
        <v>1163</v>
      </c>
      <c r="K2044" s="130" t="s">
        <v>1165</v>
      </c>
      <c r="L2044" s="130" t="s">
        <v>2207</v>
      </c>
      <c r="M2044" s="130" t="s">
        <v>1925</v>
      </c>
      <c r="N2044" s="130" t="s">
        <v>152</v>
      </c>
      <c r="O2044" s="130" t="s">
        <v>1125</v>
      </c>
      <c r="P2044" s="130" t="s">
        <v>2019</v>
      </c>
      <c r="Q2044" s="130" t="s">
        <v>1127</v>
      </c>
      <c r="R2044" s="130" t="s">
        <v>1175</v>
      </c>
      <c r="S2044" s="130" t="s">
        <v>1157</v>
      </c>
      <c r="T2044" s="130" t="s">
        <v>1188</v>
      </c>
      <c r="U2044" s="130">
        <v>0</v>
      </c>
      <c r="V2044" s="131">
        <v>31778</v>
      </c>
      <c r="W2044" s="131">
        <v>31778</v>
      </c>
      <c r="X2044" s="131">
        <v>9975</v>
      </c>
      <c r="Y2044" s="131">
        <v>21803</v>
      </c>
      <c r="Z2044" s="131">
        <v>9294.2800000000007</v>
      </c>
      <c r="AA2044" s="131">
        <v>22483.72</v>
      </c>
      <c r="AB2044" s="131">
        <v>9294.2800000000007</v>
      </c>
      <c r="AC2044" s="131">
        <v>22483.72</v>
      </c>
      <c r="AD2044" s="131">
        <v>475</v>
      </c>
      <c r="AE2044" s="132">
        <v>31303</v>
      </c>
    </row>
    <row r="2045" spans="1:31" x14ac:dyDescent="0.2">
      <c r="A2045" s="133">
        <v>346</v>
      </c>
      <c r="B2045" s="133" t="s">
        <v>2206</v>
      </c>
      <c r="C2045" s="133" t="s">
        <v>1147</v>
      </c>
      <c r="D2045" s="133" t="s">
        <v>2017</v>
      </c>
      <c r="E2045" s="133" t="s">
        <v>1116</v>
      </c>
      <c r="F2045" s="133" t="s">
        <v>1117</v>
      </c>
      <c r="G2045" s="133" t="s">
        <v>1118</v>
      </c>
      <c r="H2045" s="130" t="s">
        <v>1133</v>
      </c>
      <c r="I2045" s="130" t="s">
        <v>1134</v>
      </c>
      <c r="J2045" s="130" t="s">
        <v>1135</v>
      </c>
      <c r="K2045" s="130" t="s">
        <v>1178</v>
      </c>
      <c r="L2045" s="130" t="s">
        <v>2207</v>
      </c>
      <c r="M2045" s="130" t="s">
        <v>1925</v>
      </c>
      <c r="N2045" s="130" t="s">
        <v>152</v>
      </c>
      <c r="O2045" s="130" t="s">
        <v>1125</v>
      </c>
      <c r="P2045" s="130" t="s">
        <v>2019</v>
      </c>
      <c r="Q2045" s="130" t="s">
        <v>1127</v>
      </c>
      <c r="R2045" s="130" t="s">
        <v>1175</v>
      </c>
      <c r="S2045" s="130" t="s">
        <v>1157</v>
      </c>
      <c r="T2045" s="130" t="s">
        <v>1188</v>
      </c>
      <c r="U2045" s="130">
        <v>0</v>
      </c>
      <c r="V2045" s="131">
        <v>53226</v>
      </c>
      <c r="W2045" s="131">
        <v>53226</v>
      </c>
      <c r="X2045" s="131">
        <v>53226</v>
      </c>
      <c r="Y2045" s="131">
        <v>0</v>
      </c>
      <c r="Z2045" s="131">
        <v>53226</v>
      </c>
      <c r="AA2045" s="131">
        <v>0</v>
      </c>
      <c r="AB2045" s="131">
        <v>53155.29</v>
      </c>
      <c r="AC2045" s="131">
        <v>70.709999999999127</v>
      </c>
      <c r="AD2045" s="131">
        <v>53155.29</v>
      </c>
      <c r="AE2045" s="132">
        <v>70.709999999999127</v>
      </c>
    </row>
    <row r="2046" spans="1:31" x14ac:dyDescent="0.2">
      <c r="A2046" s="130">
        <v>347</v>
      </c>
      <c r="B2046" s="130" t="s">
        <v>136</v>
      </c>
      <c r="C2046" s="130" t="s">
        <v>1114</v>
      </c>
      <c r="D2046" s="130" t="s">
        <v>1584</v>
      </c>
      <c r="E2046" s="130" t="s">
        <v>1143</v>
      </c>
      <c r="F2046" s="130" t="s">
        <v>1117</v>
      </c>
      <c r="G2046" s="130" t="s">
        <v>1202</v>
      </c>
      <c r="H2046" s="130" t="s">
        <v>1203</v>
      </c>
      <c r="I2046" s="130" t="s">
        <v>1309</v>
      </c>
      <c r="J2046" s="130" t="s">
        <v>1310</v>
      </c>
      <c r="K2046" s="130" t="s">
        <v>1310</v>
      </c>
      <c r="L2046" s="130" t="s">
        <v>2208</v>
      </c>
      <c r="M2046" s="130" t="s">
        <v>1587</v>
      </c>
      <c r="N2046" s="130" t="s">
        <v>1588</v>
      </c>
      <c r="O2046" s="130" t="s">
        <v>1589</v>
      </c>
      <c r="P2046" s="130" t="s">
        <v>1590</v>
      </c>
      <c r="Q2046" s="130" t="s">
        <v>1127</v>
      </c>
      <c r="R2046" s="130" t="s">
        <v>1409</v>
      </c>
      <c r="S2046" s="130" t="s">
        <v>1157</v>
      </c>
      <c r="T2046" s="130" t="s">
        <v>1158</v>
      </c>
      <c r="U2046" s="130">
        <v>0</v>
      </c>
      <c r="V2046" s="131">
        <v>0</v>
      </c>
      <c r="W2046" s="131">
        <v>0</v>
      </c>
      <c r="X2046" s="131">
        <v>0</v>
      </c>
      <c r="Y2046" s="131">
        <v>0</v>
      </c>
      <c r="Z2046" s="131">
        <v>0</v>
      </c>
      <c r="AA2046" s="131">
        <v>0</v>
      </c>
      <c r="AB2046" s="131">
        <v>0</v>
      </c>
      <c r="AC2046" s="131">
        <v>0</v>
      </c>
      <c r="AD2046" s="131">
        <v>0</v>
      </c>
      <c r="AE2046" s="132">
        <v>0</v>
      </c>
    </row>
    <row r="2047" spans="1:31" x14ac:dyDescent="0.2">
      <c r="A2047" s="130">
        <v>348</v>
      </c>
      <c r="B2047" s="130" t="s">
        <v>2209</v>
      </c>
      <c r="C2047" s="130" t="s">
        <v>1147</v>
      </c>
      <c r="D2047" s="130" t="s">
        <v>1181</v>
      </c>
      <c r="E2047" s="130" t="s">
        <v>1116</v>
      </c>
      <c r="F2047" s="130" t="s">
        <v>1117</v>
      </c>
      <c r="G2047" s="130" t="s">
        <v>1118</v>
      </c>
      <c r="H2047" s="130" t="s">
        <v>1149</v>
      </c>
      <c r="I2047" s="130" t="s">
        <v>1182</v>
      </c>
      <c r="J2047" s="130" t="s">
        <v>1382</v>
      </c>
      <c r="K2047" s="130" t="s">
        <v>1378</v>
      </c>
      <c r="L2047" s="130" t="s">
        <v>2210</v>
      </c>
      <c r="M2047" s="130" t="s">
        <v>1360</v>
      </c>
      <c r="N2047" s="130" t="s">
        <v>168</v>
      </c>
      <c r="O2047" s="130" t="s">
        <v>1361</v>
      </c>
      <c r="P2047" s="130" t="s">
        <v>1366</v>
      </c>
      <c r="Q2047" s="130" t="s">
        <v>1127</v>
      </c>
      <c r="R2047" s="130" t="s">
        <v>1191</v>
      </c>
      <c r="S2047" s="130" t="s">
        <v>1191</v>
      </c>
      <c r="T2047" s="130" t="s">
        <v>1188</v>
      </c>
      <c r="U2047" s="130">
        <v>0</v>
      </c>
      <c r="V2047" s="131">
        <v>0</v>
      </c>
      <c r="W2047" s="131">
        <v>0</v>
      </c>
      <c r="X2047" s="131">
        <v>0</v>
      </c>
      <c r="Y2047" s="131">
        <v>0</v>
      </c>
      <c r="Z2047" s="131">
        <v>0</v>
      </c>
      <c r="AA2047" s="131">
        <v>0</v>
      </c>
      <c r="AB2047" s="131">
        <v>0</v>
      </c>
      <c r="AC2047" s="131">
        <v>0</v>
      </c>
      <c r="AD2047" s="131">
        <v>0</v>
      </c>
      <c r="AE2047" s="132">
        <v>0</v>
      </c>
    </row>
    <row r="2048" spans="1:31" x14ac:dyDescent="0.2">
      <c r="A2048" s="133">
        <v>348</v>
      </c>
      <c r="B2048" s="133" t="s">
        <v>2209</v>
      </c>
      <c r="C2048" s="133" t="s">
        <v>1147</v>
      </c>
      <c r="D2048" s="133" t="s">
        <v>1181</v>
      </c>
      <c r="E2048" s="133" t="s">
        <v>1116</v>
      </c>
      <c r="F2048" s="133" t="s">
        <v>1117</v>
      </c>
      <c r="G2048" s="133" t="s">
        <v>1118</v>
      </c>
      <c r="H2048" s="133" t="s">
        <v>1149</v>
      </c>
      <c r="I2048" s="133" t="s">
        <v>1182</v>
      </c>
      <c r="J2048" s="130" t="s">
        <v>1347</v>
      </c>
      <c r="K2048" s="130" t="s">
        <v>1348</v>
      </c>
      <c r="L2048" s="130" t="s">
        <v>2210</v>
      </c>
      <c r="M2048" s="130" t="s">
        <v>1360</v>
      </c>
      <c r="N2048" s="130" t="s">
        <v>168</v>
      </c>
      <c r="O2048" s="130" t="s">
        <v>1361</v>
      </c>
      <c r="P2048" s="130" t="s">
        <v>1366</v>
      </c>
      <c r="Q2048" s="130" t="s">
        <v>1127</v>
      </c>
      <c r="R2048" s="130" t="s">
        <v>1191</v>
      </c>
      <c r="S2048" s="130" t="s">
        <v>1191</v>
      </c>
      <c r="T2048" s="130" t="s">
        <v>1188</v>
      </c>
      <c r="U2048" s="130">
        <v>0</v>
      </c>
      <c r="V2048" s="131">
        <v>0</v>
      </c>
      <c r="W2048" s="131">
        <v>0</v>
      </c>
      <c r="X2048" s="131">
        <v>0</v>
      </c>
      <c r="Y2048" s="131">
        <v>0</v>
      </c>
      <c r="Z2048" s="131">
        <v>0</v>
      </c>
      <c r="AA2048" s="131">
        <v>0</v>
      </c>
      <c r="AB2048" s="131">
        <v>0</v>
      </c>
      <c r="AC2048" s="131">
        <v>0</v>
      </c>
      <c r="AD2048" s="131">
        <v>0</v>
      </c>
      <c r="AE2048" s="132">
        <v>0</v>
      </c>
    </row>
    <row r="2049" spans="1:31" x14ac:dyDescent="0.2">
      <c r="A2049" s="133">
        <v>348</v>
      </c>
      <c r="B2049" s="133" t="s">
        <v>2209</v>
      </c>
      <c r="C2049" s="133" t="s">
        <v>1147</v>
      </c>
      <c r="D2049" s="133" t="s">
        <v>1181</v>
      </c>
      <c r="E2049" s="133" t="s">
        <v>1116</v>
      </c>
      <c r="F2049" s="133" t="s">
        <v>1117</v>
      </c>
      <c r="G2049" s="133" t="s">
        <v>1118</v>
      </c>
      <c r="H2049" s="130" t="s">
        <v>2211</v>
      </c>
      <c r="I2049" s="130" t="s">
        <v>2212</v>
      </c>
      <c r="J2049" s="130" t="s">
        <v>2213</v>
      </c>
      <c r="K2049" s="130" t="s">
        <v>2214</v>
      </c>
      <c r="L2049" s="130" t="s">
        <v>2210</v>
      </c>
      <c r="M2049" s="130" t="s">
        <v>1360</v>
      </c>
      <c r="N2049" s="130" t="s">
        <v>168</v>
      </c>
      <c r="O2049" s="130" t="s">
        <v>1361</v>
      </c>
      <c r="P2049" s="130" t="s">
        <v>1366</v>
      </c>
      <c r="Q2049" s="130" t="s">
        <v>1127</v>
      </c>
      <c r="R2049" s="130" t="s">
        <v>1191</v>
      </c>
      <c r="S2049" s="130" t="s">
        <v>1191</v>
      </c>
      <c r="T2049" s="130" t="s">
        <v>1188</v>
      </c>
      <c r="U2049" s="130">
        <v>0</v>
      </c>
      <c r="V2049" s="131">
        <v>37800</v>
      </c>
      <c r="W2049" s="131">
        <v>37800</v>
      </c>
      <c r="X2049" s="131">
        <v>37800</v>
      </c>
      <c r="Y2049" s="131">
        <v>0</v>
      </c>
      <c r="Z2049" s="131">
        <v>37800</v>
      </c>
      <c r="AA2049" s="131">
        <v>0</v>
      </c>
      <c r="AB2049" s="131">
        <v>37800</v>
      </c>
      <c r="AC2049" s="131">
        <v>0</v>
      </c>
      <c r="AD2049" s="131">
        <v>37800</v>
      </c>
      <c r="AE2049" s="132">
        <v>0</v>
      </c>
    </row>
    <row r="2050" spans="1:31" x14ac:dyDescent="0.2">
      <c r="A2050" s="133">
        <v>348</v>
      </c>
      <c r="B2050" s="133" t="s">
        <v>2209</v>
      </c>
      <c r="C2050" s="133" t="s">
        <v>1147</v>
      </c>
      <c r="D2050" s="133" t="s">
        <v>1181</v>
      </c>
      <c r="E2050" s="133" t="s">
        <v>1116</v>
      </c>
      <c r="F2050" s="133" t="s">
        <v>1117</v>
      </c>
      <c r="G2050" s="133" t="s">
        <v>1118</v>
      </c>
      <c r="H2050" s="130" t="s">
        <v>1159</v>
      </c>
      <c r="I2050" s="130" t="s">
        <v>1160</v>
      </c>
      <c r="J2050" s="130" t="s">
        <v>1163</v>
      </c>
      <c r="K2050" s="130" t="s">
        <v>1164</v>
      </c>
      <c r="L2050" s="130" t="s">
        <v>2210</v>
      </c>
      <c r="M2050" s="130" t="s">
        <v>1360</v>
      </c>
      <c r="N2050" s="130" t="s">
        <v>168</v>
      </c>
      <c r="O2050" s="130" t="s">
        <v>1361</v>
      </c>
      <c r="P2050" s="130" t="s">
        <v>1366</v>
      </c>
      <c r="Q2050" s="130" t="s">
        <v>1127</v>
      </c>
      <c r="R2050" s="130" t="s">
        <v>1191</v>
      </c>
      <c r="S2050" s="130" t="s">
        <v>1191</v>
      </c>
      <c r="T2050" s="130" t="s">
        <v>1188</v>
      </c>
      <c r="U2050" s="130">
        <v>0</v>
      </c>
      <c r="V2050" s="131">
        <v>4398</v>
      </c>
      <c r="W2050" s="131">
        <v>4398</v>
      </c>
      <c r="X2050" s="131">
        <v>4397.3999999999996</v>
      </c>
      <c r="Y2050" s="131">
        <v>0.6000000000003638</v>
      </c>
      <c r="Z2050" s="131">
        <v>4397.3999999999996</v>
      </c>
      <c r="AA2050" s="131">
        <v>0.6000000000003638</v>
      </c>
      <c r="AB2050" s="131">
        <v>4397.3999999999996</v>
      </c>
      <c r="AC2050" s="131">
        <v>0.6000000000003638</v>
      </c>
      <c r="AD2050" s="131">
        <v>4397.3999999999996</v>
      </c>
      <c r="AE2050" s="132">
        <v>0.6000000000003638</v>
      </c>
    </row>
    <row r="2051" spans="1:31" x14ac:dyDescent="0.2">
      <c r="A2051" s="133">
        <v>348</v>
      </c>
      <c r="B2051" s="133" t="s">
        <v>2209</v>
      </c>
      <c r="C2051" s="133" t="s">
        <v>1147</v>
      </c>
      <c r="D2051" s="133" t="s">
        <v>1181</v>
      </c>
      <c r="E2051" s="133" t="s">
        <v>1116</v>
      </c>
      <c r="F2051" s="133" t="s">
        <v>1117</v>
      </c>
      <c r="G2051" s="133" t="s">
        <v>1118</v>
      </c>
      <c r="H2051" s="133" t="s">
        <v>1159</v>
      </c>
      <c r="I2051" s="133" t="s">
        <v>1160</v>
      </c>
      <c r="J2051" s="133" t="s">
        <v>1163</v>
      </c>
      <c r="K2051" s="130" t="s">
        <v>1165</v>
      </c>
      <c r="L2051" s="130" t="s">
        <v>2210</v>
      </c>
      <c r="M2051" s="130" t="s">
        <v>1360</v>
      </c>
      <c r="N2051" s="130" t="s">
        <v>168</v>
      </c>
      <c r="O2051" s="130" t="s">
        <v>1361</v>
      </c>
      <c r="P2051" s="130" t="s">
        <v>1366</v>
      </c>
      <c r="Q2051" s="130" t="s">
        <v>1127</v>
      </c>
      <c r="R2051" s="130" t="s">
        <v>1191</v>
      </c>
      <c r="S2051" s="130" t="s">
        <v>1191</v>
      </c>
      <c r="T2051" s="130" t="s">
        <v>1188</v>
      </c>
      <c r="U2051" s="130">
        <v>0</v>
      </c>
      <c r="V2051" s="131">
        <v>1839</v>
      </c>
      <c r="W2051" s="131">
        <v>1839</v>
      </c>
      <c r="X2051" s="131">
        <v>1838.5</v>
      </c>
      <c r="Y2051" s="131">
        <v>0.5</v>
      </c>
      <c r="Z2051" s="131">
        <v>1838.5</v>
      </c>
      <c r="AA2051" s="131">
        <v>0.5</v>
      </c>
      <c r="AB2051" s="131">
        <v>1838.5</v>
      </c>
      <c r="AC2051" s="131">
        <v>0.5</v>
      </c>
      <c r="AD2051" s="131">
        <v>1838.5</v>
      </c>
      <c r="AE2051" s="132">
        <v>0.5</v>
      </c>
    </row>
    <row r="2052" spans="1:31" x14ac:dyDescent="0.2">
      <c r="A2052" s="133">
        <v>348</v>
      </c>
      <c r="B2052" s="133" t="s">
        <v>2209</v>
      </c>
      <c r="C2052" s="133" t="s">
        <v>1147</v>
      </c>
      <c r="D2052" s="133" t="s">
        <v>1181</v>
      </c>
      <c r="E2052" s="133" t="s">
        <v>1116</v>
      </c>
      <c r="F2052" s="133" t="s">
        <v>1117</v>
      </c>
      <c r="G2052" s="133" t="s">
        <v>1118</v>
      </c>
      <c r="H2052" s="133" t="s">
        <v>1159</v>
      </c>
      <c r="I2052" s="133" t="s">
        <v>1160</v>
      </c>
      <c r="J2052" s="133" t="s">
        <v>1163</v>
      </c>
      <c r="K2052" s="130" t="s">
        <v>1162</v>
      </c>
      <c r="L2052" s="130" t="s">
        <v>2210</v>
      </c>
      <c r="M2052" s="130" t="s">
        <v>1360</v>
      </c>
      <c r="N2052" s="130" t="s">
        <v>168</v>
      </c>
      <c r="O2052" s="130" t="s">
        <v>1361</v>
      </c>
      <c r="P2052" s="130" t="s">
        <v>1366</v>
      </c>
      <c r="Q2052" s="130" t="s">
        <v>1127</v>
      </c>
      <c r="R2052" s="130" t="s">
        <v>1191</v>
      </c>
      <c r="S2052" s="130" t="s">
        <v>1191</v>
      </c>
      <c r="T2052" s="130" t="s">
        <v>1188</v>
      </c>
      <c r="U2052" s="130">
        <v>0</v>
      </c>
      <c r="V2052" s="131">
        <v>11950</v>
      </c>
      <c r="W2052" s="131">
        <v>11950</v>
      </c>
      <c r="X2052" s="131">
        <v>11950</v>
      </c>
      <c r="Y2052" s="131">
        <v>0</v>
      </c>
      <c r="Z2052" s="131">
        <v>11950</v>
      </c>
      <c r="AA2052" s="131">
        <v>0</v>
      </c>
      <c r="AB2052" s="131">
        <v>11950</v>
      </c>
      <c r="AC2052" s="131">
        <v>0</v>
      </c>
      <c r="AD2052" s="131">
        <v>11950</v>
      </c>
      <c r="AE2052" s="132">
        <v>0</v>
      </c>
    </row>
    <row r="2053" spans="1:31" x14ac:dyDescent="0.2">
      <c r="A2053" s="133">
        <v>348</v>
      </c>
      <c r="B2053" s="133" t="s">
        <v>2209</v>
      </c>
      <c r="C2053" s="133" t="s">
        <v>1147</v>
      </c>
      <c r="D2053" s="133" t="s">
        <v>1181</v>
      </c>
      <c r="E2053" s="133" t="s">
        <v>1116</v>
      </c>
      <c r="F2053" s="133" t="s">
        <v>1117</v>
      </c>
      <c r="G2053" s="133" t="s">
        <v>1118</v>
      </c>
      <c r="H2053" s="130" t="s">
        <v>1133</v>
      </c>
      <c r="I2053" s="130" t="s">
        <v>1134</v>
      </c>
      <c r="J2053" s="130" t="s">
        <v>1135</v>
      </c>
      <c r="K2053" s="130" t="s">
        <v>1178</v>
      </c>
      <c r="L2053" s="130" t="s">
        <v>2210</v>
      </c>
      <c r="M2053" s="130" t="s">
        <v>1360</v>
      </c>
      <c r="N2053" s="130" t="s">
        <v>168</v>
      </c>
      <c r="O2053" s="130" t="s">
        <v>1361</v>
      </c>
      <c r="P2053" s="130" t="s">
        <v>1366</v>
      </c>
      <c r="Q2053" s="130" t="s">
        <v>1127</v>
      </c>
      <c r="R2053" s="130" t="s">
        <v>1191</v>
      </c>
      <c r="S2053" s="130" t="s">
        <v>1191</v>
      </c>
      <c r="T2053" s="130" t="s">
        <v>1188</v>
      </c>
      <c r="U2053" s="130">
        <v>0</v>
      </c>
      <c r="V2053" s="131">
        <v>13072</v>
      </c>
      <c r="W2053" s="131">
        <v>13072</v>
      </c>
      <c r="X2053" s="131">
        <v>0</v>
      </c>
      <c r="Y2053" s="131">
        <v>13072</v>
      </c>
      <c r="Z2053" s="131">
        <v>0</v>
      </c>
      <c r="AA2053" s="131">
        <v>13072</v>
      </c>
      <c r="AB2053" s="131">
        <v>0</v>
      </c>
      <c r="AC2053" s="131">
        <v>13072</v>
      </c>
      <c r="AD2053" s="131">
        <v>0</v>
      </c>
      <c r="AE2053" s="132">
        <v>13072</v>
      </c>
    </row>
    <row r="2054" spans="1:31" x14ac:dyDescent="0.2">
      <c r="A2054" s="133">
        <v>348</v>
      </c>
      <c r="B2054" s="133" t="s">
        <v>2209</v>
      </c>
      <c r="C2054" s="133" t="s">
        <v>1147</v>
      </c>
      <c r="D2054" s="133" t="s">
        <v>1181</v>
      </c>
      <c r="E2054" s="133" t="s">
        <v>1116</v>
      </c>
      <c r="F2054" s="133" t="s">
        <v>1117</v>
      </c>
      <c r="G2054" s="133" t="s">
        <v>1118</v>
      </c>
      <c r="H2054" s="133" t="s">
        <v>1133</v>
      </c>
      <c r="I2054" s="133" t="s">
        <v>1134</v>
      </c>
      <c r="J2054" s="133" t="s">
        <v>1135</v>
      </c>
      <c r="K2054" s="130" t="s">
        <v>1179</v>
      </c>
      <c r="L2054" s="130" t="s">
        <v>2210</v>
      </c>
      <c r="M2054" s="130" t="s">
        <v>1360</v>
      </c>
      <c r="N2054" s="130" t="s">
        <v>168</v>
      </c>
      <c r="O2054" s="130" t="s">
        <v>1361</v>
      </c>
      <c r="P2054" s="130" t="s">
        <v>1366</v>
      </c>
      <c r="Q2054" s="130" t="s">
        <v>1127</v>
      </c>
      <c r="R2054" s="130" t="s">
        <v>1191</v>
      </c>
      <c r="S2054" s="130" t="s">
        <v>1191</v>
      </c>
      <c r="T2054" s="130" t="s">
        <v>1188</v>
      </c>
      <c r="U2054" s="130">
        <v>0</v>
      </c>
      <c r="V2054" s="131">
        <v>899</v>
      </c>
      <c r="W2054" s="131">
        <v>899</v>
      </c>
      <c r="X2054" s="131">
        <v>0</v>
      </c>
      <c r="Y2054" s="131">
        <v>899</v>
      </c>
      <c r="Z2054" s="131">
        <v>0</v>
      </c>
      <c r="AA2054" s="131">
        <v>899</v>
      </c>
      <c r="AB2054" s="131">
        <v>0</v>
      </c>
      <c r="AC2054" s="131">
        <v>899</v>
      </c>
      <c r="AD2054" s="131">
        <v>0</v>
      </c>
      <c r="AE2054" s="132">
        <v>899</v>
      </c>
    </row>
    <row r="2055" spans="1:31" x14ac:dyDescent="0.2">
      <c r="A2055" s="133">
        <v>348</v>
      </c>
      <c r="B2055" s="133" t="s">
        <v>2209</v>
      </c>
      <c r="C2055" s="133" t="s">
        <v>1147</v>
      </c>
      <c r="D2055" s="133" t="s">
        <v>1181</v>
      </c>
      <c r="E2055" s="133" t="s">
        <v>1116</v>
      </c>
      <c r="F2055" s="133" t="s">
        <v>1117</v>
      </c>
      <c r="G2055" s="133" t="s">
        <v>1118</v>
      </c>
      <c r="H2055" s="133" t="s">
        <v>1133</v>
      </c>
      <c r="I2055" s="133" t="s">
        <v>1134</v>
      </c>
      <c r="J2055" s="133" t="s">
        <v>1135</v>
      </c>
      <c r="K2055" s="130" t="s">
        <v>1144</v>
      </c>
      <c r="L2055" s="130" t="s">
        <v>2210</v>
      </c>
      <c r="M2055" s="130" t="s">
        <v>1360</v>
      </c>
      <c r="N2055" s="130" t="s">
        <v>168</v>
      </c>
      <c r="O2055" s="130" t="s">
        <v>1361</v>
      </c>
      <c r="P2055" s="130" t="s">
        <v>1366</v>
      </c>
      <c r="Q2055" s="130" t="s">
        <v>1127</v>
      </c>
      <c r="R2055" s="130" t="s">
        <v>1191</v>
      </c>
      <c r="S2055" s="130" t="s">
        <v>1191</v>
      </c>
      <c r="T2055" s="130" t="s">
        <v>1188</v>
      </c>
      <c r="U2055" s="130">
        <v>0</v>
      </c>
      <c r="V2055" s="131">
        <v>1000</v>
      </c>
      <c r="W2055" s="131">
        <v>1000</v>
      </c>
      <c r="X2055" s="131">
        <v>0</v>
      </c>
      <c r="Y2055" s="131">
        <v>1000</v>
      </c>
      <c r="Z2055" s="131">
        <v>0</v>
      </c>
      <c r="AA2055" s="131">
        <v>1000</v>
      </c>
      <c r="AB2055" s="131">
        <v>0</v>
      </c>
      <c r="AC2055" s="131">
        <v>1000</v>
      </c>
      <c r="AD2055" s="131">
        <v>0</v>
      </c>
      <c r="AE2055" s="132">
        <v>1000</v>
      </c>
    </row>
    <row r="2056" spans="1:31" x14ac:dyDescent="0.2">
      <c r="A2056" s="130">
        <v>349</v>
      </c>
      <c r="B2056" s="130" t="s">
        <v>2215</v>
      </c>
      <c r="C2056" s="130" t="s">
        <v>1147</v>
      </c>
      <c r="D2056" s="130" t="s">
        <v>1181</v>
      </c>
      <c r="E2056" s="130" t="s">
        <v>1116</v>
      </c>
      <c r="F2056" s="130" t="s">
        <v>1117</v>
      </c>
      <c r="G2056" s="130" t="s">
        <v>1118</v>
      </c>
      <c r="H2056" s="130" t="s">
        <v>1149</v>
      </c>
      <c r="I2056" s="130" t="s">
        <v>1182</v>
      </c>
      <c r="J2056" s="130" t="s">
        <v>1382</v>
      </c>
      <c r="K2056" s="130" t="s">
        <v>1378</v>
      </c>
      <c r="L2056" s="130" t="s">
        <v>2216</v>
      </c>
      <c r="M2056" s="130" t="s">
        <v>1360</v>
      </c>
      <c r="N2056" s="130" t="s">
        <v>168</v>
      </c>
      <c r="O2056" s="130" t="s">
        <v>1361</v>
      </c>
      <c r="P2056" s="130" t="s">
        <v>1362</v>
      </c>
      <c r="Q2056" s="130" t="s">
        <v>1127</v>
      </c>
      <c r="R2056" s="130" t="s">
        <v>1191</v>
      </c>
      <c r="S2056" s="130" t="s">
        <v>1191</v>
      </c>
      <c r="T2056" s="130" t="s">
        <v>1188</v>
      </c>
      <c r="U2056" s="130">
        <v>0</v>
      </c>
      <c r="V2056" s="131">
        <v>0</v>
      </c>
      <c r="W2056" s="131">
        <v>0</v>
      </c>
      <c r="X2056" s="131">
        <v>0</v>
      </c>
      <c r="Y2056" s="131">
        <v>0</v>
      </c>
      <c r="Z2056" s="131">
        <v>0</v>
      </c>
      <c r="AA2056" s="131">
        <v>0</v>
      </c>
      <c r="AB2056" s="131">
        <v>0</v>
      </c>
      <c r="AC2056" s="131">
        <v>0</v>
      </c>
      <c r="AD2056" s="131">
        <v>0</v>
      </c>
      <c r="AE2056" s="132">
        <v>0</v>
      </c>
    </row>
    <row r="2057" spans="1:31" x14ac:dyDescent="0.2">
      <c r="A2057" s="133">
        <v>349</v>
      </c>
      <c r="B2057" s="133" t="s">
        <v>2215</v>
      </c>
      <c r="C2057" s="133" t="s">
        <v>1147</v>
      </c>
      <c r="D2057" s="133" t="s">
        <v>1181</v>
      </c>
      <c r="E2057" s="133" t="s">
        <v>1116</v>
      </c>
      <c r="F2057" s="133" t="s">
        <v>1117</v>
      </c>
      <c r="G2057" s="133" t="s">
        <v>1118</v>
      </c>
      <c r="H2057" s="133" t="s">
        <v>1149</v>
      </c>
      <c r="I2057" s="133" t="s">
        <v>1182</v>
      </c>
      <c r="J2057" s="130" t="s">
        <v>1347</v>
      </c>
      <c r="K2057" s="130" t="s">
        <v>1348</v>
      </c>
      <c r="L2057" s="130" t="s">
        <v>2216</v>
      </c>
      <c r="M2057" s="130" t="s">
        <v>1360</v>
      </c>
      <c r="N2057" s="130" t="s">
        <v>168</v>
      </c>
      <c r="O2057" s="130" t="s">
        <v>1361</v>
      </c>
      <c r="P2057" s="130" t="s">
        <v>1362</v>
      </c>
      <c r="Q2057" s="130" t="s">
        <v>1127</v>
      </c>
      <c r="R2057" s="130" t="s">
        <v>1191</v>
      </c>
      <c r="S2057" s="130" t="s">
        <v>1191</v>
      </c>
      <c r="T2057" s="130" t="s">
        <v>1188</v>
      </c>
      <c r="U2057" s="130">
        <v>0</v>
      </c>
      <c r="V2057" s="131">
        <v>0</v>
      </c>
      <c r="W2057" s="131">
        <v>0</v>
      </c>
      <c r="X2057" s="131">
        <v>0</v>
      </c>
      <c r="Y2057" s="131">
        <v>0</v>
      </c>
      <c r="Z2057" s="131">
        <v>0</v>
      </c>
      <c r="AA2057" s="131">
        <v>0</v>
      </c>
      <c r="AB2057" s="131">
        <v>0</v>
      </c>
      <c r="AC2057" s="131">
        <v>0</v>
      </c>
      <c r="AD2057" s="131">
        <v>0</v>
      </c>
      <c r="AE2057" s="132">
        <v>0</v>
      </c>
    </row>
    <row r="2058" spans="1:31" x14ac:dyDescent="0.2">
      <c r="A2058" s="133">
        <v>349</v>
      </c>
      <c r="B2058" s="133" t="s">
        <v>2215</v>
      </c>
      <c r="C2058" s="133" t="s">
        <v>1147</v>
      </c>
      <c r="D2058" s="133" t="s">
        <v>1181</v>
      </c>
      <c r="E2058" s="133" t="s">
        <v>1116</v>
      </c>
      <c r="F2058" s="133" t="s">
        <v>1117</v>
      </c>
      <c r="G2058" s="133" t="s">
        <v>1118</v>
      </c>
      <c r="H2058" s="130" t="s">
        <v>2211</v>
      </c>
      <c r="I2058" s="130" t="s">
        <v>2212</v>
      </c>
      <c r="J2058" s="130" t="s">
        <v>2213</v>
      </c>
      <c r="K2058" s="130" t="s">
        <v>2214</v>
      </c>
      <c r="L2058" s="130" t="s">
        <v>2216</v>
      </c>
      <c r="M2058" s="130" t="s">
        <v>1360</v>
      </c>
      <c r="N2058" s="130" t="s">
        <v>168</v>
      </c>
      <c r="O2058" s="130" t="s">
        <v>1361</v>
      </c>
      <c r="P2058" s="130" t="s">
        <v>1362</v>
      </c>
      <c r="Q2058" s="130" t="s">
        <v>1127</v>
      </c>
      <c r="R2058" s="130" t="s">
        <v>1191</v>
      </c>
      <c r="S2058" s="130" t="s">
        <v>1191</v>
      </c>
      <c r="T2058" s="130" t="s">
        <v>1188</v>
      </c>
      <c r="U2058" s="130">
        <v>0</v>
      </c>
      <c r="V2058" s="131">
        <v>30480</v>
      </c>
      <c r="W2058" s="131">
        <v>30480</v>
      </c>
      <c r="X2058" s="131">
        <v>30480</v>
      </c>
      <c r="Y2058" s="131">
        <v>0</v>
      </c>
      <c r="Z2058" s="131">
        <v>30480</v>
      </c>
      <c r="AA2058" s="131">
        <v>0</v>
      </c>
      <c r="AB2058" s="131">
        <v>30480</v>
      </c>
      <c r="AC2058" s="131">
        <v>0</v>
      </c>
      <c r="AD2058" s="131">
        <v>30480</v>
      </c>
      <c r="AE2058" s="132">
        <v>0</v>
      </c>
    </row>
    <row r="2059" spans="1:31" x14ac:dyDescent="0.2">
      <c r="A2059" s="133">
        <v>349</v>
      </c>
      <c r="B2059" s="133" t="s">
        <v>2215</v>
      </c>
      <c r="C2059" s="133" t="s">
        <v>1147</v>
      </c>
      <c r="D2059" s="133" t="s">
        <v>1181</v>
      </c>
      <c r="E2059" s="133" t="s">
        <v>1116</v>
      </c>
      <c r="F2059" s="133" t="s">
        <v>1117</v>
      </c>
      <c r="G2059" s="133" t="s">
        <v>1118</v>
      </c>
      <c r="H2059" s="130" t="s">
        <v>1159</v>
      </c>
      <c r="I2059" s="130" t="s">
        <v>1160</v>
      </c>
      <c r="J2059" s="130" t="s">
        <v>1163</v>
      </c>
      <c r="K2059" s="130" t="s">
        <v>1164</v>
      </c>
      <c r="L2059" s="130" t="s">
        <v>2216</v>
      </c>
      <c r="M2059" s="130" t="s">
        <v>1360</v>
      </c>
      <c r="N2059" s="130" t="s">
        <v>168</v>
      </c>
      <c r="O2059" s="130" t="s">
        <v>1361</v>
      </c>
      <c r="P2059" s="130" t="s">
        <v>1362</v>
      </c>
      <c r="Q2059" s="130" t="s">
        <v>1127</v>
      </c>
      <c r="R2059" s="130" t="s">
        <v>1191</v>
      </c>
      <c r="S2059" s="130" t="s">
        <v>1191</v>
      </c>
      <c r="T2059" s="130" t="s">
        <v>1188</v>
      </c>
      <c r="U2059" s="130">
        <v>0</v>
      </c>
      <c r="V2059" s="131">
        <v>19302</v>
      </c>
      <c r="W2059" s="131">
        <v>19302</v>
      </c>
      <c r="X2059" s="131">
        <v>19302</v>
      </c>
      <c r="Y2059" s="131">
        <v>0</v>
      </c>
      <c r="Z2059" s="131">
        <v>19302</v>
      </c>
      <c r="AA2059" s="131">
        <v>0</v>
      </c>
      <c r="AB2059" s="131">
        <v>14837.86</v>
      </c>
      <c r="AC2059" s="131">
        <v>4464.1399999999994</v>
      </c>
      <c r="AD2059" s="131">
        <v>14837.86</v>
      </c>
      <c r="AE2059" s="132">
        <v>4464.1399999999994</v>
      </c>
    </row>
    <row r="2060" spans="1:31" x14ac:dyDescent="0.2">
      <c r="A2060" s="133">
        <v>349</v>
      </c>
      <c r="B2060" s="133" t="s">
        <v>2215</v>
      </c>
      <c r="C2060" s="133" t="s">
        <v>1147</v>
      </c>
      <c r="D2060" s="133" t="s">
        <v>1181</v>
      </c>
      <c r="E2060" s="133" t="s">
        <v>1116</v>
      </c>
      <c r="F2060" s="133" t="s">
        <v>1117</v>
      </c>
      <c r="G2060" s="133" t="s">
        <v>1118</v>
      </c>
      <c r="H2060" s="133" t="s">
        <v>1159</v>
      </c>
      <c r="I2060" s="133" t="s">
        <v>1160</v>
      </c>
      <c r="J2060" s="133" t="s">
        <v>1163</v>
      </c>
      <c r="K2060" s="130" t="s">
        <v>1165</v>
      </c>
      <c r="L2060" s="130" t="s">
        <v>2216</v>
      </c>
      <c r="M2060" s="130" t="s">
        <v>1360</v>
      </c>
      <c r="N2060" s="130" t="s">
        <v>168</v>
      </c>
      <c r="O2060" s="130" t="s">
        <v>1361</v>
      </c>
      <c r="P2060" s="130" t="s">
        <v>1362</v>
      </c>
      <c r="Q2060" s="130" t="s">
        <v>1127</v>
      </c>
      <c r="R2060" s="130" t="s">
        <v>1191</v>
      </c>
      <c r="S2060" s="130" t="s">
        <v>1191</v>
      </c>
      <c r="T2060" s="130" t="s">
        <v>1188</v>
      </c>
      <c r="U2060" s="130">
        <v>0</v>
      </c>
      <c r="V2060" s="131">
        <v>7157</v>
      </c>
      <c r="W2060" s="131">
        <v>7157</v>
      </c>
      <c r="X2060" s="131">
        <v>7157</v>
      </c>
      <c r="Y2060" s="131">
        <v>0</v>
      </c>
      <c r="Z2060" s="131">
        <v>2331.29</v>
      </c>
      <c r="AA2060" s="131">
        <v>4825.71</v>
      </c>
      <c r="AB2060" s="131">
        <v>2331.29</v>
      </c>
      <c r="AC2060" s="131">
        <v>4825.71</v>
      </c>
      <c r="AD2060" s="131">
        <v>1962</v>
      </c>
      <c r="AE2060" s="132">
        <v>5195</v>
      </c>
    </row>
    <row r="2061" spans="1:31" x14ac:dyDescent="0.2">
      <c r="A2061" s="133">
        <v>349</v>
      </c>
      <c r="B2061" s="133" t="s">
        <v>2215</v>
      </c>
      <c r="C2061" s="133" t="s">
        <v>1147</v>
      </c>
      <c r="D2061" s="133" t="s">
        <v>1181</v>
      </c>
      <c r="E2061" s="133" t="s">
        <v>1116</v>
      </c>
      <c r="F2061" s="133" t="s">
        <v>1117</v>
      </c>
      <c r="G2061" s="133" t="s">
        <v>1118</v>
      </c>
      <c r="H2061" s="133" t="s">
        <v>1159</v>
      </c>
      <c r="I2061" s="133" t="s">
        <v>1160</v>
      </c>
      <c r="J2061" s="133" t="s">
        <v>1163</v>
      </c>
      <c r="K2061" s="130" t="s">
        <v>1162</v>
      </c>
      <c r="L2061" s="130" t="s">
        <v>2216</v>
      </c>
      <c r="M2061" s="130" t="s">
        <v>1360</v>
      </c>
      <c r="N2061" s="130" t="s">
        <v>168</v>
      </c>
      <c r="O2061" s="130" t="s">
        <v>1361</v>
      </c>
      <c r="P2061" s="130" t="s">
        <v>1362</v>
      </c>
      <c r="Q2061" s="130" t="s">
        <v>1127</v>
      </c>
      <c r="R2061" s="130" t="s">
        <v>1191</v>
      </c>
      <c r="S2061" s="130" t="s">
        <v>1191</v>
      </c>
      <c r="T2061" s="130" t="s">
        <v>1188</v>
      </c>
      <c r="U2061" s="130">
        <v>0</v>
      </c>
      <c r="V2061" s="131">
        <v>13475</v>
      </c>
      <c r="W2061" s="131">
        <v>13475</v>
      </c>
      <c r="X2061" s="131">
        <v>13475</v>
      </c>
      <c r="Y2061" s="131">
        <v>0</v>
      </c>
      <c r="Z2061" s="131">
        <v>13475</v>
      </c>
      <c r="AA2061" s="131">
        <v>0</v>
      </c>
      <c r="AB2061" s="131">
        <v>13475</v>
      </c>
      <c r="AC2061" s="131">
        <v>0</v>
      </c>
      <c r="AD2061" s="131">
        <v>13475</v>
      </c>
      <c r="AE2061" s="132">
        <v>0</v>
      </c>
    </row>
    <row r="2062" spans="1:31" x14ac:dyDescent="0.2">
      <c r="A2062" s="133">
        <v>349</v>
      </c>
      <c r="B2062" s="133" t="s">
        <v>2215</v>
      </c>
      <c r="C2062" s="133" t="s">
        <v>1147</v>
      </c>
      <c r="D2062" s="133" t="s">
        <v>1181</v>
      </c>
      <c r="E2062" s="133" t="s">
        <v>1116</v>
      </c>
      <c r="F2062" s="133" t="s">
        <v>1117</v>
      </c>
      <c r="G2062" s="133" t="s">
        <v>1118</v>
      </c>
      <c r="H2062" s="130" t="s">
        <v>1133</v>
      </c>
      <c r="I2062" s="130" t="s">
        <v>1134</v>
      </c>
      <c r="J2062" s="130" t="s">
        <v>1135</v>
      </c>
      <c r="K2062" s="130" t="s">
        <v>1178</v>
      </c>
      <c r="L2062" s="130" t="s">
        <v>2216</v>
      </c>
      <c r="M2062" s="130" t="s">
        <v>1360</v>
      </c>
      <c r="N2062" s="130" t="s">
        <v>168</v>
      </c>
      <c r="O2062" s="130" t="s">
        <v>1361</v>
      </c>
      <c r="P2062" s="130" t="s">
        <v>1362</v>
      </c>
      <c r="Q2062" s="130" t="s">
        <v>1127</v>
      </c>
      <c r="R2062" s="130" t="s">
        <v>1191</v>
      </c>
      <c r="S2062" s="130" t="s">
        <v>1191</v>
      </c>
      <c r="T2062" s="130" t="s">
        <v>1188</v>
      </c>
      <c r="U2062" s="130">
        <v>0</v>
      </c>
      <c r="V2062" s="131">
        <v>25206</v>
      </c>
      <c r="W2062" s="131">
        <v>25206</v>
      </c>
      <c r="X2062" s="131">
        <v>25206</v>
      </c>
      <c r="Y2062" s="131">
        <v>0</v>
      </c>
      <c r="Z2062" s="131">
        <v>25206</v>
      </c>
      <c r="AA2062" s="131">
        <v>0</v>
      </c>
      <c r="AB2062" s="131">
        <v>8963.2200000000012</v>
      </c>
      <c r="AC2062" s="131">
        <v>16242.779999999999</v>
      </c>
      <c r="AD2062" s="131">
        <v>8963.2200000000012</v>
      </c>
      <c r="AE2062" s="132">
        <v>16242.779999999999</v>
      </c>
    </row>
    <row r="2063" spans="1:31" x14ac:dyDescent="0.2">
      <c r="A2063" s="133">
        <v>349</v>
      </c>
      <c r="B2063" s="133" t="s">
        <v>2215</v>
      </c>
      <c r="C2063" s="133" t="s">
        <v>1147</v>
      </c>
      <c r="D2063" s="133" t="s">
        <v>1181</v>
      </c>
      <c r="E2063" s="133" t="s">
        <v>1116</v>
      </c>
      <c r="F2063" s="133" t="s">
        <v>1117</v>
      </c>
      <c r="G2063" s="133" t="s">
        <v>1118</v>
      </c>
      <c r="H2063" s="133" t="s">
        <v>1133</v>
      </c>
      <c r="I2063" s="133" t="s">
        <v>1134</v>
      </c>
      <c r="J2063" s="133" t="s">
        <v>1135</v>
      </c>
      <c r="K2063" s="130" t="s">
        <v>1179</v>
      </c>
      <c r="L2063" s="130" t="s">
        <v>2216</v>
      </c>
      <c r="M2063" s="130" t="s">
        <v>1360</v>
      </c>
      <c r="N2063" s="130" t="s">
        <v>168</v>
      </c>
      <c r="O2063" s="130" t="s">
        <v>1361</v>
      </c>
      <c r="P2063" s="130" t="s">
        <v>1362</v>
      </c>
      <c r="Q2063" s="130" t="s">
        <v>1127</v>
      </c>
      <c r="R2063" s="130" t="s">
        <v>1191</v>
      </c>
      <c r="S2063" s="130" t="s">
        <v>1191</v>
      </c>
      <c r="T2063" s="130" t="s">
        <v>1188</v>
      </c>
      <c r="U2063" s="130">
        <v>0</v>
      </c>
      <c r="V2063" s="131">
        <v>3817</v>
      </c>
      <c r="W2063" s="131">
        <v>3817</v>
      </c>
      <c r="X2063" s="131">
        <v>2918</v>
      </c>
      <c r="Y2063" s="131">
        <v>899</v>
      </c>
      <c r="Z2063" s="131">
        <v>2822.16</v>
      </c>
      <c r="AA2063" s="131">
        <v>994.84000000000015</v>
      </c>
      <c r="AB2063" s="131">
        <v>2822.16</v>
      </c>
      <c r="AC2063" s="131">
        <v>994.84000000000015</v>
      </c>
      <c r="AD2063" s="131">
        <v>2493</v>
      </c>
      <c r="AE2063" s="132">
        <v>1324</v>
      </c>
    </row>
    <row r="2064" spans="1:31" x14ac:dyDescent="0.2">
      <c r="A2064" s="133">
        <v>349</v>
      </c>
      <c r="B2064" s="133" t="s">
        <v>2215</v>
      </c>
      <c r="C2064" s="133" t="s">
        <v>1147</v>
      </c>
      <c r="D2064" s="133" t="s">
        <v>1181</v>
      </c>
      <c r="E2064" s="133" t="s">
        <v>1116</v>
      </c>
      <c r="F2064" s="133" t="s">
        <v>1117</v>
      </c>
      <c r="G2064" s="133" t="s">
        <v>1118</v>
      </c>
      <c r="H2064" s="133" t="s">
        <v>1133</v>
      </c>
      <c r="I2064" s="133" t="s">
        <v>1134</v>
      </c>
      <c r="J2064" s="133" t="s">
        <v>1135</v>
      </c>
      <c r="K2064" s="130" t="s">
        <v>1144</v>
      </c>
      <c r="L2064" s="130" t="s">
        <v>2216</v>
      </c>
      <c r="M2064" s="130" t="s">
        <v>1360</v>
      </c>
      <c r="N2064" s="130" t="s">
        <v>168</v>
      </c>
      <c r="O2064" s="130" t="s">
        <v>1361</v>
      </c>
      <c r="P2064" s="130" t="s">
        <v>1362</v>
      </c>
      <c r="Q2064" s="130" t="s">
        <v>1127</v>
      </c>
      <c r="R2064" s="130" t="s">
        <v>1191</v>
      </c>
      <c r="S2064" s="130" t="s">
        <v>1191</v>
      </c>
      <c r="T2064" s="130" t="s">
        <v>1188</v>
      </c>
      <c r="U2064" s="130">
        <v>0</v>
      </c>
      <c r="V2064" s="131">
        <v>3250</v>
      </c>
      <c r="W2064" s="131">
        <v>3250</v>
      </c>
      <c r="X2064" s="131">
        <v>2250</v>
      </c>
      <c r="Y2064" s="131">
        <v>1000</v>
      </c>
      <c r="Z2064" s="131">
        <v>2250</v>
      </c>
      <c r="AA2064" s="131">
        <v>1000</v>
      </c>
      <c r="AB2064" s="131">
        <v>2250</v>
      </c>
      <c r="AC2064" s="131">
        <v>1000</v>
      </c>
      <c r="AD2064" s="131">
        <v>2250</v>
      </c>
      <c r="AE2064" s="132">
        <v>1000</v>
      </c>
    </row>
    <row r="2065" spans="1:31" x14ac:dyDescent="0.2">
      <c r="A2065" s="130">
        <v>350</v>
      </c>
      <c r="B2065" s="130" t="s">
        <v>1841</v>
      </c>
      <c r="C2065" s="130" t="s">
        <v>1199</v>
      </c>
      <c r="D2065" s="130" t="s">
        <v>2217</v>
      </c>
      <c r="E2065" s="130" t="s">
        <v>1201</v>
      </c>
      <c r="F2065" s="130" t="s">
        <v>1117</v>
      </c>
      <c r="G2065" s="130" t="s">
        <v>1202</v>
      </c>
      <c r="H2065" s="130" t="s">
        <v>1216</v>
      </c>
      <c r="I2065" s="130" t="s">
        <v>1217</v>
      </c>
      <c r="J2065" s="130" t="s">
        <v>1218</v>
      </c>
      <c r="K2065" s="130" t="s">
        <v>1219</v>
      </c>
      <c r="L2065" s="130" t="s">
        <v>2218</v>
      </c>
      <c r="M2065" s="130" t="s">
        <v>1925</v>
      </c>
      <c r="N2065" s="130" t="s">
        <v>120</v>
      </c>
      <c r="O2065" s="130" t="s">
        <v>1860</v>
      </c>
      <c r="P2065" s="130" t="s">
        <v>1861</v>
      </c>
      <c r="Q2065" s="130" t="s">
        <v>1127</v>
      </c>
      <c r="R2065" s="130" t="s">
        <v>1191</v>
      </c>
      <c r="S2065" s="130" t="s">
        <v>1191</v>
      </c>
      <c r="T2065" s="130" t="s">
        <v>1847</v>
      </c>
      <c r="U2065" s="130">
        <v>0</v>
      </c>
      <c r="V2065" s="131">
        <v>5550</v>
      </c>
      <c r="W2065" s="131">
        <v>5550</v>
      </c>
      <c r="X2065" s="131">
        <v>5508</v>
      </c>
      <c r="Y2065" s="131">
        <v>42</v>
      </c>
      <c r="Z2065" s="131">
        <v>5508</v>
      </c>
      <c r="AA2065" s="131">
        <v>42</v>
      </c>
      <c r="AB2065" s="131">
        <v>5508</v>
      </c>
      <c r="AC2065" s="131">
        <v>42</v>
      </c>
      <c r="AD2065" s="131">
        <v>0</v>
      </c>
      <c r="AE2065" s="132">
        <v>5550</v>
      </c>
    </row>
    <row r="2066" spans="1:31" x14ac:dyDescent="0.2">
      <c r="A2066" s="133">
        <v>350</v>
      </c>
      <c r="B2066" s="133" t="s">
        <v>1841</v>
      </c>
      <c r="C2066" s="133" t="s">
        <v>1199</v>
      </c>
      <c r="D2066" s="133" t="s">
        <v>2217</v>
      </c>
      <c r="E2066" s="133" t="s">
        <v>1201</v>
      </c>
      <c r="F2066" s="133" t="s">
        <v>1117</v>
      </c>
      <c r="G2066" s="133" t="s">
        <v>1202</v>
      </c>
      <c r="H2066" s="133" t="s">
        <v>1216</v>
      </c>
      <c r="I2066" s="130" t="s">
        <v>1242</v>
      </c>
      <c r="J2066" s="130" t="s">
        <v>1243</v>
      </c>
      <c r="K2066" s="130" t="s">
        <v>1244</v>
      </c>
      <c r="L2066" s="130" t="s">
        <v>2218</v>
      </c>
      <c r="M2066" s="130" t="s">
        <v>1925</v>
      </c>
      <c r="N2066" s="130" t="s">
        <v>120</v>
      </c>
      <c r="O2066" s="130" t="s">
        <v>1860</v>
      </c>
      <c r="P2066" s="130" t="s">
        <v>1861</v>
      </c>
      <c r="Q2066" s="130" t="s">
        <v>1127</v>
      </c>
      <c r="R2066" s="130" t="s">
        <v>1191</v>
      </c>
      <c r="S2066" s="130" t="s">
        <v>1191</v>
      </c>
      <c r="T2066" s="130" t="s">
        <v>1847</v>
      </c>
      <c r="U2066" s="130">
        <v>0</v>
      </c>
      <c r="V2066" s="131">
        <v>6581</v>
      </c>
      <c r="W2066" s="131">
        <v>6581</v>
      </c>
      <c r="X2066" s="131">
        <v>0</v>
      </c>
      <c r="Y2066" s="131">
        <v>6581</v>
      </c>
      <c r="Z2066" s="131">
        <v>0</v>
      </c>
      <c r="AA2066" s="131">
        <v>6581</v>
      </c>
      <c r="AB2066" s="131">
        <v>0</v>
      </c>
      <c r="AC2066" s="131">
        <v>6581</v>
      </c>
      <c r="AD2066" s="131">
        <v>0</v>
      </c>
      <c r="AE2066" s="132">
        <v>6581</v>
      </c>
    </row>
    <row r="2067" spans="1:31" x14ac:dyDescent="0.2">
      <c r="A2067" s="133">
        <v>350</v>
      </c>
      <c r="B2067" s="133" t="s">
        <v>1841</v>
      </c>
      <c r="C2067" s="133" t="s">
        <v>1199</v>
      </c>
      <c r="D2067" s="133" t="s">
        <v>2217</v>
      </c>
      <c r="E2067" s="133" t="s">
        <v>1201</v>
      </c>
      <c r="F2067" s="133" t="s">
        <v>1117</v>
      </c>
      <c r="G2067" s="133" t="s">
        <v>1202</v>
      </c>
      <c r="H2067" s="130" t="s">
        <v>1203</v>
      </c>
      <c r="I2067" s="130" t="s">
        <v>1224</v>
      </c>
      <c r="J2067" s="130" t="s">
        <v>1257</v>
      </c>
      <c r="K2067" s="130" t="s">
        <v>1258</v>
      </c>
      <c r="L2067" s="130" t="s">
        <v>2218</v>
      </c>
      <c r="M2067" s="130" t="s">
        <v>1925</v>
      </c>
      <c r="N2067" s="130" t="s">
        <v>120</v>
      </c>
      <c r="O2067" s="130" t="s">
        <v>1860</v>
      </c>
      <c r="P2067" s="130" t="s">
        <v>1861</v>
      </c>
      <c r="Q2067" s="130" t="s">
        <v>1127</v>
      </c>
      <c r="R2067" s="130" t="s">
        <v>1191</v>
      </c>
      <c r="S2067" s="130" t="s">
        <v>1191</v>
      </c>
      <c r="T2067" s="130" t="s">
        <v>1847</v>
      </c>
      <c r="U2067" s="130">
        <v>0</v>
      </c>
      <c r="V2067" s="131">
        <v>8850</v>
      </c>
      <c r="W2067" s="131">
        <v>8850</v>
      </c>
      <c r="X2067" s="131">
        <v>0</v>
      </c>
      <c r="Y2067" s="131">
        <v>8850</v>
      </c>
      <c r="Z2067" s="131">
        <v>0</v>
      </c>
      <c r="AA2067" s="131">
        <v>8850</v>
      </c>
      <c r="AB2067" s="131">
        <v>0</v>
      </c>
      <c r="AC2067" s="131">
        <v>8850</v>
      </c>
      <c r="AD2067" s="131">
        <v>0</v>
      </c>
      <c r="AE2067" s="132">
        <v>8850</v>
      </c>
    </row>
    <row r="2068" spans="1:31" x14ac:dyDescent="0.2">
      <c r="A2068" s="133">
        <v>350</v>
      </c>
      <c r="B2068" s="133" t="s">
        <v>1841</v>
      </c>
      <c r="C2068" s="133" t="s">
        <v>1199</v>
      </c>
      <c r="D2068" s="133" t="s">
        <v>2217</v>
      </c>
      <c r="E2068" s="133" t="s">
        <v>1201</v>
      </c>
      <c r="F2068" s="133" t="s">
        <v>1117</v>
      </c>
      <c r="G2068" s="133" t="s">
        <v>1202</v>
      </c>
      <c r="H2068" s="133" t="s">
        <v>1203</v>
      </c>
      <c r="I2068" s="133" t="s">
        <v>1224</v>
      </c>
      <c r="J2068" s="133" t="s">
        <v>1257</v>
      </c>
      <c r="K2068" s="130" t="s">
        <v>1259</v>
      </c>
      <c r="L2068" s="130" t="s">
        <v>2218</v>
      </c>
      <c r="M2068" s="130" t="s">
        <v>1925</v>
      </c>
      <c r="N2068" s="130" t="s">
        <v>120</v>
      </c>
      <c r="O2068" s="130" t="s">
        <v>1860</v>
      </c>
      <c r="P2068" s="130" t="s">
        <v>1861</v>
      </c>
      <c r="Q2068" s="130" t="s">
        <v>1127</v>
      </c>
      <c r="R2068" s="130" t="s">
        <v>1191</v>
      </c>
      <c r="S2068" s="130" t="s">
        <v>1191</v>
      </c>
      <c r="T2068" s="130" t="s">
        <v>1847</v>
      </c>
      <c r="U2068" s="130">
        <v>0</v>
      </c>
      <c r="V2068" s="131">
        <v>1890</v>
      </c>
      <c r="W2068" s="131">
        <v>1890</v>
      </c>
      <c r="X2068" s="131">
        <v>0</v>
      </c>
      <c r="Y2068" s="131">
        <v>1890</v>
      </c>
      <c r="Z2068" s="131">
        <v>0</v>
      </c>
      <c r="AA2068" s="131">
        <v>1890</v>
      </c>
      <c r="AB2068" s="131">
        <v>0</v>
      </c>
      <c r="AC2068" s="131">
        <v>1890</v>
      </c>
      <c r="AD2068" s="131">
        <v>0</v>
      </c>
      <c r="AE2068" s="132">
        <v>1890</v>
      </c>
    </row>
    <row r="2069" spans="1:31" x14ac:dyDescent="0.2">
      <c r="A2069" s="133">
        <v>350</v>
      </c>
      <c r="B2069" s="133" t="s">
        <v>1841</v>
      </c>
      <c r="C2069" s="133" t="s">
        <v>1199</v>
      </c>
      <c r="D2069" s="133" t="s">
        <v>2217</v>
      </c>
      <c r="E2069" s="133" t="s">
        <v>1201</v>
      </c>
      <c r="F2069" s="133" t="s">
        <v>1117</v>
      </c>
      <c r="G2069" s="133" t="s">
        <v>1202</v>
      </c>
      <c r="H2069" s="133" t="s">
        <v>1203</v>
      </c>
      <c r="I2069" s="133" t="s">
        <v>1224</v>
      </c>
      <c r="J2069" s="130" t="s">
        <v>1529</v>
      </c>
      <c r="K2069" s="130" t="s">
        <v>1531</v>
      </c>
      <c r="L2069" s="130" t="s">
        <v>2218</v>
      </c>
      <c r="M2069" s="130" t="s">
        <v>1925</v>
      </c>
      <c r="N2069" s="130" t="s">
        <v>120</v>
      </c>
      <c r="O2069" s="130" t="s">
        <v>1860</v>
      </c>
      <c r="P2069" s="130" t="s">
        <v>1861</v>
      </c>
      <c r="Q2069" s="130" t="s">
        <v>1127</v>
      </c>
      <c r="R2069" s="130" t="s">
        <v>1191</v>
      </c>
      <c r="S2069" s="130" t="s">
        <v>1191</v>
      </c>
      <c r="T2069" s="130" t="s">
        <v>1847</v>
      </c>
      <c r="U2069" s="130">
        <v>0</v>
      </c>
      <c r="V2069" s="131">
        <v>700</v>
      </c>
      <c r="W2069" s="131">
        <v>700</v>
      </c>
      <c r="X2069" s="131">
        <v>0</v>
      </c>
      <c r="Y2069" s="131">
        <v>700</v>
      </c>
      <c r="Z2069" s="131">
        <v>0</v>
      </c>
      <c r="AA2069" s="131">
        <v>700</v>
      </c>
      <c r="AB2069" s="131">
        <v>0</v>
      </c>
      <c r="AC2069" s="131">
        <v>700</v>
      </c>
      <c r="AD2069" s="131">
        <v>0</v>
      </c>
      <c r="AE2069" s="132">
        <v>700</v>
      </c>
    </row>
    <row r="2070" spans="1:31" x14ac:dyDescent="0.2">
      <c r="A2070" s="133">
        <v>350</v>
      </c>
      <c r="B2070" s="133" t="s">
        <v>1841</v>
      </c>
      <c r="C2070" s="133" t="s">
        <v>1199</v>
      </c>
      <c r="D2070" s="133" t="s">
        <v>2217</v>
      </c>
      <c r="E2070" s="133" t="s">
        <v>1201</v>
      </c>
      <c r="F2070" s="133" t="s">
        <v>1117</v>
      </c>
      <c r="G2070" s="133" t="s">
        <v>1202</v>
      </c>
      <c r="H2070" s="133" t="s">
        <v>1203</v>
      </c>
      <c r="I2070" s="130" t="s">
        <v>1315</v>
      </c>
      <c r="J2070" s="130" t="s">
        <v>1316</v>
      </c>
      <c r="K2070" s="130" t="s">
        <v>1533</v>
      </c>
      <c r="L2070" s="130" t="s">
        <v>2218</v>
      </c>
      <c r="M2070" s="130" t="s">
        <v>1925</v>
      </c>
      <c r="N2070" s="130" t="s">
        <v>120</v>
      </c>
      <c r="O2070" s="130" t="s">
        <v>1860</v>
      </c>
      <c r="P2070" s="130" t="s">
        <v>1861</v>
      </c>
      <c r="Q2070" s="130" t="s">
        <v>1127</v>
      </c>
      <c r="R2070" s="130" t="s">
        <v>1191</v>
      </c>
      <c r="S2070" s="130" t="s">
        <v>1191</v>
      </c>
      <c r="T2070" s="130" t="s">
        <v>1847</v>
      </c>
      <c r="U2070" s="130">
        <v>0</v>
      </c>
      <c r="V2070" s="131">
        <v>0</v>
      </c>
      <c r="W2070" s="131">
        <v>0</v>
      </c>
      <c r="X2070" s="131">
        <v>0</v>
      </c>
      <c r="Y2070" s="131">
        <v>0</v>
      </c>
      <c r="Z2070" s="131">
        <v>0</v>
      </c>
      <c r="AA2070" s="131">
        <v>0</v>
      </c>
      <c r="AB2070" s="131">
        <v>0</v>
      </c>
      <c r="AC2070" s="131">
        <v>0</v>
      </c>
      <c r="AD2070" s="131">
        <v>0</v>
      </c>
      <c r="AE2070" s="132">
        <v>0</v>
      </c>
    </row>
    <row r="2071" spans="1:31" x14ac:dyDescent="0.2">
      <c r="A2071" s="133">
        <v>350</v>
      </c>
      <c r="B2071" s="133" t="s">
        <v>1841</v>
      </c>
      <c r="C2071" s="133" t="s">
        <v>1199</v>
      </c>
      <c r="D2071" s="133" t="s">
        <v>2217</v>
      </c>
      <c r="E2071" s="133" t="s">
        <v>1201</v>
      </c>
      <c r="F2071" s="133" t="s">
        <v>1117</v>
      </c>
      <c r="G2071" s="133" t="s">
        <v>1202</v>
      </c>
      <c r="H2071" s="133" t="s">
        <v>1203</v>
      </c>
      <c r="I2071" s="130" t="s">
        <v>1269</v>
      </c>
      <c r="J2071" s="130" t="s">
        <v>1534</v>
      </c>
      <c r="K2071" s="130" t="s">
        <v>1535</v>
      </c>
      <c r="L2071" s="130" t="s">
        <v>2218</v>
      </c>
      <c r="M2071" s="130" t="s">
        <v>1925</v>
      </c>
      <c r="N2071" s="130" t="s">
        <v>120</v>
      </c>
      <c r="O2071" s="130" t="s">
        <v>1860</v>
      </c>
      <c r="P2071" s="130" t="s">
        <v>1861</v>
      </c>
      <c r="Q2071" s="130" t="s">
        <v>1127</v>
      </c>
      <c r="R2071" s="130" t="s">
        <v>1191</v>
      </c>
      <c r="S2071" s="130" t="s">
        <v>1191</v>
      </c>
      <c r="T2071" s="130" t="s">
        <v>1847</v>
      </c>
      <c r="U2071" s="130">
        <v>0</v>
      </c>
      <c r="V2071" s="131">
        <v>450</v>
      </c>
      <c r="W2071" s="131">
        <v>450</v>
      </c>
      <c r="X2071" s="131">
        <v>450</v>
      </c>
      <c r="Y2071" s="131">
        <v>0</v>
      </c>
      <c r="Z2071" s="131">
        <v>450</v>
      </c>
      <c r="AA2071" s="131">
        <v>0</v>
      </c>
      <c r="AB2071" s="131">
        <v>450</v>
      </c>
      <c r="AC2071" s="131">
        <v>0</v>
      </c>
      <c r="AD2071" s="131">
        <v>450</v>
      </c>
      <c r="AE2071" s="132">
        <v>0</v>
      </c>
    </row>
    <row r="2072" spans="1:31" x14ac:dyDescent="0.2">
      <c r="A2072" s="133">
        <v>350</v>
      </c>
      <c r="B2072" s="133" t="s">
        <v>1841</v>
      </c>
      <c r="C2072" s="133" t="s">
        <v>1199</v>
      </c>
      <c r="D2072" s="133" t="s">
        <v>2217</v>
      </c>
      <c r="E2072" s="130" t="s">
        <v>1855</v>
      </c>
      <c r="F2072" s="130" t="s">
        <v>1117</v>
      </c>
      <c r="G2072" s="130" t="s">
        <v>1202</v>
      </c>
      <c r="H2072" s="130" t="s">
        <v>1203</v>
      </c>
      <c r="I2072" s="130" t="s">
        <v>1315</v>
      </c>
      <c r="J2072" s="130" t="s">
        <v>1316</v>
      </c>
      <c r="K2072" s="130" t="s">
        <v>1533</v>
      </c>
      <c r="L2072" s="130" t="s">
        <v>2218</v>
      </c>
      <c r="M2072" s="130" t="s">
        <v>1925</v>
      </c>
      <c r="N2072" s="130" t="s">
        <v>120</v>
      </c>
      <c r="O2072" s="130" t="s">
        <v>1860</v>
      </c>
      <c r="P2072" s="130" t="s">
        <v>1861</v>
      </c>
      <c r="Q2072" s="130" t="s">
        <v>1127</v>
      </c>
      <c r="R2072" s="130" t="s">
        <v>1191</v>
      </c>
      <c r="S2072" s="130" t="s">
        <v>1191</v>
      </c>
      <c r="T2072" s="130" t="s">
        <v>1847</v>
      </c>
      <c r="U2072" s="130">
        <v>0</v>
      </c>
      <c r="V2072" s="131">
        <v>40260</v>
      </c>
      <c r="W2072" s="131">
        <v>40260</v>
      </c>
      <c r="X2072" s="131">
        <v>0</v>
      </c>
      <c r="Y2072" s="131">
        <v>40260</v>
      </c>
      <c r="Z2072" s="131">
        <v>0</v>
      </c>
      <c r="AA2072" s="131">
        <v>40260</v>
      </c>
      <c r="AB2072" s="131">
        <v>0</v>
      </c>
      <c r="AC2072" s="131">
        <v>40260</v>
      </c>
      <c r="AD2072" s="131">
        <v>0</v>
      </c>
      <c r="AE2072" s="132">
        <v>40260</v>
      </c>
    </row>
    <row r="2073" spans="1:31" x14ac:dyDescent="0.2">
      <c r="A2073" s="133">
        <v>350</v>
      </c>
      <c r="B2073" s="133" t="s">
        <v>1841</v>
      </c>
      <c r="C2073" s="133" t="s">
        <v>1199</v>
      </c>
      <c r="D2073" s="133" t="s">
        <v>2217</v>
      </c>
      <c r="E2073" s="133" t="s">
        <v>1855</v>
      </c>
      <c r="F2073" s="133" t="s">
        <v>1117</v>
      </c>
      <c r="G2073" s="130" t="s">
        <v>1118</v>
      </c>
      <c r="H2073" s="130" t="s">
        <v>2211</v>
      </c>
      <c r="I2073" s="130" t="s">
        <v>2212</v>
      </c>
      <c r="J2073" s="130" t="s">
        <v>2213</v>
      </c>
      <c r="K2073" s="130" t="s">
        <v>2219</v>
      </c>
      <c r="L2073" s="130" t="s">
        <v>2218</v>
      </c>
      <c r="M2073" s="130" t="s">
        <v>1925</v>
      </c>
      <c r="N2073" s="130" t="s">
        <v>120</v>
      </c>
      <c r="O2073" s="130" t="s">
        <v>1860</v>
      </c>
      <c r="P2073" s="130" t="s">
        <v>1861</v>
      </c>
      <c r="Q2073" s="130" t="s">
        <v>1127</v>
      </c>
      <c r="R2073" s="130" t="s">
        <v>1191</v>
      </c>
      <c r="S2073" s="130" t="s">
        <v>1191</v>
      </c>
      <c r="T2073" s="130" t="s">
        <v>1847</v>
      </c>
      <c r="U2073" s="130">
        <v>0</v>
      </c>
      <c r="V2073" s="131">
        <v>13688</v>
      </c>
      <c r="W2073" s="131">
        <v>13688</v>
      </c>
      <c r="X2073" s="131">
        <v>12508</v>
      </c>
      <c r="Y2073" s="131">
        <v>1180</v>
      </c>
      <c r="Z2073" s="131">
        <v>12508</v>
      </c>
      <c r="AA2073" s="131">
        <v>1180</v>
      </c>
      <c r="AB2073" s="131">
        <v>12508</v>
      </c>
      <c r="AC2073" s="131">
        <v>1180</v>
      </c>
      <c r="AD2073" s="131">
        <v>0</v>
      </c>
      <c r="AE2073" s="132">
        <v>13688</v>
      </c>
    </row>
    <row r="2074" spans="1:31" x14ac:dyDescent="0.2">
      <c r="A2074" s="130">
        <v>351</v>
      </c>
      <c r="B2074" s="130" t="s">
        <v>2220</v>
      </c>
      <c r="C2074" s="130" t="s">
        <v>1147</v>
      </c>
      <c r="D2074" s="130" t="s">
        <v>1461</v>
      </c>
      <c r="E2074" s="130" t="s">
        <v>1116</v>
      </c>
      <c r="F2074" s="130" t="s">
        <v>1117</v>
      </c>
      <c r="G2074" s="130" t="s">
        <v>1118</v>
      </c>
      <c r="H2074" s="130" t="s">
        <v>1149</v>
      </c>
      <c r="I2074" s="130" t="s">
        <v>1182</v>
      </c>
      <c r="J2074" s="130" t="s">
        <v>2221</v>
      </c>
      <c r="K2074" s="130" t="s">
        <v>2222</v>
      </c>
      <c r="L2074" s="130" t="s">
        <v>2223</v>
      </c>
      <c r="M2074" s="130" t="s">
        <v>1925</v>
      </c>
      <c r="N2074" s="130" t="s">
        <v>127</v>
      </c>
      <c r="O2074" s="130" t="s">
        <v>1933</v>
      </c>
      <c r="P2074" s="130" t="s">
        <v>1934</v>
      </c>
      <c r="Q2074" s="130" t="s">
        <v>1127</v>
      </c>
      <c r="R2074" s="130" t="s">
        <v>1187</v>
      </c>
      <c r="S2074" s="130" t="s">
        <v>1613</v>
      </c>
      <c r="T2074" s="130" t="s">
        <v>1188</v>
      </c>
      <c r="U2074" s="130">
        <v>0</v>
      </c>
      <c r="V2074" s="131">
        <v>61500</v>
      </c>
      <c r="W2074" s="131">
        <v>61500</v>
      </c>
      <c r="X2074" s="131">
        <v>59000</v>
      </c>
      <c r="Y2074" s="131">
        <v>2500</v>
      </c>
      <c r="Z2074" s="131">
        <v>0</v>
      </c>
      <c r="AA2074" s="131">
        <v>61500</v>
      </c>
      <c r="AB2074" s="131">
        <v>0</v>
      </c>
      <c r="AC2074" s="131">
        <v>61500</v>
      </c>
      <c r="AD2074" s="131">
        <v>0</v>
      </c>
      <c r="AE2074" s="132">
        <v>61500</v>
      </c>
    </row>
    <row r="2075" spans="1:31" x14ac:dyDescent="0.2">
      <c r="A2075" s="130">
        <v>352</v>
      </c>
      <c r="B2075" s="130" t="s">
        <v>2224</v>
      </c>
      <c r="C2075" s="130" t="s">
        <v>1147</v>
      </c>
      <c r="D2075" s="130" t="s">
        <v>1461</v>
      </c>
      <c r="E2075" s="130" t="s">
        <v>1116</v>
      </c>
      <c r="F2075" s="130" t="s">
        <v>1117</v>
      </c>
      <c r="G2075" s="130" t="s">
        <v>1118</v>
      </c>
      <c r="H2075" s="130" t="s">
        <v>1149</v>
      </c>
      <c r="I2075" s="130" t="s">
        <v>1182</v>
      </c>
      <c r="J2075" s="130" t="s">
        <v>2221</v>
      </c>
      <c r="K2075" s="130" t="s">
        <v>2222</v>
      </c>
      <c r="L2075" s="130" t="s">
        <v>2225</v>
      </c>
      <c r="M2075" s="130" t="s">
        <v>1925</v>
      </c>
      <c r="N2075" s="130" t="s">
        <v>127</v>
      </c>
      <c r="O2075" s="130" t="s">
        <v>1933</v>
      </c>
      <c r="P2075" s="130" t="s">
        <v>1934</v>
      </c>
      <c r="Q2075" s="130" t="s">
        <v>1127</v>
      </c>
      <c r="R2075" s="130" t="s">
        <v>1409</v>
      </c>
      <c r="S2075" s="130" t="s">
        <v>2226</v>
      </c>
      <c r="T2075" s="130" t="s">
        <v>1188</v>
      </c>
      <c r="U2075" s="130">
        <v>0</v>
      </c>
      <c r="V2075" s="131">
        <v>62000</v>
      </c>
      <c r="W2075" s="131">
        <v>62000</v>
      </c>
      <c r="X2075" s="131">
        <v>61766.67</v>
      </c>
      <c r="Y2075" s="131">
        <v>233.33000000000175</v>
      </c>
      <c r="Z2075" s="131">
        <v>0</v>
      </c>
      <c r="AA2075" s="131">
        <v>62000</v>
      </c>
      <c r="AB2075" s="131">
        <v>0</v>
      </c>
      <c r="AC2075" s="131">
        <v>62000</v>
      </c>
      <c r="AD2075" s="131">
        <v>0</v>
      </c>
      <c r="AE2075" s="132">
        <v>62000</v>
      </c>
    </row>
    <row r="2076" spans="1:31" x14ac:dyDescent="0.2">
      <c r="A2076" s="130">
        <v>353</v>
      </c>
      <c r="B2076" s="130" t="s">
        <v>2227</v>
      </c>
      <c r="C2076" s="130" t="s">
        <v>1147</v>
      </c>
      <c r="D2076" s="130" t="s">
        <v>1461</v>
      </c>
      <c r="E2076" s="130" t="s">
        <v>1116</v>
      </c>
      <c r="F2076" s="130" t="s">
        <v>1117</v>
      </c>
      <c r="G2076" s="130" t="s">
        <v>1118</v>
      </c>
      <c r="H2076" s="130" t="s">
        <v>1149</v>
      </c>
      <c r="I2076" s="130" t="s">
        <v>1182</v>
      </c>
      <c r="J2076" s="130" t="s">
        <v>2221</v>
      </c>
      <c r="K2076" s="130" t="s">
        <v>2222</v>
      </c>
      <c r="L2076" s="130" t="s">
        <v>2228</v>
      </c>
      <c r="M2076" s="130" t="s">
        <v>1925</v>
      </c>
      <c r="N2076" s="130" t="s">
        <v>127</v>
      </c>
      <c r="O2076" s="130" t="s">
        <v>1933</v>
      </c>
      <c r="P2076" s="130" t="s">
        <v>1934</v>
      </c>
      <c r="Q2076" s="130" t="s">
        <v>1127</v>
      </c>
      <c r="R2076" s="130" t="s">
        <v>1417</v>
      </c>
      <c r="S2076" s="130" t="s">
        <v>1803</v>
      </c>
      <c r="T2076" s="130" t="s">
        <v>1188</v>
      </c>
      <c r="U2076" s="130">
        <v>0</v>
      </c>
      <c r="V2076" s="131">
        <v>58000</v>
      </c>
      <c r="W2076" s="131">
        <v>58000</v>
      </c>
      <c r="X2076" s="131">
        <v>58000</v>
      </c>
      <c r="Y2076" s="131">
        <v>0</v>
      </c>
      <c r="Z2076" s="131">
        <v>54000</v>
      </c>
      <c r="AA2076" s="131">
        <v>4000</v>
      </c>
      <c r="AB2076" s="131">
        <v>54000</v>
      </c>
      <c r="AC2076" s="131">
        <v>4000</v>
      </c>
      <c r="AD2076" s="131">
        <v>0</v>
      </c>
      <c r="AE2076" s="132">
        <v>58000</v>
      </c>
    </row>
    <row r="2077" spans="1:31" x14ac:dyDescent="0.2">
      <c r="A2077" s="133">
        <v>353</v>
      </c>
      <c r="B2077" s="133" t="s">
        <v>2227</v>
      </c>
      <c r="C2077" s="133" t="s">
        <v>1147</v>
      </c>
      <c r="D2077" s="133" t="s">
        <v>1461</v>
      </c>
      <c r="E2077" s="133" t="s">
        <v>1116</v>
      </c>
      <c r="F2077" s="133" t="s">
        <v>1117</v>
      </c>
      <c r="G2077" s="133" t="s">
        <v>1118</v>
      </c>
      <c r="H2077" s="130" t="s">
        <v>1133</v>
      </c>
      <c r="I2077" s="130" t="s">
        <v>1134</v>
      </c>
      <c r="J2077" s="130" t="s">
        <v>1135</v>
      </c>
      <c r="K2077" s="130" t="s">
        <v>1144</v>
      </c>
      <c r="L2077" s="130" t="s">
        <v>2228</v>
      </c>
      <c r="M2077" s="130" t="s">
        <v>1925</v>
      </c>
      <c r="N2077" s="130" t="s">
        <v>127</v>
      </c>
      <c r="O2077" s="130" t="s">
        <v>1933</v>
      </c>
      <c r="P2077" s="130" t="s">
        <v>1934</v>
      </c>
      <c r="Q2077" s="130" t="s">
        <v>1127</v>
      </c>
      <c r="R2077" s="130" t="s">
        <v>1417</v>
      </c>
      <c r="S2077" s="130" t="s">
        <v>1803</v>
      </c>
      <c r="T2077" s="130" t="s">
        <v>1188</v>
      </c>
      <c r="U2077" s="130">
        <v>0</v>
      </c>
      <c r="V2077" s="131">
        <v>5755</v>
      </c>
      <c r="W2077" s="131">
        <v>5755</v>
      </c>
      <c r="X2077" s="131">
        <v>0</v>
      </c>
      <c r="Y2077" s="131">
        <v>5755</v>
      </c>
      <c r="Z2077" s="131">
        <v>0</v>
      </c>
      <c r="AA2077" s="131">
        <v>5755</v>
      </c>
      <c r="AB2077" s="131">
        <v>0</v>
      </c>
      <c r="AC2077" s="131">
        <v>5755</v>
      </c>
      <c r="AD2077" s="131">
        <v>0</v>
      </c>
      <c r="AE2077" s="132">
        <v>5755</v>
      </c>
    </row>
    <row r="2078" spans="1:31" x14ac:dyDescent="0.2">
      <c r="A2078" s="130">
        <v>354</v>
      </c>
      <c r="B2078" s="130" t="s">
        <v>2229</v>
      </c>
      <c r="C2078" s="130" t="s">
        <v>1147</v>
      </c>
      <c r="D2078" s="130" t="s">
        <v>1461</v>
      </c>
      <c r="E2078" s="130" t="s">
        <v>1116</v>
      </c>
      <c r="F2078" s="130" t="s">
        <v>1117</v>
      </c>
      <c r="G2078" s="130" t="s">
        <v>1118</v>
      </c>
      <c r="H2078" s="130" t="s">
        <v>1149</v>
      </c>
      <c r="I2078" s="130" t="s">
        <v>1182</v>
      </c>
      <c r="J2078" s="130" t="s">
        <v>2221</v>
      </c>
      <c r="K2078" s="130" t="s">
        <v>2222</v>
      </c>
      <c r="L2078" s="130" t="s">
        <v>2230</v>
      </c>
      <c r="M2078" s="130" t="s">
        <v>1925</v>
      </c>
      <c r="N2078" s="130" t="s">
        <v>127</v>
      </c>
      <c r="O2078" s="130" t="s">
        <v>1933</v>
      </c>
      <c r="P2078" s="130" t="s">
        <v>1934</v>
      </c>
      <c r="Q2078" s="130" t="s">
        <v>1127</v>
      </c>
      <c r="R2078" s="130" t="s">
        <v>1413</v>
      </c>
      <c r="S2078" s="130" t="s">
        <v>1974</v>
      </c>
      <c r="T2078" s="130" t="s">
        <v>1188</v>
      </c>
      <c r="U2078" s="130">
        <v>0</v>
      </c>
      <c r="V2078" s="131">
        <v>59650</v>
      </c>
      <c r="W2078" s="131">
        <v>59650</v>
      </c>
      <c r="X2078" s="131">
        <v>0</v>
      </c>
      <c r="Y2078" s="131">
        <v>59650</v>
      </c>
      <c r="Z2078" s="131">
        <v>0</v>
      </c>
      <c r="AA2078" s="131">
        <v>59650</v>
      </c>
      <c r="AB2078" s="131">
        <v>0</v>
      </c>
      <c r="AC2078" s="131">
        <v>59650</v>
      </c>
      <c r="AD2078" s="131">
        <v>0</v>
      </c>
      <c r="AE2078" s="132">
        <v>59650</v>
      </c>
    </row>
    <row r="2079" spans="1:31" x14ac:dyDescent="0.2">
      <c r="A2079" s="133">
        <v>354</v>
      </c>
      <c r="B2079" s="133" t="s">
        <v>2229</v>
      </c>
      <c r="C2079" s="133" t="s">
        <v>1147</v>
      </c>
      <c r="D2079" s="133" t="s">
        <v>1461</v>
      </c>
      <c r="E2079" s="133" t="s">
        <v>1116</v>
      </c>
      <c r="F2079" s="133" t="s">
        <v>1117</v>
      </c>
      <c r="G2079" s="133" t="s">
        <v>1118</v>
      </c>
      <c r="H2079" s="130" t="s">
        <v>1133</v>
      </c>
      <c r="I2079" s="130" t="s">
        <v>1134</v>
      </c>
      <c r="J2079" s="130" t="s">
        <v>1135</v>
      </c>
      <c r="K2079" s="130" t="s">
        <v>1144</v>
      </c>
      <c r="L2079" s="130" t="s">
        <v>2230</v>
      </c>
      <c r="M2079" s="130" t="s">
        <v>1925</v>
      </c>
      <c r="N2079" s="130" t="s">
        <v>127</v>
      </c>
      <c r="O2079" s="130" t="s">
        <v>1933</v>
      </c>
      <c r="P2079" s="130" t="s">
        <v>1934</v>
      </c>
      <c r="Q2079" s="130" t="s">
        <v>1127</v>
      </c>
      <c r="R2079" s="130" t="s">
        <v>1413</v>
      </c>
      <c r="S2079" s="130" t="s">
        <v>1974</v>
      </c>
      <c r="T2079" s="130" t="s">
        <v>1188</v>
      </c>
      <c r="U2079" s="130">
        <v>0</v>
      </c>
      <c r="V2079" s="131">
        <v>5788</v>
      </c>
      <c r="W2079" s="131">
        <v>5788</v>
      </c>
      <c r="X2079" s="131">
        <v>2140</v>
      </c>
      <c r="Y2079" s="131">
        <v>3648</v>
      </c>
      <c r="Z2079" s="131">
        <v>2140</v>
      </c>
      <c r="AA2079" s="131">
        <v>3648</v>
      </c>
      <c r="AB2079" s="131">
        <v>2140</v>
      </c>
      <c r="AC2079" s="131">
        <v>3648</v>
      </c>
      <c r="AD2079" s="131">
        <v>0</v>
      </c>
      <c r="AE2079" s="132">
        <v>5788</v>
      </c>
    </row>
    <row r="2080" spans="1:31" x14ac:dyDescent="0.2">
      <c r="A2080" s="130">
        <v>355</v>
      </c>
      <c r="B2080" s="130" t="s">
        <v>2231</v>
      </c>
      <c r="C2080" s="130" t="s">
        <v>1147</v>
      </c>
      <c r="D2080" s="130" t="s">
        <v>1461</v>
      </c>
      <c r="E2080" s="130" t="s">
        <v>1116</v>
      </c>
      <c r="F2080" s="130" t="s">
        <v>1117</v>
      </c>
      <c r="G2080" s="130" t="s">
        <v>1118</v>
      </c>
      <c r="H2080" s="130" t="s">
        <v>1149</v>
      </c>
      <c r="I2080" s="130" t="s">
        <v>1182</v>
      </c>
      <c r="J2080" s="130" t="s">
        <v>2221</v>
      </c>
      <c r="K2080" s="130" t="s">
        <v>2222</v>
      </c>
      <c r="L2080" s="130" t="s">
        <v>2232</v>
      </c>
      <c r="M2080" s="130" t="s">
        <v>1925</v>
      </c>
      <c r="N2080" s="130" t="s">
        <v>127</v>
      </c>
      <c r="O2080" s="130" t="s">
        <v>2233</v>
      </c>
      <c r="P2080" s="130" t="s">
        <v>2234</v>
      </c>
      <c r="Q2080" s="130" t="s">
        <v>1127</v>
      </c>
      <c r="R2080" s="130" t="s">
        <v>1499</v>
      </c>
      <c r="S2080" s="130" t="s">
        <v>1981</v>
      </c>
      <c r="T2080" s="130" t="s">
        <v>1188</v>
      </c>
      <c r="U2080" s="130">
        <v>0</v>
      </c>
      <c r="V2080" s="131">
        <v>56000</v>
      </c>
      <c r="W2080" s="131">
        <v>56000</v>
      </c>
      <c r="X2080" s="131">
        <v>53950</v>
      </c>
      <c r="Y2080" s="131">
        <v>2050</v>
      </c>
      <c r="Z2080" s="131">
        <v>53950</v>
      </c>
      <c r="AA2080" s="131">
        <v>2050</v>
      </c>
      <c r="AB2080" s="131">
        <v>53950</v>
      </c>
      <c r="AC2080" s="131">
        <v>2050</v>
      </c>
      <c r="AD2080" s="131">
        <v>53950</v>
      </c>
      <c r="AE2080" s="132">
        <v>2050</v>
      </c>
    </row>
    <row r="2081" spans="1:31" x14ac:dyDescent="0.2">
      <c r="A2081" s="133">
        <v>355</v>
      </c>
      <c r="B2081" s="133" t="s">
        <v>2231</v>
      </c>
      <c r="C2081" s="133" t="s">
        <v>1147</v>
      </c>
      <c r="D2081" s="133" t="s">
        <v>1461</v>
      </c>
      <c r="E2081" s="133" t="s">
        <v>1116</v>
      </c>
      <c r="F2081" s="133" t="s">
        <v>1117</v>
      </c>
      <c r="G2081" s="133" t="s">
        <v>1118</v>
      </c>
      <c r="H2081" s="130" t="s">
        <v>1133</v>
      </c>
      <c r="I2081" s="130" t="s">
        <v>1134</v>
      </c>
      <c r="J2081" s="130" t="s">
        <v>1135</v>
      </c>
      <c r="K2081" s="130" t="s">
        <v>1144</v>
      </c>
      <c r="L2081" s="130" t="s">
        <v>2232</v>
      </c>
      <c r="M2081" s="130" t="s">
        <v>1925</v>
      </c>
      <c r="N2081" s="130" t="s">
        <v>127</v>
      </c>
      <c r="O2081" s="130" t="s">
        <v>2233</v>
      </c>
      <c r="P2081" s="130" t="s">
        <v>2234</v>
      </c>
      <c r="Q2081" s="130" t="s">
        <v>1127</v>
      </c>
      <c r="R2081" s="130" t="s">
        <v>1499</v>
      </c>
      <c r="S2081" s="130" t="s">
        <v>1981</v>
      </c>
      <c r="T2081" s="130" t="s">
        <v>1188</v>
      </c>
      <c r="U2081" s="130">
        <v>0</v>
      </c>
      <c r="V2081" s="131">
        <v>5200</v>
      </c>
      <c r="W2081" s="131">
        <v>5200</v>
      </c>
      <c r="X2081" s="131">
        <v>5200</v>
      </c>
      <c r="Y2081" s="131">
        <v>0</v>
      </c>
      <c r="Z2081" s="131">
        <v>5200</v>
      </c>
      <c r="AA2081" s="131">
        <v>0</v>
      </c>
      <c r="AB2081" s="131">
        <v>5200</v>
      </c>
      <c r="AC2081" s="131">
        <v>0</v>
      </c>
      <c r="AD2081" s="131">
        <v>2600</v>
      </c>
      <c r="AE2081" s="132">
        <v>2600</v>
      </c>
    </row>
    <row r="2082" spans="1:31" x14ac:dyDescent="0.2">
      <c r="A2082" s="130">
        <v>356</v>
      </c>
      <c r="B2082" s="130" t="s">
        <v>2235</v>
      </c>
      <c r="C2082" s="130" t="s">
        <v>1147</v>
      </c>
      <c r="D2082" s="130" t="s">
        <v>1461</v>
      </c>
      <c r="E2082" s="130" t="s">
        <v>1116</v>
      </c>
      <c r="F2082" s="130" t="s">
        <v>1117</v>
      </c>
      <c r="G2082" s="130" t="s">
        <v>1118</v>
      </c>
      <c r="H2082" s="130" t="s">
        <v>1133</v>
      </c>
      <c r="I2082" s="130" t="s">
        <v>1134</v>
      </c>
      <c r="J2082" s="130" t="s">
        <v>1135</v>
      </c>
      <c r="K2082" s="130" t="s">
        <v>1144</v>
      </c>
      <c r="L2082" s="130" t="s">
        <v>2236</v>
      </c>
      <c r="M2082" s="130" t="s">
        <v>1925</v>
      </c>
      <c r="N2082" s="130" t="s">
        <v>2237</v>
      </c>
      <c r="O2082" s="130" t="s">
        <v>2238</v>
      </c>
      <c r="P2082" s="130" t="s">
        <v>2239</v>
      </c>
      <c r="Q2082" s="130" t="s">
        <v>1127</v>
      </c>
      <c r="R2082" s="130" t="s">
        <v>1175</v>
      </c>
      <c r="S2082" s="130" t="s">
        <v>1756</v>
      </c>
      <c r="T2082" s="130" t="s">
        <v>1369</v>
      </c>
      <c r="U2082" s="130">
        <v>0</v>
      </c>
      <c r="V2082" s="131">
        <v>5365</v>
      </c>
      <c r="W2082" s="131">
        <v>5365</v>
      </c>
      <c r="X2082" s="131">
        <v>5364</v>
      </c>
      <c r="Y2082" s="131">
        <v>1</v>
      </c>
      <c r="Z2082" s="131">
        <v>5364</v>
      </c>
      <c r="AA2082" s="131">
        <v>1</v>
      </c>
      <c r="AB2082" s="131">
        <v>5364</v>
      </c>
      <c r="AC2082" s="131">
        <v>1</v>
      </c>
      <c r="AD2082" s="131">
        <v>0</v>
      </c>
      <c r="AE2082" s="132">
        <v>5365</v>
      </c>
    </row>
    <row r="2083" spans="1:31" x14ac:dyDescent="0.2">
      <c r="A2083" s="130">
        <v>357</v>
      </c>
      <c r="B2083" s="130" t="s">
        <v>2240</v>
      </c>
      <c r="C2083" s="130" t="s">
        <v>1147</v>
      </c>
      <c r="D2083" s="130" t="s">
        <v>1461</v>
      </c>
      <c r="E2083" s="130" t="s">
        <v>1116</v>
      </c>
      <c r="F2083" s="130" t="s">
        <v>1117</v>
      </c>
      <c r="G2083" s="130" t="s">
        <v>1118</v>
      </c>
      <c r="H2083" s="130" t="s">
        <v>1133</v>
      </c>
      <c r="I2083" s="130" t="s">
        <v>1134</v>
      </c>
      <c r="J2083" s="130" t="s">
        <v>1135</v>
      </c>
      <c r="K2083" s="130" t="s">
        <v>1144</v>
      </c>
      <c r="L2083" s="130" t="s">
        <v>2241</v>
      </c>
      <c r="M2083" s="130" t="s">
        <v>1925</v>
      </c>
      <c r="N2083" s="130" t="s">
        <v>127</v>
      </c>
      <c r="O2083" s="130" t="s">
        <v>1933</v>
      </c>
      <c r="P2083" s="130" t="s">
        <v>1934</v>
      </c>
      <c r="Q2083" s="130" t="s">
        <v>1127</v>
      </c>
      <c r="R2083" s="130" t="s">
        <v>1417</v>
      </c>
      <c r="S2083" s="130" t="s">
        <v>1418</v>
      </c>
      <c r="T2083" s="130" t="s">
        <v>1369</v>
      </c>
      <c r="U2083" s="130">
        <v>0</v>
      </c>
      <c r="V2083" s="131">
        <v>2936</v>
      </c>
      <c r="W2083" s="131">
        <v>2936</v>
      </c>
      <c r="X2083" s="131">
        <v>2936</v>
      </c>
      <c r="Y2083" s="131">
        <v>0</v>
      </c>
      <c r="Z2083" s="131">
        <v>2936</v>
      </c>
      <c r="AA2083" s="131">
        <v>0</v>
      </c>
      <c r="AB2083" s="131">
        <v>2936</v>
      </c>
      <c r="AC2083" s="131">
        <v>0</v>
      </c>
      <c r="AD2083" s="131">
        <v>2936</v>
      </c>
      <c r="AE2083" s="132">
        <v>0</v>
      </c>
    </row>
    <row r="2084" spans="1:31" x14ac:dyDescent="0.2">
      <c r="A2084" s="130">
        <v>358</v>
      </c>
      <c r="B2084" s="130" t="s">
        <v>2242</v>
      </c>
      <c r="C2084" s="130" t="s">
        <v>1147</v>
      </c>
      <c r="D2084" s="130" t="s">
        <v>1461</v>
      </c>
      <c r="E2084" s="130" t="s">
        <v>1116</v>
      </c>
      <c r="F2084" s="130" t="s">
        <v>1117</v>
      </c>
      <c r="G2084" s="130" t="s">
        <v>1118</v>
      </c>
      <c r="H2084" s="130" t="s">
        <v>1133</v>
      </c>
      <c r="I2084" s="130" t="s">
        <v>1134</v>
      </c>
      <c r="J2084" s="130" t="s">
        <v>1135</v>
      </c>
      <c r="K2084" s="130" t="s">
        <v>1144</v>
      </c>
      <c r="L2084" s="130" t="s">
        <v>2243</v>
      </c>
      <c r="M2084" s="130" t="s">
        <v>1925</v>
      </c>
      <c r="N2084" s="130" t="s">
        <v>127</v>
      </c>
      <c r="O2084" s="130" t="s">
        <v>2233</v>
      </c>
      <c r="P2084" s="130" t="s">
        <v>2234</v>
      </c>
      <c r="Q2084" s="130" t="s">
        <v>1127</v>
      </c>
      <c r="R2084" s="130" t="s">
        <v>1472</v>
      </c>
      <c r="S2084" s="130" t="s">
        <v>1503</v>
      </c>
      <c r="T2084" s="130" t="s">
        <v>1369</v>
      </c>
      <c r="U2084" s="130">
        <v>0</v>
      </c>
      <c r="V2084" s="131">
        <v>10692</v>
      </c>
      <c r="W2084" s="131">
        <v>10692</v>
      </c>
      <c r="X2084" s="131">
        <v>10691.76</v>
      </c>
      <c r="Y2084" s="131">
        <v>0.23999999999978172</v>
      </c>
      <c r="Z2084" s="131">
        <v>10691.76</v>
      </c>
      <c r="AA2084" s="131">
        <v>0.23999999999978172</v>
      </c>
      <c r="AB2084" s="131">
        <v>10691.76</v>
      </c>
      <c r="AC2084" s="131">
        <v>0.23999999999978172</v>
      </c>
      <c r="AD2084" s="131">
        <v>5600</v>
      </c>
      <c r="AE2084" s="132">
        <v>5092</v>
      </c>
    </row>
    <row r="2085" spans="1:31" x14ac:dyDescent="0.2">
      <c r="A2085" s="130">
        <v>359</v>
      </c>
      <c r="B2085" s="130" t="s">
        <v>2244</v>
      </c>
      <c r="C2085" s="130" t="s">
        <v>1147</v>
      </c>
      <c r="D2085" s="130" t="s">
        <v>1461</v>
      </c>
      <c r="E2085" s="130" t="s">
        <v>1116</v>
      </c>
      <c r="F2085" s="130" t="s">
        <v>1117</v>
      </c>
      <c r="G2085" s="130" t="s">
        <v>1118</v>
      </c>
      <c r="H2085" s="130" t="s">
        <v>1133</v>
      </c>
      <c r="I2085" s="130" t="s">
        <v>1134</v>
      </c>
      <c r="J2085" s="130" t="s">
        <v>1135</v>
      </c>
      <c r="K2085" s="130" t="s">
        <v>1144</v>
      </c>
      <c r="L2085" s="130" t="s">
        <v>2245</v>
      </c>
      <c r="M2085" s="130" t="s">
        <v>1925</v>
      </c>
      <c r="N2085" s="130" t="s">
        <v>127</v>
      </c>
      <c r="O2085" s="130" t="s">
        <v>1933</v>
      </c>
      <c r="P2085" s="130" t="s">
        <v>1934</v>
      </c>
      <c r="Q2085" s="130" t="s">
        <v>1127</v>
      </c>
      <c r="R2085" s="130" t="s">
        <v>1191</v>
      </c>
      <c r="S2085" s="130" t="s">
        <v>1191</v>
      </c>
      <c r="T2085" s="130" t="s">
        <v>1369</v>
      </c>
      <c r="U2085" s="130">
        <v>0</v>
      </c>
      <c r="V2085" s="131">
        <v>7816</v>
      </c>
      <c r="W2085" s="131">
        <v>7816</v>
      </c>
      <c r="X2085" s="131">
        <v>0</v>
      </c>
      <c r="Y2085" s="131">
        <v>7816</v>
      </c>
      <c r="Z2085" s="131">
        <v>0</v>
      </c>
      <c r="AA2085" s="131">
        <v>7816</v>
      </c>
      <c r="AB2085" s="131">
        <v>0</v>
      </c>
      <c r="AC2085" s="131">
        <v>7816</v>
      </c>
      <c r="AD2085" s="131">
        <v>0</v>
      </c>
      <c r="AE2085" s="132">
        <v>7816</v>
      </c>
    </row>
    <row r="2086" spans="1:31" x14ac:dyDescent="0.2">
      <c r="A2086" s="130">
        <v>360</v>
      </c>
      <c r="B2086" s="130" t="s">
        <v>2246</v>
      </c>
      <c r="C2086" s="130" t="s">
        <v>1147</v>
      </c>
      <c r="D2086" s="130" t="s">
        <v>1461</v>
      </c>
      <c r="E2086" s="130" t="s">
        <v>1116</v>
      </c>
      <c r="F2086" s="130" t="s">
        <v>1117</v>
      </c>
      <c r="G2086" s="130" t="s">
        <v>1118</v>
      </c>
      <c r="H2086" s="130" t="s">
        <v>1133</v>
      </c>
      <c r="I2086" s="130" t="s">
        <v>1134</v>
      </c>
      <c r="J2086" s="130" t="s">
        <v>1135</v>
      </c>
      <c r="K2086" s="130" t="s">
        <v>1144</v>
      </c>
      <c r="L2086" s="130" t="s">
        <v>2247</v>
      </c>
      <c r="M2086" s="130" t="s">
        <v>1925</v>
      </c>
      <c r="N2086" s="130" t="s">
        <v>127</v>
      </c>
      <c r="O2086" s="130" t="s">
        <v>2233</v>
      </c>
      <c r="P2086" s="130" t="s">
        <v>2234</v>
      </c>
      <c r="Q2086" s="130" t="s">
        <v>1127</v>
      </c>
      <c r="R2086" s="130" t="s">
        <v>1499</v>
      </c>
      <c r="S2086" s="130" t="s">
        <v>1500</v>
      </c>
      <c r="T2086" s="130" t="s">
        <v>1369</v>
      </c>
      <c r="U2086" s="130">
        <v>0</v>
      </c>
      <c r="V2086" s="131">
        <v>3546</v>
      </c>
      <c r="W2086" s="131">
        <v>3546</v>
      </c>
      <c r="X2086" s="131">
        <v>3546</v>
      </c>
      <c r="Y2086" s="131">
        <v>0</v>
      </c>
      <c r="Z2086" s="131">
        <v>3546</v>
      </c>
      <c r="AA2086" s="131">
        <v>0</v>
      </c>
      <c r="AB2086" s="131">
        <v>3546</v>
      </c>
      <c r="AC2086" s="131">
        <v>0</v>
      </c>
      <c r="AD2086" s="131">
        <v>3546</v>
      </c>
      <c r="AE2086" s="132">
        <v>0</v>
      </c>
    </row>
    <row r="2087" spans="1:31" x14ac:dyDescent="0.2">
      <c r="A2087" s="130">
        <v>361</v>
      </c>
      <c r="B2087" s="130" t="s">
        <v>2248</v>
      </c>
      <c r="C2087" s="130" t="s">
        <v>1147</v>
      </c>
      <c r="D2087" s="130" t="s">
        <v>1461</v>
      </c>
      <c r="E2087" s="130" t="s">
        <v>1116</v>
      </c>
      <c r="F2087" s="130" t="s">
        <v>1117</v>
      </c>
      <c r="G2087" s="130" t="s">
        <v>1118</v>
      </c>
      <c r="H2087" s="130" t="s">
        <v>1133</v>
      </c>
      <c r="I2087" s="130" t="s">
        <v>1134</v>
      </c>
      <c r="J2087" s="130" t="s">
        <v>1135</v>
      </c>
      <c r="K2087" s="130" t="s">
        <v>1144</v>
      </c>
      <c r="L2087" s="130" t="s">
        <v>2249</v>
      </c>
      <c r="M2087" s="130" t="s">
        <v>1925</v>
      </c>
      <c r="N2087" s="130" t="s">
        <v>127</v>
      </c>
      <c r="O2087" s="130" t="s">
        <v>1933</v>
      </c>
      <c r="P2087" s="130" t="s">
        <v>1934</v>
      </c>
      <c r="Q2087" s="130" t="s">
        <v>1127</v>
      </c>
      <c r="R2087" s="130" t="s">
        <v>1380</v>
      </c>
      <c r="S2087" s="130" t="s">
        <v>1381</v>
      </c>
      <c r="T2087" s="130" t="s">
        <v>1369</v>
      </c>
      <c r="U2087" s="130">
        <v>0</v>
      </c>
      <c r="V2087" s="131">
        <v>2555</v>
      </c>
      <c r="W2087" s="131">
        <v>2555</v>
      </c>
      <c r="X2087" s="131">
        <v>2550</v>
      </c>
      <c r="Y2087" s="131">
        <v>5</v>
      </c>
      <c r="Z2087" s="131">
        <v>2550</v>
      </c>
      <c r="AA2087" s="131">
        <v>5</v>
      </c>
      <c r="AB2087" s="131">
        <v>2550</v>
      </c>
      <c r="AC2087" s="131">
        <v>5</v>
      </c>
      <c r="AD2087" s="131">
        <v>2550</v>
      </c>
      <c r="AE2087" s="132">
        <v>5</v>
      </c>
    </row>
    <row r="2088" spans="1:31" x14ac:dyDescent="0.2">
      <c r="A2088" s="130">
        <v>362</v>
      </c>
      <c r="B2088" s="130" t="s">
        <v>2250</v>
      </c>
      <c r="C2088" s="130" t="s">
        <v>1147</v>
      </c>
      <c r="D2088" s="130" t="s">
        <v>1461</v>
      </c>
      <c r="E2088" s="130" t="s">
        <v>1116</v>
      </c>
      <c r="F2088" s="130" t="s">
        <v>1117</v>
      </c>
      <c r="G2088" s="130" t="s">
        <v>1118</v>
      </c>
      <c r="H2088" s="130" t="s">
        <v>1149</v>
      </c>
      <c r="I2088" s="130" t="s">
        <v>1182</v>
      </c>
      <c r="J2088" s="130" t="s">
        <v>2221</v>
      </c>
      <c r="K2088" s="130" t="s">
        <v>2222</v>
      </c>
      <c r="L2088" s="130" t="s">
        <v>2251</v>
      </c>
      <c r="M2088" s="130" t="s">
        <v>1925</v>
      </c>
      <c r="N2088" s="130" t="s">
        <v>127</v>
      </c>
      <c r="O2088" s="130" t="s">
        <v>2233</v>
      </c>
      <c r="P2088" s="130" t="s">
        <v>2234</v>
      </c>
      <c r="Q2088" s="130" t="s">
        <v>1127</v>
      </c>
      <c r="R2088" s="130" t="s">
        <v>1413</v>
      </c>
      <c r="S2088" s="130" t="s">
        <v>1414</v>
      </c>
      <c r="T2088" s="130" t="s">
        <v>1188</v>
      </c>
      <c r="U2088" s="130">
        <v>0</v>
      </c>
      <c r="V2088" s="131">
        <v>65000</v>
      </c>
      <c r="W2088" s="131">
        <v>65000</v>
      </c>
      <c r="X2088" s="131">
        <v>61500</v>
      </c>
      <c r="Y2088" s="131">
        <v>3500</v>
      </c>
      <c r="Z2088" s="131">
        <v>61500</v>
      </c>
      <c r="AA2088" s="131">
        <v>3500</v>
      </c>
      <c r="AB2088" s="131">
        <v>61500</v>
      </c>
      <c r="AC2088" s="131">
        <v>3500</v>
      </c>
      <c r="AD2088" s="131">
        <v>61500</v>
      </c>
      <c r="AE2088" s="132">
        <v>3500</v>
      </c>
    </row>
    <row r="2089" spans="1:31" x14ac:dyDescent="0.2">
      <c r="A2089" s="133">
        <v>362</v>
      </c>
      <c r="B2089" s="133" t="s">
        <v>2250</v>
      </c>
      <c r="C2089" s="133" t="s">
        <v>1147</v>
      </c>
      <c r="D2089" s="133" t="s">
        <v>1461</v>
      </c>
      <c r="E2089" s="133" t="s">
        <v>1116</v>
      </c>
      <c r="F2089" s="133" t="s">
        <v>1117</v>
      </c>
      <c r="G2089" s="133" t="s">
        <v>1118</v>
      </c>
      <c r="H2089" s="130" t="s">
        <v>1133</v>
      </c>
      <c r="I2089" s="130" t="s">
        <v>1134</v>
      </c>
      <c r="J2089" s="130" t="s">
        <v>1135</v>
      </c>
      <c r="K2089" s="130" t="s">
        <v>1144</v>
      </c>
      <c r="L2089" s="130" t="s">
        <v>2251</v>
      </c>
      <c r="M2089" s="130" t="s">
        <v>1925</v>
      </c>
      <c r="N2089" s="130" t="s">
        <v>127</v>
      </c>
      <c r="O2089" s="130" t="s">
        <v>2233</v>
      </c>
      <c r="P2089" s="130" t="s">
        <v>2234</v>
      </c>
      <c r="Q2089" s="130" t="s">
        <v>1127</v>
      </c>
      <c r="R2089" s="130" t="s">
        <v>1413</v>
      </c>
      <c r="S2089" s="130" t="s">
        <v>1414</v>
      </c>
      <c r="T2089" s="130" t="s">
        <v>1188</v>
      </c>
      <c r="U2089" s="130">
        <v>0</v>
      </c>
      <c r="V2089" s="131">
        <v>8376</v>
      </c>
      <c r="W2089" s="131">
        <v>8376</v>
      </c>
      <c r="X2089" s="131">
        <v>5175.75</v>
      </c>
      <c r="Y2089" s="131">
        <v>3200.25</v>
      </c>
      <c r="Z2089" s="131">
        <v>5175.75</v>
      </c>
      <c r="AA2089" s="131">
        <v>3200.25</v>
      </c>
      <c r="AB2089" s="131">
        <v>5175.75</v>
      </c>
      <c r="AC2089" s="131">
        <v>3200.25</v>
      </c>
      <c r="AD2089" s="131">
        <v>0</v>
      </c>
      <c r="AE2089" s="132">
        <v>8376</v>
      </c>
    </row>
    <row r="2090" spans="1:31" x14ac:dyDescent="0.2">
      <c r="A2090" s="130">
        <v>363</v>
      </c>
      <c r="B2090" s="130" t="s">
        <v>2252</v>
      </c>
      <c r="C2090" s="130" t="s">
        <v>1147</v>
      </c>
      <c r="D2090" s="130" t="s">
        <v>1461</v>
      </c>
      <c r="E2090" s="130" t="s">
        <v>1116</v>
      </c>
      <c r="F2090" s="130" t="s">
        <v>1117</v>
      </c>
      <c r="G2090" s="130" t="s">
        <v>1118</v>
      </c>
      <c r="H2090" s="130" t="s">
        <v>1149</v>
      </c>
      <c r="I2090" s="130" t="s">
        <v>1182</v>
      </c>
      <c r="J2090" s="130" t="s">
        <v>1183</v>
      </c>
      <c r="K2090" s="130" t="s">
        <v>1184</v>
      </c>
      <c r="L2090" s="130" t="s">
        <v>2253</v>
      </c>
      <c r="M2090" s="130" t="s">
        <v>1925</v>
      </c>
      <c r="N2090" s="130" t="s">
        <v>127</v>
      </c>
      <c r="O2090" s="130" t="s">
        <v>1933</v>
      </c>
      <c r="P2090" s="130" t="s">
        <v>1934</v>
      </c>
      <c r="Q2090" s="130" t="s">
        <v>1127</v>
      </c>
      <c r="R2090" s="130" t="s">
        <v>1413</v>
      </c>
      <c r="S2090" s="130" t="s">
        <v>1700</v>
      </c>
      <c r="T2090" s="130" t="s">
        <v>1188</v>
      </c>
      <c r="U2090" s="130">
        <v>0</v>
      </c>
      <c r="V2090" s="131">
        <v>45000</v>
      </c>
      <c r="W2090" s="131">
        <v>45000</v>
      </c>
      <c r="X2090" s="131">
        <v>0</v>
      </c>
      <c r="Y2090" s="131">
        <v>45000</v>
      </c>
      <c r="Z2090" s="131">
        <v>0</v>
      </c>
      <c r="AA2090" s="131">
        <v>45000</v>
      </c>
      <c r="AB2090" s="131">
        <v>0</v>
      </c>
      <c r="AC2090" s="131">
        <v>45000</v>
      </c>
      <c r="AD2090" s="131">
        <v>0</v>
      </c>
      <c r="AE2090" s="132">
        <v>45000</v>
      </c>
    </row>
    <row r="2091" spans="1:31" x14ac:dyDescent="0.2">
      <c r="A2091" s="133">
        <v>363</v>
      </c>
      <c r="B2091" s="133" t="s">
        <v>2252</v>
      </c>
      <c r="C2091" s="133" t="s">
        <v>1147</v>
      </c>
      <c r="D2091" s="133" t="s">
        <v>1461</v>
      </c>
      <c r="E2091" s="133" t="s">
        <v>1116</v>
      </c>
      <c r="F2091" s="133" t="s">
        <v>1117</v>
      </c>
      <c r="G2091" s="133" t="s">
        <v>1118</v>
      </c>
      <c r="H2091" s="130" t="s">
        <v>1133</v>
      </c>
      <c r="I2091" s="130" t="s">
        <v>1134</v>
      </c>
      <c r="J2091" s="130" t="s">
        <v>1135</v>
      </c>
      <c r="K2091" s="130" t="s">
        <v>1144</v>
      </c>
      <c r="L2091" s="130" t="s">
        <v>2253</v>
      </c>
      <c r="M2091" s="130" t="s">
        <v>1925</v>
      </c>
      <c r="N2091" s="130" t="s">
        <v>127</v>
      </c>
      <c r="O2091" s="130" t="s">
        <v>1933</v>
      </c>
      <c r="P2091" s="130" t="s">
        <v>1934</v>
      </c>
      <c r="Q2091" s="130" t="s">
        <v>1127</v>
      </c>
      <c r="R2091" s="130" t="s">
        <v>1413</v>
      </c>
      <c r="S2091" s="130" t="s">
        <v>1700</v>
      </c>
      <c r="T2091" s="130" t="s">
        <v>1188</v>
      </c>
      <c r="U2091" s="130">
        <v>0</v>
      </c>
      <c r="V2091" s="131">
        <v>9964</v>
      </c>
      <c r="W2091" s="131">
        <v>9964</v>
      </c>
      <c r="X2091" s="131">
        <v>1977.5</v>
      </c>
      <c r="Y2091" s="131">
        <v>7986.5</v>
      </c>
      <c r="Z2091" s="131">
        <v>1977.5</v>
      </c>
      <c r="AA2091" s="131">
        <v>7986.5</v>
      </c>
      <c r="AB2091" s="131">
        <v>1977.5</v>
      </c>
      <c r="AC2091" s="131">
        <v>7986.5</v>
      </c>
      <c r="AD2091" s="131">
        <v>1977.5</v>
      </c>
      <c r="AE2091" s="132">
        <v>7986.5</v>
      </c>
    </row>
    <row r="2092" spans="1:31" x14ac:dyDescent="0.2">
      <c r="A2092" s="130">
        <v>364</v>
      </c>
      <c r="B2092" s="130" t="s">
        <v>2254</v>
      </c>
      <c r="C2092" s="130" t="s">
        <v>1147</v>
      </c>
      <c r="D2092" s="130" t="s">
        <v>1461</v>
      </c>
      <c r="E2092" s="130" t="s">
        <v>1116</v>
      </c>
      <c r="F2092" s="130" t="s">
        <v>1117</v>
      </c>
      <c r="G2092" s="130" t="s">
        <v>1118</v>
      </c>
      <c r="H2092" s="130" t="s">
        <v>1149</v>
      </c>
      <c r="I2092" s="130" t="s">
        <v>1182</v>
      </c>
      <c r="J2092" s="130" t="s">
        <v>2221</v>
      </c>
      <c r="K2092" s="130" t="s">
        <v>2222</v>
      </c>
      <c r="L2092" s="130" t="s">
        <v>2255</v>
      </c>
      <c r="M2092" s="130" t="s">
        <v>1925</v>
      </c>
      <c r="N2092" s="130" t="s">
        <v>127</v>
      </c>
      <c r="O2092" s="130" t="s">
        <v>2233</v>
      </c>
      <c r="P2092" s="130" t="s">
        <v>2234</v>
      </c>
      <c r="Q2092" s="130" t="s">
        <v>1127</v>
      </c>
      <c r="R2092" s="130" t="s">
        <v>1417</v>
      </c>
      <c r="S2092" s="130" t="s">
        <v>1418</v>
      </c>
      <c r="T2092" s="130" t="s">
        <v>1188</v>
      </c>
      <c r="U2092" s="130">
        <v>0</v>
      </c>
      <c r="V2092" s="131">
        <v>68500</v>
      </c>
      <c r="W2092" s="131">
        <v>68500</v>
      </c>
      <c r="X2092" s="131">
        <v>61500</v>
      </c>
      <c r="Y2092" s="131">
        <v>7000</v>
      </c>
      <c r="Z2092" s="131">
        <v>61500</v>
      </c>
      <c r="AA2092" s="131">
        <v>7000</v>
      </c>
      <c r="AB2092" s="131">
        <v>61500</v>
      </c>
      <c r="AC2092" s="131">
        <v>7000</v>
      </c>
      <c r="AD2092" s="131">
        <v>61500</v>
      </c>
      <c r="AE2092" s="132">
        <v>7000</v>
      </c>
    </row>
    <row r="2093" spans="1:31" x14ac:dyDescent="0.2">
      <c r="A2093" s="133">
        <v>364</v>
      </c>
      <c r="B2093" s="133" t="s">
        <v>2254</v>
      </c>
      <c r="C2093" s="133" t="s">
        <v>1147</v>
      </c>
      <c r="D2093" s="133" t="s">
        <v>1461</v>
      </c>
      <c r="E2093" s="133" t="s">
        <v>1116</v>
      </c>
      <c r="F2093" s="133" t="s">
        <v>1117</v>
      </c>
      <c r="G2093" s="133" t="s">
        <v>1118</v>
      </c>
      <c r="H2093" s="130" t="s">
        <v>1133</v>
      </c>
      <c r="I2093" s="130" t="s">
        <v>1134</v>
      </c>
      <c r="J2093" s="130" t="s">
        <v>1135</v>
      </c>
      <c r="K2093" s="130" t="s">
        <v>1144</v>
      </c>
      <c r="L2093" s="130" t="s">
        <v>2255</v>
      </c>
      <c r="M2093" s="130" t="s">
        <v>1925</v>
      </c>
      <c r="N2093" s="130" t="s">
        <v>127</v>
      </c>
      <c r="O2093" s="130" t="s">
        <v>2233</v>
      </c>
      <c r="P2093" s="130" t="s">
        <v>2234</v>
      </c>
      <c r="Q2093" s="130" t="s">
        <v>1127</v>
      </c>
      <c r="R2093" s="130" t="s">
        <v>1417</v>
      </c>
      <c r="S2093" s="130" t="s">
        <v>1418</v>
      </c>
      <c r="T2093" s="130" t="s">
        <v>1188</v>
      </c>
      <c r="U2093" s="130">
        <v>0</v>
      </c>
      <c r="V2093" s="131">
        <v>8210</v>
      </c>
      <c r="W2093" s="131">
        <v>8210</v>
      </c>
      <c r="X2093" s="131">
        <v>8210</v>
      </c>
      <c r="Y2093" s="131">
        <v>0</v>
      </c>
      <c r="Z2093" s="131">
        <v>8210</v>
      </c>
      <c r="AA2093" s="131">
        <v>0</v>
      </c>
      <c r="AB2093" s="131">
        <v>8210</v>
      </c>
      <c r="AC2093" s="131">
        <v>0</v>
      </c>
      <c r="AD2093" s="131">
        <v>3500</v>
      </c>
      <c r="AE2093" s="132">
        <v>4710</v>
      </c>
    </row>
    <row r="2094" spans="1:31" x14ac:dyDescent="0.2">
      <c r="A2094" s="130">
        <v>365</v>
      </c>
      <c r="B2094" s="130" t="s">
        <v>2256</v>
      </c>
      <c r="C2094" s="130" t="s">
        <v>1147</v>
      </c>
      <c r="D2094" s="130" t="s">
        <v>1461</v>
      </c>
      <c r="E2094" s="130" t="s">
        <v>1116</v>
      </c>
      <c r="F2094" s="130" t="s">
        <v>1117</v>
      </c>
      <c r="G2094" s="130" t="s">
        <v>1118</v>
      </c>
      <c r="H2094" s="130" t="s">
        <v>1133</v>
      </c>
      <c r="I2094" s="130" t="s">
        <v>1134</v>
      </c>
      <c r="J2094" s="130" t="s">
        <v>1135</v>
      </c>
      <c r="K2094" s="130" t="s">
        <v>1144</v>
      </c>
      <c r="L2094" s="130" t="s">
        <v>2257</v>
      </c>
      <c r="M2094" s="130" t="s">
        <v>1925</v>
      </c>
      <c r="N2094" s="130" t="s">
        <v>127</v>
      </c>
      <c r="O2094" s="130" t="s">
        <v>1933</v>
      </c>
      <c r="P2094" s="130" t="s">
        <v>1934</v>
      </c>
      <c r="Q2094" s="130" t="s">
        <v>1127</v>
      </c>
      <c r="R2094" s="130" t="s">
        <v>1191</v>
      </c>
      <c r="S2094" s="130" t="s">
        <v>1783</v>
      </c>
      <c r="T2094" s="130" t="s">
        <v>1369</v>
      </c>
      <c r="U2094" s="130">
        <v>0</v>
      </c>
      <c r="V2094" s="131">
        <v>5098</v>
      </c>
      <c r="W2094" s="131">
        <v>5098</v>
      </c>
      <c r="X2094" s="131">
        <v>5097</v>
      </c>
      <c r="Y2094" s="131">
        <v>1</v>
      </c>
      <c r="Z2094" s="131">
        <v>5097</v>
      </c>
      <c r="AA2094" s="131">
        <v>1</v>
      </c>
      <c r="AB2094" s="131">
        <v>5097</v>
      </c>
      <c r="AC2094" s="131">
        <v>1</v>
      </c>
      <c r="AD2094" s="131">
        <v>5097</v>
      </c>
      <c r="AE2094" s="132">
        <v>1</v>
      </c>
    </row>
    <row r="2095" spans="1:31" x14ac:dyDescent="0.2">
      <c r="A2095" s="130">
        <v>366</v>
      </c>
      <c r="B2095" s="130" t="s">
        <v>2258</v>
      </c>
      <c r="C2095" s="130" t="s">
        <v>1147</v>
      </c>
      <c r="D2095" s="130" t="s">
        <v>1461</v>
      </c>
      <c r="E2095" s="130" t="s">
        <v>1116</v>
      </c>
      <c r="F2095" s="130" t="s">
        <v>1117</v>
      </c>
      <c r="G2095" s="130" t="s">
        <v>1118</v>
      </c>
      <c r="H2095" s="130" t="s">
        <v>1133</v>
      </c>
      <c r="I2095" s="130" t="s">
        <v>1134</v>
      </c>
      <c r="J2095" s="130" t="s">
        <v>1135</v>
      </c>
      <c r="K2095" s="130" t="s">
        <v>1144</v>
      </c>
      <c r="L2095" s="130" t="s">
        <v>2259</v>
      </c>
      <c r="M2095" s="130" t="s">
        <v>1925</v>
      </c>
      <c r="N2095" s="130" t="s">
        <v>127</v>
      </c>
      <c r="O2095" s="130" t="s">
        <v>1933</v>
      </c>
      <c r="P2095" s="130" t="s">
        <v>1934</v>
      </c>
      <c r="Q2095" s="130" t="s">
        <v>1127</v>
      </c>
      <c r="R2095" s="130" t="s">
        <v>1380</v>
      </c>
      <c r="S2095" s="130" t="s">
        <v>1740</v>
      </c>
      <c r="T2095" s="130" t="s">
        <v>1369</v>
      </c>
      <c r="U2095" s="130">
        <v>0</v>
      </c>
      <c r="V2095" s="131">
        <v>4800</v>
      </c>
      <c r="W2095" s="131">
        <v>4800</v>
      </c>
      <c r="X2095" s="131">
        <v>4800</v>
      </c>
      <c r="Y2095" s="131">
        <v>0</v>
      </c>
      <c r="Z2095" s="131">
        <v>4800</v>
      </c>
      <c r="AA2095" s="131">
        <v>0</v>
      </c>
      <c r="AB2095" s="131">
        <v>4800</v>
      </c>
      <c r="AC2095" s="131">
        <v>0</v>
      </c>
      <c r="AD2095" s="131">
        <v>4800</v>
      </c>
      <c r="AE2095" s="132">
        <v>0</v>
      </c>
    </row>
    <row r="2096" spans="1:31" x14ac:dyDescent="0.2">
      <c r="A2096" s="130">
        <v>367</v>
      </c>
      <c r="B2096" s="130" t="s">
        <v>2260</v>
      </c>
      <c r="C2096" s="130" t="s">
        <v>1147</v>
      </c>
      <c r="D2096" s="130" t="s">
        <v>1461</v>
      </c>
      <c r="E2096" s="130" t="s">
        <v>1116</v>
      </c>
      <c r="F2096" s="130" t="s">
        <v>1117</v>
      </c>
      <c r="G2096" s="130" t="s">
        <v>1118</v>
      </c>
      <c r="H2096" s="130" t="s">
        <v>1133</v>
      </c>
      <c r="I2096" s="130" t="s">
        <v>1134</v>
      </c>
      <c r="J2096" s="130" t="s">
        <v>1135</v>
      </c>
      <c r="K2096" s="130" t="s">
        <v>1144</v>
      </c>
      <c r="L2096" s="130" t="s">
        <v>2261</v>
      </c>
      <c r="M2096" s="130" t="s">
        <v>1925</v>
      </c>
      <c r="N2096" s="130" t="s">
        <v>127</v>
      </c>
      <c r="O2096" s="130" t="s">
        <v>1933</v>
      </c>
      <c r="P2096" s="130" t="s">
        <v>1934</v>
      </c>
      <c r="Q2096" s="130" t="s">
        <v>1127</v>
      </c>
      <c r="R2096" s="130" t="s">
        <v>1409</v>
      </c>
      <c r="S2096" s="130" t="s">
        <v>1638</v>
      </c>
      <c r="T2096" s="130" t="s">
        <v>1369</v>
      </c>
      <c r="U2096" s="130">
        <v>0</v>
      </c>
      <c r="V2096" s="131">
        <v>12800</v>
      </c>
      <c r="W2096" s="131">
        <v>12800</v>
      </c>
      <c r="X2096" s="131">
        <v>8000</v>
      </c>
      <c r="Y2096" s="131">
        <v>4800</v>
      </c>
      <c r="Z2096" s="131">
        <v>8000</v>
      </c>
      <c r="AA2096" s="131">
        <v>4800</v>
      </c>
      <c r="AB2096" s="131">
        <v>8000</v>
      </c>
      <c r="AC2096" s="131">
        <v>4800</v>
      </c>
      <c r="AD2096" s="131">
        <v>0</v>
      </c>
      <c r="AE2096" s="132">
        <v>12800</v>
      </c>
    </row>
    <row r="2097" spans="1:31" x14ac:dyDescent="0.2">
      <c r="A2097" s="130">
        <v>368</v>
      </c>
      <c r="B2097" s="130" t="s">
        <v>2262</v>
      </c>
      <c r="C2097" s="130" t="s">
        <v>1147</v>
      </c>
      <c r="D2097" s="130" t="s">
        <v>1461</v>
      </c>
      <c r="E2097" s="130" t="s">
        <v>1116</v>
      </c>
      <c r="F2097" s="130" t="s">
        <v>1117</v>
      </c>
      <c r="G2097" s="130" t="s">
        <v>1118</v>
      </c>
      <c r="H2097" s="130" t="s">
        <v>1149</v>
      </c>
      <c r="I2097" s="130" t="s">
        <v>1182</v>
      </c>
      <c r="J2097" s="130" t="s">
        <v>2221</v>
      </c>
      <c r="K2097" s="130" t="s">
        <v>2222</v>
      </c>
      <c r="L2097" s="130" t="s">
        <v>2263</v>
      </c>
      <c r="M2097" s="130" t="s">
        <v>1925</v>
      </c>
      <c r="N2097" s="130" t="s">
        <v>130</v>
      </c>
      <c r="O2097" s="130" t="s">
        <v>1464</v>
      </c>
      <c r="P2097" s="130" t="s">
        <v>1465</v>
      </c>
      <c r="Q2097" s="130" t="s">
        <v>1127</v>
      </c>
      <c r="R2097" s="130" t="s">
        <v>1187</v>
      </c>
      <c r="S2097" s="130" t="s">
        <v>1427</v>
      </c>
      <c r="T2097" s="130" t="s">
        <v>1188</v>
      </c>
      <c r="U2097" s="130">
        <v>0</v>
      </c>
      <c r="V2097" s="131">
        <v>160000</v>
      </c>
      <c r="W2097" s="131">
        <v>160000</v>
      </c>
      <c r="X2097" s="131">
        <v>0</v>
      </c>
      <c r="Y2097" s="131">
        <v>160000</v>
      </c>
      <c r="Z2097" s="131">
        <v>0</v>
      </c>
      <c r="AA2097" s="131">
        <v>160000</v>
      </c>
      <c r="AB2097" s="131">
        <v>0</v>
      </c>
      <c r="AC2097" s="131">
        <v>160000</v>
      </c>
      <c r="AD2097" s="131">
        <v>0</v>
      </c>
      <c r="AE2097" s="132">
        <v>160000</v>
      </c>
    </row>
    <row r="2098" spans="1:31" x14ac:dyDescent="0.2">
      <c r="A2098" s="133">
        <v>368</v>
      </c>
      <c r="B2098" s="133" t="s">
        <v>2262</v>
      </c>
      <c r="C2098" s="133" t="s">
        <v>1147</v>
      </c>
      <c r="D2098" s="133" t="s">
        <v>1461</v>
      </c>
      <c r="E2098" s="133" t="s">
        <v>1116</v>
      </c>
      <c r="F2098" s="133" t="s">
        <v>1117</v>
      </c>
      <c r="G2098" s="133" t="s">
        <v>1118</v>
      </c>
      <c r="H2098" s="130" t="s">
        <v>1133</v>
      </c>
      <c r="I2098" s="130" t="s">
        <v>1134</v>
      </c>
      <c r="J2098" s="130" t="s">
        <v>1135</v>
      </c>
      <c r="K2098" s="130" t="s">
        <v>1144</v>
      </c>
      <c r="L2098" s="130" t="s">
        <v>2263</v>
      </c>
      <c r="M2098" s="130" t="s">
        <v>1925</v>
      </c>
      <c r="N2098" s="130" t="s">
        <v>130</v>
      </c>
      <c r="O2098" s="130" t="s">
        <v>1464</v>
      </c>
      <c r="P2098" s="130" t="s">
        <v>1465</v>
      </c>
      <c r="Q2098" s="130" t="s">
        <v>1127</v>
      </c>
      <c r="R2098" s="130" t="s">
        <v>1187</v>
      </c>
      <c r="S2098" s="130" t="s">
        <v>1427</v>
      </c>
      <c r="T2098" s="130" t="s">
        <v>1188</v>
      </c>
      <c r="U2098" s="130">
        <v>0</v>
      </c>
      <c r="V2098" s="131">
        <v>19500</v>
      </c>
      <c r="W2098" s="131">
        <v>19500</v>
      </c>
      <c r="X2098" s="131">
        <v>0</v>
      </c>
      <c r="Y2098" s="131">
        <v>19500</v>
      </c>
      <c r="Z2098" s="131">
        <v>0</v>
      </c>
      <c r="AA2098" s="131">
        <v>19500</v>
      </c>
      <c r="AB2098" s="131">
        <v>0</v>
      </c>
      <c r="AC2098" s="131">
        <v>19500</v>
      </c>
      <c r="AD2098" s="131">
        <v>0</v>
      </c>
      <c r="AE2098" s="132">
        <v>19500</v>
      </c>
    </row>
    <row r="2099" spans="1:31" x14ac:dyDescent="0.2">
      <c r="A2099" s="130">
        <v>369</v>
      </c>
      <c r="B2099" s="130" t="s">
        <v>2264</v>
      </c>
      <c r="C2099" s="130" t="s">
        <v>1147</v>
      </c>
      <c r="D2099" s="130" t="s">
        <v>1461</v>
      </c>
      <c r="E2099" s="130" t="s">
        <v>1116</v>
      </c>
      <c r="F2099" s="130" t="s">
        <v>1117</v>
      </c>
      <c r="G2099" s="130" t="s">
        <v>1118</v>
      </c>
      <c r="H2099" s="130" t="s">
        <v>1149</v>
      </c>
      <c r="I2099" s="130" t="s">
        <v>1182</v>
      </c>
      <c r="J2099" s="130" t="s">
        <v>2221</v>
      </c>
      <c r="K2099" s="130" t="s">
        <v>2222</v>
      </c>
      <c r="L2099" s="130" t="s">
        <v>2265</v>
      </c>
      <c r="M2099" s="130" t="s">
        <v>1925</v>
      </c>
      <c r="N2099" s="130" t="s">
        <v>127</v>
      </c>
      <c r="O2099" s="130" t="s">
        <v>1933</v>
      </c>
      <c r="P2099" s="130" t="s">
        <v>1934</v>
      </c>
      <c r="Q2099" s="130" t="s">
        <v>1127</v>
      </c>
      <c r="R2099" s="130" t="s">
        <v>1191</v>
      </c>
      <c r="S2099" s="130" t="s">
        <v>1807</v>
      </c>
      <c r="T2099" s="130" t="s">
        <v>1188</v>
      </c>
      <c r="U2099" s="130">
        <v>0</v>
      </c>
      <c r="V2099" s="131">
        <v>50600</v>
      </c>
      <c r="W2099" s="131">
        <v>50600</v>
      </c>
      <c r="X2099" s="131">
        <v>50600</v>
      </c>
      <c r="Y2099" s="131">
        <v>0</v>
      </c>
      <c r="Z2099" s="131">
        <v>50600</v>
      </c>
      <c r="AA2099" s="131">
        <v>0</v>
      </c>
      <c r="AB2099" s="131">
        <v>50600</v>
      </c>
      <c r="AC2099" s="131">
        <v>0</v>
      </c>
      <c r="AD2099" s="131">
        <v>50600</v>
      </c>
      <c r="AE2099" s="132">
        <v>0</v>
      </c>
    </row>
    <row r="2100" spans="1:31" x14ac:dyDescent="0.2">
      <c r="A2100" s="133">
        <v>369</v>
      </c>
      <c r="B2100" s="133" t="s">
        <v>2264</v>
      </c>
      <c r="C2100" s="133" t="s">
        <v>1147</v>
      </c>
      <c r="D2100" s="133" t="s">
        <v>1461</v>
      </c>
      <c r="E2100" s="133" t="s">
        <v>1116</v>
      </c>
      <c r="F2100" s="133" t="s">
        <v>1117</v>
      </c>
      <c r="G2100" s="133" t="s">
        <v>1118</v>
      </c>
      <c r="H2100" s="130" t="s">
        <v>1133</v>
      </c>
      <c r="I2100" s="130" t="s">
        <v>1134</v>
      </c>
      <c r="J2100" s="130" t="s">
        <v>1135</v>
      </c>
      <c r="K2100" s="130" t="s">
        <v>1144</v>
      </c>
      <c r="L2100" s="130" t="s">
        <v>2265</v>
      </c>
      <c r="M2100" s="130" t="s">
        <v>1925</v>
      </c>
      <c r="N2100" s="130" t="s">
        <v>127</v>
      </c>
      <c r="O2100" s="130" t="s">
        <v>1933</v>
      </c>
      <c r="P2100" s="130" t="s">
        <v>1934</v>
      </c>
      <c r="Q2100" s="130" t="s">
        <v>1127</v>
      </c>
      <c r="R2100" s="130" t="s">
        <v>1191</v>
      </c>
      <c r="S2100" s="130" t="s">
        <v>1807</v>
      </c>
      <c r="T2100" s="130" t="s">
        <v>1188</v>
      </c>
      <c r="U2100" s="130">
        <v>0</v>
      </c>
      <c r="V2100" s="131">
        <v>6800</v>
      </c>
      <c r="W2100" s="131">
        <v>6800</v>
      </c>
      <c r="X2100" s="131">
        <v>6800</v>
      </c>
      <c r="Y2100" s="131">
        <v>0</v>
      </c>
      <c r="Z2100" s="131">
        <v>6800</v>
      </c>
      <c r="AA2100" s="131">
        <v>0</v>
      </c>
      <c r="AB2100" s="131">
        <v>6800</v>
      </c>
      <c r="AC2100" s="131">
        <v>0</v>
      </c>
      <c r="AD2100" s="131">
        <v>6800</v>
      </c>
      <c r="AE2100" s="132">
        <v>0</v>
      </c>
    </row>
    <row r="2101" spans="1:31" x14ac:dyDescent="0.2">
      <c r="A2101" s="130">
        <v>370</v>
      </c>
      <c r="B2101" s="130" t="s">
        <v>2266</v>
      </c>
      <c r="C2101" s="130" t="s">
        <v>1147</v>
      </c>
      <c r="D2101" s="130" t="s">
        <v>1461</v>
      </c>
      <c r="E2101" s="130" t="s">
        <v>1116</v>
      </c>
      <c r="F2101" s="130" t="s">
        <v>1117</v>
      </c>
      <c r="G2101" s="130" t="s">
        <v>1118</v>
      </c>
      <c r="H2101" s="130" t="s">
        <v>1133</v>
      </c>
      <c r="I2101" s="130" t="s">
        <v>1134</v>
      </c>
      <c r="J2101" s="130" t="s">
        <v>1135</v>
      </c>
      <c r="K2101" s="130" t="s">
        <v>1144</v>
      </c>
      <c r="L2101" s="130" t="s">
        <v>2267</v>
      </c>
      <c r="M2101" s="130" t="s">
        <v>1925</v>
      </c>
      <c r="N2101" s="130" t="s">
        <v>127</v>
      </c>
      <c r="O2101" s="130" t="s">
        <v>1933</v>
      </c>
      <c r="P2101" s="130" t="s">
        <v>1934</v>
      </c>
      <c r="Q2101" s="130" t="s">
        <v>1127</v>
      </c>
      <c r="R2101" s="130" t="s">
        <v>1409</v>
      </c>
      <c r="S2101" s="130" t="s">
        <v>1431</v>
      </c>
      <c r="T2101" s="130" t="s">
        <v>1369</v>
      </c>
      <c r="U2101" s="130">
        <v>0</v>
      </c>
      <c r="V2101" s="131">
        <v>5898</v>
      </c>
      <c r="W2101" s="131">
        <v>5898</v>
      </c>
      <c r="X2101" s="131">
        <v>5898</v>
      </c>
      <c r="Y2101" s="131">
        <v>0</v>
      </c>
      <c r="Z2101" s="131">
        <v>5898</v>
      </c>
      <c r="AA2101" s="131">
        <v>0</v>
      </c>
      <c r="AB2101" s="131">
        <v>5898</v>
      </c>
      <c r="AC2101" s="131">
        <v>0</v>
      </c>
      <c r="AD2101" s="131">
        <v>5898</v>
      </c>
      <c r="AE2101" s="132">
        <v>0</v>
      </c>
    </row>
    <row r="2102" spans="1:31" x14ac:dyDescent="0.2">
      <c r="A2102" s="130">
        <v>371</v>
      </c>
      <c r="B2102" s="130" t="s">
        <v>2268</v>
      </c>
      <c r="C2102" s="130" t="s">
        <v>1147</v>
      </c>
      <c r="D2102" s="130" t="s">
        <v>1461</v>
      </c>
      <c r="E2102" s="130" t="s">
        <v>1116</v>
      </c>
      <c r="F2102" s="130" t="s">
        <v>1117</v>
      </c>
      <c r="G2102" s="130" t="s">
        <v>1118</v>
      </c>
      <c r="H2102" s="130" t="s">
        <v>1133</v>
      </c>
      <c r="I2102" s="130" t="s">
        <v>1134</v>
      </c>
      <c r="J2102" s="130" t="s">
        <v>1135</v>
      </c>
      <c r="K2102" s="130" t="s">
        <v>1144</v>
      </c>
      <c r="L2102" s="130" t="s">
        <v>2269</v>
      </c>
      <c r="M2102" s="130" t="s">
        <v>1925</v>
      </c>
      <c r="N2102" s="130" t="s">
        <v>127</v>
      </c>
      <c r="O2102" s="130" t="s">
        <v>1933</v>
      </c>
      <c r="P2102" s="130" t="s">
        <v>1934</v>
      </c>
      <c r="Q2102" s="130" t="s">
        <v>1127</v>
      </c>
      <c r="R2102" s="130" t="s">
        <v>1380</v>
      </c>
      <c r="S2102" s="130" t="s">
        <v>1786</v>
      </c>
      <c r="T2102" s="130" t="s">
        <v>1369</v>
      </c>
      <c r="U2102" s="130">
        <v>0</v>
      </c>
      <c r="V2102" s="131">
        <v>3000</v>
      </c>
      <c r="W2102" s="131">
        <v>3000</v>
      </c>
      <c r="X2102" s="131">
        <v>3000</v>
      </c>
      <c r="Y2102" s="131">
        <v>0</v>
      </c>
      <c r="Z2102" s="131">
        <v>3000</v>
      </c>
      <c r="AA2102" s="131">
        <v>0</v>
      </c>
      <c r="AB2102" s="131">
        <v>3000</v>
      </c>
      <c r="AC2102" s="131">
        <v>0</v>
      </c>
      <c r="AD2102" s="131">
        <v>3000</v>
      </c>
      <c r="AE2102" s="132">
        <v>0</v>
      </c>
    </row>
    <row r="2103" spans="1:31" x14ac:dyDescent="0.2">
      <c r="A2103" s="130">
        <v>372</v>
      </c>
      <c r="B2103" s="130" t="s">
        <v>2270</v>
      </c>
      <c r="C2103" s="130" t="s">
        <v>1147</v>
      </c>
      <c r="D2103" s="130" t="s">
        <v>1461</v>
      </c>
      <c r="E2103" s="130" t="s">
        <v>1116</v>
      </c>
      <c r="F2103" s="130" t="s">
        <v>1117</v>
      </c>
      <c r="G2103" s="130" t="s">
        <v>1118</v>
      </c>
      <c r="H2103" s="130" t="s">
        <v>1149</v>
      </c>
      <c r="I2103" s="130" t="s">
        <v>1182</v>
      </c>
      <c r="J2103" s="130" t="s">
        <v>2221</v>
      </c>
      <c r="K2103" s="130" t="s">
        <v>2222</v>
      </c>
      <c r="L2103" s="130" t="s">
        <v>2271</v>
      </c>
      <c r="M2103" s="130" t="s">
        <v>1925</v>
      </c>
      <c r="N2103" s="130" t="s">
        <v>127</v>
      </c>
      <c r="O2103" s="130" t="s">
        <v>2233</v>
      </c>
      <c r="P2103" s="130" t="s">
        <v>2234</v>
      </c>
      <c r="Q2103" s="130" t="s">
        <v>1127</v>
      </c>
      <c r="R2103" s="130" t="s">
        <v>1472</v>
      </c>
      <c r="S2103" s="130" t="s">
        <v>1503</v>
      </c>
      <c r="T2103" s="130" t="s">
        <v>1188</v>
      </c>
      <c r="U2103" s="130">
        <v>0</v>
      </c>
      <c r="V2103" s="131">
        <v>78000</v>
      </c>
      <c r="W2103" s="131">
        <v>78000</v>
      </c>
      <c r="X2103" s="131">
        <v>0</v>
      </c>
      <c r="Y2103" s="131">
        <v>78000</v>
      </c>
      <c r="Z2103" s="131">
        <v>0</v>
      </c>
      <c r="AA2103" s="131">
        <v>78000</v>
      </c>
      <c r="AB2103" s="131">
        <v>0</v>
      </c>
      <c r="AC2103" s="131">
        <v>78000</v>
      </c>
      <c r="AD2103" s="131">
        <v>0</v>
      </c>
      <c r="AE2103" s="132">
        <v>78000</v>
      </c>
    </row>
    <row r="2104" spans="1:31" x14ac:dyDescent="0.2">
      <c r="A2104" s="133">
        <v>372</v>
      </c>
      <c r="B2104" s="133" t="s">
        <v>2270</v>
      </c>
      <c r="C2104" s="133" t="s">
        <v>1147</v>
      </c>
      <c r="D2104" s="133" t="s">
        <v>1461</v>
      </c>
      <c r="E2104" s="133" t="s">
        <v>1116</v>
      </c>
      <c r="F2104" s="133" t="s">
        <v>1117</v>
      </c>
      <c r="G2104" s="133" t="s">
        <v>1118</v>
      </c>
      <c r="H2104" s="130" t="s">
        <v>1133</v>
      </c>
      <c r="I2104" s="130" t="s">
        <v>1134</v>
      </c>
      <c r="J2104" s="130" t="s">
        <v>1135</v>
      </c>
      <c r="K2104" s="130" t="s">
        <v>1144</v>
      </c>
      <c r="L2104" s="130" t="s">
        <v>2271</v>
      </c>
      <c r="M2104" s="130" t="s">
        <v>1925</v>
      </c>
      <c r="N2104" s="130" t="s">
        <v>127</v>
      </c>
      <c r="O2104" s="130" t="s">
        <v>2233</v>
      </c>
      <c r="P2104" s="130" t="s">
        <v>2234</v>
      </c>
      <c r="Q2104" s="130" t="s">
        <v>1127</v>
      </c>
      <c r="R2104" s="130" t="s">
        <v>1472</v>
      </c>
      <c r="S2104" s="130" t="s">
        <v>1503</v>
      </c>
      <c r="T2104" s="130" t="s">
        <v>1188</v>
      </c>
      <c r="U2104" s="130">
        <v>0</v>
      </c>
      <c r="V2104" s="131">
        <v>9790</v>
      </c>
      <c r="W2104" s="131">
        <v>9790</v>
      </c>
      <c r="X2104" s="131">
        <v>0</v>
      </c>
      <c r="Y2104" s="131">
        <v>9790</v>
      </c>
      <c r="Z2104" s="131">
        <v>0</v>
      </c>
      <c r="AA2104" s="131">
        <v>9790</v>
      </c>
      <c r="AB2104" s="131">
        <v>0</v>
      </c>
      <c r="AC2104" s="131">
        <v>9790</v>
      </c>
      <c r="AD2104" s="131">
        <v>0</v>
      </c>
      <c r="AE2104" s="132">
        <v>9790</v>
      </c>
    </row>
    <row r="2105" spans="1:31" x14ac:dyDescent="0.2">
      <c r="A2105" s="130">
        <v>373</v>
      </c>
      <c r="B2105" s="130" t="s">
        <v>2272</v>
      </c>
      <c r="C2105" s="130" t="s">
        <v>1147</v>
      </c>
      <c r="D2105" s="130" t="s">
        <v>1461</v>
      </c>
      <c r="E2105" s="130" t="s">
        <v>1116</v>
      </c>
      <c r="F2105" s="130" t="s">
        <v>1117</v>
      </c>
      <c r="G2105" s="130" t="s">
        <v>1118</v>
      </c>
      <c r="H2105" s="130" t="s">
        <v>1149</v>
      </c>
      <c r="I2105" s="130" t="s">
        <v>1182</v>
      </c>
      <c r="J2105" s="130" t="s">
        <v>2221</v>
      </c>
      <c r="K2105" s="130" t="s">
        <v>2222</v>
      </c>
      <c r="L2105" s="130" t="s">
        <v>2273</v>
      </c>
      <c r="M2105" s="130" t="s">
        <v>1925</v>
      </c>
      <c r="N2105" s="130" t="s">
        <v>120</v>
      </c>
      <c r="O2105" s="130" t="s">
        <v>2045</v>
      </c>
      <c r="P2105" s="130" t="s">
        <v>2046</v>
      </c>
      <c r="Q2105" s="130" t="s">
        <v>1127</v>
      </c>
      <c r="R2105" s="130" t="s">
        <v>1472</v>
      </c>
      <c r="S2105" s="130" t="s">
        <v>2274</v>
      </c>
      <c r="T2105" s="130" t="s">
        <v>1188</v>
      </c>
      <c r="U2105" s="130">
        <v>0</v>
      </c>
      <c r="V2105" s="131">
        <v>83160</v>
      </c>
      <c r="W2105" s="131">
        <v>83160</v>
      </c>
      <c r="X2105" s="131">
        <v>83160</v>
      </c>
      <c r="Y2105" s="131">
        <v>0</v>
      </c>
      <c r="Z2105" s="131">
        <v>83100.399999999994</v>
      </c>
      <c r="AA2105" s="131">
        <v>59.600000000005821</v>
      </c>
      <c r="AB2105" s="131">
        <v>83100.399999999994</v>
      </c>
      <c r="AC2105" s="131">
        <v>59.600000000005821</v>
      </c>
      <c r="AD2105" s="131">
        <v>83100.399999999994</v>
      </c>
      <c r="AE2105" s="132">
        <v>59.600000000005821</v>
      </c>
    </row>
    <row r="2106" spans="1:31" x14ac:dyDescent="0.2">
      <c r="A2106" s="130">
        <v>374</v>
      </c>
      <c r="B2106" s="130" t="s">
        <v>2275</v>
      </c>
      <c r="C2106" s="130" t="s">
        <v>1147</v>
      </c>
      <c r="D2106" s="130" t="s">
        <v>1461</v>
      </c>
      <c r="E2106" s="130" t="s">
        <v>1116</v>
      </c>
      <c r="F2106" s="130" t="s">
        <v>1117</v>
      </c>
      <c r="G2106" s="130" t="s">
        <v>1118</v>
      </c>
      <c r="H2106" s="130" t="s">
        <v>1149</v>
      </c>
      <c r="I2106" s="130" t="s">
        <v>1182</v>
      </c>
      <c r="J2106" s="130" t="s">
        <v>2221</v>
      </c>
      <c r="K2106" s="130" t="s">
        <v>2222</v>
      </c>
      <c r="L2106" s="130" t="s">
        <v>2276</v>
      </c>
      <c r="M2106" s="130" t="s">
        <v>1925</v>
      </c>
      <c r="N2106" s="130" t="s">
        <v>2237</v>
      </c>
      <c r="O2106" s="130" t="s">
        <v>2238</v>
      </c>
      <c r="P2106" s="130" t="s">
        <v>2239</v>
      </c>
      <c r="Q2106" s="130" t="s">
        <v>1127</v>
      </c>
      <c r="R2106" s="130" t="s">
        <v>1191</v>
      </c>
      <c r="S2106" s="130" t="s">
        <v>1191</v>
      </c>
      <c r="T2106" s="130" t="s">
        <v>1188</v>
      </c>
      <c r="U2106" s="130">
        <v>0</v>
      </c>
      <c r="V2106" s="131">
        <v>314900</v>
      </c>
      <c r="W2106" s="131">
        <v>314900</v>
      </c>
      <c r="X2106" s="131">
        <v>0</v>
      </c>
      <c r="Y2106" s="131">
        <v>314900</v>
      </c>
      <c r="Z2106" s="131">
        <v>0</v>
      </c>
      <c r="AA2106" s="131">
        <v>314900</v>
      </c>
      <c r="AB2106" s="131">
        <v>0</v>
      </c>
      <c r="AC2106" s="131">
        <v>314900</v>
      </c>
      <c r="AD2106" s="131">
        <v>0</v>
      </c>
      <c r="AE2106" s="132">
        <v>314900</v>
      </c>
    </row>
    <row r="2107" spans="1:31" x14ac:dyDescent="0.2">
      <c r="A2107" s="133">
        <v>374</v>
      </c>
      <c r="B2107" s="133" t="s">
        <v>2275</v>
      </c>
      <c r="C2107" s="133" t="s">
        <v>1147</v>
      </c>
      <c r="D2107" s="133" t="s">
        <v>1461</v>
      </c>
      <c r="E2107" s="133" t="s">
        <v>1116</v>
      </c>
      <c r="F2107" s="133" t="s">
        <v>1117</v>
      </c>
      <c r="G2107" s="133" t="s">
        <v>1118</v>
      </c>
      <c r="H2107" s="130" t="s">
        <v>1133</v>
      </c>
      <c r="I2107" s="130" t="s">
        <v>1134</v>
      </c>
      <c r="J2107" s="130" t="s">
        <v>1135</v>
      </c>
      <c r="K2107" s="130" t="s">
        <v>1144</v>
      </c>
      <c r="L2107" s="130" t="s">
        <v>2276</v>
      </c>
      <c r="M2107" s="130" t="s">
        <v>1925</v>
      </c>
      <c r="N2107" s="130" t="s">
        <v>2237</v>
      </c>
      <c r="O2107" s="130" t="s">
        <v>2238</v>
      </c>
      <c r="P2107" s="130" t="s">
        <v>2239</v>
      </c>
      <c r="Q2107" s="130" t="s">
        <v>1127</v>
      </c>
      <c r="R2107" s="130" t="s">
        <v>1191</v>
      </c>
      <c r="S2107" s="130" t="s">
        <v>1191</v>
      </c>
      <c r="T2107" s="130" t="s">
        <v>1188</v>
      </c>
      <c r="U2107" s="130">
        <v>0</v>
      </c>
      <c r="V2107" s="131">
        <v>20990</v>
      </c>
      <c r="W2107" s="131">
        <v>20990</v>
      </c>
      <c r="X2107" s="131">
        <v>0</v>
      </c>
      <c r="Y2107" s="131">
        <v>20990</v>
      </c>
      <c r="Z2107" s="131">
        <v>0</v>
      </c>
      <c r="AA2107" s="131">
        <v>20990</v>
      </c>
      <c r="AB2107" s="131">
        <v>0</v>
      </c>
      <c r="AC2107" s="131">
        <v>20990</v>
      </c>
      <c r="AD2107" s="131">
        <v>0</v>
      </c>
      <c r="AE2107" s="132">
        <v>20990</v>
      </c>
    </row>
    <row r="2108" spans="1:31" x14ac:dyDescent="0.2">
      <c r="A2108" s="130">
        <v>375</v>
      </c>
      <c r="B2108" s="130" t="s">
        <v>2277</v>
      </c>
      <c r="C2108" s="130" t="s">
        <v>1147</v>
      </c>
      <c r="D2108" s="130" t="s">
        <v>1461</v>
      </c>
      <c r="E2108" s="130" t="s">
        <v>1116</v>
      </c>
      <c r="F2108" s="130" t="s">
        <v>1117</v>
      </c>
      <c r="G2108" s="130" t="s">
        <v>1118</v>
      </c>
      <c r="H2108" s="130" t="s">
        <v>1149</v>
      </c>
      <c r="I2108" s="130" t="s">
        <v>1182</v>
      </c>
      <c r="J2108" s="130" t="s">
        <v>2221</v>
      </c>
      <c r="K2108" s="130" t="s">
        <v>2222</v>
      </c>
      <c r="L2108" s="130" t="s">
        <v>2278</v>
      </c>
      <c r="M2108" s="130" t="s">
        <v>1925</v>
      </c>
      <c r="N2108" s="130" t="s">
        <v>130</v>
      </c>
      <c r="O2108" s="130" t="s">
        <v>1464</v>
      </c>
      <c r="P2108" s="130" t="s">
        <v>1465</v>
      </c>
      <c r="Q2108" s="130" t="s">
        <v>1127</v>
      </c>
      <c r="R2108" s="130" t="s">
        <v>1187</v>
      </c>
      <c r="S2108" s="130" t="s">
        <v>1613</v>
      </c>
      <c r="T2108" s="130" t="s">
        <v>1188</v>
      </c>
      <c r="U2108" s="130">
        <v>0</v>
      </c>
      <c r="V2108" s="131">
        <v>161000</v>
      </c>
      <c r="W2108" s="131">
        <v>161000</v>
      </c>
      <c r="X2108" s="131">
        <v>161000</v>
      </c>
      <c r="Y2108" s="131">
        <v>0</v>
      </c>
      <c r="Z2108" s="131">
        <v>0</v>
      </c>
      <c r="AA2108" s="131">
        <v>161000</v>
      </c>
      <c r="AB2108" s="131">
        <v>0</v>
      </c>
      <c r="AC2108" s="131">
        <v>161000</v>
      </c>
      <c r="AD2108" s="131">
        <v>0</v>
      </c>
      <c r="AE2108" s="132">
        <v>161000</v>
      </c>
    </row>
    <row r="2109" spans="1:31" x14ac:dyDescent="0.2">
      <c r="A2109" s="133">
        <v>375</v>
      </c>
      <c r="B2109" s="133" t="s">
        <v>2277</v>
      </c>
      <c r="C2109" s="133" t="s">
        <v>1147</v>
      </c>
      <c r="D2109" s="133" t="s">
        <v>1461</v>
      </c>
      <c r="E2109" s="133" t="s">
        <v>1116</v>
      </c>
      <c r="F2109" s="133" t="s">
        <v>1117</v>
      </c>
      <c r="G2109" s="133" t="s">
        <v>1118</v>
      </c>
      <c r="H2109" s="130" t="s">
        <v>1133</v>
      </c>
      <c r="I2109" s="130" t="s">
        <v>1134</v>
      </c>
      <c r="J2109" s="130" t="s">
        <v>1135</v>
      </c>
      <c r="K2109" s="130" t="s">
        <v>1144</v>
      </c>
      <c r="L2109" s="130" t="s">
        <v>2278</v>
      </c>
      <c r="M2109" s="130" t="s">
        <v>1925</v>
      </c>
      <c r="N2109" s="130" t="s">
        <v>130</v>
      </c>
      <c r="O2109" s="130" t="s">
        <v>1464</v>
      </c>
      <c r="P2109" s="130" t="s">
        <v>1465</v>
      </c>
      <c r="Q2109" s="130" t="s">
        <v>1127</v>
      </c>
      <c r="R2109" s="130" t="s">
        <v>1187</v>
      </c>
      <c r="S2109" s="130" t="s">
        <v>1613</v>
      </c>
      <c r="T2109" s="130" t="s">
        <v>1188</v>
      </c>
      <c r="U2109" s="130">
        <v>0</v>
      </c>
      <c r="V2109" s="131">
        <v>14166</v>
      </c>
      <c r="W2109" s="131">
        <v>14166</v>
      </c>
      <c r="X2109" s="131">
        <v>5872</v>
      </c>
      <c r="Y2109" s="131">
        <v>8294</v>
      </c>
      <c r="Z2109" s="131">
        <v>5872</v>
      </c>
      <c r="AA2109" s="131">
        <v>8294</v>
      </c>
      <c r="AB2109" s="131">
        <v>5872</v>
      </c>
      <c r="AC2109" s="131">
        <v>8294</v>
      </c>
      <c r="AD2109" s="131">
        <v>5872</v>
      </c>
      <c r="AE2109" s="132">
        <v>8294</v>
      </c>
    </row>
    <row r="2110" spans="1:31" x14ac:dyDescent="0.2">
      <c r="A2110" s="130">
        <v>376</v>
      </c>
      <c r="B2110" s="130" t="s">
        <v>2279</v>
      </c>
      <c r="C2110" s="130" t="s">
        <v>1147</v>
      </c>
      <c r="D2110" s="130" t="s">
        <v>1461</v>
      </c>
      <c r="E2110" s="130" t="s">
        <v>1116</v>
      </c>
      <c r="F2110" s="130" t="s">
        <v>1117</v>
      </c>
      <c r="G2110" s="130" t="s">
        <v>1118</v>
      </c>
      <c r="H2110" s="130" t="s">
        <v>1133</v>
      </c>
      <c r="I2110" s="130" t="s">
        <v>1134</v>
      </c>
      <c r="J2110" s="130" t="s">
        <v>1135</v>
      </c>
      <c r="K2110" s="130" t="s">
        <v>1144</v>
      </c>
      <c r="L2110" s="130" t="s">
        <v>2280</v>
      </c>
      <c r="M2110" s="130" t="s">
        <v>1925</v>
      </c>
      <c r="N2110" s="130" t="s">
        <v>127</v>
      </c>
      <c r="O2110" s="130" t="s">
        <v>1933</v>
      </c>
      <c r="P2110" s="130" t="s">
        <v>1934</v>
      </c>
      <c r="Q2110" s="130" t="s">
        <v>1127</v>
      </c>
      <c r="R2110" s="130" t="s">
        <v>1128</v>
      </c>
      <c r="S2110" s="130" t="s">
        <v>1129</v>
      </c>
      <c r="T2110" s="130" t="s">
        <v>1369</v>
      </c>
      <c r="U2110" s="130">
        <v>0</v>
      </c>
      <c r="V2110" s="131">
        <v>14715</v>
      </c>
      <c r="W2110" s="131">
        <v>14715</v>
      </c>
      <c r="X2110" s="131">
        <v>14714</v>
      </c>
      <c r="Y2110" s="131">
        <v>1</v>
      </c>
      <c r="Z2110" s="131">
        <v>14714</v>
      </c>
      <c r="AA2110" s="131">
        <v>1</v>
      </c>
      <c r="AB2110" s="131">
        <v>14714</v>
      </c>
      <c r="AC2110" s="131">
        <v>1</v>
      </c>
      <c r="AD2110" s="131">
        <v>9857</v>
      </c>
      <c r="AE2110" s="132">
        <v>4858</v>
      </c>
    </row>
    <row r="2111" spans="1:31" x14ac:dyDescent="0.2">
      <c r="A2111" s="130">
        <v>377</v>
      </c>
      <c r="B2111" s="130" t="s">
        <v>2281</v>
      </c>
      <c r="C2111" s="130" t="s">
        <v>1147</v>
      </c>
      <c r="D2111" s="130" t="s">
        <v>2282</v>
      </c>
      <c r="E2111" s="130" t="s">
        <v>1116</v>
      </c>
      <c r="F2111" s="130" t="s">
        <v>1117</v>
      </c>
      <c r="G2111" s="130" t="s">
        <v>1118</v>
      </c>
      <c r="H2111" s="130" t="s">
        <v>1149</v>
      </c>
      <c r="I2111" s="130" t="s">
        <v>1182</v>
      </c>
      <c r="J2111" s="130" t="s">
        <v>2221</v>
      </c>
      <c r="K2111" s="130" t="s">
        <v>2222</v>
      </c>
      <c r="L2111" s="130" t="s">
        <v>2283</v>
      </c>
      <c r="M2111" s="130" t="s">
        <v>1925</v>
      </c>
      <c r="N2111" s="130" t="s">
        <v>2237</v>
      </c>
      <c r="O2111" s="130" t="s">
        <v>2238</v>
      </c>
      <c r="P2111" s="130" t="s">
        <v>2239</v>
      </c>
      <c r="Q2111" s="130" t="s">
        <v>1127</v>
      </c>
      <c r="R2111" s="130" t="s">
        <v>1140</v>
      </c>
      <c r="S2111" s="130" t="s">
        <v>1946</v>
      </c>
      <c r="T2111" s="130" t="s">
        <v>2284</v>
      </c>
      <c r="U2111" s="130">
        <v>0</v>
      </c>
      <c r="V2111" s="131">
        <v>149600</v>
      </c>
      <c r="W2111" s="131">
        <v>149600</v>
      </c>
      <c r="X2111" s="131">
        <v>149600</v>
      </c>
      <c r="Y2111" s="131">
        <v>0</v>
      </c>
      <c r="Z2111" s="131">
        <v>149600</v>
      </c>
      <c r="AA2111" s="131">
        <v>0</v>
      </c>
      <c r="AB2111" s="131">
        <v>149600</v>
      </c>
      <c r="AC2111" s="131">
        <v>0</v>
      </c>
      <c r="AD2111" s="131">
        <v>149600</v>
      </c>
      <c r="AE2111" s="132">
        <v>0</v>
      </c>
    </row>
    <row r="2112" spans="1:31" x14ac:dyDescent="0.2">
      <c r="A2112" s="133">
        <v>377</v>
      </c>
      <c r="B2112" s="133" t="s">
        <v>2281</v>
      </c>
      <c r="C2112" s="133" t="s">
        <v>1147</v>
      </c>
      <c r="D2112" s="133" t="s">
        <v>2282</v>
      </c>
      <c r="E2112" s="133" t="s">
        <v>1116</v>
      </c>
      <c r="F2112" s="133" t="s">
        <v>1117</v>
      </c>
      <c r="G2112" s="133" t="s">
        <v>1118</v>
      </c>
      <c r="H2112" s="130" t="s">
        <v>1133</v>
      </c>
      <c r="I2112" s="130" t="s">
        <v>1134</v>
      </c>
      <c r="J2112" s="130" t="s">
        <v>1135</v>
      </c>
      <c r="K2112" s="130" t="s">
        <v>1144</v>
      </c>
      <c r="L2112" s="130" t="s">
        <v>2283</v>
      </c>
      <c r="M2112" s="130" t="s">
        <v>1925</v>
      </c>
      <c r="N2112" s="130" t="s">
        <v>2237</v>
      </c>
      <c r="O2112" s="130" t="s">
        <v>2238</v>
      </c>
      <c r="P2112" s="130" t="s">
        <v>2239</v>
      </c>
      <c r="Q2112" s="130" t="s">
        <v>1127</v>
      </c>
      <c r="R2112" s="130" t="s">
        <v>1140</v>
      </c>
      <c r="S2112" s="130" t="s">
        <v>1946</v>
      </c>
      <c r="T2112" s="130" t="s">
        <v>2284</v>
      </c>
      <c r="U2112" s="130">
        <v>0</v>
      </c>
      <c r="V2112" s="131">
        <v>7466</v>
      </c>
      <c r="W2112" s="131">
        <v>7466</v>
      </c>
      <c r="X2112" s="131">
        <v>7466</v>
      </c>
      <c r="Y2112" s="131">
        <v>0</v>
      </c>
      <c r="Z2112" s="131">
        <v>7466</v>
      </c>
      <c r="AA2112" s="131">
        <v>0</v>
      </c>
      <c r="AB2112" s="131">
        <v>7466</v>
      </c>
      <c r="AC2112" s="131">
        <v>0</v>
      </c>
      <c r="AD2112" s="131">
        <v>3000</v>
      </c>
      <c r="AE2112" s="132">
        <v>4466</v>
      </c>
    </row>
    <row r="2113" spans="1:31" x14ac:dyDescent="0.2">
      <c r="A2113" s="130">
        <v>378</v>
      </c>
      <c r="B2113" s="130" t="s">
        <v>2285</v>
      </c>
      <c r="C2113" s="130" t="s">
        <v>1147</v>
      </c>
      <c r="D2113" s="130" t="s">
        <v>1461</v>
      </c>
      <c r="E2113" s="130" t="s">
        <v>1116</v>
      </c>
      <c r="F2113" s="130" t="s">
        <v>1117</v>
      </c>
      <c r="G2113" s="130" t="s">
        <v>1118</v>
      </c>
      <c r="H2113" s="130" t="s">
        <v>1149</v>
      </c>
      <c r="I2113" s="130" t="s">
        <v>1182</v>
      </c>
      <c r="J2113" s="130" t="s">
        <v>2221</v>
      </c>
      <c r="K2113" s="130" t="s">
        <v>2222</v>
      </c>
      <c r="L2113" s="130" t="s">
        <v>2286</v>
      </c>
      <c r="M2113" s="130" t="s">
        <v>1925</v>
      </c>
      <c r="N2113" s="130" t="s">
        <v>127</v>
      </c>
      <c r="O2113" s="130" t="s">
        <v>1933</v>
      </c>
      <c r="P2113" s="130" t="s">
        <v>1934</v>
      </c>
      <c r="Q2113" s="130" t="s">
        <v>1127</v>
      </c>
      <c r="R2113" s="130" t="s">
        <v>1175</v>
      </c>
      <c r="S2113" s="130" t="s">
        <v>1401</v>
      </c>
      <c r="T2113" s="130" t="s">
        <v>1188</v>
      </c>
      <c r="U2113" s="130">
        <v>0</v>
      </c>
      <c r="V2113" s="131">
        <v>188974</v>
      </c>
      <c r="W2113" s="131">
        <v>188974</v>
      </c>
      <c r="X2113" s="131">
        <v>129500</v>
      </c>
      <c r="Y2113" s="131">
        <v>59474</v>
      </c>
      <c r="Z2113" s="131">
        <v>129500</v>
      </c>
      <c r="AA2113" s="131">
        <v>59474</v>
      </c>
      <c r="AB2113" s="131">
        <v>129500</v>
      </c>
      <c r="AC2113" s="131">
        <v>59474</v>
      </c>
      <c r="AD2113" s="131">
        <v>129500</v>
      </c>
      <c r="AE2113" s="132">
        <v>59474</v>
      </c>
    </row>
    <row r="2114" spans="1:31" x14ac:dyDescent="0.2">
      <c r="A2114" s="133">
        <v>378</v>
      </c>
      <c r="B2114" s="133" t="s">
        <v>2285</v>
      </c>
      <c r="C2114" s="133" t="s">
        <v>1147</v>
      </c>
      <c r="D2114" s="133" t="s">
        <v>1461</v>
      </c>
      <c r="E2114" s="133" t="s">
        <v>1116</v>
      </c>
      <c r="F2114" s="133" t="s">
        <v>1117</v>
      </c>
      <c r="G2114" s="133" t="s">
        <v>1118</v>
      </c>
      <c r="H2114" s="130" t="s">
        <v>1133</v>
      </c>
      <c r="I2114" s="130" t="s">
        <v>1134</v>
      </c>
      <c r="J2114" s="130" t="s">
        <v>1135</v>
      </c>
      <c r="K2114" s="130" t="s">
        <v>1144</v>
      </c>
      <c r="L2114" s="130" t="s">
        <v>2286</v>
      </c>
      <c r="M2114" s="130" t="s">
        <v>1925</v>
      </c>
      <c r="N2114" s="130" t="s">
        <v>127</v>
      </c>
      <c r="O2114" s="130" t="s">
        <v>1933</v>
      </c>
      <c r="P2114" s="130" t="s">
        <v>1934</v>
      </c>
      <c r="Q2114" s="130" t="s">
        <v>1127</v>
      </c>
      <c r="R2114" s="130" t="s">
        <v>1175</v>
      </c>
      <c r="S2114" s="130" t="s">
        <v>1401</v>
      </c>
      <c r="T2114" s="130" t="s">
        <v>1188</v>
      </c>
      <c r="U2114" s="130">
        <v>0</v>
      </c>
      <c r="V2114" s="131">
        <v>20426</v>
      </c>
      <c r="W2114" s="131">
        <v>20426</v>
      </c>
      <c r="X2114" s="131">
        <v>7050</v>
      </c>
      <c r="Y2114" s="131">
        <v>13376</v>
      </c>
      <c r="Z2114" s="131">
        <v>7050</v>
      </c>
      <c r="AA2114" s="131">
        <v>13376</v>
      </c>
      <c r="AB2114" s="131">
        <v>7050</v>
      </c>
      <c r="AC2114" s="131">
        <v>13376</v>
      </c>
      <c r="AD2114" s="131">
        <v>0</v>
      </c>
      <c r="AE2114" s="132">
        <v>20426</v>
      </c>
    </row>
    <row r="2115" spans="1:31" x14ac:dyDescent="0.2">
      <c r="A2115" s="130">
        <v>379</v>
      </c>
      <c r="B2115" s="130" t="s">
        <v>2287</v>
      </c>
      <c r="C2115" s="130" t="s">
        <v>1147</v>
      </c>
      <c r="D2115" s="130" t="s">
        <v>2017</v>
      </c>
      <c r="E2115" s="130" t="s">
        <v>1116</v>
      </c>
      <c r="F2115" s="130" t="s">
        <v>1117</v>
      </c>
      <c r="G2115" s="130" t="s">
        <v>1118</v>
      </c>
      <c r="H2115" s="130" t="s">
        <v>1149</v>
      </c>
      <c r="I2115" s="130" t="s">
        <v>1182</v>
      </c>
      <c r="J2115" s="130" t="s">
        <v>1377</v>
      </c>
      <c r="K2115" s="130" t="s">
        <v>1378</v>
      </c>
      <c r="L2115" s="130" t="s">
        <v>2288</v>
      </c>
      <c r="M2115" s="130" t="s">
        <v>1925</v>
      </c>
      <c r="N2115" s="130" t="s">
        <v>152</v>
      </c>
      <c r="O2115" s="130" t="s">
        <v>1125</v>
      </c>
      <c r="P2115" s="130" t="s">
        <v>2019</v>
      </c>
      <c r="Q2115" s="130" t="s">
        <v>1127</v>
      </c>
      <c r="R2115" s="130" t="s">
        <v>1175</v>
      </c>
      <c r="S2115" s="130" t="s">
        <v>1401</v>
      </c>
      <c r="T2115" s="130" t="s">
        <v>1188</v>
      </c>
      <c r="U2115" s="130">
        <v>0</v>
      </c>
      <c r="V2115" s="131">
        <v>4505</v>
      </c>
      <c r="W2115" s="131">
        <v>4505</v>
      </c>
      <c r="X2115" s="131">
        <v>4270</v>
      </c>
      <c r="Y2115" s="131">
        <v>235</v>
      </c>
      <c r="Z2115" s="131">
        <v>4270</v>
      </c>
      <c r="AA2115" s="131">
        <v>235</v>
      </c>
      <c r="AB2115" s="131">
        <v>4270</v>
      </c>
      <c r="AC2115" s="131">
        <v>235</v>
      </c>
      <c r="AD2115" s="131">
        <v>4270</v>
      </c>
      <c r="AE2115" s="132">
        <v>235</v>
      </c>
    </row>
    <row r="2116" spans="1:31" x14ac:dyDescent="0.2">
      <c r="A2116" s="133">
        <v>379</v>
      </c>
      <c r="B2116" s="133" t="s">
        <v>2287</v>
      </c>
      <c r="C2116" s="133" t="s">
        <v>1147</v>
      </c>
      <c r="D2116" s="133" t="s">
        <v>2017</v>
      </c>
      <c r="E2116" s="133" t="s">
        <v>1116</v>
      </c>
      <c r="F2116" s="133" t="s">
        <v>1117</v>
      </c>
      <c r="G2116" s="133" t="s">
        <v>1118</v>
      </c>
      <c r="H2116" s="133" t="s">
        <v>1149</v>
      </c>
      <c r="I2116" s="133" t="s">
        <v>1182</v>
      </c>
      <c r="J2116" s="130" t="s">
        <v>1942</v>
      </c>
      <c r="K2116" s="130" t="s">
        <v>1944</v>
      </c>
      <c r="L2116" s="130" t="s">
        <v>2288</v>
      </c>
      <c r="M2116" s="130" t="s">
        <v>1925</v>
      </c>
      <c r="N2116" s="130" t="s">
        <v>152</v>
      </c>
      <c r="O2116" s="130" t="s">
        <v>1125</v>
      </c>
      <c r="P2116" s="130" t="s">
        <v>2019</v>
      </c>
      <c r="Q2116" s="130" t="s">
        <v>1127</v>
      </c>
      <c r="R2116" s="130" t="s">
        <v>1175</v>
      </c>
      <c r="S2116" s="130" t="s">
        <v>1401</v>
      </c>
      <c r="T2116" s="130" t="s">
        <v>1188</v>
      </c>
      <c r="U2116" s="130">
        <v>0</v>
      </c>
      <c r="V2116" s="131">
        <v>25320</v>
      </c>
      <c r="W2116" s="131">
        <v>25320</v>
      </c>
      <c r="X2116" s="131">
        <v>0</v>
      </c>
      <c r="Y2116" s="131">
        <v>25320</v>
      </c>
      <c r="Z2116" s="131">
        <v>0</v>
      </c>
      <c r="AA2116" s="131">
        <v>25320</v>
      </c>
      <c r="AB2116" s="131">
        <v>0</v>
      </c>
      <c r="AC2116" s="131">
        <v>25320</v>
      </c>
      <c r="AD2116" s="131">
        <v>0</v>
      </c>
      <c r="AE2116" s="132">
        <v>25320</v>
      </c>
    </row>
    <row r="2117" spans="1:31" x14ac:dyDescent="0.2">
      <c r="A2117" s="133">
        <v>379</v>
      </c>
      <c r="B2117" s="133" t="s">
        <v>2287</v>
      </c>
      <c r="C2117" s="133" t="s">
        <v>1147</v>
      </c>
      <c r="D2117" s="133" t="s">
        <v>2017</v>
      </c>
      <c r="E2117" s="133" t="s">
        <v>1116</v>
      </c>
      <c r="F2117" s="133" t="s">
        <v>1117</v>
      </c>
      <c r="G2117" s="133" t="s">
        <v>1118</v>
      </c>
      <c r="H2117" s="130" t="s">
        <v>1159</v>
      </c>
      <c r="I2117" s="130" t="s">
        <v>1160</v>
      </c>
      <c r="J2117" s="130" t="s">
        <v>1163</v>
      </c>
      <c r="K2117" s="130" t="s">
        <v>1164</v>
      </c>
      <c r="L2117" s="130" t="s">
        <v>2288</v>
      </c>
      <c r="M2117" s="130" t="s">
        <v>1925</v>
      </c>
      <c r="N2117" s="130" t="s">
        <v>152</v>
      </c>
      <c r="O2117" s="130" t="s">
        <v>1125</v>
      </c>
      <c r="P2117" s="130" t="s">
        <v>2019</v>
      </c>
      <c r="Q2117" s="130" t="s">
        <v>1127</v>
      </c>
      <c r="R2117" s="130" t="s">
        <v>1175</v>
      </c>
      <c r="S2117" s="130" t="s">
        <v>1401</v>
      </c>
      <c r="T2117" s="130" t="s">
        <v>1188</v>
      </c>
      <c r="U2117" s="130">
        <v>0</v>
      </c>
      <c r="V2117" s="131">
        <v>16600</v>
      </c>
      <c r="W2117" s="131">
        <v>16600</v>
      </c>
      <c r="X2117" s="131">
        <v>16600</v>
      </c>
      <c r="Y2117" s="131">
        <v>0</v>
      </c>
      <c r="Z2117" s="131">
        <v>16600</v>
      </c>
      <c r="AA2117" s="131">
        <v>0</v>
      </c>
      <c r="AB2117" s="131">
        <v>15467.57</v>
      </c>
      <c r="AC2117" s="131">
        <v>1132.4300000000003</v>
      </c>
      <c r="AD2117" s="131">
        <v>15467.57</v>
      </c>
      <c r="AE2117" s="132">
        <v>1132.4300000000003</v>
      </c>
    </row>
    <row r="2118" spans="1:31" x14ac:dyDescent="0.2">
      <c r="A2118" s="133">
        <v>379</v>
      </c>
      <c r="B2118" s="133" t="s">
        <v>2287</v>
      </c>
      <c r="C2118" s="133" t="s">
        <v>1147</v>
      </c>
      <c r="D2118" s="133" t="s">
        <v>2017</v>
      </c>
      <c r="E2118" s="133" t="s">
        <v>1116</v>
      </c>
      <c r="F2118" s="133" t="s">
        <v>1117</v>
      </c>
      <c r="G2118" s="133" t="s">
        <v>1118</v>
      </c>
      <c r="H2118" s="133" t="s">
        <v>1159</v>
      </c>
      <c r="I2118" s="133" t="s">
        <v>1160</v>
      </c>
      <c r="J2118" s="133" t="s">
        <v>1163</v>
      </c>
      <c r="K2118" s="130" t="s">
        <v>1165</v>
      </c>
      <c r="L2118" s="130" t="s">
        <v>2288</v>
      </c>
      <c r="M2118" s="130" t="s">
        <v>1925</v>
      </c>
      <c r="N2118" s="130" t="s">
        <v>152</v>
      </c>
      <c r="O2118" s="130" t="s">
        <v>1125</v>
      </c>
      <c r="P2118" s="130" t="s">
        <v>2019</v>
      </c>
      <c r="Q2118" s="130" t="s">
        <v>1127</v>
      </c>
      <c r="R2118" s="130" t="s">
        <v>1175</v>
      </c>
      <c r="S2118" s="130" t="s">
        <v>1401</v>
      </c>
      <c r="T2118" s="130" t="s">
        <v>1188</v>
      </c>
      <c r="U2118" s="130">
        <v>0</v>
      </c>
      <c r="V2118" s="131">
        <v>13526</v>
      </c>
      <c r="W2118" s="131">
        <v>13526</v>
      </c>
      <c r="X2118" s="131">
        <v>11363.5</v>
      </c>
      <c r="Y2118" s="131">
        <v>2162.5</v>
      </c>
      <c r="Z2118" s="131">
        <v>11112.7</v>
      </c>
      <c r="AA2118" s="131">
        <v>2413.2999999999993</v>
      </c>
      <c r="AB2118" s="131">
        <v>11112.7</v>
      </c>
      <c r="AC2118" s="131">
        <v>2413.2999999999993</v>
      </c>
      <c r="AD2118" s="131">
        <v>10198.5</v>
      </c>
      <c r="AE2118" s="132">
        <v>3327.5</v>
      </c>
    </row>
    <row r="2119" spans="1:31" x14ac:dyDescent="0.2">
      <c r="A2119" s="133">
        <v>379</v>
      </c>
      <c r="B2119" s="133" t="s">
        <v>2287</v>
      </c>
      <c r="C2119" s="133" t="s">
        <v>1147</v>
      </c>
      <c r="D2119" s="133" t="s">
        <v>2017</v>
      </c>
      <c r="E2119" s="133" t="s">
        <v>1116</v>
      </c>
      <c r="F2119" s="133" t="s">
        <v>1117</v>
      </c>
      <c r="G2119" s="133" t="s">
        <v>1118</v>
      </c>
      <c r="H2119" s="133" t="s">
        <v>1159</v>
      </c>
      <c r="I2119" s="133" t="s">
        <v>1160</v>
      </c>
      <c r="J2119" s="133" t="s">
        <v>1163</v>
      </c>
      <c r="K2119" s="130" t="s">
        <v>1162</v>
      </c>
      <c r="L2119" s="130" t="s">
        <v>2288</v>
      </c>
      <c r="M2119" s="130" t="s">
        <v>1925</v>
      </c>
      <c r="N2119" s="130" t="s">
        <v>152</v>
      </c>
      <c r="O2119" s="130" t="s">
        <v>1125</v>
      </c>
      <c r="P2119" s="130" t="s">
        <v>2019</v>
      </c>
      <c r="Q2119" s="130" t="s">
        <v>1127</v>
      </c>
      <c r="R2119" s="130" t="s">
        <v>1175</v>
      </c>
      <c r="S2119" s="130" t="s">
        <v>1401</v>
      </c>
      <c r="T2119" s="130" t="s">
        <v>1188</v>
      </c>
      <c r="U2119" s="130">
        <v>0</v>
      </c>
      <c r="V2119" s="131">
        <v>45492</v>
      </c>
      <c r="W2119" s="131">
        <v>45492</v>
      </c>
      <c r="X2119" s="131">
        <v>44224</v>
      </c>
      <c r="Y2119" s="131">
        <v>1268</v>
      </c>
      <c r="Z2119" s="131">
        <v>41760</v>
      </c>
      <c r="AA2119" s="131">
        <v>3732</v>
      </c>
      <c r="AB2119" s="131">
        <v>41760</v>
      </c>
      <c r="AC2119" s="131">
        <v>3732</v>
      </c>
      <c r="AD2119" s="131">
        <v>7656</v>
      </c>
      <c r="AE2119" s="132">
        <v>37836</v>
      </c>
    </row>
    <row r="2120" spans="1:31" x14ac:dyDescent="0.2">
      <c r="A2120" s="133">
        <v>379</v>
      </c>
      <c r="B2120" s="133" t="s">
        <v>2287</v>
      </c>
      <c r="C2120" s="133" t="s">
        <v>1147</v>
      </c>
      <c r="D2120" s="133" t="s">
        <v>2017</v>
      </c>
      <c r="E2120" s="133" t="s">
        <v>1116</v>
      </c>
      <c r="F2120" s="133" t="s">
        <v>1117</v>
      </c>
      <c r="G2120" s="133" t="s">
        <v>1118</v>
      </c>
      <c r="H2120" s="130" t="s">
        <v>1133</v>
      </c>
      <c r="I2120" s="130" t="s">
        <v>1134</v>
      </c>
      <c r="J2120" s="130" t="s">
        <v>1135</v>
      </c>
      <c r="K2120" s="130" t="s">
        <v>1178</v>
      </c>
      <c r="L2120" s="130" t="s">
        <v>2288</v>
      </c>
      <c r="M2120" s="130" t="s">
        <v>1925</v>
      </c>
      <c r="N2120" s="130" t="s">
        <v>152</v>
      </c>
      <c r="O2120" s="130" t="s">
        <v>1125</v>
      </c>
      <c r="P2120" s="130" t="s">
        <v>2019</v>
      </c>
      <c r="Q2120" s="130" t="s">
        <v>1127</v>
      </c>
      <c r="R2120" s="130" t="s">
        <v>1175</v>
      </c>
      <c r="S2120" s="130" t="s">
        <v>1401</v>
      </c>
      <c r="T2120" s="130" t="s">
        <v>1188</v>
      </c>
      <c r="U2120" s="130">
        <v>0</v>
      </c>
      <c r="V2120" s="131">
        <v>20400</v>
      </c>
      <c r="W2120" s="131">
        <v>20400</v>
      </c>
      <c r="X2120" s="131">
        <v>20400</v>
      </c>
      <c r="Y2120" s="131">
        <v>0</v>
      </c>
      <c r="Z2120" s="131">
        <v>20400</v>
      </c>
      <c r="AA2120" s="131">
        <v>0</v>
      </c>
      <c r="AB2120" s="131">
        <v>20031.38</v>
      </c>
      <c r="AC2120" s="131">
        <v>368.61999999999898</v>
      </c>
      <c r="AD2120" s="131">
        <v>20031.38</v>
      </c>
      <c r="AE2120" s="132">
        <v>368.61999999999898</v>
      </c>
    </row>
    <row r="2121" spans="1:31" x14ac:dyDescent="0.2">
      <c r="A2121" s="133">
        <v>379</v>
      </c>
      <c r="B2121" s="133" t="s">
        <v>2287</v>
      </c>
      <c r="C2121" s="133" t="s">
        <v>1147</v>
      </c>
      <c r="D2121" s="133" t="s">
        <v>2017</v>
      </c>
      <c r="E2121" s="133" t="s">
        <v>1116</v>
      </c>
      <c r="F2121" s="133" t="s">
        <v>1117</v>
      </c>
      <c r="G2121" s="133" t="s">
        <v>1118</v>
      </c>
      <c r="H2121" s="133" t="s">
        <v>1133</v>
      </c>
      <c r="I2121" s="133" t="s">
        <v>1134</v>
      </c>
      <c r="J2121" s="133" t="s">
        <v>1135</v>
      </c>
      <c r="K2121" s="130" t="s">
        <v>1179</v>
      </c>
      <c r="L2121" s="130" t="s">
        <v>2288</v>
      </c>
      <c r="M2121" s="130" t="s">
        <v>1925</v>
      </c>
      <c r="N2121" s="130" t="s">
        <v>152</v>
      </c>
      <c r="O2121" s="130" t="s">
        <v>1125</v>
      </c>
      <c r="P2121" s="130" t="s">
        <v>2019</v>
      </c>
      <c r="Q2121" s="130" t="s">
        <v>1127</v>
      </c>
      <c r="R2121" s="130" t="s">
        <v>1175</v>
      </c>
      <c r="S2121" s="130" t="s">
        <v>1401</v>
      </c>
      <c r="T2121" s="130" t="s">
        <v>1188</v>
      </c>
      <c r="U2121" s="130">
        <v>0</v>
      </c>
      <c r="V2121" s="131">
        <v>3031</v>
      </c>
      <c r="W2121" s="131">
        <v>3031</v>
      </c>
      <c r="X2121" s="131">
        <v>1926.44</v>
      </c>
      <c r="Y2121" s="131">
        <v>1104.56</v>
      </c>
      <c r="Z2121" s="131">
        <v>1926.44</v>
      </c>
      <c r="AA2121" s="131">
        <v>1104.56</v>
      </c>
      <c r="AB2121" s="131">
        <v>1926.44</v>
      </c>
      <c r="AC2121" s="131">
        <v>1104.56</v>
      </c>
      <c r="AD2121" s="131">
        <v>1926.44</v>
      </c>
      <c r="AE2121" s="132">
        <v>1104.56</v>
      </c>
    </row>
    <row r="2122" spans="1:31" x14ac:dyDescent="0.2">
      <c r="A2122" s="133">
        <v>379</v>
      </c>
      <c r="B2122" s="133" t="s">
        <v>2287</v>
      </c>
      <c r="C2122" s="133" t="s">
        <v>1147</v>
      </c>
      <c r="D2122" s="133" t="s">
        <v>2017</v>
      </c>
      <c r="E2122" s="133" t="s">
        <v>1116</v>
      </c>
      <c r="F2122" s="133" t="s">
        <v>1117</v>
      </c>
      <c r="G2122" s="133" t="s">
        <v>1118</v>
      </c>
      <c r="H2122" s="133" t="s">
        <v>1133</v>
      </c>
      <c r="I2122" s="133" t="s">
        <v>1134</v>
      </c>
      <c r="J2122" s="133" t="s">
        <v>1135</v>
      </c>
      <c r="K2122" s="130" t="s">
        <v>1144</v>
      </c>
      <c r="L2122" s="130" t="s">
        <v>2288</v>
      </c>
      <c r="M2122" s="130" t="s">
        <v>1925</v>
      </c>
      <c r="N2122" s="130" t="s">
        <v>152</v>
      </c>
      <c r="O2122" s="130" t="s">
        <v>1125</v>
      </c>
      <c r="P2122" s="130" t="s">
        <v>2019</v>
      </c>
      <c r="Q2122" s="130" t="s">
        <v>1127</v>
      </c>
      <c r="R2122" s="130" t="s">
        <v>1175</v>
      </c>
      <c r="S2122" s="130" t="s">
        <v>1401</v>
      </c>
      <c r="T2122" s="130" t="s">
        <v>1188</v>
      </c>
      <c r="U2122" s="130">
        <v>0</v>
      </c>
      <c r="V2122" s="131">
        <v>38200</v>
      </c>
      <c r="W2122" s="131">
        <v>38200</v>
      </c>
      <c r="X2122" s="131">
        <v>1800</v>
      </c>
      <c r="Y2122" s="131">
        <v>36400</v>
      </c>
      <c r="Z2122" s="131">
        <v>1800</v>
      </c>
      <c r="AA2122" s="131">
        <v>36400</v>
      </c>
      <c r="AB2122" s="131">
        <v>1800</v>
      </c>
      <c r="AC2122" s="131">
        <v>36400</v>
      </c>
      <c r="AD2122" s="131">
        <v>1800</v>
      </c>
      <c r="AE2122" s="132">
        <v>36400</v>
      </c>
    </row>
    <row r="2123" spans="1:31" x14ac:dyDescent="0.2">
      <c r="A2123" s="130">
        <v>380</v>
      </c>
      <c r="B2123" s="130" t="s">
        <v>2289</v>
      </c>
      <c r="C2123" s="130" t="s">
        <v>1147</v>
      </c>
      <c r="D2123" s="130" t="s">
        <v>2017</v>
      </c>
      <c r="E2123" s="130" t="s">
        <v>1116</v>
      </c>
      <c r="F2123" s="130" t="s">
        <v>1117</v>
      </c>
      <c r="G2123" s="130" t="s">
        <v>1118</v>
      </c>
      <c r="H2123" s="130" t="s">
        <v>1149</v>
      </c>
      <c r="I2123" s="130" t="s">
        <v>1182</v>
      </c>
      <c r="J2123" s="130" t="s">
        <v>1377</v>
      </c>
      <c r="K2123" s="130" t="s">
        <v>1378</v>
      </c>
      <c r="L2123" s="130" t="s">
        <v>2290</v>
      </c>
      <c r="M2123" s="130" t="s">
        <v>1925</v>
      </c>
      <c r="N2123" s="130" t="s">
        <v>152</v>
      </c>
      <c r="O2123" s="130" t="s">
        <v>1125</v>
      </c>
      <c r="P2123" s="130" t="s">
        <v>2019</v>
      </c>
      <c r="Q2123" s="130" t="s">
        <v>1127</v>
      </c>
      <c r="R2123" s="130" t="s">
        <v>1417</v>
      </c>
      <c r="S2123" s="130" t="s">
        <v>1418</v>
      </c>
      <c r="T2123" s="130" t="s">
        <v>1188</v>
      </c>
      <c r="U2123" s="130">
        <v>0</v>
      </c>
      <c r="V2123" s="131">
        <v>4505</v>
      </c>
      <c r="W2123" s="131">
        <v>4505</v>
      </c>
      <c r="X2123" s="131">
        <v>4270</v>
      </c>
      <c r="Y2123" s="131">
        <v>235</v>
      </c>
      <c r="Z2123" s="131">
        <v>4270</v>
      </c>
      <c r="AA2123" s="131">
        <v>235</v>
      </c>
      <c r="AB2123" s="131">
        <v>4270</v>
      </c>
      <c r="AC2123" s="131">
        <v>235</v>
      </c>
      <c r="AD2123" s="131">
        <v>4270</v>
      </c>
      <c r="AE2123" s="132">
        <v>235</v>
      </c>
    </row>
    <row r="2124" spans="1:31" x14ac:dyDescent="0.2">
      <c r="A2124" s="133">
        <v>380</v>
      </c>
      <c r="B2124" s="133" t="s">
        <v>2289</v>
      </c>
      <c r="C2124" s="133" t="s">
        <v>1147</v>
      </c>
      <c r="D2124" s="133" t="s">
        <v>2017</v>
      </c>
      <c r="E2124" s="133" t="s">
        <v>1116</v>
      </c>
      <c r="F2124" s="133" t="s">
        <v>1117</v>
      </c>
      <c r="G2124" s="133" t="s">
        <v>1118</v>
      </c>
      <c r="H2124" s="133" t="s">
        <v>1149</v>
      </c>
      <c r="I2124" s="133" t="s">
        <v>1182</v>
      </c>
      <c r="J2124" s="130" t="s">
        <v>1942</v>
      </c>
      <c r="K2124" s="130" t="s">
        <v>1944</v>
      </c>
      <c r="L2124" s="130" t="s">
        <v>2290</v>
      </c>
      <c r="M2124" s="130" t="s">
        <v>1925</v>
      </c>
      <c r="N2124" s="130" t="s">
        <v>152</v>
      </c>
      <c r="O2124" s="130" t="s">
        <v>1125</v>
      </c>
      <c r="P2124" s="130" t="s">
        <v>2019</v>
      </c>
      <c r="Q2124" s="130" t="s">
        <v>1127</v>
      </c>
      <c r="R2124" s="130" t="s">
        <v>1417</v>
      </c>
      <c r="S2124" s="130" t="s">
        <v>1418</v>
      </c>
      <c r="T2124" s="130" t="s">
        <v>1188</v>
      </c>
      <c r="U2124" s="130">
        <v>0</v>
      </c>
      <c r="V2124" s="131">
        <v>2708126</v>
      </c>
      <c r="W2124" s="131">
        <v>2708126</v>
      </c>
      <c r="X2124" s="131">
        <v>1052800</v>
      </c>
      <c r="Y2124" s="131">
        <v>1655326</v>
      </c>
      <c r="Z2124" s="131">
        <v>0</v>
      </c>
      <c r="AA2124" s="131">
        <v>2708126</v>
      </c>
      <c r="AB2124" s="131">
        <v>0</v>
      </c>
      <c r="AC2124" s="131">
        <v>2708126</v>
      </c>
      <c r="AD2124" s="131">
        <v>0</v>
      </c>
      <c r="AE2124" s="132">
        <v>2708126</v>
      </c>
    </row>
    <row r="2125" spans="1:31" x14ac:dyDescent="0.2">
      <c r="A2125" s="133">
        <v>380</v>
      </c>
      <c r="B2125" s="133" t="s">
        <v>2289</v>
      </c>
      <c r="C2125" s="133" t="s">
        <v>1147</v>
      </c>
      <c r="D2125" s="133" t="s">
        <v>2017</v>
      </c>
      <c r="E2125" s="133" t="s">
        <v>1116</v>
      </c>
      <c r="F2125" s="133" t="s">
        <v>1117</v>
      </c>
      <c r="G2125" s="133" t="s">
        <v>1118</v>
      </c>
      <c r="H2125" s="130" t="s">
        <v>1159</v>
      </c>
      <c r="I2125" s="130" t="s">
        <v>1160</v>
      </c>
      <c r="J2125" s="130" t="s">
        <v>1163</v>
      </c>
      <c r="K2125" s="130" t="s">
        <v>1164</v>
      </c>
      <c r="L2125" s="130" t="s">
        <v>2290</v>
      </c>
      <c r="M2125" s="130" t="s">
        <v>1925</v>
      </c>
      <c r="N2125" s="130" t="s">
        <v>152</v>
      </c>
      <c r="O2125" s="130" t="s">
        <v>1125</v>
      </c>
      <c r="P2125" s="130" t="s">
        <v>2019</v>
      </c>
      <c r="Q2125" s="130" t="s">
        <v>1127</v>
      </c>
      <c r="R2125" s="130" t="s">
        <v>1417</v>
      </c>
      <c r="S2125" s="130" t="s">
        <v>1418</v>
      </c>
      <c r="T2125" s="130" t="s">
        <v>1188</v>
      </c>
      <c r="U2125" s="130">
        <v>0</v>
      </c>
      <c r="V2125" s="131">
        <v>80000</v>
      </c>
      <c r="W2125" s="131">
        <v>80000</v>
      </c>
      <c r="X2125" s="131">
        <v>80000</v>
      </c>
      <c r="Y2125" s="131">
        <v>0</v>
      </c>
      <c r="Z2125" s="131">
        <v>80000</v>
      </c>
      <c r="AA2125" s="131">
        <v>0</v>
      </c>
      <c r="AB2125" s="131">
        <v>63263.66</v>
      </c>
      <c r="AC2125" s="131">
        <v>16736.339999999997</v>
      </c>
      <c r="AD2125" s="131">
        <v>63263.66</v>
      </c>
      <c r="AE2125" s="132">
        <v>16736.339999999997</v>
      </c>
    </row>
    <row r="2126" spans="1:31" x14ac:dyDescent="0.2">
      <c r="A2126" s="133">
        <v>380</v>
      </c>
      <c r="B2126" s="133" t="s">
        <v>2289</v>
      </c>
      <c r="C2126" s="133" t="s">
        <v>1147</v>
      </c>
      <c r="D2126" s="133" t="s">
        <v>2017</v>
      </c>
      <c r="E2126" s="133" t="s">
        <v>1116</v>
      </c>
      <c r="F2126" s="133" t="s">
        <v>1117</v>
      </c>
      <c r="G2126" s="133" t="s">
        <v>1118</v>
      </c>
      <c r="H2126" s="133" t="s">
        <v>1159</v>
      </c>
      <c r="I2126" s="133" t="s">
        <v>1160</v>
      </c>
      <c r="J2126" s="133" t="s">
        <v>1163</v>
      </c>
      <c r="K2126" s="130" t="s">
        <v>1165</v>
      </c>
      <c r="L2126" s="130" t="s">
        <v>2290</v>
      </c>
      <c r="M2126" s="130" t="s">
        <v>1925</v>
      </c>
      <c r="N2126" s="130" t="s">
        <v>152</v>
      </c>
      <c r="O2126" s="130" t="s">
        <v>1125</v>
      </c>
      <c r="P2126" s="130" t="s">
        <v>2019</v>
      </c>
      <c r="Q2126" s="130" t="s">
        <v>1127</v>
      </c>
      <c r="R2126" s="130" t="s">
        <v>1417</v>
      </c>
      <c r="S2126" s="130" t="s">
        <v>1418</v>
      </c>
      <c r="T2126" s="130" t="s">
        <v>1188</v>
      </c>
      <c r="U2126" s="130">
        <v>0</v>
      </c>
      <c r="V2126" s="131">
        <v>13627</v>
      </c>
      <c r="W2126" s="131">
        <v>13627</v>
      </c>
      <c r="X2126" s="131">
        <v>11414.6</v>
      </c>
      <c r="Y2126" s="131">
        <v>2212.3999999999996</v>
      </c>
      <c r="Z2126" s="131">
        <v>11163.8</v>
      </c>
      <c r="AA2126" s="131">
        <v>2463.2000000000007</v>
      </c>
      <c r="AB2126" s="131">
        <v>11163.8</v>
      </c>
      <c r="AC2126" s="131">
        <v>2463.2000000000007</v>
      </c>
      <c r="AD2126" s="131">
        <v>10249.6</v>
      </c>
      <c r="AE2126" s="132">
        <v>3377.3999999999996</v>
      </c>
    </row>
    <row r="2127" spans="1:31" x14ac:dyDescent="0.2">
      <c r="A2127" s="133">
        <v>380</v>
      </c>
      <c r="B2127" s="133" t="s">
        <v>2289</v>
      </c>
      <c r="C2127" s="133" t="s">
        <v>1147</v>
      </c>
      <c r="D2127" s="133" t="s">
        <v>2017</v>
      </c>
      <c r="E2127" s="133" t="s">
        <v>1116</v>
      </c>
      <c r="F2127" s="133" t="s">
        <v>1117</v>
      </c>
      <c r="G2127" s="133" t="s">
        <v>1118</v>
      </c>
      <c r="H2127" s="133" t="s">
        <v>1159</v>
      </c>
      <c r="I2127" s="133" t="s">
        <v>1160</v>
      </c>
      <c r="J2127" s="133" t="s">
        <v>1163</v>
      </c>
      <c r="K2127" s="130" t="s">
        <v>1162</v>
      </c>
      <c r="L2127" s="130" t="s">
        <v>2290</v>
      </c>
      <c r="M2127" s="130" t="s">
        <v>1925</v>
      </c>
      <c r="N2127" s="130" t="s">
        <v>152</v>
      </c>
      <c r="O2127" s="130" t="s">
        <v>1125</v>
      </c>
      <c r="P2127" s="130" t="s">
        <v>2019</v>
      </c>
      <c r="Q2127" s="130" t="s">
        <v>1127</v>
      </c>
      <c r="R2127" s="130" t="s">
        <v>1417</v>
      </c>
      <c r="S2127" s="130" t="s">
        <v>1418</v>
      </c>
      <c r="T2127" s="130" t="s">
        <v>1188</v>
      </c>
      <c r="U2127" s="130">
        <v>0</v>
      </c>
      <c r="V2127" s="131">
        <v>49322</v>
      </c>
      <c r="W2127" s="131">
        <v>49322</v>
      </c>
      <c r="X2127" s="131">
        <v>44662.5</v>
      </c>
      <c r="Y2127" s="131">
        <v>4659.5</v>
      </c>
      <c r="Z2127" s="131">
        <v>44662.5</v>
      </c>
      <c r="AA2127" s="131">
        <v>4659.5</v>
      </c>
      <c r="AB2127" s="131">
        <v>44662.5</v>
      </c>
      <c r="AC2127" s="131">
        <v>4659.5</v>
      </c>
      <c r="AD2127" s="131">
        <v>11900</v>
      </c>
      <c r="AE2127" s="132">
        <v>37422</v>
      </c>
    </row>
    <row r="2128" spans="1:31" x14ac:dyDescent="0.2">
      <c r="A2128" s="133">
        <v>380</v>
      </c>
      <c r="B2128" s="133" t="s">
        <v>2289</v>
      </c>
      <c r="C2128" s="133" t="s">
        <v>1147</v>
      </c>
      <c r="D2128" s="133" t="s">
        <v>2017</v>
      </c>
      <c r="E2128" s="133" t="s">
        <v>1116</v>
      </c>
      <c r="F2128" s="133" t="s">
        <v>1117</v>
      </c>
      <c r="G2128" s="133" t="s">
        <v>1118</v>
      </c>
      <c r="H2128" s="130" t="s">
        <v>1133</v>
      </c>
      <c r="I2128" s="130" t="s">
        <v>1134</v>
      </c>
      <c r="J2128" s="130" t="s">
        <v>1135</v>
      </c>
      <c r="K2128" s="130" t="s">
        <v>1178</v>
      </c>
      <c r="L2128" s="130" t="s">
        <v>2290</v>
      </c>
      <c r="M2128" s="130" t="s">
        <v>1925</v>
      </c>
      <c r="N2128" s="130" t="s">
        <v>152</v>
      </c>
      <c r="O2128" s="130" t="s">
        <v>1125</v>
      </c>
      <c r="P2128" s="130" t="s">
        <v>2019</v>
      </c>
      <c r="Q2128" s="130" t="s">
        <v>1127</v>
      </c>
      <c r="R2128" s="130" t="s">
        <v>1417</v>
      </c>
      <c r="S2128" s="130" t="s">
        <v>1418</v>
      </c>
      <c r="T2128" s="130" t="s">
        <v>1188</v>
      </c>
      <c r="U2128" s="130">
        <v>0</v>
      </c>
      <c r="V2128" s="131">
        <v>68150</v>
      </c>
      <c r="W2128" s="131">
        <v>68150</v>
      </c>
      <c r="X2128" s="131">
        <v>68150</v>
      </c>
      <c r="Y2128" s="131">
        <v>0</v>
      </c>
      <c r="Z2128" s="131">
        <v>68150</v>
      </c>
      <c r="AA2128" s="131">
        <v>0</v>
      </c>
      <c r="AB2128" s="131">
        <v>51660.4</v>
      </c>
      <c r="AC2128" s="131">
        <v>16489.599999999999</v>
      </c>
      <c r="AD2128" s="131">
        <v>51660.4</v>
      </c>
      <c r="AE2128" s="132">
        <v>16489.599999999999</v>
      </c>
    </row>
    <row r="2129" spans="1:31" x14ac:dyDescent="0.2">
      <c r="A2129" s="133">
        <v>380</v>
      </c>
      <c r="B2129" s="133" t="s">
        <v>2289</v>
      </c>
      <c r="C2129" s="133" t="s">
        <v>1147</v>
      </c>
      <c r="D2129" s="133" t="s">
        <v>2017</v>
      </c>
      <c r="E2129" s="133" t="s">
        <v>1116</v>
      </c>
      <c r="F2129" s="133" t="s">
        <v>1117</v>
      </c>
      <c r="G2129" s="133" t="s">
        <v>1118</v>
      </c>
      <c r="H2129" s="133" t="s">
        <v>1133</v>
      </c>
      <c r="I2129" s="133" t="s">
        <v>1134</v>
      </c>
      <c r="J2129" s="133" t="s">
        <v>1135</v>
      </c>
      <c r="K2129" s="130" t="s">
        <v>1179</v>
      </c>
      <c r="L2129" s="130" t="s">
        <v>2290</v>
      </c>
      <c r="M2129" s="130" t="s">
        <v>1925</v>
      </c>
      <c r="N2129" s="130" t="s">
        <v>152</v>
      </c>
      <c r="O2129" s="130" t="s">
        <v>1125</v>
      </c>
      <c r="P2129" s="130" t="s">
        <v>2019</v>
      </c>
      <c r="Q2129" s="130" t="s">
        <v>1127</v>
      </c>
      <c r="R2129" s="130" t="s">
        <v>1417</v>
      </c>
      <c r="S2129" s="130" t="s">
        <v>1418</v>
      </c>
      <c r="T2129" s="130" t="s">
        <v>1188</v>
      </c>
      <c r="U2129" s="130">
        <v>0</v>
      </c>
      <c r="V2129" s="131">
        <v>5476</v>
      </c>
      <c r="W2129" s="131">
        <v>5476</v>
      </c>
      <c r="X2129" s="131">
        <v>4908.3999999999996</v>
      </c>
      <c r="Y2129" s="131">
        <v>567.60000000000036</v>
      </c>
      <c r="Z2129" s="131">
        <v>4908.3999999999996</v>
      </c>
      <c r="AA2129" s="131">
        <v>567.60000000000036</v>
      </c>
      <c r="AB2129" s="131">
        <v>4908.3999999999996</v>
      </c>
      <c r="AC2129" s="131">
        <v>567.60000000000036</v>
      </c>
      <c r="AD2129" s="131">
        <v>4908.3999999999996</v>
      </c>
      <c r="AE2129" s="132">
        <v>567.60000000000036</v>
      </c>
    </row>
    <row r="2130" spans="1:31" x14ac:dyDescent="0.2">
      <c r="A2130" s="133">
        <v>380</v>
      </c>
      <c r="B2130" s="133" t="s">
        <v>2289</v>
      </c>
      <c r="C2130" s="133" t="s">
        <v>1147</v>
      </c>
      <c r="D2130" s="133" t="s">
        <v>2017</v>
      </c>
      <c r="E2130" s="133" t="s">
        <v>1116</v>
      </c>
      <c r="F2130" s="133" t="s">
        <v>1117</v>
      </c>
      <c r="G2130" s="133" t="s">
        <v>1118</v>
      </c>
      <c r="H2130" s="133" t="s">
        <v>1133</v>
      </c>
      <c r="I2130" s="133" t="s">
        <v>1134</v>
      </c>
      <c r="J2130" s="133" t="s">
        <v>1135</v>
      </c>
      <c r="K2130" s="130" t="s">
        <v>1144</v>
      </c>
      <c r="L2130" s="130" t="s">
        <v>2290</v>
      </c>
      <c r="M2130" s="130" t="s">
        <v>1925</v>
      </c>
      <c r="N2130" s="130" t="s">
        <v>152</v>
      </c>
      <c r="O2130" s="130" t="s">
        <v>1125</v>
      </c>
      <c r="P2130" s="130" t="s">
        <v>2019</v>
      </c>
      <c r="Q2130" s="130" t="s">
        <v>1127</v>
      </c>
      <c r="R2130" s="130" t="s">
        <v>1417</v>
      </c>
      <c r="S2130" s="130" t="s">
        <v>1418</v>
      </c>
      <c r="T2130" s="130" t="s">
        <v>1188</v>
      </c>
      <c r="U2130" s="130">
        <v>0</v>
      </c>
      <c r="V2130" s="131">
        <v>38000</v>
      </c>
      <c r="W2130" s="131">
        <v>38000</v>
      </c>
      <c r="X2130" s="131">
        <v>37000</v>
      </c>
      <c r="Y2130" s="131">
        <v>1000</v>
      </c>
      <c r="Z2130" s="131">
        <v>37000</v>
      </c>
      <c r="AA2130" s="131">
        <v>1000</v>
      </c>
      <c r="AB2130" s="131">
        <v>37000</v>
      </c>
      <c r="AC2130" s="131">
        <v>1000</v>
      </c>
      <c r="AD2130" s="131">
        <v>10470</v>
      </c>
      <c r="AE2130" s="132">
        <v>27530</v>
      </c>
    </row>
    <row r="2131" spans="1:31" x14ac:dyDescent="0.2">
      <c r="A2131" s="130">
        <v>381</v>
      </c>
      <c r="B2131" s="130" t="s">
        <v>1841</v>
      </c>
      <c r="C2131" s="130" t="s">
        <v>1199</v>
      </c>
      <c r="D2131" s="130" t="s">
        <v>2291</v>
      </c>
      <c r="E2131" s="130" t="s">
        <v>1201</v>
      </c>
      <c r="F2131" s="130" t="s">
        <v>1117</v>
      </c>
      <c r="G2131" s="130" t="s">
        <v>1276</v>
      </c>
      <c r="H2131" s="130" t="s">
        <v>1277</v>
      </c>
      <c r="I2131" s="130" t="s">
        <v>1278</v>
      </c>
      <c r="J2131" s="130" t="s">
        <v>1278</v>
      </c>
      <c r="K2131" s="130" t="s">
        <v>1281</v>
      </c>
      <c r="L2131" s="130" t="s">
        <v>2292</v>
      </c>
      <c r="M2131" s="130" t="s">
        <v>1925</v>
      </c>
      <c r="N2131" s="130" t="s">
        <v>120</v>
      </c>
      <c r="O2131" s="130" t="s">
        <v>1860</v>
      </c>
      <c r="P2131" s="130" t="s">
        <v>1861</v>
      </c>
      <c r="Q2131" s="130" t="s">
        <v>1127</v>
      </c>
      <c r="R2131" s="130" t="s">
        <v>1191</v>
      </c>
      <c r="S2131" s="130" t="s">
        <v>1191</v>
      </c>
      <c r="T2131" s="130" t="s">
        <v>1847</v>
      </c>
      <c r="U2131" s="130">
        <v>0</v>
      </c>
      <c r="V2131" s="131">
        <v>0</v>
      </c>
      <c r="W2131" s="131">
        <v>0</v>
      </c>
      <c r="X2131" s="131">
        <v>0</v>
      </c>
      <c r="Y2131" s="131">
        <v>0</v>
      </c>
      <c r="Z2131" s="131">
        <v>0</v>
      </c>
      <c r="AA2131" s="131">
        <v>0</v>
      </c>
      <c r="AB2131" s="131">
        <v>0</v>
      </c>
      <c r="AC2131" s="131">
        <v>0</v>
      </c>
      <c r="AD2131" s="131">
        <v>0</v>
      </c>
      <c r="AE2131" s="132">
        <v>0</v>
      </c>
    </row>
    <row r="2132" spans="1:31" x14ac:dyDescent="0.2">
      <c r="A2132" s="133">
        <v>381</v>
      </c>
      <c r="B2132" s="133" t="s">
        <v>1841</v>
      </c>
      <c r="C2132" s="133" t="s">
        <v>1199</v>
      </c>
      <c r="D2132" s="133" t="s">
        <v>2291</v>
      </c>
      <c r="E2132" s="133" t="s">
        <v>1201</v>
      </c>
      <c r="F2132" s="133" t="s">
        <v>1117</v>
      </c>
      <c r="G2132" s="133" t="s">
        <v>1276</v>
      </c>
      <c r="H2132" s="133" t="s">
        <v>1277</v>
      </c>
      <c r="I2132" s="130" t="s">
        <v>2145</v>
      </c>
      <c r="J2132" s="130" t="s">
        <v>2146</v>
      </c>
      <c r="K2132" s="130" t="s">
        <v>2147</v>
      </c>
      <c r="L2132" s="130" t="s">
        <v>2292</v>
      </c>
      <c r="M2132" s="130" t="s">
        <v>1925</v>
      </c>
      <c r="N2132" s="130" t="s">
        <v>120</v>
      </c>
      <c r="O2132" s="130" t="s">
        <v>1860</v>
      </c>
      <c r="P2132" s="130" t="s">
        <v>1861</v>
      </c>
      <c r="Q2132" s="130" t="s">
        <v>1127</v>
      </c>
      <c r="R2132" s="130" t="s">
        <v>1191</v>
      </c>
      <c r="S2132" s="130" t="s">
        <v>1191</v>
      </c>
      <c r="T2132" s="130" t="s">
        <v>1847</v>
      </c>
      <c r="U2132" s="130">
        <v>0</v>
      </c>
      <c r="V2132" s="131">
        <v>0</v>
      </c>
      <c r="W2132" s="131">
        <v>0</v>
      </c>
      <c r="X2132" s="131">
        <v>0</v>
      </c>
      <c r="Y2132" s="131">
        <v>0</v>
      </c>
      <c r="Z2132" s="131">
        <v>0</v>
      </c>
      <c r="AA2132" s="131">
        <v>0</v>
      </c>
      <c r="AB2132" s="131">
        <v>0</v>
      </c>
      <c r="AC2132" s="131">
        <v>0</v>
      </c>
      <c r="AD2132" s="131">
        <v>0</v>
      </c>
      <c r="AE2132" s="132">
        <v>0</v>
      </c>
    </row>
    <row r="2133" spans="1:31" x14ac:dyDescent="0.2">
      <c r="A2133" s="133">
        <v>381</v>
      </c>
      <c r="B2133" s="133" t="s">
        <v>1841</v>
      </c>
      <c r="C2133" s="133" t="s">
        <v>1199</v>
      </c>
      <c r="D2133" s="133" t="s">
        <v>2291</v>
      </c>
      <c r="E2133" s="133" t="s">
        <v>1201</v>
      </c>
      <c r="F2133" s="133" t="s">
        <v>1117</v>
      </c>
      <c r="G2133" s="133" t="s">
        <v>1276</v>
      </c>
      <c r="H2133" s="133" t="s">
        <v>1277</v>
      </c>
      <c r="I2133" s="130" t="s">
        <v>1285</v>
      </c>
      <c r="J2133" s="130" t="s">
        <v>1286</v>
      </c>
      <c r="K2133" s="130" t="s">
        <v>1287</v>
      </c>
      <c r="L2133" s="130" t="s">
        <v>2292</v>
      </c>
      <c r="M2133" s="130" t="s">
        <v>1925</v>
      </c>
      <c r="N2133" s="130" t="s">
        <v>120</v>
      </c>
      <c r="O2133" s="130" t="s">
        <v>1860</v>
      </c>
      <c r="P2133" s="130" t="s">
        <v>1861</v>
      </c>
      <c r="Q2133" s="130" t="s">
        <v>1127</v>
      </c>
      <c r="R2133" s="130" t="s">
        <v>1191</v>
      </c>
      <c r="S2133" s="130" t="s">
        <v>1191</v>
      </c>
      <c r="T2133" s="130" t="s">
        <v>1847</v>
      </c>
      <c r="U2133" s="130">
        <v>0</v>
      </c>
      <c r="V2133" s="131">
        <v>0</v>
      </c>
      <c r="W2133" s="131">
        <v>0</v>
      </c>
      <c r="X2133" s="131">
        <v>0</v>
      </c>
      <c r="Y2133" s="131">
        <v>0</v>
      </c>
      <c r="Z2133" s="131">
        <v>0</v>
      </c>
      <c r="AA2133" s="131">
        <v>0</v>
      </c>
      <c r="AB2133" s="131">
        <v>0</v>
      </c>
      <c r="AC2133" s="131">
        <v>0</v>
      </c>
      <c r="AD2133" s="131">
        <v>0</v>
      </c>
      <c r="AE2133" s="132">
        <v>0</v>
      </c>
    </row>
    <row r="2134" spans="1:31" x14ac:dyDescent="0.2">
      <c r="A2134" s="133">
        <v>381</v>
      </c>
      <c r="B2134" s="133" t="s">
        <v>1841</v>
      </c>
      <c r="C2134" s="133" t="s">
        <v>1199</v>
      </c>
      <c r="D2134" s="133" t="s">
        <v>2291</v>
      </c>
      <c r="E2134" s="133" t="s">
        <v>1201</v>
      </c>
      <c r="F2134" s="133" t="s">
        <v>1117</v>
      </c>
      <c r="G2134" s="133" t="s">
        <v>1276</v>
      </c>
      <c r="H2134" s="133" t="s">
        <v>1277</v>
      </c>
      <c r="I2134" s="130" t="s">
        <v>1288</v>
      </c>
      <c r="J2134" s="130" t="s">
        <v>1289</v>
      </c>
      <c r="K2134" s="130" t="s">
        <v>1290</v>
      </c>
      <c r="L2134" s="130" t="s">
        <v>2292</v>
      </c>
      <c r="M2134" s="130" t="s">
        <v>1925</v>
      </c>
      <c r="N2134" s="130" t="s">
        <v>120</v>
      </c>
      <c r="O2134" s="130" t="s">
        <v>1860</v>
      </c>
      <c r="P2134" s="130" t="s">
        <v>1861</v>
      </c>
      <c r="Q2134" s="130" t="s">
        <v>1127</v>
      </c>
      <c r="R2134" s="130" t="s">
        <v>1191</v>
      </c>
      <c r="S2134" s="130" t="s">
        <v>1191</v>
      </c>
      <c r="T2134" s="130" t="s">
        <v>1847</v>
      </c>
      <c r="U2134" s="130">
        <v>0</v>
      </c>
      <c r="V2134" s="131">
        <v>0</v>
      </c>
      <c r="W2134" s="131">
        <v>0</v>
      </c>
      <c r="X2134" s="131">
        <v>0</v>
      </c>
      <c r="Y2134" s="131">
        <v>0</v>
      </c>
      <c r="Z2134" s="131">
        <v>0</v>
      </c>
      <c r="AA2134" s="131">
        <v>0</v>
      </c>
      <c r="AB2134" s="131">
        <v>0</v>
      </c>
      <c r="AC2134" s="131">
        <v>0</v>
      </c>
      <c r="AD2134" s="131">
        <v>0</v>
      </c>
      <c r="AE2134" s="132">
        <v>0</v>
      </c>
    </row>
    <row r="2135" spans="1:31" x14ac:dyDescent="0.2">
      <c r="A2135" s="133">
        <v>381</v>
      </c>
      <c r="B2135" s="133" t="s">
        <v>1841</v>
      </c>
      <c r="C2135" s="133" t="s">
        <v>1199</v>
      </c>
      <c r="D2135" s="133" t="s">
        <v>2291</v>
      </c>
      <c r="E2135" s="133" t="s">
        <v>1201</v>
      </c>
      <c r="F2135" s="133" t="s">
        <v>1117</v>
      </c>
      <c r="G2135" s="133" t="s">
        <v>1276</v>
      </c>
      <c r="H2135" s="133" t="s">
        <v>1277</v>
      </c>
      <c r="I2135" s="133" t="s">
        <v>1288</v>
      </c>
      <c r="J2135" s="133" t="s">
        <v>1289</v>
      </c>
      <c r="K2135" s="130" t="s">
        <v>1291</v>
      </c>
      <c r="L2135" s="130" t="s">
        <v>2292</v>
      </c>
      <c r="M2135" s="130" t="s">
        <v>1925</v>
      </c>
      <c r="N2135" s="130" t="s">
        <v>120</v>
      </c>
      <c r="O2135" s="130" t="s">
        <v>1860</v>
      </c>
      <c r="P2135" s="130" t="s">
        <v>1861</v>
      </c>
      <c r="Q2135" s="130" t="s">
        <v>1127</v>
      </c>
      <c r="R2135" s="130" t="s">
        <v>1191</v>
      </c>
      <c r="S2135" s="130" t="s">
        <v>1191</v>
      </c>
      <c r="T2135" s="130" t="s">
        <v>1847</v>
      </c>
      <c r="U2135" s="130">
        <v>0</v>
      </c>
      <c r="V2135" s="131">
        <v>0</v>
      </c>
      <c r="W2135" s="131">
        <v>0</v>
      </c>
      <c r="X2135" s="131">
        <v>0</v>
      </c>
      <c r="Y2135" s="131">
        <v>0</v>
      </c>
      <c r="Z2135" s="131">
        <v>0</v>
      </c>
      <c r="AA2135" s="131">
        <v>0</v>
      </c>
      <c r="AB2135" s="131">
        <v>0</v>
      </c>
      <c r="AC2135" s="131">
        <v>0</v>
      </c>
      <c r="AD2135" s="131">
        <v>0</v>
      </c>
      <c r="AE2135" s="132">
        <v>0</v>
      </c>
    </row>
    <row r="2136" spans="1:31" x14ac:dyDescent="0.2">
      <c r="A2136" s="133">
        <v>381</v>
      </c>
      <c r="B2136" s="133" t="s">
        <v>1841</v>
      </c>
      <c r="C2136" s="133" t="s">
        <v>1199</v>
      </c>
      <c r="D2136" s="133" t="s">
        <v>2291</v>
      </c>
      <c r="E2136" s="133" t="s">
        <v>1201</v>
      </c>
      <c r="F2136" s="133" t="s">
        <v>1117</v>
      </c>
      <c r="G2136" s="133" t="s">
        <v>1276</v>
      </c>
      <c r="H2136" s="133" t="s">
        <v>1277</v>
      </c>
      <c r="I2136" s="133" t="s">
        <v>1288</v>
      </c>
      <c r="J2136" s="133" t="s">
        <v>1289</v>
      </c>
      <c r="K2136" s="130" t="s">
        <v>1292</v>
      </c>
      <c r="L2136" s="130" t="s">
        <v>2292</v>
      </c>
      <c r="M2136" s="130" t="s">
        <v>1925</v>
      </c>
      <c r="N2136" s="130" t="s">
        <v>120</v>
      </c>
      <c r="O2136" s="130" t="s">
        <v>1860</v>
      </c>
      <c r="P2136" s="130" t="s">
        <v>1861</v>
      </c>
      <c r="Q2136" s="130" t="s">
        <v>1127</v>
      </c>
      <c r="R2136" s="130" t="s">
        <v>1191</v>
      </c>
      <c r="S2136" s="130" t="s">
        <v>1191</v>
      </c>
      <c r="T2136" s="130" t="s">
        <v>1847</v>
      </c>
      <c r="U2136" s="130">
        <v>0</v>
      </c>
      <c r="V2136" s="131">
        <v>0</v>
      </c>
      <c r="W2136" s="131">
        <v>0</v>
      </c>
      <c r="X2136" s="131">
        <v>0</v>
      </c>
      <c r="Y2136" s="131">
        <v>0</v>
      </c>
      <c r="Z2136" s="131">
        <v>0</v>
      </c>
      <c r="AA2136" s="131">
        <v>0</v>
      </c>
      <c r="AB2136" s="131">
        <v>0</v>
      </c>
      <c r="AC2136" s="131">
        <v>0</v>
      </c>
      <c r="AD2136" s="131">
        <v>0</v>
      </c>
      <c r="AE2136" s="132">
        <v>0</v>
      </c>
    </row>
    <row r="2137" spans="1:31" x14ac:dyDescent="0.2">
      <c r="A2137" s="133">
        <v>381</v>
      </c>
      <c r="B2137" s="133" t="s">
        <v>1841</v>
      </c>
      <c r="C2137" s="133" t="s">
        <v>1199</v>
      </c>
      <c r="D2137" s="133" t="s">
        <v>2291</v>
      </c>
      <c r="E2137" s="133" t="s">
        <v>1201</v>
      </c>
      <c r="F2137" s="133" t="s">
        <v>1117</v>
      </c>
      <c r="G2137" s="133" t="s">
        <v>1276</v>
      </c>
      <c r="H2137" s="130" t="s">
        <v>1297</v>
      </c>
      <c r="I2137" s="130" t="s">
        <v>1298</v>
      </c>
      <c r="J2137" s="130" t="s">
        <v>1298</v>
      </c>
      <c r="K2137" s="130" t="s">
        <v>1299</v>
      </c>
      <c r="L2137" s="130" t="s">
        <v>2292</v>
      </c>
      <c r="M2137" s="130" t="s">
        <v>1925</v>
      </c>
      <c r="N2137" s="130" t="s">
        <v>120</v>
      </c>
      <c r="O2137" s="130" t="s">
        <v>1860</v>
      </c>
      <c r="P2137" s="130" t="s">
        <v>1861</v>
      </c>
      <c r="Q2137" s="130" t="s">
        <v>1127</v>
      </c>
      <c r="R2137" s="130" t="s">
        <v>1191</v>
      </c>
      <c r="S2137" s="130" t="s">
        <v>1191</v>
      </c>
      <c r="T2137" s="130" t="s">
        <v>1847</v>
      </c>
      <c r="U2137" s="130">
        <v>0</v>
      </c>
      <c r="V2137" s="131">
        <v>0</v>
      </c>
      <c r="W2137" s="131">
        <v>0</v>
      </c>
      <c r="X2137" s="131">
        <v>0</v>
      </c>
      <c r="Y2137" s="131">
        <v>0</v>
      </c>
      <c r="Z2137" s="131">
        <v>0</v>
      </c>
      <c r="AA2137" s="131">
        <v>0</v>
      </c>
      <c r="AB2137" s="131">
        <v>0</v>
      </c>
      <c r="AC2137" s="131">
        <v>0</v>
      </c>
      <c r="AD2137" s="131">
        <v>0</v>
      </c>
      <c r="AE2137" s="132">
        <v>0</v>
      </c>
    </row>
    <row r="2138" spans="1:31" x14ac:dyDescent="0.2">
      <c r="A2138" s="133">
        <v>381</v>
      </c>
      <c r="B2138" s="133" t="s">
        <v>1841</v>
      </c>
      <c r="C2138" s="133" t="s">
        <v>1199</v>
      </c>
      <c r="D2138" s="133" t="s">
        <v>2291</v>
      </c>
      <c r="E2138" s="133" t="s">
        <v>1201</v>
      </c>
      <c r="F2138" s="133" t="s">
        <v>1117</v>
      </c>
      <c r="G2138" s="133" t="s">
        <v>1276</v>
      </c>
      <c r="H2138" s="133" t="s">
        <v>1297</v>
      </c>
      <c r="I2138" s="133" t="s">
        <v>1298</v>
      </c>
      <c r="J2138" s="133" t="s">
        <v>1298</v>
      </c>
      <c r="K2138" s="130" t="s">
        <v>1300</v>
      </c>
      <c r="L2138" s="130" t="s">
        <v>2292</v>
      </c>
      <c r="M2138" s="130" t="s">
        <v>1925</v>
      </c>
      <c r="N2138" s="130" t="s">
        <v>120</v>
      </c>
      <c r="O2138" s="130" t="s">
        <v>1860</v>
      </c>
      <c r="P2138" s="130" t="s">
        <v>1861</v>
      </c>
      <c r="Q2138" s="130" t="s">
        <v>1127</v>
      </c>
      <c r="R2138" s="130" t="s">
        <v>1191</v>
      </c>
      <c r="S2138" s="130" t="s">
        <v>1191</v>
      </c>
      <c r="T2138" s="130" t="s">
        <v>1847</v>
      </c>
      <c r="U2138" s="130">
        <v>0</v>
      </c>
      <c r="V2138" s="131">
        <v>0</v>
      </c>
      <c r="W2138" s="131">
        <v>0</v>
      </c>
      <c r="X2138" s="131">
        <v>0</v>
      </c>
      <c r="Y2138" s="131">
        <v>0</v>
      </c>
      <c r="Z2138" s="131">
        <v>0</v>
      </c>
      <c r="AA2138" s="131">
        <v>0</v>
      </c>
      <c r="AB2138" s="131">
        <v>0</v>
      </c>
      <c r="AC2138" s="131">
        <v>0</v>
      </c>
      <c r="AD2138" s="131">
        <v>0</v>
      </c>
      <c r="AE2138" s="132">
        <v>0</v>
      </c>
    </row>
    <row r="2139" spans="1:31" x14ac:dyDescent="0.2">
      <c r="A2139" s="130">
        <v>382</v>
      </c>
      <c r="B2139" s="130" t="s">
        <v>1019</v>
      </c>
      <c r="C2139" s="130" t="s">
        <v>1147</v>
      </c>
      <c r="D2139" s="130" t="s">
        <v>2017</v>
      </c>
      <c r="E2139" s="130" t="s">
        <v>1116</v>
      </c>
      <c r="F2139" s="130" t="s">
        <v>1117</v>
      </c>
      <c r="G2139" s="130" t="s">
        <v>1118</v>
      </c>
      <c r="H2139" s="130" t="s">
        <v>1159</v>
      </c>
      <c r="I2139" s="130" t="s">
        <v>1160</v>
      </c>
      <c r="J2139" s="130" t="s">
        <v>1163</v>
      </c>
      <c r="K2139" s="130" t="s">
        <v>1164</v>
      </c>
      <c r="L2139" s="130" t="s">
        <v>2293</v>
      </c>
      <c r="M2139" s="130" t="s">
        <v>1925</v>
      </c>
      <c r="N2139" s="130" t="s">
        <v>152</v>
      </c>
      <c r="O2139" s="130" t="s">
        <v>1125</v>
      </c>
      <c r="P2139" s="130" t="s">
        <v>2019</v>
      </c>
      <c r="Q2139" s="130" t="s">
        <v>1127</v>
      </c>
      <c r="R2139" s="130" t="s">
        <v>1191</v>
      </c>
      <c r="S2139" s="130" t="s">
        <v>1191</v>
      </c>
      <c r="T2139" s="130" t="s">
        <v>1158</v>
      </c>
      <c r="U2139" s="130">
        <v>0</v>
      </c>
      <c r="V2139" s="131">
        <v>4351</v>
      </c>
      <c r="W2139" s="131">
        <v>4351</v>
      </c>
      <c r="X2139" s="131">
        <v>4351</v>
      </c>
      <c r="Y2139" s="131">
        <v>0</v>
      </c>
      <c r="Z2139" s="131">
        <v>4351</v>
      </c>
      <c r="AA2139" s="131">
        <v>0</v>
      </c>
      <c r="AB2139" s="131">
        <v>2677.4</v>
      </c>
      <c r="AC2139" s="131">
        <v>1673.6</v>
      </c>
      <c r="AD2139" s="131">
        <v>2677.4</v>
      </c>
      <c r="AE2139" s="132">
        <v>1673.6</v>
      </c>
    </row>
    <row r="2140" spans="1:31" x14ac:dyDescent="0.2">
      <c r="A2140" s="133">
        <v>382</v>
      </c>
      <c r="B2140" s="133" t="s">
        <v>1019</v>
      </c>
      <c r="C2140" s="133" t="s">
        <v>1147</v>
      </c>
      <c r="D2140" s="133" t="s">
        <v>2017</v>
      </c>
      <c r="E2140" s="133" t="s">
        <v>1116</v>
      </c>
      <c r="F2140" s="133" t="s">
        <v>1117</v>
      </c>
      <c r="G2140" s="133" t="s">
        <v>1118</v>
      </c>
      <c r="H2140" s="130" t="s">
        <v>1133</v>
      </c>
      <c r="I2140" s="130" t="s">
        <v>1134</v>
      </c>
      <c r="J2140" s="130" t="s">
        <v>1166</v>
      </c>
      <c r="K2140" s="130" t="s">
        <v>1167</v>
      </c>
      <c r="L2140" s="130" t="s">
        <v>2293</v>
      </c>
      <c r="M2140" s="130" t="s">
        <v>1925</v>
      </c>
      <c r="N2140" s="130" t="s">
        <v>152</v>
      </c>
      <c r="O2140" s="130" t="s">
        <v>1125</v>
      </c>
      <c r="P2140" s="130" t="s">
        <v>2019</v>
      </c>
      <c r="Q2140" s="130" t="s">
        <v>1127</v>
      </c>
      <c r="R2140" s="130" t="s">
        <v>1191</v>
      </c>
      <c r="S2140" s="130" t="s">
        <v>1191</v>
      </c>
      <c r="T2140" s="130" t="s">
        <v>1158</v>
      </c>
      <c r="U2140" s="130">
        <v>0</v>
      </c>
      <c r="V2140" s="131">
        <v>35867</v>
      </c>
      <c r="W2140" s="131">
        <v>35867</v>
      </c>
      <c r="X2140" s="131">
        <v>35866.769999999997</v>
      </c>
      <c r="Y2140" s="131">
        <v>0.23000000000320142</v>
      </c>
      <c r="Z2140" s="131">
        <v>35859.599999999999</v>
      </c>
      <c r="AA2140" s="131">
        <v>7.4000000000014552</v>
      </c>
      <c r="AB2140" s="131">
        <v>35859.599999999999</v>
      </c>
      <c r="AC2140" s="131">
        <v>7.4000000000014552</v>
      </c>
      <c r="AD2140" s="131">
        <v>35816.770000000004</v>
      </c>
      <c r="AE2140" s="132">
        <v>50.229999999995925</v>
      </c>
    </row>
    <row r="2141" spans="1:31" x14ac:dyDescent="0.2">
      <c r="A2141" s="130">
        <v>383</v>
      </c>
      <c r="B2141" s="130" t="s">
        <v>970</v>
      </c>
      <c r="C2141" s="130" t="s">
        <v>1147</v>
      </c>
      <c r="D2141" s="130" t="s">
        <v>1461</v>
      </c>
      <c r="E2141" s="130" t="s">
        <v>1116</v>
      </c>
      <c r="F2141" s="130" t="s">
        <v>1117</v>
      </c>
      <c r="G2141" s="130" t="s">
        <v>1118</v>
      </c>
      <c r="H2141" s="130" t="s">
        <v>1149</v>
      </c>
      <c r="I2141" s="130" t="s">
        <v>1182</v>
      </c>
      <c r="J2141" s="130" t="s">
        <v>1183</v>
      </c>
      <c r="K2141" s="130" t="s">
        <v>1184</v>
      </c>
      <c r="L2141" s="130" t="s">
        <v>2294</v>
      </c>
      <c r="M2141" s="130" t="s">
        <v>1925</v>
      </c>
      <c r="N2141" s="130" t="s">
        <v>1351</v>
      </c>
      <c r="O2141" s="130" t="s">
        <v>1352</v>
      </c>
      <c r="P2141" s="130" t="s">
        <v>1353</v>
      </c>
      <c r="Q2141" s="130" t="s">
        <v>1127</v>
      </c>
      <c r="R2141" s="130" t="s">
        <v>1191</v>
      </c>
      <c r="S2141" s="130" t="s">
        <v>2295</v>
      </c>
      <c r="T2141" s="130" t="s">
        <v>2284</v>
      </c>
      <c r="U2141" s="130">
        <v>0</v>
      </c>
      <c r="V2141" s="131">
        <v>142200</v>
      </c>
      <c r="W2141" s="131">
        <v>142200</v>
      </c>
      <c r="X2141" s="131">
        <v>48150</v>
      </c>
      <c r="Y2141" s="131">
        <v>94050</v>
      </c>
      <c r="Z2141" s="131">
        <v>48150</v>
      </c>
      <c r="AA2141" s="131">
        <v>94050</v>
      </c>
      <c r="AB2141" s="131">
        <v>48150</v>
      </c>
      <c r="AC2141" s="131">
        <v>94050</v>
      </c>
      <c r="AD2141" s="131">
        <v>35200</v>
      </c>
      <c r="AE2141" s="132">
        <v>107000</v>
      </c>
    </row>
    <row r="2142" spans="1:31" x14ac:dyDescent="0.2">
      <c r="A2142" s="133">
        <v>383</v>
      </c>
      <c r="B2142" s="133" t="s">
        <v>970</v>
      </c>
      <c r="C2142" s="133" t="s">
        <v>1147</v>
      </c>
      <c r="D2142" s="133" t="s">
        <v>1461</v>
      </c>
      <c r="E2142" s="133" t="s">
        <v>1116</v>
      </c>
      <c r="F2142" s="133" t="s">
        <v>1117</v>
      </c>
      <c r="G2142" s="133" t="s">
        <v>1118</v>
      </c>
      <c r="H2142" s="130" t="s">
        <v>1133</v>
      </c>
      <c r="I2142" s="130" t="s">
        <v>1134</v>
      </c>
      <c r="J2142" s="130" t="s">
        <v>1135</v>
      </c>
      <c r="K2142" s="130" t="s">
        <v>1144</v>
      </c>
      <c r="L2142" s="130" t="s">
        <v>2294</v>
      </c>
      <c r="M2142" s="130" t="s">
        <v>1925</v>
      </c>
      <c r="N2142" s="130" t="s">
        <v>1351</v>
      </c>
      <c r="O2142" s="130" t="s">
        <v>1352</v>
      </c>
      <c r="P2142" s="130" t="s">
        <v>1353</v>
      </c>
      <c r="Q2142" s="130" t="s">
        <v>1127</v>
      </c>
      <c r="R2142" s="130" t="s">
        <v>1191</v>
      </c>
      <c r="S2142" s="130" t="s">
        <v>2295</v>
      </c>
      <c r="T2142" s="130" t="s">
        <v>2284</v>
      </c>
      <c r="U2142" s="130">
        <v>0</v>
      </c>
      <c r="V2142" s="131">
        <v>17746</v>
      </c>
      <c r="W2142" s="131">
        <v>17746</v>
      </c>
      <c r="X2142" s="131">
        <v>12291</v>
      </c>
      <c r="Y2142" s="131">
        <v>5455</v>
      </c>
      <c r="Z2142" s="131">
        <v>12291</v>
      </c>
      <c r="AA2142" s="131">
        <v>5455</v>
      </c>
      <c r="AB2142" s="131">
        <v>12291</v>
      </c>
      <c r="AC2142" s="131">
        <v>5455</v>
      </c>
      <c r="AD2142" s="131">
        <v>0</v>
      </c>
      <c r="AE2142" s="132">
        <v>17746</v>
      </c>
    </row>
    <row r="2143" spans="1:31" x14ac:dyDescent="0.2">
      <c r="A2143" s="130">
        <v>384</v>
      </c>
      <c r="B2143" s="130" t="s">
        <v>971</v>
      </c>
      <c r="C2143" s="130" t="s">
        <v>1147</v>
      </c>
      <c r="D2143" s="130" t="s">
        <v>1461</v>
      </c>
      <c r="E2143" s="130" t="s">
        <v>1116</v>
      </c>
      <c r="F2143" s="130" t="s">
        <v>1117</v>
      </c>
      <c r="G2143" s="130" t="s">
        <v>1118</v>
      </c>
      <c r="H2143" s="130" t="s">
        <v>1149</v>
      </c>
      <c r="I2143" s="130" t="s">
        <v>1182</v>
      </c>
      <c r="J2143" s="130" t="s">
        <v>2221</v>
      </c>
      <c r="K2143" s="130" t="s">
        <v>2222</v>
      </c>
      <c r="L2143" s="130" t="s">
        <v>2296</v>
      </c>
      <c r="M2143" s="130" t="s">
        <v>1925</v>
      </c>
      <c r="N2143" s="130" t="s">
        <v>127</v>
      </c>
      <c r="O2143" s="130" t="s">
        <v>1933</v>
      </c>
      <c r="P2143" s="130" t="s">
        <v>1934</v>
      </c>
      <c r="Q2143" s="130" t="s">
        <v>1127</v>
      </c>
      <c r="R2143" s="130" t="s">
        <v>1175</v>
      </c>
      <c r="S2143" s="130" t="s">
        <v>2297</v>
      </c>
      <c r="T2143" s="130" t="s">
        <v>1188</v>
      </c>
      <c r="U2143" s="130">
        <v>0</v>
      </c>
      <c r="V2143" s="131">
        <v>140400</v>
      </c>
      <c r="W2143" s="131">
        <v>140400</v>
      </c>
      <c r="X2143" s="131">
        <v>140400</v>
      </c>
      <c r="Y2143" s="131">
        <v>0</v>
      </c>
      <c r="Z2143" s="131">
        <v>21450</v>
      </c>
      <c r="AA2143" s="131">
        <v>118950</v>
      </c>
      <c r="AB2143" s="131">
        <v>21450</v>
      </c>
      <c r="AC2143" s="131">
        <v>118950</v>
      </c>
      <c r="AD2143" s="131">
        <v>21450</v>
      </c>
      <c r="AE2143" s="132">
        <v>118950</v>
      </c>
    </row>
    <row r="2144" spans="1:31" x14ac:dyDescent="0.2">
      <c r="A2144" s="133">
        <v>384</v>
      </c>
      <c r="B2144" s="133" t="s">
        <v>971</v>
      </c>
      <c r="C2144" s="133" t="s">
        <v>1147</v>
      </c>
      <c r="D2144" s="133" t="s">
        <v>1461</v>
      </c>
      <c r="E2144" s="133" t="s">
        <v>1116</v>
      </c>
      <c r="F2144" s="133" t="s">
        <v>1117</v>
      </c>
      <c r="G2144" s="133" t="s">
        <v>1118</v>
      </c>
      <c r="H2144" s="130" t="s">
        <v>1133</v>
      </c>
      <c r="I2144" s="130" t="s">
        <v>1134</v>
      </c>
      <c r="J2144" s="130" t="s">
        <v>1135</v>
      </c>
      <c r="K2144" s="130" t="s">
        <v>1144</v>
      </c>
      <c r="L2144" s="130" t="s">
        <v>2296</v>
      </c>
      <c r="M2144" s="130" t="s">
        <v>1925</v>
      </c>
      <c r="N2144" s="130" t="s">
        <v>127</v>
      </c>
      <c r="O2144" s="130" t="s">
        <v>1933</v>
      </c>
      <c r="P2144" s="130" t="s">
        <v>1934</v>
      </c>
      <c r="Q2144" s="130" t="s">
        <v>1127</v>
      </c>
      <c r="R2144" s="130" t="s">
        <v>1175</v>
      </c>
      <c r="S2144" s="130" t="s">
        <v>2297</v>
      </c>
      <c r="T2144" s="130" t="s">
        <v>1188</v>
      </c>
      <c r="U2144" s="130">
        <v>0</v>
      </c>
      <c r="V2144" s="131">
        <v>19147</v>
      </c>
      <c r="W2144" s="131">
        <v>19147</v>
      </c>
      <c r="X2144" s="131">
        <v>0</v>
      </c>
      <c r="Y2144" s="131">
        <v>19147</v>
      </c>
      <c r="Z2144" s="131">
        <v>0</v>
      </c>
      <c r="AA2144" s="131">
        <v>19147</v>
      </c>
      <c r="AB2144" s="131">
        <v>0</v>
      </c>
      <c r="AC2144" s="131">
        <v>19147</v>
      </c>
      <c r="AD2144" s="131">
        <v>0</v>
      </c>
      <c r="AE2144" s="132">
        <v>19147</v>
      </c>
    </row>
    <row r="2145" spans="1:31" x14ac:dyDescent="0.2">
      <c r="A2145" s="130">
        <v>385</v>
      </c>
      <c r="B2145" s="130" t="s">
        <v>972</v>
      </c>
      <c r="C2145" s="130" t="s">
        <v>1147</v>
      </c>
      <c r="D2145" s="130" t="s">
        <v>1461</v>
      </c>
      <c r="E2145" s="130" t="s">
        <v>1116</v>
      </c>
      <c r="F2145" s="130" t="s">
        <v>1117</v>
      </c>
      <c r="G2145" s="130" t="s">
        <v>1118</v>
      </c>
      <c r="H2145" s="130" t="s">
        <v>1149</v>
      </c>
      <c r="I2145" s="130" t="s">
        <v>1182</v>
      </c>
      <c r="J2145" s="130" t="s">
        <v>1183</v>
      </c>
      <c r="K2145" s="130" t="s">
        <v>1184</v>
      </c>
      <c r="L2145" s="130" t="s">
        <v>2298</v>
      </c>
      <c r="M2145" s="130" t="s">
        <v>1925</v>
      </c>
      <c r="N2145" s="130" t="s">
        <v>127</v>
      </c>
      <c r="O2145" s="130" t="s">
        <v>1933</v>
      </c>
      <c r="P2145" s="130" t="s">
        <v>1934</v>
      </c>
      <c r="Q2145" s="130" t="s">
        <v>1127</v>
      </c>
      <c r="R2145" s="130" t="s">
        <v>1140</v>
      </c>
      <c r="S2145" s="130" t="s">
        <v>1141</v>
      </c>
      <c r="T2145" s="130" t="s">
        <v>2284</v>
      </c>
      <c r="U2145" s="130">
        <v>0</v>
      </c>
      <c r="V2145" s="131">
        <v>145677</v>
      </c>
      <c r="W2145" s="131">
        <v>145677</v>
      </c>
      <c r="X2145" s="131">
        <v>0</v>
      </c>
      <c r="Y2145" s="131">
        <v>145677</v>
      </c>
      <c r="Z2145" s="131">
        <v>0</v>
      </c>
      <c r="AA2145" s="131">
        <v>145677</v>
      </c>
      <c r="AB2145" s="131">
        <v>0</v>
      </c>
      <c r="AC2145" s="131">
        <v>145677</v>
      </c>
      <c r="AD2145" s="131">
        <v>0</v>
      </c>
      <c r="AE2145" s="132">
        <v>145677</v>
      </c>
    </row>
    <row r="2146" spans="1:31" x14ac:dyDescent="0.2">
      <c r="A2146" s="133">
        <v>385</v>
      </c>
      <c r="B2146" s="133" t="s">
        <v>972</v>
      </c>
      <c r="C2146" s="133" t="s">
        <v>1147</v>
      </c>
      <c r="D2146" s="133" t="s">
        <v>1461</v>
      </c>
      <c r="E2146" s="133" t="s">
        <v>1116</v>
      </c>
      <c r="F2146" s="133" t="s">
        <v>1117</v>
      </c>
      <c r="G2146" s="133" t="s">
        <v>1118</v>
      </c>
      <c r="H2146" s="130" t="s">
        <v>1133</v>
      </c>
      <c r="I2146" s="130" t="s">
        <v>1134</v>
      </c>
      <c r="J2146" s="130" t="s">
        <v>1135</v>
      </c>
      <c r="K2146" s="130" t="s">
        <v>1144</v>
      </c>
      <c r="L2146" s="130" t="s">
        <v>2298</v>
      </c>
      <c r="M2146" s="130" t="s">
        <v>1925</v>
      </c>
      <c r="N2146" s="130" t="s">
        <v>127</v>
      </c>
      <c r="O2146" s="130" t="s">
        <v>1933</v>
      </c>
      <c r="P2146" s="130" t="s">
        <v>1934</v>
      </c>
      <c r="Q2146" s="130" t="s">
        <v>1127</v>
      </c>
      <c r="R2146" s="130" t="s">
        <v>1140</v>
      </c>
      <c r="S2146" s="130" t="s">
        <v>1141</v>
      </c>
      <c r="T2146" s="130" t="s">
        <v>2284</v>
      </c>
      <c r="U2146" s="130">
        <v>0</v>
      </c>
      <c r="V2146" s="131">
        <v>12965</v>
      </c>
      <c r="W2146" s="131">
        <v>12965</v>
      </c>
      <c r="X2146" s="131">
        <v>0</v>
      </c>
      <c r="Y2146" s="131">
        <v>12965</v>
      </c>
      <c r="Z2146" s="131">
        <v>0</v>
      </c>
      <c r="AA2146" s="131">
        <v>12965</v>
      </c>
      <c r="AB2146" s="131">
        <v>0</v>
      </c>
      <c r="AC2146" s="131">
        <v>12965</v>
      </c>
      <c r="AD2146" s="131">
        <v>0</v>
      </c>
      <c r="AE2146" s="132">
        <v>12965</v>
      </c>
    </row>
    <row r="2147" spans="1:31" x14ac:dyDescent="0.2">
      <c r="A2147" s="130">
        <v>386</v>
      </c>
      <c r="B2147" s="130" t="s">
        <v>973</v>
      </c>
      <c r="C2147" s="130" t="s">
        <v>1147</v>
      </c>
      <c r="D2147" s="130" t="s">
        <v>1461</v>
      </c>
      <c r="E2147" s="130" t="s">
        <v>1116</v>
      </c>
      <c r="F2147" s="130" t="s">
        <v>1117</v>
      </c>
      <c r="G2147" s="130" t="s">
        <v>1118</v>
      </c>
      <c r="H2147" s="130" t="s">
        <v>1149</v>
      </c>
      <c r="I2147" s="130" t="s">
        <v>1182</v>
      </c>
      <c r="J2147" s="130" t="s">
        <v>1183</v>
      </c>
      <c r="K2147" s="130" t="s">
        <v>1184</v>
      </c>
      <c r="L2147" s="130" t="s">
        <v>2299</v>
      </c>
      <c r="M2147" s="130" t="s">
        <v>1925</v>
      </c>
      <c r="N2147" s="130" t="s">
        <v>2237</v>
      </c>
      <c r="O2147" s="130" t="s">
        <v>2238</v>
      </c>
      <c r="P2147" s="130" t="s">
        <v>2239</v>
      </c>
      <c r="Q2147" s="130" t="s">
        <v>1127</v>
      </c>
      <c r="R2147" s="130" t="s">
        <v>1417</v>
      </c>
      <c r="S2147" s="130" t="s">
        <v>1725</v>
      </c>
      <c r="T2147" s="130" t="s">
        <v>2284</v>
      </c>
      <c r="U2147" s="130">
        <v>0</v>
      </c>
      <c r="V2147" s="131">
        <v>141660</v>
      </c>
      <c r="W2147" s="131">
        <v>141660</v>
      </c>
      <c r="X2147" s="131">
        <v>26690</v>
      </c>
      <c r="Y2147" s="131">
        <v>114970</v>
      </c>
      <c r="Z2147" s="131">
        <v>26690</v>
      </c>
      <c r="AA2147" s="131">
        <v>114970</v>
      </c>
      <c r="AB2147" s="131">
        <v>26690</v>
      </c>
      <c r="AC2147" s="131">
        <v>114970</v>
      </c>
      <c r="AD2147" s="131">
        <v>26690</v>
      </c>
      <c r="AE2147" s="132">
        <v>114970</v>
      </c>
    </row>
    <row r="2148" spans="1:31" x14ac:dyDescent="0.2">
      <c r="A2148" s="133">
        <v>386</v>
      </c>
      <c r="B2148" s="133" t="s">
        <v>973</v>
      </c>
      <c r="C2148" s="133" t="s">
        <v>1147</v>
      </c>
      <c r="D2148" s="133" t="s">
        <v>1461</v>
      </c>
      <c r="E2148" s="133" t="s">
        <v>1116</v>
      </c>
      <c r="F2148" s="133" t="s">
        <v>1117</v>
      </c>
      <c r="G2148" s="133" t="s">
        <v>1118</v>
      </c>
      <c r="H2148" s="130" t="s">
        <v>1133</v>
      </c>
      <c r="I2148" s="130" t="s">
        <v>1134</v>
      </c>
      <c r="J2148" s="130" t="s">
        <v>1135</v>
      </c>
      <c r="K2148" s="130" t="s">
        <v>1144</v>
      </c>
      <c r="L2148" s="130" t="s">
        <v>2299</v>
      </c>
      <c r="M2148" s="130" t="s">
        <v>1925</v>
      </c>
      <c r="N2148" s="130" t="s">
        <v>2237</v>
      </c>
      <c r="O2148" s="130" t="s">
        <v>2238</v>
      </c>
      <c r="P2148" s="130" t="s">
        <v>2239</v>
      </c>
      <c r="Q2148" s="130" t="s">
        <v>1127</v>
      </c>
      <c r="R2148" s="130" t="s">
        <v>1417</v>
      </c>
      <c r="S2148" s="130" t="s">
        <v>1725</v>
      </c>
      <c r="T2148" s="130" t="s">
        <v>2284</v>
      </c>
      <c r="U2148" s="130">
        <v>0</v>
      </c>
      <c r="V2148" s="131">
        <v>17685</v>
      </c>
      <c r="W2148" s="131">
        <v>17685</v>
      </c>
      <c r="X2148" s="131">
        <v>7000</v>
      </c>
      <c r="Y2148" s="131">
        <v>10685</v>
      </c>
      <c r="Z2148" s="131">
        <v>7000</v>
      </c>
      <c r="AA2148" s="131">
        <v>10685</v>
      </c>
      <c r="AB2148" s="131">
        <v>7000</v>
      </c>
      <c r="AC2148" s="131">
        <v>10685</v>
      </c>
      <c r="AD2148" s="131">
        <v>0</v>
      </c>
      <c r="AE2148" s="132">
        <v>17685</v>
      </c>
    </row>
    <row r="2149" spans="1:31" x14ac:dyDescent="0.2">
      <c r="A2149" s="130">
        <v>387</v>
      </c>
      <c r="B2149" s="130" t="s">
        <v>974</v>
      </c>
      <c r="C2149" s="130" t="s">
        <v>1147</v>
      </c>
      <c r="D2149" s="130" t="s">
        <v>1461</v>
      </c>
      <c r="E2149" s="130" t="s">
        <v>1116</v>
      </c>
      <c r="F2149" s="130" t="s">
        <v>1117</v>
      </c>
      <c r="G2149" s="130" t="s">
        <v>1118</v>
      </c>
      <c r="H2149" s="130" t="s">
        <v>1149</v>
      </c>
      <c r="I2149" s="130" t="s">
        <v>1182</v>
      </c>
      <c r="J2149" s="130" t="s">
        <v>2221</v>
      </c>
      <c r="K2149" s="130" t="s">
        <v>2222</v>
      </c>
      <c r="L2149" s="130" t="s">
        <v>2300</v>
      </c>
      <c r="M2149" s="130" t="s">
        <v>1925</v>
      </c>
      <c r="N2149" s="130" t="s">
        <v>127</v>
      </c>
      <c r="O2149" s="130" t="s">
        <v>1933</v>
      </c>
      <c r="P2149" s="130" t="s">
        <v>1934</v>
      </c>
      <c r="Q2149" s="130" t="s">
        <v>1127</v>
      </c>
      <c r="R2149" s="130" t="s">
        <v>1380</v>
      </c>
      <c r="S2149" s="130" t="s">
        <v>1740</v>
      </c>
      <c r="T2149" s="130" t="s">
        <v>1188</v>
      </c>
      <c r="U2149" s="130">
        <v>0</v>
      </c>
      <c r="V2149" s="131">
        <v>237500</v>
      </c>
      <c r="W2149" s="131">
        <v>237500</v>
      </c>
      <c r="X2149" s="131">
        <v>237200</v>
      </c>
      <c r="Y2149" s="131">
        <v>300</v>
      </c>
      <c r="Z2149" s="131">
        <v>27200</v>
      </c>
      <c r="AA2149" s="131">
        <v>210300</v>
      </c>
      <c r="AB2149" s="131">
        <v>27200</v>
      </c>
      <c r="AC2149" s="131">
        <v>210300</v>
      </c>
      <c r="AD2149" s="131">
        <v>27200</v>
      </c>
      <c r="AE2149" s="132">
        <v>210300</v>
      </c>
    </row>
    <row r="2150" spans="1:31" x14ac:dyDescent="0.2">
      <c r="A2150" s="133">
        <v>387</v>
      </c>
      <c r="B2150" s="133" t="s">
        <v>974</v>
      </c>
      <c r="C2150" s="133" t="s">
        <v>1147</v>
      </c>
      <c r="D2150" s="133" t="s">
        <v>1461</v>
      </c>
      <c r="E2150" s="133" t="s">
        <v>1116</v>
      </c>
      <c r="F2150" s="133" t="s">
        <v>1117</v>
      </c>
      <c r="G2150" s="133" t="s">
        <v>1118</v>
      </c>
      <c r="H2150" s="130" t="s">
        <v>1133</v>
      </c>
      <c r="I2150" s="130" t="s">
        <v>1134</v>
      </c>
      <c r="J2150" s="130" t="s">
        <v>1135</v>
      </c>
      <c r="K2150" s="130" t="s">
        <v>1144</v>
      </c>
      <c r="L2150" s="130" t="s">
        <v>2300</v>
      </c>
      <c r="M2150" s="130" t="s">
        <v>1925</v>
      </c>
      <c r="N2150" s="130" t="s">
        <v>127</v>
      </c>
      <c r="O2150" s="130" t="s">
        <v>1933</v>
      </c>
      <c r="P2150" s="130" t="s">
        <v>1934</v>
      </c>
      <c r="Q2150" s="130" t="s">
        <v>1127</v>
      </c>
      <c r="R2150" s="130" t="s">
        <v>1380</v>
      </c>
      <c r="S2150" s="130" t="s">
        <v>1740</v>
      </c>
      <c r="T2150" s="130" t="s">
        <v>1188</v>
      </c>
      <c r="U2150" s="130">
        <v>0</v>
      </c>
      <c r="V2150" s="131">
        <v>32480</v>
      </c>
      <c r="W2150" s="131">
        <v>32480</v>
      </c>
      <c r="X2150" s="131">
        <v>0</v>
      </c>
      <c r="Y2150" s="131">
        <v>32480</v>
      </c>
      <c r="Z2150" s="131">
        <v>0</v>
      </c>
      <c r="AA2150" s="131">
        <v>32480</v>
      </c>
      <c r="AB2150" s="131">
        <v>0</v>
      </c>
      <c r="AC2150" s="131">
        <v>32480</v>
      </c>
      <c r="AD2150" s="131">
        <v>0</v>
      </c>
      <c r="AE2150" s="132">
        <v>32480</v>
      </c>
    </row>
    <row r="2151" spans="1:31" x14ac:dyDescent="0.2">
      <c r="A2151" s="130">
        <v>388</v>
      </c>
      <c r="B2151" s="130" t="s">
        <v>975</v>
      </c>
      <c r="C2151" s="130" t="s">
        <v>1147</v>
      </c>
      <c r="D2151" s="130" t="s">
        <v>1461</v>
      </c>
      <c r="E2151" s="130" t="s">
        <v>1116</v>
      </c>
      <c r="F2151" s="130" t="s">
        <v>1117</v>
      </c>
      <c r="G2151" s="130" t="s">
        <v>1118</v>
      </c>
      <c r="H2151" s="130" t="s">
        <v>1149</v>
      </c>
      <c r="I2151" s="130" t="s">
        <v>1182</v>
      </c>
      <c r="J2151" s="130" t="s">
        <v>2221</v>
      </c>
      <c r="K2151" s="130" t="s">
        <v>2222</v>
      </c>
      <c r="L2151" s="130" t="s">
        <v>2301</v>
      </c>
      <c r="M2151" s="130" t="s">
        <v>1925</v>
      </c>
      <c r="N2151" s="130" t="s">
        <v>127</v>
      </c>
      <c r="O2151" s="130" t="s">
        <v>1933</v>
      </c>
      <c r="P2151" s="130" t="s">
        <v>1934</v>
      </c>
      <c r="Q2151" s="130" t="s">
        <v>1127</v>
      </c>
      <c r="R2151" s="130" t="s">
        <v>1175</v>
      </c>
      <c r="S2151" s="130" t="s">
        <v>2037</v>
      </c>
      <c r="T2151" s="130" t="s">
        <v>1188</v>
      </c>
      <c r="U2151" s="130">
        <v>0</v>
      </c>
      <c r="V2151" s="131">
        <v>142750</v>
      </c>
      <c r="W2151" s="131">
        <v>142750</v>
      </c>
      <c r="X2151" s="131">
        <v>142500</v>
      </c>
      <c r="Y2151" s="131">
        <v>250</v>
      </c>
      <c r="Z2151" s="131">
        <v>22250</v>
      </c>
      <c r="AA2151" s="131">
        <v>120500</v>
      </c>
      <c r="AB2151" s="131">
        <v>22250</v>
      </c>
      <c r="AC2151" s="131">
        <v>120500</v>
      </c>
      <c r="AD2151" s="131">
        <v>22250</v>
      </c>
      <c r="AE2151" s="132">
        <v>120500</v>
      </c>
    </row>
    <row r="2152" spans="1:31" x14ac:dyDescent="0.2">
      <c r="A2152" s="133">
        <v>388</v>
      </c>
      <c r="B2152" s="133" t="s">
        <v>975</v>
      </c>
      <c r="C2152" s="133" t="s">
        <v>1147</v>
      </c>
      <c r="D2152" s="133" t="s">
        <v>1461</v>
      </c>
      <c r="E2152" s="133" t="s">
        <v>1116</v>
      </c>
      <c r="F2152" s="133" t="s">
        <v>1117</v>
      </c>
      <c r="G2152" s="133" t="s">
        <v>1118</v>
      </c>
      <c r="H2152" s="130" t="s">
        <v>1133</v>
      </c>
      <c r="I2152" s="130" t="s">
        <v>1134</v>
      </c>
      <c r="J2152" s="130" t="s">
        <v>1135</v>
      </c>
      <c r="K2152" s="130" t="s">
        <v>1144</v>
      </c>
      <c r="L2152" s="130" t="s">
        <v>2301</v>
      </c>
      <c r="M2152" s="130" t="s">
        <v>1925</v>
      </c>
      <c r="N2152" s="130" t="s">
        <v>127</v>
      </c>
      <c r="O2152" s="130" t="s">
        <v>1933</v>
      </c>
      <c r="P2152" s="130" t="s">
        <v>1934</v>
      </c>
      <c r="Q2152" s="130" t="s">
        <v>1127</v>
      </c>
      <c r="R2152" s="130" t="s">
        <v>1175</v>
      </c>
      <c r="S2152" s="130" t="s">
        <v>2037</v>
      </c>
      <c r="T2152" s="130" t="s">
        <v>1188</v>
      </c>
      <c r="U2152" s="130">
        <v>0</v>
      </c>
      <c r="V2152" s="131">
        <v>16602</v>
      </c>
      <c r="W2152" s="131">
        <v>16602</v>
      </c>
      <c r="X2152" s="131">
        <v>0</v>
      </c>
      <c r="Y2152" s="131">
        <v>16602</v>
      </c>
      <c r="Z2152" s="131">
        <v>0</v>
      </c>
      <c r="AA2152" s="131">
        <v>16602</v>
      </c>
      <c r="AB2152" s="131">
        <v>0</v>
      </c>
      <c r="AC2152" s="131">
        <v>16602</v>
      </c>
      <c r="AD2152" s="131">
        <v>0</v>
      </c>
      <c r="AE2152" s="132">
        <v>16602</v>
      </c>
    </row>
    <row r="2153" spans="1:31" x14ac:dyDescent="0.2">
      <c r="A2153" s="130">
        <v>389</v>
      </c>
      <c r="B2153" s="130" t="s">
        <v>976</v>
      </c>
      <c r="C2153" s="130" t="s">
        <v>1147</v>
      </c>
      <c r="D2153" s="130" t="s">
        <v>1461</v>
      </c>
      <c r="E2153" s="130" t="s">
        <v>1116</v>
      </c>
      <c r="F2153" s="130" t="s">
        <v>1117</v>
      </c>
      <c r="G2153" s="130" t="s">
        <v>1118</v>
      </c>
      <c r="H2153" s="130" t="s">
        <v>1149</v>
      </c>
      <c r="I2153" s="130" t="s">
        <v>1182</v>
      </c>
      <c r="J2153" s="130" t="s">
        <v>2221</v>
      </c>
      <c r="K2153" s="130" t="s">
        <v>2222</v>
      </c>
      <c r="L2153" s="130" t="s">
        <v>2302</v>
      </c>
      <c r="M2153" s="130" t="s">
        <v>1925</v>
      </c>
      <c r="N2153" s="130" t="s">
        <v>127</v>
      </c>
      <c r="O2153" s="130" t="s">
        <v>2233</v>
      </c>
      <c r="P2153" s="130" t="s">
        <v>2234</v>
      </c>
      <c r="Q2153" s="130" t="s">
        <v>1127</v>
      </c>
      <c r="R2153" s="130" t="s">
        <v>1472</v>
      </c>
      <c r="S2153" s="130" t="s">
        <v>1503</v>
      </c>
      <c r="T2153" s="130" t="s">
        <v>1188</v>
      </c>
      <c r="U2153" s="130">
        <v>0</v>
      </c>
      <c r="V2153" s="131">
        <v>140000</v>
      </c>
      <c r="W2153" s="131">
        <v>140000</v>
      </c>
      <c r="X2153" s="131">
        <v>0</v>
      </c>
      <c r="Y2153" s="131">
        <v>140000</v>
      </c>
      <c r="Z2153" s="131">
        <v>0</v>
      </c>
      <c r="AA2153" s="131">
        <v>140000</v>
      </c>
      <c r="AB2153" s="131">
        <v>0</v>
      </c>
      <c r="AC2153" s="131">
        <v>140000</v>
      </c>
      <c r="AD2153" s="131">
        <v>0</v>
      </c>
      <c r="AE2153" s="132">
        <v>140000</v>
      </c>
    </row>
    <row r="2154" spans="1:31" x14ac:dyDescent="0.2">
      <c r="A2154" s="133">
        <v>389</v>
      </c>
      <c r="B2154" s="133" t="s">
        <v>976</v>
      </c>
      <c r="C2154" s="133" t="s">
        <v>1147</v>
      </c>
      <c r="D2154" s="133" t="s">
        <v>1461</v>
      </c>
      <c r="E2154" s="133" t="s">
        <v>1116</v>
      </c>
      <c r="F2154" s="133" t="s">
        <v>1117</v>
      </c>
      <c r="G2154" s="133" t="s">
        <v>1118</v>
      </c>
      <c r="H2154" s="130" t="s">
        <v>1133</v>
      </c>
      <c r="I2154" s="130" t="s">
        <v>1134</v>
      </c>
      <c r="J2154" s="130" t="s">
        <v>1135</v>
      </c>
      <c r="K2154" s="130" t="s">
        <v>1144</v>
      </c>
      <c r="L2154" s="130" t="s">
        <v>2302</v>
      </c>
      <c r="M2154" s="130" t="s">
        <v>1925</v>
      </c>
      <c r="N2154" s="130" t="s">
        <v>127</v>
      </c>
      <c r="O2154" s="130" t="s">
        <v>2233</v>
      </c>
      <c r="P2154" s="130" t="s">
        <v>2234</v>
      </c>
      <c r="Q2154" s="130" t="s">
        <v>1127</v>
      </c>
      <c r="R2154" s="130" t="s">
        <v>1472</v>
      </c>
      <c r="S2154" s="130" t="s">
        <v>1503</v>
      </c>
      <c r="T2154" s="130" t="s">
        <v>1188</v>
      </c>
      <c r="U2154" s="130">
        <v>0</v>
      </c>
      <c r="V2154" s="131">
        <v>19613</v>
      </c>
      <c r="W2154" s="131">
        <v>19613</v>
      </c>
      <c r="X2154" s="131">
        <v>7133.25</v>
      </c>
      <c r="Y2154" s="131">
        <v>12479.75</v>
      </c>
      <c r="Z2154" s="131">
        <v>7133.25</v>
      </c>
      <c r="AA2154" s="131">
        <v>12479.75</v>
      </c>
      <c r="AB2154" s="131">
        <v>7133.25</v>
      </c>
      <c r="AC2154" s="131">
        <v>12479.75</v>
      </c>
      <c r="AD2154" s="131">
        <v>0</v>
      </c>
      <c r="AE2154" s="132">
        <v>19613</v>
      </c>
    </row>
    <row r="2155" spans="1:31" x14ac:dyDescent="0.2">
      <c r="A2155" s="130">
        <v>390</v>
      </c>
      <c r="B2155" s="130" t="s">
        <v>977</v>
      </c>
      <c r="C2155" s="130" t="s">
        <v>1147</v>
      </c>
      <c r="D2155" s="130" t="s">
        <v>1461</v>
      </c>
      <c r="E2155" s="130" t="s">
        <v>1116</v>
      </c>
      <c r="F2155" s="130" t="s">
        <v>1117</v>
      </c>
      <c r="G2155" s="130" t="s">
        <v>1118</v>
      </c>
      <c r="H2155" s="130" t="s">
        <v>1149</v>
      </c>
      <c r="I2155" s="130" t="s">
        <v>1182</v>
      </c>
      <c r="J2155" s="130" t="s">
        <v>2221</v>
      </c>
      <c r="K2155" s="130" t="s">
        <v>2222</v>
      </c>
      <c r="L2155" s="130" t="s">
        <v>2303</v>
      </c>
      <c r="M2155" s="130" t="s">
        <v>1925</v>
      </c>
      <c r="N2155" s="130" t="s">
        <v>127</v>
      </c>
      <c r="O2155" s="130" t="s">
        <v>1933</v>
      </c>
      <c r="P2155" s="130" t="s">
        <v>1934</v>
      </c>
      <c r="Q2155" s="130" t="s">
        <v>1127</v>
      </c>
      <c r="R2155" s="130" t="s">
        <v>1380</v>
      </c>
      <c r="S2155" s="130" t="s">
        <v>1381</v>
      </c>
      <c r="T2155" s="130" t="s">
        <v>1188</v>
      </c>
      <c r="U2155" s="130">
        <v>0</v>
      </c>
      <c r="V2155" s="131">
        <v>145500</v>
      </c>
      <c r="W2155" s="131">
        <v>145500</v>
      </c>
      <c r="X2155" s="131">
        <v>88350</v>
      </c>
      <c r="Y2155" s="131">
        <v>57150</v>
      </c>
      <c r="Z2155" s="131">
        <v>88350</v>
      </c>
      <c r="AA2155" s="131">
        <v>57150</v>
      </c>
      <c r="AB2155" s="131">
        <v>88350</v>
      </c>
      <c r="AC2155" s="131">
        <v>57150</v>
      </c>
      <c r="AD2155" s="131">
        <v>62850</v>
      </c>
      <c r="AE2155" s="132">
        <v>82650</v>
      </c>
    </row>
    <row r="2156" spans="1:31" x14ac:dyDescent="0.2">
      <c r="A2156" s="133">
        <v>390</v>
      </c>
      <c r="B2156" s="133" t="s">
        <v>977</v>
      </c>
      <c r="C2156" s="133" t="s">
        <v>1147</v>
      </c>
      <c r="D2156" s="133" t="s">
        <v>1461</v>
      </c>
      <c r="E2156" s="133" t="s">
        <v>1116</v>
      </c>
      <c r="F2156" s="133" t="s">
        <v>1117</v>
      </c>
      <c r="G2156" s="133" t="s">
        <v>1118</v>
      </c>
      <c r="H2156" s="130" t="s">
        <v>1133</v>
      </c>
      <c r="I2156" s="130" t="s">
        <v>1134</v>
      </c>
      <c r="J2156" s="130" t="s">
        <v>1135</v>
      </c>
      <c r="K2156" s="130" t="s">
        <v>1144</v>
      </c>
      <c r="L2156" s="130" t="s">
        <v>2303</v>
      </c>
      <c r="M2156" s="130" t="s">
        <v>1925</v>
      </c>
      <c r="N2156" s="130" t="s">
        <v>127</v>
      </c>
      <c r="O2156" s="130" t="s">
        <v>1933</v>
      </c>
      <c r="P2156" s="130" t="s">
        <v>1934</v>
      </c>
      <c r="Q2156" s="130" t="s">
        <v>1127</v>
      </c>
      <c r="R2156" s="130" t="s">
        <v>1380</v>
      </c>
      <c r="S2156" s="130" t="s">
        <v>1381</v>
      </c>
      <c r="T2156" s="130" t="s">
        <v>1188</v>
      </c>
      <c r="U2156" s="130">
        <v>0</v>
      </c>
      <c r="V2156" s="131">
        <v>14055</v>
      </c>
      <c r="W2156" s="131">
        <v>14055</v>
      </c>
      <c r="X2156" s="131">
        <v>0</v>
      </c>
      <c r="Y2156" s="131">
        <v>14055</v>
      </c>
      <c r="Z2156" s="131">
        <v>0</v>
      </c>
      <c r="AA2156" s="131">
        <v>14055</v>
      </c>
      <c r="AB2156" s="131">
        <v>0</v>
      </c>
      <c r="AC2156" s="131">
        <v>14055</v>
      </c>
      <c r="AD2156" s="131">
        <v>0</v>
      </c>
      <c r="AE2156" s="132">
        <v>14055</v>
      </c>
    </row>
    <row r="2157" spans="1:31" x14ac:dyDescent="0.2">
      <c r="A2157" s="130">
        <v>391</v>
      </c>
      <c r="B2157" s="130" t="s">
        <v>978</v>
      </c>
      <c r="C2157" s="130" t="s">
        <v>1147</v>
      </c>
      <c r="D2157" s="130" t="s">
        <v>1461</v>
      </c>
      <c r="E2157" s="130" t="s">
        <v>1116</v>
      </c>
      <c r="F2157" s="130" t="s">
        <v>1117</v>
      </c>
      <c r="G2157" s="130" t="s">
        <v>1118</v>
      </c>
      <c r="H2157" s="130" t="s">
        <v>1149</v>
      </c>
      <c r="I2157" s="130" t="s">
        <v>1182</v>
      </c>
      <c r="J2157" s="130" t="s">
        <v>2221</v>
      </c>
      <c r="K2157" s="130" t="s">
        <v>2222</v>
      </c>
      <c r="L2157" s="130" t="s">
        <v>2304</v>
      </c>
      <c r="M2157" s="130" t="s">
        <v>1925</v>
      </c>
      <c r="N2157" s="130" t="s">
        <v>127</v>
      </c>
      <c r="O2157" s="130" t="s">
        <v>1933</v>
      </c>
      <c r="P2157" s="130" t="s">
        <v>1934</v>
      </c>
      <c r="Q2157" s="130" t="s">
        <v>1127</v>
      </c>
      <c r="R2157" s="130" t="s">
        <v>1380</v>
      </c>
      <c r="S2157" s="130" t="s">
        <v>1381</v>
      </c>
      <c r="T2157" s="130" t="s">
        <v>1188</v>
      </c>
      <c r="U2157" s="130">
        <v>0</v>
      </c>
      <c r="V2157" s="131">
        <v>138100</v>
      </c>
      <c r="W2157" s="131">
        <v>138100</v>
      </c>
      <c r="X2157" s="131">
        <v>137900</v>
      </c>
      <c r="Y2157" s="131">
        <v>200</v>
      </c>
      <c r="Z2157" s="131">
        <v>26300</v>
      </c>
      <c r="AA2157" s="131">
        <v>111800</v>
      </c>
      <c r="AB2157" s="131">
        <v>26300</v>
      </c>
      <c r="AC2157" s="131">
        <v>111800</v>
      </c>
      <c r="AD2157" s="131">
        <v>26300</v>
      </c>
      <c r="AE2157" s="132">
        <v>111800</v>
      </c>
    </row>
    <row r="2158" spans="1:31" x14ac:dyDescent="0.2">
      <c r="A2158" s="133">
        <v>391</v>
      </c>
      <c r="B2158" s="133" t="s">
        <v>978</v>
      </c>
      <c r="C2158" s="133" t="s">
        <v>1147</v>
      </c>
      <c r="D2158" s="133" t="s">
        <v>1461</v>
      </c>
      <c r="E2158" s="133" t="s">
        <v>1116</v>
      </c>
      <c r="F2158" s="133" t="s">
        <v>1117</v>
      </c>
      <c r="G2158" s="133" t="s">
        <v>1118</v>
      </c>
      <c r="H2158" s="130" t="s">
        <v>1133</v>
      </c>
      <c r="I2158" s="130" t="s">
        <v>1134</v>
      </c>
      <c r="J2158" s="130" t="s">
        <v>1135</v>
      </c>
      <c r="K2158" s="130" t="s">
        <v>1144</v>
      </c>
      <c r="L2158" s="130" t="s">
        <v>2304</v>
      </c>
      <c r="M2158" s="130" t="s">
        <v>1925</v>
      </c>
      <c r="N2158" s="130" t="s">
        <v>127</v>
      </c>
      <c r="O2158" s="130" t="s">
        <v>1933</v>
      </c>
      <c r="P2158" s="130" t="s">
        <v>1934</v>
      </c>
      <c r="Q2158" s="130" t="s">
        <v>1127</v>
      </c>
      <c r="R2158" s="130" t="s">
        <v>1380</v>
      </c>
      <c r="S2158" s="130" t="s">
        <v>1381</v>
      </c>
      <c r="T2158" s="130" t="s">
        <v>1188</v>
      </c>
      <c r="U2158" s="130">
        <v>0</v>
      </c>
      <c r="V2158" s="131">
        <v>16699</v>
      </c>
      <c r="W2158" s="131">
        <v>16699</v>
      </c>
      <c r="X2158" s="131">
        <v>0</v>
      </c>
      <c r="Y2158" s="131">
        <v>16699</v>
      </c>
      <c r="Z2158" s="131">
        <v>0</v>
      </c>
      <c r="AA2158" s="131">
        <v>16699</v>
      </c>
      <c r="AB2158" s="131">
        <v>0</v>
      </c>
      <c r="AC2158" s="131">
        <v>16699</v>
      </c>
      <c r="AD2158" s="131">
        <v>0</v>
      </c>
      <c r="AE2158" s="132">
        <v>16699</v>
      </c>
    </row>
    <row r="2159" spans="1:31" x14ac:dyDescent="0.2">
      <c r="A2159" s="130">
        <v>392</v>
      </c>
      <c r="B2159" s="130" t="s">
        <v>979</v>
      </c>
      <c r="C2159" s="130" t="s">
        <v>1147</v>
      </c>
      <c r="D2159" s="130" t="s">
        <v>1461</v>
      </c>
      <c r="E2159" s="130" t="s">
        <v>1116</v>
      </c>
      <c r="F2159" s="130" t="s">
        <v>1117</v>
      </c>
      <c r="G2159" s="130" t="s">
        <v>1118</v>
      </c>
      <c r="H2159" s="130" t="s">
        <v>1149</v>
      </c>
      <c r="I2159" s="130" t="s">
        <v>1182</v>
      </c>
      <c r="J2159" s="130" t="s">
        <v>2221</v>
      </c>
      <c r="K2159" s="130" t="s">
        <v>2222</v>
      </c>
      <c r="L2159" s="130" t="s">
        <v>2305</v>
      </c>
      <c r="M2159" s="130" t="s">
        <v>1925</v>
      </c>
      <c r="N2159" s="130" t="s">
        <v>127</v>
      </c>
      <c r="O2159" s="130" t="s">
        <v>1933</v>
      </c>
      <c r="P2159" s="130" t="s">
        <v>1934</v>
      </c>
      <c r="Q2159" s="130" t="s">
        <v>1127</v>
      </c>
      <c r="R2159" s="130" t="s">
        <v>1191</v>
      </c>
      <c r="S2159" s="130" t="s">
        <v>2306</v>
      </c>
      <c r="T2159" s="130" t="s">
        <v>1188</v>
      </c>
      <c r="U2159" s="130">
        <v>0</v>
      </c>
      <c r="V2159" s="131">
        <v>144000</v>
      </c>
      <c r="W2159" s="131">
        <v>144000</v>
      </c>
      <c r="X2159" s="131">
        <v>113671</v>
      </c>
      <c r="Y2159" s="131">
        <v>30329</v>
      </c>
      <c r="Z2159" s="131">
        <v>113671</v>
      </c>
      <c r="AA2159" s="131">
        <v>30329</v>
      </c>
      <c r="AB2159" s="131">
        <v>113671</v>
      </c>
      <c r="AC2159" s="131">
        <v>30329</v>
      </c>
      <c r="AD2159" s="131">
        <v>76180</v>
      </c>
      <c r="AE2159" s="132">
        <v>67820</v>
      </c>
    </row>
    <row r="2160" spans="1:31" x14ac:dyDescent="0.2">
      <c r="A2160" s="133">
        <v>392</v>
      </c>
      <c r="B2160" s="133" t="s">
        <v>979</v>
      </c>
      <c r="C2160" s="133" t="s">
        <v>1147</v>
      </c>
      <c r="D2160" s="133" t="s">
        <v>1461</v>
      </c>
      <c r="E2160" s="133" t="s">
        <v>1116</v>
      </c>
      <c r="F2160" s="133" t="s">
        <v>1117</v>
      </c>
      <c r="G2160" s="133" t="s">
        <v>1118</v>
      </c>
      <c r="H2160" s="130" t="s">
        <v>1133</v>
      </c>
      <c r="I2160" s="130" t="s">
        <v>1134</v>
      </c>
      <c r="J2160" s="130" t="s">
        <v>1135</v>
      </c>
      <c r="K2160" s="130" t="s">
        <v>1144</v>
      </c>
      <c r="L2160" s="130" t="s">
        <v>2305</v>
      </c>
      <c r="M2160" s="130" t="s">
        <v>1925</v>
      </c>
      <c r="N2160" s="130" t="s">
        <v>127</v>
      </c>
      <c r="O2160" s="130" t="s">
        <v>1933</v>
      </c>
      <c r="P2160" s="130" t="s">
        <v>1934</v>
      </c>
      <c r="Q2160" s="130" t="s">
        <v>1127</v>
      </c>
      <c r="R2160" s="130" t="s">
        <v>1191</v>
      </c>
      <c r="S2160" s="130" t="s">
        <v>2306</v>
      </c>
      <c r="T2160" s="130" t="s">
        <v>1188</v>
      </c>
      <c r="U2160" s="130">
        <v>0</v>
      </c>
      <c r="V2160" s="131">
        <v>16000</v>
      </c>
      <c r="W2160" s="131">
        <v>16000</v>
      </c>
      <c r="X2160" s="131">
        <v>0</v>
      </c>
      <c r="Y2160" s="131">
        <v>16000</v>
      </c>
      <c r="Z2160" s="131">
        <v>0</v>
      </c>
      <c r="AA2160" s="131">
        <v>16000</v>
      </c>
      <c r="AB2160" s="131">
        <v>0</v>
      </c>
      <c r="AC2160" s="131">
        <v>16000</v>
      </c>
      <c r="AD2160" s="131">
        <v>0</v>
      </c>
      <c r="AE2160" s="132">
        <v>16000</v>
      </c>
    </row>
    <row r="2161" spans="1:31" x14ac:dyDescent="0.2">
      <c r="A2161" s="130">
        <v>393</v>
      </c>
      <c r="B2161" s="130" t="s">
        <v>980</v>
      </c>
      <c r="C2161" s="130" t="s">
        <v>1147</v>
      </c>
      <c r="D2161" s="130" t="s">
        <v>1461</v>
      </c>
      <c r="E2161" s="130" t="s">
        <v>1116</v>
      </c>
      <c r="F2161" s="130" t="s">
        <v>1117</v>
      </c>
      <c r="G2161" s="130" t="s">
        <v>1118</v>
      </c>
      <c r="H2161" s="130" t="s">
        <v>1149</v>
      </c>
      <c r="I2161" s="130" t="s">
        <v>1182</v>
      </c>
      <c r="J2161" s="130" t="s">
        <v>2221</v>
      </c>
      <c r="K2161" s="130" t="s">
        <v>2222</v>
      </c>
      <c r="L2161" s="130" t="s">
        <v>2307</v>
      </c>
      <c r="M2161" s="130" t="s">
        <v>1925</v>
      </c>
      <c r="N2161" s="130" t="s">
        <v>127</v>
      </c>
      <c r="O2161" s="130" t="s">
        <v>1933</v>
      </c>
      <c r="P2161" s="130" t="s">
        <v>1934</v>
      </c>
      <c r="Q2161" s="130" t="s">
        <v>1127</v>
      </c>
      <c r="R2161" s="130" t="s">
        <v>1448</v>
      </c>
      <c r="S2161" s="130" t="s">
        <v>2308</v>
      </c>
      <c r="T2161" s="130" t="s">
        <v>1188</v>
      </c>
      <c r="U2161" s="130">
        <v>0</v>
      </c>
      <c r="V2161" s="131">
        <v>144000</v>
      </c>
      <c r="W2161" s="131">
        <v>144000</v>
      </c>
      <c r="X2161" s="131">
        <v>128540</v>
      </c>
      <c r="Y2161" s="131">
        <v>15460</v>
      </c>
      <c r="Z2161" s="131">
        <v>12740</v>
      </c>
      <c r="AA2161" s="131">
        <v>131260</v>
      </c>
      <c r="AB2161" s="131">
        <v>12740</v>
      </c>
      <c r="AC2161" s="131">
        <v>131260</v>
      </c>
      <c r="AD2161" s="131">
        <v>12740</v>
      </c>
      <c r="AE2161" s="132">
        <v>131260</v>
      </c>
    </row>
    <row r="2162" spans="1:31" x14ac:dyDescent="0.2">
      <c r="A2162" s="133">
        <v>393</v>
      </c>
      <c r="B2162" s="133" t="s">
        <v>980</v>
      </c>
      <c r="C2162" s="133" t="s">
        <v>1147</v>
      </c>
      <c r="D2162" s="133" t="s">
        <v>1461</v>
      </c>
      <c r="E2162" s="133" t="s">
        <v>1116</v>
      </c>
      <c r="F2162" s="133" t="s">
        <v>1117</v>
      </c>
      <c r="G2162" s="133" t="s">
        <v>1118</v>
      </c>
      <c r="H2162" s="130" t="s">
        <v>1133</v>
      </c>
      <c r="I2162" s="130" t="s">
        <v>1134</v>
      </c>
      <c r="J2162" s="130" t="s">
        <v>1135</v>
      </c>
      <c r="K2162" s="130" t="s">
        <v>1144</v>
      </c>
      <c r="L2162" s="130" t="s">
        <v>2307</v>
      </c>
      <c r="M2162" s="130" t="s">
        <v>1925</v>
      </c>
      <c r="N2162" s="130" t="s">
        <v>127</v>
      </c>
      <c r="O2162" s="130" t="s">
        <v>1933</v>
      </c>
      <c r="P2162" s="130" t="s">
        <v>1934</v>
      </c>
      <c r="Q2162" s="130" t="s">
        <v>1127</v>
      </c>
      <c r="R2162" s="130" t="s">
        <v>1448</v>
      </c>
      <c r="S2162" s="130" t="s">
        <v>2308</v>
      </c>
      <c r="T2162" s="130" t="s">
        <v>1188</v>
      </c>
      <c r="U2162" s="130">
        <v>0</v>
      </c>
      <c r="V2162" s="131">
        <v>16000</v>
      </c>
      <c r="W2162" s="131">
        <v>16000</v>
      </c>
      <c r="X2162" s="131">
        <v>0</v>
      </c>
      <c r="Y2162" s="131">
        <v>16000</v>
      </c>
      <c r="Z2162" s="131">
        <v>0</v>
      </c>
      <c r="AA2162" s="131">
        <v>16000</v>
      </c>
      <c r="AB2162" s="131">
        <v>0</v>
      </c>
      <c r="AC2162" s="131">
        <v>16000</v>
      </c>
      <c r="AD2162" s="131">
        <v>0</v>
      </c>
      <c r="AE2162" s="132">
        <v>16000</v>
      </c>
    </row>
    <row r="2163" spans="1:31" x14ac:dyDescent="0.2">
      <c r="A2163" s="130">
        <v>394</v>
      </c>
      <c r="B2163" s="130" t="s">
        <v>981</v>
      </c>
      <c r="C2163" s="130" t="s">
        <v>1147</v>
      </c>
      <c r="D2163" s="130" t="s">
        <v>1461</v>
      </c>
      <c r="E2163" s="130" t="s">
        <v>1116</v>
      </c>
      <c r="F2163" s="130" t="s">
        <v>1117</v>
      </c>
      <c r="G2163" s="130" t="s">
        <v>1118</v>
      </c>
      <c r="H2163" s="130" t="s">
        <v>1149</v>
      </c>
      <c r="I2163" s="130" t="s">
        <v>1182</v>
      </c>
      <c r="J2163" s="130" t="s">
        <v>2221</v>
      </c>
      <c r="K2163" s="130" t="s">
        <v>2222</v>
      </c>
      <c r="L2163" s="130" t="s">
        <v>2309</v>
      </c>
      <c r="M2163" s="130" t="s">
        <v>1925</v>
      </c>
      <c r="N2163" s="130" t="s">
        <v>127</v>
      </c>
      <c r="O2163" s="130" t="s">
        <v>2233</v>
      </c>
      <c r="P2163" s="130" t="s">
        <v>2234</v>
      </c>
      <c r="Q2163" s="130" t="s">
        <v>1127</v>
      </c>
      <c r="R2163" s="130" t="s">
        <v>1175</v>
      </c>
      <c r="S2163" s="130" t="s">
        <v>1401</v>
      </c>
      <c r="T2163" s="130" t="s">
        <v>1188</v>
      </c>
      <c r="U2163" s="130">
        <v>0</v>
      </c>
      <c r="V2163" s="131">
        <v>321500</v>
      </c>
      <c r="W2163" s="131">
        <v>321500</v>
      </c>
      <c r="X2163" s="131">
        <v>0</v>
      </c>
      <c r="Y2163" s="131">
        <v>321500</v>
      </c>
      <c r="Z2163" s="131">
        <v>0</v>
      </c>
      <c r="AA2163" s="131">
        <v>321500</v>
      </c>
      <c r="AB2163" s="131">
        <v>0</v>
      </c>
      <c r="AC2163" s="131">
        <v>321500</v>
      </c>
      <c r="AD2163" s="131">
        <v>0</v>
      </c>
      <c r="AE2163" s="132">
        <v>321500</v>
      </c>
    </row>
    <row r="2164" spans="1:31" x14ac:dyDescent="0.2">
      <c r="A2164" s="133">
        <v>394</v>
      </c>
      <c r="B2164" s="133" t="s">
        <v>981</v>
      </c>
      <c r="C2164" s="133" t="s">
        <v>1147</v>
      </c>
      <c r="D2164" s="133" t="s">
        <v>1461</v>
      </c>
      <c r="E2164" s="133" t="s">
        <v>1116</v>
      </c>
      <c r="F2164" s="133" t="s">
        <v>1117</v>
      </c>
      <c r="G2164" s="133" t="s">
        <v>1118</v>
      </c>
      <c r="H2164" s="130" t="s">
        <v>1133</v>
      </c>
      <c r="I2164" s="130" t="s">
        <v>1134</v>
      </c>
      <c r="J2164" s="130" t="s">
        <v>1135</v>
      </c>
      <c r="K2164" s="130" t="s">
        <v>1144</v>
      </c>
      <c r="L2164" s="130" t="s">
        <v>2309</v>
      </c>
      <c r="M2164" s="130" t="s">
        <v>1925</v>
      </c>
      <c r="N2164" s="130" t="s">
        <v>127</v>
      </c>
      <c r="O2164" s="130" t="s">
        <v>2233</v>
      </c>
      <c r="P2164" s="130" t="s">
        <v>2234</v>
      </c>
      <c r="Q2164" s="130" t="s">
        <v>1127</v>
      </c>
      <c r="R2164" s="130" t="s">
        <v>1175</v>
      </c>
      <c r="S2164" s="130" t="s">
        <v>1401</v>
      </c>
      <c r="T2164" s="130" t="s">
        <v>1188</v>
      </c>
      <c r="U2164" s="130">
        <v>0</v>
      </c>
      <c r="V2164" s="131">
        <v>28292</v>
      </c>
      <c r="W2164" s="131">
        <v>28292</v>
      </c>
      <c r="X2164" s="131">
        <v>0</v>
      </c>
      <c r="Y2164" s="131">
        <v>28292</v>
      </c>
      <c r="Z2164" s="131">
        <v>0</v>
      </c>
      <c r="AA2164" s="131">
        <v>28292</v>
      </c>
      <c r="AB2164" s="131">
        <v>0</v>
      </c>
      <c r="AC2164" s="131">
        <v>28292</v>
      </c>
      <c r="AD2164" s="131">
        <v>0</v>
      </c>
      <c r="AE2164" s="132">
        <v>28292</v>
      </c>
    </row>
    <row r="2165" spans="1:31" x14ac:dyDescent="0.2">
      <c r="A2165" s="130">
        <v>395</v>
      </c>
      <c r="B2165" s="130" t="s">
        <v>982</v>
      </c>
      <c r="C2165" s="130" t="s">
        <v>1147</v>
      </c>
      <c r="D2165" s="130" t="s">
        <v>1461</v>
      </c>
      <c r="E2165" s="130" t="s">
        <v>1116</v>
      </c>
      <c r="F2165" s="130" t="s">
        <v>1117</v>
      </c>
      <c r="G2165" s="130" t="s">
        <v>1118</v>
      </c>
      <c r="H2165" s="130" t="s">
        <v>1149</v>
      </c>
      <c r="I2165" s="130" t="s">
        <v>1182</v>
      </c>
      <c r="J2165" s="130" t="s">
        <v>2221</v>
      </c>
      <c r="K2165" s="130" t="s">
        <v>2222</v>
      </c>
      <c r="L2165" s="130" t="s">
        <v>2310</v>
      </c>
      <c r="M2165" s="130" t="s">
        <v>1925</v>
      </c>
      <c r="N2165" s="130" t="s">
        <v>127</v>
      </c>
      <c r="O2165" s="130" t="s">
        <v>1933</v>
      </c>
      <c r="P2165" s="130" t="s">
        <v>1934</v>
      </c>
      <c r="Q2165" s="130" t="s">
        <v>1127</v>
      </c>
      <c r="R2165" s="130" t="s">
        <v>1380</v>
      </c>
      <c r="S2165" s="130" t="s">
        <v>1381</v>
      </c>
      <c r="T2165" s="130" t="s">
        <v>1188</v>
      </c>
      <c r="U2165" s="130">
        <v>0</v>
      </c>
      <c r="V2165" s="131">
        <v>141620</v>
      </c>
      <c r="W2165" s="131">
        <v>141620</v>
      </c>
      <c r="X2165" s="131">
        <v>120970</v>
      </c>
      <c r="Y2165" s="131">
        <v>20650</v>
      </c>
      <c r="Z2165" s="131">
        <v>120970</v>
      </c>
      <c r="AA2165" s="131">
        <v>20650</v>
      </c>
      <c r="AB2165" s="131">
        <v>120970</v>
      </c>
      <c r="AC2165" s="131">
        <v>20650</v>
      </c>
      <c r="AD2165" s="131">
        <v>86900</v>
      </c>
      <c r="AE2165" s="132">
        <v>54720</v>
      </c>
    </row>
    <row r="2166" spans="1:31" x14ac:dyDescent="0.2">
      <c r="A2166" s="133">
        <v>395</v>
      </c>
      <c r="B2166" s="133" t="s">
        <v>982</v>
      </c>
      <c r="C2166" s="133" t="s">
        <v>1147</v>
      </c>
      <c r="D2166" s="133" t="s">
        <v>1461</v>
      </c>
      <c r="E2166" s="133" t="s">
        <v>1116</v>
      </c>
      <c r="F2166" s="133" t="s">
        <v>1117</v>
      </c>
      <c r="G2166" s="133" t="s">
        <v>1118</v>
      </c>
      <c r="H2166" s="130" t="s">
        <v>1133</v>
      </c>
      <c r="I2166" s="130" t="s">
        <v>1134</v>
      </c>
      <c r="J2166" s="130" t="s">
        <v>1135</v>
      </c>
      <c r="K2166" s="130" t="s">
        <v>1144</v>
      </c>
      <c r="L2166" s="130" t="s">
        <v>2310</v>
      </c>
      <c r="M2166" s="130" t="s">
        <v>1925</v>
      </c>
      <c r="N2166" s="130" t="s">
        <v>127</v>
      </c>
      <c r="O2166" s="130" t="s">
        <v>1933</v>
      </c>
      <c r="P2166" s="130" t="s">
        <v>1934</v>
      </c>
      <c r="Q2166" s="130" t="s">
        <v>1127</v>
      </c>
      <c r="R2166" s="130" t="s">
        <v>1380</v>
      </c>
      <c r="S2166" s="130" t="s">
        <v>1381</v>
      </c>
      <c r="T2166" s="130" t="s">
        <v>1188</v>
      </c>
      <c r="U2166" s="130">
        <v>0</v>
      </c>
      <c r="V2166" s="131">
        <v>13658</v>
      </c>
      <c r="W2166" s="131">
        <v>13658</v>
      </c>
      <c r="X2166" s="131">
        <v>0</v>
      </c>
      <c r="Y2166" s="131">
        <v>13658</v>
      </c>
      <c r="Z2166" s="131">
        <v>0</v>
      </c>
      <c r="AA2166" s="131">
        <v>13658</v>
      </c>
      <c r="AB2166" s="131">
        <v>0</v>
      </c>
      <c r="AC2166" s="131">
        <v>13658</v>
      </c>
      <c r="AD2166" s="131">
        <v>0</v>
      </c>
      <c r="AE2166" s="132">
        <v>13658</v>
      </c>
    </row>
    <row r="2167" spans="1:31" x14ac:dyDescent="0.2">
      <c r="A2167" s="130">
        <v>396</v>
      </c>
      <c r="B2167" s="130" t="s">
        <v>983</v>
      </c>
      <c r="C2167" s="130" t="s">
        <v>1147</v>
      </c>
      <c r="D2167" s="130" t="s">
        <v>1461</v>
      </c>
      <c r="E2167" s="130" t="s">
        <v>1116</v>
      </c>
      <c r="F2167" s="130" t="s">
        <v>1117</v>
      </c>
      <c r="G2167" s="130" t="s">
        <v>1118</v>
      </c>
      <c r="H2167" s="130" t="s">
        <v>1149</v>
      </c>
      <c r="I2167" s="130" t="s">
        <v>1182</v>
      </c>
      <c r="J2167" s="130" t="s">
        <v>2221</v>
      </c>
      <c r="K2167" s="130" t="s">
        <v>2222</v>
      </c>
      <c r="L2167" s="130" t="s">
        <v>2311</v>
      </c>
      <c r="M2167" s="130" t="s">
        <v>1925</v>
      </c>
      <c r="N2167" s="130" t="s">
        <v>127</v>
      </c>
      <c r="O2167" s="130" t="s">
        <v>2233</v>
      </c>
      <c r="P2167" s="130" t="s">
        <v>2234</v>
      </c>
      <c r="Q2167" s="130" t="s">
        <v>1127</v>
      </c>
      <c r="R2167" s="130" t="s">
        <v>1413</v>
      </c>
      <c r="S2167" s="130" t="s">
        <v>1974</v>
      </c>
      <c r="T2167" s="130" t="s">
        <v>1188</v>
      </c>
      <c r="U2167" s="130">
        <v>0</v>
      </c>
      <c r="V2167" s="131">
        <v>145000</v>
      </c>
      <c r="W2167" s="131">
        <v>145000</v>
      </c>
      <c r="X2167" s="131">
        <v>0</v>
      </c>
      <c r="Y2167" s="131">
        <v>145000</v>
      </c>
      <c r="Z2167" s="131">
        <v>0</v>
      </c>
      <c r="AA2167" s="131">
        <v>145000</v>
      </c>
      <c r="AB2167" s="131">
        <v>0</v>
      </c>
      <c r="AC2167" s="131">
        <v>145000</v>
      </c>
      <c r="AD2167" s="131">
        <v>0</v>
      </c>
      <c r="AE2167" s="132">
        <v>145000</v>
      </c>
    </row>
    <row r="2168" spans="1:31" x14ac:dyDescent="0.2">
      <c r="A2168" s="133">
        <v>396</v>
      </c>
      <c r="B2168" s="133" t="s">
        <v>983</v>
      </c>
      <c r="C2168" s="133" t="s">
        <v>1147</v>
      </c>
      <c r="D2168" s="133" t="s">
        <v>1461</v>
      </c>
      <c r="E2168" s="133" t="s">
        <v>1116</v>
      </c>
      <c r="F2168" s="133" t="s">
        <v>1117</v>
      </c>
      <c r="G2168" s="133" t="s">
        <v>1118</v>
      </c>
      <c r="H2168" s="130" t="s">
        <v>1133</v>
      </c>
      <c r="I2168" s="130" t="s">
        <v>1134</v>
      </c>
      <c r="J2168" s="130" t="s">
        <v>1135</v>
      </c>
      <c r="K2168" s="130" t="s">
        <v>1144</v>
      </c>
      <c r="L2168" s="130" t="s">
        <v>2311</v>
      </c>
      <c r="M2168" s="130" t="s">
        <v>1925</v>
      </c>
      <c r="N2168" s="130" t="s">
        <v>127</v>
      </c>
      <c r="O2168" s="130" t="s">
        <v>2233</v>
      </c>
      <c r="P2168" s="130" t="s">
        <v>2234</v>
      </c>
      <c r="Q2168" s="130" t="s">
        <v>1127</v>
      </c>
      <c r="R2168" s="130" t="s">
        <v>1413</v>
      </c>
      <c r="S2168" s="130" t="s">
        <v>1974</v>
      </c>
      <c r="T2168" s="130" t="s">
        <v>1188</v>
      </c>
      <c r="U2168" s="130">
        <v>0</v>
      </c>
      <c r="V2168" s="131">
        <v>14890</v>
      </c>
      <c r="W2168" s="131">
        <v>14890</v>
      </c>
      <c r="X2168" s="131">
        <v>5349</v>
      </c>
      <c r="Y2168" s="131">
        <v>9541</v>
      </c>
      <c r="Z2168" s="131">
        <v>5349</v>
      </c>
      <c r="AA2168" s="131">
        <v>9541</v>
      </c>
      <c r="AB2168" s="131">
        <v>5349</v>
      </c>
      <c r="AC2168" s="131">
        <v>9541</v>
      </c>
      <c r="AD2168" s="131">
        <v>0</v>
      </c>
      <c r="AE2168" s="132">
        <v>14890</v>
      </c>
    </row>
    <row r="2169" spans="1:31" x14ac:dyDescent="0.2">
      <c r="A2169" s="130">
        <v>397</v>
      </c>
      <c r="B2169" s="130" t="s">
        <v>984</v>
      </c>
      <c r="C2169" s="130" t="s">
        <v>1147</v>
      </c>
      <c r="D2169" s="130" t="s">
        <v>1461</v>
      </c>
      <c r="E2169" s="130" t="s">
        <v>1116</v>
      </c>
      <c r="F2169" s="130" t="s">
        <v>1117</v>
      </c>
      <c r="G2169" s="130" t="s">
        <v>1118</v>
      </c>
      <c r="H2169" s="130" t="s">
        <v>1149</v>
      </c>
      <c r="I2169" s="130" t="s">
        <v>1182</v>
      </c>
      <c r="J2169" s="130" t="s">
        <v>2221</v>
      </c>
      <c r="K2169" s="130" t="s">
        <v>2222</v>
      </c>
      <c r="L2169" s="130" t="s">
        <v>2312</v>
      </c>
      <c r="M2169" s="130" t="s">
        <v>1925</v>
      </c>
      <c r="N2169" s="130" t="s">
        <v>127</v>
      </c>
      <c r="O2169" s="130" t="s">
        <v>2233</v>
      </c>
      <c r="P2169" s="130" t="s">
        <v>2234</v>
      </c>
      <c r="Q2169" s="130" t="s">
        <v>1127</v>
      </c>
      <c r="R2169" s="130" t="s">
        <v>1140</v>
      </c>
      <c r="S2169" s="130" t="s">
        <v>1141</v>
      </c>
      <c r="T2169" s="130" t="s">
        <v>1188</v>
      </c>
      <c r="U2169" s="130">
        <v>0</v>
      </c>
      <c r="V2169" s="131">
        <v>143000</v>
      </c>
      <c r="W2169" s="131">
        <v>143000</v>
      </c>
      <c r="X2169" s="131">
        <v>142960</v>
      </c>
      <c r="Y2169" s="131">
        <v>40</v>
      </c>
      <c r="Z2169" s="131">
        <v>34960</v>
      </c>
      <c r="AA2169" s="131">
        <v>108040</v>
      </c>
      <c r="AB2169" s="131">
        <v>34960</v>
      </c>
      <c r="AC2169" s="131">
        <v>108040</v>
      </c>
      <c r="AD2169" s="131">
        <v>20000</v>
      </c>
      <c r="AE2169" s="132">
        <v>123000</v>
      </c>
    </row>
    <row r="2170" spans="1:31" x14ac:dyDescent="0.2">
      <c r="A2170" s="133">
        <v>397</v>
      </c>
      <c r="B2170" s="133" t="s">
        <v>984</v>
      </c>
      <c r="C2170" s="133" t="s">
        <v>1147</v>
      </c>
      <c r="D2170" s="133" t="s">
        <v>1461</v>
      </c>
      <c r="E2170" s="133" t="s">
        <v>1116</v>
      </c>
      <c r="F2170" s="133" t="s">
        <v>1117</v>
      </c>
      <c r="G2170" s="133" t="s">
        <v>1118</v>
      </c>
      <c r="H2170" s="130" t="s">
        <v>1133</v>
      </c>
      <c r="I2170" s="130" t="s">
        <v>1134</v>
      </c>
      <c r="J2170" s="130" t="s">
        <v>1135</v>
      </c>
      <c r="K2170" s="130" t="s">
        <v>1144</v>
      </c>
      <c r="L2170" s="130" t="s">
        <v>2312</v>
      </c>
      <c r="M2170" s="130" t="s">
        <v>1925</v>
      </c>
      <c r="N2170" s="130" t="s">
        <v>127</v>
      </c>
      <c r="O2170" s="130" t="s">
        <v>2233</v>
      </c>
      <c r="P2170" s="130" t="s">
        <v>2234</v>
      </c>
      <c r="Q2170" s="130" t="s">
        <v>1127</v>
      </c>
      <c r="R2170" s="130" t="s">
        <v>1140</v>
      </c>
      <c r="S2170" s="130" t="s">
        <v>1141</v>
      </c>
      <c r="T2170" s="130" t="s">
        <v>1188</v>
      </c>
      <c r="U2170" s="130">
        <v>0</v>
      </c>
      <c r="V2170" s="131">
        <v>17000</v>
      </c>
      <c r="W2170" s="131">
        <v>17000</v>
      </c>
      <c r="X2170" s="131">
        <v>6000</v>
      </c>
      <c r="Y2170" s="131">
        <v>11000</v>
      </c>
      <c r="Z2170" s="131">
        <v>6000</v>
      </c>
      <c r="AA2170" s="131">
        <v>11000</v>
      </c>
      <c r="AB2170" s="131">
        <v>6000</v>
      </c>
      <c r="AC2170" s="131">
        <v>11000</v>
      </c>
      <c r="AD2170" s="131">
        <v>0</v>
      </c>
      <c r="AE2170" s="132">
        <v>17000</v>
      </c>
    </row>
    <row r="2171" spans="1:31" x14ac:dyDescent="0.2">
      <c r="A2171" s="130">
        <v>398</v>
      </c>
      <c r="B2171" s="130" t="s">
        <v>985</v>
      </c>
      <c r="C2171" s="130" t="s">
        <v>1147</v>
      </c>
      <c r="D2171" s="130" t="s">
        <v>1461</v>
      </c>
      <c r="E2171" s="130" t="s">
        <v>1116</v>
      </c>
      <c r="F2171" s="130" t="s">
        <v>1117</v>
      </c>
      <c r="G2171" s="130" t="s">
        <v>1118</v>
      </c>
      <c r="H2171" s="130" t="s">
        <v>1149</v>
      </c>
      <c r="I2171" s="130" t="s">
        <v>1182</v>
      </c>
      <c r="J2171" s="130" t="s">
        <v>2221</v>
      </c>
      <c r="K2171" s="130" t="s">
        <v>2222</v>
      </c>
      <c r="L2171" s="130" t="s">
        <v>2313</v>
      </c>
      <c r="M2171" s="130" t="s">
        <v>1925</v>
      </c>
      <c r="N2171" s="130" t="s">
        <v>127</v>
      </c>
      <c r="O2171" s="130" t="s">
        <v>1933</v>
      </c>
      <c r="P2171" s="130" t="s">
        <v>1934</v>
      </c>
      <c r="Q2171" s="130" t="s">
        <v>1127</v>
      </c>
      <c r="R2171" s="130" t="s">
        <v>1191</v>
      </c>
      <c r="S2171" s="130" t="s">
        <v>2314</v>
      </c>
      <c r="T2171" s="130" t="s">
        <v>1188</v>
      </c>
      <c r="U2171" s="130">
        <v>0</v>
      </c>
      <c r="V2171" s="131">
        <v>146300</v>
      </c>
      <c r="W2171" s="131">
        <v>146300</v>
      </c>
      <c r="X2171" s="131">
        <v>146300</v>
      </c>
      <c r="Y2171" s="131">
        <v>0</v>
      </c>
      <c r="Z2171" s="131">
        <v>0</v>
      </c>
      <c r="AA2171" s="131">
        <v>146300</v>
      </c>
      <c r="AB2171" s="131">
        <v>0</v>
      </c>
      <c r="AC2171" s="131">
        <v>146300</v>
      </c>
      <c r="AD2171" s="131">
        <v>0</v>
      </c>
      <c r="AE2171" s="132">
        <v>146300</v>
      </c>
    </row>
    <row r="2172" spans="1:31" x14ac:dyDescent="0.2">
      <c r="A2172" s="133">
        <v>398</v>
      </c>
      <c r="B2172" s="133" t="s">
        <v>985</v>
      </c>
      <c r="C2172" s="133" t="s">
        <v>1147</v>
      </c>
      <c r="D2172" s="133" t="s">
        <v>1461</v>
      </c>
      <c r="E2172" s="133" t="s">
        <v>1116</v>
      </c>
      <c r="F2172" s="133" t="s">
        <v>1117</v>
      </c>
      <c r="G2172" s="133" t="s">
        <v>1118</v>
      </c>
      <c r="H2172" s="130" t="s">
        <v>1133</v>
      </c>
      <c r="I2172" s="130" t="s">
        <v>1134</v>
      </c>
      <c r="J2172" s="130" t="s">
        <v>1135</v>
      </c>
      <c r="K2172" s="130" t="s">
        <v>1144</v>
      </c>
      <c r="L2172" s="130" t="s">
        <v>2313</v>
      </c>
      <c r="M2172" s="130" t="s">
        <v>1925</v>
      </c>
      <c r="N2172" s="130" t="s">
        <v>127</v>
      </c>
      <c r="O2172" s="130" t="s">
        <v>1933</v>
      </c>
      <c r="P2172" s="130" t="s">
        <v>1934</v>
      </c>
      <c r="Q2172" s="130" t="s">
        <v>1127</v>
      </c>
      <c r="R2172" s="130" t="s">
        <v>1191</v>
      </c>
      <c r="S2172" s="130" t="s">
        <v>2314</v>
      </c>
      <c r="T2172" s="130" t="s">
        <v>1188</v>
      </c>
      <c r="U2172" s="130">
        <v>0</v>
      </c>
      <c r="V2172" s="131">
        <v>13021</v>
      </c>
      <c r="W2172" s="131">
        <v>13021</v>
      </c>
      <c r="X2172" s="131">
        <v>6510</v>
      </c>
      <c r="Y2172" s="131">
        <v>6511</v>
      </c>
      <c r="Z2172" s="131">
        <v>6510</v>
      </c>
      <c r="AA2172" s="131">
        <v>6511</v>
      </c>
      <c r="AB2172" s="131">
        <v>6510</v>
      </c>
      <c r="AC2172" s="131">
        <v>6511</v>
      </c>
      <c r="AD2172" s="131">
        <v>0</v>
      </c>
      <c r="AE2172" s="132">
        <v>13021</v>
      </c>
    </row>
    <row r="2173" spans="1:31" x14ac:dyDescent="0.2">
      <c r="A2173" s="130">
        <v>399</v>
      </c>
      <c r="B2173" s="130" t="s">
        <v>986</v>
      </c>
      <c r="C2173" s="130" t="s">
        <v>1147</v>
      </c>
      <c r="D2173" s="130" t="s">
        <v>1461</v>
      </c>
      <c r="E2173" s="130" t="s">
        <v>1116</v>
      </c>
      <c r="F2173" s="130" t="s">
        <v>1117</v>
      </c>
      <c r="G2173" s="130" t="s">
        <v>1118</v>
      </c>
      <c r="H2173" s="130" t="s">
        <v>1149</v>
      </c>
      <c r="I2173" s="130" t="s">
        <v>1182</v>
      </c>
      <c r="J2173" s="130" t="s">
        <v>2221</v>
      </c>
      <c r="K2173" s="130" t="s">
        <v>2222</v>
      </c>
      <c r="L2173" s="130" t="s">
        <v>2315</v>
      </c>
      <c r="M2173" s="130" t="s">
        <v>1925</v>
      </c>
      <c r="N2173" s="130" t="s">
        <v>120</v>
      </c>
      <c r="O2173" s="130" t="s">
        <v>2045</v>
      </c>
      <c r="P2173" s="130" t="s">
        <v>2046</v>
      </c>
      <c r="Q2173" s="130" t="s">
        <v>1127</v>
      </c>
      <c r="R2173" s="130" t="s">
        <v>1191</v>
      </c>
      <c r="S2173" s="130" t="s">
        <v>2316</v>
      </c>
      <c r="T2173" s="130" t="s">
        <v>1188</v>
      </c>
      <c r="U2173" s="130">
        <v>0</v>
      </c>
      <c r="V2173" s="131">
        <v>143600</v>
      </c>
      <c r="W2173" s="131">
        <v>143600</v>
      </c>
      <c r="X2173" s="131">
        <v>0</v>
      </c>
      <c r="Y2173" s="131">
        <v>143600</v>
      </c>
      <c r="Z2173" s="131">
        <v>0</v>
      </c>
      <c r="AA2173" s="131">
        <v>143600</v>
      </c>
      <c r="AB2173" s="131">
        <v>0</v>
      </c>
      <c r="AC2173" s="131">
        <v>143600</v>
      </c>
      <c r="AD2173" s="131">
        <v>0</v>
      </c>
      <c r="AE2173" s="132">
        <v>143600</v>
      </c>
    </row>
    <row r="2174" spans="1:31" x14ac:dyDescent="0.2">
      <c r="A2174" s="133">
        <v>399</v>
      </c>
      <c r="B2174" s="133" t="s">
        <v>986</v>
      </c>
      <c r="C2174" s="133" t="s">
        <v>1147</v>
      </c>
      <c r="D2174" s="133" t="s">
        <v>1461</v>
      </c>
      <c r="E2174" s="133" t="s">
        <v>1116</v>
      </c>
      <c r="F2174" s="133" t="s">
        <v>1117</v>
      </c>
      <c r="G2174" s="133" t="s">
        <v>1118</v>
      </c>
      <c r="H2174" s="130" t="s">
        <v>1133</v>
      </c>
      <c r="I2174" s="130" t="s">
        <v>1134</v>
      </c>
      <c r="J2174" s="130" t="s">
        <v>1135</v>
      </c>
      <c r="K2174" s="130" t="s">
        <v>1144</v>
      </c>
      <c r="L2174" s="130" t="s">
        <v>2315</v>
      </c>
      <c r="M2174" s="130" t="s">
        <v>1925</v>
      </c>
      <c r="N2174" s="130" t="s">
        <v>120</v>
      </c>
      <c r="O2174" s="130" t="s">
        <v>2045</v>
      </c>
      <c r="P2174" s="130" t="s">
        <v>2046</v>
      </c>
      <c r="Q2174" s="130" t="s">
        <v>1127</v>
      </c>
      <c r="R2174" s="130" t="s">
        <v>1191</v>
      </c>
      <c r="S2174" s="130" t="s">
        <v>2316</v>
      </c>
      <c r="T2174" s="130" t="s">
        <v>1188</v>
      </c>
      <c r="U2174" s="130">
        <v>0</v>
      </c>
      <c r="V2174" s="131">
        <v>16400</v>
      </c>
      <c r="W2174" s="131">
        <v>16400</v>
      </c>
      <c r="X2174" s="131">
        <v>0</v>
      </c>
      <c r="Y2174" s="131">
        <v>16400</v>
      </c>
      <c r="Z2174" s="131">
        <v>0</v>
      </c>
      <c r="AA2174" s="131">
        <v>16400</v>
      </c>
      <c r="AB2174" s="131">
        <v>0</v>
      </c>
      <c r="AC2174" s="131">
        <v>16400</v>
      </c>
      <c r="AD2174" s="131">
        <v>0</v>
      </c>
      <c r="AE2174" s="132">
        <v>16400</v>
      </c>
    </row>
    <row r="2175" spans="1:31" x14ac:dyDescent="0.2">
      <c r="A2175" s="130">
        <v>400</v>
      </c>
      <c r="B2175" s="130" t="s">
        <v>987</v>
      </c>
      <c r="C2175" s="130" t="s">
        <v>1147</v>
      </c>
      <c r="D2175" s="130" t="s">
        <v>1461</v>
      </c>
      <c r="E2175" s="130" t="s">
        <v>1116</v>
      </c>
      <c r="F2175" s="130" t="s">
        <v>1117</v>
      </c>
      <c r="G2175" s="130" t="s">
        <v>1118</v>
      </c>
      <c r="H2175" s="130" t="s">
        <v>1149</v>
      </c>
      <c r="I2175" s="130" t="s">
        <v>1182</v>
      </c>
      <c r="J2175" s="130" t="s">
        <v>2221</v>
      </c>
      <c r="K2175" s="130" t="s">
        <v>2222</v>
      </c>
      <c r="L2175" s="130" t="s">
        <v>2317</v>
      </c>
      <c r="M2175" s="130" t="s">
        <v>1925</v>
      </c>
      <c r="N2175" s="130" t="s">
        <v>127</v>
      </c>
      <c r="O2175" s="130" t="s">
        <v>1933</v>
      </c>
      <c r="P2175" s="130" t="s">
        <v>1934</v>
      </c>
      <c r="Q2175" s="130" t="s">
        <v>1127</v>
      </c>
      <c r="R2175" s="130" t="s">
        <v>1175</v>
      </c>
      <c r="S2175" s="130" t="s">
        <v>2318</v>
      </c>
      <c r="T2175" s="130" t="s">
        <v>1188</v>
      </c>
      <c r="U2175" s="130">
        <v>0</v>
      </c>
      <c r="V2175" s="131">
        <v>133900</v>
      </c>
      <c r="W2175" s="131">
        <v>133900</v>
      </c>
      <c r="X2175" s="131">
        <v>95950</v>
      </c>
      <c r="Y2175" s="131">
        <v>37950</v>
      </c>
      <c r="Z2175" s="131">
        <v>95950</v>
      </c>
      <c r="AA2175" s="131">
        <v>37950</v>
      </c>
      <c r="AB2175" s="131">
        <v>95950</v>
      </c>
      <c r="AC2175" s="131">
        <v>37950</v>
      </c>
      <c r="AD2175" s="131">
        <v>64750</v>
      </c>
      <c r="AE2175" s="132">
        <v>69150</v>
      </c>
    </row>
    <row r="2176" spans="1:31" x14ac:dyDescent="0.2">
      <c r="A2176" s="133">
        <v>400</v>
      </c>
      <c r="B2176" s="133" t="s">
        <v>987</v>
      </c>
      <c r="C2176" s="133" t="s">
        <v>1147</v>
      </c>
      <c r="D2176" s="133" t="s">
        <v>1461</v>
      </c>
      <c r="E2176" s="133" t="s">
        <v>1116</v>
      </c>
      <c r="F2176" s="133" t="s">
        <v>1117</v>
      </c>
      <c r="G2176" s="133" t="s">
        <v>1118</v>
      </c>
      <c r="H2176" s="130" t="s">
        <v>1133</v>
      </c>
      <c r="I2176" s="130" t="s">
        <v>1134</v>
      </c>
      <c r="J2176" s="130" t="s">
        <v>1135</v>
      </c>
      <c r="K2176" s="130" t="s">
        <v>1144</v>
      </c>
      <c r="L2176" s="130" t="s">
        <v>2317</v>
      </c>
      <c r="M2176" s="130" t="s">
        <v>1925</v>
      </c>
      <c r="N2176" s="130" t="s">
        <v>127</v>
      </c>
      <c r="O2176" s="130" t="s">
        <v>1933</v>
      </c>
      <c r="P2176" s="130" t="s">
        <v>1934</v>
      </c>
      <c r="Q2176" s="130" t="s">
        <v>1127</v>
      </c>
      <c r="R2176" s="130" t="s">
        <v>1175</v>
      </c>
      <c r="S2176" s="130" t="s">
        <v>2318</v>
      </c>
      <c r="T2176" s="130" t="s">
        <v>1188</v>
      </c>
      <c r="U2176" s="130">
        <v>0</v>
      </c>
      <c r="V2176" s="131">
        <v>12632</v>
      </c>
      <c r="W2176" s="131">
        <v>12632</v>
      </c>
      <c r="X2176" s="131">
        <v>7895</v>
      </c>
      <c r="Y2176" s="131">
        <v>4737</v>
      </c>
      <c r="Z2176" s="131">
        <v>7895</v>
      </c>
      <c r="AA2176" s="131">
        <v>4737</v>
      </c>
      <c r="AB2176" s="131">
        <v>7895</v>
      </c>
      <c r="AC2176" s="131">
        <v>4737</v>
      </c>
      <c r="AD2176" s="131">
        <v>0</v>
      </c>
      <c r="AE2176" s="132">
        <v>12632</v>
      </c>
    </row>
    <row r="2177" spans="1:31" x14ac:dyDescent="0.2">
      <c r="A2177" s="130">
        <v>401</v>
      </c>
      <c r="B2177" s="130" t="s">
        <v>988</v>
      </c>
      <c r="C2177" s="130" t="s">
        <v>1147</v>
      </c>
      <c r="D2177" s="130" t="s">
        <v>1461</v>
      </c>
      <c r="E2177" s="130" t="s">
        <v>1116</v>
      </c>
      <c r="F2177" s="130" t="s">
        <v>1117</v>
      </c>
      <c r="G2177" s="130" t="s">
        <v>1118</v>
      </c>
      <c r="H2177" s="130" t="s">
        <v>1149</v>
      </c>
      <c r="I2177" s="130" t="s">
        <v>1182</v>
      </c>
      <c r="J2177" s="130" t="s">
        <v>2221</v>
      </c>
      <c r="K2177" s="130" t="s">
        <v>2222</v>
      </c>
      <c r="L2177" s="130" t="s">
        <v>2319</v>
      </c>
      <c r="M2177" s="130" t="s">
        <v>1925</v>
      </c>
      <c r="N2177" s="130" t="s">
        <v>127</v>
      </c>
      <c r="O2177" s="130" t="s">
        <v>1933</v>
      </c>
      <c r="P2177" s="130" t="s">
        <v>1934</v>
      </c>
      <c r="Q2177" s="130" t="s">
        <v>1127</v>
      </c>
      <c r="R2177" s="130" t="s">
        <v>1175</v>
      </c>
      <c r="S2177" s="130" t="s">
        <v>1401</v>
      </c>
      <c r="T2177" s="130" t="s">
        <v>1188</v>
      </c>
      <c r="U2177" s="130">
        <v>0</v>
      </c>
      <c r="V2177" s="131">
        <v>139383</v>
      </c>
      <c r="W2177" s="131">
        <v>139383</v>
      </c>
      <c r="X2177" s="131">
        <v>0</v>
      </c>
      <c r="Y2177" s="131">
        <v>139383</v>
      </c>
      <c r="Z2177" s="131">
        <v>0</v>
      </c>
      <c r="AA2177" s="131">
        <v>139383</v>
      </c>
      <c r="AB2177" s="131">
        <v>0</v>
      </c>
      <c r="AC2177" s="131">
        <v>139383</v>
      </c>
      <c r="AD2177" s="131">
        <v>0</v>
      </c>
      <c r="AE2177" s="132">
        <v>139383</v>
      </c>
    </row>
    <row r="2178" spans="1:31" x14ac:dyDescent="0.2">
      <c r="A2178" s="133">
        <v>401</v>
      </c>
      <c r="B2178" s="133" t="s">
        <v>988</v>
      </c>
      <c r="C2178" s="133" t="s">
        <v>1147</v>
      </c>
      <c r="D2178" s="133" t="s">
        <v>1461</v>
      </c>
      <c r="E2178" s="133" t="s">
        <v>1116</v>
      </c>
      <c r="F2178" s="133" t="s">
        <v>1117</v>
      </c>
      <c r="G2178" s="133" t="s">
        <v>1118</v>
      </c>
      <c r="H2178" s="130" t="s">
        <v>1133</v>
      </c>
      <c r="I2178" s="130" t="s">
        <v>1134</v>
      </c>
      <c r="J2178" s="130" t="s">
        <v>1135</v>
      </c>
      <c r="K2178" s="130" t="s">
        <v>1144</v>
      </c>
      <c r="L2178" s="130" t="s">
        <v>2319</v>
      </c>
      <c r="M2178" s="130" t="s">
        <v>1925</v>
      </c>
      <c r="N2178" s="130" t="s">
        <v>127</v>
      </c>
      <c r="O2178" s="130" t="s">
        <v>1933</v>
      </c>
      <c r="P2178" s="130" t="s">
        <v>1934</v>
      </c>
      <c r="Q2178" s="130" t="s">
        <v>1127</v>
      </c>
      <c r="R2178" s="130" t="s">
        <v>1175</v>
      </c>
      <c r="S2178" s="130" t="s">
        <v>1401</v>
      </c>
      <c r="T2178" s="130" t="s">
        <v>1188</v>
      </c>
      <c r="U2178" s="130">
        <v>0</v>
      </c>
      <c r="V2178" s="131">
        <v>16273</v>
      </c>
      <c r="W2178" s="131">
        <v>16273</v>
      </c>
      <c r="X2178" s="131">
        <v>0</v>
      </c>
      <c r="Y2178" s="131">
        <v>16273</v>
      </c>
      <c r="Z2178" s="131">
        <v>0</v>
      </c>
      <c r="AA2178" s="131">
        <v>16273</v>
      </c>
      <c r="AB2178" s="131">
        <v>0</v>
      </c>
      <c r="AC2178" s="131">
        <v>16273</v>
      </c>
      <c r="AD2178" s="131">
        <v>0</v>
      </c>
      <c r="AE2178" s="132">
        <v>16273</v>
      </c>
    </row>
    <row r="2179" spans="1:31" x14ac:dyDescent="0.2">
      <c r="A2179" s="130">
        <v>402</v>
      </c>
      <c r="B2179" s="130" t="s">
        <v>989</v>
      </c>
      <c r="C2179" s="130" t="s">
        <v>1147</v>
      </c>
      <c r="D2179" s="130" t="s">
        <v>1461</v>
      </c>
      <c r="E2179" s="130" t="s">
        <v>1116</v>
      </c>
      <c r="F2179" s="130" t="s">
        <v>1117</v>
      </c>
      <c r="G2179" s="130" t="s">
        <v>1118</v>
      </c>
      <c r="H2179" s="130" t="s">
        <v>1149</v>
      </c>
      <c r="I2179" s="130" t="s">
        <v>1182</v>
      </c>
      <c r="J2179" s="130" t="s">
        <v>2221</v>
      </c>
      <c r="K2179" s="130" t="s">
        <v>2222</v>
      </c>
      <c r="L2179" s="130" t="s">
        <v>2320</v>
      </c>
      <c r="M2179" s="130" t="s">
        <v>1925</v>
      </c>
      <c r="N2179" s="130" t="s">
        <v>127</v>
      </c>
      <c r="O2179" s="130" t="s">
        <v>2233</v>
      </c>
      <c r="P2179" s="130" t="s">
        <v>2234</v>
      </c>
      <c r="Q2179" s="130" t="s">
        <v>1127</v>
      </c>
      <c r="R2179" s="130" t="s">
        <v>1499</v>
      </c>
      <c r="S2179" s="130" t="s">
        <v>1981</v>
      </c>
      <c r="T2179" s="130" t="s">
        <v>1188</v>
      </c>
      <c r="U2179" s="130">
        <v>0</v>
      </c>
      <c r="V2179" s="131">
        <v>144500</v>
      </c>
      <c r="W2179" s="131">
        <v>144500</v>
      </c>
      <c r="X2179" s="131">
        <v>144500</v>
      </c>
      <c r="Y2179" s="131">
        <v>0</v>
      </c>
      <c r="Z2179" s="131">
        <v>144500</v>
      </c>
      <c r="AA2179" s="131">
        <v>0</v>
      </c>
      <c r="AB2179" s="131">
        <v>0</v>
      </c>
      <c r="AC2179" s="131">
        <v>144500</v>
      </c>
      <c r="AD2179" s="131">
        <v>0</v>
      </c>
      <c r="AE2179" s="132">
        <v>144500</v>
      </c>
    </row>
    <row r="2180" spans="1:31" x14ac:dyDescent="0.2">
      <c r="A2180" s="133">
        <v>402</v>
      </c>
      <c r="B2180" s="133" t="s">
        <v>989</v>
      </c>
      <c r="C2180" s="133" t="s">
        <v>1147</v>
      </c>
      <c r="D2180" s="133" t="s">
        <v>1461</v>
      </c>
      <c r="E2180" s="133" t="s">
        <v>1116</v>
      </c>
      <c r="F2180" s="133" t="s">
        <v>1117</v>
      </c>
      <c r="G2180" s="133" t="s">
        <v>1118</v>
      </c>
      <c r="H2180" s="130" t="s">
        <v>1133</v>
      </c>
      <c r="I2180" s="130" t="s">
        <v>1134</v>
      </c>
      <c r="J2180" s="130" t="s">
        <v>1135</v>
      </c>
      <c r="K2180" s="130" t="s">
        <v>1144</v>
      </c>
      <c r="L2180" s="130" t="s">
        <v>2320</v>
      </c>
      <c r="M2180" s="130" t="s">
        <v>1925</v>
      </c>
      <c r="N2180" s="130" t="s">
        <v>127</v>
      </c>
      <c r="O2180" s="130" t="s">
        <v>2233</v>
      </c>
      <c r="P2180" s="130" t="s">
        <v>2234</v>
      </c>
      <c r="Q2180" s="130" t="s">
        <v>1127</v>
      </c>
      <c r="R2180" s="130" t="s">
        <v>1499</v>
      </c>
      <c r="S2180" s="130" t="s">
        <v>1981</v>
      </c>
      <c r="T2180" s="130" t="s">
        <v>1188</v>
      </c>
      <c r="U2180" s="130">
        <v>0</v>
      </c>
      <c r="V2180" s="131">
        <v>14560</v>
      </c>
      <c r="W2180" s="131">
        <v>14560</v>
      </c>
      <c r="X2180" s="131">
        <v>0</v>
      </c>
      <c r="Y2180" s="131">
        <v>14560</v>
      </c>
      <c r="Z2180" s="131">
        <v>0</v>
      </c>
      <c r="AA2180" s="131">
        <v>14560</v>
      </c>
      <c r="AB2180" s="131">
        <v>0</v>
      </c>
      <c r="AC2180" s="131">
        <v>14560</v>
      </c>
      <c r="AD2180" s="131">
        <v>0</v>
      </c>
      <c r="AE2180" s="132">
        <v>14560</v>
      </c>
    </row>
    <row r="2181" spans="1:31" x14ac:dyDescent="0.2">
      <c r="A2181" s="130">
        <v>403</v>
      </c>
      <c r="B2181" s="130" t="s">
        <v>990</v>
      </c>
      <c r="C2181" s="130" t="s">
        <v>1147</v>
      </c>
      <c r="D2181" s="130" t="s">
        <v>1461</v>
      </c>
      <c r="E2181" s="130" t="s">
        <v>1116</v>
      </c>
      <c r="F2181" s="130" t="s">
        <v>1117</v>
      </c>
      <c r="G2181" s="130" t="s">
        <v>1118</v>
      </c>
      <c r="H2181" s="130" t="s">
        <v>1149</v>
      </c>
      <c r="I2181" s="130" t="s">
        <v>1182</v>
      </c>
      <c r="J2181" s="130" t="s">
        <v>2221</v>
      </c>
      <c r="K2181" s="130" t="s">
        <v>2222</v>
      </c>
      <c r="L2181" s="130" t="s">
        <v>2321</v>
      </c>
      <c r="M2181" s="130" t="s">
        <v>1925</v>
      </c>
      <c r="N2181" s="130" t="s">
        <v>127</v>
      </c>
      <c r="O2181" s="130" t="s">
        <v>1933</v>
      </c>
      <c r="P2181" s="130" t="s">
        <v>1934</v>
      </c>
      <c r="Q2181" s="130" t="s">
        <v>1127</v>
      </c>
      <c r="R2181" s="130" t="s">
        <v>1380</v>
      </c>
      <c r="S2181" s="130" t="s">
        <v>2322</v>
      </c>
      <c r="T2181" s="130" t="s">
        <v>1188</v>
      </c>
      <c r="U2181" s="130">
        <v>0</v>
      </c>
      <c r="V2181" s="131">
        <v>141150</v>
      </c>
      <c r="W2181" s="131">
        <v>141150</v>
      </c>
      <c r="X2181" s="131">
        <v>80000</v>
      </c>
      <c r="Y2181" s="131">
        <v>61150</v>
      </c>
      <c r="Z2181" s="131">
        <v>0</v>
      </c>
      <c r="AA2181" s="131">
        <v>141150</v>
      </c>
      <c r="AB2181" s="131">
        <v>0</v>
      </c>
      <c r="AC2181" s="131">
        <v>141150</v>
      </c>
      <c r="AD2181" s="131">
        <v>0</v>
      </c>
      <c r="AE2181" s="132">
        <v>141150</v>
      </c>
    </row>
    <row r="2182" spans="1:31" x14ac:dyDescent="0.2">
      <c r="A2182" s="133">
        <v>403</v>
      </c>
      <c r="B2182" s="133" t="s">
        <v>990</v>
      </c>
      <c r="C2182" s="133" t="s">
        <v>1147</v>
      </c>
      <c r="D2182" s="133" t="s">
        <v>1461</v>
      </c>
      <c r="E2182" s="133" t="s">
        <v>1116</v>
      </c>
      <c r="F2182" s="133" t="s">
        <v>1117</v>
      </c>
      <c r="G2182" s="133" t="s">
        <v>1118</v>
      </c>
      <c r="H2182" s="130" t="s">
        <v>1133</v>
      </c>
      <c r="I2182" s="130" t="s">
        <v>1134</v>
      </c>
      <c r="J2182" s="130" t="s">
        <v>1135</v>
      </c>
      <c r="K2182" s="130" t="s">
        <v>1144</v>
      </c>
      <c r="L2182" s="130" t="s">
        <v>2321</v>
      </c>
      <c r="M2182" s="130" t="s">
        <v>1925</v>
      </c>
      <c r="N2182" s="130" t="s">
        <v>127</v>
      </c>
      <c r="O2182" s="130" t="s">
        <v>1933</v>
      </c>
      <c r="P2182" s="130" t="s">
        <v>1934</v>
      </c>
      <c r="Q2182" s="130" t="s">
        <v>1127</v>
      </c>
      <c r="R2182" s="130" t="s">
        <v>1380</v>
      </c>
      <c r="S2182" s="130" t="s">
        <v>2322</v>
      </c>
      <c r="T2182" s="130" t="s">
        <v>1188</v>
      </c>
      <c r="U2182" s="130">
        <v>0</v>
      </c>
      <c r="V2182" s="131">
        <v>18712</v>
      </c>
      <c r="W2182" s="131">
        <v>18712</v>
      </c>
      <c r="X2182" s="131">
        <v>6882.5</v>
      </c>
      <c r="Y2182" s="131">
        <v>11829.5</v>
      </c>
      <c r="Z2182" s="131">
        <v>6882.5</v>
      </c>
      <c r="AA2182" s="131">
        <v>11829.5</v>
      </c>
      <c r="AB2182" s="131">
        <v>6882.5</v>
      </c>
      <c r="AC2182" s="131">
        <v>11829.5</v>
      </c>
      <c r="AD2182" s="131">
        <v>0</v>
      </c>
      <c r="AE2182" s="132">
        <v>18712</v>
      </c>
    </row>
    <row r="2183" spans="1:31" x14ac:dyDescent="0.2">
      <c r="A2183" s="130">
        <v>404</v>
      </c>
      <c r="B2183" s="130" t="s">
        <v>991</v>
      </c>
      <c r="C2183" s="130" t="s">
        <v>1147</v>
      </c>
      <c r="D2183" s="130" t="s">
        <v>1461</v>
      </c>
      <c r="E2183" s="130" t="s">
        <v>1116</v>
      </c>
      <c r="F2183" s="130" t="s">
        <v>1117</v>
      </c>
      <c r="G2183" s="130" t="s">
        <v>1118</v>
      </c>
      <c r="H2183" s="130" t="s">
        <v>1149</v>
      </c>
      <c r="I2183" s="130" t="s">
        <v>1182</v>
      </c>
      <c r="J2183" s="130" t="s">
        <v>2221</v>
      </c>
      <c r="K2183" s="130" t="s">
        <v>2222</v>
      </c>
      <c r="L2183" s="130" t="s">
        <v>2323</v>
      </c>
      <c r="M2183" s="130" t="s">
        <v>1925</v>
      </c>
      <c r="N2183" s="130" t="s">
        <v>127</v>
      </c>
      <c r="O2183" s="130" t="s">
        <v>1933</v>
      </c>
      <c r="P2183" s="130" t="s">
        <v>1934</v>
      </c>
      <c r="Q2183" s="130" t="s">
        <v>1127</v>
      </c>
      <c r="R2183" s="130" t="s">
        <v>1380</v>
      </c>
      <c r="S2183" s="130" t="s">
        <v>2322</v>
      </c>
      <c r="T2183" s="130" t="s">
        <v>1188</v>
      </c>
      <c r="U2183" s="130">
        <v>0</v>
      </c>
      <c r="V2183" s="131">
        <v>145000</v>
      </c>
      <c r="W2183" s="131">
        <v>145000</v>
      </c>
      <c r="X2183" s="131">
        <v>45270</v>
      </c>
      <c r="Y2183" s="131">
        <v>99730</v>
      </c>
      <c r="Z2183" s="131">
        <v>45270</v>
      </c>
      <c r="AA2183" s="131">
        <v>99730</v>
      </c>
      <c r="AB2183" s="131">
        <v>45270</v>
      </c>
      <c r="AC2183" s="131">
        <v>99730</v>
      </c>
      <c r="AD2183" s="131">
        <v>41950</v>
      </c>
      <c r="AE2183" s="132">
        <v>103050</v>
      </c>
    </row>
    <row r="2184" spans="1:31" x14ac:dyDescent="0.2">
      <c r="A2184" s="133">
        <v>404</v>
      </c>
      <c r="B2184" s="133" t="s">
        <v>991</v>
      </c>
      <c r="C2184" s="133" t="s">
        <v>1147</v>
      </c>
      <c r="D2184" s="133" t="s">
        <v>1461</v>
      </c>
      <c r="E2184" s="133" t="s">
        <v>1116</v>
      </c>
      <c r="F2184" s="133" t="s">
        <v>1117</v>
      </c>
      <c r="G2184" s="133" t="s">
        <v>1118</v>
      </c>
      <c r="H2184" s="130" t="s">
        <v>1133</v>
      </c>
      <c r="I2184" s="130" t="s">
        <v>1134</v>
      </c>
      <c r="J2184" s="130" t="s">
        <v>1135</v>
      </c>
      <c r="K2184" s="130" t="s">
        <v>1144</v>
      </c>
      <c r="L2184" s="130" t="s">
        <v>2323</v>
      </c>
      <c r="M2184" s="130" t="s">
        <v>1925</v>
      </c>
      <c r="N2184" s="130" t="s">
        <v>127</v>
      </c>
      <c r="O2184" s="130" t="s">
        <v>1933</v>
      </c>
      <c r="P2184" s="130" t="s">
        <v>1934</v>
      </c>
      <c r="Q2184" s="130" t="s">
        <v>1127</v>
      </c>
      <c r="R2184" s="130" t="s">
        <v>1380</v>
      </c>
      <c r="S2184" s="130" t="s">
        <v>2322</v>
      </c>
      <c r="T2184" s="130" t="s">
        <v>1188</v>
      </c>
      <c r="U2184" s="130">
        <v>0</v>
      </c>
      <c r="V2184" s="131">
        <v>15000</v>
      </c>
      <c r="W2184" s="131">
        <v>15000</v>
      </c>
      <c r="X2184" s="131">
        <v>0</v>
      </c>
      <c r="Y2184" s="131">
        <v>15000</v>
      </c>
      <c r="Z2184" s="131">
        <v>0</v>
      </c>
      <c r="AA2184" s="131">
        <v>15000</v>
      </c>
      <c r="AB2184" s="131">
        <v>0</v>
      </c>
      <c r="AC2184" s="131">
        <v>15000</v>
      </c>
      <c r="AD2184" s="131">
        <v>0</v>
      </c>
      <c r="AE2184" s="132">
        <v>15000</v>
      </c>
    </row>
    <row r="2185" spans="1:31" x14ac:dyDescent="0.2">
      <c r="A2185" s="130">
        <v>405</v>
      </c>
      <c r="B2185" s="130" t="s">
        <v>992</v>
      </c>
      <c r="C2185" s="130" t="s">
        <v>1147</v>
      </c>
      <c r="D2185" s="130" t="s">
        <v>1461</v>
      </c>
      <c r="E2185" s="130" t="s">
        <v>1116</v>
      </c>
      <c r="F2185" s="130" t="s">
        <v>1117</v>
      </c>
      <c r="G2185" s="130" t="s">
        <v>1118</v>
      </c>
      <c r="H2185" s="130" t="s">
        <v>1149</v>
      </c>
      <c r="I2185" s="130" t="s">
        <v>1182</v>
      </c>
      <c r="J2185" s="130" t="s">
        <v>2221</v>
      </c>
      <c r="K2185" s="130" t="s">
        <v>2222</v>
      </c>
      <c r="L2185" s="130" t="s">
        <v>2324</v>
      </c>
      <c r="M2185" s="130" t="s">
        <v>1925</v>
      </c>
      <c r="N2185" s="130" t="s">
        <v>127</v>
      </c>
      <c r="O2185" s="130" t="s">
        <v>1933</v>
      </c>
      <c r="P2185" s="130" t="s">
        <v>1934</v>
      </c>
      <c r="Q2185" s="130" t="s">
        <v>1127</v>
      </c>
      <c r="R2185" s="130" t="s">
        <v>1187</v>
      </c>
      <c r="S2185" s="130" t="s">
        <v>1613</v>
      </c>
      <c r="T2185" s="130" t="s">
        <v>1188</v>
      </c>
      <c r="U2185" s="130">
        <v>0</v>
      </c>
      <c r="V2185" s="131">
        <v>143000</v>
      </c>
      <c r="W2185" s="131">
        <v>143000</v>
      </c>
      <c r="X2185" s="131">
        <v>142680</v>
      </c>
      <c r="Y2185" s="131">
        <v>320</v>
      </c>
      <c r="Z2185" s="131">
        <v>35000</v>
      </c>
      <c r="AA2185" s="131">
        <v>108000</v>
      </c>
      <c r="AB2185" s="131">
        <v>35000</v>
      </c>
      <c r="AC2185" s="131">
        <v>108000</v>
      </c>
      <c r="AD2185" s="131">
        <v>35000</v>
      </c>
      <c r="AE2185" s="132">
        <v>108000</v>
      </c>
    </row>
    <row r="2186" spans="1:31" x14ac:dyDescent="0.2">
      <c r="A2186" s="133">
        <v>405</v>
      </c>
      <c r="B2186" s="133" t="s">
        <v>992</v>
      </c>
      <c r="C2186" s="133" t="s">
        <v>1147</v>
      </c>
      <c r="D2186" s="133" t="s">
        <v>1461</v>
      </c>
      <c r="E2186" s="133" t="s">
        <v>1116</v>
      </c>
      <c r="F2186" s="133" t="s">
        <v>1117</v>
      </c>
      <c r="G2186" s="133" t="s">
        <v>1118</v>
      </c>
      <c r="H2186" s="130" t="s">
        <v>1133</v>
      </c>
      <c r="I2186" s="130" t="s">
        <v>1134</v>
      </c>
      <c r="J2186" s="130" t="s">
        <v>1135</v>
      </c>
      <c r="K2186" s="130" t="s">
        <v>1144</v>
      </c>
      <c r="L2186" s="130" t="s">
        <v>2324</v>
      </c>
      <c r="M2186" s="130" t="s">
        <v>1925</v>
      </c>
      <c r="N2186" s="130" t="s">
        <v>127</v>
      </c>
      <c r="O2186" s="130" t="s">
        <v>1933</v>
      </c>
      <c r="P2186" s="130" t="s">
        <v>1934</v>
      </c>
      <c r="Q2186" s="130" t="s">
        <v>1127</v>
      </c>
      <c r="R2186" s="130" t="s">
        <v>1187</v>
      </c>
      <c r="S2186" s="130" t="s">
        <v>1613</v>
      </c>
      <c r="T2186" s="130" t="s">
        <v>1188</v>
      </c>
      <c r="U2186" s="130">
        <v>0</v>
      </c>
      <c r="V2186" s="131">
        <v>14300</v>
      </c>
      <c r="W2186" s="131">
        <v>14300</v>
      </c>
      <c r="X2186" s="131">
        <v>7150</v>
      </c>
      <c r="Y2186" s="131">
        <v>7150</v>
      </c>
      <c r="Z2186" s="131">
        <v>7150</v>
      </c>
      <c r="AA2186" s="131">
        <v>7150</v>
      </c>
      <c r="AB2186" s="131">
        <v>7150</v>
      </c>
      <c r="AC2186" s="131">
        <v>7150</v>
      </c>
      <c r="AD2186" s="131">
        <v>0</v>
      </c>
      <c r="AE2186" s="132">
        <v>14300</v>
      </c>
    </row>
    <row r="2187" spans="1:31" x14ac:dyDescent="0.2">
      <c r="A2187" s="130">
        <v>406</v>
      </c>
      <c r="B2187" s="130" t="s">
        <v>993</v>
      </c>
      <c r="C2187" s="130" t="s">
        <v>1147</v>
      </c>
      <c r="D2187" s="130" t="s">
        <v>1461</v>
      </c>
      <c r="E2187" s="130" t="s">
        <v>1116</v>
      </c>
      <c r="F2187" s="130" t="s">
        <v>1117</v>
      </c>
      <c r="G2187" s="130" t="s">
        <v>1118</v>
      </c>
      <c r="H2187" s="130" t="s">
        <v>1149</v>
      </c>
      <c r="I2187" s="130" t="s">
        <v>1182</v>
      </c>
      <c r="J2187" s="130" t="s">
        <v>2221</v>
      </c>
      <c r="K2187" s="130" t="s">
        <v>2222</v>
      </c>
      <c r="L2187" s="130" t="s">
        <v>2325</v>
      </c>
      <c r="M2187" s="130" t="s">
        <v>1925</v>
      </c>
      <c r="N2187" s="130" t="s">
        <v>127</v>
      </c>
      <c r="O2187" s="130" t="s">
        <v>1933</v>
      </c>
      <c r="P2187" s="130" t="s">
        <v>1934</v>
      </c>
      <c r="Q2187" s="130" t="s">
        <v>1127</v>
      </c>
      <c r="R2187" s="130" t="s">
        <v>1417</v>
      </c>
      <c r="S2187" s="130" t="s">
        <v>1418</v>
      </c>
      <c r="T2187" s="130" t="s">
        <v>1188</v>
      </c>
      <c r="U2187" s="130">
        <v>0</v>
      </c>
      <c r="V2187" s="131">
        <v>145200</v>
      </c>
      <c r="W2187" s="131">
        <v>145200</v>
      </c>
      <c r="X2187" s="131">
        <v>142780</v>
      </c>
      <c r="Y2187" s="131">
        <v>2420</v>
      </c>
      <c r="Z2187" s="131">
        <v>0</v>
      </c>
      <c r="AA2187" s="131">
        <v>145200</v>
      </c>
      <c r="AB2187" s="131">
        <v>0</v>
      </c>
      <c r="AC2187" s="131">
        <v>145200</v>
      </c>
      <c r="AD2187" s="131">
        <v>0</v>
      </c>
      <c r="AE2187" s="132">
        <v>145200</v>
      </c>
    </row>
    <row r="2188" spans="1:31" x14ac:dyDescent="0.2">
      <c r="A2188" s="133">
        <v>406</v>
      </c>
      <c r="B2188" s="133" t="s">
        <v>993</v>
      </c>
      <c r="C2188" s="133" t="s">
        <v>1147</v>
      </c>
      <c r="D2188" s="133" t="s">
        <v>1461</v>
      </c>
      <c r="E2188" s="133" t="s">
        <v>1116</v>
      </c>
      <c r="F2188" s="133" t="s">
        <v>1117</v>
      </c>
      <c r="G2188" s="133" t="s">
        <v>1118</v>
      </c>
      <c r="H2188" s="130" t="s">
        <v>1133</v>
      </c>
      <c r="I2188" s="130" t="s">
        <v>1134</v>
      </c>
      <c r="J2188" s="130" t="s">
        <v>1135</v>
      </c>
      <c r="K2188" s="130" t="s">
        <v>1144</v>
      </c>
      <c r="L2188" s="130" t="s">
        <v>2325</v>
      </c>
      <c r="M2188" s="130" t="s">
        <v>1925</v>
      </c>
      <c r="N2188" s="130" t="s">
        <v>127</v>
      </c>
      <c r="O2188" s="130" t="s">
        <v>1933</v>
      </c>
      <c r="P2188" s="130" t="s">
        <v>1934</v>
      </c>
      <c r="Q2188" s="130" t="s">
        <v>1127</v>
      </c>
      <c r="R2188" s="130" t="s">
        <v>1417</v>
      </c>
      <c r="S2188" s="130" t="s">
        <v>1418</v>
      </c>
      <c r="T2188" s="130" t="s">
        <v>1188</v>
      </c>
      <c r="U2188" s="130">
        <v>0</v>
      </c>
      <c r="V2188" s="131">
        <v>14520</v>
      </c>
      <c r="W2188" s="131">
        <v>14520</v>
      </c>
      <c r="X2188" s="131">
        <v>0</v>
      </c>
      <c r="Y2188" s="131">
        <v>14520</v>
      </c>
      <c r="Z2188" s="131">
        <v>0</v>
      </c>
      <c r="AA2188" s="131">
        <v>14520</v>
      </c>
      <c r="AB2188" s="131">
        <v>0</v>
      </c>
      <c r="AC2188" s="131">
        <v>14520</v>
      </c>
      <c r="AD2188" s="131">
        <v>0</v>
      </c>
      <c r="AE2188" s="132">
        <v>14520</v>
      </c>
    </row>
    <row r="2189" spans="1:31" x14ac:dyDescent="0.2">
      <c r="A2189" s="130">
        <v>407</v>
      </c>
      <c r="B2189" s="130" t="s">
        <v>994</v>
      </c>
      <c r="C2189" s="130" t="s">
        <v>1147</v>
      </c>
      <c r="D2189" s="130" t="s">
        <v>1461</v>
      </c>
      <c r="E2189" s="130" t="s">
        <v>1116</v>
      </c>
      <c r="F2189" s="130" t="s">
        <v>1117</v>
      </c>
      <c r="G2189" s="130" t="s">
        <v>1118</v>
      </c>
      <c r="H2189" s="130" t="s">
        <v>1149</v>
      </c>
      <c r="I2189" s="130" t="s">
        <v>1182</v>
      </c>
      <c r="J2189" s="130" t="s">
        <v>2221</v>
      </c>
      <c r="K2189" s="130" t="s">
        <v>2222</v>
      </c>
      <c r="L2189" s="130" t="s">
        <v>2326</v>
      </c>
      <c r="M2189" s="130" t="s">
        <v>1925</v>
      </c>
      <c r="N2189" s="130" t="s">
        <v>127</v>
      </c>
      <c r="O2189" s="130" t="s">
        <v>1933</v>
      </c>
      <c r="P2189" s="130" t="s">
        <v>1934</v>
      </c>
      <c r="Q2189" s="130" t="s">
        <v>1127</v>
      </c>
      <c r="R2189" s="130" t="s">
        <v>1417</v>
      </c>
      <c r="S2189" s="130" t="s">
        <v>1418</v>
      </c>
      <c r="T2189" s="130" t="s">
        <v>1188</v>
      </c>
      <c r="U2189" s="130">
        <v>0</v>
      </c>
      <c r="V2189" s="131">
        <v>143650</v>
      </c>
      <c r="W2189" s="131">
        <v>143650</v>
      </c>
      <c r="X2189" s="131">
        <v>88030</v>
      </c>
      <c r="Y2189" s="131">
        <v>55620</v>
      </c>
      <c r="Z2189" s="131">
        <v>88030</v>
      </c>
      <c r="AA2189" s="131">
        <v>55620</v>
      </c>
      <c r="AB2189" s="131">
        <v>88030</v>
      </c>
      <c r="AC2189" s="131">
        <v>55620</v>
      </c>
      <c r="AD2189" s="131">
        <v>88030</v>
      </c>
      <c r="AE2189" s="132">
        <v>55620</v>
      </c>
    </row>
    <row r="2190" spans="1:31" x14ac:dyDescent="0.2">
      <c r="A2190" s="133">
        <v>407</v>
      </c>
      <c r="B2190" s="133" t="s">
        <v>994</v>
      </c>
      <c r="C2190" s="133" t="s">
        <v>1147</v>
      </c>
      <c r="D2190" s="133" t="s">
        <v>1461</v>
      </c>
      <c r="E2190" s="133" t="s">
        <v>1116</v>
      </c>
      <c r="F2190" s="133" t="s">
        <v>1117</v>
      </c>
      <c r="G2190" s="133" t="s">
        <v>1118</v>
      </c>
      <c r="H2190" s="130" t="s">
        <v>1133</v>
      </c>
      <c r="I2190" s="130" t="s">
        <v>1134</v>
      </c>
      <c r="J2190" s="130" t="s">
        <v>1135</v>
      </c>
      <c r="K2190" s="130" t="s">
        <v>1144</v>
      </c>
      <c r="L2190" s="130" t="s">
        <v>2326</v>
      </c>
      <c r="M2190" s="130" t="s">
        <v>1925</v>
      </c>
      <c r="N2190" s="130" t="s">
        <v>127</v>
      </c>
      <c r="O2190" s="130" t="s">
        <v>1933</v>
      </c>
      <c r="P2190" s="130" t="s">
        <v>1934</v>
      </c>
      <c r="Q2190" s="130" t="s">
        <v>1127</v>
      </c>
      <c r="R2190" s="130" t="s">
        <v>1417</v>
      </c>
      <c r="S2190" s="130" t="s">
        <v>1418</v>
      </c>
      <c r="T2190" s="130" t="s">
        <v>1188</v>
      </c>
      <c r="U2190" s="130">
        <v>0</v>
      </c>
      <c r="V2190" s="131">
        <v>16350</v>
      </c>
      <c r="W2190" s="131">
        <v>16350</v>
      </c>
      <c r="X2190" s="131">
        <v>8292</v>
      </c>
      <c r="Y2190" s="131">
        <v>8058</v>
      </c>
      <c r="Z2190" s="131">
        <v>8292</v>
      </c>
      <c r="AA2190" s="131">
        <v>8058</v>
      </c>
      <c r="AB2190" s="131">
        <v>8292</v>
      </c>
      <c r="AC2190" s="131">
        <v>8058</v>
      </c>
      <c r="AD2190" s="131">
        <v>0</v>
      </c>
      <c r="AE2190" s="132">
        <v>16350</v>
      </c>
    </row>
    <row r="2191" spans="1:31" x14ac:dyDescent="0.2">
      <c r="A2191" s="130">
        <v>408</v>
      </c>
      <c r="B2191" s="130" t="s">
        <v>995</v>
      </c>
      <c r="C2191" s="130" t="s">
        <v>1147</v>
      </c>
      <c r="D2191" s="130" t="s">
        <v>1461</v>
      </c>
      <c r="E2191" s="130" t="s">
        <v>1116</v>
      </c>
      <c r="F2191" s="130" t="s">
        <v>1117</v>
      </c>
      <c r="G2191" s="130" t="s">
        <v>1118</v>
      </c>
      <c r="H2191" s="130" t="s">
        <v>1149</v>
      </c>
      <c r="I2191" s="130" t="s">
        <v>1182</v>
      </c>
      <c r="J2191" s="130" t="s">
        <v>2221</v>
      </c>
      <c r="K2191" s="130" t="s">
        <v>2222</v>
      </c>
      <c r="L2191" s="130" t="s">
        <v>2327</v>
      </c>
      <c r="M2191" s="130" t="s">
        <v>1925</v>
      </c>
      <c r="N2191" s="130" t="s">
        <v>127</v>
      </c>
      <c r="O2191" s="130" t="s">
        <v>2233</v>
      </c>
      <c r="P2191" s="130" t="s">
        <v>2234</v>
      </c>
      <c r="Q2191" s="130" t="s">
        <v>1127</v>
      </c>
      <c r="R2191" s="130" t="s">
        <v>1191</v>
      </c>
      <c r="S2191" s="130" t="s">
        <v>1191</v>
      </c>
      <c r="T2191" s="130" t="s">
        <v>1188</v>
      </c>
      <c r="U2191" s="130">
        <v>0</v>
      </c>
      <c r="V2191" s="131">
        <v>329100</v>
      </c>
      <c r="W2191" s="131">
        <v>329100</v>
      </c>
      <c r="X2191" s="131">
        <v>0</v>
      </c>
      <c r="Y2191" s="131">
        <v>329100</v>
      </c>
      <c r="Z2191" s="131">
        <v>0</v>
      </c>
      <c r="AA2191" s="131">
        <v>329100</v>
      </c>
      <c r="AB2191" s="131">
        <v>0</v>
      </c>
      <c r="AC2191" s="131">
        <v>329100</v>
      </c>
      <c r="AD2191" s="131">
        <v>0</v>
      </c>
      <c r="AE2191" s="132">
        <v>329100</v>
      </c>
    </row>
    <row r="2192" spans="1:31" x14ac:dyDescent="0.2">
      <c r="A2192" s="133">
        <v>408</v>
      </c>
      <c r="B2192" s="133" t="s">
        <v>995</v>
      </c>
      <c r="C2192" s="133" t="s">
        <v>1147</v>
      </c>
      <c r="D2192" s="133" t="s">
        <v>1461</v>
      </c>
      <c r="E2192" s="133" t="s">
        <v>1116</v>
      </c>
      <c r="F2192" s="133" t="s">
        <v>1117</v>
      </c>
      <c r="G2192" s="133" t="s">
        <v>1118</v>
      </c>
      <c r="H2192" s="130" t="s">
        <v>1133</v>
      </c>
      <c r="I2192" s="130" t="s">
        <v>1134</v>
      </c>
      <c r="J2192" s="130" t="s">
        <v>1135</v>
      </c>
      <c r="K2192" s="130" t="s">
        <v>1144</v>
      </c>
      <c r="L2192" s="130" t="s">
        <v>2327</v>
      </c>
      <c r="M2192" s="130" t="s">
        <v>1925</v>
      </c>
      <c r="N2192" s="130" t="s">
        <v>127</v>
      </c>
      <c r="O2192" s="130" t="s">
        <v>2233</v>
      </c>
      <c r="P2192" s="130" t="s">
        <v>2234</v>
      </c>
      <c r="Q2192" s="130" t="s">
        <v>1127</v>
      </c>
      <c r="R2192" s="130" t="s">
        <v>1191</v>
      </c>
      <c r="S2192" s="130" t="s">
        <v>1191</v>
      </c>
      <c r="T2192" s="130" t="s">
        <v>1188</v>
      </c>
      <c r="U2192" s="130">
        <v>0</v>
      </c>
      <c r="V2192" s="131">
        <v>20692</v>
      </c>
      <c r="W2192" s="131">
        <v>20692</v>
      </c>
      <c r="X2192" s="131">
        <v>0</v>
      </c>
      <c r="Y2192" s="131">
        <v>20692</v>
      </c>
      <c r="Z2192" s="131">
        <v>0</v>
      </c>
      <c r="AA2192" s="131">
        <v>20692</v>
      </c>
      <c r="AB2192" s="131">
        <v>0</v>
      </c>
      <c r="AC2192" s="131">
        <v>20692</v>
      </c>
      <c r="AD2192" s="131">
        <v>0</v>
      </c>
      <c r="AE2192" s="132">
        <v>20692</v>
      </c>
    </row>
    <row r="2193" spans="1:31" x14ac:dyDescent="0.2">
      <c r="A2193" s="130">
        <v>409</v>
      </c>
      <c r="B2193" s="130" t="s">
        <v>996</v>
      </c>
      <c r="C2193" s="130" t="s">
        <v>1147</v>
      </c>
      <c r="D2193" s="130" t="s">
        <v>1461</v>
      </c>
      <c r="E2193" s="130" t="s">
        <v>1116</v>
      </c>
      <c r="F2193" s="130" t="s">
        <v>1117</v>
      </c>
      <c r="G2193" s="130" t="s">
        <v>1118</v>
      </c>
      <c r="H2193" s="130" t="s">
        <v>1149</v>
      </c>
      <c r="I2193" s="130" t="s">
        <v>1182</v>
      </c>
      <c r="J2193" s="130" t="s">
        <v>2221</v>
      </c>
      <c r="K2193" s="130" t="s">
        <v>2222</v>
      </c>
      <c r="L2193" s="130" t="s">
        <v>2328</v>
      </c>
      <c r="M2193" s="130" t="s">
        <v>1925</v>
      </c>
      <c r="N2193" s="130" t="s">
        <v>127</v>
      </c>
      <c r="O2193" s="130" t="s">
        <v>2233</v>
      </c>
      <c r="P2193" s="130" t="s">
        <v>2234</v>
      </c>
      <c r="Q2193" s="130" t="s">
        <v>1127</v>
      </c>
      <c r="R2193" s="130" t="s">
        <v>1413</v>
      </c>
      <c r="S2193" s="130" t="s">
        <v>1414</v>
      </c>
      <c r="T2193" s="130" t="s">
        <v>1188</v>
      </c>
      <c r="U2193" s="130">
        <v>0</v>
      </c>
      <c r="V2193" s="131">
        <v>144048</v>
      </c>
      <c r="W2193" s="131">
        <v>144048</v>
      </c>
      <c r="X2193" s="131">
        <v>24990</v>
      </c>
      <c r="Y2193" s="131">
        <v>119058</v>
      </c>
      <c r="Z2193" s="131">
        <v>24990</v>
      </c>
      <c r="AA2193" s="131">
        <v>119058</v>
      </c>
      <c r="AB2193" s="131">
        <v>24990</v>
      </c>
      <c r="AC2193" s="131">
        <v>119058</v>
      </c>
      <c r="AD2193" s="131">
        <v>24990</v>
      </c>
      <c r="AE2193" s="132">
        <v>119058</v>
      </c>
    </row>
    <row r="2194" spans="1:31" x14ac:dyDescent="0.2">
      <c r="A2194" s="133">
        <v>409</v>
      </c>
      <c r="B2194" s="133" t="s">
        <v>996</v>
      </c>
      <c r="C2194" s="133" t="s">
        <v>1147</v>
      </c>
      <c r="D2194" s="133" t="s">
        <v>1461</v>
      </c>
      <c r="E2194" s="133" t="s">
        <v>1116</v>
      </c>
      <c r="F2194" s="133" t="s">
        <v>1117</v>
      </c>
      <c r="G2194" s="133" t="s">
        <v>1118</v>
      </c>
      <c r="H2194" s="130" t="s">
        <v>1133</v>
      </c>
      <c r="I2194" s="130" t="s">
        <v>1134</v>
      </c>
      <c r="J2194" s="130" t="s">
        <v>1135</v>
      </c>
      <c r="K2194" s="130" t="s">
        <v>1144</v>
      </c>
      <c r="L2194" s="130" t="s">
        <v>2328</v>
      </c>
      <c r="M2194" s="130" t="s">
        <v>1925</v>
      </c>
      <c r="N2194" s="130" t="s">
        <v>127</v>
      </c>
      <c r="O2194" s="130" t="s">
        <v>2233</v>
      </c>
      <c r="P2194" s="130" t="s">
        <v>2234</v>
      </c>
      <c r="Q2194" s="130" t="s">
        <v>1127</v>
      </c>
      <c r="R2194" s="130" t="s">
        <v>1413</v>
      </c>
      <c r="S2194" s="130" t="s">
        <v>1414</v>
      </c>
      <c r="T2194" s="130" t="s">
        <v>1188</v>
      </c>
      <c r="U2194" s="130">
        <v>0</v>
      </c>
      <c r="V2194" s="131">
        <v>14959</v>
      </c>
      <c r="W2194" s="131">
        <v>14959</v>
      </c>
      <c r="X2194" s="131">
        <v>0</v>
      </c>
      <c r="Y2194" s="131">
        <v>14959</v>
      </c>
      <c r="Z2194" s="131">
        <v>0</v>
      </c>
      <c r="AA2194" s="131">
        <v>14959</v>
      </c>
      <c r="AB2194" s="131">
        <v>0</v>
      </c>
      <c r="AC2194" s="131">
        <v>14959</v>
      </c>
      <c r="AD2194" s="131">
        <v>0</v>
      </c>
      <c r="AE2194" s="132">
        <v>14959</v>
      </c>
    </row>
    <row r="2195" spans="1:31" x14ac:dyDescent="0.2">
      <c r="A2195" s="130">
        <v>410</v>
      </c>
      <c r="B2195" s="130" t="s">
        <v>997</v>
      </c>
      <c r="C2195" s="130" t="s">
        <v>1147</v>
      </c>
      <c r="D2195" s="130" t="s">
        <v>1461</v>
      </c>
      <c r="E2195" s="130" t="s">
        <v>1116</v>
      </c>
      <c r="F2195" s="130" t="s">
        <v>1117</v>
      </c>
      <c r="G2195" s="130" t="s">
        <v>1118</v>
      </c>
      <c r="H2195" s="130" t="s">
        <v>1149</v>
      </c>
      <c r="I2195" s="130" t="s">
        <v>1182</v>
      </c>
      <c r="J2195" s="130" t="s">
        <v>1183</v>
      </c>
      <c r="K2195" s="130" t="s">
        <v>1184</v>
      </c>
      <c r="L2195" s="130" t="s">
        <v>2329</v>
      </c>
      <c r="M2195" s="130" t="s">
        <v>1925</v>
      </c>
      <c r="N2195" s="130" t="s">
        <v>1351</v>
      </c>
      <c r="O2195" s="130" t="s">
        <v>1352</v>
      </c>
      <c r="P2195" s="130" t="s">
        <v>1353</v>
      </c>
      <c r="Q2195" s="130" t="s">
        <v>1127</v>
      </c>
      <c r="R2195" s="130" t="s">
        <v>1191</v>
      </c>
      <c r="S2195" s="130" t="s">
        <v>1583</v>
      </c>
      <c r="T2195" s="130" t="s">
        <v>2284</v>
      </c>
      <c r="U2195" s="130">
        <v>0</v>
      </c>
      <c r="V2195" s="131">
        <v>141160</v>
      </c>
      <c r="W2195" s="131">
        <v>141160</v>
      </c>
      <c r="X2195" s="131">
        <v>38000</v>
      </c>
      <c r="Y2195" s="131">
        <v>103160</v>
      </c>
      <c r="Z2195" s="131">
        <v>38000</v>
      </c>
      <c r="AA2195" s="131">
        <v>103160</v>
      </c>
      <c r="AB2195" s="131">
        <v>38000</v>
      </c>
      <c r="AC2195" s="131">
        <v>103160</v>
      </c>
      <c r="AD2195" s="131">
        <v>38000</v>
      </c>
      <c r="AE2195" s="132">
        <v>103160</v>
      </c>
    </row>
    <row r="2196" spans="1:31" x14ac:dyDescent="0.2">
      <c r="A2196" s="133">
        <v>410</v>
      </c>
      <c r="B2196" s="133" t="s">
        <v>997</v>
      </c>
      <c r="C2196" s="133" t="s">
        <v>1147</v>
      </c>
      <c r="D2196" s="133" t="s">
        <v>1461</v>
      </c>
      <c r="E2196" s="133" t="s">
        <v>1116</v>
      </c>
      <c r="F2196" s="133" t="s">
        <v>1117</v>
      </c>
      <c r="G2196" s="133" t="s">
        <v>1118</v>
      </c>
      <c r="H2196" s="130" t="s">
        <v>1133</v>
      </c>
      <c r="I2196" s="130" t="s">
        <v>1134</v>
      </c>
      <c r="J2196" s="130" t="s">
        <v>1135</v>
      </c>
      <c r="K2196" s="130" t="s">
        <v>1144</v>
      </c>
      <c r="L2196" s="130" t="s">
        <v>2329</v>
      </c>
      <c r="M2196" s="130" t="s">
        <v>1925</v>
      </c>
      <c r="N2196" s="130" t="s">
        <v>1351</v>
      </c>
      <c r="O2196" s="130" t="s">
        <v>1352</v>
      </c>
      <c r="P2196" s="130" t="s">
        <v>1353</v>
      </c>
      <c r="Q2196" s="130" t="s">
        <v>1127</v>
      </c>
      <c r="R2196" s="130" t="s">
        <v>1191</v>
      </c>
      <c r="S2196" s="130" t="s">
        <v>1583</v>
      </c>
      <c r="T2196" s="130" t="s">
        <v>2284</v>
      </c>
      <c r="U2196" s="130">
        <v>0</v>
      </c>
      <c r="V2196" s="131">
        <v>17732</v>
      </c>
      <c r="W2196" s="131">
        <v>17732</v>
      </c>
      <c r="X2196" s="131">
        <v>0</v>
      </c>
      <c r="Y2196" s="131">
        <v>17732</v>
      </c>
      <c r="Z2196" s="131">
        <v>0</v>
      </c>
      <c r="AA2196" s="131">
        <v>17732</v>
      </c>
      <c r="AB2196" s="131">
        <v>0</v>
      </c>
      <c r="AC2196" s="131">
        <v>17732</v>
      </c>
      <c r="AD2196" s="131">
        <v>0</v>
      </c>
      <c r="AE2196" s="132">
        <v>17732</v>
      </c>
    </row>
    <row r="2197" spans="1:31" x14ac:dyDescent="0.2">
      <c r="A2197" s="130">
        <v>411</v>
      </c>
      <c r="B2197" s="130" t="s">
        <v>998</v>
      </c>
      <c r="C2197" s="130" t="s">
        <v>1147</v>
      </c>
      <c r="D2197" s="130" t="s">
        <v>1461</v>
      </c>
      <c r="E2197" s="130" t="s">
        <v>1116</v>
      </c>
      <c r="F2197" s="130" t="s">
        <v>1117</v>
      </c>
      <c r="G2197" s="130" t="s">
        <v>1118</v>
      </c>
      <c r="H2197" s="130" t="s">
        <v>1149</v>
      </c>
      <c r="I2197" s="130" t="s">
        <v>1182</v>
      </c>
      <c r="J2197" s="130" t="s">
        <v>2221</v>
      </c>
      <c r="K2197" s="130" t="s">
        <v>2222</v>
      </c>
      <c r="L2197" s="130" t="s">
        <v>2330</v>
      </c>
      <c r="M2197" s="130" t="s">
        <v>1925</v>
      </c>
      <c r="N2197" s="130" t="s">
        <v>127</v>
      </c>
      <c r="O2197" s="130" t="s">
        <v>1933</v>
      </c>
      <c r="P2197" s="130" t="s">
        <v>1934</v>
      </c>
      <c r="Q2197" s="130" t="s">
        <v>1127</v>
      </c>
      <c r="R2197" s="130" t="s">
        <v>1380</v>
      </c>
      <c r="S2197" s="130" t="s">
        <v>1381</v>
      </c>
      <c r="T2197" s="130" t="s">
        <v>1188</v>
      </c>
      <c r="U2197" s="130">
        <v>0</v>
      </c>
      <c r="V2197" s="131">
        <v>144500</v>
      </c>
      <c r="W2197" s="131">
        <v>144500</v>
      </c>
      <c r="X2197" s="131">
        <v>78400</v>
      </c>
      <c r="Y2197" s="131">
        <v>66100</v>
      </c>
      <c r="Z2197" s="131">
        <v>78400</v>
      </c>
      <c r="AA2197" s="131">
        <v>66100</v>
      </c>
      <c r="AB2197" s="131">
        <v>78400</v>
      </c>
      <c r="AC2197" s="131">
        <v>66100</v>
      </c>
      <c r="AD2197" s="131">
        <v>42500</v>
      </c>
      <c r="AE2197" s="132">
        <v>102000</v>
      </c>
    </row>
    <row r="2198" spans="1:31" x14ac:dyDescent="0.2">
      <c r="A2198" s="133">
        <v>411</v>
      </c>
      <c r="B2198" s="133" t="s">
        <v>998</v>
      </c>
      <c r="C2198" s="133" t="s">
        <v>1147</v>
      </c>
      <c r="D2198" s="133" t="s">
        <v>1461</v>
      </c>
      <c r="E2198" s="133" t="s">
        <v>1116</v>
      </c>
      <c r="F2198" s="133" t="s">
        <v>1117</v>
      </c>
      <c r="G2198" s="133" t="s">
        <v>1118</v>
      </c>
      <c r="H2198" s="130" t="s">
        <v>1133</v>
      </c>
      <c r="I2198" s="130" t="s">
        <v>1134</v>
      </c>
      <c r="J2198" s="130" t="s">
        <v>1135</v>
      </c>
      <c r="K2198" s="130" t="s">
        <v>1144</v>
      </c>
      <c r="L2198" s="130" t="s">
        <v>2330</v>
      </c>
      <c r="M2198" s="130" t="s">
        <v>1925</v>
      </c>
      <c r="N2198" s="130" t="s">
        <v>127</v>
      </c>
      <c r="O2198" s="130" t="s">
        <v>1933</v>
      </c>
      <c r="P2198" s="130" t="s">
        <v>1934</v>
      </c>
      <c r="Q2198" s="130" t="s">
        <v>1127</v>
      </c>
      <c r="R2198" s="130" t="s">
        <v>1380</v>
      </c>
      <c r="S2198" s="130" t="s">
        <v>1381</v>
      </c>
      <c r="T2198" s="130" t="s">
        <v>1188</v>
      </c>
      <c r="U2198" s="130">
        <v>0</v>
      </c>
      <c r="V2198" s="131">
        <v>15376</v>
      </c>
      <c r="W2198" s="131">
        <v>15376</v>
      </c>
      <c r="X2198" s="131">
        <v>0</v>
      </c>
      <c r="Y2198" s="131">
        <v>15376</v>
      </c>
      <c r="Z2198" s="131">
        <v>0</v>
      </c>
      <c r="AA2198" s="131">
        <v>15376</v>
      </c>
      <c r="AB2198" s="131">
        <v>0</v>
      </c>
      <c r="AC2198" s="131">
        <v>15376</v>
      </c>
      <c r="AD2198" s="131">
        <v>0</v>
      </c>
      <c r="AE2198" s="132">
        <v>15376</v>
      </c>
    </row>
    <row r="2199" spans="1:31" x14ac:dyDescent="0.2">
      <c r="A2199" s="130">
        <v>412</v>
      </c>
      <c r="B2199" s="130" t="s">
        <v>999</v>
      </c>
      <c r="C2199" s="130" t="s">
        <v>1147</v>
      </c>
      <c r="D2199" s="130" t="s">
        <v>1461</v>
      </c>
      <c r="E2199" s="130" t="s">
        <v>1116</v>
      </c>
      <c r="F2199" s="130" t="s">
        <v>1117</v>
      </c>
      <c r="G2199" s="130" t="s">
        <v>1118</v>
      </c>
      <c r="H2199" s="130" t="s">
        <v>1149</v>
      </c>
      <c r="I2199" s="130" t="s">
        <v>1182</v>
      </c>
      <c r="J2199" s="130" t="s">
        <v>2221</v>
      </c>
      <c r="K2199" s="130" t="s">
        <v>2222</v>
      </c>
      <c r="L2199" s="130" t="s">
        <v>2331</v>
      </c>
      <c r="M2199" s="130" t="s">
        <v>1925</v>
      </c>
      <c r="N2199" s="130" t="s">
        <v>127</v>
      </c>
      <c r="O2199" s="130" t="s">
        <v>1933</v>
      </c>
      <c r="P2199" s="130" t="s">
        <v>1934</v>
      </c>
      <c r="Q2199" s="130" t="s">
        <v>1127</v>
      </c>
      <c r="R2199" s="130" t="s">
        <v>1187</v>
      </c>
      <c r="S2199" s="130" t="s">
        <v>1693</v>
      </c>
      <c r="T2199" s="130" t="s">
        <v>1188</v>
      </c>
      <c r="U2199" s="130">
        <v>0</v>
      </c>
      <c r="V2199" s="131">
        <v>145600</v>
      </c>
      <c r="W2199" s="131">
        <v>145600</v>
      </c>
      <c r="X2199" s="131">
        <v>6970</v>
      </c>
      <c r="Y2199" s="131">
        <v>138630</v>
      </c>
      <c r="Z2199" s="131">
        <v>6970</v>
      </c>
      <c r="AA2199" s="131">
        <v>138630</v>
      </c>
      <c r="AB2199" s="131">
        <v>6970</v>
      </c>
      <c r="AC2199" s="131">
        <v>138630</v>
      </c>
      <c r="AD2199" s="131">
        <v>6970</v>
      </c>
      <c r="AE2199" s="132">
        <v>138630</v>
      </c>
    </row>
    <row r="2200" spans="1:31" x14ac:dyDescent="0.2">
      <c r="A2200" s="133">
        <v>412</v>
      </c>
      <c r="B2200" s="133" t="s">
        <v>999</v>
      </c>
      <c r="C2200" s="133" t="s">
        <v>1147</v>
      </c>
      <c r="D2200" s="133" t="s">
        <v>1461</v>
      </c>
      <c r="E2200" s="133" t="s">
        <v>1116</v>
      </c>
      <c r="F2200" s="133" t="s">
        <v>1117</v>
      </c>
      <c r="G2200" s="133" t="s">
        <v>1118</v>
      </c>
      <c r="H2200" s="130" t="s">
        <v>1133</v>
      </c>
      <c r="I2200" s="130" t="s">
        <v>1134</v>
      </c>
      <c r="J2200" s="130" t="s">
        <v>1135</v>
      </c>
      <c r="K2200" s="130" t="s">
        <v>1144</v>
      </c>
      <c r="L2200" s="130" t="s">
        <v>2331</v>
      </c>
      <c r="M2200" s="130" t="s">
        <v>1925</v>
      </c>
      <c r="N2200" s="130" t="s">
        <v>127</v>
      </c>
      <c r="O2200" s="130" t="s">
        <v>1933</v>
      </c>
      <c r="P2200" s="130" t="s">
        <v>1934</v>
      </c>
      <c r="Q2200" s="130" t="s">
        <v>1127</v>
      </c>
      <c r="R2200" s="130" t="s">
        <v>1187</v>
      </c>
      <c r="S2200" s="130" t="s">
        <v>1693</v>
      </c>
      <c r="T2200" s="130" t="s">
        <v>1188</v>
      </c>
      <c r="U2200" s="130">
        <v>0</v>
      </c>
      <c r="V2200" s="131">
        <v>14400</v>
      </c>
      <c r="W2200" s="131">
        <v>14400</v>
      </c>
      <c r="X2200" s="131">
        <v>0</v>
      </c>
      <c r="Y2200" s="131">
        <v>14400</v>
      </c>
      <c r="Z2200" s="131">
        <v>0</v>
      </c>
      <c r="AA2200" s="131">
        <v>14400</v>
      </c>
      <c r="AB2200" s="131">
        <v>0</v>
      </c>
      <c r="AC2200" s="131">
        <v>14400</v>
      </c>
      <c r="AD2200" s="131">
        <v>0</v>
      </c>
      <c r="AE2200" s="132">
        <v>14400</v>
      </c>
    </row>
    <row r="2201" spans="1:31" x14ac:dyDescent="0.2">
      <c r="A2201" s="130">
        <v>413</v>
      </c>
      <c r="B2201" s="130" t="s">
        <v>1000</v>
      </c>
      <c r="C2201" s="130" t="s">
        <v>1147</v>
      </c>
      <c r="D2201" s="130" t="s">
        <v>1461</v>
      </c>
      <c r="E2201" s="130" t="s">
        <v>1116</v>
      </c>
      <c r="F2201" s="130" t="s">
        <v>1117</v>
      </c>
      <c r="G2201" s="130" t="s">
        <v>1118</v>
      </c>
      <c r="H2201" s="130" t="s">
        <v>1149</v>
      </c>
      <c r="I2201" s="130" t="s">
        <v>1182</v>
      </c>
      <c r="J2201" s="130" t="s">
        <v>2221</v>
      </c>
      <c r="K2201" s="130" t="s">
        <v>2222</v>
      </c>
      <c r="L2201" s="130" t="s">
        <v>2332</v>
      </c>
      <c r="M2201" s="130" t="s">
        <v>1925</v>
      </c>
      <c r="N2201" s="130" t="s">
        <v>127</v>
      </c>
      <c r="O2201" s="130" t="s">
        <v>2233</v>
      </c>
      <c r="P2201" s="130" t="s">
        <v>2234</v>
      </c>
      <c r="Q2201" s="130" t="s">
        <v>1127</v>
      </c>
      <c r="R2201" s="130" t="s">
        <v>1187</v>
      </c>
      <c r="S2201" s="130" t="s">
        <v>1389</v>
      </c>
      <c r="T2201" s="130" t="s">
        <v>1188</v>
      </c>
      <c r="U2201" s="130">
        <v>0</v>
      </c>
      <c r="V2201" s="131">
        <v>321600</v>
      </c>
      <c r="W2201" s="131">
        <v>321600</v>
      </c>
      <c r="X2201" s="131">
        <v>0</v>
      </c>
      <c r="Y2201" s="131">
        <v>321600</v>
      </c>
      <c r="Z2201" s="131">
        <v>0</v>
      </c>
      <c r="AA2201" s="131">
        <v>321600</v>
      </c>
      <c r="AB2201" s="131">
        <v>0</v>
      </c>
      <c r="AC2201" s="131">
        <v>321600</v>
      </c>
      <c r="AD2201" s="131">
        <v>0</v>
      </c>
      <c r="AE2201" s="132">
        <v>321600</v>
      </c>
    </row>
    <row r="2202" spans="1:31" x14ac:dyDescent="0.2">
      <c r="A2202" s="133">
        <v>413</v>
      </c>
      <c r="B2202" s="133" t="s">
        <v>1000</v>
      </c>
      <c r="C2202" s="133" t="s">
        <v>1147</v>
      </c>
      <c r="D2202" s="133" t="s">
        <v>1461</v>
      </c>
      <c r="E2202" s="133" t="s">
        <v>1116</v>
      </c>
      <c r="F2202" s="133" t="s">
        <v>1117</v>
      </c>
      <c r="G2202" s="133" t="s">
        <v>1118</v>
      </c>
      <c r="H2202" s="130" t="s">
        <v>1133</v>
      </c>
      <c r="I2202" s="130" t="s">
        <v>1134</v>
      </c>
      <c r="J2202" s="130" t="s">
        <v>1135</v>
      </c>
      <c r="K2202" s="130" t="s">
        <v>1144</v>
      </c>
      <c r="L2202" s="130" t="s">
        <v>2332</v>
      </c>
      <c r="M2202" s="130" t="s">
        <v>1925</v>
      </c>
      <c r="N2202" s="130" t="s">
        <v>127</v>
      </c>
      <c r="O2202" s="130" t="s">
        <v>2233</v>
      </c>
      <c r="P2202" s="130" t="s">
        <v>2234</v>
      </c>
      <c r="Q2202" s="130" t="s">
        <v>1127</v>
      </c>
      <c r="R2202" s="130" t="s">
        <v>1187</v>
      </c>
      <c r="S2202" s="130" t="s">
        <v>1389</v>
      </c>
      <c r="T2202" s="130" t="s">
        <v>1188</v>
      </c>
      <c r="U2202" s="130">
        <v>0</v>
      </c>
      <c r="V2202" s="131">
        <v>28299</v>
      </c>
      <c r="W2202" s="131">
        <v>28299</v>
      </c>
      <c r="X2202" s="131">
        <v>10500</v>
      </c>
      <c r="Y2202" s="131">
        <v>17799</v>
      </c>
      <c r="Z2202" s="131">
        <v>10500</v>
      </c>
      <c r="AA2202" s="131">
        <v>17799</v>
      </c>
      <c r="AB2202" s="131">
        <v>10500</v>
      </c>
      <c r="AC2202" s="131">
        <v>17799</v>
      </c>
      <c r="AD2202" s="131">
        <v>0</v>
      </c>
      <c r="AE2202" s="132">
        <v>28299</v>
      </c>
    </row>
    <row r="2203" spans="1:31" x14ac:dyDescent="0.2">
      <c r="A2203" s="130">
        <v>414</v>
      </c>
      <c r="B2203" s="130" t="s">
        <v>1001</v>
      </c>
      <c r="C2203" s="130" t="s">
        <v>1147</v>
      </c>
      <c r="D2203" s="130" t="s">
        <v>1461</v>
      </c>
      <c r="E2203" s="130" t="s">
        <v>1116</v>
      </c>
      <c r="F2203" s="130" t="s">
        <v>1117</v>
      </c>
      <c r="G2203" s="130" t="s">
        <v>1118</v>
      </c>
      <c r="H2203" s="130" t="s">
        <v>1149</v>
      </c>
      <c r="I2203" s="130" t="s">
        <v>1182</v>
      </c>
      <c r="J2203" s="130" t="s">
        <v>2221</v>
      </c>
      <c r="K2203" s="130" t="s">
        <v>2222</v>
      </c>
      <c r="L2203" s="130" t="s">
        <v>2333</v>
      </c>
      <c r="M2203" s="130" t="s">
        <v>1925</v>
      </c>
      <c r="N2203" s="130" t="s">
        <v>127</v>
      </c>
      <c r="O2203" s="130" t="s">
        <v>1933</v>
      </c>
      <c r="P2203" s="130" t="s">
        <v>1934</v>
      </c>
      <c r="Q2203" s="130" t="s">
        <v>1127</v>
      </c>
      <c r="R2203" s="130" t="s">
        <v>1380</v>
      </c>
      <c r="S2203" s="130" t="s">
        <v>1481</v>
      </c>
      <c r="T2203" s="130" t="s">
        <v>1188</v>
      </c>
      <c r="U2203" s="130">
        <v>0</v>
      </c>
      <c r="V2203" s="131">
        <v>139940</v>
      </c>
      <c r="W2203" s="131">
        <v>139940</v>
      </c>
      <c r="X2203" s="131">
        <v>39500</v>
      </c>
      <c r="Y2203" s="131">
        <v>100440</v>
      </c>
      <c r="Z2203" s="131">
        <v>39500</v>
      </c>
      <c r="AA2203" s="131">
        <v>100440</v>
      </c>
      <c r="AB2203" s="131">
        <v>39500</v>
      </c>
      <c r="AC2203" s="131">
        <v>100440</v>
      </c>
      <c r="AD2203" s="131">
        <v>39500</v>
      </c>
      <c r="AE2203" s="132">
        <v>100440</v>
      </c>
    </row>
    <row r="2204" spans="1:31" x14ac:dyDescent="0.2">
      <c r="A2204" s="133">
        <v>414</v>
      </c>
      <c r="B2204" s="133" t="s">
        <v>1001</v>
      </c>
      <c r="C2204" s="133" t="s">
        <v>1147</v>
      </c>
      <c r="D2204" s="133" t="s">
        <v>1461</v>
      </c>
      <c r="E2204" s="133" t="s">
        <v>1116</v>
      </c>
      <c r="F2204" s="133" t="s">
        <v>1117</v>
      </c>
      <c r="G2204" s="133" t="s">
        <v>1118</v>
      </c>
      <c r="H2204" s="130" t="s">
        <v>1133</v>
      </c>
      <c r="I2204" s="130" t="s">
        <v>1134</v>
      </c>
      <c r="J2204" s="130" t="s">
        <v>1135</v>
      </c>
      <c r="K2204" s="130" t="s">
        <v>1144</v>
      </c>
      <c r="L2204" s="130" t="s">
        <v>2333</v>
      </c>
      <c r="M2204" s="130" t="s">
        <v>1925</v>
      </c>
      <c r="N2204" s="130" t="s">
        <v>127</v>
      </c>
      <c r="O2204" s="130" t="s">
        <v>1933</v>
      </c>
      <c r="P2204" s="130" t="s">
        <v>1934</v>
      </c>
      <c r="Q2204" s="130" t="s">
        <v>1127</v>
      </c>
      <c r="R2204" s="130" t="s">
        <v>1380</v>
      </c>
      <c r="S2204" s="130" t="s">
        <v>1481</v>
      </c>
      <c r="T2204" s="130" t="s">
        <v>1188</v>
      </c>
      <c r="U2204" s="130">
        <v>0</v>
      </c>
      <c r="V2204" s="131">
        <v>18587</v>
      </c>
      <c r="W2204" s="131">
        <v>18587</v>
      </c>
      <c r="X2204" s="131">
        <v>0</v>
      </c>
      <c r="Y2204" s="131">
        <v>18587</v>
      </c>
      <c r="Z2204" s="131">
        <v>0</v>
      </c>
      <c r="AA2204" s="131">
        <v>18587</v>
      </c>
      <c r="AB2204" s="131">
        <v>0</v>
      </c>
      <c r="AC2204" s="131">
        <v>18587</v>
      </c>
      <c r="AD2204" s="131">
        <v>0</v>
      </c>
      <c r="AE2204" s="132">
        <v>18587</v>
      </c>
    </row>
    <row r="2205" spans="1:31" x14ac:dyDescent="0.2">
      <c r="A2205" s="130">
        <v>415</v>
      </c>
      <c r="B2205" s="130" t="s">
        <v>1002</v>
      </c>
      <c r="C2205" s="130" t="s">
        <v>1147</v>
      </c>
      <c r="D2205" s="130" t="s">
        <v>1461</v>
      </c>
      <c r="E2205" s="130" t="s">
        <v>1116</v>
      </c>
      <c r="F2205" s="130" t="s">
        <v>1117</v>
      </c>
      <c r="G2205" s="130" t="s">
        <v>1118</v>
      </c>
      <c r="H2205" s="130" t="s">
        <v>1149</v>
      </c>
      <c r="I2205" s="130" t="s">
        <v>1182</v>
      </c>
      <c r="J2205" s="130" t="s">
        <v>2221</v>
      </c>
      <c r="K2205" s="130" t="s">
        <v>2222</v>
      </c>
      <c r="L2205" s="130" t="s">
        <v>2334</v>
      </c>
      <c r="M2205" s="130" t="s">
        <v>1925</v>
      </c>
      <c r="N2205" s="130" t="s">
        <v>127</v>
      </c>
      <c r="O2205" s="130" t="s">
        <v>1933</v>
      </c>
      <c r="P2205" s="130" t="s">
        <v>1934</v>
      </c>
      <c r="Q2205" s="130" t="s">
        <v>1127</v>
      </c>
      <c r="R2205" s="130" t="s">
        <v>1187</v>
      </c>
      <c r="S2205" s="130" t="s">
        <v>1611</v>
      </c>
      <c r="T2205" s="130" t="s">
        <v>1188</v>
      </c>
      <c r="U2205" s="130">
        <v>0</v>
      </c>
      <c r="V2205" s="131">
        <v>135606</v>
      </c>
      <c r="W2205" s="131">
        <v>135606</v>
      </c>
      <c r="X2205" s="131">
        <v>40495</v>
      </c>
      <c r="Y2205" s="131">
        <v>95111</v>
      </c>
      <c r="Z2205" s="131">
        <v>40495</v>
      </c>
      <c r="AA2205" s="131">
        <v>95111</v>
      </c>
      <c r="AB2205" s="131">
        <v>0</v>
      </c>
      <c r="AC2205" s="131">
        <v>135606</v>
      </c>
      <c r="AD2205" s="131">
        <v>0</v>
      </c>
      <c r="AE2205" s="132">
        <v>135606</v>
      </c>
    </row>
    <row r="2206" spans="1:31" x14ac:dyDescent="0.2">
      <c r="A2206" s="133">
        <v>415</v>
      </c>
      <c r="B2206" s="133" t="s">
        <v>1002</v>
      </c>
      <c r="C2206" s="133" t="s">
        <v>1147</v>
      </c>
      <c r="D2206" s="133" t="s">
        <v>1461</v>
      </c>
      <c r="E2206" s="133" t="s">
        <v>1116</v>
      </c>
      <c r="F2206" s="133" t="s">
        <v>1117</v>
      </c>
      <c r="G2206" s="133" t="s">
        <v>1118</v>
      </c>
      <c r="H2206" s="130" t="s">
        <v>1133</v>
      </c>
      <c r="I2206" s="130" t="s">
        <v>1134</v>
      </c>
      <c r="J2206" s="130" t="s">
        <v>1135</v>
      </c>
      <c r="K2206" s="130" t="s">
        <v>1144</v>
      </c>
      <c r="L2206" s="130" t="s">
        <v>2334</v>
      </c>
      <c r="M2206" s="130" t="s">
        <v>1925</v>
      </c>
      <c r="N2206" s="130" t="s">
        <v>127</v>
      </c>
      <c r="O2206" s="130" t="s">
        <v>1933</v>
      </c>
      <c r="P2206" s="130" t="s">
        <v>1934</v>
      </c>
      <c r="Q2206" s="130" t="s">
        <v>1127</v>
      </c>
      <c r="R2206" s="130" t="s">
        <v>1187</v>
      </c>
      <c r="S2206" s="130" t="s">
        <v>1611</v>
      </c>
      <c r="T2206" s="130" t="s">
        <v>1188</v>
      </c>
      <c r="U2206" s="130">
        <v>0</v>
      </c>
      <c r="V2206" s="131">
        <v>23034</v>
      </c>
      <c r="W2206" s="131">
        <v>23034</v>
      </c>
      <c r="X2206" s="131">
        <v>0</v>
      </c>
      <c r="Y2206" s="131">
        <v>23034</v>
      </c>
      <c r="Z2206" s="131">
        <v>0</v>
      </c>
      <c r="AA2206" s="131">
        <v>23034</v>
      </c>
      <c r="AB2206" s="131">
        <v>0</v>
      </c>
      <c r="AC2206" s="131">
        <v>23034</v>
      </c>
      <c r="AD2206" s="131">
        <v>0</v>
      </c>
      <c r="AE2206" s="132">
        <v>23034</v>
      </c>
    </row>
    <row r="2207" spans="1:31" x14ac:dyDescent="0.2">
      <c r="A2207" s="130">
        <v>416</v>
      </c>
      <c r="B2207" s="130" t="s">
        <v>1003</v>
      </c>
      <c r="C2207" s="130" t="s">
        <v>1147</v>
      </c>
      <c r="D2207" s="130" t="s">
        <v>1461</v>
      </c>
      <c r="E2207" s="130" t="s">
        <v>1116</v>
      </c>
      <c r="F2207" s="130" t="s">
        <v>1117</v>
      </c>
      <c r="G2207" s="130" t="s">
        <v>1118</v>
      </c>
      <c r="H2207" s="130" t="s">
        <v>1149</v>
      </c>
      <c r="I2207" s="130" t="s">
        <v>1182</v>
      </c>
      <c r="J2207" s="130" t="s">
        <v>2221</v>
      </c>
      <c r="K2207" s="130" t="s">
        <v>2222</v>
      </c>
      <c r="L2207" s="130" t="s">
        <v>2335</v>
      </c>
      <c r="M2207" s="130" t="s">
        <v>1925</v>
      </c>
      <c r="N2207" s="130" t="s">
        <v>127</v>
      </c>
      <c r="O2207" s="130" t="s">
        <v>2233</v>
      </c>
      <c r="P2207" s="130" t="s">
        <v>2234</v>
      </c>
      <c r="Q2207" s="130" t="s">
        <v>1127</v>
      </c>
      <c r="R2207" s="130" t="s">
        <v>1191</v>
      </c>
      <c r="S2207" s="130" t="s">
        <v>1538</v>
      </c>
      <c r="T2207" s="130" t="s">
        <v>1188</v>
      </c>
      <c r="U2207" s="130">
        <v>0</v>
      </c>
      <c r="V2207" s="131">
        <v>139000</v>
      </c>
      <c r="W2207" s="131">
        <v>139000</v>
      </c>
      <c r="X2207" s="131">
        <v>139000</v>
      </c>
      <c r="Y2207" s="131">
        <v>0</v>
      </c>
      <c r="Z2207" s="131">
        <v>139000</v>
      </c>
      <c r="AA2207" s="131">
        <v>0</v>
      </c>
      <c r="AB2207" s="131">
        <v>0</v>
      </c>
      <c r="AC2207" s="131">
        <v>139000</v>
      </c>
      <c r="AD2207" s="131">
        <v>0</v>
      </c>
      <c r="AE2207" s="132">
        <v>139000</v>
      </c>
    </row>
    <row r="2208" spans="1:31" x14ac:dyDescent="0.2">
      <c r="A2208" s="133">
        <v>416</v>
      </c>
      <c r="B2208" s="133" t="s">
        <v>1003</v>
      </c>
      <c r="C2208" s="133" t="s">
        <v>1147</v>
      </c>
      <c r="D2208" s="133" t="s">
        <v>1461</v>
      </c>
      <c r="E2208" s="133" t="s">
        <v>1116</v>
      </c>
      <c r="F2208" s="133" t="s">
        <v>1117</v>
      </c>
      <c r="G2208" s="133" t="s">
        <v>1118</v>
      </c>
      <c r="H2208" s="130" t="s">
        <v>1133</v>
      </c>
      <c r="I2208" s="130" t="s">
        <v>1134</v>
      </c>
      <c r="J2208" s="130" t="s">
        <v>1135</v>
      </c>
      <c r="K2208" s="130" t="s">
        <v>1144</v>
      </c>
      <c r="L2208" s="130" t="s">
        <v>2335</v>
      </c>
      <c r="M2208" s="130" t="s">
        <v>1925</v>
      </c>
      <c r="N2208" s="130" t="s">
        <v>127</v>
      </c>
      <c r="O2208" s="130" t="s">
        <v>2233</v>
      </c>
      <c r="P2208" s="130" t="s">
        <v>2234</v>
      </c>
      <c r="Q2208" s="130" t="s">
        <v>1127</v>
      </c>
      <c r="R2208" s="130" t="s">
        <v>1191</v>
      </c>
      <c r="S2208" s="130" t="s">
        <v>1538</v>
      </c>
      <c r="T2208" s="130" t="s">
        <v>1188</v>
      </c>
      <c r="U2208" s="130">
        <v>0</v>
      </c>
      <c r="V2208" s="131">
        <v>20041</v>
      </c>
      <c r="W2208" s="131">
        <v>20041</v>
      </c>
      <c r="X2208" s="131">
        <v>0</v>
      </c>
      <c r="Y2208" s="131">
        <v>20041</v>
      </c>
      <c r="Z2208" s="131">
        <v>0</v>
      </c>
      <c r="AA2208" s="131">
        <v>20041</v>
      </c>
      <c r="AB2208" s="131">
        <v>0</v>
      </c>
      <c r="AC2208" s="131">
        <v>20041</v>
      </c>
      <c r="AD2208" s="131">
        <v>0</v>
      </c>
      <c r="AE2208" s="132">
        <v>20041</v>
      </c>
    </row>
    <row r="2209" spans="1:31" x14ac:dyDescent="0.2">
      <c r="A2209" s="130">
        <v>417</v>
      </c>
      <c r="B2209" s="130" t="s">
        <v>1004</v>
      </c>
      <c r="C2209" s="130" t="s">
        <v>1147</v>
      </c>
      <c r="D2209" s="130" t="s">
        <v>1461</v>
      </c>
      <c r="E2209" s="130" t="s">
        <v>1116</v>
      </c>
      <c r="F2209" s="130" t="s">
        <v>1117</v>
      </c>
      <c r="G2209" s="130" t="s">
        <v>1118</v>
      </c>
      <c r="H2209" s="130" t="s">
        <v>1149</v>
      </c>
      <c r="I2209" s="130" t="s">
        <v>1182</v>
      </c>
      <c r="J2209" s="130" t="s">
        <v>2221</v>
      </c>
      <c r="K2209" s="130" t="s">
        <v>2222</v>
      </c>
      <c r="L2209" s="130" t="s">
        <v>2336</v>
      </c>
      <c r="M2209" s="130" t="s">
        <v>1925</v>
      </c>
      <c r="N2209" s="130" t="s">
        <v>130</v>
      </c>
      <c r="O2209" s="130" t="s">
        <v>1464</v>
      </c>
      <c r="P2209" s="130" t="s">
        <v>1465</v>
      </c>
      <c r="Q2209" s="130" t="s">
        <v>1127</v>
      </c>
      <c r="R2209" s="130" t="s">
        <v>1187</v>
      </c>
      <c r="S2209" s="130" t="s">
        <v>1613</v>
      </c>
      <c r="T2209" s="130" t="s">
        <v>1188</v>
      </c>
      <c r="U2209" s="130">
        <v>0</v>
      </c>
      <c r="V2209" s="131">
        <v>321500</v>
      </c>
      <c r="W2209" s="131">
        <v>321500</v>
      </c>
      <c r="X2209" s="131">
        <v>0</v>
      </c>
      <c r="Y2209" s="131">
        <v>321500</v>
      </c>
      <c r="Z2209" s="131">
        <v>0</v>
      </c>
      <c r="AA2209" s="131">
        <v>321500</v>
      </c>
      <c r="AB2209" s="131">
        <v>0</v>
      </c>
      <c r="AC2209" s="131">
        <v>321500</v>
      </c>
      <c r="AD2209" s="131">
        <v>0</v>
      </c>
      <c r="AE2209" s="132">
        <v>321500</v>
      </c>
    </row>
    <row r="2210" spans="1:31" x14ac:dyDescent="0.2">
      <c r="A2210" s="133">
        <v>417</v>
      </c>
      <c r="B2210" s="133" t="s">
        <v>1004</v>
      </c>
      <c r="C2210" s="133" t="s">
        <v>1147</v>
      </c>
      <c r="D2210" s="133" t="s">
        <v>1461</v>
      </c>
      <c r="E2210" s="133" t="s">
        <v>1116</v>
      </c>
      <c r="F2210" s="133" t="s">
        <v>1117</v>
      </c>
      <c r="G2210" s="133" t="s">
        <v>1118</v>
      </c>
      <c r="H2210" s="130" t="s">
        <v>1133</v>
      </c>
      <c r="I2210" s="130" t="s">
        <v>1134</v>
      </c>
      <c r="J2210" s="130" t="s">
        <v>1135</v>
      </c>
      <c r="K2210" s="130" t="s">
        <v>1144</v>
      </c>
      <c r="L2210" s="130" t="s">
        <v>2336</v>
      </c>
      <c r="M2210" s="130" t="s">
        <v>1925</v>
      </c>
      <c r="N2210" s="130" t="s">
        <v>130</v>
      </c>
      <c r="O2210" s="130" t="s">
        <v>1464</v>
      </c>
      <c r="P2210" s="130" t="s">
        <v>1465</v>
      </c>
      <c r="Q2210" s="130" t="s">
        <v>1127</v>
      </c>
      <c r="R2210" s="130" t="s">
        <v>1187</v>
      </c>
      <c r="S2210" s="130" t="s">
        <v>1613</v>
      </c>
      <c r="T2210" s="130" t="s">
        <v>1188</v>
      </c>
      <c r="U2210" s="130">
        <v>0</v>
      </c>
      <c r="V2210" s="131">
        <v>28292</v>
      </c>
      <c r="W2210" s="131">
        <v>28292</v>
      </c>
      <c r="X2210" s="131">
        <v>0</v>
      </c>
      <c r="Y2210" s="131">
        <v>28292</v>
      </c>
      <c r="Z2210" s="131">
        <v>0</v>
      </c>
      <c r="AA2210" s="131">
        <v>28292</v>
      </c>
      <c r="AB2210" s="131">
        <v>0</v>
      </c>
      <c r="AC2210" s="131">
        <v>28292</v>
      </c>
      <c r="AD2210" s="131">
        <v>0</v>
      </c>
      <c r="AE2210" s="132">
        <v>28292</v>
      </c>
    </row>
    <row r="2211" spans="1:31" x14ac:dyDescent="0.2">
      <c r="A2211" s="130">
        <v>418</v>
      </c>
      <c r="B2211" s="130" t="s">
        <v>1005</v>
      </c>
      <c r="C2211" s="130" t="s">
        <v>1147</v>
      </c>
      <c r="D2211" s="130" t="s">
        <v>1461</v>
      </c>
      <c r="E2211" s="130" t="s">
        <v>1116</v>
      </c>
      <c r="F2211" s="130" t="s">
        <v>1117</v>
      </c>
      <c r="G2211" s="130" t="s">
        <v>1118</v>
      </c>
      <c r="H2211" s="130" t="s">
        <v>1149</v>
      </c>
      <c r="I2211" s="130" t="s">
        <v>1182</v>
      </c>
      <c r="J2211" s="130" t="s">
        <v>2221</v>
      </c>
      <c r="K2211" s="130" t="s">
        <v>2222</v>
      </c>
      <c r="L2211" s="130" t="s">
        <v>2337</v>
      </c>
      <c r="M2211" s="130" t="s">
        <v>1925</v>
      </c>
      <c r="N2211" s="130" t="s">
        <v>127</v>
      </c>
      <c r="O2211" s="130" t="s">
        <v>2233</v>
      </c>
      <c r="P2211" s="130" t="s">
        <v>2234</v>
      </c>
      <c r="Q2211" s="130" t="s">
        <v>1127</v>
      </c>
      <c r="R2211" s="130" t="s">
        <v>1191</v>
      </c>
      <c r="S2211" s="130" t="s">
        <v>1191</v>
      </c>
      <c r="T2211" s="130" t="s">
        <v>1188</v>
      </c>
      <c r="U2211" s="130">
        <v>0</v>
      </c>
      <c r="V2211" s="131">
        <v>319200</v>
      </c>
      <c r="W2211" s="131">
        <v>319200</v>
      </c>
      <c r="X2211" s="131">
        <v>198360</v>
      </c>
      <c r="Y2211" s="131">
        <v>120840</v>
      </c>
      <c r="Z2211" s="131">
        <v>62360</v>
      </c>
      <c r="AA2211" s="131">
        <v>256840</v>
      </c>
      <c r="AB2211" s="131">
        <v>62360</v>
      </c>
      <c r="AC2211" s="131">
        <v>256840</v>
      </c>
      <c r="AD2211" s="131">
        <v>62360</v>
      </c>
      <c r="AE2211" s="132">
        <v>256840</v>
      </c>
    </row>
    <row r="2212" spans="1:31" x14ac:dyDescent="0.2">
      <c r="A2212" s="133">
        <v>418</v>
      </c>
      <c r="B2212" s="133" t="s">
        <v>1005</v>
      </c>
      <c r="C2212" s="133" t="s">
        <v>1147</v>
      </c>
      <c r="D2212" s="133" t="s">
        <v>1461</v>
      </c>
      <c r="E2212" s="133" t="s">
        <v>1116</v>
      </c>
      <c r="F2212" s="133" t="s">
        <v>1117</v>
      </c>
      <c r="G2212" s="133" t="s">
        <v>1118</v>
      </c>
      <c r="H2212" s="130" t="s">
        <v>1133</v>
      </c>
      <c r="I2212" s="130" t="s">
        <v>1134</v>
      </c>
      <c r="J2212" s="130" t="s">
        <v>1135</v>
      </c>
      <c r="K2212" s="130" t="s">
        <v>1144</v>
      </c>
      <c r="L2212" s="130" t="s">
        <v>2337</v>
      </c>
      <c r="M2212" s="130" t="s">
        <v>1925</v>
      </c>
      <c r="N2212" s="130" t="s">
        <v>127</v>
      </c>
      <c r="O2212" s="130" t="s">
        <v>2233</v>
      </c>
      <c r="P2212" s="130" t="s">
        <v>2234</v>
      </c>
      <c r="Q2212" s="130" t="s">
        <v>1127</v>
      </c>
      <c r="R2212" s="130" t="s">
        <v>1191</v>
      </c>
      <c r="S2212" s="130" t="s">
        <v>1191</v>
      </c>
      <c r="T2212" s="130" t="s">
        <v>1188</v>
      </c>
      <c r="U2212" s="130">
        <v>0</v>
      </c>
      <c r="V2212" s="131">
        <v>30800</v>
      </c>
      <c r="W2212" s="131">
        <v>30800</v>
      </c>
      <c r="X2212" s="131">
        <v>0</v>
      </c>
      <c r="Y2212" s="131">
        <v>30800</v>
      </c>
      <c r="Z2212" s="131">
        <v>0</v>
      </c>
      <c r="AA2212" s="131">
        <v>30800</v>
      </c>
      <c r="AB2212" s="131">
        <v>0</v>
      </c>
      <c r="AC2212" s="131">
        <v>30800</v>
      </c>
      <c r="AD2212" s="131">
        <v>0</v>
      </c>
      <c r="AE2212" s="132">
        <v>30800</v>
      </c>
    </row>
    <row r="2213" spans="1:31" x14ac:dyDescent="0.2">
      <c r="A2213" s="130">
        <v>419</v>
      </c>
      <c r="B2213" s="130" t="s">
        <v>1006</v>
      </c>
      <c r="C2213" s="130" t="s">
        <v>1147</v>
      </c>
      <c r="D2213" s="130" t="s">
        <v>1461</v>
      </c>
      <c r="E2213" s="130" t="s">
        <v>1116</v>
      </c>
      <c r="F2213" s="130" t="s">
        <v>1117</v>
      </c>
      <c r="G2213" s="130" t="s">
        <v>1118</v>
      </c>
      <c r="H2213" s="130" t="s">
        <v>1149</v>
      </c>
      <c r="I2213" s="130" t="s">
        <v>1182</v>
      </c>
      <c r="J2213" s="130" t="s">
        <v>2221</v>
      </c>
      <c r="K2213" s="130" t="s">
        <v>2222</v>
      </c>
      <c r="L2213" s="130" t="s">
        <v>2338</v>
      </c>
      <c r="M2213" s="130" t="s">
        <v>1925</v>
      </c>
      <c r="N2213" s="130" t="s">
        <v>127</v>
      </c>
      <c r="O2213" s="130" t="s">
        <v>1933</v>
      </c>
      <c r="P2213" s="130" t="s">
        <v>1934</v>
      </c>
      <c r="Q2213" s="130" t="s">
        <v>1127</v>
      </c>
      <c r="R2213" s="130" t="s">
        <v>1409</v>
      </c>
      <c r="S2213" s="130" t="s">
        <v>1431</v>
      </c>
      <c r="T2213" s="130" t="s">
        <v>1188</v>
      </c>
      <c r="U2213" s="130">
        <v>0</v>
      </c>
      <c r="V2213" s="131">
        <v>147000</v>
      </c>
      <c r="W2213" s="131">
        <v>147000</v>
      </c>
      <c r="X2213" s="131">
        <v>147000</v>
      </c>
      <c r="Y2213" s="131">
        <v>0</v>
      </c>
      <c r="Z2213" s="131">
        <v>0</v>
      </c>
      <c r="AA2213" s="131">
        <v>147000</v>
      </c>
      <c r="AB2213" s="131">
        <v>0</v>
      </c>
      <c r="AC2213" s="131">
        <v>147000</v>
      </c>
      <c r="AD2213" s="131">
        <v>0</v>
      </c>
      <c r="AE2213" s="132">
        <v>147000</v>
      </c>
    </row>
    <row r="2214" spans="1:31" x14ac:dyDescent="0.2">
      <c r="A2214" s="133">
        <v>419</v>
      </c>
      <c r="B2214" s="133" t="s">
        <v>1006</v>
      </c>
      <c r="C2214" s="133" t="s">
        <v>1147</v>
      </c>
      <c r="D2214" s="133" t="s">
        <v>1461</v>
      </c>
      <c r="E2214" s="133" t="s">
        <v>1116</v>
      </c>
      <c r="F2214" s="133" t="s">
        <v>1117</v>
      </c>
      <c r="G2214" s="133" t="s">
        <v>1118</v>
      </c>
      <c r="H2214" s="130" t="s">
        <v>1133</v>
      </c>
      <c r="I2214" s="130" t="s">
        <v>1134</v>
      </c>
      <c r="J2214" s="130" t="s">
        <v>1135</v>
      </c>
      <c r="K2214" s="130" t="s">
        <v>1144</v>
      </c>
      <c r="L2214" s="130" t="s">
        <v>2338</v>
      </c>
      <c r="M2214" s="130" t="s">
        <v>1925</v>
      </c>
      <c r="N2214" s="130" t="s">
        <v>127</v>
      </c>
      <c r="O2214" s="130" t="s">
        <v>1933</v>
      </c>
      <c r="P2214" s="130" t="s">
        <v>1934</v>
      </c>
      <c r="Q2214" s="130" t="s">
        <v>1127</v>
      </c>
      <c r="R2214" s="130" t="s">
        <v>1409</v>
      </c>
      <c r="S2214" s="130" t="s">
        <v>1431</v>
      </c>
      <c r="T2214" s="130" t="s">
        <v>1188</v>
      </c>
      <c r="U2214" s="130">
        <v>0</v>
      </c>
      <c r="V2214" s="131">
        <v>12584</v>
      </c>
      <c r="W2214" s="131">
        <v>12584</v>
      </c>
      <c r="X2214" s="131">
        <v>0</v>
      </c>
      <c r="Y2214" s="131">
        <v>12584</v>
      </c>
      <c r="Z2214" s="131">
        <v>0</v>
      </c>
      <c r="AA2214" s="131">
        <v>12584</v>
      </c>
      <c r="AB2214" s="131">
        <v>0</v>
      </c>
      <c r="AC2214" s="131">
        <v>12584</v>
      </c>
      <c r="AD2214" s="131">
        <v>0</v>
      </c>
      <c r="AE2214" s="132">
        <v>12584</v>
      </c>
    </row>
    <row r="2215" spans="1:31" x14ac:dyDescent="0.2">
      <c r="A2215" s="130">
        <v>420</v>
      </c>
      <c r="B2215" s="130" t="s">
        <v>1007</v>
      </c>
      <c r="C2215" s="130" t="s">
        <v>1147</v>
      </c>
      <c r="D2215" s="130" t="s">
        <v>1461</v>
      </c>
      <c r="E2215" s="130" t="s">
        <v>1116</v>
      </c>
      <c r="F2215" s="130" t="s">
        <v>1117</v>
      </c>
      <c r="G2215" s="130" t="s">
        <v>1118</v>
      </c>
      <c r="H2215" s="130" t="s">
        <v>1149</v>
      </c>
      <c r="I2215" s="130" t="s">
        <v>1182</v>
      </c>
      <c r="J2215" s="130" t="s">
        <v>2221</v>
      </c>
      <c r="K2215" s="130" t="s">
        <v>2222</v>
      </c>
      <c r="L2215" s="130" t="s">
        <v>2339</v>
      </c>
      <c r="M2215" s="130" t="s">
        <v>1925</v>
      </c>
      <c r="N2215" s="130" t="s">
        <v>127</v>
      </c>
      <c r="O2215" s="130" t="s">
        <v>1933</v>
      </c>
      <c r="P2215" s="130" t="s">
        <v>1934</v>
      </c>
      <c r="Q2215" s="130" t="s">
        <v>1127</v>
      </c>
      <c r="R2215" s="130" t="s">
        <v>1191</v>
      </c>
      <c r="S2215" s="130" t="s">
        <v>2316</v>
      </c>
      <c r="T2215" s="130" t="s">
        <v>1188</v>
      </c>
      <c r="U2215" s="130">
        <v>0</v>
      </c>
      <c r="V2215" s="131">
        <v>144000</v>
      </c>
      <c r="W2215" s="131">
        <v>144000</v>
      </c>
      <c r="X2215" s="131">
        <v>89300</v>
      </c>
      <c r="Y2215" s="131">
        <v>54700</v>
      </c>
      <c r="Z2215" s="131">
        <v>69300</v>
      </c>
      <c r="AA2215" s="131">
        <v>74700</v>
      </c>
      <c r="AB2215" s="131">
        <v>69300</v>
      </c>
      <c r="AC2215" s="131">
        <v>74700</v>
      </c>
      <c r="AD2215" s="131">
        <v>51100</v>
      </c>
      <c r="AE2215" s="132">
        <v>92900</v>
      </c>
    </row>
    <row r="2216" spans="1:31" x14ac:dyDescent="0.2">
      <c r="A2216" s="133">
        <v>420</v>
      </c>
      <c r="B2216" s="133" t="s">
        <v>1007</v>
      </c>
      <c r="C2216" s="133" t="s">
        <v>1147</v>
      </c>
      <c r="D2216" s="133" t="s">
        <v>1461</v>
      </c>
      <c r="E2216" s="133" t="s">
        <v>1116</v>
      </c>
      <c r="F2216" s="133" t="s">
        <v>1117</v>
      </c>
      <c r="G2216" s="133" t="s">
        <v>1118</v>
      </c>
      <c r="H2216" s="130" t="s">
        <v>1133</v>
      </c>
      <c r="I2216" s="130" t="s">
        <v>1134</v>
      </c>
      <c r="J2216" s="130" t="s">
        <v>1135</v>
      </c>
      <c r="K2216" s="130" t="s">
        <v>1144</v>
      </c>
      <c r="L2216" s="130" t="s">
        <v>2339</v>
      </c>
      <c r="M2216" s="130" t="s">
        <v>1925</v>
      </c>
      <c r="N2216" s="130" t="s">
        <v>127</v>
      </c>
      <c r="O2216" s="130" t="s">
        <v>1933</v>
      </c>
      <c r="P2216" s="130" t="s">
        <v>1934</v>
      </c>
      <c r="Q2216" s="130" t="s">
        <v>1127</v>
      </c>
      <c r="R2216" s="130" t="s">
        <v>1191</v>
      </c>
      <c r="S2216" s="130" t="s">
        <v>2316</v>
      </c>
      <c r="T2216" s="130" t="s">
        <v>1188</v>
      </c>
      <c r="U2216" s="130">
        <v>0</v>
      </c>
      <c r="V2216" s="131">
        <v>16000</v>
      </c>
      <c r="W2216" s="131">
        <v>16000</v>
      </c>
      <c r="X2216" s="131">
        <v>0</v>
      </c>
      <c r="Y2216" s="131">
        <v>16000</v>
      </c>
      <c r="Z2216" s="131">
        <v>0</v>
      </c>
      <c r="AA2216" s="131">
        <v>16000</v>
      </c>
      <c r="AB2216" s="131">
        <v>0</v>
      </c>
      <c r="AC2216" s="131">
        <v>16000</v>
      </c>
      <c r="AD2216" s="131">
        <v>0</v>
      </c>
      <c r="AE2216" s="132">
        <v>16000</v>
      </c>
    </row>
    <row r="2217" spans="1:31" x14ac:dyDescent="0.2">
      <c r="A2217" s="130">
        <v>421</v>
      </c>
      <c r="B2217" s="130" t="s">
        <v>1008</v>
      </c>
      <c r="C2217" s="130" t="s">
        <v>1147</v>
      </c>
      <c r="D2217" s="130" t="s">
        <v>1461</v>
      </c>
      <c r="E2217" s="130" t="s">
        <v>1116</v>
      </c>
      <c r="F2217" s="130" t="s">
        <v>1117</v>
      </c>
      <c r="G2217" s="130" t="s">
        <v>1118</v>
      </c>
      <c r="H2217" s="130" t="s">
        <v>1149</v>
      </c>
      <c r="I2217" s="130" t="s">
        <v>1182</v>
      </c>
      <c r="J2217" s="130" t="s">
        <v>2221</v>
      </c>
      <c r="K2217" s="130" t="s">
        <v>2222</v>
      </c>
      <c r="L2217" s="130" t="s">
        <v>2340</v>
      </c>
      <c r="M2217" s="130" t="s">
        <v>1925</v>
      </c>
      <c r="N2217" s="130" t="s">
        <v>127</v>
      </c>
      <c r="O2217" s="130" t="s">
        <v>1933</v>
      </c>
      <c r="P2217" s="130" t="s">
        <v>1934</v>
      </c>
      <c r="Q2217" s="130" t="s">
        <v>1127</v>
      </c>
      <c r="R2217" s="130" t="s">
        <v>1128</v>
      </c>
      <c r="S2217" s="130" t="s">
        <v>2341</v>
      </c>
      <c r="T2217" s="130" t="s">
        <v>1188</v>
      </c>
      <c r="U2217" s="130">
        <v>0</v>
      </c>
      <c r="V2217" s="131">
        <v>319103</v>
      </c>
      <c r="W2217" s="131">
        <v>319103</v>
      </c>
      <c r="X2217" s="131">
        <v>112200</v>
      </c>
      <c r="Y2217" s="131">
        <v>206903</v>
      </c>
      <c r="Z2217" s="131">
        <v>40200</v>
      </c>
      <c r="AA2217" s="131">
        <v>278903</v>
      </c>
      <c r="AB2217" s="131">
        <v>40200</v>
      </c>
      <c r="AC2217" s="131">
        <v>278903</v>
      </c>
      <c r="AD2217" s="131">
        <v>0</v>
      </c>
      <c r="AE2217" s="132">
        <v>319103</v>
      </c>
    </row>
    <row r="2218" spans="1:31" x14ac:dyDescent="0.2">
      <c r="A2218" s="133">
        <v>421</v>
      </c>
      <c r="B2218" s="133" t="s">
        <v>1008</v>
      </c>
      <c r="C2218" s="133" t="s">
        <v>1147</v>
      </c>
      <c r="D2218" s="133" t="s">
        <v>1461</v>
      </c>
      <c r="E2218" s="133" t="s">
        <v>1116</v>
      </c>
      <c r="F2218" s="133" t="s">
        <v>1117</v>
      </c>
      <c r="G2218" s="133" t="s">
        <v>1118</v>
      </c>
      <c r="H2218" s="130" t="s">
        <v>1133</v>
      </c>
      <c r="I2218" s="130" t="s">
        <v>1134</v>
      </c>
      <c r="J2218" s="130" t="s">
        <v>1135</v>
      </c>
      <c r="K2218" s="130" t="s">
        <v>1144</v>
      </c>
      <c r="L2218" s="130" t="s">
        <v>2340</v>
      </c>
      <c r="M2218" s="130" t="s">
        <v>1925</v>
      </c>
      <c r="N2218" s="130" t="s">
        <v>127</v>
      </c>
      <c r="O2218" s="130" t="s">
        <v>1933</v>
      </c>
      <c r="P2218" s="130" t="s">
        <v>1934</v>
      </c>
      <c r="Q2218" s="130" t="s">
        <v>1127</v>
      </c>
      <c r="R2218" s="130" t="s">
        <v>1128</v>
      </c>
      <c r="S2218" s="130" t="s">
        <v>2341</v>
      </c>
      <c r="T2218" s="130" t="s">
        <v>1188</v>
      </c>
      <c r="U2218" s="130">
        <v>0</v>
      </c>
      <c r="V2218" s="131">
        <v>27608</v>
      </c>
      <c r="W2218" s="131">
        <v>27608</v>
      </c>
      <c r="X2218" s="131">
        <v>0</v>
      </c>
      <c r="Y2218" s="131">
        <v>27608</v>
      </c>
      <c r="Z2218" s="131">
        <v>0</v>
      </c>
      <c r="AA2218" s="131">
        <v>27608</v>
      </c>
      <c r="AB2218" s="131">
        <v>0</v>
      </c>
      <c r="AC2218" s="131">
        <v>27608</v>
      </c>
      <c r="AD2218" s="131">
        <v>0</v>
      </c>
      <c r="AE2218" s="132">
        <v>27608</v>
      </c>
    </row>
    <row r="2219" spans="1:31" x14ac:dyDescent="0.2">
      <c r="A2219" s="130">
        <v>422</v>
      </c>
      <c r="B2219" s="130" t="s">
        <v>1009</v>
      </c>
      <c r="C2219" s="130" t="s">
        <v>1147</v>
      </c>
      <c r="D2219" s="130" t="s">
        <v>1461</v>
      </c>
      <c r="E2219" s="130" t="s">
        <v>1116</v>
      </c>
      <c r="F2219" s="130" t="s">
        <v>1117</v>
      </c>
      <c r="G2219" s="130" t="s">
        <v>1118</v>
      </c>
      <c r="H2219" s="130" t="s">
        <v>1149</v>
      </c>
      <c r="I2219" s="130" t="s">
        <v>1182</v>
      </c>
      <c r="J2219" s="130" t="s">
        <v>2221</v>
      </c>
      <c r="K2219" s="130" t="s">
        <v>2222</v>
      </c>
      <c r="L2219" s="130" t="s">
        <v>2342</v>
      </c>
      <c r="M2219" s="130" t="s">
        <v>1925</v>
      </c>
      <c r="N2219" s="130" t="s">
        <v>127</v>
      </c>
      <c r="O2219" s="130" t="s">
        <v>1933</v>
      </c>
      <c r="P2219" s="130" t="s">
        <v>1934</v>
      </c>
      <c r="Q2219" s="130" t="s">
        <v>1127</v>
      </c>
      <c r="R2219" s="130" t="s">
        <v>1417</v>
      </c>
      <c r="S2219" s="130" t="s">
        <v>1418</v>
      </c>
      <c r="T2219" s="130" t="s">
        <v>1188</v>
      </c>
      <c r="U2219" s="130">
        <v>0</v>
      </c>
      <c r="V2219" s="131">
        <v>145300</v>
      </c>
      <c r="W2219" s="131">
        <v>145300</v>
      </c>
      <c r="X2219" s="131">
        <v>28110</v>
      </c>
      <c r="Y2219" s="131">
        <v>117190</v>
      </c>
      <c r="Z2219" s="131">
        <v>28110</v>
      </c>
      <c r="AA2219" s="131">
        <v>117190</v>
      </c>
      <c r="AB2219" s="131">
        <v>28110</v>
      </c>
      <c r="AC2219" s="131">
        <v>117190</v>
      </c>
      <c r="AD2219" s="131">
        <v>28110</v>
      </c>
      <c r="AE2219" s="132">
        <v>117190</v>
      </c>
    </row>
    <row r="2220" spans="1:31" x14ac:dyDescent="0.2">
      <c r="A2220" s="133">
        <v>422</v>
      </c>
      <c r="B2220" s="133" t="s">
        <v>1009</v>
      </c>
      <c r="C2220" s="133" t="s">
        <v>1147</v>
      </c>
      <c r="D2220" s="133" t="s">
        <v>1461</v>
      </c>
      <c r="E2220" s="133" t="s">
        <v>1116</v>
      </c>
      <c r="F2220" s="133" t="s">
        <v>1117</v>
      </c>
      <c r="G2220" s="133" t="s">
        <v>1118</v>
      </c>
      <c r="H2220" s="130" t="s">
        <v>1133</v>
      </c>
      <c r="I2220" s="130" t="s">
        <v>1134</v>
      </c>
      <c r="J2220" s="130" t="s">
        <v>1135</v>
      </c>
      <c r="K2220" s="130" t="s">
        <v>1144</v>
      </c>
      <c r="L2220" s="130" t="s">
        <v>2342</v>
      </c>
      <c r="M2220" s="130" t="s">
        <v>1925</v>
      </c>
      <c r="N2220" s="130" t="s">
        <v>127</v>
      </c>
      <c r="O2220" s="130" t="s">
        <v>1933</v>
      </c>
      <c r="P2220" s="130" t="s">
        <v>1934</v>
      </c>
      <c r="Q2220" s="130" t="s">
        <v>1127</v>
      </c>
      <c r="R2220" s="130" t="s">
        <v>1417</v>
      </c>
      <c r="S2220" s="130" t="s">
        <v>1418</v>
      </c>
      <c r="T2220" s="130" t="s">
        <v>1188</v>
      </c>
      <c r="U2220" s="130">
        <v>0</v>
      </c>
      <c r="V2220" s="131">
        <v>14530</v>
      </c>
      <c r="W2220" s="131">
        <v>14530</v>
      </c>
      <c r="X2220" s="131">
        <v>7265</v>
      </c>
      <c r="Y2220" s="131">
        <v>7265</v>
      </c>
      <c r="Z2220" s="131">
        <v>7265</v>
      </c>
      <c r="AA2220" s="131">
        <v>7265</v>
      </c>
      <c r="AB2220" s="131">
        <v>7265</v>
      </c>
      <c r="AC2220" s="131">
        <v>7265</v>
      </c>
      <c r="AD2220" s="131">
        <v>0</v>
      </c>
      <c r="AE2220" s="132">
        <v>14530</v>
      </c>
    </row>
    <row r="2221" spans="1:31" x14ac:dyDescent="0.2">
      <c r="A2221" s="130">
        <v>423</v>
      </c>
      <c r="B2221" s="130" t="s">
        <v>1010</v>
      </c>
      <c r="C2221" s="130" t="s">
        <v>1147</v>
      </c>
      <c r="D2221" s="130" t="s">
        <v>1461</v>
      </c>
      <c r="E2221" s="130" t="s">
        <v>1116</v>
      </c>
      <c r="F2221" s="130" t="s">
        <v>1117</v>
      </c>
      <c r="G2221" s="130" t="s">
        <v>1118</v>
      </c>
      <c r="H2221" s="130" t="s">
        <v>1149</v>
      </c>
      <c r="I2221" s="130" t="s">
        <v>1182</v>
      </c>
      <c r="J2221" s="130" t="s">
        <v>2221</v>
      </c>
      <c r="K2221" s="130" t="s">
        <v>2222</v>
      </c>
      <c r="L2221" s="130" t="s">
        <v>2343</v>
      </c>
      <c r="M2221" s="130" t="s">
        <v>1925</v>
      </c>
      <c r="N2221" s="130" t="s">
        <v>127</v>
      </c>
      <c r="O2221" s="130" t="s">
        <v>2233</v>
      </c>
      <c r="P2221" s="130" t="s">
        <v>2234</v>
      </c>
      <c r="Q2221" s="130" t="s">
        <v>1127</v>
      </c>
      <c r="R2221" s="130" t="s">
        <v>1191</v>
      </c>
      <c r="S2221" s="130" t="s">
        <v>2316</v>
      </c>
      <c r="T2221" s="130" t="s">
        <v>1188</v>
      </c>
      <c r="U2221" s="130">
        <v>0</v>
      </c>
      <c r="V2221" s="131">
        <v>144000</v>
      </c>
      <c r="W2221" s="131">
        <v>144000</v>
      </c>
      <c r="X2221" s="131">
        <v>0</v>
      </c>
      <c r="Y2221" s="131">
        <v>144000</v>
      </c>
      <c r="Z2221" s="131">
        <v>0</v>
      </c>
      <c r="AA2221" s="131">
        <v>144000</v>
      </c>
      <c r="AB2221" s="131">
        <v>0</v>
      </c>
      <c r="AC2221" s="131">
        <v>144000</v>
      </c>
      <c r="AD2221" s="131">
        <v>0</v>
      </c>
      <c r="AE2221" s="132">
        <v>144000</v>
      </c>
    </row>
    <row r="2222" spans="1:31" x14ac:dyDescent="0.2">
      <c r="A2222" s="133">
        <v>423</v>
      </c>
      <c r="B2222" s="133" t="s">
        <v>1010</v>
      </c>
      <c r="C2222" s="133" t="s">
        <v>1147</v>
      </c>
      <c r="D2222" s="133" t="s">
        <v>1461</v>
      </c>
      <c r="E2222" s="133" t="s">
        <v>1116</v>
      </c>
      <c r="F2222" s="133" t="s">
        <v>1117</v>
      </c>
      <c r="G2222" s="133" t="s">
        <v>1118</v>
      </c>
      <c r="H2222" s="130" t="s">
        <v>1133</v>
      </c>
      <c r="I2222" s="130" t="s">
        <v>1134</v>
      </c>
      <c r="J2222" s="130" t="s">
        <v>1135</v>
      </c>
      <c r="K2222" s="130" t="s">
        <v>1144</v>
      </c>
      <c r="L2222" s="130" t="s">
        <v>2343</v>
      </c>
      <c r="M2222" s="130" t="s">
        <v>1925</v>
      </c>
      <c r="N2222" s="130" t="s">
        <v>127</v>
      </c>
      <c r="O2222" s="130" t="s">
        <v>2233</v>
      </c>
      <c r="P2222" s="130" t="s">
        <v>2234</v>
      </c>
      <c r="Q2222" s="130" t="s">
        <v>1127</v>
      </c>
      <c r="R2222" s="130" t="s">
        <v>1191</v>
      </c>
      <c r="S2222" s="130" t="s">
        <v>2316</v>
      </c>
      <c r="T2222" s="130" t="s">
        <v>1188</v>
      </c>
      <c r="U2222" s="130">
        <v>0</v>
      </c>
      <c r="V2222" s="131">
        <v>16000</v>
      </c>
      <c r="W2222" s="131">
        <v>16000</v>
      </c>
      <c r="X2222" s="131">
        <v>0</v>
      </c>
      <c r="Y2222" s="131">
        <v>16000</v>
      </c>
      <c r="Z2222" s="131">
        <v>0</v>
      </c>
      <c r="AA2222" s="131">
        <v>16000</v>
      </c>
      <c r="AB2222" s="131">
        <v>0</v>
      </c>
      <c r="AC2222" s="131">
        <v>16000</v>
      </c>
      <c r="AD2222" s="131">
        <v>0</v>
      </c>
      <c r="AE2222" s="132">
        <v>16000</v>
      </c>
    </row>
    <row r="2223" spans="1:31" x14ac:dyDescent="0.2">
      <c r="A2223" s="130">
        <v>424</v>
      </c>
      <c r="B2223" s="130" t="s">
        <v>1011</v>
      </c>
      <c r="C2223" s="130" t="s">
        <v>1147</v>
      </c>
      <c r="D2223" s="130" t="s">
        <v>1461</v>
      </c>
      <c r="E2223" s="130" t="s">
        <v>1116</v>
      </c>
      <c r="F2223" s="130" t="s">
        <v>1117</v>
      </c>
      <c r="G2223" s="130" t="s">
        <v>1118</v>
      </c>
      <c r="H2223" s="130" t="s">
        <v>1149</v>
      </c>
      <c r="I2223" s="130" t="s">
        <v>1182</v>
      </c>
      <c r="J2223" s="130" t="s">
        <v>2221</v>
      </c>
      <c r="K2223" s="130" t="s">
        <v>2222</v>
      </c>
      <c r="L2223" s="130" t="s">
        <v>2344</v>
      </c>
      <c r="M2223" s="130" t="s">
        <v>1925</v>
      </c>
      <c r="N2223" s="130" t="s">
        <v>127</v>
      </c>
      <c r="O2223" s="130" t="s">
        <v>1933</v>
      </c>
      <c r="P2223" s="130" t="s">
        <v>1934</v>
      </c>
      <c r="Q2223" s="130" t="s">
        <v>1127</v>
      </c>
      <c r="R2223" s="130" t="s">
        <v>1128</v>
      </c>
      <c r="S2223" s="130" t="s">
        <v>1129</v>
      </c>
      <c r="T2223" s="130" t="s">
        <v>1188</v>
      </c>
      <c r="U2223" s="130">
        <v>0</v>
      </c>
      <c r="V2223" s="131">
        <v>312843</v>
      </c>
      <c r="W2223" s="131">
        <v>312843</v>
      </c>
      <c r="X2223" s="131">
        <v>153470</v>
      </c>
      <c r="Y2223" s="131">
        <v>159373</v>
      </c>
      <c r="Z2223" s="131">
        <v>93470</v>
      </c>
      <c r="AA2223" s="131">
        <v>219373</v>
      </c>
      <c r="AB2223" s="131">
        <v>93470</v>
      </c>
      <c r="AC2223" s="131">
        <v>219373</v>
      </c>
      <c r="AD2223" s="131">
        <v>59600</v>
      </c>
      <c r="AE2223" s="132">
        <v>253243</v>
      </c>
    </row>
    <row r="2224" spans="1:31" x14ac:dyDescent="0.2">
      <c r="A2224" s="133">
        <v>424</v>
      </c>
      <c r="B2224" s="133" t="s">
        <v>1011</v>
      </c>
      <c r="C2224" s="133" t="s">
        <v>1147</v>
      </c>
      <c r="D2224" s="133" t="s">
        <v>1461</v>
      </c>
      <c r="E2224" s="133" t="s">
        <v>1116</v>
      </c>
      <c r="F2224" s="133" t="s">
        <v>1117</v>
      </c>
      <c r="G2224" s="133" t="s">
        <v>1118</v>
      </c>
      <c r="H2224" s="130" t="s">
        <v>1133</v>
      </c>
      <c r="I2224" s="130" t="s">
        <v>1134</v>
      </c>
      <c r="J2224" s="130" t="s">
        <v>1135</v>
      </c>
      <c r="K2224" s="130" t="s">
        <v>1144</v>
      </c>
      <c r="L2224" s="130" t="s">
        <v>2344</v>
      </c>
      <c r="M2224" s="130" t="s">
        <v>1925</v>
      </c>
      <c r="N2224" s="130" t="s">
        <v>127</v>
      </c>
      <c r="O2224" s="130" t="s">
        <v>1933</v>
      </c>
      <c r="P2224" s="130" t="s">
        <v>1934</v>
      </c>
      <c r="Q2224" s="130" t="s">
        <v>1127</v>
      </c>
      <c r="R2224" s="130" t="s">
        <v>1128</v>
      </c>
      <c r="S2224" s="130" t="s">
        <v>1129</v>
      </c>
      <c r="T2224" s="130" t="s">
        <v>1188</v>
      </c>
      <c r="U2224" s="130">
        <v>0</v>
      </c>
      <c r="V2224" s="131">
        <v>37107</v>
      </c>
      <c r="W2224" s="131">
        <v>37107</v>
      </c>
      <c r="X2224" s="131">
        <v>0</v>
      </c>
      <c r="Y2224" s="131">
        <v>37107</v>
      </c>
      <c r="Z2224" s="131">
        <v>0</v>
      </c>
      <c r="AA2224" s="131">
        <v>37107</v>
      </c>
      <c r="AB2224" s="131">
        <v>0</v>
      </c>
      <c r="AC2224" s="131">
        <v>37107</v>
      </c>
      <c r="AD2224" s="131">
        <v>0</v>
      </c>
      <c r="AE2224" s="132">
        <v>37107</v>
      </c>
    </row>
    <row r="2225" spans="1:31" x14ac:dyDescent="0.2">
      <c r="A2225" s="130">
        <v>425</v>
      </c>
      <c r="B2225" s="130" t="s">
        <v>1012</v>
      </c>
      <c r="C2225" s="130" t="s">
        <v>1147</v>
      </c>
      <c r="D2225" s="130" t="s">
        <v>1461</v>
      </c>
      <c r="E2225" s="130" t="s">
        <v>1116</v>
      </c>
      <c r="F2225" s="130" t="s">
        <v>1117</v>
      </c>
      <c r="G2225" s="130" t="s">
        <v>1118</v>
      </c>
      <c r="H2225" s="130" t="s">
        <v>1149</v>
      </c>
      <c r="I2225" s="130" t="s">
        <v>1182</v>
      </c>
      <c r="J2225" s="130" t="s">
        <v>2221</v>
      </c>
      <c r="K2225" s="130" t="s">
        <v>2222</v>
      </c>
      <c r="L2225" s="130" t="s">
        <v>2345</v>
      </c>
      <c r="M2225" s="130" t="s">
        <v>1925</v>
      </c>
      <c r="N2225" s="130" t="s">
        <v>127</v>
      </c>
      <c r="O2225" s="130" t="s">
        <v>1933</v>
      </c>
      <c r="P2225" s="130" t="s">
        <v>1934</v>
      </c>
      <c r="Q2225" s="130" t="s">
        <v>1127</v>
      </c>
      <c r="R2225" s="130" t="s">
        <v>1191</v>
      </c>
      <c r="S2225" s="130" t="s">
        <v>1807</v>
      </c>
      <c r="T2225" s="130" t="s">
        <v>1188</v>
      </c>
      <c r="U2225" s="130">
        <v>0</v>
      </c>
      <c r="V2225" s="131">
        <v>147200</v>
      </c>
      <c r="W2225" s="131">
        <v>147200</v>
      </c>
      <c r="X2225" s="131">
        <v>75350</v>
      </c>
      <c r="Y2225" s="131">
        <v>71850</v>
      </c>
      <c r="Z2225" s="131">
        <v>25920</v>
      </c>
      <c r="AA2225" s="131">
        <v>121280</v>
      </c>
      <c r="AB2225" s="131">
        <v>25920</v>
      </c>
      <c r="AC2225" s="131">
        <v>121280</v>
      </c>
      <c r="AD2225" s="131">
        <v>25920</v>
      </c>
      <c r="AE2225" s="132">
        <v>121280</v>
      </c>
    </row>
    <row r="2226" spans="1:31" x14ac:dyDescent="0.2">
      <c r="A2226" s="133">
        <v>425</v>
      </c>
      <c r="B2226" s="133" t="s">
        <v>1012</v>
      </c>
      <c r="C2226" s="133" t="s">
        <v>1147</v>
      </c>
      <c r="D2226" s="133" t="s">
        <v>1461</v>
      </c>
      <c r="E2226" s="133" t="s">
        <v>1116</v>
      </c>
      <c r="F2226" s="133" t="s">
        <v>1117</v>
      </c>
      <c r="G2226" s="133" t="s">
        <v>1118</v>
      </c>
      <c r="H2226" s="130" t="s">
        <v>1133</v>
      </c>
      <c r="I2226" s="130" t="s">
        <v>1134</v>
      </c>
      <c r="J2226" s="130" t="s">
        <v>1135</v>
      </c>
      <c r="K2226" s="130" t="s">
        <v>1144</v>
      </c>
      <c r="L2226" s="130" t="s">
        <v>2345</v>
      </c>
      <c r="M2226" s="130" t="s">
        <v>1925</v>
      </c>
      <c r="N2226" s="130" t="s">
        <v>127</v>
      </c>
      <c r="O2226" s="130" t="s">
        <v>1933</v>
      </c>
      <c r="P2226" s="130" t="s">
        <v>1934</v>
      </c>
      <c r="Q2226" s="130" t="s">
        <v>1127</v>
      </c>
      <c r="R2226" s="130" t="s">
        <v>1191</v>
      </c>
      <c r="S2226" s="130" t="s">
        <v>1807</v>
      </c>
      <c r="T2226" s="130" t="s">
        <v>1188</v>
      </c>
      <c r="U2226" s="130">
        <v>0</v>
      </c>
      <c r="V2226" s="131">
        <v>12800</v>
      </c>
      <c r="W2226" s="131">
        <v>12800</v>
      </c>
      <c r="X2226" s="131">
        <v>0</v>
      </c>
      <c r="Y2226" s="131">
        <v>12800</v>
      </c>
      <c r="Z2226" s="131">
        <v>0</v>
      </c>
      <c r="AA2226" s="131">
        <v>12800</v>
      </c>
      <c r="AB2226" s="131">
        <v>0</v>
      </c>
      <c r="AC2226" s="131">
        <v>12800</v>
      </c>
      <c r="AD2226" s="131">
        <v>0</v>
      </c>
      <c r="AE2226" s="132">
        <v>12800</v>
      </c>
    </row>
    <row r="2227" spans="1:31" x14ac:dyDescent="0.2">
      <c r="A2227" s="130">
        <v>426</v>
      </c>
      <c r="B2227" s="130" t="s">
        <v>1013</v>
      </c>
      <c r="C2227" s="130" t="s">
        <v>1147</v>
      </c>
      <c r="D2227" s="130" t="s">
        <v>1461</v>
      </c>
      <c r="E2227" s="130" t="s">
        <v>1116</v>
      </c>
      <c r="F2227" s="130" t="s">
        <v>1117</v>
      </c>
      <c r="G2227" s="130" t="s">
        <v>1118</v>
      </c>
      <c r="H2227" s="130" t="s">
        <v>1149</v>
      </c>
      <c r="I2227" s="130" t="s">
        <v>1182</v>
      </c>
      <c r="J2227" s="130" t="s">
        <v>2221</v>
      </c>
      <c r="K2227" s="130" t="s">
        <v>2222</v>
      </c>
      <c r="L2227" s="130" t="s">
        <v>2346</v>
      </c>
      <c r="M2227" s="130" t="s">
        <v>1925</v>
      </c>
      <c r="N2227" s="130" t="s">
        <v>127</v>
      </c>
      <c r="O2227" s="130" t="s">
        <v>1933</v>
      </c>
      <c r="P2227" s="130" t="s">
        <v>1934</v>
      </c>
      <c r="Q2227" s="130" t="s">
        <v>1127</v>
      </c>
      <c r="R2227" s="130" t="s">
        <v>1409</v>
      </c>
      <c r="S2227" s="130" t="s">
        <v>1431</v>
      </c>
      <c r="T2227" s="130" t="s">
        <v>1188</v>
      </c>
      <c r="U2227" s="130">
        <v>0</v>
      </c>
      <c r="V2227" s="131">
        <v>145500</v>
      </c>
      <c r="W2227" s="131">
        <v>145500</v>
      </c>
      <c r="X2227" s="131">
        <v>145050</v>
      </c>
      <c r="Y2227" s="131">
        <v>450</v>
      </c>
      <c r="Z2227" s="131">
        <v>0</v>
      </c>
      <c r="AA2227" s="131">
        <v>145500</v>
      </c>
      <c r="AB2227" s="131">
        <v>0</v>
      </c>
      <c r="AC2227" s="131">
        <v>145500</v>
      </c>
      <c r="AD2227" s="131">
        <v>0</v>
      </c>
      <c r="AE2227" s="132">
        <v>145500</v>
      </c>
    </row>
    <row r="2228" spans="1:31" x14ac:dyDescent="0.2">
      <c r="A2228" s="133">
        <v>426</v>
      </c>
      <c r="B2228" s="133" t="s">
        <v>1013</v>
      </c>
      <c r="C2228" s="133" t="s">
        <v>1147</v>
      </c>
      <c r="D2228" s="133" t="s">
        <v>1461</v>
      </c>
      <c r="E2228" s="133" t="s">
        <v>1116</v>
      </c>
      <c r="F2228" s="133" t="s">
        <v>1117</v>
      </c>
      <c r="G2228" s="133" t="s">
        <v>1118</v>
      </c>
      <c r="H2228" s="130" t="s">
        <v>1133</v>
      </c>
      <c r="I2228" s="130" t="s">
        <v>1134</v>
      </c>
      <c r="J2228" s="130" t="s">
        <v>1135</v>
      </c>
      <c r="K2228" s="130" t="s">
        <v>1144</v>
      </c>
      <c r="L2228" s="130" t="s">
        <v>2346</v>
      </c>
      <c r="M2228" s="130" t="s">
        <v>1925</v>
      </c>
      <c r="N2228" s="130" t="s">
        <v>127</v>
      </c>
      <c r="O2228" s="130" t="s">
        <v>1933</v>
      </c>
      <c r="P2228" s="130" t="s">
        <v>1934</v>
      </c>
      <c r="Q2228" s="130" t="s">
        <v>1127</v>
      </c>
      <c r="R2228" s="130" t="s">
        <v>1409</v>
      </c>
      <c r="S2228" s="130" t="s">
        <v>1431</v>
      </c>
      <c r="T2228" s="130" t="s">
        <v>1188</v>
      </c>
      <c r="U2228" s="130">
        <v>0</v>
      </c>
      <c r="V2228" s="131">
        <v>14380</v>
      </c>
      <c r="W2228" s="131">
        <v>14380</v>
      </c>
      <c r="X2228" s="131">
        <v>0</v>
      </c>
      <c r="Y2228" s="131">
        <v>14380</v>
      </c>
      <c r="Z2228" s="131">
        <v>0</v>
      </c>
      <c r="AA2228" s="131">
        <v>14380</v>
      </c>
      <c r="AB2228" s="131">
        <v>0</v>
      </c>
      <c r="AC2228" s="131">
        <v>14380</v>
      </c>
      <c r="AD2228" s="131">
        <v>0</v>
      </c>
      <c r="AE2228" s="132">
        <v>14380</v>
      </c>
    </row>
    <row r="2229" spans="1:31" x14ac:dyDescent="0.2">
      <c r="A2229" s="130">
        <v>427</v>
      </c>
      <c r="B2229" s="130" t="s">
        <v>1841</v>
      </c>
      <c r="C2229" s="130" t="s">
        <v>1199</v>
      </c>
      <c r="D2229" s="130" t="s">
        <v>1842</v>
      </c>
      <c r="E2229" s="130" t="s">
        <v>1201</v>
      </c>
      <c r="F2229" s="130" t="s">
        <v>1117</v>
      </c>
      <c r="G2229" s="130" t="s">
        <v>1202</v>
      </c>
      <c r="H2229" s="130" t="s">
        <v>1216</v>
      </c>
      <c r="I2229" s="130" t="s">
        <v>1301</v>
      </c>
      <c r="J2229" s="130" t="s">
        <v>1301</v>
      </c>
      <c r="K2229" s="130" t="s">
        <v>1302</v>
      </c>
      <c r="L2229" s="130" t="s">
        <v>2347</v>
      </c>
      <c r="M2229" s="130" t="s">
        <v>1844</v>
      </c>
      <c r="N2229" s="130" t="s">
        <v>1351</v>
      </c>
      <c r="O2229" s="130" t="s">
        <v>1845</v>
      </c>
      <c r="P2229" s="130" t="s">
        <v>1846</v>
      </c>
      <c r="Q2229" s="130" t="s">
        <v>1127</v>
      </c>
      <c r="R2229" s="130" t="s">
        <v>1191</v>
      </c>
      <c r="S2229" s="130" t="s">
        <v>1191</v>
      </c>
      <c r="T2229" s="130" t="s">
        <v>1847</v>
      </c>
      <c r="U2229" s="130">
        <v>0</v>
      </c>
      <c r="V2229" s="131">
        <v>3096</v>
      </c>
      <c r="W2229" s="131">
        <v>3096</v>
      </c>
      <c r="X2229" s="131">
        <v>3088.9</v>
      </c>
      <c r="Y2229" s="131">
        <v>7.0999999999999091</v>
      </c>
      <c r="Z2229" s="131">
        <v>3088.9</v>
      </c>
      <c r="AA2229" s="131">
        <v>7.0999999999999091</v>
      </c>
      <c r="AB2229" s="131">
        <v>3088.9</v>
      </c>
      <c r="AC2229" s="131">
        <v>7.0999999999999091</v>
      </c>
      <c r="AD2229" s="131">
        <v>0</v>
      </c>
      <c r="AE2229" s="132">
        <v>3096</v>
      </c>
    </row>
    <row r="2230" spans="1:31" x14ac:dyDescent="0.2">
      <c r="A2230" s="133">
        <v>427</v>
      </c>
      <c r="B2230" s="133" t="s">
        <v>1841</v>
      </c>
      <c r="C2230" s="133" t="s">
        <v>1199</v>
      </c>
      <c r="D2230" s="133" t="s">
        <v>1842</v>
      </c>
      <c r="E2230" s="133" t="s">
        <v>1201</v>
      </c>
      <c r="F2230" s="133" t="s">
        <v>1117</v>
      </c>
      <c r="G2230" s="133" t="s">
        <v>1202</v>
      </c>
      <c r="H2230" s="133" t="s">
        <v>1216</v>
      </c>
      <c r="I2230" s="130" t="s">
        <v>1242</v>
      </c>
      <c r="J2230" s="130" t="s">
        <v>1243</v>
      </c>
      <c r="K2230" s="130" t="s">
        <v>1303</v>
      </c>
      <c r="L2230" s="130" t="s">
        <v>2347</v>
      </c>
      <c r="M2230" s="130" t="s">
        <v>1844</v>
      </c>
      <c r="N2230" s="130" t="s">
        <v>1351</v>
      </c>
      <c r="O2230" s="130" t="s">
        <v>1845</v>
      </c>
      <c r="P2230" s="130" t="s">
        <v>1846</v>
      </c>
      <c r="Q2230" s="130" t="s">
        <v>1127</v>
      </c>
      <c r="R2230" s="130" t="s">
        <v>1191</v>
      </c>
      <c r="S2230" s="130" t="s">
        <v>1191</v>
      </c>
      <c r="T2230" s="130" t="s">
        <v>1847</v>
      </c>
      <c r="U2230" s="130">
        <v>0</v>
      </c>
      <c r="V2230" s="131">
        <v>21900</v>
      </c>
      <c r="W2230" s="131">
        <v>21900</v>
      </c>
      <c r="X2230" s="131">
        <v>14580</v>
      </c>
      <c r="Y2230" s="131">
        <v>7320</v>
      </c>
      <c r="Z2230" s="131">
        <v>14580</v>
      </c>
      <c r="AA2230" s="131">
        <v>7320</v>
      </c>
      <c r="AB2230" s="131">
        <v>14580</v>
      </c>
      <c r="AC2230" s="131">
        <v>7320</v>
      </c>
      <c r="AD2230" s="131">
        <v>0</v>
      </c>
      <c r="AE2230" s="132">
        <v>21900</v>
      </c>
    </row>
    <row r="2231" spans="1:31" x14ac:dyDescent="0.2">
      <c r="A2231" s="133">
        <v>427</v>
      </c>
      <c r="B2231" s="133" t="s">
        <v>1841</v>
      </c>
      <c r="C2231" s="133" t="s">
        <v>1199</v>
      </c>
      <c r="D2231" s="133" t="s">
        <v>1842</v>
      </c>
      <c r="E2231" s="133" t="s">
        <v>1201</v>
      </c>
      <c r="F2231" s="133" t="s">
        <v>1117</v>
      </c>
      <c r="G2231" s="133" t="s">
        <v>1202</v>
      </c>
      <c r="H2231" s="133" t="s">
        <v>1216</v>
      </c>
      <c r="I2231" s="133" t="s">
        <v>1242</v>
      </c>
      <c r="J2231" s="133" t="s">
        <v>1243</v>
      </c>
      <c r="K2231" s="130" t="s">
        <v>1244</v>
      </c>
      <c r="L2231" s="130" t="s">
        <v>2347</v>
      </c>
      <c r="M2231" s="130" t="s">
        <v>1844</v>
      </c>
      <c r="N2231" s="130" t="s">
        <v>1351</v>
      </c>
      <c r="O2231" s="130" t="s">
        <v>1845</v>
      </c>
      <c r="P2231" s="130" t="s">
        <v>1846</v>
      </c>
      <c r="Q2231" s="130" t="s">
        <v>1127</v>
      </c>
      <c r="R2231" s="130" t="s">
        <v>1191</v>
      </c>
      <c r="S2231" s="130" t="s">
        <v>1191</v>
      </c>
      <c r="T2231" s="130" t="s">
        <v>1847</v>
      </c>
      <c r="U2231" s="130">
        <v>0</v>
      </c>
      <c r="V2231" s="131">
        <v>1300</v>
      </c>
      <c r="W2231" s="131">
        <v>1300</v>
      </c>
      <c r="X2231" s="131">
        <v>0</v>
      </c>
      <c r="Y2231" s="131">
        <v>1300</v>
      </c>
      <c r="Z2231" s="131">
        <v>0</v>
      </c>
      <c r="AA2231" s="131">
        <v>1300</v>
      </c>
      <c r="AB2231" s="131">
        <v>0</v>
      </c>
      <c r="AC2231" s="131">
        <v>1300</v>
      </c>
      <c r="AD2231" s="131">
        <v>0</v>
      </c>
      <c r="AE2231" s="132">
        <v>1300</v>
      </c>
    </row>
    <row r="2232" spans="1:31" x14ac:dyDescent="0.2">
      <c r="A2232" s="133">
        <v>427</v>
      </c>
      <c r="B2232" s="133" t="s">
        <v>1841</v>
      </c>
      <c r="C2232" s="133" t="s">
        <v>1199</v>
      </c>
      <c r="D2232" s="133" t="s">
        <v>1842</v>
      </c>
      <c r="E2232" s="133" t="s">
        <v>1201</v>
      </c>
      <c r="F2232" s="133" t="s">
        <v>1117</v>
      </c>
      <c r="G2232" s="133" t="s">
        <v>1202</v>
      </c>
      <c r="H2232" s="133" t="s">
        <v>1216</v>
      </c>
      <c r="I2232" s="130" t="s">
        <v>1222</v>
      </c>
      <c r="J2232" s="130" t="s">
        <v>1304</v>
      </c>
      <c r="K2232" s="130" t="s">
        <v>1305</v>
      </c>
      <c r="L2232" s="130" t="s">
        <v>2347</v>
      </c>
      <c r="M2232" s="130" t="s">
        <v>1844</v>
      </c>
      <c r="N2232" s="130" t="s">
        <v>1351</v>
      </c>
      <c r="O2232" s="130" t="s">
        <v>1845</v>
      </c>
      <c r="P2232" s="130" t="s">
        <v>1846</v>
      </c>
      <c r="Q2232" s="130" t="s">
        <v>1127</v>
      </c>
      <c r="R2232" s="130" t="s">
        <v>1191</v>
      </c>
      <c r="S2232" s="130" t="s">
        <v>1191</v>
      </c>
      <c r="T2232" s="130" t="s">
        <v>1847</v>
      </c>
      <c r="U2232" s="130">
        <v>0</v>
      </c>
      <c r="V2232" s="131">
        <v>16674</v>
      </c>
      <c r="W2232" s="131">
        <v>16674</v>
      </c>
      <c r="X2232" s="131">
        <v>8428.5</v>
      </c>
      <c r="Y2232" s="131">
        <v>8245.5</v>
      </c>
      <c r="Z2232" s="131">
        <v>8262.92</v>
      </c>
      <c r="AA2232" s="131">
        <v>8411.08</v>
      </c>
      <c r="AB2232" s="131">
        <v>8262.92</v>
      </c>
      <c r="AC2232" s="131">
        <v>8411.08</v>
      </c>
      <c r="AD2232" s="131">
        <v>2685</v>
      </c>
      <c r="AE2232" s="132">
        <v>13989</v>
      </c>
    </row>
    <row r="2233" spans="1:31" x14ac:dyDescent="0.2">
      <c r="A2233" s="133">
        <v>427</v>
      </c>
      <c r="B2233" s="133" t="s">
        <v>1841</v>
      </c>
      <c r="C2233" s="133" t="s">
        <v>1199</v>
      </c>
      <c r="D2233" s="133" t="s">
        <v>1842</v>
      </c>
      <c r="E2233" s="133" t="s">
        <v>1201</v>
      </c>
      <c r="F2233" s="133" t="s">
        <v>1117</v>
      </c>
      <c r="G2233" s="133" t="s">
        <v>1202</v>
      </c>
      <c r="H2233" s="133" t="s">
        <v>1216</v>
      </c>
      <c r="I2233" s="133" t="s">
        <v>1222</v>
      </c>
      <c r="J2233" s="130" t="s">
        <v>1245</v>
      </c>
      <c r="K2233" s="130" t="s">
        <v>1246</v>
      </c>
      <c r="L2233" s="130" t="s">
        <v>2347</v>
      </c>
      <c r="M2233" s="130" t="s">
        <v>1844</v>
      </c>
      <c r="N2233" s="130" t="s">
        <v>1351</v>
      </c>
      <c r="O2233" s="130" t="s">
        <v>1845</v>
      </c>
      <c r="P2233" s="130" t="s">
        <v>1846</v>
      </c>
      <c r="Q2233" s="130" t="s">
        <v>1127</v>
      </c>
      <c r="R2233" s="130" t="s">
        <v>1191</v>
      </c>
      <c r="S2233" s="130" t="s">
        <v>1191</v>
      </c>
      <c r="T2233" s="130" t="s">
        <v>1847</v>
      </c>
      <c r="U2233" s="130">
        <v>0</v>
      </c>
      <c r="V2233" s="131">
        <v>722</v>
      </c>
      <c r="W2233" s="131">
        <v>722</v>
      </c>
      <c r="X2233" s="131">
        <v>0</v>
      </c>
      <c r="Y2233" s="131">
        <v>722</v>
      </c>
      <c r="Z2233" s="131">
        <v>0</v>
      </c>
      <c r="AA2233" s="131">
        <v>722</v>
      </c>
      <c r="AB2233" s="131">
        <v>0</v>
      </c>
      <c r="AC2233" s="131">
        <v>722</v>
      </c>
      <c r="AD2233" s="131">
        <v>0</v>
      </c>
      <c r="AE2233" s="132">
        <v>722</v>
      </c>
    </row>
    <row r="2234" spans="1:31" x14ac:dyDescent="0.2">
      <c r="A2234" s="133">
        <v>427</v>
      </c>
      <c r="B2234" s="133" t="s">
        <v>1841</v>
      </c>
      <c r="C2234" s="133" t="s">
        <v>1199</v>
      </c>
      <c r="D2234" s="133" t="s">
        <v>1842</v>
      </c>
      <c r="E2234" s="133" t="s">
        <v>1201</v>
      </c>
      <c r="F2234" s="133" t="s">
        <v>1117</v>
      </c>
      <c r="G2234" s="133" t="s">
        <v>1202</v>
      </c>
      <c r="H2234" s="133" t="s">
        <v>1216</v>
      </c>
      <c r="I2234" s="130" t="s">
        <v>1247</v>
      </c>
      <c r="J2234" s="130" t="s">
        <v>1248</v>
      </c>
      <c r="K2234" s="130" t="s">
        <v>1249</v>
      </c>
      <c r="L2234" s="130" t="s">
        <v>2347</v>
      </c>
      <c r="M2234" s="130" t="s">
        <v>1844</v>
      </c>
      <c r="N2234" s="130" t="s">
        <v>1351</v>
      </c>
      <c r="O2234" s="130" t="s">
        <v>1845</v>
      </c>
      <c r="P2234" s="130" t="s">
        <v>1846</v>
      </c>
      <c r="Q2234" s="130" t="s">
        <v>1127</v>
      </c>
      <c r="R2234" s="130" t="s">
        <v>1191</v>
      </c>
      <c r="S2234" s="130" t="s">
        <v>1191</v>
      </c>
      <c r="T2234" s="130" t="s">
        <v>1847</v>
      </c>
      <c r="U2234" s="130">
        <v>0</v>
      </c>
      <c r="V2234" s="131">
        <v>1770</v>
      </c>
      <c r="W2234" s="131">
        <v>1770</v>
      </c>
      <c r="X2234" s="131">
        <v>0</v>
      </c>
      <c r="Y2234" s="131">
        <v>1770</v>
      </c>
      <c r="Z2234" s="131">
        <v>0</v>
      </c>
      <c r="AA2234" s="131">
        <v>1770</v>
      </c>
      <c r="AB2234" s="131">
        <v>0</v>
      </c>
      <c r="AC2234" s="131">
        <v>1770</v>
      </c>
      <c r="AD2234" s="131">
        <v>0</v>
      </c>
      <c r="AE2234" s="132">
        <v>1770</v>
      </c>
    </row>
    <row r="2235" spans="1:31" x14ac:dyDescent="0.2">
      <c r="A2235" s="133">
        <v>427</v>
      </c>
      <c r="B2235" s="133" t="s">
        <v>1841</v>
      </c>
      <c r="C2235" s="133" t="s">
        <v>1199</v>
      </c>
      <c r="D2235" s="133" t="s">
        <v>1842</v>
      </c>
      <c r="E2235" s="133" t="s">
        <v>1201</v>
      </c>
      <c r="F2235" s="133" t="s">
        <v>1117</v>
      </c>
      <c r="G2235" s="133" t="s">
        <v>1202</v>
      </c>
      <c r="H2235" s="130" t="s">
        <v>1203</v>
      </c>
      <c r="I2235" s="130" t="s">
        <v>1204</v>
      </c>
      <c r="J2235" s="130" t="s">
        <v>1205</v>
      </c>
      <c r="K2235" s="130" t="s">
        <v>1255</v>
      </c>
      <c r="L2235" s="130" t="s">
        <v>2347</v>
      </c>
      <c r="M2235" s="130" t="s">
        <v>1844</v>
      </c>
      <c r="N2235" s="130" t="s">
        <v>1351</v>
      </c>
      <c r="O2235" s="130" t="s">
        <v>1845</v>
      </c>
      <c r="P2235" s="130" t="s">
        <v>1846</v>
      </c>
      <c r="Q2235" s="130" t="s">
        <v>1127</v>
      </c>
      <c r="R2235" s="130" t="s">
        <v>1191</v>
      </c>
      <c r="S2235" s="130" t="s">
        <v>1191</v>
      </c>
      <c r="T2235" s="130" t="s">
        <v>1847</v>
      </c>
      <c r="U2235" s="130">
        <v>0</v>
      </c>
      <c r="V2235" s="131">
        <v>7000</v>
      </c>
      <c r="W2235" s="131">
        <v>7000</v>
      </c>
      <c r="X2235" s="131">
        <v>7000</v>
      </c>
      <c r="Y2235" s="131">
        <v>0</v>
      </c>
      <c r="Z2235" s="131">
        <v>4862.24</v>
      </c>
      <c r="AA2235" s="131">
        <v>2137.7600000000002</v>
      </c>
      <c r="AB2235" s="131">
        <v>4862.24</v>
      </c>
      <c r="AC2235" s="131">
        <v>2137.7600000000002</v>
      </c>
      <c r="AD2235" s="131">
        <v>4862.24</v>
      </c>
      <c r="AE2235" s="132">
        <v>2137.7600000000002</v>
      </c>
    </row>
    <row r="2236" spans="1:31" x14ac:dyDescent="0.2">
      <c r="A2236" s="133">
        <v>427</v>
      </c>
      <c r="B2236" s="133" t="s">
        <v>1841</v>
      </c>
      <c r="C2236" s="133" t="s">
        <v>1199</v>
      </c>
      <c r="D2236" s="133" t="s">
        <v>1842</v>
      </c>
      <c r="E2236" s="133" t="s">
        <v>1201</v>
      </c>
      <c r="F2236" s="133" t="s">
        <v>1117</v>
      </c>
      <c r="G2236" s="133" t="s">
        <v>1202</v>
      </c>
      <c r="H2236" s="133" t="s">
        <v>1203</v>
      </c>
      <c r="I2236" s="133" t="s">
        <v>1204</v>
      </c>
      <c r="J2236" s="133" t="s">
        <v>1205</v>
      </c>
      <c r="K2236" s="130" t="s">
        <v>1256</v>
      </c>
      <c r="L2236" s="130" t="s">
        <v>2347</v>
      </c>
      <c r="M2236" s="130" t="s">
        <v>1844</v>
      </c>
      <c r="N2236" s="130" t="s">
        <v>1351</v>
      </c>
      <c r="O2236" s="130" t="s">
        <v>1845</v>
      </c>
      <c r="P2236" s="130" t="s">
        <v>1846</v>
      </c>
      <c r="Q2236" s="130" t="s">
        <v>1127</v>
      </c>
      <c r="R2236" s="130" t="s">
        <v>1191</v>
      </c>
      <c r="S2236" s="130" t="s">
        <v>1191</v>
      </c>
      <c r="T2236" s="130" t="s">
        <v>1847</v>
      </c>
      <c r="U2236" s="130">
        <v>0</v>
      </c>
      <c r="V2236" s="131">
        <v>10000</v>
      </c>
      <c r="W2236" s="131">
        <v>10000</v>
      </c>
      <c r="X2236" s="131">
        <v>10000</v>
      </c>
      <c r="Y2236" s="131">
        <v>0</v>
      </c>
      <c r="Z2236" s="131">
        <v>5464.74</v>
      </c>
      <c r="AA2236" s="131">
        <v>4535.26</v>
      </c>
      <c r="AB2236" s="131">
        <v>5464.74</v>
      </c>
      <c r="AC2236" s="131">
        <v>4535.26</v>
      </c>
      <c r="AD2236" s="131">
        <v>5464.74</v>
      </c>
      <c r="AE2236" s="132">
        <v>4535.26</v>
      </c>
    </row>
    <row r="2237" spans="1:31" x14ac:dyDescent="0.2">
      <c r="A2237" s="133">
        <v>427</v>
      </c>
      <c r="B2237" s="133" t="s">
        <v>1841</v>
      </c>
      <c r="C2237" s="133" t="s">
        <v>1199</v>
      </c>
      <c r="D2237" s="133" t="s">
        <v>1842</v>
      </c>
      <c r="E2237" s="133" t="s">
        <v>1201</v>
      </c>
      <c r="F2237" s="133" t="s">
        <v>1117</v>
      </c>
      <c r="G2237" s="133" t="s">
        <v>1202</v>
      </c>
      <c r="H2237" s="133" t="s">
        <v>1203</v>
      </c>
      <c r="I2237" s="130" t="s">
        <v>1309</v>
      </c>
      <c r="J2237" s="130" t="s">
        <v>1310</v>
      </c>
      <c r="K2237" s="130" t="s">
        <v>1310</v>
      </c>
      <c r="L2237" s="130" t="s">
        <v>2347</v>
      </c>
      <c r="M2237" s="130" t="s">
        <v>1844</v>
      </c>
      <c r="N2237" s="130" t="s">
        <v>1351</v>
      </c>
      <c r="O2237" s="130" t="s">
        <v>1845</v>
      </c>
      <c r="P2237" s="130" t="s">
        <v>1846</v>
      </c>
      <c r="Q2237" s="130" t="s">
        <v>1127</v>
      </c>
      <c r="R2237" s="130" t="s">
        <v>1191</v>
      </c>
      <c r="S2237" s="130" t="s">
        <v>1191</v>
      </c>
      <c r="T2237" s="130" t="s">
        <v>1847</v>
      </c>
      <c r="U2237" s="130">
        <v>0</v>
      </c>
      <c r="V2237" s="131">
        <v>96900</v>
      </c>
      <c r="W2237" s="131">
        <v>96900</v>
      </c>
      <c r="X2237" s="131">
        <v>73500</v>
      </c>
      <c r="Y2237" s="131">
        <v>23400</v>
      </c>
      <c r="Z2237" s="131">
        <v>73500</v>
      </c>
      <c r="AA2237" s="131">
        <v>23400</v>
      </c>
      <c r="AB2237" s="131">
        <v>73500</v>
      </c>
      <c r="AC2237" s="131">
        <v>23400</v>
      </c>
      <c r="AD2237" s="131">
        <v>38500</v>
      </c>
      <c r="AE2237" s="132">
        <v>58400</v>
      </c>
    </row>
    <row r="2238" spans="1:31" x14ac:dyDescent="0.2">
      <c r="A2238" s="130">
        <v>428</v>
      </c>
      <c r="B2238" s="130" t="s">
        <v>121</v>
      </c>
      <c r="C2238" s="130" t="s">
        <v>1147</v>
      </c>
      <c r="D2238" s="130" t="s">
        <v>1921</v>
      </c>
      <c r="E2238" s="130" t="s">
        <v>1116</v>
      </c>
      <c r="F2238" s="130" t="s">
        <v>1117</v>
      </c>
      <c r="G2238" s="130" t="s">
        <v>1118</v>
      </c>
      <c r="H2238" s="130" t="s">
        <v>1133</v>
      </c>
      <c r="I2238" s="130" t="s">
        <v>1134</v>
      </c>
      <c r="J2238" s="130" t="s">
        <v>1922</v>
      </c>
      <c r="K2238" s="130" t="s">
        <v>1923</v>
      </c>
      <c r="L2238" s="130" t="s">
        <v>1924</v>
      </c>
      <c r="M2238" s="130" t="s">
        <v>1925</v>
      </c>
      <c r="N2238" s="130" t="s">
        <v>120</v>
      </c>
      <c r="O2238" s="130" t="s">
        <v>1860</v>
      </c>
      <c r="P2238" s="130" t="s">
        <v>1968</v>
      </c>
      <c r="Q2238" s="130" t="s">
        <v>1127</v>
      </c>
      <c r="R2238" s="130" t="s">
        <v>1191</v>
      </c>
      <c r="S2238" s="130" t="s">
        <v>1191</v>
      </c>
      <c r="T2238" s="130" t="s">
        <v>1926</v>
      </c>
      <c r="U2238" s="130">
        <v>0</v>
      </c>
      <c r="V2238" s="131">
        <v>382632</v>
      </c>
      <c r="W2238" s="131">
        <v>382632</v>
      </c>
      <c r="X2238" s="131">
        <v>366148.1</v>
      </c>
      <c r="Y2238" s="131">
        <v>16483.900000000023</v>
      </c>
      <c r="Z2238" s="131">
        <v>366148.1</v>
      </c>
      <c r="AA2238" s="131">
        <v>16483.900000000023</v>
      </c>
      <c r="AB2238" s="131">
        <v>366084.48</v>
      </c>
      <c r="AC2238" s="131">
        <v>16547.520000000019</v>
      </c>
      <c r="AD2238" s="131">
        <v>355591.38</v>
      </c>
      <c r="AE2238" s="132">
        <v>27040.619999999995</v>
      </c>
    </row>
    <row r="2239" spans="1:31" x14ac:dyDescent="0.2">
      <c r="A2239" s="130">
        <v>429</v>
      </c>
      <c r="B2239" s="130" t="s">
        <v>121</v>
      </c>
      <c r="C2239" s="130" t="s">
        <v>1147</v>
      </c>
      <c r="D2239" s="130" t="s">
        <v>1921</v>
      </c>
      <c r="E2239" s="130" t="s">
        <v>1116</v>
      </c>
      <c r="F2239" s="130" t="s">
        <v>1117</v>
      </c>
      <c r="G2239" s="130" t="s">
        <v>1118</v>
      </c>
      <c r="H2239" s="130" t="s">
        <v>1133</v>
      </c>
      <c r="I2239" s="130" t="s">
        <v>1134</v>
      </c>
      <c r="J2239" s="130" t="s">
        <v>1922</v>
      </c>
      <c r="K2239" s="130" t="s">
        <v>1923</v>
      </c>
      <c r="L2239" s="130" t="s">
        <v>1924</v>
      </c>
      <c r="M2239" s="130" t="s">
        <v>1925</v>
      </c>
      <c r="N2239" s="130" t="s">
        <v>1351</v>
      </c>
      <c r="O2239" s="130" t="s">
        <v>1860</v>
      </c>
      <c r="P2239" s="130" t="s">
        <v>1866</v>
      </c>
      <c r="Q2239" s="130" t="s">
        <v>1127</v>
      </c>
      <c r="R2239" s="130" t="s">
        <v>1191</v>
      </c>
      <c r="S2239" s="130" t="s">
        <v>1191</v>
      </c>
      <c r="T2239" s="130" t="s">
        <v>1926</v>
      </c>
      <c r="U2239" s="130">
        <v>0</v>
      </c>
      <c r="V2239" s="131">
        <v>303086</v>
      </c>
      <c r="W2239" s="131">
        <v>303086</v>
      </c>
      <c r="X2239" s="131">
        <v>246239.45</v>
      </c>
      <c r="Y2239" s="131">
        <v>56846.549999999988</v>
      </c>
      <c r="Z2239" s="131">
        <v>246239.45</v>
      </c>
      <c r="AA2239" s="131">
        <v>56846.549999999988</v>
      </c>
      <c r="AB2239" s="131">
        <v>225240.30000000002</v>
      </c>
      <c r="AC2239" s="131">
        <v>77845.699999999983</v>
      </c>
      <c r="AD2239" s="131">
        <v>221582.40000000002</v>
      </c>
      <c r="AE2239" s="132">
        <v>81503.599999999977</v>
      </c>
    </row>
    <row r="2240" spans="1:31" x14ac:dyDescent="0.2">
      <c r="A2240" s="133">
        <v>429</v>
      </c>
      <c r="B2240" s="133" t="s">
        <v>121</v>
      </c>
      <c r="C2240" s="133" t="s">
        <v>1147</v>
      </c>
      <c r="D2240" s="133" t="s">
        <v>1921</v>
      </c>
      <c r="E2240" s="133" t="s">
        <v>1116</v>
      </c>
      <c r="F2240" s="133" t="s">
        <v>1117</v>
      </c>
      <c r="G2240" s="133" t="s">
        <v>1118</v>
      </c>
      <c r="H2240" s="133" t="s">
        <v>1133</v>
      </c>
      <c r="I2240" s="133" t="s">
        <v>1134</v>
      </c>
      <c r="J2240" s="130" t="s">
        <v>1166</v>
      </c>
      <c r="K2240" s="130" t="s">
        <v>1167</v>
      </c>
      <c r="L2240" s="130" t="s">
        <v>1924</v>
      </c>
      <c r="M2240" s="130" t="s">
        <v>1925</v>
      </c>
      <c r="N2240" s="130" t="s">
        <v>1351</v>
      </c>
      <c r="O2240" s="130" t="s">
        <v>1860</v>
      </c>
      <c r="P2240" s="130" t="s">
        <v>1866</v>
      </c>
      <c r="Q2240" s="130" t="s">
        <v>1127</v>
      </c>
      <c r="R2240" s="130" t="s">
        <v>1191</v>
      </c>
      <c r="S2240" s="130" t="s">
        <v>1191</v>
      </c>
      <c r="T2240" s="130" t="s">
        <v>1926</v>
      </c>
      <c r="U2240" s="130">
        <v>0</v>
      </c>
      <c r="V2240" s="131">
        <v>0</v>
      </c>
      <c r="W2240" s="131">
        <v>0</v>
      </c>
      <c r="X2240" s="131">
        <v>0</v>
      </c>
      <c r="Y2240" s="131">
        <v>0</v>
      </c>
      <c r="Z2240" s="131">
        <v>0</v>
      </c>
      <c r="AA2240" s="131">
        <v>0</v>
      </c>
      <c r="AB2240" s="131">
        <v>0</v>
      </c>
      <c r="AC2240" s="131">
        <v>0</v>
      </c>
      <c r="AD2240" s="131">
        <v>0</v>
      </c>
      <c r="AE2240" s="132">
        <v>0</v>
      </c>
    </row>
    <row r="2241" spans="1:31" x14ac:dyDescent="0.2">
      <c r="A2241" s="130">
        <v>430</v>
      </c>
      <c r="B2241" s="130" t="s">
        <v>121</v>
      </c>
      <c r="C2241" s="130" t="s">
        <v>1147</v>
      </c>
      <c r="D2241" s="130" t="s">
        <v>1921</v>
      </c>
      <c r="E2241" s="130" t="s">
        <v>1116</v>
      </c>
      <c r="F2241" s="130" t="s">
        <v>1117</v>
      </c>
      <c r="G2241" s="130" t="s">
        <v>1118</v>
      </c>
      <c r="H2241" s="130" t="s">
        <v>1133</v>
      </c>
      <c r="I2241" s="130" t="s">
        <v>1134</v>
      </c>
      <c r="J2241" s="130" t="s">
        <v>1922</v>
      </c>
      <c r="K2241" s="130" t="s">
        <v>1923</v>
      </c>
      <c r="L2241" s="130" t="s">
        <v>1924</v>
      </c>
      <c r="M2241" s="130" t="s">
        <v>1925</v>
      </c>
      <c r="N2241" s="130" t="s">
        <v>1588</v>
      </c>
      <c r="O2241" s="130" t="s">
        <v>1860</v>
      </c>
      <c r="P2241" s="130" t="s">
        <v>1866</v>
      </c>
      <c r="Q2241" s="130" t="s">
        <v>1127</v>
      </c>
      <c r="R2241" s="130" t="s">
        <v>1191</v>
      </c>
      <c r="S2241" s="130" t="s">
        <v>1191</v>
      </c>
      <c r="T2241" s="130" t="s">
        <v>1926</v>
      </c>
      <c r="U2241" s="130">
        <v>0</v>
      </c>
      <c r="V2241" s="131">
        <v>813987</v>
      </c>
      <c r="W2241" s="131">
        <v>813987</v>
      </c>
      <c r="X2241" s="131">
        <v>639047.14</v>
      </c>
      <c r="Y2241" s="131">
        <v>174939.86</v>
      </c>
      <c r="Z2241" s="131">
        <v>638706.77</v>
      </c>
      <c r="AA2241" s="131">
        <v>175280.22999999998</v>
      </c>
      <c r="AB2241" s="131">
        <v>638705.69999999995</v>
      </c>
      <c r="AC2241" s="131">
        <v>175281.30000000005</v>
      </c>
      <c r="AD2241" s="131">
        <v>591628.66999999993</v>
      </c>
      <c r="AE2241" s="132">
        <v>222358.33000000007</v>
      </c>
    </row>
    <row r="2242" spans="1:31" x14ac:dyDescent="0.2">
      <c r="A2242" s="130">
        <v>431</v>
      </c>
      <c r="B2242" s="130" t="s">
        <v>121</v>
      </c>
      <c r="C2242" s="130" t="s">
        <v>1147</v>
      </c>
      <c r="D2242" s="130" t="s">
        <v>1921</v>
      </c>
      <c r="E2242" s="130" t="s">
        <v>1116</v>
      </c>
      <c r="F2242" s="130" t="s">
        <v>1117</v>
      </c>
      <c r="G2242" s="130" t="s">
        <v>1118</v>
      </c>
      <c r="H2242" s="130" t="s">
        <v>1133</v>
      </c>
      <c r="I2242" s="130" t="s">
        <v>1134</v>
      </c>
      <c r="J2242" s="130" t="s">
        <v>1922</v>
      </c>
      <c r="K2242" s="130" t="s">
        <v>1923</v>
      </c>
      <c r="L2242" s="130" t="s">
        <v>1924</v>
      </c>
      <c r="M2242" s="130" t="s">
        <v>1925</v>
      </c>
      <c r="N2242" s="130" t="s">
        <v>152</v>
      </c>
      <c r="O2242" s="130" t="s">
        <v>1860</v>
      </c>
      <c r="P2242" s="130" t="s">
        <v>1866</v>
      </c>
      <c r="Q2242" s="130" t="s">
        <v>1127</v>
      </c>
      <c r="R2242" s="130" t="s">
        <v>1191</v>
      </c>
      <c r="S2242" s="130" t="s">
        <v>1191</v>
      </c>
      <c r="T2242" s="130" t="s">
        <v>1926</v>
      </c>
      <c r="U2242" s="130">
        <v>0</v>
      </c>
      <c r="V2242" s="131">
        <v>924965</v>
      </c>
      <c r="W2242" s="131">
        <v>924965</v>
      </c>
      <c r="X2242" s="131">
        <v>495660.54</v>
      </c>
      <c r="Y2242" s="131">
        <v>429304.46</v>
      </c>
      <c r="Z2242" s="131">
        <v>495548.75</v>
      </c>
      <c r="AA2242" s="131">
        <v>429416.25</v>
      </c>
      <c r="AB2242" s="131">
        <v>495547.41000000003</v>
      </c>
      <c r="AC2242" s="131">
        <v>429417.58999999997</v>
      </c>
      <c r="AD2242" s="131">
        <v>466355.19999999995</v>
      </c>
      <c r="AE2242" s="132">
        <v>458609.80000000005</v>
      </c>
    </row>
    <row r="2243" spans="1:31" x14ac:dyDescent="0.2">
      <c r="A2243" s="130">
        <v>432</v>
      </c>
      <c r="B2243" s="130" t="s">
        <v>121</v>
      </c>
      <c r="C2243" s="130" t="s">
        <v>1147</v>
      </c>
      <c r="D2243" s="130" t="s">
        <v>1921</v>
      </c>
      <c r="E2243" s="130" t="s">
        <v>1116</v>
      </c>
      <c r="F2243" s="130" t="s">
        <v>1117</v>
      </c>
      <c r="G2243" s="130" t="s">
        <v>1118</v>
      </c>
      <c r="H2243" s="130" t="s">
        <v>1133</v>
      </c>
      <c r="I2243" s="130" t="s">
        <v>1134</v>
      </c>
      <c r="J2243" s="130" t="s">
        <v>1922</v>
      </c>
      <c r="K2243" s="130" t="s">
        <v>1923</v>
      </c>
      <c r="L2243" s="130" t="s">
        <v>1924</v>
      </c>
      <c r="M2243" s="130" t="s">
        <v>1925</v>
      </c>
      <c r="N2243" s="130" t="s">
        <v>168</v>
      </c>
      <c r="O2243" s="130" t="s">
        <v>1860</v>
      </c>
      <c r="P2243" s="130" t="s">
        <v>1866</v>
      </c>
      <c r="Q2243" s="130" t="s">
        <v>1127</v>
      </c>
      <c r="R2243" s="130" t="s">
        <v>1191</v>
      </c>
      <c r="S2243" s="130" t="s">
        <v>1191</v>
      </c>
      <c r="T2243" s="130" t="s">
        <v>1926</v>
      </c>
      <c r="U2243" s="130">
        <v>0</v>
      </c>
      <c r="V2243" s="131">
        <v>960203</v>
      </c>
      <c r="W2243" s="131">
        <v>960203</v>
      </c>
      <c r="X2243" s="131">
        <v>802694.2</v>
      </c>
      <c r="Y2243" s="131">
        <v>157508.80000000005</v>
      </c>
      <c r="Z2243" s="131">
        <v>802411.52000000002</v>
      </c>
      <c r="AA2243" s="131">
        <v>157791.47999999998</v>
      </c>
      <c r="AB2243" s="131">
        <v>791330.99</v>
      </c>
      <c r="AC2243" s="131">
        <v>168872.01</v>
      </c>
      <c r="AD2243" s="131">
        <v>770384.23</v>
      </c>
      <c r="AE2243" s="132">
        <v>189818.77000000002</v>
      </c>
    </row>
    <row r="2244" spans="1:31" x14ac:dyDescent="0.2">
      <c r="A2244" s="130">
        <v>433</v>
      </c>
      <c r="B2244" s="130" t="s">
        <v>147</v>
      </c>
      <c r="C2244" s="130" t="s">
        <v>1114</v>
      </c>
      <c r="D2244" s="130" t="s">
        <v>1645</v>
      </c>
      <c r="E2244" s="130" t="s">
        <v>1116</v>
      </c>
      <c r="F2244" s="130" t="s">
        <v>1117</v>
      </c>
      <c r="G2244" s="130" t="s">
        <v>1118</v>
      </c>
      <c r="H2244" s="130" t="s">
        <v>1119</v>
      </c>
      <c r="I2244" s="130" t="s">
        <v>1169</v>
      </c>
      <c r="J2244" s="130" t="s">
        <v>1195</v>
      </c>
      <c r="K2244" s="130" t="s">
        <v>1592</v>
      </c>
      <c r="L2244" s="130" t="s">
        <v>2348</v>
      </c>
      <c r="M2244" s="130" t="s">
        <v>1587</v>
      </c>
      <c r="N2244" s="130" t="s">
        <v>1588</v>
      </c>
      <c r="O2244" s="130" t="s">
        <v>1589</v>
      </c>
      <c r="P2244" s="130" t="s">
        <v>1604</v>
      </c>
      <c r="Q2244" s="130" t="s">
        <v>1127</v>
      </c>
      <c r="R2244" s="130" t="s">
        <v>1472</v>
      </c>
      <c r="S2244" s="130" t="s">
        <v>1591</v>
      </c>
      <c r="T2244" s="130" t="s">
        <v>1142</v>
      </c>
      <c r="U2244" s="130">
        <v>0</v>
      </c>
      <c r="V2244" s="131">
        <v>65000</v>
      </c>
      <c r="W2244" s="131">
        <v>65000</v>
      </c>
      <c r="X2244" s="131">
        <v>0</v>
      </c>
      <c r="Y2244" s="131">
        <v>65000</v>
      </c>
      <c r="Z2244" s="131">
        <v>0</v>
      </c>
      <c r="AA2244" s="131">
        <v>65000</v>
      </c>
      <c r="AB2244" s="131">
        <v>0</v>
      </c>
      <c r="AC2244" s="131">
        <v>65000</v>
      </c>
      <c r="AD2244" s="131">
        <v>0</v>
      </c>
      <c r="AE2244" s="132">
        <v>65000</v>
      </c>
    </row>
    <row r="2245" spans="1:31" x14ac:dyDescent="0.2">
      <c r="A2245" s="133">
        <v>433</v>
      </c>
      <c r="B2245" s="133" t="s">
        <v>147</v>
      </c>
      <c r="C2245" s="133" t="s">
        <v>1114</v>
      </c>
      <c r="D2245" s="133" t="s">
        <v>1645</v>
      </c>
      <c r="E2245" s="133" t="s">
        <v>1116</v>
      </c>
      <c r="F2245" s="133" t="s">
        <v>1117</v>
      </c>
      <c r="G2245" s="133" t="s">
        <v>1118</v>
      </c>
      <c r="H2245" s="130" t="s">
        <v>1133</v>
      </c>
      <c r="I2245" s="130" t="s">
        <v>1134</v>
      </c>
      <c r="J2245" s="130" t="s">
        <v>1135</v>
      </c>
      <c r="K2245" s="130" t="s">
        <v>1178</v>
      </c>
      <c r="L2245" s="130" t="s">
        <v>2348</v>
      </c>
      <c r="M2245" s="130" t="s">
        <v>1587</v>
      </c>
      <c r="N2245" s="130" t="s">
        <v>1588</v>
      </c>
      <c r="O2245" s="130" t="s">
        <v>1589</v>
      </c>
      <c r="P2245" s="130" t="s">
        <v>1604</v>
      </c>
      <c r="Q2245" s="130" t="s">
        <v>1127</v>
      </c>
      <c r="R2245" s="130" t="s">
        <v>1472</v>
      </c>
      <c r="S2245" s="130" t="s">
        <v>1591</v>
      </c>
      <c r="T2245" s="130" t="s">
        <v>1142</v>
      </c>
      <c r="U2245" s="130">
        <v>0</v>
      </c>
      <c r="V2245" s="131">
        <v>23300</v>
      </c>
      <c r="W2245" s="131">
        <v>23300</v>
      </c>
      <c r="X2245" s="131">
        <v>23300</v>
      </c>
      <c r="Y2245" s="131">
        <v>0</v>
      </c>
      <c r="Z2245" s="131">
        <v>23300</v>
      </c>
      <c r="AA2245" s="131">
        <v>0</v>
      </c>
      <c r="AB2245" s="131">
        <v>19862.5</v>
      </c>
      <c r="AC2245" s="131">
        <v>3437.5</v>
      </c>
      <c r="AD2245" s="131">
        <v>19862.5</v>
      </c>
      <c r="AE2245" s="132">
        <v>3437.5</v>
      </c>
    </row>
    <row r="2246" spans="1:31" x14ac:dyDescent="0.2">
      <c r="A2246" s="133">
        <v>433</v>
      </c>
      <c r="B2246" s="133" t="s">
        <v>147</v>
      </c>
      <c r="C2246" s="133" t="s">
        <v>1114</v>
      </c>
      <c r="D2246" s="133" t="s">
        <v>1645</v>
      </c>
      <c r="E2246" s="133" t="s">
        <v>1116</v>
      </c>
      <c r="F2246" s="133" t="s">
        <v>1117</v>
      </c>
      <c r="G2246" s="133" t="s">
        <v>1118</v>
      </c>
      <c r="H2246" s="133" t="s">
        <v>1133</v>
      </c>
      <c r="I2246" s="133" t="s">
        <v>1134</v>
      </c>
      <c r="J2246" s="133" t="s">
        <v>1135</v>
      </c>
      <c r="K2246" s="130" t="s">
        <v>1179</v>
      </c>
      <c r="L2246" s="130" t="s">
        <v>2348</v>
      </c>
      <c r="M2246" s="130" t="s">
        <v>1587</v>
      </c>
      <c r="N2246" s="130" t="s">
        <v>1588</v>
      </c>
      <c r="O2246" s="130" t="s">
        <v>1589</v>
      </c>
      <c r="P2246" s="130" t="s">
        <v>1604</v>
      </c>
      <c r="Q2246" s="130" t="s">
        <v>1127</v>
      </c>
      <c r="R2246" s="130" t="s">
        <v>1472</v>
      </c>
      <c r="S2246" s="130" t="s">
        <v>1591</v>
      </c>
      <c r="T2246" s="130" t="s">
        <v>1142</v>
      </c>
      <c r="U2246" s="130">
        <v>0</v>
      </c>
      <c r="V2246" s="131">
        <v>16700</v>
      </c>
      <c r="W2246" s="131">
        <v>16700</v>
      </c>
      <c r="X2246" s="131">
        <v>7269</v>
      </c>
      <c r="Y2246" s="131">
        <v>9431</v>
      </c>
      <c r="Z2246" s="131">
        <v>7269</v>
      </c>
      <c r="AA2246" s="131">
        <v>9431</v>
      </c>
      <c r="AB2246" s="131">
        <v>7269</v>
      </c>
      <c r="AC2246" s="131">
        <v>9431</v>
      </c>
      <c r="AD2246" s="131">
        <v>2895</v>
      </c>
      <c r="AE2246" s="132">
        <v>13805</v>
      </c>
    </row>
    <row r="2247" spans="1:31" x14ac:dyDescent="0.2">
      <c r="A2247" s="130">
        <v>434</v>
      </c>
      <c r="B2247" s="130" t="s">
        <v>2349</v>
      </c>
      <c r="C2247" s="130" t="s">
        <v>1114</v>
      </c>
      <c r="D2247" s="130" t="s">
        <v>1954</v>
      </c>
      <c r="E2247" s="130" t="s">
        <v>1116</v>
      </c>
      <c r="F2247" s="130" t="s">
        <v>1117</v>
      </c>
      <c r="G2247" s="130" t="s">
        <v>1118</v>
      </c>
      <c r="H2247" s="130" t="s">
        <v>1119</v>
      </c>
      <c r="I2247" s="130" t="s">
        <v>1120</v>
      </c>
      <c r="J2247" s="130" t="s">
        <v>1121</v>
      </c>
      <c r="K2247" s="130" t="s">
        <v>1122</v>
      </c>
      <c r="L2247" s="130" t="s">
        <v>2350</v>
      </c>
      <c r="M2247" s="130" t="s">
        <v>1925</v>
      </c>
      <c r="N2247" s="130" t="s">
        <v>152</v>
      </c>
      <c r="O2247" s="130" t="s">
        <v>1125</v>
      </c>
      <c r="P2247" s="130" t="s">
        <v>1126</v>
      </c>
      <c r="Q2247" s="130" t="s">
        <v>1127</v>
      </c>
      <c r="R2247" s="130" t="s">
        <v>1187</v>
      </c>
      <c r="S2247" s="130" t="s">
        <v>1427</v>
      </c>
      <c r="T2247" s="130" t="s">
        <v>1130</v>
      </c>
      <c r="U2247" s="130">
        <v>0</v>
      </c>
      <c r="V2247" s="131">
        <v>5835956</v>
      </c>
      <c r="W2247" s="131">
        <v>5835956</v>
      </c>
      <c r="X2247" s="131">
        <v>5833484.1200000001</v>
      </c>
      <c r="Y2247" s="131">
        <v>2471.8799999998882</v>
      </c>
      <c r="Z2247" s="131">
        <v>5820864.3300000001</v>
      </c>
      <c r="AA2247" s="131">
        <v>15091.669999999925</v>
      </c>
      <c r="AB2247" s="131">
        <v>5820864.3300000001</v>
      </c>
      <c r="AC2247" s="131">
        <v>15091.669999999925</v>
      </c>
      <c r="AD2247" s="131">
        <v>5820864.3300000001</v>
      </c>
      <c r="AE2247" s="132">
        <v>15091.669999999925</v>
      </c>
    </row>
    <row r="2248" spans="1:31" x14ac:dyDescent="0.2">
      <c r="A2248" s="133">
        <v>434</v>
      </c>
      <c r="B2248" s="133" t="s">
        <v>2349</v>
      </c>
      <c r="C2248" s="133" t="s">
        <v>1114</v>
      </c>
      <c r="D2248" s="133" t="s">
        <v>1954</v>
      </c>
      <c r="E2248" s="133" t="s">
        <v>1116</v>
      </c>
      <c r="F2248" s="133" t="s">
        <v>1117</v>
      </c>
      <c r="G2248" s="133" t="s">
        <v>1118</v>
      </c>
      <c r="H2248" s="130" t="s">
        <v>1133</v>
      </c>
      <c r="I2248" s="130" t="s">
        <v>1134</v>
      </c>
      <c r="J2248" s="130" t="s">
        <v>1135</v>
      </c>
      <c r="K2248" s="130" t="s">
        <v>1178</v>
      </c>
      <c r="L2248" s="130" t="s">
        <v>2350</v>
      </c>
      <c r="M2248" s="130" t="s">
        <v>1925</v>
      </c>
      <c r="N2248" s="130" t="s">
        <v>152</v>
      </c>
      <c r="O2248" s="130" t="s">
        <v>1125</v>
      </c>
      <c r="P2248" s="130" t="s">
        <v>1126</v>
      </c>
      <c r="Q2248" s="130" t="s">
        <v>1127</v>
      </c>
      <c r="R2248" s="130" t="s">
        <v>1187</v>
      </c>
      <c r="S2248" s="130" t="s">
        <v>1427</v>
      </c>
      <c r="T2248" s="130" t="s">
        <v>1130</v>
      </c>
      <c r="U2248" s="130">
        <v>0</v>
      </c>
      <c r="V2248" s="131">
        <v>348000</v>
      </c>
      <c r="W2248" s="131">
        <v>348000</v>
      </c>
      <c r="X2248" s="131">
        <v>232000</v>
      </c>
      <c r="Y2248" s="131">
        <v>116000</v>
      </c>
      <c r="Z2248" s="131">
        <v>232000</v>
      </c>
      <c r="AA2248" s="131">
        <v>116000</v>
      </c>
      <c r="AB2248" s="131">
        <v>129088.28</v>
      </c>
      <c r="AC2248" s="131">
        <v>218911.72</v>
      </c>
      <c r="AD2248" s="131">
        <v>129088.28</v>
      </c>
      <c r="AE2248" s="132">
        <v>218911.72</v>
      </c>
    </row>
    <row r="2249" spans="1:31" x14ac:dyDescent="0.2">
      <c r="A2249" s="133">
        <v>434</v>
      </c>
      <c r="B2249" s="133" t="s">
        <v>2349</v>
      </c>
      <c r="C2249" s="133" t="s">
        <v>1114</v>
      </c>
      <c r="D2249" s="133" t="s">
        <v>1954</v>
      </c>
      <c r="E2249" s="133" t="s">
        <v>1116</v>
      </c>
      <c r="F2249" s="133" t="s">
        <v>1117</v>
      </c>
      <c r="G2249" s="133" t="s">
        <v>1118</v>
      </c>
      <c r="H2249" s="133" t="s">
        <v>1133</v>
      </c>
      <c r="I2249" s="133" t="s">
        <v>1134</v>
      </c>
      <c r="J2249" s="133" t="s">
        <v>1135</v>
      </c>
      <c r="K2249" s="130" t="s">
        <v>1144</v>
      </c>
      <c r="L2249" s="130" t="s">
        <v>2350</v>
      </c>
      <c r="M2249" s="130" t="s">
        <v>1925</v>
      </c>
      <c r="N2249" s="130" t="s">
        <v>152</v>
      </c>
      <c r="O2249" s="130" t="s">
        <v>1125</v>
      </c>
      <c r="P2249" s="130" t="s">
        <v>1126</v>
      </c>
      <c r="Q2249" s="130" t="s">
        <v>1127</v>
      </c>
      <c r="R2249" s="130" t="s">
        <v>1187</v>
      </c>
      <c r="S2249" s="130" t="s">
        <v>1427</v>
      </c>
      <c r="T2249" s="130" t="s">
        <v>1130</v>
      </c>
      <c r="U2249" s="130">
        <v>0</v>
      </c>
      <c r="V2249" s="131">
        <v>928337</v>
      </c>
      <c r="W2249" s="131">
        <v>928337</v>
      </c>
      <c r="X2249" s="131">
        <v>758209.81</v>
      </c>
      <c r="Y2249" s="131">
        <v>170127.18999999994</v>
      </c>
      <c r="Z2249" s="131">
        <v>567018.82999999996</v>
      </c>
      <c r="AA2249" s="131">
        <v>361318.17000000004</v>
      </c>
      <c r="AB2249" s="131">
        <v>567018.82999999996</v>
      </c>
      <c r="AC2249" s="131">
        <v>361318.17000000004</v>
      </c>
      <c r="AD2249" s="131">
        <v>567018.82999999996</v>
      </c>
      <c r="AE2249" s="132">
        <v>361318.17000000004</v>
      </c>
    </row>
    <row r="2250" spans="1:31" x14ac:dyDescent="0.2">
      <c r="A2250" s="130">
        <v>435</v>
      </c>
      <c r="B2250" s="130" t="s">
        <v>1540</v>
      </c>
      <c r="C2250" s="130" t="s">
        <v>1199</v>
      </c>
      <c r="D2250" s="130" t="s">
        <v>1545</v>
      </c>
      <c r="E2250" s="130" t="s">
        <v>1903</v>
      </c>
      <c r="F2250" s="130" t="s">
        <v>1117</v>
      </c>
      <c r="G2250" s="130" t="s">
        <v>1202</v>
      </c>
      <c r="H2250" s="130" t="s">
        <v>1216</v>
      </c>
      <c r="I2250" s="130" t="s">
        <v>1301</v>
      </c>
      <c r="J2250" s="130" t="s">
        <v>1301</v>
      </c>
      <c r="K2250" s="130" t="s">
        <v>1302</v>
      </c>
      <c r="L2250" s="130" t="s">
        <v>1546</v>
      </c>
      <c r="M2250" s="130" t="s">
        <v>1510</v>
      </c>
      <c r="N2250" s="130" t="s">
        <v>1511</v>
      </c>
      <c r="O2250" s="130" t="s">
        <v>1512</v>
      </c>
      <c r="P2250" s="130" t="s">
        <v>1513</v>
      </c>
      <c r="Q2250" s="130" t="s">
        <v>1127</v>
      </c>
      <c r="R2250" s="130" t="s">
        <v>1128</v>
      </c>
      <c r="S2250" s="130" t="s">
        <v>1129</v>
      </c>
      <c r="T2250" s="130" t="s">
        <v>1321</v>
      </c>
      <c r="U2250" s="130">
        <v>0</v>
      </c>
      <c r="V2250" s="131">
        <v>1373</v>
      </c>
      <c r="W2250" s="131">
        <v>1373</v>
      </c>
      <c r="X2250" s="131">
        <v>0</v>
      </c>
      <c r="Y2250" s="131">
        <v>1373</v>
      </c>
      <c r="Z2250" s="131">
        <v>0</v>
      </c>
      <c r="AA2250" s="131">
        <v>1373</v>
      </c>
      <c r="AB2250" s="131">
        <v>0</v>
      </c>
      <c r="AC2250" s="131">
        <v>1373</v>
      </c>
      <c r="AD2250" s="131">
        <v>0</v>
      </c>
      <c r="AE2250" s="132">
        <v>1373</v>
      </c>
    </row>
    <row r="2251" spans="1:31" x14ac:dyDescent="0.2">
      <c r="A2251" s="133">
        <v>435</v>
      </c>
      <c r="B2251" s="133" t="s">
        <v>1540</v>
      </c>
      <c r="C2251" s="133" t="s">
        <v>1199</v>
      </c>
      <c r="D2251" s="133" t="s">
        <v>1545</v>
      </c>
      <c r="E2251" s="133" t="s">
        <v>1903</v>
      </c>
      <c r="F2251" s="133" t="s">
        <v>1117</v>
      </c>
      <c r="G2251" s="133" t="s">
        <v>1202</v>
      </c>
      <c r="H2251" s="133" t="s">
        <v>1216</v>
      </c>
      <c r="I2251" s="130" t="s">
        <v>1222</v>
      </c>
      <c r="J2251" s="130" t="s">
        <v>1304</v>
      </c>
      <c r="K2251" s="130" t="s">
        <v>1248</v>
      </c>
      <c r="L2251" s="130" t="s">
        <v>1546</v>
      </c>
      <c r="M2251" s="130" t="s">
        <v>1510</v>
      </c>
      <c r="N2251" s="130" t="s">
        <v>1511</v>
      </c>
      <c r="O2251" s="130" t="s">
        <v>1512</v>
      </c>
      <c r="P2251" s="130" t="s">
        <v>1513</v>
      </c>
      <c r="Q2251" s="130" t="s">
        <v>1127</v>
      </c>
      <c r="R2251" s="130" t="s">
        <v>1128</v>
      </c>
      <c r="S2251" s="130" t="s">
        <v>1129</v>
      </c>
      <c r="T2251" s="130" t="s">
        <v>1321</v>
      </c>
      <c r="U2251" s="130">
        <v>0</v>
      </c>
      <c r="V2251" s="131">
        <v>0</v>
      </c>
      <c r="W2251" s="131">
        <v>0</v>
      </c>
      <c r="X2251" s="131">
        <v>0</v>
      </c>
      <c r="Y2251" s="131">
        <v>0</v>
      </c>
      <c r="Z2251" s="131">
        <v>0</v>
      </c>
      <c r="AA2251" s="131">
        <v>0</v>
      </c>
      <c r="AB2251" s="131">
        <v>0</v>
      </c>
      <c r="AC2251" s="131">
        <v>0</v>
      </c>
      <c r="AD2251" s="131">
        <v>0</v>
      </c>
      <c r="AE2251" s="132">
        <v>0</v>
      </c>
    </row>
    <row r="2252" spans="1:31" x14ac:dyDescent="0.2">
      <c r="A2252" s="133">
        <v>435</v>
      </c>
      <c r="B2252" s="133" t="s">
        <v>1540</v>
      </c>
      <c r="C2252" s="133" t="s">
        <v>1199</v>
      </c>
      <c r="D2252" s="133" t="s">
        <v>1545</v>
      </c>
      <c r="E2252" s="133" t="s">
        <v>1903</v>
      </c>
      <c r="F2252" s="133" t="s">
        <v>1117</v>
      </c>
      <c r="G2252" s="133" t="s">
        <v>1202</v>
      </c>
      <c r="H2252" s="133" t="s">
        <v>1216</v>
      </c>
      <c r="I2252" s="133" t="s">
        <v>1222</v>
      </c>
      <c r="J2252" s="133" t="s">
        <v>1304</v>
      </c>
      <c r="K2252" s="130" t="s">
        <v>1305</v>
      </c>
      <c r="L2252" s="130" t="s">
        <v>1546</v>
      </c>
      <c r="M2252" s="130" t="s">
        <v>1510</v>
      </c>
      <c r="N2252" s="130" t="s">
        <v>1511</v>
      </c>
      <c r="O2252" s="130" t="s">
        <v>1512</v>
      </c>
      <c r="P2252" s="130" t="s">
        <v>1513</v>
      </c>
      <c r="Q2252" s="130" t="s">
        <v>1127</v>
      </c>
      <c r="R2252" s="130" t="s">
        <v>1128</v>
      </c>
      <c r="S2252" s="130" t="s">
        <v>1129</v>
      </c>
      <c r="T2252" s="130" t="s">
        <v>1321</v>
      </c>
      <c r="U2252" s="130">
        <v>0</v>
      </c>
      <c r="V2252" s="131">
        <v>3437</v>
      </c>
      <c r="W2252" s="131">
        <v>3437</v>
      </c>
      <c r="X2252" s="131">
        <v>0</v>
      </c>
      <c r="Y2252" s="131">
        <v>3437</v>
      </c>
      <c r="Z2252" s="131">
        <v>0</v>
      </c>
      <c r="AA2252" s="131">
        <v>3437</v>
      </c>
      <c r="AB2252" s="131">
        <v>0</v>
      </c>
      <c r="AC2252" s="131">
        <v>3437</v>
      </c>
      <c r="AD2252" s="131">
        <v>0</v>
      </c>
      <c r="AE2252" s="132">
        <v>3437</v>
      </c>
    </row>
    <row r="2253" spans="1:31" x14ac:dyDescent="0.2">
      <c r="A2253" s="133">
        <v>435</v>
      </c>
      <c r="B2253" s="133" t="s">
        <v>1540</v>
      </c>
      <c r="C2253" s="133" t="s">
        <v>1199</v>
      </c>
      <c r="D2253" s="133" t="s">
        <v>1545</v>
      </c>
      <c r="E2253" s="133" t="s">
        <v>1903</v>
      </c>
      <c r="F2253" s="133" t="s">
        <v>1117</v>
      </c>
      <c r="G2253" s="133" t="s">
        <v>1202</v>
      </c>
      <c r="H2253" s="133" t="s">
        <v>1216</v>
      </c>
      <c r="I2253" s="130" t="s">
        <v>1578</v>
      </c>
      <c r="J2253" s="130" t="s">
        <v>1579</v>
      </c>
      <c r="K2253" s="130" t="s">
        <v>1580</v>
      </c>
      <c r="L2253" s="130" t="s">
        <v>1546</v>
      </c>
      <c r="M2253" s="130" t="s">
        <v>1510</v>
      </c>
      <c r="N2253" s="130" t="s">
        <v>1511</v>
      </c>
      <c r="O2253" s="130" t="s">
        <v>1512</v>
      </c>
      <c r="P2253" s="130" t="s">
        <v>1513</v>
      </c>
      <c r="Q2253" s="130" t="s">
        <v>1127</v>
      </c>
      <c r="R2253" s="130" t="s">
        <v>1128</v>
      </c>
      <c r="S2253" s="130" t="s">
        <v>1129</v>
      </c>
      <c r="T2253" s="130" t="s">
        <v>1321</v>
      </c>
      <c r="U2253" s="130">
        <v>0</v>
      </c>
      <c r="V2253" s="131">
        <v>1600</v>
      </c>
      <c r="W2253" s="131">
        <v>1600</v>
      </c>
      <c r="X2253" s="131">
        <v>0</v>
      </c>
      <c r="Y2253" s="131">
        <v>1600</v>
      </c>
      <c r="Z2253" s="131">
        <v>0</v>
      </c>
      <c r="AA2253" s="131">
        <v>1600</v>
      </c>
      <c r="AB2253" s="131">
        <v>0</v>
      </c>
      <c r="AC2253" s="131">
        <v>1600</v>
      </c>
      <c r="AD2253" s="131">
        <v>0</v>
      </c>
      <c r="AE2253" s="132">
        <v>1600</v>
      </c>
    </row>
    <row r="2254" spans="1:31" x14ac:dyDescent="0.2">
      <c r="A2254" s="133">
        <v>435</v>
      </c>
      <c r="B2254" s="133" t="s">
        <v>1540</v>
      </c>
      <c r="C2254" s="133" t="s">
        <v>1199</v>
      </c>
      <c r="D2254" s="133" t="s">
        <v>1545</v>
      </c>
      <c r="E2254" s="133" t="s">
        <v>1903</v>
      </c>
      <c r="F2254" s="133" t="s">
        <v>1117</v>
      </c>
      <c r="G2254" s="133" t="s">
        <v>1202</v>
      </c>
      <c r="H2254" s="133" t="s">
        <v>1216</v>
      </c>
      <c r="I2254" s="130" t="s">
        <v>1252</v>
      </c>
      <c r="J2254" s="130" t="s">
        <v>1253</v>
      </c>
      <c r="K2254" s="130" t="s">
        <v>1528</v>
      </c>
      <c r="L2254" s="130" t="s">
        <v>1546</v>
      </c>
      <c r="M2254" s="130" t="s">
        <v>1510</v>
      </c>
      <c r="N2254" s="130" t="s">
        <v>1511</v>
      </c>
      <c r="O2254" s="130" t="s">
        <v>1512</v>
      </c>
      <c r="P2254" s="130" t="s">
        <v>1513</v>
      </c>
      <c r="Q2254" s="130" t="s">
        <v>1127</v>
      </c>
      <c r="R2254" s="130" t="s">
        <v>1128</v>
      </c>
      <c r="S2254" s="130" t="s">
        <v>1129</v>
      </c>
      <c r="T2254" s="130" t="s">
        <v>1321</v>
      </c>
      <c r="U2254" s="130">
        <v>0</v>
      </c>
      <c r="V2254" s="131">
        <v>8930</v>
      </c>
      <c r="W2254" s="131">
        <v>8930</v>
      </c>
      <c r="X2254" s="131">
        <v>8100</v>
      </c>
      <c r="Y2254" s="131">
        <v>830</v>
      </c>
      <c r="Z2254" s="131">
        <v>8100</v>
      </c>
      <c r="AA2254" s="131">
        <v>830</v>
      </c>
      <c r="AB2254" s="131">
        <v>8100</v>
      </c>
      <c r="AC2254" s="131">
        <v>830</v>
      </c>
      <c r="AD2254" s="131">
        <v>8100</v>
      </c>
      <c r="AE2254" s="132">
        <v>830</v>
      </c>
    </row>
    <row r="2255" spans="1:31" x14ac:dyDescent="0.2">
      <c r="A2255" s="133">
        <v>435</v>
      </c>
      <c r="B2255" s="133" t="s">
        <v>1540</v>
      </c>
      <c r="C2255" s="133" t="s">
        <v>1199</v>
      </c>
      <c r="D2255" s="133" t="s">
        <v>1545</v>
      </c>
      <c r="E2255" s="133" t="s">
        <v>1903</v>
      </c>
      <c r="F2255" s="133" t="s">
        <v>1117</v>
      </c>
      <c r="G2255" s="133" t="s">
        <v>1202</v>
      </c>
      <c r="H2255" s="133" t="s">
        <v>1216</v>
      </c>
      <c r="I2255" s="133" t="s">
        <v>1252</v>
      </c>
      <c r="J2255" s="133" t="s">
        <v>1253</v>
      </c>
      <c r="K2255" s="130" t="s">
        <v>1254</v>
      </c>
      <c r="L2255" s="130" t="s">
        <v>1546</v>
      </c>
      <c r="M2255" s="130" t="s">
        <v>1510</v>
      </c>
      <c r="N2255" s="130" t="s">
        <v>1511</v>
      </c>
      <c r="O2255" s="130" t="s">
        <v>1512</v>
      </c>
      <c r="P2255" s="130" t="s">
        <v>1513</v>
      </c>
      <c r="Q2255" s="130" t="s">
        <v>1127</v>
      </c>
      <c r="R2255" s="130" t="s">
        <v>1128</v>
      </c>
      <c r="S2255" s="130" t="s">
        <v>1129</v>
      </c>
      <c r="T2255" s="130" t="s">
        <v>1321</v>
      </c>
      <c r="U2255" s="130">
        <v>0</v>
      </c>
      <c r="V2255" s="131">
        <v>1120</v>
      </c>
      <c r="W2255" s="131">
        <v>1120</v>
      </c>
      <c r="X2255" s="131">
        <v>990</v>
      </c>
      <c r="Y2255" s="131">
        <v>130</v>
      </c>
      <c r="Z2255" s="131">
        <v>990</v>
      </c>
      <c r="AA2255" s="131">
        <v>130</v>
      </c>
      <c r="AB2255" s="131">
        <v>990</v>
      </c>
      <c r="AC2255" s="131">
        <v>130</v>
      </c>
      <c r="AD2255" s="131">
        <v>990</v>
      </c>
      <c r="AE2255" s="132">
        <v>130</v>
      </c>
    </row>
    <row r="2256" spans="1:31" x14ac:dyDescent="0.2">
      <c r="A2256" s="133">
        <v>435</v>
      </c>
      <c r="B2256" s="133" t="s">
        <v>1540</v>
      </c>
      <c r="C2256" s="133" t="s">
        <v>1199</v>
      </c>
      <c r="D2256" s="133" t="s">
        <v>1545</v>
      </c>
      <c r="E2256" s="133" t="s">
        <v>1903</v>
      </c>
      <c r="F2256" s="133" t="s">
        <v>1117</v>
      </c>
      <c r="G2256" s="133" t="s">
        <v>1202</v>
      </c>
      <c r="H2256" s="130" t="s">
        <v>1203</v>
      </c>
      <c r="I2256" s="130" t="s">
        <v>1315</v>
      </c>
      <c r="J2256" s="130" t="s">
        <v>1316</v>
      </c>
      <c r="K2256" s="130" t="s">
        <v>1888</v>
      </c>
      <c r="L2256" s="130" t="s">
        <v>1546</v>
      </c>
      <c r="M2256" s="130" t="s">
        <v>1510</v>
      </c>
      <c r="N2256" s="130" t="s">
        <v>1511</v>
      </c>
      <c r="O2256" s="130" t="s">
        <v>1512</v>
      </c>
      <c r="P2256" s="130" t="s">
        <v>1513</v>
      </c>
      <c r="Q2256" s="130" t="s">
        <v>1127</v>
      </c>
      <c r="R2256" s="130" t="s">
        <v>1128</v>
      </c>
      <c r="S2256" s="130" t="s">
        <v>1129</v>
      </c>
      <c r="T2256" s="130" t="s">
        <v>1321</v>
      </c>
      <c r="U2256" s="130">
        <v>0</v>
      </c>
      <c r="V2256" s="131">
        <v>15000</v>
      </c>
      <c r="W2256" s="131">
        <v>15000</v>
      </c>
      <c r="X2256" s="131">
        <v>0</v>
      </c>
      <c r="Y2256" s="131">
        <v>15000</v>
      </c>
      <c r="Z2256" s="131">
        <v>0</v>
      </c>
      <c r="AA2256" s="131">
        <v>15000</v>
      </c>
      <c r="AB2256" s="131">
        <v>0</v>
      </c>
      <c r="AC2256" s="131">
        <v>15000</v>
      </c>
      <c r="AD2256" s="131">
        <v>0</v>
      </c>
      <c r="AE2256" s="132">
        <v>15000</v>
      </c>
    </row>
    <row r="2257" spans="1:31" x14ac:dyDescent="0.2">
      <c r="A2257" s="133">
        <v>435</v>
      </c>
      <c r="B2257" s="133" t="s">
        <v>1540</v>
      </c>
      <c r="C2257" s="133" t="s">
        <v>1199</v>
      </c>
      <c r="D2257" s="133" t="s">
        <v>1545</v>
      </c>
      <c r="E2257" s="133" t="s">
        <v>1903</v>
      </c>
      <c r="F2257" s="133" t="s">
        <v>1117</v>
      </c>
      <c r="G2257" s="133" t="s">
        <v>1202</v>
      </c>
      <c r="H2257" s="133" t="s">
        <v>1203</v>
      </c>
      <c r="I2257" s="133" t="s">
        <v>1315</v>
      </c>
      <c r="J2257" s="133" t="s">
        <v>1316</v>
      </c>
      <c r="K2257" s="130" t="s">
        <v>1317</v>
      </c>
      <c r="L2257" s="130" t="s">
        <v>1546</v>
      </c>
      <c r="M2257" s="130" t="s">
        <v>1510</v>
      </c>
      <c r="N2257" s="130" t="s">
        <v>1511</v>
      </c>
      <c r="O2257" s="130" t="s">
        <v>1512</v>
      </c>
      <c r="P2257" s="130" t="s">
        <v>1513</v>
      </c>
      <c r="Q2257" s="130" t="s">
        <v>1127</v>
      </c>
      <c r="R2257" s="130" t="s">
        <v>1128</v>
      </c>
      <c r="S2257" s="130" t="s">
        <v>1129</v>
      </c>
      <c r="T2257" s="130" t="s">
        <v>1321</v>
      </c>
      <c r="U2257" s="130">
        <v>0</v>
      </c>
      <c r="V2257" s="131">
        <v>7000</v>
      </c>
      <c r="W2257" s="131">
        <v>7000</v>
      </c>
      <c r="X2257" s="131">
        <v>0</v>
      </c>
      <c r="Y2257" s="131">
        <v>7000</v>
      </c>
      <c r="Z2257" s="131">
        <v>0</v>
      </c>
      <c r="AA2257" s="131">
        <v>7000</v>
      </c>
      <c r="AB2257" s="131">
        <v>0</v>
      </c>
      <c r="AC2257" s="131">
        <v>7000</v>
      </c>
      <c r="AD2257" s="131">
        <v>0</v>
      </c>
      <c r="AE2257" s="132">
        <v>7000</v>
      </c>
    </row>
    <row r="2258" spans="1:31" x14ac:dyDescent="0.2">
      <c r="A2258" s="133">
        <v>435</v>
      </c>
      <c r="B2258" s="133" t="s">
        <v>1540</v>
      </c>
      <c r="C2258" s="133" t="s">
        <v>1199</v>
      </c>
      <c r="D2258" s="133" t="s">
        <v>1545</v>
      </c>
      <c r="E2258" s="133" t="s">
        <v>1903</v>
      </c>
      <c r="F2258" s="133" t="s">
        <v>1117</v>
      </c>
      <c r="G2258" s="133" t="s">
        <v>1202</v>
      </c>
      <c r="H2258" s="133" t="s">
        <v>1203</v>
      </c>
      <c r="I2258" s="130" t="s">
        <v>1309</v>
      </c>
      <c r="J2258" s="130" t="s">
        <v>1310</v>
      </c>
      <c r="K2258" s="130" t="s">
        <v>1310</v>
      </c>
      <c r="L2258" s="130" t="s">
        <v>1546</v>
      </c>
      <c r="M2258" s="130" t="s">
        <v>1510</v>
      </c>
      <c r="N2258" s="130" t="s">
        <v>1511</v>
      </c>
      <c r="O2258" s="130" t="s">
        <v>1512</v>
      </c>
      <c r="P2258" s="130" t="s">
        <v>1513</v>
      </c>
      <c r="Q2258" s="130" t="s">
        <v>1127</v>
      </c>
      <c r="R2258" s="130" t="s">
        <v>1128</v>
      </c>
      <c r="S2258" s="130" t="s">
        <v>1129</v>
      </c>
      <c r="T2258" s="130" t="s">
        <v>1321</v>
      </c>
      <c r="U2258" s="130">
        <v>0</v>
      </c>
      <c r="V2258" s="131">
        <v>101800</v>
      </c>
      <c r="W2258" s="131">
        <v>101800</v>
      </c>
      <c r="X2258" s="131">
        <v>42390</v>
      </c>
      <c r="Y2258" s="131">
        <v>59410</v>
      </c>
      <c r="Z2258" s="131">
        <v>42390</v>
      </c>
      <c r="AA2258" s="131">
        <v>59410</v>
      </c>
      <c r="AB2258" s="131">
        <v>42390</v>
      </c>
      <c r="AC2258" s="131">
        <v>59410</v>
      </c>
      <c r="AD2258" s="131">
        <v>23190</v>
      </c>
      <c r="AE2258" s="132">
        <v>78610</v>
      </c>
    </row>
    <row r="2259" spans="1:31" x14ac:dyDescent="0.2">
      <c r="A2259" s="130">
        <v>436</v>
      </c>
      <c r="B2259" s="130" t="s">
        <v>121</v>
      </c>
      <c r="C2259" s="130" t="s">
        <v>1147</v>
      </c>
      <c r="D2259" s="130" t="s">
        <v>1921</v>
      </c>
      <c r="E2259" s="130" t="s">
        <v>1116</v>
      </c>
      <c r="F2259" s="130" t="s">
        <v>1117</v>
      </c>
      <c r="G2259" s="130" t="s">
        <v>1118</v>
      </c>
      <c r="H2259" s="130" t="s">
        <v>1149</v>
      </c>
      <c r="I2259" s="130" t="s">
        <v>1182</v>
      </c>
      <c r="J2259" s="130" t="s">
        <v>1183</v>
      </c>
      <c r="K2259" s="130" t="s">
        <v>1390</v>
      </c>
      <c r="L2259" s="130" t="s">
        <v>2351</v>
      </c>
      <c r="M2259" s="130" t="s">
        <v>1925</v>
      </c>
      <c r="N2259" s="130" t="s">
        <v>120</v>
      </c>
      <c r="O2259" s="130" t="s">
        <v>1860</v>
      </c>
      <c r="P2259" s="130" t="s">
        <v>1866</v>
      </c>
      <c r="Q2259" s="130" t="s">
        <v>1127</v>
      </c>
      <c r="R2259" s="130" t="s">
        <v>1191</v>
      </c>
      <c r="S2259" s="130" t="s">
        <v>1191</v>
      </c>
      <c r="T2259" s="130" t="s">
        <v>1926</v>
      </c>
      <c r="U2259" s="130">
        <v>0</v>
      </c>
      <c r="V2259" s="131">
        <v>37760</v>
      </c>
      <c r="W2259" s="131">
        <v>37760</v>
      </c>
      <c r="X2259" s="131">
        <v>35700</v>
      </c>
      <c r="Y2259" s="131">
        <v>2060</v>
      </c>
      <c r="Z2259" s="131">
        <v>35700</v>
      </c>
      <c r="AA2259" s="131">
        <v>2060</v>
      </c>
      <c r="AB2259" s="131">
        <v>35700</v>
      </c>
      <c r="AC2259" s="131">
        <v>2060</v>
      </c>
      <c r="AD2259" s="131">
        <v>0</v>
      </c>
      <c r="AE2259" s="132">
        <v>37760</v>
      </c>
    </row>
    <row r="2260" spans="1:31" x14ac:dyDescent="0.2">
      <c r="A2260" s="133">
        <v>436</v>
      </c>
      <c r="B2260" s="133" t="s">
        <v>121</v>
      </c>
      <c r="C2260" s="133" t="s">
        <v>1147</v>
      </c>
      <c r="D2260" s="133" t="s">
        <v>1921</v>
      </c>
      <c r="E2260" s="133" t="s">
        <v>1116</v>
      </c>
      <c r="F2260" s="133" t="s">
        <v>1117</v>
      </c>
      <c r="G2260" s="133" t="s">
        <v>1118</v>
      </c>
      <c r="H2260" s="133" t="s">
        <v>1149</v>
      </c>
      <c r="I2260" s="133" t="s">
        <v>1182</v>
      </c>
      <c r="J2260" s="133" t="s">
        <v>1183</v>
      </c>
      <c r="K2260" s="130" t="s">
        <v>1184</v>
      </c>
      <c r="L2260" s="130" t="s">
        <v>2351</v>
      </c>
      <c r="M2260" s="130" t="s">
        <v>1925</v>
      </c>
      <c r="N2260" s="130" t="s">
        <v>120</v>
      </c>
      <c r="O2260" s="130" t="s">
        <v>1860</v>
      </c>
      <c r="P2260" s="130" t="s">
        <v>1866</v>
      </c>
      <c r="Q2260" s="130" t="s">
        <v>1127</v>
      </c>
      <c r="R2260" s="130" t="s">
        <v>1191</v>
      </c>
      <c r="S2260" s="130" t="s">
        <v>1191</v>
      </c>
      <c r="T2260" s="130" t="s">
        <v>1926</v>
      </c>
      <c r="U2260" s="130">
        <v>0</v>
      </c>
      <c r="V2260" s="131">
        <v>259000</v>
      </c>
      <c r="W2260" s="131">
        <v>259000</v>
      </c>
      <c r="X2260" s="131">
        <v>214000</v>
      </c>
      <c r="Y2260" s="131">
        <v>45000</v>
      </c>
      <c r="Z2260" s="131">
        <v>0</v>
      </c>
      <c r="AA2260" s="131">
        <v>259000</v>
      </c>
      <c r="AB2260" s="131">
        <v>0</v>
      </c>
      <c r="AC2260" s="131">
        <v>259000</v>
      </c>
      <c r="AD2260" s="131">
        <v>0</v>
      </c>
      <c r="AE2260" s="132">
        <v>259000</v>
      </c>
    </row>
    <row r="2261" spans="1:31" x14ac:dyDescent="0.2">
      <c r="A2261" s="133">
        <v>436</v>
      </c>
      <c r="B2261" s="133" t="s">
        <v>121</v>
      </c>
      <c r="C2261" s="133" t="s">
        <v>1147</v>
      </c>
      <c r="D2261" s="133" t="s">
        <v>1921</v>
      </c>
      <c r="E2261" s="133" t="s">
        <v>1116</v>
      </c>
      <c r="F2261" s="133" t="s">
        <v>1117</v>
      </c>
      <c r="G2261" s="133" t="s">
        <v>1118</v>
      </c>
      <c r="H2261" s="130" t="s">
        <v>1133</v>
      </c>
      <c r="I2261" s="130" t="s">
        <v>1134</v>
      </c>
      <c r="J2261" s="130" t="s">
        <v>1922</v>
      </c>
      <c r="K2261" s="130" t="s">
        <v>1923</v>
      </c>
      <c r="L2261" s="130" t="s">
        <v>2351</v>
      </c>
      <c r="M2261" s="130" t="s">
        <v>1925</v>
      </c>
      <c r="N2261" s="130" t="s">
        <v>120</v>
      </c>
      <c r="O2261" s="130" t="s">
        <v>1860</v>
      </c>
      <c r="P2261" s="130" t="s">
        <v>1866</v>
      </c>
      <c r="Q2261" s="130" t="s">
        <v>1127</v>
      </c>
      <c r="R2261" s="130" t="s">
        <v>1191</v>
      </c>
      <c r="S2261" s="130" t="s">
        <v>1191</v>
      </c>
      <c r="T2261" s="130" t="s">
        <v>1926</v>
      </c>
      <c r="U2261" s="130">
        <v>0</v>
      </c>
      <c r="V2261" s="131">
        <v>471645</v>
      </c>
      <c r="W2261" s="131">
        <v>471645</v>
      </c>
      <c r="X2261" s="131">
        <v>378074.9</v>
      </c>
      <c r="Y2261" s="131">
        <v>93570.099999999977</v>
      </c>
      <c r="Z2261" s="131">
        <v>378074.9</v>
      </c>
      <c r="AA2261" s="131">
        <v>93570.099999999977</v>
      </c>
      <c r="AB2261" s="131">
        <v>133551.44</v>
      </c>
      <c r="AC2261" s="131">
        <v>338093.56</v>
      </c>
      <c r="AD2261" s="131">
        <v>133551.44</v>
      </c>
      <c r="AE2261" s="132">
        <v>338093.56</v>
      </c>
    </row>
    <row r="2262" spans="1:31" x14ac:dyDescent="0.2">
      <c r="A2262" s="130">
        <v>438</v>
      </c>
      <c r="B2262" s="130" t="s">
        <v>1540</v>
      </c>
      <c r="C2262" s="130" t="s">
        <v>1199</v>
      </c>
      <c r="D2262" s="130" t="s">
        <v>1541</v>
      </c>
      <c r="E2262" s="130" t="s">
        <v>1903</v>
      </c>
      <c r="F2262" s="130" t="s">
        <v>1117</v>
      </c>
      <c r="G2262" s="130" t="s">
        <v>1276</v>
      </c>
      <c r="H2262" s="130" t="s">
        <v>1277</v>
      </c>
      <c r="I2262" s="130" t="s">
        <v>1285</v>
      </c>
      <c r="J2262" s="130" t="s">
        <v>1286</v>
      </c>
      <c r="K2262" s="130" t="s">
        <v>1894</v>
      </c>
      <c r="L2262" s="130" t="s">
        <v>1542</v>
      </c>
      <c r="M2262" s="130" t="s">
        <v>1510</v>
      </c>
      <c r="N2262" s="130" t="s">
        <v>1511</v>
      </c>
      <c r="O2262" s="130" t="s">
        <v>1512</v>
      </c>
      <c r="P2262" s="130" t="s">
        <v>1513</v>
      </c>
      <c r="Q2262" s="130" t="s">
        <v>1127</v>
      </c>
      <c r="R2262" s="130" t="s">
        <v>1128</v>
      </c>
      <c r="S2262" s="130" t="s">
        <v>1129</v>
      </c>
      <c r="T2262" s="130" t="s">
        <v>1321</v>
      </c>
      <c r="U2262" s="130">
        <v>0</v>
      </c>
      <c r="V2262" s="131">
        <v>64045</v>
      </c>
      <c r="W2262" s="131">
        <v>64045</v>
      </c>
      <c r="X2262" s="131">
        <v>0</v>
      </c>
      <c r="Y2262" s="131">
        <v>64045</v>
      </c>
      <c r="Z2262" s="131">
        <v>0</v>
      </c>
      <c r="AA2262" s="131">
        <v>64045</v>
      </c>
      <c r="AB2262" s="131">
        <v>0</v>
      </c>
      <c r="AC2262" s="131">
        <v>64045</v>
      </c>
      <c r="AD2262" s="131">
        <v>0</v>
      </c>
      <c r="AE2262" s="132">
        <v>64045</v>
      </c>
    </row>
    <row r="2263" spans="1:31" x14ac:dyDescent="0.2">
      <c r="A2263" s="133">
        <v>438</v>
      </c>
      <c r="B2263" s="133" t="s">
        <v>1540</v>
      </c>
      <c r="C2263" s="133" t="s">
        <v>1199</v>
      </c>
      <c r="D2263" s="133" t="s">
        <v>1541</v>
      </c>
      <c r="E2263" s="133" t="s">
        <v>1903</v>
      </c>
      <c r="F2263" s="133" t="s">
        <v>1117</v>
      </c>
      <c r="G2263" s="133" t="s">
        <v>1276</v>
      </c>
      <c r="H2263" s="133" t="s">
        <v>1277</v>
      </c>
      <c r="I2263" s="130" t="s">
        <v>1288</v>
      </c>
      <c r="J2263" s="130" t="s">
        <v>1289</v>
      </c>
      <c r="K2263" s="130" t="s">
        <v>1292</v>
      </c>
      <c r="L2263" s="130" t="s">
        <v>1542</v>
      </c>
      <c r="M2263" s="130" t="s">
        <v>1510</v>
      </c>
      <c r="N2263" s="130" t="s">
        <v>1511</v>
      </c>
      <c r="O2263" s="130" t="s">
        <v>1512</v>
      </c>
      <c r="P2263" s="130" t="s">
        <v>1513</v>
      </c>
      <c r="Q2263" s="130" t="s">
        <v>1127</v>
      </c>
      <c r="R2263" s="130" t="s">
        <v>1128</v>
      </c>
      <c r="S2263" s="130" t="s">
        <v>1129</v>
      </c>
      <c r="T2263" s="130" t="s">
        <v>1321</v>
      </c>
      <c r="U2263" s="130">
        <v>0</v>
      </c>
      <c r="V2263" s="131">
        <v>1800</v>
      </c>
      <c r="W2263" s="131">
        <v>1800</v>
      </c>
      <c r="X2263" s="131">
        <v>0</v>
      </c>
      <c r="Y2263" s="131">
        <v>1800</v>
      </c>
      <c r="Z2263" s="131">
        <v>0</v>
      </c>
      <c r="AA2263" s="131">
        <v>1800</v>
      </c>
      <c r="AB2263" s="131">
        <v>0</v>
      </c>
      <c r="AC2263" s="131">
        <v>1800</v>
      </c>
      <c r="AD2263" s="131">
        <v>0</v>
      </c>
      <c r="AE2263" s="132">
        <v>1800</v>
      </c>
    </row>
    <row r="2264" spans="1:31" x14ac:dyDescent="0.2">
      <c r="A2264" s="133">
        <v>438</v>
      </c>
      <c r="B2264" s="133" t="s">
        <v>1540</v>
      </c>
      <c r="C2264" s="133" t="s">
        <v>1199</v>
      </c>
      <c r="D2264" s="133" t="s">
        <v>1541</v>
      </c>
      <c r="E2264" s="133" t="s">
        <v>1903</v>
      </c>
      <c r="F2264" s="133" t="s">
        <v>1117</v>
      </c>
      <c r="G2264" s="133" t="s">
        <v>1276</v>
      </c>
      <c r="H2264" s="130" t="s">
        <v>1297</v>
      </c>
      <c r="I2264" s="130" t="s">
        <v>1298</v>
      </c>
      <c r="J2264" s="130" t="s">
        <v>1298</v>
      </c>
      <c r="K2264" s="130" t="s">
        <v>1300</v>
      </c>
      <c r="L2264" s="130" t="s">
        <v>1542</v>
      </c>
      <c r="M2264" s="130" t="s">
        <v>1510</v>
      </c>
      <c r="N2264" s="130" t="s">
        <v>1511</v>
      </c>
      <c r="O2264" s="130" t="s">
        <v>1512</v>
      </c>
      <c r="P2264" s="130" t="s">
        <v>1513</v>
      </c>
      <c r="Q2264" s="130" t="s">
        <v>1127</v>
      </c>
      <c r="R2264" s="130" t="s">
        <v>1128</v>
      </c>
      <c r="S2264" s="130" t="s">
        <v>1129</v>
      </c>
      <c r="T2264" s="130" t="s">
        <v>1321</v>
      </c>
      <c r="U2264" s="130">
        <v>0</v>
      </c>
      <c r="V2264" s="131">
        <v>5346</v>
      </c>
      <c r="W2264" s="131">
        <v>5346</v>
      </c>
      <c r="X2264" s="131">
        <v>0</v>
      </c>
      <c r="Y2264" s="131">
        <v>5346</v>
      </c>
      <c r="Z2264" s="131">
        <v>0</v>
      </c>
      <c r="AA2264" s="131">
        <v>5346</v>
      </c>
      <c r="AB2264" s="131">
        <v>0</v>
      </c>
      <c r="AC2264" s="131">
        <v>5346</v>
      </c>
      <c r="AD2264" s="131">
        <v>0</v>
      </c>
      <c r="AE2264" s="132">
        <v>5346</v>
      </c>
    </row>
    <row r="2265" spans="1:31" x14ac:dyDescent="0.2">
      <c r="A2265" s="133">
        <v>438</v>
      </c>
      <c r="B2265" s="133" t="s">
        <v>1540</v>
      </c>
      <c r="C2265" s="133" t="s">
        <v>1199</v>
      </c>
      <c r="D2265" s="133" t="s">
        <v>1541</v>
      </c>
      <c r="E2265" s="133" t="s">
        <v>1903</v>
      </c>
      <c r="F2265" s="133" t="s">
        <v>1117</v>
      </c>
      <c r="G2265" s="130" t="s">
        <v>1202</v>
      </c>
      <c r="H2265" s="130" t="s">
        <v>1216</v>
      </c>
      <c r="I2265" s="130" t="s">
        <v>1301</v>
      </c>
      <c r="J2265" s="130" t="s">
        <v>1301</v>
      </c>
      <c r="K2265" s="130" t="s">
        <v>1302</v>
      </c>
      <c r="L2265" s="130" t="s">
        <v>1542</v>
      </c>
      <c r="M2265" s="130" t="s">
        <v>1510</v>
      </c>
      <c r="N2265" s="130" t="s">
        <v>1511</v>
      </c>
      <c r="O2265" s="130" t="s">
        <v>1512</v>
      </c>
      <c r="P2265" s="130" t="s">
        <v>1513</v>
      </c>
      <c r="Q2265" s="130" t="s">
        <v>1127</v>
      </c>
      <c r="R2265" s="130" t="s">
        <v>1128</v>
      </c>
      <c r="S2265" s="130" t="s">
        <v>1129</v>
      </c>
      <c r="T2265" s="130" t="s">
        <v>1321</v>
      </c>
      <c r="U2265" s="130">
        <v>0</v>
      </c>
      <c r="V2265" s="131">
        <v>573</v>
      </c>
      <c r="W2265" s="131">
        <v>573</v>
      </c>
      <c r="X2265" s="131">
        <v>0</v>
      </c>
      <c r="Y2265" s="131">
        <v>573</v>
      </c>
      <c r="Z2265" s="131">
        <v>0</v>
      </c>
      <c r="AA2265" s="131">
        <v>573</v>
      </c>
      <c r="AB2265" s="131">
        <v>0</v>
      </c>
      <c r="AC2265" s="131">
        <v>573</v>
      </c>
      <c r="AD2265" s="131">
        <v>0</v>
      </c>
      <c r="AE2265" s="132">
        <v>573</v>
      </c>
    </row>
    <row r="2266" spans="1:31" x14ac:dyDescent="0.2">
      <c r="A2266" s="133">
        <v>438</v>
      </c>
      <c r="B2266" s="133" t="s">
        <v>1540</v>
      </c>
      <c r="C2266" s="133" t="s">
        <v>1199</v>
      </c>
      <c r="D2266" s="133" t="s">
        <v>1541</v>
      </c>
      <c r="E2266" s="133" t="s">
        <v>1903</v>
      </c>
      <c r="F2266" s="133" t="s">
        <v>1117</v>
      </c>
      <c r="G2266" s="133" t="s">
        <v>1202</v>
      </c>
      <c r="H2266" s="133" t="s">
        <v>1216</v>
      </c>
      <c r="I2266" s="130" t="s">
        <v>1222</v>
      </c>
      <c r="J2266" s="130" t="s">
        <v>1304</v>
      </c>
      <c r="K2266" s="130" t="s">
        <v>1248</v>
      </c>
      <c r="L2266" s="130" t="s">
        <v>1542</v>
      </c>
      <c r="M2266" s="130" t="s">
        <v>1510</v>
      </c>
      <c r="N2266" s="130" t="s">
        <v>1511</v>
      </c>
      <c r="O2266" s="130" t="s">
        <v>1512</v>
      </c>
      <c r="P2266" s="130" t="s">
        <v>1513</v>
      </c>
      <c r="Q2266" s="130" t="s">
        <v>1127</v>
      </c>
      <c r="R2266" s="130" t="s">
        <v>1128</v>
      </c>
      <c r="S2266" s="130" t="s">
        <v>1129</v>
      </c>
      <c r="T2266" s="130" t="s">
        <v>1321</v>
      </c>
      <c r="U2266" s="130">
        <v>0</v>
      </c>
      <c r="V2266" s="131">
        <v>0</v>
      </c>
      <c r="W2266" s="131">
        <v>0</v>
      </c>
      <c r="X2266" s="131">
        <v>0</v>
      </c>
      <c r="Y2266" s="131">
        <v>0</v>
      </c>
      <c r="Z2266" s="131">
        <v>0</v>
      </c>
      <c r="AA2266" s="131">
        <v>0</v>
      </c>
      <c r="AB2266" s="131">
        <v>0</v>
      </c>
      <c r="AC2266" s="131">
        <v>0</v>
      </c>
      <c r="AD2266" s="131">
        <v>0</v>
      </c>
      <c r="AE2266" s="132">
        <v>0</v>
      </c>
    </row>
    <row r="2267" spans="1:31" x14ac:dyDescent="0.2">
      <c r="A2267" s="133">
        <v>438</v>
      </c>
      <c r="B2267" s="133" t="s">
        <v>1540</v>
      </c>
      <c r="C2267" s="133" t="s">
        <v>1199</v>
      </c>
      <c r="D2267" s="133" t="s">
        <v>1541</v>
      </c>
      <c r="E2267" s="133" t="s">
        <v>1903</v>
      </c>
      <c r="F2267" s="133" t="s">
        <v>1117</v>
      </c>
      <c r="G2267" s="133" t="s">
        <v>1202</v>
      </c>
      <c r="H2267" s="133" t="s">
        <v>1216</v>
      </c>
      <c r="I2267" s="133" t="s">
        <v>1222</v>
      </c>
      <c r="J2267" s="133" t="s">
        <v>1304</v>
      </c>
      <c r="K2267" s="130" t="s">
        <v>1305</v>
      </c>
      <c r="L2267" s="130" t="s">
        <v>1542</v>
      </c>
      <c r="M2267" s="130" t="s">
        <v>1510</v>
      </c>
      <c r="N2267" s="130" t="s">
        <v>1511</v>
      </c>
      <c r="O2267" s="130" t="s">
        <v>1512</v>
      </c>
      <c r="P2267" s="130" t="s">
        <v>1513</v>
      </c>
      <c r="Q2267" s="130" t="s">
        <v>1127</v>
      </c>
      <c r="R2267" s="130" t="s">
        <v>1128</v>
      </c>
      <c r="S2267" s="130" t="s">
        <v>1129</v>
      </c>
      <c r="T2267" s="130" t="s">
        <v>1321</v>
      </c>
      <c r="U2267" s="130">
        <v>0</v>
      </c>
      <c r="V2267" s="131">
        <v>5709</v>
      </c>
      <c r="W2267" s="131">
        <v>5709</v>
      </c>
      <c r="X2267" s="131">
        <v>5286</v>
      </c>
      <c r="Y2267" s="131">
        <v>423</v>
      </c>
      <c r="Z2267" s="131">
        <v>5286</v>
      </c>
      <c r="AA2267" s="131">
        <v>423</v>
      </c>
      <c r="AB2267" s="131">
        <v>5286</v>
      </c>
      <c r="AC2267" s="131">
        <v>423</v>
      </c>
      <c r="AD2267" s="131">
        <v>5286</v>
      </c>
      <c r="AE2267" s="132">
        <v>423</v>
      </c>
    </row>
    <row r="2268" spans="1:31" x14ac:dyDescent="0.2">
      <c r="A2268" s="133">
        <v>438</v>
      </c>
      <c r="B2268" s="133" t="s">
        <v>1540</v>
      </c>
      <c r="C2268" s="133" t="s">
        <v>1199</v>
      </c>
      <c r="D2268" s="133" t="s">
        <v>1541</v>
      </c>
      <c r="E2268" s="133" t="s">
        <v>1903</v>
      </c>
      <c r="F2268" s="133" t="s">
        <v>1117</v>
      </c>
      <c r="G2268" s="133" t="s">
        <v>1202</v>
      </c>
      <c r="H2268" s="130" t="s">
        <v>1203</v>
      </c>
      <c r="I2268" s="130" t="s">
        <v>1224</v>
      </c>
      <c r="J2268" s="130" t="s">
        <v>1306</v>
      </c>
      <c r="K2268" s="130" t="s">
        <v>1307</v>
      </c>
      <c r="L2268" s="130" t="s">
        <v>1542</v>
      </c>
      <c r="M2268" s="130" t="s">
        <v>1510</v>
      </c>
      <c r="N2268" s="130" t="s">
        <v>1511</v>
      </c>
      <c r="O2268" s="130" t="s">
        <v>1512</v>
      </c>
      <c r="P2268" s="130" t="s">
        <v>1513</v>
      </c>
      <c r="Q2268" s="130" t="s">
        <v>1127</v>
      </c>
      <c r="R2268" s="130" t="s">
        <v>1128</v>
      </c>
      <c r="S2268" s="130" t="s">
        <v>1129</v>
      </c>
      <c r="T2268" s="130" t="s">
        <v>1321</v>
      </c>
      <c r="U2268" s="130">
        <v>0</v>
      </c>
      <c r="V2268" s="131">
        <v>5000</v>
      </c>
      <c r="W2268" s="131">
        <v>5000</v>
      </c>
      <c r="X2268" s="131">
        <v>0</v>
      </c>
      <c r="Y2268" s="131">
        <v>5000</v>
      </c>
      <c r="Z2268" s="131">
        <v>0</v>
      </c>
      <c r="AA2268" s="131">
        <v>5000</v>
      </c>
      <c r="AB2268" s="131">
        <v>0</v>
      </c>
      <c r="AC2268" s="131">
        <v>5000</v>
      </c>
      <c r="AD2268" s="131">
        <v>0</v>
      </c>
      <c r="AE2268" s="132">
        <v>5000</v>
      </c>
    </row>
    <row r="2269" spans="1:31" x14ac:dyDescent="0.2">
      <c r="A2269" s="133">
        <v>438</v>
      </c>
      <c r="B2269" s="133" t="s">
        <v>1540</v>
      </c>
      <c r="C2269" s="133" t="s">
        <v>1199</v>
      </c>
      <c r="D2269" s="133" t="s">
        <v>1541</v>
      </c>
      <c r="E2269" s="133" t="s">
        <v>1903</v>
      </c>
      <c r="F2269" s="133" t="s">
        <v>1117</v>
      </c>
      <c r="G2269" s="133" t="s">
        <v>1202</v>
      </c>
      <c r="H2269" s="133" t="s">
        <v>1203</v>
      </c>
      <c r="I2269" s="130" t="s">
        <v>1309</v>
      </c>
      <c r="J2269" s="130" t="s">
        <v>1310</v>
      </c>
      <c r="K2269" s="130" t="s">
        <v>1310</v>
      </c>
      <c r="L2269" s="130" t="s">
        <v>1542</v>
      </c>
      <c r="M2269" s="130" t="s">
        <v>1510</v>
      </c>
      <c r="N2269" s="130" t="s">
        <v>1511</v>
      </c>
      <c r="O2269" s="130" t="s">
        <v>1512</v>
      </c>
      <c r="P2269" s="130" t="s">
        <v>1513</v>
      </c>
      <c r="Q2269" s="130" t="s">
        <v>1127</v>
      </c>
      <c r="R2269" s="130" t="s">
        <v>1128</v>
      </c>
      <c r="S2269" s="130" t="s">
        <v>1129</v>
      </c>
      <c r="T2269" s="130" t="s">
        <v>1321</v>
      </c>
      <c r="U2269" s="130">
        <v>0</v>
      </c>
      <c r="V2269" s="131">
        <v>47000</v>
      </c>
      <c r="W2269" s="131">
        <v>47000</v>
      </c>
      <c r="X2269" s="131">
        <v>22100</v>
      </c>
      <c r="Y2269" s="131">
        <v>24900</v>
      </c>
      <c r="Z2269" s="131">
        <v>22100</v>
      </c>
      <c r="AA2269" s="131">
        <v>24900</v>
      </c>
      <c r="AB2269" s="131">
        <v>22100</v>
      </c>
      <c r="AC2269" s="131">
        <v>24900</v>
      </c>
      <c r="AD2269" s="131">
        <v>8300</v>
      </c>
      <c r="AE2269" s="132">
        <v>38700</v>
      </c>
    </row>
    <row r="2270" spans="1:31" x14ac:dyDescent="0.2">
      <c r="A2270" s="130">
        <v>439</v>
      </c>
      <c r="B2270" s="130" t="s">
        <v>1540</v>
      </c>
      <c r="C2270" s="130" t="s">
        <v>1199</v>
      </c>
      <c r="D2270" s="130" t="s">
        <v>1541</v>
      </c>
      <c r="E2270" s="130" t="s">
        <v>1903</v>
      </c>
      <c r="F2270" s="130" t="s">
        <v>1117</v>
      </c>
      <c r="G2270" s="130" t="s">
        <v>1202</v>
      </c>
      <c r="H2270" s="130" t="s">
        <v>1216</v>
      </c>
      <c r="I2270" s="130" t="s">
        <v>1222</v>
      </c>
      <c r="J2270" s="130" t="s">
        <v>1304</v>
      </c>
      <c r="K2270" s="130" t="s">
        <v>1305</v>
      </c>
      <c r="L2270" s="130" t="s">
        <v>1542</v>
      </c>
      <c r="M2270" s="130" t="s">
        <v>1510</v>
      </c>
      <c r="N2270" s="130" t="s">
        <v>1511</v>
      </c>
      <c r="O2270" s="130" t="s">
        <v>1512</v>
      </c>
      <c r="P2270" s="130" t="s">
        <v>1513</v>
      </c>
      <c r="Q2270" s="130" t="s">
        <v>1127</v>
      </c>
      <c r="R2270" s="130" t="s">
        <v>1191</v>
      </c>
      <c r="S2270" s="130" t="s">
        <v>1538</v>
      </c>
      <c r="T2270" s="130" t="s">
        <v>1321</v>
      </c>
      <c r="U2270" s="130">
        <v>0</v>
      </c>
      <c r="V2270" s="131">
        <v>38</v>
      </c>
      <c r="W2270" s="131">
        <v>38</v>
      </c>
      <c r="X2270" s="131">
        <v>0</v>
      </c>
      <c r="Y2270" s="131">
        <v>38</v>
      </c>
      <c r="Z2270" s="131">
        <v>0</v>
      </c>
      <c r="AA2270" s="131">
        <v>38</v>
      </c>
      <c r="AB2270" s="131">
        <v>0</v>
      </c>
      <c r="AC2270" s="131">
        <v>38</v>
      </c>
      <c r="AD2270" s="131">
        <v>0</v>
      </c>
      <c r="AE2270" s="132">
        <v>38</v>
      </c>
    </row>
    <row r="2271" spans="1:31" x14ac:dyDescent="0.2">
      <c r="A2271" s="133">
        <v>439</v>
      </c>
      <c r="B2271" s="133" t="s">
        <v>1540</v>
      </c>
      <c r="C2271" s="133" t="s">
        <v>1199</v>
      </c>
      <c r="D2271" s="133" t="s">
        <v>1541</v>
      </c>
      <c r="E2271" s="133" t="s">
        <v>1903</v>
      </c>
      <c r="F2271" s="133" t="s">
        <v>1117</v>
      </c>
      <c r="G2271" s="133" t="s">
        <v>1202</v>
      </c>
      <c r="H2271" s="133" t="s">
        <v>1216</v>
      </c>
      <c r="I2271" s="130" t="s">
        <v>1252</v>
      </c>
      <c r="J2271" s="130" t="s">
        <v>1253</v>
      </c>
      <c r="K2271" s="130" t="s">
        <v>1528</v>
      </c>
      <c r="L2271" s="130" t="s">
        <v>1542</v>
      </c>
      <c r="M2271" s="130" t="s">
        <v>1510</v>
      </c>
      <c r="N2271" s="130" t="s">
        <v>1511</v>
      </c>
      <c r="O2271" s="130" t="s">
        <v>1512</v>
      </c>
      <c r="P2271" s="130" t="s">
        <v>1513</v>
      </c>
      <c r="Q2271" s="130" t="s">
        <v>1127</v>
      </c>
      <c r="R2271" s="130" t="s">
        <v>1191</v>
      </c>
      <c r="S2271" s="130" t="s">
        <v>1538</v>
      </c>
      <c r="T2271" s="130" t="s">
        <v>1321</v>
      </c>
      <c r="U2271" s="130">
        <v>0</v>
      </c>
      <c r="V2271" s="131">
        <v>1020</v>
      </c>
      <c r="W2271" s="131">
        <v>1020</v>
      </c>
      <c r="X2271" s="131">
        <v>0</v>
      </c>
      <c r="Y2271" s="131">
        <v>1020</v>
      </c>
      <c r="Z2271" s="131">
        <v>0</v>
      </c>
      <c r="AA2271" s="131">
        <v>1020</v>
      </c>
      <c r="AB2271" s="131">
        <v>0</v>
      </c>
      <c r="AC2271" s="131">
        <v>1020</v>
      </c>
      <c r="AD2271" s="131">
        <v>0</v>
      </c>
      <c r="AE2271" s="132">
        <v>1020</v>
      </c>
    </row>
    <row r="2272" spans="1:31" x14ac:dyDescent="0.2">
      <c r="A2272" s="130">
        <v>440</v>
      </c>
      <c r="B2272" s="130" t="s">
        <v>1540</v>
      </c>
      <c r="C2272" s="130" t="s">
        <v>1199</v>
      </c>
      <c r="D2272" s="130" t="s">
        <v>1541</v>
      </c>
      <c r="E2272" s="130" t="s">
        <v>1903</v>
      </c>
      <c r="F2272" s="130" t="s">
        <v>1117</v>
      </c>
      <c r="G2272" s="130" t="s">
        <v>1276</v>
      </c>
      <c r="H2272" s="130" t="s">
        <v>1277</v>
      </c>
      <c r="I2272" s="130" t="s">
        <v>1285</v>
      </c>
      <c r="J2272" s="130" t="s">
        <v>1286</v>
      </c>
      <c r="K2272" s="130" t="s">
        <v>1894</v>
      </c>
      <c r="L2272" s="130" t="s">
        <v>1542</v>
      </c>
      <c r="M2272" s="130" t="s">
        <v>1510</v>
      </c>
      <c r="N2272" s="130" t="s">
        <v>1511</v>
      </c>
      <c r="O2272" s="130" t="s">
        <v>1512</v>
      </c>
      <c r="P2272" s="130" t="s">
        <v>1513</v>
      </c>
      <c r="Q2272" s="130" t="s">
        <v>1127</v>
      </c>
      <c r="R2272" s="130" t="s">
        <v>1413</v>
      </c>
      <c r="S2272" s="130" t="s">
        <v>1414</v>
      </c>
      <c r="T2272" s="130" t="s">
        <v>1321</v>
      </c>
      <c r="U2272" s="130">
        <v>0</v>
      </c>
      <c r="V2272" s="131">
        <v>20000</v>
      </c>
      <c r="W2272" s="131">
        <v>20000</v>
      </c>
      <c r="X2272" s="131">
        <v>0</v>
      </c>
      <c r="Y2272" s="131">
        <v>20000</v>
      </c>
      <c r="Z2272" s="131">
        <v>0</v>
      </c>
      <c r="AA2272" s="131">
        <v>20000</v>
      </c>
      <c r="AB2272" s="131">
        <v>0</v>
      </c>
      <c r="AC2272" s="131">
        <v>20000</v>
      </c>
      <c r="AD2272" s="131">
        <v>0</v>
      </c>
      <c r="AE2272" s="132">
        <v>20000</v>
      </c>
    </row>
    <row r="2273" spans="1:31" x14ac:dyDescent="0.2">
      <c r="A2273" s="133">
        <v>440</v>
      </c>
      <c r="B2273" s="133" t="s">
        <v>1540</v>
      </c>
      <c r="C2273" s="133" t="s">
        <v>1199</v>
      </c>
      <c r="D2273" s="133" t="s">
        <v>1541</v>
      </c>
      <c r="E2273" s="133" t="s">
        <v>1903</v>
      </c>
      <c r="F2273" s="133" t="s">
        <v>1117</v>
      </c>
      <c r="G2273" s="133" t="s">
        <v>1276</v>
      </c>
      <c r="H2273" s="133" t="s">
        <v>1277</v>
      </c>
      <c r="I2273" s="130" t="s">
        <v>1288</v>
      </c>
      <c r="J2273" s="130" t="s">
        <v>1289</v>
      </c>
      <c r="K2273" s="130" t="s">
        <v>1292</v>
      </c>
      <c r="L2273" s="130" t="s">
        <v>1542</v>
      </c>
      <c r="M2273" s="130" t="s">
        <v>1510</v>
      </c>
      <c r="N2273" s="130" t="s">
        <v>1511</v>
      </c>
      <c r="O2273" s="130" t="s">
        <v>1512</v>
      </c>
      <c r="P2273" s="130" t="s">
        <v>1513</v>
      </c>
      <c r="Q2273" s="130" t="s">
        <v>1127</v>
      </c>
      <c r="R2273" s="130" t="s">
        <v>1413</v>
      </c>
      <c r="S2273" s="130" t="s">
        <v>1414</v>
      </c>
      <c r="T2273" s="130" t="s">
        <v>1321</v>
      </c>
      <c r="U2273" s="130">
        <v>0</v>
      </c>
      <c r="V2273" s="131">
        <v>600</v>
      </c>
      <c r="W2273" s="131">
        <v>600</v>
      </c>
      <c r="X2273" s="131">
        <v>0</v>
      </c>
      <c r="Y2273" s="131">
        <v>600</v>
      </c>
      <c r="Z2273" s="131">
        <v>0</v>
      </c>
      <c r="AA2273" s="131">
        <v>600</v>
      </c>
      <c r="AB2273" s="131">
        <v>0</v>
      </c>
      <c r="AC2273" s="131">
        <v>600</v>
      </c>
      <c r="AD2273" s="131">
        <v>0</v>
      </c>
      <c r="AE2273" s="132">
        <v>600</v>
      </c>
    </row>
    <row r="2274" spans="1:31" x14ac:dyDescent="0.2">
      <c r="A2274" s="133">
        <v>440</v>
      </c>
      <c r="B2274" s="133" t="s">
        <v>1540</v>
      </c>
      <c r="C2274" s="133" t="s">
        <v>1199</v>
      </c>
      <c r="D2274" s="133" t="s">
        <v>1541</v>
      </c>
      <c r="E2274" s="133" t="s">
        <v>1903</v>
      </c>
      <c r="F2274" s="133" t="s">
        <v>1117</v>
      </c>
      <c r="G2274" s="133" t="s">
        <v>1276</v>
      </c>
      <c r="H2274" s="130" t="s">
        <v>1297</v>
      </c>
      <c r="I2274" s="130" t="s">
        <v>1298</v>
      </c>
      <c r="J2274" s="130" t="s">
        <v>1298</v>
      </c>
      <c r="K2274" s="130" t="s">
        <v>1300</v>
      </c>
      <c r="L2274" s="130" t="s">
        <v>1542</v>
      </c>
      <c r="M2274" s="130" t="s">
        <v>1510</v>
      </c>
      <c r="N2274" s="130" t="s">
        <v>1511</v>
      </c>
      <c r="O2274" s="130" t="s">
        <v>1512</v>
      </c>
      <c r="P2274" s="130" t="s">
        <v>1513</v>
      </c>
      <c r="Q2274" s="130" t="s">
        <v>1127</v>
      </c>
      <c r="R2274" s="130" t="s">
        <v>1413</v>
      </c>
      <c r="S2274" s="130" t="s">
        <v>1414</v>
      </c>
      <c r="T2274" s="130" t="s">
        <v>1321</v>
      </c>
      <c r="U2274" s="130">
        <v>0</v>
      </c>
      <c r="V2274" s="131">
        <v>1782</v>
      </c>
      <c r="W2274" s="131">
        <v>1782</v>
      </c>
      <c r="X2274" s="131">
        <v>0</v>
      </c>
      <c r="Y2274" s="131">
        <v>1782</v>
      </c>
      <c r="Z2274" s="131">
        <v>0</v>
      </c>
      <c r="AA2274" s="131">
        <v>1782</v>
      </c>
      <c r="AB2274" s="131">
        <v>0</v>
      </c>
      <c r="AC2274" s="131">
        <v>1782</v>
      </c>
      <c r="AD2274" s="131">
        <v>0</v>
      </c>
      <c r="AE2274" s="132">
        <v>1782</v>
      </c>
    </row>
    <row r="2275" spans="1:31" x14ac:dyDescent="0.2">
      <c r="A2275" s="133">
        <v>440</v>
      </c>
      <c r="B2275" s="133" t="s">
        <v>1540</v>
      </c>
      <c r="C2275" s="133" t="s">
        <v>1199</v>
      </c>
      <c r="D2275" s="133" t="s">
        <v>1541</v>
      </c>
      <c r="E2275" s="133" t="s">
        <v>1903</v>
      </c>
      <c r="F2275" s="133" t="s">
        <v>1117</v>
      </c>
      <c r="G2275" s="130" t="s">
        <v>1202</v>
      </c>
      <c r="H2275" s="130" t="s">
        <v>1216</v>
      </c>
      <c r="I2275" s="130" t="s">
        <v>1301</v>
      </c>
      <c r="J2275" s="130" t="s">
        <v>1301</v>
      </c>
      <c r="K2275" s="130" t="s">
        <v>1302</v>
      </c>
      <c r="L2275" s="130" t="s">
        <v>1542</v>
      </c>
      <c r="M2275" s="130" t="s">
        <v>1510</v>
      </c>
      <c r="N2275" s="130" t="s">
        <v>1511</v>
      </c>
      <c r="O2275" s="130" t="s">
        <v>1512</v>
      </c>
      <c r="P2275" s="130" t="s">
        <v>1513</v>
      </c>
      <c r="Q2275" s="130" t="s">
        <v>1127</v>
      </c>
      <c r="R2275" s="130" t="s">
        <v>1413</v>
      </c>
      <c r="S2275" s="130" t="s">
        <v>1414</v>
      </c>
      <c r="T2275" s="130" t="s">
        <v>1321</v>
      </c>
      <c r="U2275" s="130">
        <v>0</v>
      </c>
      <c r="V2275" s="131">
        <v>0</v>
      </c>
      <c r="W2275" s="131">
        <v>0</v>
      </c>
      <c r="X2275" s="131">
        <v>0</v>
      </c>
      <c r="Y2275" s="131">
        <v>0</v>
      </c>
      <c r="Z2275" s="131">
        <v>0</v>
      </c>
      <c r="AA2275" s="131">
        <v>0</v>
      </c>
      <c r="AB2275" s="131">
        <v>0</v>
      </c>
      <c r="AC2275" s="131">
        <v>0</v>
      </c>
      <c r="AD2275" s="131">
        <v>0</v>
      </c>
      <c r="AE2275" s="132">
        <v>0</v>
      </c>
    </row>
    <row r="2276" spans="1:31" x14ac:dyDescent="0.2">
      <c r="A2276" s="133">
        <v>440</v>
      </c>
      <c r="B2276" s="133" t="s">
        <v>1540</v>
      </c>
      <c r="C2276" s="133" t="s">
        <v>1199</v>
      </c>
      <c r="D2276" s="133" t="s">
        <v>1541</v>
      </c>
      <c r="E2276" s="133" t="s">
        <v>1903</v>
      </c>
      <c r="F2276" s="133" t="s">
        <v>1117</v>
      </c>
      <c r="G2276" s="133" t="s">
        <v>1202</v>
      </c>
      <c r="H2276" s="133" t="s">
        <v>1216</v>
      </c>
      <c r="I2276" s="130" t="s">
        <v>1222</v>
      </c>
      <c r="J2276" s="130" t="s">
        <v>1304</v>
      </c>
      <c r="K2276" s="130" t="s">
        <v>1305</v>
      </c>
      <c r="L2276" s="130" t="s">
        <v>1542</v>
      </c>
      <c r="M2276" s="130" t="s">
        <v>1510</v>
      </c>
      <c r="N2276" s="130" t="s">
        <v>1511</v>
      </c>
      <c r="O2276" s="130" t="s">
        <v>1512</v>
      </c>
      <c r="P2276" s="130" t="s">
        <v>1513</v>
      </c>
      <c r="Q2276" s="130" t="s">
        <v>1127</v>
      </c>
      <c r="R2276" s="130" t="s">
        <v>1413</v>
      </c>
      <c r="S2276" s="130" t="s">
        <v>1414</v>
      </c>
      <c r="T2276" s="130" t="s">
        <v>1321</v>
      </c>
      <c r="U2276" s="130">
        <v>0</v>
      </c>
      <c r="V2276" s="131">
        <v>0</v>
      </c>
      <c r="W2276" s="131">
        <v>0</v>
      </c>
      <c r="X2276" s="131">
        <v>0</v>
      </c>
      <c r="Y2276" s="131">
        <v>0</v>
      </c>
      <c r="Z2276" s="131">
        <v>0</v>
      </c>
      <c r="AA2276" s="131">
        <v>0</v>
      </c>
      <c r="AB2276" s="131">
        <v>0</v>
      </c>
      <c r="AC2276" s="131">
        <v>0</v>
      </c>
      <c r="AD2276" s="131">
        <v>0</v>
      </c>
      <c r="AE2276" s="132">
        <v>0</v>
      </c>
    </row>
    <row r="2277" spans="1:31" x14ac:dyDescent="0.2">
      <c r="A2277" s="133">
        <v>440</v>
      </c>
      <c r="B2277" s="133" t="s">
        <v>1540</v>
      </c>
      <c r="C2277" s="133" t="s">
        <v>1199</v>
      </c>
      <c r="D2277" s="133" t="s">
        <v>1541</v>
      </c>
      <c r="E2277" s="133" t="s">
        <v>1903</v>
      </c>
      <c r="F2277" s="133" t="s">
        <v>1117</v>
      </c>
      <c r="G2277" s="133" t="s">
        <v>1202</v>
      </c>
      <c r="H2277" s="130" t="s">
        <v>1203</v>
      </c>
      <c r="I2277" s="130" t="s">
        <v>1309</v>
      </c>
      <c r="J2277" s="130" t="s">
        <v>1310</v>
      </c>
      <c r="K2277" s="130" t="s">
        <v>1310</v>
      </c>
      <c r="L2277" s="130" t="s">
        <v>1542</v>
      </c>
      <c r="M2277" s="130" t="s">
        <v>1510</v>
      </c>
      <c r="N2277" s="130" t="s">
        <v>1511</v>
      </c>
      <c r="O2277" s="130" t="s">
        <v>1512</v>
      </c>
      <c r="P2277" s="130" t="s">
        <v>1513</v>
      </c>
      <c r="Q2277" s="130" t="s">
        <v>1127</v>
      </c>
      <c r="R2277" s="130" t="s">
        <v>1413</v>
      </c>
      <c r="S2277" s="130" t="s">
        <v>1414</v>
      </c>
      <c r="T2277" s="130" t="s">
        <v>1321</v>
      </c>
      <c r="U2277" s="130">
        <v>0</v>
      </c>
      <c r="V2277" s="131">
        <v>9000</v>
      </c>
      <c r="W2277" s="131">
        <v>9000</v>
      </c>
      <c r="X2277" s="131">
        <v>6750</v>
      </c>
      <c r="Y2277" s="131">
        <v>2250</v>
      </c>
      <c r="Z2277" s="131">
        <v>6750</v>
      </c>
      <c r="AA2277" s="131">
        <v>2250</v>
      </c>
      <c r="AB2277" s="131">
        <v>6750</v>
      </c>
      <c r="AC2277" s="131">
        <v>2250</v>
      </c>
      <c r="AD2277" s="131">
        <v>6750</v>
      </c>
      <c r="AE2277" s="132">
        <v>2250</v>
      </c>
    </row>
    <row r="2278" spans="1:31" x14ac:dyDescent="0.2">
      <c r="A2278" s="130">
        <v>441</v>
      </c>
      <c r="B2278" s="130" t="s">
        <v>1540</v>
      </c>
      <c r="C2278" s="130" t="s">
        <v>1199</v>
      </c>
      <c r="D2278" s="130" t="s">
        <v>1541</v>
      </c>
      <c r="E2278" s="130" t="s">
        <v>1903</v>
      </c>
      <c r="F2278" s="130" t="s">
        <v>1117</v>
      </c>
      <c r="G2278" s="130" t="s">
        <v>1276</v>
      </c>
      <c r="H2278" s="130" t="s">
        <v>1277</v>
      </c>
      <c r="I2278" s="130" t="s">
        <v>1285</v>
      </c>
      <c r="J2278" s="130" t="s">
        <v>1286</v>
      </c>
      <c r="K2278" s="130" t="s">
        <v>1894</v>
      </c>
      <c r="L2278" s="130" t="s">
        <v>1542</v>
      </c>
      <c r="M2278" s="130" t="s">
        <v>1510</v>
      </c>
      <c r="N2278" s="130" t="s">
        <v>1511</v>
      </c>
      <c r="O2278" s="130" t="s">
        <v>1512</v>
      </c>
      <c r="P2278" s="130" t="s">
        <v>1513</v>
      </c>
      <c r="Q2278" s="130" t="s">
        <v>1127</v>
      </c>
      <c r="R2278" s="130" t="s">
        <v>1128</v>
      </c>
      <c r="S2278" s="130" t="s">
        <v>1403</v>
      </c>
      <c r="T2278" s="130" t="s">
        <v>1321</v>
      </c>
      <c r="U2278" s="130">
        <v>0</v>
      </c>
      <c r="V2278" s="131">
        <v>16100</v>
      </c>
      <c r="W2278" s="131">
        <v>16100</v>
      </c>
      <c r="X2278" s="131">
        <v>0</v>
      </c>
      <c r="Y2278" s="131">
        <v>16100</v>
      </c>
      <c r="Z2278" s="131">
        <v>0</v>
      </c>
      <c r="AA2278" s="131">
        <v>16100</v>
      </c>
      <c r="AB2278" s="131">
        <v>0</v>
      </c>
      <c r="AC2278" s="131">
        <v>16100</v>
      </c>
      <c r="AD2278" s="131">
        <v>0</v>
      </c>
      <c r="AE2278" s="132">
        <v>16100</v>
      </c>
    </row>
    <row r="2279" spans="1:31" x14ac:dyDescent="0.2">
      <c r="A2279" s="133">
        <v>441</v>
      </c>
      <c r="B2279" s="133" t="s">
        <v>1540</v>
      </c>
      <c r="C2279" s="133" t="s">
        <v>1199</v>
      </c>
      <c r="D2279" s="133" t="s">
        <v>1541</v>
      </c>
      <c r="E2279" s="133" t="s">
        <v>1903</v>
      </c>
      <c r="F2279" s="133" t="s">
        <v>1117</v>
      </c>
      <c r="G2279" s="133" t="s">
        <v>1276</v>
      </c>
      <c r="H2279" s="133" t="s">
        <v>1277</v>
      </c>
      <c r="I2279" s="130" t="s">
        <v>1288</v>
      </c>
      <c r="J2279" s="130" t="s">
        <v>1289</v>
      </c>
      <c r="K2279" s="130" t="s">
        <v>1292</v>
      </c>
      <c r="L2279" s="130" t="s">
        <v>1542</v>
      </c>
      <c r="M2279" s="130" t="s">
        <v>1510</v>
      </c>
      <c r="N2279" s="130" t="s">
        <v>1511</v>
      </c>
      <c r="O2279" s="130" t="s">
        <v>1512</v>
      </c>
      <c r="P2279" s="130" t="s">
        <v>1513</v>
      </c>
      <c r="Q2279" s="130" t="s">
        <v>1127</v>
      </c>
      <c r="R2279" s="130" t="s">
        <v>1128</v>
      </c>
      <c r="S2279" s="130" t="s">
        <v>1403</v>
      </c>
      <c r="T2279" s="130" t="s">
        <v>1321</v>
      </c>
      <c r="U2279" s="130">
        <v>0</v>
      </c>
      <c r="V2279" s="131">
        <v>600</v>
      </c>
      <c r="W2279" s="131">
        <v>600</v>
      </c>
      <c r="X2279" s="131">
        <v>0</v>
      </c>
      <c r="Y2279" s="131">
        <v>600</v>
      </c>
      <c r="Z2279" s="131">
        <v>0</v>
      </c>
      <c r="AA2279" s="131">
        <v>600</v>
      </c>
      <c r="AB2279" s="131">
        <v>0</v>
      </c>
      <c r="AC2279" s="131">
        <v>600</v>
      </c>
      <c r="AD2279" s="131">
        <v>0</v>
      </c>
      <c r="AE2279" s="132">
        <v>600</v>
      </c>
    </row>
    <row r="2280" spans="1:31" x14ac:dyDescent="0.2">
      <c r="A2280" s="133">
        <v>441</v>
      </c>
      <c r="B2280" s="133" t="s">
        <v>1540</v>
      </c>
      <c r="C2280" s="133" t="s">
        <v>1199</v>
      </c>
      <c r="D2280" s="133" t="s">
        <v>1541</v>
      </c>
      <c r="E2280" s="133" t="s">
        <v>1903</v>
      </c>
      <c r="F2280" s="133" t="s">
        <v>1117</v>
      </c>
      <c r="G2280" s="133" t="s">
        <v>1276</v>
      </c>
      <c r="H2280" s="130" t="s">
        <v>1297</v>
      </c>
      <c r="I2280" s="130" t="s">
        <v>1298</v>
      </c>
      <c r="J2280" s="130" t="s">
        <v>1298</v>
      </c>
      <c r="K2280" s="130" t="s">
        <v>1300</v>
      </c>
      <c r="L2280" s="130" t="s">
        <v>1542</v>
      </c>
      <c r="M2280" s="130" t="s">
        <v>1510</v>
      </c>
      <c r="N2280" s="130" t="s">
        <v>1511</v>
      </c>
      <c r="O2280" s="130" t="s">
        <v>1512</v>
      </c>
      <c r="P2280" s="130" t="s">
        <v>1513</v>
      </c>
      <c r="Q2280" s="130" t="s">
        <v>1127</v>
      </c>
      <c r="R2280" s="130" t="s">
        <v>1128</v>
      </c>
      <c r="S2280" s="130" t="s">
        <v>1403</v>
      </c>
      <c r="T2280" s="130" t="s">
        <v>1321</v>
      </c>
      <c r="U2280" s="130">
        <v>0</v>
      </c>
      <c r="V2280" s="131">
        <v>1449</v>
      </c>
      <c r="W2280" s="131">
        <v>1449</v>
      </c>
      <c r="X2280" s="131">
        <v>0</v>
      </c>
      <c r="Y2280" s="131">
        <v>1449</v>
      </c>
      <c r="Z2280" s="131">
        <v>0</v>
      </c>
      <c r="AA2280" s="131">
        <v>1449</v>
      </c>
      <c r="AB2280" s="131">
        <v>0</v>
      </c>
      <c r="AC2280" s="131">
        <v>1449</v>
      </c>
      <c r="AD2280" s="131">
        <v>0</v>
      </c>
      <c r="AE2280" s="132">
        <v>1449</v>
      </c>
    </row>
    <row r="2281" spans="1:31" x14ac:dyDescent="0.2">
      <c r="A2281" s="133">
        <v>441</v>
      </c>
      <c r="B2281" s="133" t="s">
        <v>1540</v>
      </c>
      <c r="C2281" s="133" t="s">
        <v>1199</v>
      </c>
      <c r="D2281" s="133" t="s">
        <v>1541</v>
      </c>
      <c r="E2281" s="133" t="s">
        <v>1903</v>
      </c>
      <c r="F2281" s="133" t="s">
        <v>1117</v>
      </c>
      <c r="G2281" s="130" t="s">
        <v>1202</v>
      </c>
      <c r="H2281" s="130" t="s">
        <v>1216</v>
      </c>
      <c r="I2281" s="130" t="s">
        <v>1301</v>
      </c>
      <c r="J2281" s="130" t="s">
        <v>1301</v>
      </c>
      <c r="K2281" s="130" t="s">
        <v>1302</v>
      </c>
      <c r="L2281" s="130" t="s">
        <v>1542</v>
      </c>
      <c r="M2281" s="130" t="s">
        <v>1510</v>
      </c>
      <c r="N2281" s="130" t="s">
        <v>1511</v>
      </c>
      <c r="O2281" s="130" t="s">
        <v>1512</v>
      </c>
      <c r="P2281" s="130" t="s">
        <v>1513</v>
      </c>
      <c r="Q2281" s="130" t="s">
        <v>1127</v>
      </c>
      <c r="R2281" s="130" t="s">
        <v>1128</v>
      </c>
      <c r="S2281" s="130" t="s">
        <v>1403</v>
      </c>
      <c r="T2281" s="130" t="s">
        <v>1321</v>
      </c>
      <c r="U2281" s="130">
        <v>0</v>
      </c>
      <c r="V2281" s="131">
        <v>0</v>
      </c>
      <c r="W2281" s="131">
        <v>0</v>
      </c>
      <c r="X2281" s="131">
        <v>0</v>
      </c>
      <c r="Y2281" s="131">
        <v>0</v>
      </c>
      <c r="Z2281" s="131">
        <v>0</v>
      </c>
      <c r="AA2281" s="131">
        <v>0</v>
      </c>
      <c r="AB2281" s="131">
        <v>0</v>
      </c>
      <c r="AC2281" s="131">
        <v>0</v>
      </c>
      <c r="AD2281" s="131">
        <v>0</v>
      </c>
      <c r="AE2281" s="132">
        <v>0</v>
      </c>
    </row>
    <row r="2282" spans="1:31" x14ac:dyDescent="0.2">
      <c r="A2282" s="133">
        <v>441</v>
      </c>
      <c r="B2282" s="133" t="s">
        <v>1540</v>
      </c>
      <c r="C2282" s="133" t="s">
        <v>1199</v>
      </c>
      <c r="D2282" s="133" t="s">
        <v>1541</v>
      </c>
      <c r="E2282" s="133" t="s">
        <v>1903</v>
      </c>
      <c r="F2282" s="133" t="s">
        <v>1117</v>
      </c>
      <c r="G2282" s="133" t="s">
        <v>1202</v>
      </c>
      <c r="H2282" s="133" t="s">
        <v>1216</v>
      </c>
      <c r="I2282" s="130" t="s">
        <v>1222</v>
      </c>
      <c r="J2282" s="130" t="s">
        <v>1304</v>
      </c>
      <c r="K2282" s="130" t="s">
        <v>1305</v>
      </c>
      <c r="L2282" s="130" t="s">
        <v>1542</v>
      </c>
      <c r="M2282" s="130" t="s">
        <v>1510</v>
      </c>
      <c r="N2282" s="130" t="s">
        <v>1511</v>
      </c>
      <c r="O2282" s="130" t="s">
        <v>1512</v>
      </c>
      <c r="P2282" s="130" t="s">
        <v>1513</v>
      </c>
      <c r="Q2282" s="130" t="s">
        <v>1127</v>
      </c>
      <c r="R2282" s="130" t="s">
        <v>1128</v>
      </c>
      <c r="S2282" s="130" t="s">
        <v>1403</v>
      </c>
      <c r="T2282" s="130" t="s">
        <v>1321</v>
      </c>
      <c r="U2282" s="130">
        <v>0</v>
      </c>
      <c r="V2282" s="131">
        <v>0</v>
      </c>
      <c r="W2282" s="131">
        <v>0</v>
      </c>
      <c r="X2282" s="131">
        <v>0</v>
      </c>
      <c r="Y2282" s="131">
        <v>0</v>
      </c>
      <c r="Z2282" s="131">
        <v>0</v>
      </c>
      <c r="AA2282" s="131">
        <v>0</v>
      </c>
      <c r="AB2282" s="131">
        <v>0</v>
      </c>
      <c r="AC2282" s="131">
        <v>0</v>
      </c>
      <c r="AD2282" s="131">
        <v>0</v>
      </c>
      <c r="AE2282" s="132">
        <v>0</v>
      </c>
    </row>
    <row r="2283" spans="1:31" x14ac:dyDescent="0.2">
      <c r="A2283" s="133">
        <v>441</v>
      </c>
      <c r="B2283" s="133" t="s">
        <v>1540</v>
      </c>
      <c r="C2283" s="133" t="s">
        <v>1199</v>
      </c>
      <c r="D2283" s="133" t="s">
        <v>1541</v>
      </c>
      <c r="E2283" s="133" t="s">
        <v>1903</v>
      </c>
      <c r="F2283" s="133" t="s">
        <v>1117</v>
      </c>
      <c r="G2283" s="133" t="s">
        <v>1202</v>
      </c>
      <c r="H2283" s="130" t="s">
        <v>1203</v>
      </c>
      <c r="I2283" s="130" t="s">
        <v>1309</v>
      </c>
      <c r="J2283" s="130" t="s">
        <v>1310</v>
      </c>
      <c r="K2283" s="130" t="s">
        <v>1310</v>
      </c>
      <c r="L2283" s="130" t="s">
        <v>1542</v>
      </c>
      <c r="M2283" s="130" t="s">
        <v>1510</v>
      </c>
      <c r="N2283" s="130" t="s">
        <v>1511</v>
      </c>
      <c r="O2283" s="130" t="s">
        <v>1512</v>
      </c>
      <c r="P2283" s="130" t="s">
        <v>1513</v>
      </c>
      <c r="Q2283" s="130" t="s">
        <v>1127</v>
      </c>
      <c r="R2283" s="130" t="s">
        <v>1128</v>
      </c>
      <c r="S2283" s="130" t="s">
        <v>1403</v>
      </c>
      <c r="T2283" s="130" t="s">
        <v>1321</v>
      </c>
      <c r="U2283" s="130">
        <v>0</v>
      </c>
      <c r="V2283" s="131">
        <v>6000</v>
      </c>
      <c r="W2283" s="131">
        <v>6000</v>
      </c>
      <c r="X2283" s="131">
        <v>0</v>
      </c>
      <c r="Y2283" s="131">
        <v>6000</v>
      </c>
      <c r="Z2283" s="131">
        <v>0</v>
      </c>
      <c r="AA2283" s="131">
        <v>6000</v>
      </c>
      <c r="AB2283" s="131">
        <v>0</v>
      </c>
      <c r="AC2283" s="131">
        <v>6000</v>
      </c>
      <c r="AD2283" s="131">
        <v>0</v>
      </c>
      <c r="AE2283" s="132">
        <v>6000</v>
      </c>
    </row>
    <row r="2284" spans="1:31" x14ac:dyDescent="0.2">
      <c r="A2284" s="130">
        <v>442</v>
      </c>
      <c r="B2284" s="130" t="s">
        <v>1540</v>
      </c>
      <c r="C2284" s="130" t="s">
        <v>1199</v>
      </c>
      <c r="D2284" s="130" t="s">
        <v>1541</v>
      </c>
      <c r="E2284" s="130" t="s">
        <v>1903</v>
      </c>
      <c r="F2284" s="130" t="s">
        <v>1117</v>
      </c>
      <c r="G2284" s="130" t="s">
        <v>1276</v>
      </c>
      <c r="H2284" s="130" t="s">
        <v>1277</v>
      </c>
      <c r="I2284" s="130" t="s">
        <v>1285</v>
      </c>
      <c r="J2284" s="130" t="s">
        <v>1286</v>
      </c>
      <c r="K2284" s="130" t="s">
        <v>1894</v>
      </c>
      <c r="L2284" s="130" t="s">
        <v>1542</v>
      </c>
      <c r="M2284" s="130" t="s">
        <v>1510</v>
      </c>
      <c r="N2284" s="130" t="s">
        <v>1511</v>
      </c>
      <c r="O2284" s="130" t="s">
        <v>1512</v>
      </c>
      <c r="P2284" s="130" t="s">
        <v>1513</v>
      </c>
      <c r="Q2284" s="130" t="s">
        <v>1127</v>
      </c>
      <c r="R2284" s="130" t="s">
        <v>1448</v>
      </c>
      <c r="S2284" s="130" t="s">
        <v>1487</v>
      </c>
      <c r="T2284" s="130" t="s">
        <v>1321</v>
      </c>
      <c r="U2284" s="130">
        <v>0</v>
      </c>
      <c r="V2284" s="131">
        <v>35200</v>
      </c>
      <c r="W2284" s="131">
        <v>35200</v>
      </c>
      <c r="X2284" s="131">
        <v>0</v>
      </c>
      <c r="Y2284" s="131">
        <v>35200</v>
      </c>
      <c r="Z2284" s="131">
        <v>0</v>
      </c>
      <c r="AA2284" s="131">
        <v>35200</v>
      </c>
      <c r="AB2284" s="131">
        <v>0</v>
      </c>
      <c r="AC2284" s="131">
        <v>35200</v>
      </c>
      <c r="AD2284" s="131">
        <v>0</v>
      </c>
      <c r="AE2284" s="132">
        <v>35200</v>
      </c>
    </row>
    <row r="2285" spans="1:31" x14ac:dyDescent="0.2">
      <c r="A2285" s="133">
        <v>442</v>
      </c>
      <c r="B2285" s="133" t="s">
        <v>1540</v>
      </c>
      <c r="C2285" s="133" t="s">
        <v>1199</v>
      </c>
      <c r="D2285" s="133" t="s">
        <v>1541</v>
      </c>
      <c r="E2285" s="133" t="s">
        <v>1903</v>
      </c>
      <c r="F2285" s="133" t="s">
        <v>1117</v>
      </c>
      <c r="G2285" s="133" t="s">
        <v>1276</v>
      </c>
      <c r="H2285" s="133" t="s">
        <v>1277</v>
      </c>
      <c r="I2285" s="130" t="s">
        <v>1288</v>
      </c>
      <c r="J2285" s="130" t="s">
        <v>1289</v>
      </c>
      <c r="K2285" s="130" t="s">
        <v>1292</v>
      </c>
      <c r="L2285" s="130" t="s">
        <v>1542</v>
      </c>
      <c r="M2285" s="130" t="s">
        <v>1510</v>
      </c>
      <c r="N2285" s="130" t="s">
        <v>1511</v>
      </c>
      <c r="O2285" s="130" t="s">
        <v>1512</v>
      </c>
      <c r="P2285" s="130" t="s">
        <v>1513</v>
      </c>
      <c r="Q2285" s="130" t="s">
        <v>1127</v>
      </c>
      <c r="R2285" s="130" t="s">
        <v>1448</v>
      </c>
      <c r="S2285" s="130" t="s">
        <v>1487</v>
      </c>
      <c r="T2285" s="130" t="s">
        <v>1321</v>
      </c>
      <c r="U2285" s="130">
        <v>0</v>
      </c>
      <c r="V2285" s="131">
        <v>1200</v>
      </c>
      <c r="W2285" s="131">
        <v>1200</v>
      </c>
      <c r="X2285" s="131">
        <v>0</v>
      </c>
      <c r="Y2285" s="131">
        <v>1200</v>
      </c>
      <c r="Z2285" s="131">
        <v>0</v>
      </c>
      <c r="AA2285" s="131">
        <v>1200</v>
      </c>
      <c r="AB2285" s="131">
        <v>0</v>
      </c>
      <c r="AC2285" s="131">
        <v>1200</v>
      </c>
      <c r="AD2285" s="131">
        <v>0</v>
      </c>
      <c r="AE2285" s="132">
        <v>1200</v>
      </c>
    </row>
    <row r="2286" spans="1:31" x14ac:dyDescent="0.2">
      <c r="A2286" s="133">
        <v>442</v>
      </c>
      <c r="B2286" s="133" t="s">
        <v>1540</v>
      </c>
      <c r="C2286" s="133" t="s">
        <v>1199</v>
      </c>
      <c r="D2286" s="133" t="s">
        <v>1541</v>
      </c>
      <c r="E2286" s="133" t="s">
        <v>1903</v>
      </c>
      <c r="F2286" s="133" t="s">
        <v>1117</v>
      </c>
      <c r="G2286" s="133" t="s">
        <v>1276</v>
      </c>
      <c r="H2286" s="130" t="s">
        <v>1297</v>
      </c>
      <c r="I2286" s="130" t="s">
        <v>1298</v>
      </c>
      <c r="J2286" s="130" t="s">
        <v>1298</v>
      </c>
      <c r="K2286" s="130" t="s">
        <v>1300</v>
      </c>
      <c r="L2286" s="130" t="s">
        <v>1542</v>
      </c>
      <c r="M2286" s="130" t="s">
        <v>1510</v>
      </c>
      <c r="N2286" s="130" t="s">
        <v>1511</v>
      </c>
      <c r="O2286" s="130" t="s">
        <v>1512</v>
      </c>
      <c r="P2286" s="130" t="s">
        <v>1513</v>
      </c>
      <c r="Q2286" s="130" t="s">
        <v>1127</v>
      </c>
      <c r="R2286" s="130" t="s">
        <v>1448</v>
      </c>
      <c r="S2286" s="130" t="s">
        <v>1487</v>
      </c>
      <c r="T2286" s="130" t="s">
        <v>1321</v>
      </c>
      <c r="U2286" s="130">
        <v>0</v>
      </c>
      <c r="V2286" s="131">
        <v>3168</v>
      </c>
      <c r="W2286" s="131">
        <v>3168</v>
      </c>
      <c r="X2286" s="131">
        <v>0</v>
      </c>
      <c r="Y2286" s="131">
        <v>3168</v>
      </c>
      <c r="Z2286" s="131">
        <v>0</v>
      </c>
      <c r="AA2286" s="131">
        <v>3168</v>
      </c>
      <c r="AB2286" s="131">
        <v>0</v>
      </c>
      <c r="AC2286" s="131">
        <v>3168</v>
      </c>
      <c r="AD2286" s="131">
        <v>0</v>
      </c>
      <c r="AE2286" s="132">
        <v>3168</v>
      </c>
    </row>
    <row r="2287" spans="1:31" x14ac:dyDescent="0.2">
      <c r="A2287" s="133">
        <v>442</v>
      </c>
      <c r="B2287" s="133" t="s">
        <v>1540</v>
      </c>
      <c r="C2287" s="133" t="s">
        <v>1199</v>
      </c>
      <c r="D2287" s="133" t="s">
        <v>1541</v>
      </c>
      <c r="E2287" s="133" t="s">
        <v>1903</v>
      </c>
      <c r="F2287" s="133" t="s">
        <v>1117</v>
      </c>
      <c r="G2287" s="130" t="s">
        <v>1202</v>
      </c>
      <c r="H2287" s="130" t="s">
        <v>1216</v>
      </c>
      <c r="I2287" s="130" t="s">
        <v>1301</v>
      </c>
      <c r="J2287" s="130" t="s">
        <v>1301</v>
      </c>
      <c r="K2287" s="130" t="s">
        <v>1302</v>
      </c>
      <c r="L2287" s="130" t="s">
        <v>1542</v>
      </c>
      <c r="M2287" s="130" t="s">
        <v>1510</v>
      </c>
      <c r="N2287" s="130" t="s">
        <v>1511</v>
      </c>
      <c r="O2287" s="130" t="s">
        <v>1512</v>
      </c>
      <c r="P2287" s="130" t="s">
        <v>1513</v>
      </c>
      <c r="Q2287" s="130" t="s">
        <v>1127</v>
      </c>
      <c r="R2287" s="130" t="s">
        <v>1448</v>
      </c>
      <c r="S2287" s="130" t="s">
        <v>1487</v>
      </c>
      <c r="T2287" s="130" t="s">
        <v>1321</v>
      </c>
      <c r="U2287" s="130">
        <v>0</v>
      </c>
      <c r="V2287" s="131">
        <v>0</v>
      </c>
      <c r="W2287" s="131">
        <v>0</v>
      </c>
      <c r="X2287" s="131">
        <v>0</v>
      </c>
      <c r="Y2287" s="131">
        <v>0</v>
      </c>
      <c r="Z2287" s="131">
        <v>0</v>
      </c>
      <c r="AA2287" s="131">
        <v>0</v>
      </c>
      <c r="AB2287" s="131">
        <v>0</v>
      </c>
      <c r="AC2287" s="131">
        <v>0</v>
      </c>
      <c r="AD2287" s="131">
        <v>0</v>
      </c>
      <c r="AE2287" s="132">
        <v>0</v>
      </c>
    </row>
    <row r="2288" spans="1:31" x14ac:dyDescent="0.2">
      <c r="A2288" s="133">
        <v>442</v>
      </c>
      <c r="B2288" s="133" t="s">
        <v>1540</v>
      </c>
      <c r="C2288" s="133" t="s">
        <v>1199</v>
      </c>
      <c r="D2288" s="133" t="s">
        <v>1541</v>
      </c>
      <c r="E2288" s="133" t="s">
        <v>1903</v>
      </c>
      <c r="F2288" s="133" t="s">
        <v>1117</v>
      </c>
      <c r="G2288" s="133" t="s">
        <v>1202</v>
      </c>
      <c r="H2288" s="133" t="s">
        <v>1216</v>
      </c>
      <c r="I2288" s="130" t="s">
        <v>1222</v>
      </c>
      <c r="J2288" s="130" t="s">
        <v>1304</v>
      </c>
      <c r="K2288" s="130" t="s">
        <v>1305</v>
      </c>
      <c r="L2288" s="130" t="s">
        <v>1542</v>
      </c>
      <c r="M2288" s="130" t="s">
        <v>1510</v>
      </c>
      <c r="N2288" s="130" t="s">
        <v>1511</v>
      </c>
      <c r="O2288" s="130" t="s">
        <v>1512</v>
      </c>
      <c r="P2288" s="130" t="s">
        <v>1513</v>
      </c>
      <c r="Q2288" s="130" t="s">
        <v>1127</v>
      </c>
      <c r="R2288" s="130" t="s">
        <v>1448</v>
      </c>
      <c r="S2288" s="130" t="s">
        <v>1487</v>
      </c>
      <c r="T2288" s="130" t="s">
        <v>1321</v>
      </c>
      <c r="U2288" s="130">
        <v>0</v>
      </c>
      <c r="V2288" s="131">
        <v>2207</v>
      </c>
      <c r="W2288" s="131">
        <v>2207</v>
      </c>
      <c r="X2288" s="131">
        <v>2206.5</v>
      </c>
      <c r="Y2288" s="131">
        <v>0.5</v>
      </c>
      <c r="Z2288" s="131">
        <v>2206.5</v>
      </c>
      <c r="AA2288" s="131">
        <v>0.5</v>
      </c>
      <c r="AB2288" s="131">
        <v>2206.5</v>
      </c>
      <c r="AC2288" s="131">
        <v>0.5</v>
      </c>
      <c r="AD2288" s="131">
        <v>2206.5</v>
      </c>
      <c r="AE2288" s="132">
        <v>0.5</v>
      </c>
    </row>
    <row r="2289" spans="1:31" x14ac:dyDescent="0.2">
      <c r="A2289" s="133">
        <v>442</v>
      </c>
      <c r="B2289" s="133" t="s">
        <v>1540</v>
      </c>
      <c r="C2289" s="133" t="s">
        <v>1199</v>
      </c>
      <c r="D2289" s="133" t="s">
        <v>1541</v>
      </c>
      <c r="E2289" s="133" t="s">
        <v>1903</v>
      </c>
      <c r="F2289" s="133" t="s">
        <v>1117</v>
      </c>
      <c r="G2289" s="133" t="s">
        <v>1202</v>
      </c>
      <c r="H2289" s="130" t="s">
        <v>1203</v>
      </c>
      <c r="I2289" s="130" t="s">
        <v>1309</v>
      </c>
      <c r="J2289" s="130" t="s">
        <v>1310</v>
      </c>
      <c r="K2289" s="130" t="s">
        <v>1310</v>
      </c>
      <c r="L2289" s="130" t="s">
        <v>1542</v>
      </c>
      <c r="M2289" s="130" t="s">
        <v>1510</v>
      </c>
      <c r="N2289" s="130" t="s">
        <v>1511</v>
      </c>
      <c r="O2289" s="130" t="s">
        <v>1512</v>
      </c>
      <c r="P2289" s="130" t="s">
        <v>1513</v>
      </c>
      <c r="Q2289" s="130" t="s">
        <v>1127</v>
      </c>
      <c r="R2289" s="130" t="s">
        <v>1448</v>
      </c>
      <c r="S2289" s="130" t="s">
        <v>1487</v>
      </c>
      <c r="T2289" s="130" t="s">
        <v>1321</v>
      </c>
      <c r="U2289" s="130">
        <v>0</v>
      </c>
      <c r="V2289" s="131">
        <v>10000</v>
      </c>
      <c r="W2289" s="131">
        <v>10000</v>
      </c>
      <c r="X2289" s="131">
        <v>2026.95</v>
      </c>
      <c r="Y2289" s="131">
        <v>7973.05</v>
      </c>
      <c r="Z2289" s="131">
        <v>2026.95</v>
      </c>
      <c r="AA2289" s="131">
        <v>7973.05</v>
      </c>
      <c r="AB2289" s="131">
        <v>2026.95</v>
      </c>
      <c r="AC2289" s="131">
        <v>7973.05</v>
      </c>
      <c r="AD2289" s="131">
        <v>2026.95</v>
      </c>
      <c r="AE2289" s="132">
        <v>7973.05</v>
      </c>
    </row>
    <row r="2290" spans="1:31" x14ac:dyDescent="0.2">
      <c r="A2290" s="130">
        <v>443</v>
      </c>
      <c r="B2290" s="130" t="s">
        <v>1540</v>
      </c>
      <c r="C2290" s="130" t="s">
        <v>1199</v>
      </c>
      <c r="D2290" s="130" t="s">
        <v>1543</v>
      </c>
      <c r="E2290" s="130" t="s">
        <v>1903</v>
      </c>
      <c r="F2290" s="130" t="s">
        <v>1117</v>
      </c>
      <c r="G2290" s="130" t="s">
        <v>1202</v>
      </c>
      <c r="H2290" s="130" t="s">
        <v>1216</v>
      </c>
      <c r="I2290" s="130" t="s">
        <v>1301</v>
      </c>
      <c r="J2290" s="130" t="s">
        <v>1301</v>
      </c>
      <c r="K2290" s="130" t="s">
        <v>1302</v>
      </c>
      <c r="L2290" s="130" t="s">
        <v>1544</v>
      </c>
      <c r="M2290" s="130" t="s">
        <v>1510</v>
      </c>
      <c r="N2290" s="130" t="s">
        <v>1511</v>
      </c>
      <c r="O2290" s="130" t="s">
        <v>1512</v>
      </c>
      <c r="P2290" s="130" t="s">
        <v>1513</v>
      </c>
      <c r="Q2290" s="130" t="s">
        <v>1127</v>
      </c>
      <c r="R2290" s="130" t="s">
        <v>1128</v>
      </c>
      <c r="S2290" s="130" t="s">
        <v>1129</v>
      </c>
      <c r="T2290" s="130" t="s">
        <v>1321</v>
      </c>
      <c r="U2290" s="130">
        <v>0</v>
      </c>
      <c r="V2290" s="131">
        <v>150</v>
      </c>
      <c r="W2290" s="131">
        <v>150</v>
      </c>
      <c r="X2290" s="131">
        <v>0</v>
      </c>
      <c r="Y2290" s="131">
        <v>150</v>
      </c>
      <c r="Z2290" s="131">
        <v>0</v>
      </c>
      <c r="AA2290" s="131">
        <v>150</v>
      </c>
      <c r="AB2290" s="131">
        <v>0</v>
      </c>
      <c r="AC2290" s="131">
        <v>150</v>
      </c>
      <c r="AD2290" s="131">
        <v>0</v>
      </c>
      <c r="AE2290" s="132">
        <v>150</v>
      </c>
    </row>
    <row r="2291" spans="1:31" x14ac:dyDescent="0.2">
      <c r="A2291" s="133">
        <v>443</v>
      </c>
      <c r="B2291" s="133" t="s">
        <v>1540</v>
      </c>
      <c r="C2291" s="133" t="s">
        <v>1199</v>
      </c>
      <c r="D2291" s="133" t="s">
        <v>1543</v>
      </c>
      <c r="E2291" s="133" t="s">
        <v>1903</v>
      </c>
      <c r="F2291" s="133" t="s">
        <v>1117</v>
      </c>
      <c r="G2291" s="133" t="s">
        <v>1202</v>
      </c>
      <c r="H2291" s="133" t="s">
        <v>1216</v>
      </c>
      <c r="I2291" s="130" t="s">
        <v>1222</v>
      </c>
      <c r="J2291" s="130" t="s">
        <v>1304</v>
      </c>
      <c r="K2291" s="130" t="s">
        <v>1248</v>
      </c>
      <c r="L2291" s="130" t="s">
        <v>1544</v>
      </c>
      <c r="M2291" s="130" t="s">
        <v>1510</v>
      </c>
      <c r="N2291" s="130" t="s">
        <v>1511</v>
      </c>
      <c r="O2291" s="130" t="s">
        <v>1512</v>
      </c>
      <c r="P2291" s="130" t="s">
        <v>1513</v>
      </c>
      <c r="Q2291" s="130" t="s">
        <v>1127</v>
      </c>
      <c r="R2291" s="130" t="s">
        <v>1128</v>
      </c>
      <c r="S2291" s="130" t="s">
        <v>1129</v>
      </c>
      <c r="T2291" s="130" t="s">
        <v>1321</v>
      </c>
      <c r="U2291" s="130">
        <v>0</v>
      </c>
      <c r="V2291" s="131">
        <v>0</v>
      </c>
      <c r="W2291" s="131">
        <v>0</v>
      </c>
      <c r="X2291" s="131">
        <v>0</v>
      </c>
      <c r="Y2291" s="131">
        <v>0</v>
      </c>
      <c r="Z2291" s="131">
        <v>0</v>
      </c>
      <c r="AA2291" s="131">
        <v>0</v>
      </c>
      <c r="AB2291" s="131">
        <v>0</v>
      </c>
      <c r="AC2291" s="131">
        <v>0</v>
      </c>
      <c r="AD2291" s="131">
        <v>0</v>
      </c>
      <c r="AE2291" s="132">
        <v>0</v>
      </c>
    </row>
    <row r="2292" spans="1:31" x14ac:dyDescent="0.2">
      <c r="A2292" s="133">
        <v>443</v>
      </c>
      <c r="B2292" s="133" t="s">
        <v>1540</v>
      </c>
      <c r="C2292" s="133" t="s">
        <v>1199</v>
      </c>
      <c r="D2292" s="133" t="s">
        <v>1543</v>
      </c>
      <c r="E2292" s="133" t="s">
        <v>1903</v>
      </c>
      <c r="F2292" s="133" t="s">
        <v>1117</v>
      </c>
      <c r="G2292" s="133" t="s">
        <v>1202</v>
      </c>
      <c r="H2292" s="133" t="s">
        <v>1216</v>
      </c>
      <c r="I2292" s="133" t="s">
        <v>1222</v>
      </c>
      <c r="J2292" s="133" t="s">
        <v>1304</v>
      </c>
      <c r="K2292" s="130" t="s">
        <v>1305</v>
      </c>
      <c r="L2292" s="130" t="s">
        <v>1544</v>
      </c>
      <c r="M2292" s="130" t="s">
        <v>1510</v>
      </c>
      <c r="N2292" s="130" t="s">
        <v>1511</v>
      </c>
      <c r="O2292" s="130" t="s">
        <v>1512</v>
      </c>
      <c r="P2292" s="130" t="s">
        <v>1513</v>
      </c>
      <c r="Q2292" s="130" t="s">
        <v>1127</v>
      </c>
      <c r="R2292" s="130" t="s">
        <v>1128</v>
      </c>
      <c r="S2292" s="130" t="s">
        <v>1129</v>
      </c>
      <c r="T2292" s="130" t="s">
        <v>1321</v>
      </c>
      <c r="U2292" s="130">
        <v>0</v>
      </c>
      <c r="V2292" s="131">
        <v>831</v>
      </c>
      <c r="W2292" s="131">
        <v>831</v>
      </c>
      <c r="X2292" s="131">
        <v>0</v>
      </c>
      <c r="Y2292" s="131">
        <v>831</v>
      </c>
      <c r="Z2292" s="131">
        <v>0</v>
      </c>
      <c r="AA2292" s="131">
        <v>831</v>
      </c>
      <c r="AB2292" s="131">
        <v>0</v>
      </c>
      <c r="AC2292" s="131">
        <v>831</v>
      </c>
      <c r="AD2292" s="131">
        <v>0</v>
      </c>
      <c r="AE2292" s="132">
        <v>831</v>
      </c>
    </row>
    <row r="2293" spans="1:31" x14ac:dyDescent="0.2">
      <c r="A2293" s="133">
        <v>443</v>
      </c>
      <c r="B2293" s="133" t="s">
        <v>1540</v>
      </c>
      <c r="C2293" s="133" t="s">
        <v>1199</v>
      </c>
      <c r="D2293" s="133" t="s">
        <v>1543</v>
      </c>
      <c r="E2293" s="133" t="s">
        <v>1903</v>
      </c>
      <c r="F2293" s="133" t="s">
        <v>1117</v>
      </c>
      <c r="G2293" s="133" t="s">
        <v>1202</v>
      </c>
      <c r="H2293" s="133" t="s">
        <v>1216</v>
      </c>
      <c r="I2293" s="130" t="s">
        <v>1247</v>
      </c>
      <c r="J2293" s="130" t="s">
        <v>1248</v>
      </c>
      <c r="K2293" s="130" t="s">
        <v>1521</v>
      </c>
      <c r="L2293" s="130" t="s">
        <v>1544</v>
      </c>
      <c r="M2293" s="130" t="s">
        <v>1510</v>
      </c>
      <c r="N2293" s="130" t="s">
        <v>1511</v>
      </c>
      <c r="O2293" s="130" t="s">
        <v>1512</v>
      </c>
      <c r="P2293" s="130" t="s">
        <v>1513</v>
      </c>
      <c r="Q2293" s="130" t="s">
        <v>1127</v>
      </c>
      <c r="R2293" s="130" t="s">
        <v>1128</v>
      </c>
      <c r="S2293" s="130" t="s">
        <v>1129</v>
      </c>
      <c r="T2293" s="130" t="s">
        <v>1321</v>
      </c>
      <c r="U2293" s="130">
        <v>0</v>
      </c>
      <c r="V2293" s="131">
        <v>700</v>
      </c>
      <c r="W2293" s="131">
        <v>700</v>
      </c>
      <c r="X2293" s="131">
        <v>0</v>
      </c>
      <c r="Y2293" s="131">
        <v>700</v>
      </c>
      <c r="Z2293" s="131">
        <v>0</v>
      </c>
      <c r="AA2293" s="131">
        <v>700</v>
      </c>
      <c r="AB2293" s="131">
        <v>0</v>
      </c>
      <c r="AC2293" s="131">
        <v>700</v>
      </c>
      <c r="AD2293" s="131">
        <v>0</v>
      </c>
      <c r="AE2293" s="132">
        <v>700</v>
      </c>
    </row>
    <row r="2294" spans="1:31" x14ac:dyDescent="0.2">
      <c r="A2294" s="133">
        <v>443</v>
      </c>
      <c r="B2294" s="133" t="s">
        <v>1540</v>
      </c>
      <c r="C2294" s="133" t="s">
        <v>1199</v>
      </c>
      <c r="D2294" s="133" t="s">
        <v>1543</v>
      </c>
      <c r="E2294" s="133" t="s">
        <v>1903</v>
      </c>
      <c r="F2294" s="133" t="s">
        <v>1117</v>
      </c>
      <c r="G2294" s="133" t="s">
        <v>1202</v>
      </c>
      <c r="H2294" s="133" t="s">
        <v>1216</v>
      </c>
      <c r="I2294" s="130" t="s">
        <v>1252</v>
      </c>
      <c r="J2294" s="130" t="s">
        <v>1253</v>
      </c>
      <c r="K2294" s="130" t="s">
        <v>1528</v>
      </c>
      <c r="L2294" s="130" t="s">
        <v>1544</v>
      </c>
      <c r="M2294" s="130" t="s">
        <v>1510</v>
      </c>
      <c r="N2294" s="130" t="s">
        <v>1511</v>
      </c>
      <c r="O2294" s="130" t="s">
        <v>1512</v>
      </c>
      <c r="P2294" s="130" t="s">
        <v>1513</v>
      </c>
      <c r="Q2294" s="130" t="s">
        <v>1127</v>
      </c>
      <c r="R2294" s="130" t="s">
        <v>1128</v>
      </c>
      <c r="S2294" s="130" t="s">
        <v>1129</v>
      </c>
      <c r="T2294" s="130" t="s">
        <v>1321</v>
      </c>
      <c r="U2294" s="130">
        <v>0</v>
      </c>
      <c r="V2294" s="131">
        <v>1315</v>
      </c>
      <c r="W2294" s="131">
        <v>1315</v>
      </c>
      <c r="X2294" s="131">
        <v>0</v>
      </c>
      <c r="Y2294" s="131">
        <v>1315</v>
      </c>
      <c r="Z2294" s="131">
        <v>0</v>
      </c>
      <c r="AA2294" s="131">
        <v>1315</v>
      </c>
      <c r="AB2294" s="131">
        <v>0</v>
      </c>
      <c r="AC2294" s="131">
        <v>1315</v>
      </c>
      <c r="AD2294" s="131">
        <v>0</v>
      </c>
      <c r="AE2294" s="132">
        <v>1315</v>
      </c>
    </row>
    <row r="2295" spans="1:31" x14ac:dyDescent="0.2">
      <c r="A2295" s="133">
        <v>443</v>
      </c>
      <c r="B2295" s="133" t="s">
        <v>1540</v>
      </c>
      <c r="C2295" s="133" t="s">
        <v>1199</v>
      </c>
      <c r="D2295" s="133" t="s">
        <v>1543</v>
      </c>
      <c r="E2295" s="133" t="s">
        <v>1903</v>
      </c>
      <c r="F2295" s="133" t="s">
        <v>1117</v>
      </c>
      <c r="G2295" s="133" t="s">
        <v>1202</v>
      </c>
      <c r="H2295" s="130" t="s">
        <v>1203</v>
      </c>
      <c r="I2295" s="130" t="s">
        <v>1224</v>
      </c>
      <c r="J2295" s="130" t="s">
        <v>1225</v>
      </c>
      <c r="K2295" s="130" t="s">
        <v>1226</v>
      </c>
      <c r="L2295" s="130" t="s">
        <v>1544</v>
      </c>
      <c r="M2295" s="130" t="s">
        <v>1510</v>
      </c>
      <c r="N2295" s="130" t="s">
        <v>1511</v>
      </c>
      <c r="O2295" s="130" t="s">
        <v>1512</v>
      </c>
      <c r="P2295" s="130" t="s">
        <v>1513</v>
      </c>
      <c r="Q2295" s="130" t="s">
        <v>1127</v>
      </c>
      <c r="R2295" s="130" t="s">
        <v>1128</v>
      </c>
      <c r="S2295" s="130" t="s">
        <v>1129</v>
      </c>
      <c r="T2295" s="130" t="s">
        <v>1321</v>
      </c>
      <c r="U2295" s="130">
        <v>0</v>
      </c>
      <c r="V2295" s="131">
        <v>5000</v>
      </c>
      <c r="W2295" s="131">
        <v>5000</v>
      </c>
      <c r="X2295" s="131">
        <v>0</v>
      </c>
      <c r="Y2295" s="131">
        <v>5000</v>
      </c>
      <c r="Z2295" s="131">
        <v>0</v>
      </c>
      <c r="AA2295" s="131">
        <v>5000</v>
      </c>
      <c r="AB2295" s="131">
        <v>0</v>
      </c>
      <c r="AC2295" s="131">
        <v>5000</v>
      </c>
      <c r="AD2295" s="131">
        <v>0</v>
      </c>
      <c r="AE2295" s="132">
        <v>5000</v>
      </c>
    </row>
    <row r="2296" spans="1:31" x14ac:dyDescent="0.2">
      <c r="A2296" s="133">
        <v>443</v>
      </c>
      <c r="B2296" s="133" t="s">
        <v>1540</v>
      </c>
      <c r="C2296" s="133" t="s">
        <v>1199</v>
      </c>
      <c r="D2296" s="133" t="s">
        <v>1543</v>
      </c>
      <c r="E2296" s="133" t="s">
        <v>1903</v>
      </c>
      <c r="F2296" s="133" t="s">
        <v>1117</v>
      </c>
      <c r="G2296" s="133" t="s">
        <v>1202</v>
      </c>
      <c r="H2296" s="133" t="s">
        <v>1203</v>
      </c>
      <c r="I2296" s="130" t="s">
        <v>1309</v>
      </c>
      <c r="J2296" s="130" t="s">
        <v>1310</v>
      </c>
      <c r="K2296" s="130" t="s">
        <v>1310</v>
      </c>
      <c r="L2296" s="130" t="s">
        <v>1544</v>
      </c>
      <c r="M2296" s="130" t="s">
        <v>1510</v>
      </c>
      <c r="N2296" s="130" t="s">
        <v>1511</v>
      </c>
      <c r="O2296" s="130" t="s">
        <v>1512</v>
      </c>
      <c r="P2296" s="130" t="s">
        <v>1513</v>
      </c>
      <c r="Q2296" s="130" t="s">
        <v>1127</v>
      </c>
      <c r="R2296" s="130" t="s">
        <v>1128</v>
      </c>
      <c r="S2296" s="130" t="s">
        <v>1129</v>
      </c>
      <c r="T2296" s="130" t="s">
        <v>1321</v>
      </c>
      <c r="U2296" s="130">
        <v>0</v>
      </c>
      <c r="V2296" s="131">
        <v>7500</v>
      </c>
      <c r="W2296" s="131">
        <v>7500</v>
      </c>
      <c r="X2296" s="131">
        <v>6900</v>
      </c>
      <c r="Y2296" s="131">
        <v>600</v>
      </c>
      <c r="Z2296" s="131">
        <v>6900</v>
      </c>
      <c r="AA2296" s="131">
        <v>600</v>
      </c>
      <c r="AB2296" s="131">
        <v>6900</v>
      </c>
      <c r="AC2296" s="131">
        <v>600</v>
      </c>
      <c r="AD2296" s="131">
        <v>0</v>
      </c>
      <c r="AE2296" s="132">
        <v>7500</v>
      </c>
    </row>
    <row r="2297" spans="1:31" x14ac:dyDescent="0.2">
      <c r="A2297" s="133">
        <v>443</v>
      </c>
      <c r="B2297" s="133" t="s">
        <v>1540</v>
      </c>
      <c r="C2297" s="133" t="s">
        <v>1199</v>
      </c>
      <c r="D2297" s="133" t="s">
        <v>1543</v>
      </c>
      <c r="E2297" s="133" t="s">
        <v>1903</v>
      </c>
      <c r="F2297" s="133" t="s">
        <v>1117</v>
      </c>
      <c r="G2297" s="130" t="s">
        <v>1118</v>
      </c>
      <c r="H2297" s="130" t="s">
        <v>1149</v>
      </c>
      <c r="I2297" s="130" t="s">
        <v>1182</v>
      </c>
      <c r="J2297" s="130" t="s">
        <v>1377</v>
      </c>
      <c r="K2297" s="130" t="s">
        <v>1378</v>
      </c>
      <c r="L2297" s="130" t="s">
        <v>1544</v>
      </c>
      <c r="M2297" s="130" t="s">
        <v>1510</v>
      </c>
      <c r="N2297" s="130" t="s">
        <v>1511</v>
      </c>
      <c r="O2297" s="130" t="s">
        <v>1512</v>
      </c>
      <c r="P2297" s="130" t="s">
        <v>1513</v>
      </c>
      <c r="Q2297" s="130" t="s">
        <v>1127</v>
      </c>
      <c r="R2297" s="130" t="s">
        <v>1128</v>
      </c>
      <c r="S2297" s="130" t="s">
        <v>1129</v>
      </c>
      <c r="T2297" s="130" t="s">
        <v>1321</v>
      </c>
      <c r="U2297" s="130">
        <v>0</v>
      </c>
      <c r="V2297" s="131">
        <v>1080</v>
      </c>
      <c r="W2297" s="131">
        <v>1080</v>
      </c>
      <c r="X2297" s="131">
        <v>0</v>
      </c>
      <c r="Y2297" s="131">
        <v>1080</v>
      </c>
      <c r="Z2297" s="131">
        <v>0</v>
      </c>
      <c r="AA2297" s="131">
        <v>1080</v>
      </c>
      <c r="AB2297" s="131">
        <v>0</v>
      </c>
      <c r="AC2297" s="131">
        <v>1080</v>
      </c>
      <c r="AD2297" s="131">
        <v>0</v>
      </c>
      <c r="AE2297" s="132">
        <v>1080</v>
      </c>
    </row>
    <row r="2298" spans="1:31" x14ac:dyDescent="0.2">
      <c r="A2298" s="130">
        <v>444</v>
      </c>
      <c r="B2298" s="130" t="s">
        <v>1540</v>
      </c>
      <c r="C2298" s="130" t="s">
        <v>1199</v>
      </c>
      <c r="D2298" s="130" t="s">
        <v>1543</v>
      </c>
      <c r="E2298" s="130" t="s">
        <v>1903</v>
      </c>
      <c r="F2298" s="130" t="s">
        <v>1117</v>
      </c>
      <c r="G2298" s="130" t="s">
        <v>1202</v>
      </c>
      <c r="H2298" s="130" t="s">
        <v>1216</v>
      </c>
      <c r="I2298" s="130" t="s">
        <v>1301</v>
      </c>
      <c r="J2298" s="130" t="s">
        <v>1301</v>
      </c>
      <c r="K2298" s="130" t="s">
        <v>1302</v>
      </c>
      <c r="L2298" s="130" t="s">
        <v>1544</v>
      </c>
      <c r="M2298" s="130" t="s">
        <v>1510</v>
      </c>
      <c r="N2298" s="130" t="s">
        <v>1511</v>
      </c>
      <c r="O2298" s="130" t="s">
        <v>1512</v>
      </c>
      <c r="P2298" s="130" t="s">
        <v>1513</v>
      </c>
      <c r="Q2298" s="130" t="s">
        <v>1127</v>
      </c>
      <c r="R2298" s="130" t="s">
        <v>1413</v>
      </c>
      <c r="S2298" s="130" t="s">
        <v>1414</v>
      </c>
      <c r="T2298" s="130" t="s">
        <v>1321</v>
      </c>
      <c r="U2298" s="130">
        <v>0</v>
      </c>
      <c r="V2298" s="131">
        <v>1750</v>
      </c>
      <c r="W2298" s="131">
        <v>1750</v>
      </c>
      <c r="X2298" s="131">
        <v>1710</v>
      </c>
      <c r="Y2298" s="131">
        <v>40</v>
      </c>
      <c r="Z2298" s="131">
        <v>1710</v>
      </c>
      <c r="AA2298" s="131">
        <v>40</v>
      </c>
      <c r="AB2298" s="131">
        <v>1710</v>
      </c>
      <c r="AC2298" s="131">
        <v>40</v>
      </c>
      <c r="AD2298" s="131">
        <v>0</v>
      </c>
      <c r="AE2298" s="132">
        <v>1750</v>
      </c>
    </row>
    <row r="2299" spans="1:31" x14ac:dyDescent="0.2">
      <c r="A2299" s="133">
        <v>444</v>
      </c>
      <c r="B2299" s="133" t="s">
        <v>1540</v>
      </c>
      <c r="C2299" s="133" t="s">
        <v>1199</v>
      </c>
      <c r="D2299" s="133" t="s">
        <v>1543</v>
      </c>
      <c r="E2299" s="133" t="s">
        <v>1903</v>
      </c>
      <c r="F2299" s="133" t="s">
        <v>1117</v>
      </c>
      <c r="G2299" s="133" t="s">
        <v>1202</v>
      </c>
      <c r="H2299" s="133" t="s">
        <v>1216</v>
      </c>
      <c r="I2299" s="130" t="s">
        <v>1217</v>
      </c>
      <c r="J2299" s="130" t="s">
        <v>1218</v>
      </c>
      <c r="K2299" s="130" t="s">
        <v>1219</v>
      </c>
      <c r="L2299" s="130" t="s">
        <v>1544</v>
      </c>
      <c r="M2299" s="130" t="s">
        <v>1510</v>
      </c>
      <c r="N2299" s="130" t="s">
        <v>1511</v>
      </c>
      <c r="O2299" s="130" t="s">
        <v>1512</v>
      </c>
      <c r="P2299" s="130" t="s">
        <v>1513</v>
      </c>
      <c r="Q2299" s="130" t="s">
        <v>1127</v>
      </c>
      <c r="R2299" s="130" t="s">
        <v>1413</v>
      </c>
      <c r="S2299" s="130" t="s">
        <v>1414</v>
      </c>
      <c r="T2299" s="130" t="s">
        <v>1321</v>
      </c>
      <c r="U2299" s="130">
        <v>0</v>
      </c>
      <c r="V2299" s="131">
        <v>1700</v>
      </c>
      <c r="W2299" s="131">
        <v>1700</v>
      </c>
      <c r="X2299" s="131">
        <v>0</v>
      </c>
      <c r="Y2299" s="131">
        <v>1700</v>
      </c>
      <c r="Z2299" s="131">
        <v>0</v>
      </c>
      <c r="AA2299" s="131">
        <v>1700</v>
      </c>
      <c r="AB2299" s="131">
        <v>0</v>
      </c>
      <c r="AC2299" s="131">
        <v>1700</v>
      </c>
      <c r="AD2299" s="131">
        <v>0</v>
      </c>
      <c r="AE2299" s="132">
        <v>1700</v>
      </c>
    </row>
    <row r="2300" spans="1:31" x14ac:dyDescent="0.2">
      <c r="A2300" s="133">
        <v>444</v>
      </c>
      <c r="B2300" s="133" t="s">
        <v>1540</v>
      </c>
      <c r="C2300" s="133" t="s">
        <v>1199</v>
      </c>
      <c r="D2300" s="133" t="s">
        <v>1543</v>
      </c>
      <c r="E2300" s="133" t="s">
        <v>1903</v>
      </c>
      <c r="F2300" s="133" t="s">
        <v>1117</v>
      </c>
      <c r="G2300" s="133" t="s">
        <v>1202</v>
      </c>
      <c r="H2300" s="133" t="s">
        <v>1216</v>
      </c>
      <c r="I2300" s="130" t="s">
        <v>1222</v>
      </c>
      <c r="J2300" s="130" t="s">
        <v>1304</v>
      </c>
      <c r="K2300" s="130" t="s">
        <v>1248</v>
      </c>
      <c r="L2300" s="130" t="s">
        <v>1544</v>
      </c>
      <c r="M2300" s="130" t="s">
        <v>1510</v>
      </c>
      <c r="N2300" s="130" t="s">
        <v>1511</v>
      </c>
      <c r="O2300" s="130" t="s">
        <v>1512</v>
      </c>
      <c r="P2300" s="130" t="s">
        <v>1513</v>
      </c>
      <c r="Q2300" s="130" t="s">
        <v>1127</v>
      </c>
      <c r="R2300" s="130" t="s">
        <v>1413</v>
      </c>
      <c r="S2300" s="130" t="s">
        <v>1414</v>
      </c>
      <c r="T2300" s="130" t="s">
        <v>1321</v>
      </c>
      <c r="U2300" s="130">
        <v>0</v>
      </c>
      <c r="V2300" s="131">
        <v>0</v>
      </c>
      <c r="W2300" s="131">
        <v>0</v>
      </c>
      <c r="X2300" s="131">
        <v>0</v>
      </c>
      <c r="Y2300" s="131">
        <v>0</v>
      </c>
      <c r="Z2300" s="131">
        <v>0</v>
      </c>
      <c r="AA2300" s="131">
        <v>0</v>
      </c>
      <c r="AB2300" s="131">
        <v>0</v>
      </c>
      <c r="AC2300" s="131">
        <v>0</v>
      </c>
      <c r="AD2300" s="131">
        <v>0</v>
      </c>
      <c r="AE2300" s="132">
        <v>0</v>
      </c>
    </row>
    <row r="2301" spans="1:31" x14ac:dyDescent="0.2">
      <c r="A2301" s="133">
        <v>444</v>
      </c>
      <c r="B2301" s="133" t="s">
        <v>1540</v>
      </c>
      <c r="C2301" s="133" t="s">
        <v>1199</v>
      </c>
      <c r="D2301" s="133" t="s">
        <v>1543</v>
      </c>
      <c r="E2301" s="133" t="s">
        <v>1903</v>
      </c>
      <c r="F2301" s="133" t="s">
        <v>1117</v>
      </c>
      <c r="G2301" s="133" t="s">
        <v>1202</v>
      </c>
      <c r="H2301" s="133" t="s">
        <v>1216</v>
      </c>
      <c r="I2301" s="133" t="s">
        <v>1222</v>
      </c>
      <c r="J2301" s="133" t="s">
        <v>1304</v>
      </c>
      <c r="K2301" s="130" t="s">
        <v>1305</v>
      </c>
      <c r="L2301" s="130" t="s">
        <v>1544</v>
      </c>
      <c r="M2301" s="130" t="s">
        <v>1510</v>
      </c>
      <c r="N2301" s="130" t="s">
        <v>1511</v>
      </c>
      <c r="O2301" s="130" t="s">
        <v>1512</v>
      </c>
      <c r="P2301" s="130" t="s">
        <v>1513</v>
      </c>
      <c r="Q2301" s="130" t="s">
        <v>1127</v>
      </c>
      <c r="R2301" s="130" t="s">
        <v>1413</v>
      </c>
      <c r="S2301" s="130" t="s">
        <v>1414</v>
      </c>
      <c r="T2301" s="130" t="s">
        <v>1321</v>
      </c>
      <c r="U2301" s="130">
        <v>0</v>
      </c>
      <c r="V2301" s="131">
        <v>300</v>
      </c>
      <c r="W2301" s="131">
        <v>300</v>
      </c>
      <c r="X2301" s="131">
        <v>0</v>
      </c>
      <c r="Y2301" s="131">
        <v>300</v>
      </c>
      <c r="Z2301" s="131">
        <v>0</v>
      </c>
      <c r="AA2301" s="131">
        <v>300</v>
      </c>
      <c r="AB2301" s="131">
        <v>0</v>
      </c>
      <c r="AC2301" s="131">
        <v>300</v>
      </c>
      <c r="AD2301" s="131">
        <v>0</v>
      </c>
      <c r="AE2301" s="132">
        <v>300</v>
      </c>
    </row>
    <row r="2302" spans="1:31" x14ac:dyDescent="0.2">
      <c r="A2302" s="133">
        <v>444</v>
      </c>
      <c r="B2302" s="133" t="s">
        <v>1540</v>
      </c>
      <c r="C2302" s="133" t="s">
        <v>1199</v>
      </c>
      <c r="D2302" s="133" t="s">
        <v>1543</v>
      </c>
      <c r="E2302" s="133" t="s">
        <v>1903</v>
      </c>
      <c r="F2302" s="133" t="s">
        <v>1117</v>
      </c>
      <c r="G2302" s="133" t="s">
        <v>1202</v>
      </c>
      <c r="H2302" s="133" t="s">
        <v>1216</v>
      </c>
      <c r="I2302" s="130" t="s">
        <v>1247</v>
      </c>
      <c r="J2302" s="130" t="s">
        <v>1248</v>
      </c>
      <c r="K2302" s="130" t="s">
        <v>1251</v>
      </c>
      <c r="L2302" s="130" t="s">
        <v>1544</v>
      </c>
      <c r="M2302" s="130" t="s">
        <v>1510</v>
      </c>
      <c r="N2302" s="130" t="s">
        <v>1511</v>
      </c>
      <c r="O2302" s="130" t="s">
        <v>1512</v>
      </c>
      <c r="P2302" s="130" t="s">
        <v>1513</v>
      </c>
      <c r="Q2302" s="130" t="s">
        <v>1127</v>
      </c>
      <c r="R2302" s="130" t="s">
        <v>1413</v>
      </c>
      <c r="S2302" s="130" t="s">
        <v>1414</v>
      </c>
      <c r="T2302" s="130" t="s">
        <v>1321</v>
      </c>
      <c r="U2302" s="130">
        <v>0</v>
      </c>
      <c r="V2302" s="131">
        <v>1400</v>
      </c>
      <c r="W2302" s="131">
        <v>1400</v>
      </c>
      <c r="X2302" s="131">
        <v>0</v>
      </c>
      <c r="Y2302" s="131">
        <v>1400</v>
      </c>
      <c r="Z2302" s="131">
        <v>0</v>
      </c>
      <c r="AA2302" s="131">
        <v>1400</v>
      </c>
      <c r="AB2302" s="131">
        <v>0</v>
      </c>
      <c r="AC2302" s="131">
        <v>1400</v>
      </c>
      <c r="AD2302" s="131">
        <v>0</v>
      </c>
      <c r="AE2302" s="132">
        <v>1400</v>
      </c>
    </row>
    <row r="2303" spans="1:31" x14ac:dyDescent="0.2">
      <c r="A2303" s="133">
        <v>444</v>
      </c>
      <c r="B2303" s="133" t="s">
        <v>1540</v>
      </c>
      <c r="C2303" s="133" t="s">
        <v>1199</v>
      </c>
      <c r="D2303" s="133" t="s">
        <v>1543</v>
      </c>
      <c r="E2303" s="133" t="s">
        <v>1903</v>
      </c>
      <c r="F2303" s="133" t="s">
        <v>1117</v>
      </c>
      <c r="G2303" s="133" t="s">
        <v>1202</v>
      </c>
      <c r="H2303" s="133" t="s">
        <v>1216</v>
      </c>
      <c r="I2303" s="130" t="s">
        <v>1252</v>
      </c>
      <c r="J2303" s="130" t="s">
        <v>1253</v>
      </c>
      <c r="K2303" s="130" t="s">
        <v>1528</v>
      </c>
      <c r="L2303" s="130" t="s">
        <v>1544</v>
      </c>
      <c r="M2303" s="130" t="s">
        <v>1510</v>
      </c>
      <c r="N2303" s="130" t="s">
        <v>1511</v>
      </c>
      <c r="O2303" s="130" t="s">
        <v>1512</v>
      </c>
      <c r="P2303" s="130" t="s">
        <v>1513</v>
      </c>
      <c r="Q2303" s="130" t="s">
        <v>1127</v>
      </c>
      <c r="R2303" s="130" t="s">
        <v>1413</v>
      </c>
      <c r="S2303" s="130" t="s">
        <v>1414</v>
      </c>
      <c r="T2303" s="130" t="s">
        <v>1321</v>
      </c>
      <c r="U2303" s="130">
        <v>0</v>
      </c>
      <c r="V2303" s="131">
        <v>5000</v>
      </c>
      <c r="W2303" s="131">
        <v>5000</v>
      </c>
      <c r="X2303" s="131">
        <v>5000</v>
      </c>
      <c r="Y2303" s="131">
        <v>0</v>
      </c>
      <c r="Z2303" s="131">
        <v>5000</v>
      </c>
      <c r="AA2303" s="131">
        <v>0</v>
      </c>
      <c r="AB2303" s="131">
        <v>5000</v>
      </c>
      <c r="AC2303" s="131">
        <v>0</v>
      </c>
      <c r="AD2303" s="131">
        <v>0</v>
      </c>
      <c r="AE2303" s="132">
        <v>5000</v>
      </c>
    </row>
    <row r="2304" spans="1:31" x14ac:dyDescent="0.2">
      <c r="A2304" s="133">
        <v>444</v>
      </c>
      <c r="B2304" s="133" t="s">
        <v>1540</v>
      </c>
      <c r="C2304" s="133" t="s">
        <v>1199</v>
      </c>
      <c r="D2304" s="133" t="s">
        <v>1543</v>
      </c>
      <c r="E2304" s="133" t="s">
        <v>1903</v>
      </c>
      <c r="F2304" s="133" t="s">
        <v>1117</v>
      </c>
      <c r="G2304" s="133" t="s">
        <v>1202</v>
      </c>
      <c r="H2304" s="133" t="s">
        <v>1216</v>
      </c>
      <c r="I2304" s="133" t="s">
        <v>1252</v>
      </c>
      <c r="J2304" s="133" t="s">
        <v>1253</v>
      </c>
      <c r="K2304" s="130" t="s">
        <v>1254</v>
      </c>
      <c r="L2304" s="130" t="s">
        <v>1544</v>
      </c>
      <c r="M2304" s="130" t="s">
        <v>1510</v>
      </c>
      <c r="N2304" s="130" t="s">
        <v>1511</v>
      </c>
      <c r="O2304" s="130" t="s">
        <v>1512</v>
      </c>
      <c r="P2304" s="130" t="s">
        <v>1513</v>
      </c>
      <c r="Q2304" s="130" t="s">
        <v>1127</v>
      </c>
      <c r="R2304" s="130" t="s">
        <v>1413</v>
      </c>
      <c r="S2304" s="130" t="s">
        <v>1414</v>
      </c>
      <c r="T2304" s="130" t="s">
        <v>1321</v>
      </c>
      <c r="U2304" s="130">
        <v>0</v>
      </c>
      <c r="V2304" s="131">
        <v>7178</v>
      </c>
      <c r="W2304" s="131">
        <v>7178</v>
      </c>
      <c r="X2304" s="131">
        <v>0</v>
      </c>
      <c r="Y2304" s="131">
        <v>7178</v>
      </c>
      <c r="Z2304" s="131">
        <v>0</v>
      </c>
      <c r="AA2304" s="131">
        <v>7178</v>
      </c>
      <c r="AB2304" s="131">
        <v>0</v>
      </c>
      <c r="AC2304" s="131">
        <v>7178</v>
      </c>
      <c r="AD2304" s="131">
        <v>0</v>
      </c>
      <c r="AE2304" s="132">
        <v>7178</v>
      </c>
    </row>
    <row r="2305" spans="1:31" x14ac:dyDescent="0.2">
      <c r="A2305" s="133">
        <v>444</v>
      </c>
      <c r="B2305" s="133" t="s">
        <v>1540</v>
      </c>
      <c r="C2305" s="133" t="s">
        <v>1199</v>
      </c>
      <c r="D2305" s="133" t="s">
        <v>1543</v>
      </c>
      <c r="E2305" s="133" t="s">
        <v>1903</v>
      </c>
      <c r="F2305" s="133" t="s">
        <v>1117</v>
      </c>
      <c r="G2305" s="133" t="s">
        <v>1202</v>
      </c>
      <c r="H2305" s="130" t="s">
        <v>1203</v>
      </c>
      <c r="I2305" s="130" t="s">
        <v>1224</v>
      </c>
      <c r="J2305" s="130" t="s">
        <v>1225</v>
      </c>
      <c r="K2305" s="130" t="s">
        <v>1226</v>
      </c>
      <c r="L2305" s="130" t="s">
        <v>1544</v>
      </c>
      <c r="M2305" s="130" t="s">
        <v>1510</v>
      </c>
      <c r="N2305" s="130" t="s">
        <v>1511</v>
      </c>
      <c r="O2305" s="130" t="s">
        <v>1512</v>
      </c>
      <c r="P2305" s="130" t="s">
        <v>1513</v>
      </c>
      <c r="Q2305" s="130" t="s">
        <v>1127</v>
      </c>
      <c r="R2305" s="130" t="s">
        <v>1413</v>
      </c>
      <c r="S2305" s="130" t="s">
        <v>1414</v>
      </c>
      <c r="T2305" s="130" t="s">
        <v>1321</v>
      </c>
      <c r="U2305" s="130">
        <v>0</v>
      </c>
      <c r="V2305" s="131">
        <v>0</v>
      </c>
      <c r="W2305" s="131">
        <v>0</v>
      </c>
      <c r="X2305" s="131">
        <v>0</v>
      </c>
      <c r="Y2305" s="131">
        <v>0</v>
      </c>
      <c r="Z2305" s="131">
        <v>0</v>
      </c>
      <c r="AA2305" s="131">
        <v>0</v>
      </c>
      <c r="AB2305" s="131">
        <v>0</v>
      </c>
      <c r="AC2305" s="131">
        <v>0</v>
      </c>
      <c r="AD2305" s="131">
        <v>0</v>
      </c>
      <c r="AE2305" s="132">
        <v>0</v>
      </c>
    </row>
    <row r="2306" spans="1:31" x14ac:dyDescent="0.2">
      <c r="A2306" s="133">
        <v>444</v>
      </c>
      <c r="B2306" s="133" t="s">
        <v>1540</v>
      </c>
      <c r="C2306" s="133" t="s">
        <v>1199</v>
      </c>
      <c r="D2306" s="133" t="s">
        <v>1543</v>
      </c>
      <c r="E2306" s="133" t="s">
        <v>1903</v>
      </c>
      <c r="F2306" s="133" t="s">
        <v>1117</v>
      </c>
      <c r="G2306" s="133" t="s">
        <v>1202</v>
      </c>
      <c r="H2306" s="133" t="s">
        <v>1203</v>
      </c>
      <c r="I2306" s="130" t="s">
        <v>1209</v>
      </c>
      <c r="J2306" s="130" t="s">
        <v>1210</v>
      </c>
      <c r="K2306" s="130" t="s">
        <v>1211</v>
      </c>
      <c r="L2306" s="130" t="s">
        <v>1544</v>
      </c>
      <c r="M2306" s="130" t="s">
        <v>1510</v>
      </c>
      <c r="N2306" s="130" t="s">
        <v>1511</v>
      </c>
      <c r="O2306" s="130" t="s">
        <v>1512</v>
      </c>
      <c r="P2306" s="130" t="s">
        <v>1513</v>
      </c>
      <c r="Q2306" s="130" t="s">
        <v>1127</v>
      </c>
      <c r="R2306" s="130" t="s">
        <v>1413</v>
      </c>
      <c r="S2306" s="130" t="s">
        <v>1414</v>
      </c>
      <c r="T2306" s="130" t="s">
        <v>1321</v>
      </c>
      <c r="U2306" s="130">
        <v>0</v>
      </c>
      <c r="V2306" s="131">
        <v>1700</v>
      </c>
      <c r="W2306" s="131">
        <v>1700</v>
      </c>
      <c r="X2306" s="131">
        <v>1698</v>
      </c>
      <c r="Y2306" s="131">
        <v>2</v>
      </c>
      <c r="Z2306" s="131">
        <v>1698</v>
      </c>
      <c r="AA2306" s="131">
        <v>2</v>
      </c>
      <c r="AB2306" s="131">
        <v>1698</v>
      </c>
      <c r="AC2306" s="131">
        <v>2</v>
      </c>
      <c r="AD2306" s="131">
        <v>0</v>
      </c>
      <c r="AE2306" s="132">
        <v>1700</v>
      </c>
    </row>
    <row r="2307" spans="1:31" x14ac:dyDescent="0.2">
      <c r="A2307" s="133">
        <v>444</v>
      </c>
      <c r="B2307" s="133" t="s">
        <v>1540</v>
      </c>
      <c r="C2307" s="133" t="s">
        <v>1199</v>
      </c>
      <c r="D2307" s="133" t="s">
        <v>1543</v>
      </c>
      <c r="E2307" s="133" t="s">
        <v>1903</v>
      </c>
      <c r="F2307" s="133" t="s">
        <v>1117</v>
      </c>
      <c r="G2307" s="133" t="s">
        <v>1202</v>
      </c>
      <c r="H2307" s="133" t="s">
        <v>1203</v>
      </c>
      <c r="I2307" s="130" t="s">
        <v>1309</v>
      </c>
      <c r="J2307" s="130" t="s">
        <v>1310</v>
      </c>
      <c r="K2307" s="130" t="s">
        <v>1310</v>
      </c>
      <c r="L2307" s="130" t="s">
        <v>1544</v>
      </c>
      <c r="M2307" s="130" t="s">
        <v>1510</v>
      </c>
      <c r="N2307" s="130" t="s">
        <v>1511</v>
      </c>
      <c r="O2307" s="130" t="s">
        <v>1512</v>
      </c>
      <c r="P2307" s="130" t="s">
        <v>1513</v>
      </c>
      <c r="Q2307" s="130" t="s">
        <v>1127</v>
      </c>
      <c r="R2307" s="130" t="s">
        <v>1413</v>
      </c>
      <c r="S2307" s="130" t="s">
        <v>1414</v>
      </c>
      <c r="T2307" s="130" t="s">
        <v>1321</v>
      </c>
      <c r="U2307" s="130">
        <v>0</v>
      </c>
      <c r="V2307" s="131">
        <v>9000</v>
      </c>
      <c r="W2307" s="131">
        <v>9000</v>
      </c>
      <c r="X2307" s="131">
        <v>6600</v>
      </c>
      <c r="Y2307" s="131">
        <v>2400</v>
      </c>
      <c r="Z2307" s="131">
        <v>6600</v>
      </c>
      <c r="AA2307" s="131">
        <v>2400</v>
      </c>
      <c r="AB2307" s="131">
        <v>6600</v>
      </c>
      <c r="AC2307" s="131">
        <v>2400</v>
      </c>
      <c r="AD2307" s="131">
        <v>6600</v>
      </c>
      <c r="AE2307" s="132">
        <v>2400</v>
      </c>
    </row>
    <row r="2308" spans="1:31" x14ac:dyDescent="0.2">
      <c r="A2308" s="130">
        <v>445</v>
      </c>
      <c r="B2308" s="130" t="s">
        <v>1540</v>
      </c>
      <c r="C2308" s="130" t="s">
        <v>1199</v>
      </c>
      <c r="D2308" s="130" t="s">
        <v>2352</v>
      </c>
      <c r="E2308" s="130" t="s">
        <v>1903</v>
      </c>
      <c r="F2308" s="130" t="s">
        <v>1117</v>
      </c>
      <c r="G2308" s="130" t="s">
        <v>1276</v>
      </c>
      <c r="H2308" s="130" t="s">
        <v>1277</v>
      </c>
      <c r="I2308" s="130" t="s">
        <v>1285</v>
      </c>
      <c r="J2308" s="130" t="s">
        <v>1286</v>
      </c>
      <c r="K2308" s="130" t="s">
        <v>1894</v>
      </c>
      <c r="L2308" s="130" t="s">
        <v>2353</v>
      </c>
      <c r="M2308" s="130" t="s">
        <v>1510</v>
      </c>
      <c r="N2308" s="130" t="s">
        <v>1511</v>
      </c>
      <c r="O2308" s="130" t="s">
        <v>1512</v>
      </c>
      <c r="P2308" s="130" t="s">
        <v>1513</v>
      </c>
      <c r="Q2308" s="130" t="s">
        <v>1127</v>
      </c>
      <c r="R2308" s="130" t="s">
        <v>1191</v>
      </c>
      <c r="S2308" s="130" t="s">
        <v>1191</v>
      </c>
      <c r="T2308" s="130" t="s">
        <v>1321</v>
      </c>
      <c r="U2308" s="130">
        <v>0</v>
      </c>
      <c r="V2308" s="131">
        <v>18400</v>
      </c>
      <c r="W2308" s="131">
        <v>18400</v>
      </c>
      <c r="X2308" s="131">
        <v>0</v>
      </c>
      <c r="Y2308" s="131">
        <v>18400</v>
      </c>
      <c r="Z2308" s="131">
        <v>0</v>
      </c>
      <c r="AA2308" s="131">
        <v>18400</v>
      </c>
      <c r="AB2308" s="131">
        <v>0</v>
      </c>
      <c r="AC2308" s="131">
        <v>18400</v>
      </c>
      <c r="AD2308" s="131">
        <v>0</v>
      </c>
      <c r="AE2308" s="132">
        <v>18400</v>
      </c>
    </row>
    <row r="2309" spans="1:31" x14ac:dyDescent="0.2">
      <c r="A2309" s="133">
        <v>445</v>
      </c>
      <c r="B2309" s="133" t="s">
        <v>1540</v>
      </c>
      <c r="C2309" s="133" t="s">
        <v>1199</v>
      </c>
      <c r="D2309" s="133" t="s">
        <v>2352</v>
      </c>
      <c r="E2309" s="133" t="s">
        <v>1903</v>
      </c>
      <c r="F2309" s="133" t="s">
        <v>1117</v>
      </c>
      <c r="G2309" s="133" t="s">
        <v>1276</v>
      </c>
      <c r="H2309" s="133" t="s">
        <v>1277</v>
      </c>
      <c r="I2309" s="130" t="s">
        <v>1288</v>
      </c>
      <c r="J2309" s="130" t="s">
        <v>1289</v>
      </c>
      <c r="K2309" s="130" t="s">
        <v>1292</v>
      </c>
      <c r="L2309" s="130" t="s">
        <v>2353</v>
      </c>
      <c r="M2309" s="130" t="s">
        <v>1510</v>
      </c>
      <c r="N2309" s="130" t="s">
        <v>1511</v>
      </c>
      <c r="O2309" s="130" t="s">
        <v>1512</v>
      </c>
      <c r="P2309" s="130" t="s">
        <v>1513</v>
      </c>
      <c r="Q2309" s="130" t="s">
        <v>1127</v>
      </c>
      <c r="R2309" s="130" t="s">
        <v>1191</v>
      </c>
      <c r="S2309" s="130" t="s">
        <v>1191</v>
      </c>
      <c r="T2309" s="130" t="s">
        <v>1321</v>
      </c>
      <c r="U2309" s="130">
        <v>0</v>
      </c>
      <c r="V2309" s="131">
        <v>600</v>
      </c>
      <c r="W2309" s="131">
        <v>600</v>
      </c>
      <c r="X2309" s="131">
        <v>0</v>
      </c>
      <c r="Y2309" s="131">
        <v>600</v>
      </c>
      <c r="Z2309" s="131">
        <v>0</v>
      </c>
      <c r="AA2309" s="131">
        <v>600</v>
      </c>
      <c r="AB2309" s="131">
        <v>0</v>
      </c>
      <c r="AC2309" s="131">
        <v>600</v>
      </c>
      <c r="AD2309" s="131">
        <v>0</v>
      </c>
      <c r="AE2309" s="132">
        <v>600</v>
      </c>
    </row>
    <row r="2310" spans="1:31" x14ac:dyDescent="0.2">
      <c r="A2310" s="133">
        <v>445</v>
      </c>
      <c r="B2310" s="133" t="s">
        <v>1540</v>
      </c>
      <c r="C2310" s="133" t="s">
        <v>1199</v>
      </c>
      <c r="D2310" s="133" t="s">
        <v>2352</v>
      </c>
      <c r="E2310" s="133" t="s">
        <v>1903</v>
      </c>
      <c r="F2310" s="133" t="s">
        <v>1117</v>
      </c>
      <c r="G2310" s="133" t="s">
        <v>1276</v>
      </c>
      <c r="H2310" s="130" t="s">
        <v>1297</v>
      </c>
      <c r="I2310" s="130" t="s">
        <v>1298</v>
      </c>
      <c r="J2310" s="130" t="s">
        <v>1298</v>
      </c>
      <c r="K2310" s="130" t="s">
        <v>1300</v>
      </c>
      <c r="L2310" s="130" t="s">
        <v>2353</v>
      </c>
      <c r="M2310" s="130" t="s">
        <v>1510</v>
      </c>
      <c r="N2310" s="130" t="s">
        <v>1511</v>
      </c>
      <c r="O2310" s="130" t="s">
        <v>1512</v>
      </c>
      <c r="P2310" s="130" t="s">
        <v>1513</v>
      </c>
      <c r="Q2310" s="130" t="s">
        <v>1127</v>
      </c>
      <c r="R2310" s="130" t="s">
        <v>1191</v>
      </c>
      <c r="S2310" s="130" t="s">
        <v>1191</v>
      </c>
      <c r="T2310" s="130" t="s">
        <v>1321</v>
      </c>
      <c r="U2310" s="130">
        <v>0</v>
      </c>
      <c r="V2310" s="131">
        <v>1656</v>
      </c>
      <c r="W2310" s="131">
        <v>1656</v>
      </c>
      <c r="X2310" s="131">
        <v>0</v>
      </c>
      <c r="Y2310" s="131">
        <v>1656</v>
      </c>
      <c r="Z2310" s="131">
        <v>0</v>
      </c>
      <c r="AA2310" s="131">
        <v>1656</v>
      </c>
      <c r="AB2310" s="131">
        <v>0</v>
      </c>
      <c r="AC2310" s="131">
        <v>1656</v>
      </c>
      <c r="AD2310" s="131">
        <v>0</v>
      </c>
      <c r="AE2310" s="132">
        <v>1656</v>
      </c>
    </row>
    <row r="2311" spans="1:31" x14ac:dyDescent="0.2">
      <c r="A2311" s="133">
        <v>445</v>
      </c>
      <c r="B2311" s="133" t="s">
        <v>1540</v>
      </c>
      <c r="C2311" s="133" t="s">
        <v>1199</v>
      </c>
      <c r="D2311" s="133" t="s">
        <v>2352</v>
      </c>
      <c r="E2311" s="133" t="s">
        <v>1903</v>
      </c>
      <c r="F2311" s="133" t="s">
        <v>1117</v>
      </c>
      <c r="G2311" s="130" t="s">
        <v>1202</v>
      </c>
      <c r="H2311" s="130" t="s">
        <v>1216</v>
      </c>
      <c r="I2311" s="130" t="s">
        <v>1301</v>
      </c>
      <c r="J2311" s="130" t="s">
        <v>1301</v>
      </c>
      <c r="K2311" s="130" t="s">
        <v>1302</v>
      </c>
      <c r="L2311" s="130" t="s">
        <v>2353</v>
      </c>
      <c r="M2311" s="130" t="s">
        <v>1510</v>
      </c>
      <c r="N2311" s="130" t="s">
        <v>1511</v>
      </c>
      <c r="O2311" s="130" t="s">
        <v>1512</v>
      </c>
      <c r="P2311" s="130" t="s">
        <v>1513</v>
      </c>
      <c r="Q2311" s="130" t="s">
        <v>1127</v>
      </c>
      <c r="R2311" s="130" t="s">
        <v>1191</v>
      </c>
      <c r="S2311" s="130" t="s">
        <v>1191</v>
      </c>
      <c r="T2311" s="130" t="s">
        <v>1321</v>
      </c>
      <c r="U2311" s="130">
        <v>0</v>
      </c>
      <c r="V2311" s="131">
        <v>143</v>
      </c>
      <c r="W2311" s="131">
        <v>143</v>
      </c>
      <c r="X2311" s="131">
        <v>0</v>
      </c>
      <c r="Y2311" s="131">
        <v>143</v>
      </c>
      <c r="Z2311" s="131">
        <v>0</v>
      </c>
      <c r="AA2311" s="131">
        <v>143</v>
      </c>
      <c r="AB2311" s="131">
        <v>0</v>
      </c>
      <c r="AC2311" s="131">
        <v>143</v>
      </c>
      <c r="AD2311" s="131">
        <v>0</v>
      </c>
      <c r="AE2311" s="132">
        <v>143</v>
      </c>
    </row>
    <row r="2312" spans="1:31" x14ac:dyDescent="0.2">
      <c r="A2312" s="133">
        <v>445</v>
      </c>
      <c r="B2312" s="133" t="s">
        <v>1540</v>
      </c>
      <c r="C2312" s="133" t="s">
        <v>1199</v>
      </c>
      <c r="D2312" s="133" t="s">
        <v>2352</v>
      </c>
      <c r="E2312" s="133" t="s">
        <v>1903</v>
      </c>
      <c r="F2312" s="133" t="s">
        <v>1117</v>
      </c>
      <c r="G2312" s="133" t="s">
        <v>1202</v>
      </c>
      <c r="H2312" s="133" t="s">
        <v>1216</v>
      </c>
      <c r="I2312" s="130" t="s">
        <v>1222</v>
      </c>
      <c r="J2312" s="130" t="s">
        <v>1304</v>
      </c>
      <c r="K2312" s="130" t="s">
        <v>1305</v>
      </c>
      <c r="L2312" s="130" t="s">
        <v>2353</v>
      </c>
      <c r="M2312" s="130" t="s">
        <v>1510</v>
      </c>
      <c r="N2312" s="130" t="s">
        <v>1511</v>
      </c>
      <c r="O2312" s="130" t="s">
        <v>1512</v>
      </c>
      <c r="P2312" s="130" t="s">
        <v>1513</v>
      </c>
      <c r="Q2312" s="130" t="s">
        <v>1127</v>
      </c>
      <c r="R2312" s="130" t="s">
        <v>1191</v>
      </c>
      <c r="S2312" s="130" t="s">
        <v>1191</v>
      </c>
      <c r="T2312" s="130" t="s">
        <v>1321</v>
      </c>
      <c r="U2312" s="130">
        <v>0</v>
      </c>
      <c r="V2312" s="131">
        <v>305</v>
      </c>
      <c r="W2312" s="131">
        <v>305</v>
      </c>
      <c r="X2312" s="131">
        <v>0</v>
      </c>
      <c r="Y2312" s="131">
        <v>305</v>
      </c>
      <c r="Z2312" s="131">
        <v>0</v>
      </c>
      <c r="AA2312" s="131">
        <v>305</v>
      </c>
      <c r="AB2312" s="131">
        <v>0</v>
      </c>
      <c r="AC2312" s="131">
        <v>305</v>
      </c>
      <c r="AD2312" s="131">
        <v>0</v>
      </c>
      <c r="AE2312" s="132">
        <v>305</v>
      </c>
    </row>
    <row r="2313" spans="1:31" x14ac:dyDescent="0.2">
      <c r="A2313" s="133">
        <v>445</v>
      </c>
      <c r="B2313" s="133" t="s">
        <v>1540</v>
      </c>
      <c r="C2313" s="133" t="s">
        <v>1199</v>
      </c>
      <c r="D2313" s="133" t="s">
        <v>2352</v>
      </c>
      <c r="E2313" s="133" t="s">
        <v>1903</v>
      </c>
      <c r="F2313" s="133" t="s">
        <v>1117</v>
      </c>
      <c r="G2313" s="133" t="s">
        <v>1202</v>
      </c>
      <c r="H2313" s="133" t="s">
        <v>1216</v>
      </c>
      <c r="I2313" s="130" t="s">
        <v>1247</v>
      </c>
      <c r="J2313" s="130" t="s">
        <v>1248</v>
      </c>
      <c r="K2313" s="130" t="s">
        <v>1521</v>
      </c>
      <c r="L2313" s="130" t="s">
        <v>2353</v>
      </c>
      <c r="M2313" s="130" t="s">
        <v>1510</v>
      </c>
      <c r="N2313" s="130" t="s">
        <v>1511</v>
      </c>
      <c r="O2313" s="130" t="s">
        <v>1512</v>
      </c>
      <c r="P2313" s="130" t="s">
        <v>1513</v>
      </c>
      <c r="Q2313" s="130" t="s">
        <v>1127</v>
      </c>
      <c r="R2313" s="130" t="s">
        <v>1191</v>
      </c>
      <c r="S2313" s="130" t="s">
        <v>1191</v>
      </c>
      <c r="T2313" s="130" t="s">
        <v>1321</v>
      </c>
      <c r="U2313" s="130">
        <v>0</v>
      </c>
      <c r="V2313" s="131">
        <v>610</v>
      </c>
      <c r="W2313" s="131">
        <v>610</v>
      </c>
      <c r="X2313" s="131">
        <v>0</v>
      </c>
      <c r="Y2313" s="131">
        <v>610</v>
      </c>
      <c r="Z2313" s="131">
        <v>0</v>
      </c>
      <c r="AA2313" s="131">
        <v>610</v>
      </c>
      <c r="AB2313" s="131">
        <v>0</v>
      </c>
      <c r="AC2313" s="131">
        <v>610</v>
      </c>
      <c r="AD2313" s="131">
        <v>0</v>
      </c>
      <c r="AE2313" s="132">
        <v>610</v>
      </c>
    </row>
    <row r="2314" spans="1:31" x14ac:dyDescent="0.2">
      <c r="A2314" s="133">
        <v>445</v>
      </c>
      <c r="B2314" s="133" t="s">
        <v>1540</v>
      </c>
      <c r="C2314" s="133" t="s">
        <v>1199</v>
      </c>
      <c r="D2314" s="133" t="s">
        <v>2352</v>
      </c>
      <c r="E2314" s="133" t="s">
        <v>1903</v>
      </c>
      <c r="F2314" s="133" t="s">
        <v>1117</v>
      </c>
      <c r="G2314" s="133" t="s">
        <v>1202</v>
      </c>
      <c r="H2314" s="133" t="s">
        <v>1216</v>
      </c>
      <c r="I2314" s="130" t="s">
        <v>1252</v>
      </c>
      <c r="J2314" s="130" t="s">
        <v>1253</v>
      </c>
      <c r="K2314" s="130" t="s">
        <v>1254</v>
      </c>
      <c r="L2314" s="130" t="s">
        <v>2353</v>
      </c>
      <c r="M2314" s="130" t="s">
        <v>1510</v>
      </c>
      <c r="N2314" s="130" t="s">
        <v>1511</v>
      </c>
      <c r="O2314" s="130" t="s">
        <v>1512</v>
      </c>
      <c r="P2314" s="130" t="s">
        <v>1513</v>
      </c>
      <c r="Q2314" s="130" t="s">
        <v>1127</v>
      </c>
      <c r="R2314" s="130" t="s">
        <v>1191</v>
      </c>
      <c r="S2314" s="130" t="s">
        <v>1191</v>
      </c>
      <c r="T2314" s="130" t="s">
        <v>1321</v>
      </c>
      <c r="U2314" s="130">
        <v>0</v>
      </c>
      <c r="V2314" s="131">
        <v>4360</v>
      </c>
      <c r="W2314" s="131">
        <v>4360</v>
      </c>
      <c r="X2314" s="131">
        <v>0</v>
      </c>
      <c r="Y2314" s="131">
        <v>4360</v>
      </c>
      <c r="Z2314" s="131">
        <v>0</v>
      </c>
      <c r="AA2314" s="131">
        <v>4360</v>
      </c>
      <c r="AB2314" s="131">
        <v>0</v>
      </c>
      <c r="AC2314" s="131">
        <v>4360</v>
      </c>
      <c r="AD2314" s="131">
        <v>0</v>
      </c>
      <c r="AE2314" s="132">
        <v>4360</v>
      </c>
    </row>
    <row r="2315" spans="1:31" x14ac:dyDescent="0.2">
      <c r="A2315" s="133">
        <v>445</v>
      </c>
      <c r="B2315" s="133" t="s">
        <v>1540</v>
      </c>
      <c r="C2315" s="133" t="s">
        <v>1199</v>
      </c>
      <c r="D2315" s="133" t="s">
        <v>2352</v>
      </c>
      <c r="E2315" s="133" t="s">
        <v>1903</v>
      </c>
      <c r="F2315" s="133" t="s">
        <v>1117</v>
      </c>
      <c r="G2315" s="133" t="s">
        <v>1202</v>
      </c>
      <c r="H2315" s="130" t="s">
        <v>1203</v>
      </c>
      <c r="I2315" s="130" t="s">
        <v>1309</v>
      </c>
      <c r="J2315" s="130" t="s">
        <v>1310</v>
      </c>
      <c r="K2315" s="130" t="s">
        <v>1310</v>
      </c>
      <c r="L2315" s="130" t="s">
        <v>2353</v>
      </c>
      <c r="M2315" s="130" t="s">
        <v>1510</v>
      </c>
      <c r="N2315" s="130" t="s">
        <v>1511</v>
      </c>
      <c r="O2315" s="130" t="s">
        <v>1512</v>
      </c>
      <c r="P2315" s="130" t="s">
        <v>1513</v>
      </c>
      <c r="Q2315" s="130" t="s">
        <v>1127</v>
      </c>
      <c r="R2315" s="130" t="s">
        <v>1191</v>
      </c>
      <c r="S2315" s="130" t="s">
        <v>1191</v>
      </c>
      <c r="T2315" s="130" t="s">
        <v>1321</v>
      </c>
      <c r="U2315" s="130">
        <v>0</v>
      </c>
      <c r="V2315" s="131">
        <v>10000</v>
      </c>
      <c r="W2315" s="131">
        <v>10000</v>
      </c>
      <c r="X2315" s="131">
        <v>0</v>
      </c>
      <c r="Y2315" s="131">
        <v>10000</v>
      </c>
      <c r="Z2315" s="131">
        <v>0</v>
      </c>
      <c r="AA2315" s="131">
        <v>10000</v>
      </c>
      <c r="AB2315" s="131">
        <v>0</v>
      </c>
      <c r="AC2315" s="131">
        <v>10000</v>
      </c>
      <c r="AD2315" s="131">
        <v>0</v>
      </c>
      <c r="AE2315" s="132">
        <v>10000</v>
      </c>
    </row>
    <row r="2316" spans="1:31" x14ac:dyDescent="0.2">
      <c r="A2316" s="133">
        <v>445</v>
      </c>
      <c r="B2316" s="133" t="s">
        <v>1540</v>
      </c>
      <c r="C2316" s="133" t="s">
        <v>1199</v>
      </c>
      <c r="D2316" s="133" t="s">
        <v>2352</v>
      </c>
      <c r="E2316" s="133" t="s">
        <v>1903</v>
      </c>
      <c r="F2316" s="133" t="s">
        <v>1117</v>
      </c>
      <c r="G2316" s="130" t="s">
        <v>1118</v>
      </c>
      <c r="H2316" s="130" t="s">
        <v>1149</v>
      </c>
      <c r="I2316" s="130" t="s">
        <v>1182</v>
      </c>
      <c r="J2316" s="130" t="s">
        <v>1377</v>
      </c>
      <c r="K2316" s="130" t="s">
        <v>1378</v>
      </c>
      <c r="L2316" s="130" t="s">
        <v>2353</v>
      </c>
      <c r="M2316" s="130" t="s">
        <v>1510</v>
      </c>
      <c r="N2316" s="130" t="s">
        <v>1511</v>
      </c>
      <c r="O2316" s="130" t="s">
        <v>1512</v>
      </c>
      <c r="P2316" s="130" t="s">
        <v>1513</v>
      </c>
      <c r="Q2316" s="130" t="s">
        <v>1127</v>
      </c>
      <c r="R2316" s="130" t="s">
        <v>1191</v>
      </c>
      <c r="S2316" s="130" t="s">
        <v>1191</v>
      </c>
      <c r="T2316" s="130" t="s">
        <v>1321</v>
      </c>
      <c r="U2316" s="130">
        <v>0</v>
      </c>
      <c r="V2316" s="131">
        <v>480</v>
      </c>
      <c r="W2316" s="131">
        <v>480</v>
      </c>
      <c r="X2316" s="131">
        <v>0</v>
      </c>
      <c r="Y2316" s="131">
        <v>480</v>
      </c>
      <c r="Z2316" s="131">
        <v>0</v>
      </c>
      <c r="AA2316" s="131">
        <v>480</v>
      </c>
      <c r="AB2316" s="131">
        <v>0</v>
      </c>
      <c r="AC2316" s="131">
        <v>480</v>
      </c>
      <c r="AD2316" s="131">
        <v>0</v>
      </c>
      <c r="AE2316" s="132">
        <v>480</v>
      </c>
    </row>
    <row r="2317" spans="1:31" x14ac:dyDescent="0.2">
      <c r="A2317" s="133">
        <v>445</v>
      </c>
      <c r="B2317" s="133" t="s">
        <v>1540</v>
      </c>
      <c r="C2317" s="133" t="s">
        <v>1199</v>
      </c>
      <c r="D2317" s="133" t="s">
        <v>2352</v>
      </c>
      <c r="E2317" s="133" t="s">
        <v>1903</v>
      </c>
      <c r="F2317" s="133" t="s">
        <v>1117</v>
      </c>
      <c r="G2317" s="133" t="s">
        <v>1118</v>
      </c>
      <c r="H2317" s="133" t="s">
        <v>1149</v>
      </c>
      <c r="I2317" s="133" t="s">
        <v>1182</v>
      </c>
      <c r="J2317" s="130" t="s">
        <v>1347</v>
      </c>
      <c r="K2317" s="130" t="s">
        <v>1419</v>
      </c>
      <c r="L2317" s="130" t="s">
        <v>2353</v>
      </c>
      <c r="M2317" s="130" t="s">
        <v>1510</v>
      </c>
      <c r="N2317" s="130" t="s">
        <v>1511</v>
      </c>
      <c r="O2317" s="130" t="s">
        <v>1512</v>
      </c>
      <c r="P2317" s="130" t="s">
        <v>1513</v>
      </c>
      <c r="Q2317" s="130" t="s">
        <v>1127</v>
      </c>
      <c r="R2317" s="130" t="s">
        <v>1191</v>
      </c>
      <c r="S2317" s="130" t="s">
        <v>1191</v>
      </c>
      <c r="T2317" s="130" t="s">
        <v>1321</v>
      </c>
      <c r="U2317" s="130">
        <v>0</v>
      </c>
      <c r="V2317" s="131">
        <v>1260</v>
      </c>
      <c r="W2317" s="131">
        <v>1260</v>
      </c>
      <c r="X2317" s="131">
        <v>0</v>
      </c>
      <c r="Y2317" s="131">
        <v>1260</v>
      </c>
      <c r="Z2317" s="131">
        <v>0</v>
      </c>
      <c r="AA2317" s="131">
        <v>1260</v>
      </c>
      <c r="AB2317" s="131">
        <v>0</v>
      </c>
      <c r="AC2317" s="131">
        <v>1260</v>
      </c>
      <c r="AD2317" s="131">
        <v>0</v>
      </c>
      <c r="AE2317" s="132">
        <v>1260</v>
      </c>
    </row>
    <row r="2318" spans="1:31" x14ac:dyDescent="0.2">
      <c r="A2318" s="130">
        <v>446</v>
      </c>
      <c r="B2318" s="130" t="s">
        <v>1540</v>
      </c>
      <c r="C2318" s="130" t="s">
        <v>1199</v>
      </c>
      <c r="D2318" s="130" t="s">
        <v>2352</v>
      </c>
      <c r="E2318" s="130" t="s">
        <v>1903</v>
      </c>
      <c r="F2318" s="130" t="s">
        <v>1117</v>
      </c>
      <c r="G2318" s="130" t="s">
        <v>1202</v>
      </c>
      <c r="H2318" s="130" t="s">
        <v>1216</v>
      </c>
      <c r="I2318" s="130" t="s">
        <v>1301</v>
      </c>
      <c r="J2318" s="130" t="s">
        <v>1301</v>
      </c>
      <c r="K2318" s="130" t="s">
        <v>1302</v>
      </c>
      <c r="L2318" s="130" t="s">
        <v>2353</v>
      </c>
      <c r="M2318" s="130" t="s">
        <v>1510</v>
      </c>
      <c r="N2318" s="130" t="s">
        <v>1511</v>
      </c>
      <c r="O2318" s="130" t="s">
        <v>1512</v>
      </c>
      <c r="P2318" s="130" t="s">
        <v>1513</v>
      </c>
      <c r="Q2318" s="130" t="s">
        <v>1127</v>
      </c>
      <c r="R2318" s="130" t="s">
        <v>1128</v>
      </c>
      <c r="S2318" s="130" t="s">
        <v>1129</v>
      </c>
      <c r="T2318" s="130" t="s">
        <v>1321</v>
      </c>
      <c r="U2318" s="130">
        <v>0</v>
      </c>
      <c r="V2318" s="131">
        <v>0</v>
      </c>
      <c r="W2318" s="131">
        <v>0</v>
      </c>
      <c r="X2318" s="131">
        <v>0</v>
      </c>
      <c r="Y2318" s="131">
        <v>0</v>
      </c>
      <c r="Z2318" s="131">
        <v>0</v>
      </c>
      <c r="AA2318" s="131">
        <v>0</v>
      </c>
      <c r="AB2318" s="131">
        <v>0</v>
      </c>
      <c r="AC2318" s="131">
        <v>0</v>
      </c>
      <c r="AD2318" s="131">
        <v>0</v>
      </c>
      <c r="AE2318" s="132">
        <v>0</v>
      </c>
    </row>
    <row r="2319" spans="1:31" x14ac:dyDescent="0.2">
      <c r="A2319" s="133">
        <v>446</v>
      </c>
      <c r="B2319" s="133" t="s">
        <v>1540</v>
      </c>
      <c r="C2319" s="133" t="s">
        <v>1199</v>
      </c>
      <c r="D2319" s="133" t="s">
        <v>2352</v>
      </c>
      <c r="E2319" s="133" t="s">
        <v>1903</v>
      </c>
      <c r="F2319" s="133" t="s">
        <v>1117</v>
      </c>
      <c r="G2319" s="133" t="s">
        <v>1202</v>
      </c>
      <c r="H2319" s="133" t="s">
        <v>1216</v>
      </c>
      <c r="I2319" s="130" t="s">
        <v>1222</v>
      </c>
      <c r="J2319" s="130" t="s">
        <v>1304</v>
      </c>
      <c r="K2319" s="130" t="s">
        <v>1248</v>
      </c>
      <c r="L2319" s="130" t="s">
        <v>2353</v>
      </c>
      <c r="M2319" s="130" t="s">
        <v>1510</v>
      </c>
      <c r="N2319" s="130" t="s">
        <v>1511</v>
      </c>
      <c r="O2319" s="130" t="s">
        <v>1512</v>
      </c>
      <c r="P2319" s="130" t="s">
        <v>1513</v>
      </c>
      <c r="Q2319" s="130" t="s">
        <v>1127</v>
      </c>
      <c r="R2319" s="130" t="s">
        <v>1128</v>
      </c>
      <c r="S2319" s="130" t="s">
        <v>1129</v>
      </c>
      <c r="T2319" s="130" t="s">
        <v>1321</v>
      </c>
      <c r="U2319" s="130">
        <v>0</v>
      </c>
      <c r="V2319" s="131">
        <v>0</v>
      </c>
      <c r="W2319" s="131">
        <v>0</v>
      </c>
      <c r="X2319" s="131">
        <v>0</v>
      </c>
      <c r="Y2319" s="131">
        <v>0</v>
      </c>
      <c r="Z2319" s="131">
        <v>0</v>
      </c>
      <c r="AA2319" s="131">
        <v>0</v>
      </c>
      <c r="AB2319" s="131">
        <v>0</v>
      </c>
      <c r="AC2319" s="131">
        <v>0</v>
      </c>
      <c r="AD2319" s="131">
        <v>0</v>
      </c>
      <c r="AE2319" s="132">
        <v>0</v>
      </c>
    </row>
    <row r="2320" spans="1:31" x14ac:dyDescent="0.2">
      <c r="A2320" s="133">
        <v>446</v>
      </c>
      <c r="B2320" s="133" t="s">
        <v>1540</v>
      </c>
      <c r="C2320" s="133" t="s">
        <v>1199</v>
      </c>
      <c r="D2320" s="133" t="s">
        <v>2352</v>
      </c>
      <c r="E2320" s="133" t="s">
        <v>1903</v>
      </c>
      <c r="F2320" s="133" t="s">
        <v>1117</v>
      </c>
      <c r="G2320" s="133" t="s">
        <v>1202</v>
      </c>
      <c r="H2320" s="133" t="s">
        <v>1216</v>
      </c>
      <c r="I2320" s="133" t="s">
        <v>1222</v>
      </c>
      <c r="J2320" s="133" t="s">
        <v>1304</v>
      </c>
      <c r="K2320" s="130" t="s">
        <v>1305</v>
      </c>
      <c r="L2320" s="130" t="s">
        <v>2353</v>
      </c>
      <c r="M2320" s="130" t="s">
        <v>1510</v>
      </c>
      <c r="N2320" s="130" t="s">
        <v>1511</v>
      </c>
      <c r="O2320" s="130" t="s">
        <v>1512</v>
      </c>
      <c r="P2320" s="130" t="s">
        <v>1513</v>
      </c>
      <c r="Q2320" s="130" t="s">
        <v>1127</v>
      </c>
      <c r="R2320" s="130" t="s">
        <v>1128</v>
      </c>
      <c r="S2320" s="130" t="s">
        <v>1129</v>
      </c>
      <c r="T2320" s="130" t="s">
        <v>1321</v>
      </c>
      <c r="U2320" s="130">
        <v>0</v>
      </c>
      <c r="V2320" s="131">
        <v>0</v>
      </c>
      <c r="W2320" s="131">
        <v>0</v>
      </c>
      <c r="X2320" s="131">
        <v>0</v>
      </c>
      <c r="Y2320" s="131">
        <v>0</v>
      </c>
      <c r="Z2320" s="131">
        <v>0</v>
      </c>
      <c r="AA2320" s="131">
        <v>0</v>
      </c>
      <c r="AB2320" s="131">
        <v>0</v>
      </c>
      <c r="AC2320" s="131">
        <v>0</v>
      </c>
      <c r="AD2320" s="131">
        <v>0</v>
      </c>
      <c r="AE2320" s="132">
        <v>0</v>
      </c>
    </row>
    <row r="2321" spans="1:31" x14ac:dyDescent="0.2">
      <c r="A2321" s="133">
        <v>446</v>
      </c>
      <c r="B2321" s="133" t="s">
        <v>1540</v>
      </c>
      <c r="C2321" s="133" t="s">
        <v>1199</v>
      </c>
      <c r="D2321" s="133" t="s">
        <v>2352</v>
      </c>
      <c r="E2321" s="133" t="s">
        <v>1903</v>
      </c>
      <c r="F2321" s="133" t="s">
        <v>1117</v>
      </c>
      <c r="G2321" s="133" t="s">
        <v>1202</v>
      </c>
      <c r="H2321" s="130" t="s">
        <v>1203</v>
      </c>
      <c r="I2321" s="130" t="s">
        <v>1209</v>
      </c>
      <c r="J2321" s="130" t="s">
        <v>1210</v>
      </c>
      <c r="K2321" s="130" t="s">
        <v>1211</v>
      </c>
      <c r="L2321" s="130" t="s">
        <v>2353</v>
      </c>
      <c r="M2321" s="130" t="s">
        <v>1510</v>
      </c>
      <c r="N2321" s="130" t="s">
        <v>1511</v>
      </c>
      <c r="O2321" s="130" t="s">
        <v>1512</v>
      </c>
      <c r="P2321" s="130" t="s">
        <v>1513</v>
      </c>
      <c r="Q2321" s="130" t="s">
        <v>1127</v>
      </c>
      <c r="R2321" s="130" t="s">
        <v>1128</v>
      </c>
      <c r="S2321" s="130" t="s">
        <v>1129</v>
      </c>
      <c r="T2321" s="130" t="s">
        <v>1321</v>
      </c>
      <c r="U2321" s="130">
        <v>0</v>
      </c>
      <c r="V2321" s="131">
        <v>817</v>
      </c>
      <c r="W2321" s="131">
        <v>817</v>
      </c>
      <c r="X2321" s="131">
        <v>817</v>
      </c>
      <c r="Y2321" s="131">
        <v>0</v>
      </c>
      <c r="Z2321" s="131">
        <v>817</v>
      </c>
      <c r="AA2321" s="131">
        <v>0</v>
      </c>
      <c r="AB2321" s="131">
        <v>817</v>
      </c>
      <c r="AC2321" s="131">
        <v>0</v>
      </c>
      <c r="AD2321" s="131">
        <v>0</v>
      </c>
      <c r="AE2321" s="132">
        <v>817</v>
      </c>
    </row>
    <row r="2322" spans="1:31" x14ac:dyDescent="0.2">
      <c r="A2322" s="133">
        <v>446</v>
      </c>
      <c r="B2322" s="133" t="s">
        <v>1540</v>
      </c>
      <c r="C2322" s="133" t="s">
        <v>1199</v>
      </c>
      <c r="D2322" s="133" t="s">
        <v>2352</v>
      </c>
      <c r="E2322" s="133" t="s">
        <v>1903</v>
      </c>
      <c r="F2322" s="133" t="s">
        <v>1117</v>
      </c>
      <c r="G2322" s="133" t="s">
        <v>1202</v>
      </c>
      <c r="H2322" s="133" t="s">
        <v>1203</v>
      </c>
      <c r="I2322" s="130" t="s">
        <v>1309</v>
      </c>
      <c r="J2322" s="130" t="s">
        <v>1310</v>
      </c>
      <c r="K2322" s="130" t="s">
        <v>1310</v>
      </c>
      <c r="L2322" s="130" t="s">
        <v>2353</v>
      </c>
      <c r="M2322" s="130" t="s">
        <v>1510</v>
      </c>
      <c r="N2322" s="130" t="s">
        <v>1511</v>
      </c>
      <c r="O2322" s="130" t="s">
        <v>1512</v>
      </c>
      <c r="P2322" s="130" t="s">
        <v>1513</v>
      </c>
      <c r="Q2322" s="130" t="s">
        <v>1127</v>
      </c>
      <c r="R2322" s="130" t="s">
        <v>1128</v>
      </c>
      <c r="S2322" s="130" t="s">
        <v>1129</v>
      </c>
      <c r="T2322" s="130" t="s">
        <v>1321</v>
      </c>
      <c r="U2322" s="130">
        <v>0</v>
      </c>
      <c r="V2322" s="131">
        <v>7500</v>
      </c>
      <c r="W2322" s="131">
        <v>7500</v>
      </c>
      <c r="X2322" s="131">
        <v>6600</v>
      </c>
      <c r="Y2322" s="131">
        <v>900</v>
      </c>
      <c r="Z2322" s="131">
        <v>6600</v>
      </c>
      <c r="AA2322" s="131">
        <v>900</v>
      </c>
      <c r="AB2322" s="131">
        <v>6600</v>
      </c>
      <c r="AC2322" s="131">
        <v>900</v>
      </c>
      <c r="AD2322" s="131">
        <v>4400</v>
      </c>
      <c r="AE2322" s="132">
        <v>3100</v>
      </c>
    </row>
    <row r="2323" spans="1:31" x14ac:dyDescent="0.2">
      <c r="A2323" s="130">
        <v>447</v>
      </c>
      <c r="B2323" s="130" t="s">
        <v>1540</v>
      </c>
      <c r="C2323" s="130" t="s">
        <v>1199</v>
      </c>
      <c r="D2323" s="130" t="s">
        <v>2352</v>
      </c>
      <c r="E2323" s="130" t="s">
        <v>1903</v>
      </c>
      <c r="F2323" s="130" t="s">
        <v>1117</v>
      </c>
      <c r="G2323" s="130" t="s">
        <v>1202</v>
      </c>
      <c r="H2323" s="130" t="s">
        <v>1216</v>
      </c>
      <c r="I2323" s="130" t="s">
        <v>1222</v>
      </c>
      <c r="J2323" s="130" t="s">
        <v>1304</v>
      </c>
      <c r="K2323" s="130" t="s">
        <v>1305</v>
      </c>
      <c r="L2323" s="130" t="s">
        <v>2353</v>
      </c>
      <c r="M2323" s="130" t="s">
        <v>1510</v>
      </c>
      <c r="N2323" s="130" t="s">
        <v>1511</v>
      </c>
      <c r="O2323" s="130" t="s">
        <v>1512</v>
      </c>
      <c r="P2323" s="130" t="s">
        <v>1513</v>
      </c>
      <c r="Q2323" s="130" t="s">
        <v>1127</v>
      </c>
      <c r="R2323" s="130" t="s">
        <v>1191</v>
      </c>
      <c r="S2323" s="130" t="s">
        <v>1538</v>
      </c>
      <c r="T2323" s="130" t="s">
        <v>1321</v>
      </c>
      <c r="U2323" s="130">
        <v>0</v>
      </c>
      <c r="V2323" s="131">
        <v>33</v>
      </c>
      <c r="W2323" s="131">
        <v>33</v>
      </c>
      <c r="X2323" s="131">
        <v>0</v>
      </c>
      <c r="Y2323" s="131">
        <v>33</v>
      </c>
      <c r="Z2323" s="131">
        <v>0</v>
      </c>
      <c r="AA2323" s="131">
        <v>33</v>
      </c>
      <c r="AB2323" s="131">
        <v>0</v>
      </c>
      <c r="AC2323" s="131">
        <v>33</v>
      </c>
      <c r="AD2323" s="131">
        <v>0</v>
      </c>
      <c r="AE2323" s="132">
        <v>33</v>
      </c>
    </row>
    <row r="2324" spans="1:31" x14ac:dyDescent="0.2">
      <c r="A2324" s="133">
        <v>447</v>
      </c>
      <c r="B2324" s="133" t="s">
        <v>1540</v>
      </c>
      <c r="C2324" s="133" t="s">
        <v>1199</v>
      </c>
      <c r="D2324" s="133" t="s">
        <v>2352</v>
      </c>
      <c r="E2324" s="133" t="s">
        <v>1903</v>
      </c>
      <c r="F2324" s="133" t="s">
        <v>1117</v>
      </c>
      <c r="G2324" s="133" t="s">
        <v>1202</v>
      </c>
      <c r="H2324" s="133" t="s">
        <v>1216</v>
      </c>
      <c r="I2324" s="130" t="s">
        <v>1252</v>
      </c>
      <c r="J2324" s="130" t="s">
        <v>1253</v>
      </c>
      <c r="K2324" s="130" t="s">
        <v>1528</v>
      </c>
      <c r="L2324" s="130" t="s">
        <v>2353</v>
      </c>
      <c r="M2324" s="130" t="s">
        <v>1510</v>
      </c>
      <c r="N2324" s="130" t="s">
        <v>1511</v>
      </c>
      <c r="O2324" s="130" t="s">
        <v>1512</v>
      </c>
      <c r="P2324" s="130" t="s">
        <v>1513</v>
      </c>
      <c r="Q2324" s="130" t="s">
        <v>1127</v>
      </c>
      <c r="R2324" s="130" t="s">
        <v>1191</v>
      </c>
      <c r="S2324" s="130" t="s">
        <v>1538</v>
      </c>
      <c r="T2324" s="130" t="s">
        <v>1321</v>
      </c>
      <c r="U2324" s="130">
        <v>0</v>
      </c>
      <c r="V2324" s="131">
        <v>3060</v>
      </c>
      <c r="W2324" s="131">
        <v>3060</v>
      </c>
      <c r="X2324" s="131">
        <v>0</v>
      </c>
      <c r="Y2324" s="131">
        <v>3060</v>
      </c>
      <c r="Z2324" s="131">
        <v>0</v>
      </c>
      <c r="AA2324" s="131">
        <v>3060</v>
      </c>
      <c r="AB2324" s="131">
        <v>0</v>
      </c>
      <c r="AC2324" s="131">
        <v>3060</v>
      </c>
      <c r="AD2324" s="131">
        <v>0</v>
      </c>
      <c r="AE2324" s="132">
        <v>3060</v>
      </c>
    </row>
    <row r="2325" spans="1:31" x14ac:dyDescent="0.2">
      <c r="A2325" s="133">
        <v>447</v>
      </c>
      <c r="B2325" s="133" t="s">
        <v>1540</v>
      </c>
      <c r="C2325" s="133" t="s">
        <v>1199</v>
      </c>
      <c r="D2325" s="133" t="s">
        <v>2352</v>
      </c>
      <c r="E2325" s="133" t="s">
        <v>1903</v>
      </c>
      <c r="F2325" s="133" t="s">
        <v>1117</v>
      </c>
      <c r="G2325" s="133" t="s">
        <v>1202</v>
      </c>
      <c r="H2325" s="130" t="s">
        <v>1203</v>
      </c>
      <c r="I2325" s="130" t="s">
        <v>1204</v>
      </c>
      <c r="J2325" s="130" t="s">
        <v>1205</v>
      </c>
      <c r="K2325" s="130" t="s">
        <v>1206</v>
      </c>
      <c r="L2325" s="130" t="s">
        <v>2353</v>
      </c>
      <c r="M2325" s="130" t="s">
        <v>1510</v>
      </c>
      <c r="N2325" s="130" t="s">
        <v>1511</v>
      </c>
      <c r="O2325" s="130" t="s">
        <v>1512</v>
      </c>
      <c r="P2325" s="130" t="s">
        <v>1513</v>
      </c>
      <c r="Q2325" s="130" t="s">
        <v>1127</v>
      </c>
      <c r="R2325" s="130" t="s">
        <v>1191</v>
      </c>
      <c r="S2325" s="130" t="s">
        <v>1538</v>
      </c>
      <c r="T2325" s="130" t="s">
        <v>1321</v>
      </c>
      <c r="U2325" s="130">
        <v>0</v>
      </c>
      <c r="V2325" s="131">
        <v>600</v>
      </c>
      <c r="W2325" s="131">
        <v>600</v>
      </c>
      <c r="X2325" s="131">
        <v>0</v>
      </c>
      <c r="Y2325" s="131">
        <v>600</v>
      </c>
      <c r="Z2325" s="131">
        <v>0</v>
      </c>
      <c r="AA2325" s="131">
        <v>600</v>
      </c>
      <c r="AB2325" s="131">
        <v>0</v>
      </c>
      <c r="AC2325" s="131">
        <v>600</v>
      </c>
      <c r="AD2325" s="131">
        <v>0</v>
      </c>
      <c r="AE2325" s="132">
        <v>600</v>
      </c>
    </row>
    <row r="2326" spans="1:31" x14ac:dyDescent="0.2">
      <c r="A2326" s="130">
        <v>448</v>
      </c>
      <c r="B2326" s="130" t="s">
        <v>1198</v>
      </c>
      <c r="C2326" s="130" t="s">
        <v>1199</v>
      </c>
      <c r="D2326" s="130" t="s">
        <v>1508</v>
      </c>
      <c r="E2326" s="130" t="s">
        <v>1903</v>
      </c>
      <c r="F2326" s="130" t="s">
        <v>1117</v>
      </c>
      <c r="G2326" s="130" t="s">
        <v>1202</v>
      </c>
      <c r="H2326" s="130" t="s">
        <v>1216</v>
      </c>
      <c r="I2326" s="130" t="s">
        <v>1301</v>
      </c>
      <c r="J2326" s="130" t="s">
        <v>1301</v>
      </c>
      <c r="K2326" s="130" t="s">
        <v>1302</v>
      </c>
      <c r="L2326" s="130" t="s">
        <v>1509</v>
      </c>
      <c r="M2326" s="130" t="s">
        <v>1510</v>
      </c>
      <c r="N2326" s="130" t="s">
        <v>1511</v>
      </c>
      <c r="O2326" s="130" t="s">
        <v>1512</v>
      </c>
      <c r="P2326" s="130" t="s">
        <v>1513</v>
      </c>
      <c r="Q2326" s="130" t="s">
        <v>1127</v>
      </c>
      <c r="R2326" s="130" t="s">
        <v>1413</v>
      </c>
      <c r="S2326" s="130" t="s">
        <v>1414</v>
      </c>
      <c r="T2326" s="130" t="s">
        <v>1142</v>
      </c>
      <c r="U2326" s="130">
        <v>0</v>
      </c>
      <c r="V2326" s="131">
        <v>2892</v>
      </c>
      <c r="W2326" s="131">
        <v>2892</v>
      </c>
      <c r="X2326" s="131">
        <v>0</v>
      </c>
      <c r="Y2326" s="131">
        <v>2892</v>
      </c>
      <c r="Z2326" s="131">
        <v>0</v>
      </c>
      <c r="AA2326" s="131">
        <v>2892</v>
      </c>
      <c r="AB2326" s="131">
        <v>0</v>
      </c>
      <c r="AC2326" s="131">
        <v>2892</v>
      </c>
      <c r="AD2326" s="131">
        <v>0</v>
      </c>
      <c r="AE2326" s="132">
        <v>2892</v>
      </c>
    </row>
    <row r="2327" spans="1:31" x14ac:dyDescent="0.2">
      <c r="A2327" s="133">
        <v>448</v>
      </c>
      <c r="B2327" s="133" t="s">
        <v>1198</v>
      </c>
      <c r="C2327" s="133" t="s">
        <v>1199</v>
      </c>
      <c r="D2327" s="133" t="s">
        <v>1508</v>
      </c>
      <c r="E2327" s="133" t="s">
        <v>1903</v>
      </c>
      <c r="F2327" s="133" t="s">
        <v>1117</v>
      </c>
      <c r="G2327" s="133" t="s">
        <v>1202</v>
      </c>
      <c r="H2327" s="133" t="s">
        <v>1216</v>
      </c>
      <c r="I2327" s="130" t="s">
        <v>1217</v>
      </c>
      <c r="J2327" s="130" t="s">
        <v>1218</v>
      </c>
      <c r="K2327" s="130" t="s">
        <v>1219</v>
      </c>
      <c r="L2327" s="130" t="s">
        <v>1509</v>
      </c>
      <c r="M2327" s="130" t="s">
        <v>1510</v>
      </c>
      <c r="N2327" s="130" t="s">
        <v>1511</v>
      </c>
      <c r="O2327" s="130" t="s">
        <v>1512</v>
      </c>
      <c r="P2327" s="130" t="s">
        <v>1513</v>
      </c>
      <c r="Q2327" s="130" t="s">
        <v>1127</v>
      </c>
      <c r="R2327" s="130" t="s">
        <v>1413</v>
      </c>
      <c r="S2327" s="130" t="s">
        <v>1414</v>
      </c>
      <c r="T2327" s="130" t="s">
        <v>1142</v>
      </c>
      <c r="U2327" s="130">
        <v>0</v>
      </c>
      <c r="V2327" s="131">
        <v>0</v>
      </c>
      <c r="W2327" s="131">
        <v>0</v>
      </c>
      <c r="X2327" s="131">
        <v>0</v>
      </c>
      <c r="Y2327" s="131">
        <v>0</v>
      </c>
      <c r="Z2327" s="131">
        <v>0</v>
      </c>
      <c r="AA2327" s="131">
        <v>0</v>
      </c>
      <c r="AB2327" s="131">
        <v>0</v>
      </c>
      <c r="AC2327" s="131">
        <v>0</v>
      </c>
      <c r="AD2327" s="131">
        <v>0</v>
      </c>
      <c r="AE2327" s="132">
        <v>0</v>
      </c>
    </row>
    <row r="2328" spans="1:31" x14ac:dyDescent="0.2">
      <c r="A2328" s="133">
        <v>448</v>
      </c>
      <c r="B2328" s="133" t="s">
        <v>1198</v>
      </c>
      <c r="C2328" s="133" t="s">
        <v>1199</v>
      </c>
      <c r="D2328" s="133" t="s">
        <v>1508</v>
      </c>
      <c r="E2328" s="133" t="s">
        <v>1903</v>
      </c>
      <c r="F2328" s="133" t="s">
        <v>1117</v>
      </c>
      <c r="G2328" s="133" t="s">
        <v>1202</v>
      </c>
      <c r="H2328" s="133" t="s">
        <v>1216</v>
      </c>
      <c r="I2328" s="130" t="s">
        <v>1222</v>
      </c>
      <c r="J2328" s="130" t="s">
        <v>1304</v>
      </c>
      <c r="K2328" s="130" t="s">
        <v>1305</v>
      </c>
      <c r="L2328" s="130" t="s">
        <v>1509</v>
      </c>
      <c r="M2328" s="130" t="s">
        <v>1510</v>
      </c>
      <c r="N2328" s="130" t="s">
        <v>1511</v>
      </c>
      <c r="O2328" s="130" t="s">
        <v>1512</v>
      </c>
      <c r="P2328" s="130" t="s">
        <v>1513</v>
      </c>
      <c r="Q2328" s="130" t="s">
        <v>1127</v>
      </c>
      <c r="R2328" s="130" t="s">
        <v>1413</v>
      </c>
      <c r="S2328" s="130" t="s">
        <v>1414</v>
      </c>
      <c r="T2328" s="130" t="s">
        <v>1142</v>
      </c>
      <c r="U2328" s="130">
        <v>0</v>
      </c>
      <c r="V2328" s="131">
        <v>2678</v>
      </c>
      <c r="W2328" s="131">
        <v>2678</v>
      </c>
      <c r="X2328" s="131">
        <v>0</v>
      </c>
      <c r="Y2328" s="131">
        <v>2678</v>
      </c>
      <c r="Z2328" s="131">
        <v>0</v>
      </c>
      <c r="AA2328" s="131">
        <v>2678</v>
      </c>
      <c r="AB2328" s="131">
        <v>0</v>
      </c>
      <c r="AC2328" s="131">
        <v>2678</v>
      </c>
      <c r="AD2328" s="131">
        <v>0</v>
      </c>
      <c r="AE2328" s="132">
        <v>2678</v>
      </c>
    </row>
    <row r="2329" spans="1:31" x14ac:dyDescent="0.2">
      <c r="A2329" s="133">
        <v>448</v>
      </c>
      <c r="B2329" s="133" t="s">
        <v>1198</v>
      </c>
      <c r="C2329" s="133" t="s">
        <v>1199</v>
      </c>
      <c r="D2329" s="133" t="s">
        <v>1508</v>
      </c>
      <c r="E2329" s="133" t="s">
        <v>1903</v>
      </c>
      <c r="F2329" s="133" t="s">
        <v>1117</v>
      </c>
      <c r="G2329" s="133" t="s">
        <v>1202</v>
      </c>
      <c r="H2329" s="133" t="s">
        <v>1216</v>
      </c>
      <c r="I2329" s="130" t="s">
        <v>1252</v>
      </c>
      <c r="J2329" s="130" t="s">
        <v>1253</v>
      </c>
      <c r="K2329" s="130" t="s">
        <v>1528</v>
      </c>
      <c r="L2329" s="130" t="s">
        <v>1509</v>
      </c>
      <c r="M2329" s="130" t="s">
        <v>1510</v>
      </c>
      <c r="N2329" s="130" t="s">
        <v>1511</v>
      </c>
      <c r="O2329" s="130" t="s">
        <v>1512</v>
      </c>
      <c r="P2329" s="130" t="s">
        <v>1513</v>
      </c>
      <c r="Q2329" s="130" t="s">
        <v>1127</v>
      </c>
      <c r="R2329" s="130" t="s">
        <v>1413</v>
      </c>
      <c r="S2329" s="130" t="s">
        <v>1414</v>
      </c>
      <c r="T2329" s="130" t="s">
        <v>1142</v>
      </c>
      <c r="U2329" s="130">
        <v>0</v>
      </c>
      <c r="V2329" s="131">
        <v>615</v>
      </c>
      <c r="W2329" s="131">
        <v>615</v>
      </c>
      <c r="X2329" s="131">
        <v>0</v>
      </c>
      <c r="Y2329" s="131">
        <v>615</v>
      </c>
      <c r="Z2329" s="131">
        <v>0</v>
      </c>
      <c r="AA2329" s="131">
        <v>615</v>
      </c>
      <c r="AB2329" s="131">
        <v>0</v>
      </c>
      <c r="AC2329" s="131">
        <v>615</v>
      </c>
      <c r="AD2329" s="131">
        <v>0</v>
      </c>
      <c r="AE2329" s="132">
        <v>615</v>
      </c>
    </row>
    <row r="2330" spans="1:31" x14ac:dyDescent="0.2">
      <c r="A2330" s="133">
        <v>448</v>
      </c>
      <c r="B2330" s="133" t="s">
        <v>1198</v>
      </c>
      <c r="C2330" s="133" t="s">
        <v>1199</v>
      </c>
      <c r="D2330" s="133" t="s">
        <v>1508</v>
      </c>
      <c r="E2330" s="133" t="s">
        <v>1903</v>
      </c>
      <c r="F2330" s="133" t="s">
        <v>1117</v>
      </c>
      <c r="G2330" s="133" t="s">
        <v>1202</v>
      </c>
      <c r="H2330" s="133" t="s">
        <v>1216</v>
      </c>
      <c r="I2330" s="133" t="s">
        <v>1252</v>
      </c>
      <c r="J2330" s="133" t="s">
        <v>1253</v>
      </c>
      <c r="K2330" s="130" t="s">
        <v>1254</v>
      </c>
      <c r="L2330" s="130" t="s">
        <v>1509</v>
      </c>
      <c r="M2330" s="130" t="s">
        <v>1510</v>
      </c>
      <c r="N2330" s="130" t="s">
        <v>1511</v>
      </c>
      <c r="O2330" s="130" t="s">
        <v>1512</v>
      </c>
      <c r="P2330" s="130" t="s">
        <v>1513</v>
      </c>
      <c r="Q2330" s="130" t="s">
        <v>1127</v>
      </c>
      <c r="R2330" s="130" t="s">
        <v>1413</v>
      </c>
      <c r="S2330" s="130" t="s">
        <v>1414</v>
      </c>
      <c r="T2330" s="130" t="s">
        <v>1142</v>
      </c>
      <c r="U2330" s="130">
        <v>0</v>
      </c>
      <c r="V2330" s="131">
        <v>3150</v>
      </c>
      <c r="W2330" s="131">
        <v>3150</v>
      </c>
      <c r="X2330" s="131">
        <v>0</v>
      </c>
      <c r="Y2330" s="131">
        <v>3150</v>
      </c>
      <c r="Z2330" s="131">
        <v>0</v>
      </c>
      <c r="AA2330" s="131">
        <v>3150</v>
      </c>
      <c r="AB2330" s="131">
        <v>0</v>
      </c>
      <c r="AC2330" s="131">
        <v>3150</v>
      </c>
      <c r="AD2330" s="131">
        <v>0</v>
      </c>
      <c r="AE2330" s="132">
        <v>3150</v>
      </c>
    </row>
    <row r="2331" spans="1:31" x14ac:dyDescent="0.2">
      <c r="A2331" s="133">
        <v>448</v>
      </c>
      <c r="B2331" s="133" t="s">
        <v>1198</v>
      </c>
      <c r="C2331" s="133" t="s">
        <v>1199</v>
      </c>
      <c r="D2331" s="133" t="s">
        <v>1508</v>
      </c>
      <c r="E2331" s="133" t="s">
        <v>1903</v>
      </c>
      <c r="F2331" s="133" t="s">
        <v>1117</v>
      </c>
      <c r="G2331" s="133" t="s">
        <v>1202</v>
      </c>
      <c r="H2331" s="130" t="s">
        <v>1203</v>
      </c>
      <c r="I2331" s="130" t="s">
        <v>1204</v>
      </c>
      <c r="J2331" s="130" t="s">
        <v>1205</v>
      </c>
      <c r="K2331" s="130" t="s">
        <v>1255</v>
      </c>
      <c r="L2331" s="130" t="s">
        <v>1509</v>
      </c>
      <c r="M2331" s="130" t="s">
        <v>1510</v>
      </c>
      <c r="N2331" s="130" t="s">
        <v>1511</v>
      </c>
      <c r="O2331" s="130" t="s">
        <v>1512</v>
      </c>
      <c r="P2331" s="130" t="s">
        <v>1513</v>
      </c>
      <c r="Q2331" s="130" t="s">
        <v>1127</v>
      </c>
      <c r="R2331" s="130" t="s">
        <v>1413</v>
      </c>
      <c r="S2331" s="130" t="s">
        <v>1414</v>
      </c>
      <c r="T2331" s="130" t="s">
        <v>1142</v>
      </c>
      <c r="U2331" s="130">
        <v>0</v>
      </c>
      <c r="V2331" s="131">
        <v>0</v>
      </c>
      <c r="W2331" s="131">
        <v>0</v>
      </c>
      <c r="X2331" s="131">
        <v>0</v>
      </c>
      <c r="Y2331" s="131">
        <v>0</v>
      </c>
      <c r="Z2331" s="131">
        <v>0</v>
      </c>
      <c r="AA2331" s="131">
        <v>0</v>
      </c>
      <c r="AB2331" s="131">
        <v>0</v>
      </c>
      <c r="AC2331" s="131">
        <v>0</v>
      </c>
      <c r="AD2331" s="131">
        <v>0</v>
      </c>
      <c r="AE2331" s="132">
        <v>0</v>
      </c>
    </row>
    <row r="2332" spans="1:31" x14ac:dyDescent="0.2">
      <c r="A2332" s="133">
        <v>448</v>
      </c>
      <c r="B2332" s="133" t="s">
        <v>1198</v>
      </c>
      <c r="C2332" s="133" t="s">
        <v>1199</v>
      </c>
      <c r="D2332" s="133" t="s">
        <v>1508</v>
      </c>
      <c r="E2332" s="133" t="s">
        <v>1903</v>
      </c>
      <c r="F2332" s="133" t="s">
        <v>1117</v>
      </c>
      <c r="G2332" s="133" t="s">
        <v>1202</v>
      </c>
      <c r="H2332" s="133" t="s">
        <v>1203</v>
      </c>
      <c r="I2332" s="133" t="s">
        <v>1204</v>
      </c>
      <c r="J2332" s="133" t="s">
        <v>1205</v>
      </c>
      <c r="K2332" s="130" t="s">
        <v>1256</v>
      </c>
      <c r="L2332" s="130" t="s">
        <v>1509</v>
      </c>
      <c r="M2332" s="130" t="s">
        <v>1510</v>
      </c>
      <c r="N2332" s="130" t="s">
        <v>1511</v>
      </c>
      <c r="O2332" s="130" t="s">
        <v>1512</v>
      </c>
      <c r="P2332" s="130" t="s">
        <v>1513</v>
      </c>
      <c r="Q2332" s="130" t="s">
        <v>1127</v>
      </c>
      <c r="R2332" s="130" t="s">
        <v>1413</v>
      </c>
      <c r="S2332" s="130" t="s">
        <v>1414</v>
      </c>
      <c r="T2332" s="130" t="s">
        <v>1142</v>
      </c>
      <c r="U2332" s="130">
        <v>0</v>
      </c>
      <c r="V2332" s="131">
        <v>0</v>
      </c>
      <c r="W2332" s="131">
        <v>0</v>
      </c>
      <c r="X2332" s="131">
        <v>0</v>
      </c>
      <c r="Y2332" s="131">
        <v>0</v>
      </c>
      <c r="Z2332" s="131">
        <v>0</v>
      </c>
      <c r="AA2332" s="131">
        <v>0</v>
      </c>
      <c r="AB2332" s="131">
        <v>0</v>
      </c>
      <c r="AC2332" s="131">
        <v>0</v>
      </c>
      <c r="AD2332" s="131">
        <v>0</v>
      </c>
      <c r="AE2332" s="132">
        <v>0</v>
      </c>
    </row>
    <row r="2333" spans="1:31" x14ac:dyDescent="0.2">
      <c r="A2333" s="133">
        <v>448</v>
      </c>
      <c r="B2333" s="133" t="s">
        <v>1198</v>
      </c>
      <c r="C2333" s="133" t="s">
        <v>1199</v>
      </c>
      <c r="D2333" s="133" t="s">
        <v>1508</v>
      </c>
      <c r="E2333" s="133" t="s">
        <v>1903</v>
      </c>
      <c r="F2333" s="133" t="s">
        <v>1117</v>
      </c>
      <c r="G2333" s="133" t="s">
        <v>1202</v>
      </c>
      <c r="H2333" s="133" t="s">
        <v>1203</v>
      </c>
      <c r="I2333" s="130" t="s">
        <v>1315</v>
      </c>
      <c r="J2333" s="130" t="s">
        <v>1316</v>
      </c>
      <c r="K2333" s="130" t="s">
        <v>1582</v>
      </c>
      <c r="L2333" s="130" t="s">
        <v>1509</v>
      </c>
      <c r="M2333" s="130" t="s">
        <v>1510</v>
      </c>
      <c r="N2333" s="130" t="s">
        <v>1511</v>
      </c>
      <c r="O2333" s="130" t="s">
        <v>1512</v>
      </c>
      <c r="P2333" s="130" t="s">
        <v>1513</v>
      </c>
      <c r="Q2333" s="130" t="s">
        <v>1127</v>
      </c>
      <c r="R2333" s="130" t="s">
        <v>1413</v>
      </c>
      <c r="S2333" s="130" t="s">
        <v>1414</v>
      </c>
      <c r="T2333" s="130" t="s">
        <v>1142</v>
      </c>
      <c r="U2333" s="130">
        <v>0</v>
      </c>
      <c r="V2333" s="131">
        <v>0</v>
      </c>
      <c r="W2333" s="131">
        <v>0</v>
      </c>
      <c r="X2333" s="131">
        <v>0</v>
      </c>
      <c r="Y2333" s="131">
        <v>0</v>
      </c>
      <c r="Z2333" s="131">
        <v>0</v>
      </c>
      <c r="AA2333" s="131">
        <v>0</v>
      </c>
      <c r="AB2333" s="131">
        <v>0</v>
      </c>
      <c r="AC2333" s="131">
        <v>0</v>
      </c>
      <c r="AD2333" s="131">
        <v>0</v>
      </c>
      <c r="AE2333" s="132">
        <v>0</v>
      </c>
    </row>
    <row r="2334" spans="1:31" x14ac:dyDescent="0.2">
      <c r="A2334" s="133">
        <v>448</v>
      </c>
      <c r="B2334" s="133" t="s">
        <v>1198</v>
      </c>
      <c r="C2334" s="133" t="s">
        <v>1199</v>
      </c>
      <c r="D2334" s="133" t="s">
        <v>1508</v>
      </c>
      <c r="E2334" s="133" t="s">
        <v>1903</v>
      </c>
      <c r="F2334" s="133" t="s">
        <v>1117</v>
      </c>
      <c r="G2334" s="133" t="s">
        <v>1202</v>
      </c>
      <c r="H2334" s="133" t="s">
        <v>1203</v>
      </c>
      <c r="I2334" s="133" t="s">
        <v>1315</v>
      </c>
      <c r="J2334" s="133" t="s">
        <v>1316</v>
      </c>
      <c r="K2334" s="130" t="s">
        <v>1317</v>
      </c>
      <c r="L2334" s="130" t="s">
        <v>1509</v>
      </c>
      <c r="M2334" s="130" t="s">
        <v>1510</v>
      </c>
      <c r="N2334" s="130" t="s">
        <v>1511</v>
      </c>
      <c r="O2334" s="130" t="s">
        <v>1512</v>
      </c>
      <c r="P2334" s="130" t="s">
        <v>1513</v>
      </c>
      <c r="Q2334" s="130" t="s">
        <v>1127</v>
      </c>
      <c r="R2334" s="130" t="s">
        <v>1413</v>
      </c>
      <c r="S2334" s="130" t="s">
        <v>1414</v>
      </c>
      <c r="T2334" s="130" t="s">
        <v>1142</v>
      </c>
      <c r="U2334" s="130">
        <v>0</v>
      </c>
      <c r="V2334" s="131">
        <v>8430</v>
      </c>
      <c r="W2334" s="131">
        <v>8430</v>
      </c>
      <c r="X2334" s="131">
        <v>0</v>
      </c>
      <c r="Y2334" s="131">
        <v>8430</v>
      </c>
      <c r="Z2334" s="131">
        <v>0</v>
      </c>
      <c r="AA2334" s="131">
        <v>8430</v>
      </c>
      <c r="AB2334" s="131">
        <v>0</v>
      </c>
      <c r="AC2334" s="131">
        <v>8430</v>
      </c>
      <c r="AD2334" s="131">
        <v>0</v>
      </c>
      <c r="AE2334" s="132">
        <v>8430</v>
      </c>
    </row>
    <row r="2335" spans="1:31" x14ac:dyDescent="0.2">
      <c r="A2335" s="133">
        <v>448</v>
      </c>
      <c r="B2335" s="133" t="s">
        <v>1198</v>
      </c>
      <c r="C2335" s="133" t="s">
        <v>1199</v>
      </c>
      <c r="D2335" s="133" t="s">
        <v>1508</v>
      </c>
      <c r="E2335" s="133" t="s">
        <v>1903</v>
      </c>
      <c r="F2335" s="133" t="s">
        <v>1117</v>
      </c>
      <c r="G2335" s="133" t="s">
        <v>1202</v>
      </c>
      <c r="H2335" s="133" t="s">
        <v>1203</v>
      </c>
      <c r="I2335" s="130" t="s">
        <v>1309</v>
      </c>
      <c r="J2335" s="130" t="s">
        <v>1310</v>
      </c>
      <c r="K2335" s="130" t="s">
        <v>1310</v>
      </c>
      <c r="L2335" s="130" t="s">
        <v>1509</v>
      </c>
      <c r="M2335" s="130" t="s">
        <v>1510</v>
      </c>
      <c r="N2335" s="130" t="s">
        <v>1511</v>
      </c>
      <c r="O2335" s="130" t="s">
        <v>1512</v>
      </c>
      <c r="P2335" s="130" t="s">
        <v>1513</v>
      </c>
      <c r="Q2335" s="130" t="s">
        <v>1127</v>
      </c>
      <c r="R2335" s="130" t="s">
        <v>1413</v>
      </c>
      <c r="S2335" s="130" t="s">
        <v>1414</v>
      </c>
      <c r="T2335" s="130" t="s">
        <v>1142</v>
      </c>
      <c r="U2335" s="130">
        <v>0</v>
      </c>
      <c r="V2335" s="131">
        <v>7500</v>
      </c>
      <c r="W2335" s="131">
        <v>7500</v>
      </c>
      <c r="X2335" s="131">
        <v>0</v>
      </c>
      <c r="Y2335" s="131">
        <v>7500</v>
      </c>
      <c r="Z2335" s="131">
        <v>0</v>
      </c>
      <c r="AA2335" s="131">
        <v>7500</v>
      </c>
      <c r="AB2335" s="131">
        <v>0</v>
      </c>
      <c r="AC2335" s="131">
        <v>7500</v>
      </c>
      <c r="AD2335" s="131">
        <v>0</v>
      </c>
      <c r="AE2335" s="132">
        <v>7500</v>
      </c>
    </row>
    <row r="2336" spans="1:31" x14ac:dyDescent="0.2">
      <c r="A2336" s="130">
        <v>449</v>
      </c>
      <c r="B2336" s="130" t="s">
        <v>1198</v>
      </c>
      <c r="C2336" s="130" t="s">
        <v>1199</v>
      </c>
      <c r="D2336" s="130" t="s">
        <v>1508</v>
      </c>
      <c r="E2336" s="130" t="s">
        <v>1903</v>
      </c>
      <c r="F2336" s="130" t="s">
        <v>1117</v>
      </c>
      <c r="G2336" s="130" t="s">
        <v>1202</v>
      </c>
      <c r="H2336" s="130" t="s">
        <v>1216</v>
      </c>
      <c r="I2336" s="130" t="s">
        <v>1301</v>
      </c>
      <c r="J2336" s="130" t="s">
        <v>1301</v>
      </c>
      <c r="K2336" s="130" t="s">
        <v>1302</v>
      </c>
      <c r="L2336" s="130" t="s">
        <v>1509</v>
      </c>
      <c r="M2336" s="130" t="s">
        <v>1510</v>
      </c>
      <c r="N2336" s="130" t="s">
        <v>1511</v>
      </c>
      <c r="O2336" s="130" t="s">
        <v>1512</v>
      </c>
      <c r="P2336" s="130" t="s">
        <v>1513</v>
      </c>
      <c r="Q2336" s="130" t="s">
        <v>1127</v>
      </c>
      <c r="R2336" s="130" t="s">
        <v>1448</v>
      </c>
      <c r="S2336" s="130" t="s">
        <v>1157</v>
      </c>
      <c r="T2336" s="130" t="s">
        <v>1142</v>
      </c>
      <c r="U2336" s="130">
        <v>0</v>
      </c>
      <c r="V2336" s="131">
        <v>2300</v>
      </c>
      <c r="W2336" s="131">
        <v>2300</v>
      </c>
      <c r="X2336" s="131">
        <v>0</v>
      </c>
      <c r="Y2336" s="131">
        <v>2300</v>
      </c>
      <c r="Z2336" s="131">
        <v>0</v>
      </c>
      <c r="AA2336" s="131">
        <v>2300</v>
      </c>
      <c r="AB2336" s="131">
        <v>0</v>
      </c>
      <c r="AC2336" s="131">
        <v>2300</v>
      </c>
      <c r="AD2336" s="131">
        <v>0</v>
      </c>
      <c r="AE2336" s="132">
        <v>2300</v>
      </c>
    </row>
    <row r="2337" spans="1:31" x14ac:dyDescent="0.2">
      <c r="A2337" s="133">
        <v>449</v>
      </c>
      <c r="B2337" s="133" t="s">
        <v>1198</v>
      </c>
      <c r="C2337" s="133" t="s">
        <v>1199</v>
      </c>
      <c r="D2337" s="133" t="s">
        <v>1508</v>
      </c>
      <c r="E2337" s="133" t="s">
        <v>1903</v>
      </c>
      <c r="F2337" s="133" t="s">
        <v>1117</v>
      </c>
      <c r="G2337" s="133" t="s">
        <v>1202</v>
      </c>
      <c r="H2337" s="133" t="s">
        <v>1216</v>
      </c>
      <c r="I2337" s="130" t="s">
        <v>1217</v>
      </c>
      <c r="J2337" s="130" t="s">
        <v>1218</v>
      </c>
      <c r="K2337" s="130" t="s">
        <v>1219</v>
      </c>
      <c r="L2337" s="130" t="s">
        <v>1509</v>
      </c>
      <c r="M2337" s="130" t="s">
        <v>1510</v>
      </c>
      <c r="N2337" s="130" t="s">
        <v>1511</v>
      </c>
      <c r="O2337" s="130" t="s">
        <v>1512</v>
      </c>
      <c r="P2337" s="130" t="s">
        <v>1513</v>
      </c>
      <c r="Q2337" s="130" t="s">
        <v>1127</v>
      </c>
      <c r="R2337" s="130" t="s">
        <v>1448</v>
      </c>
      <c r="S2337" s="130" t="s">
        <v>1157</v>
      </c>
      <c r="T2337" s="130" t="s">
        <v>1142</v>
      </c>
      <c r="U2337" s="130">
        <v>0</v>
      </c>
      <c r="V2337" s="131">
        <v>850</v>
      </c>
      <c r="W2337" s="131">
        <v>850</v>
      </c>
      <c r="X2337" s="131">
        <v>804</v>
      </c>
      <c r="Y2337" s="131">
        <v>46</v>
      </c>
      <c r="Z2337" s="131">
        <v>804</v>
      </c>
      <c r="AA2337" s="131">
        <v>46</v>
      </c>
      <c r="AB2337" s="131">
        <v>0</v>
      </c>
      <c r="AC2337" s="131">
        <v>850</v>
      </c>
      <c r="AD2337" s="131">
        <v>0</v>
      </c>
      <c r="AE2337" s="132">
        <v>850</v>
      </c>
    </row>
    <row r="2338" spans="1:31" x14ac:dyDescent="0.2">
      <c r="A2338" s="133">
        <v>449</v>
      </c>
      <c r="B2338" s="133" t="s">
        <v>1198</v>
      </c>
      <c r="C2338" s="133" t="s">
        <v>1199</v>
      </c>
      <c r="D2338" s="133" t="s">
        <v>1508</v>
      </c>
      <c r="E2338" s="133" t="s">
        <v>1903</v>
      </c>
      <c r="F2338" s="133" t="s">
        <v>1117</v>
      </c>
      <c r="G2338" s="133" t="s">
        <v>1202</v>
      </c>
      <c r="H2338" s="133" t="s">
        <v>1216</v>
      </c>
      <c r="I2338" s="130" t="s">
        <v>1222</v>
      </c>
      <c r="J2338" s="130" t="s">
        <v>1304</v>
      </c>
      <c r="K2338" s="130" t="s">
        <v>1305</v>
      </c>
      <c r="L2338" s="130" t="s">
        <v>1509</v>
      </c>
      <c r="M2338" s="130" t="s">
        <v>1510</v>
      </c>
      <c r="N2338" s="130" t="s">
        <v>1511</v>
      </c>
      <c r="O2338" s="130" t="s">
        <v>1512</v>
      </c>
      <c r="P2338" s="130" t="s">
        <v>1513</v>
      </c>
      <c r="Q2338" s="130" t="s">
        <v>1127</v>
      </c>
      <c r="R2338" s="130" t="s">
        <v>1448</v>
      </c>
      <c r="S2338" s="130" t="s">
        <v>1157</v>
      </c>
      <c r="T2338" s="130" t="s">
        <v>1142</v>
      </c>
      <c r="U2338" s="130">
        <v>0</v>
      </c>
      <c r="V2338" s="131">
        <v>0</v>
      </c>
      <c r="W2338" s="131">
        <v>0</v>
      </c>
      <c r="X2338" s="131">
        <v>0</v>
      </c>
      <c r="Y2338" s="131">
        <v>0</v>
      </c>
      <c r="Z2338" s="131">
        <v>0</v>
      </c>
      <c r="AA2338" s="131">
        <v>0</v>
      </c>
      <c r="AB2338" s="131">
        <v>0</v>
      </c>
      <c r="AC2338" s="131">
        <v>0</v>
      </c>
      <c r="AD2338" s="131">
        <v>0</v>
      </c>
      <c r="AE2338" s="132">
        <v>0</v>
      </c>
    </row>
    <row r="2339" spans="1:31" x14ac:dyDescent="0.2">
      <c r="A2339" s="133">
        <v>449</v>
      </c>
      <c r="B2339" s="133" t="s">
        <v>1198</v>
      </c>
      <c r="C2339" s="133" t="s">
        <v>1199</v>
      </c>
      <c r="D2339" s="133" t="s">
        <v>1508</v>
      </c>
      <c r="E2339" s="133" t="s">
        <v>1903</v>
      </c>
      <c r="F2339" s="133" t="s">
        <v>1117</v>
      </c>
      <c r="G2339" s="133" t="s">
        <v>1202</v>
      </c>
      <c r="H2339" s="133" t="s">
        <v>1216</v>
      </c>
      <c r="I2339" s="130" t="s">
        <v>1252</v>
      </c>
      <c r="J2339" s="130" t="s">
        <v>1253</v>
      </c>
      <c r="K2339" s="130" t="s">
        <v>1528</v>
      </c>
      <c r="L2339" s="130" t="s">
        <v>1509</v>
      </c>
      <c r="M2339" s="130" t="s">
        <v>1510</v>
      </c>
      <c r="N2339" s="130" t="s">
        <v>1511</v>
      </c>
      <c r="O2339" s="130" t="s">
        <v>1512</v>
      </c>
      <c r="P2339" s="130" t="s">
        <v>1513</v>
      </c>
      <c r="Q2339" s="130" t="s">
        <v>1127</v>
      </c>
      <c r="R2339" s="130" t="s">
        <v>1448</v>
      </c>
      <c r="S2339" s="130" t="s">
        <v>1157</v>
      </c>
      <c r="T2339" s="130" t="s">
        <v>1142</v>
      </c>
      <c r="U2339" s="130">
        <v>0</v>
      </c>
      <c r="V2339" s="131">
        <v>0</v>
      </c>
      <c r="W2339" s="131">
        <v>0</v>
      </c>
      <c r="X2339" s="131">
        <v>0</v>
      </c>
      <c r="Y2339" s="131">
        <v>0</v>
      </c>
      <c r="Z2339" s="131">
        <v>0</v>
      </c>
      <c r="AA2339" s="131">
        <v>0</v>
      </c>
      <c r="AB2339" s="131">
        <v>0</v>
      </c>
      <c r="AC2339" s="131">
        <v>0</v>
      </c>
      <c r="AD2339" s="131">
        <v>0</v>
      </c>
      <c r="AE2339" s="132">
        <v>0</v>
      </c>
    </row>
    <row r="2340" spans="1:31" x14ac:dyDescent="0.2">
      <c r="A2340" s="133">
        <v>449</v>
      </c>
      <c r="B2340" s="133" t="s">
        <v>1198</v>
      </c>
      <c r="C2340" s="133" t="s">
        <v>1199</v>
      </c>
      <c r="D2340" s="133" t="s">
        <v>1508</v>
      </c>
      <c r="E2340" s="133" t="s">
        <v>1903</v>
      </c>
      <c r="F2340" s="133" t="s">
        <v>1117</v>
      </c>
      <c r="G2340" s="133" t="s">
        <v>1202</v>
      </c>
      <c r="H2340" s="133" t="s">
        <v>1216</v>
      </c>
      <c r="I2340" s="133" t="s">
        <v>1252</v>
      </c>
      <c r="J2340" s="133" t="s">
        <v>1253</v>
      </c>
      <c r="K2340" s="130" t="s">
        <v>1254</v>
      </c>
      <c r="L2340" s="130" t="s">
        <v>1509</v>
      </c>
      <c r="M2340" s="130" t="s">
        <v>1510</v>
      </c>
      <c r="N2340" s="130" t="s">
        <v>1511</v>
      </c>
      <c r="O2340" s="130" t="s">
        <v>1512</v>
      </c>
      <c r="P2340" s="130" t="s">
        <v>1513</v>
      </c>
      <c r="Q2340" s="130" t="s">
        <v>1127</v>
      </c>
      <c r="R2340" s="130" t="s">
        <v>1448</v>
      </c>
      <c r="S2340" s="130" t="s">
        <v>1157</v>
      </c>
      <c r="T2340" s="130" t="s">
        <v>1142</v>
      </c>
      <c r="U2340" s="130">
        <v>0</v>
      </c>
      <c r="V2340" s="131">
        <v>0</v>
      </c>
      <c r="W2340" s="131">
        <v>0</v>
      </c>
      <c r="X2340" s="131">
        <v>0</v>
      </c>
      <c r="Y2340" s="131">
        <v>0</v>
      </c>
      <c r="Z2340" s="131">
        <v>0</v>
      </c>
      <c r="AA2340" s="131">
        <v>0</v>
      </c>
      <c r="AB2340" s="131">
        <v>0</v>
      </c>
      <c r="AC2340" s="131">
        <v>0</v>
      </c>
      <c r="AD2340" s="131">
        <v>0</v>
      </c>
      <c r="AE2340" s="132">
        <v>0</v>
      </c>
    </row>
    <row r="2341" spans="1:31" x14ac:dyDescent="0.2">
      <c r="A2341" s="133">
        <v>449</v>
      </c>
      <c r="B2341" s="133" t="s">
        <v>1198</v>
      </c>
      <c r="C2341" s="133" t="s">
        <v>1199</v>
      </c>
      <c r="D2341" s="133" t="s">
        <v>1508</v>
      </c>
      <c r="E2341" s="133" t="s">
        <v>1903</v>
      </c>
      <c r="F2341" s="133" t="s">
        <v>1117</v>
      </c>
      <c r="G2341" s="133" t="s">
        <v>1202</v>
      </c>
      <c r="H2341" s="130" t="s">
        <v>1203</v>
      </c>
      <c r="I2341" s="130" t="s">
        <v>1315</v>
      </c>
      <c r="J2341" s="130" t="s">
        <v>1316</v>
      </c>
      <c r="K2341" s="130" t="s">
        <v>1582</v>
      </c>
      <c r="L2341" s="130" t="s">
        <v>1509</v>
      </c>
      <c r="M2341" s="130" t="s">
        <v>1510</v>
      </c>
      <c r="N2341" s="130" t="s">
        <v>1511</v>
      </c>
      <c r="O2341" s="130" t="s">
        <v>1512</v>
      </c>
      <c r="P2341" s="130" t="s">
        <v>1513</v>
      </c>
      <c r="Q2341" s="130" t="s">
        <v>1127</v>
      </c>
      <c r="R2341" s="130" t="s">
        <v>1448</v>
      </c>
      <c r="S2341" s="130" t="s">
        <v>1157</v>
      </c>
      <c r="T2341" s="130" t="s">
        <v>1142</v>
      </c>
      <c r="U2341" s="130">
        <v>0</v>
      </c>
      <c r="V2341" s="131">
        <v>0</v>
      </c>
      <c r="W2341" s="131">
        <v>0</v>
      </c>
      <c r="X2341" s="131">
        <v>0</v>
      </c>
      <c r="Y2341" s="131">
        <v>0</v>
      </c>
      <c r="Z2341" s="131">
        <v>0</v>
      </c>
      <c r="AA2341" s="131">
        <v>0</v>
      </c>
      <c r="AB2341" s="131">
        <v>0</v>
      </c>
      <c r="AC2341" s="131">
        <v>0</v>
      </c>
      <c r="AD2341" s="131">
        <v>0</v>
      </c>
      <c r="AE2341" s="132">
        <v>0</v>
      </c>
    </row>
    <row r="2342" spans="1:31" x14ac:dyDescent="0.2">
      <c r="A2342" s="133">
        <v>449</v>
      </c>
      <c r="B2342" s="133" t="s">
        <v>1198</v>
      </c>
      <c r="C2342" s="133" t="s">
        <v>1199</v>
      </c>
      <c r="D2342" s="133" t="s">
        <v>1508</v>
      </c>
      <c r="E2342" s="133" t="s">
        <v>1903</v>
      </c>
      <c r="F2342" s="133" t="s">
        <v>1117</v>
      </c>
      <c r="G2342" s="133" t="s">
        <v>1202</v>
      </c>
      <c r="H2342" s="133" t="s">
        <v>1203</v>
      </c>
      <c r="I2342" s="130" t="s">
        <v>1309</v>
      </c>
      <c r="J2342" s="130" t="s">
        <v>1310</v>
      </c>
      <c r="K2342" s="130" t="s">
        <v>1310</v>
      </c>
      <c r="L2342" s="130" t="s">
        <v>1509</v>
      </c>
      <c r="M2342" s="130" t="s">
        <v>1510</v>
      </c>
      <c r="N2342" s="130" t="s">
        <v>1511</v>
      </c>
      <c r="O2342" s="130" t="s">
        <v>1512</v>
      </c>
      <c r="P2342" s="130" t="s">
        <v>1513</v>
      </c>
      <c r="Q2342" s="130" t="s">
        <v>1127</v>
      </c>
      <c r="R2342" s="130" t="s">
        <v>1448</v>
      </c>
      <c r="S2342" s="130" t="s">
        <v>1157</v>
      </c>
      <c r="T2342" s="130" t="s">
        <v>1142</v>
      </c>
      <c r="U2342" s="130">
        <v>0</v>
      </c>
      <c r="V2342" s="131">
        <v>5000</v>
      </c>
      <c r="W2342" s="131">
        <v>5000</v>
      </c>
      <c r="X2342" s="131">
        <v>0</v>
      </c>
      <c r="Y2342" s="131">
        <v>5000</v>
      </c>
      <c r="Z2342" s="131">
        <v>0</v>
      </c>
      <c r="AA2342" s="131">
        <v>5000</v>
      </c>
      <c r="AB2342" s="131">
        <v>0</v>
      </c>
      <c r="AC2342" s="131">
        <v>5000</v>
      </c>
      <c r="AD2342" s="131">
        <v>0</v>
      </c>
      <c r="AE2342" s="132">
        <v>5000</v>
      </c>
    </row>
    <row r="2343" spans="1:31" x14ac:dyDescent="0.2">
      <c r="A2343" s="130">
        <v>450</v>
      </c>
      <c r="B2343" s="130" t="s">
        <v>1198</v>
      </c>
      <c r="C2343" s="130" t="s">
        <v>1199</v>
      </c>
      <c r="D2343" s="130" t="s">
        <v>1508</v>
      </c>
      <c r="E2343" s="130" t="s">
        <v>1903</v>
      </c>
      <c r="F2343" s="130" t="s">
        <v>1117</v>
      </c>
      <c r="G2343" s="130" t="s">
        <v>1202</v>
      </c>
      <c r="H2343" s="130" t="s">
        <v>1216</v>
      </c>
      <c r="I2343" s="130" t="s">
        <v>1222</v>
      </c>
      <c r="J2343" s="130" t="s">
        <v>1304</v>
      </c>
      <c r="K2343" s="130" t="s">
        <v>1305</v>
      </c>
      <c r="L2343" s="130" t="s">
        <v>1509</v>
      </c>
      <c r="M2343" s="130" t="s">
        <v>1510</v>
      </c>
      <c r="N2343" s="130" t="s">
        <v>1511</v>
      </c>
      <c r="O2343" s="130" t="s">
        <v>1512</v>
      </c>
      <c r="P2343" s="130" t="s">
        <v>1513</v>
      </c>
      <c r="Q2343" s="130" t="s">
        <v>1127</v>
      </c>
      <c r="R2343" s="130" t="s">
        <v>1191</v>
      </c>
      <c r="S2343" s="130" t="s">
        <v>1157</v>
      </c>
      <c r="T2343" s="130" t="s">
        <v>1142</v>
      </c>
      <c r="U2343" s="130">
        <v>0</v>
      </c>
      <c r="V2343" s="131">
        <v>68</v>
      </c>
      <c r="W2343" s="131">
        <v>68</v>
      </c>
      <c r="X2343" s="131">
        <v>0</v>
      </c>
      <c r="Y2343" s="131">
        <v>68</v>
      </c>
      <c r="Z2343" s="131">
        <v>0</v>
      </c>
      <c r="AA2343" s="131">
        <v>68</v>
      </c>
      <c r="AB2343" s="131">
        <v>0</v>
      </c>
      <c r="AC2343" s="131">
        <v>68</v>
      </c>
      <c r="AD2343" s="131">
        <v>0</v>
      </c>
      <c r="AE2343" s="132">
        <v>68</v>
      </c>
    </row>
    <row r="2344" spans="1:31" x14ac:dyDescent="0.2">
      <c r="A2344" s="133">
        <v>450</v>
      </c>
      <c r="B2344" s="133" t="s">
        <v>1198</v>
      </c>
      <c r="C2344" s="133" t="s">
        <v>1199</v>
      </c>
      <c r="D2344" s="133" t="s">
        <v>1508</v>
      </c>
      <c r="E2344" s="133" t="s">
        <v>1903</v>
      </c>
      <c r="F2344" s="133" t="s">
        <v>1117</v>
      </c>
      <c r="G2344" s="133" t="s">
        <v>1202</v>
      </c>
      <c r="H2344" s="130" t="s">
        <v>1203</v>
      </c>
      <c r="I2344" s="130" t="s">
        <v>1309</v>
      </c>
      <c r="J2344" s="130" t="s">
        <v>1310</v>
      </c>
      <c r="K2344" s="130" t="s">
        <v>1310</v>
      </c>
      <c r="L2344" s="130" t="s">
        <v>1509</v>
      </c>
      <c r="M2344" s="130" t="s">
        <v>1510</v>
      </c>
      <c r="N2344" s="130" t="s">
        <v>1511</v>
      </c>
      <c r="O2344" s="130" t="s">
        <v>1512</v>
      </c>
      <c r="P2344" s="130" t="s">
        <v>1513</v>
      </c>
      <c r="Q2344" s="130" t="s">
        <v>1127</v>
      </c>
      <c r="R2344" s="130" t="s">
        <v>1191</v>
      </c>
      <c r="S2344" s="130" t="s">
        <v>1157</v>
      </c>
      <c r="T2344" s="130" t="s">
        <v>1142</v>
      </c>
      <c r="U2344" s="130">
        <v>0</v>
      </c>
      <c r="V2344" s="131">
        <v>7500</v>
      </c>
      <c r="W2344" s="131">
        <v>7500</v>
      </c>
      <c r="X2344" s="131">
        <v>6900</v>
      </c>
      <c r="Y2344" s="131">
        <v>600</v>
      </c>
      <c r="Z2344" s="131">
        <v>6900</v>
      </c>
      <c r="AA2344" s="131">
        <v>600</v>
      </c>
      <c r="AB2344" s="131">
        <v>6900</v>
      </c>
      <c r="AC2344" s="131">
        <v>600</v>
      </c>
      <c r="AD2344" s="131">
        <v>6900</v>
      </c>
      <c r="AE2344" s="132">
        <v>600</v>
      </c>
    </row>
    <row r="2345" spans="1:31" x14ac:dyDescent="0.2">
      <c r="A2345" s="130">
        <v>451</v>
      </c>
      <c r="B2345" s="130" t="s">
        <v>1198</v>
      </c>
      <c r="C2345" s="130" t="s">
        <v>1199</v>
      </c>
      <c r="D2345" s="130" t="s">
        <v>1508</v>
      </c>
      <c r="E2345" s="130" t="s">
        <v>1903</v>
      </c>
      <c r="F2345" s="130" t="s">
        <v>1117</v>
      </c>
      <c r="G2345" s="130" t="s">
        <v>1276</v>
      </c>
      <c r="H2345" s="130" t="s">
        <v>1277</v>
      </c>
      <c r="I2345" s="130" t="s">
        <v>1285</v>
      </c>
      <c r="J2345" s="130" t="s">
        <v>1286</v>
      </c>
      <c r="K2345" s="130" t="s">
        <v>1894</v>
      </c>
      <c r="L2345" s="130" t="s">
        <v>1509</v>
      </c>
      <c r="M2345" s="130" t="s">
        <v>1561</v>
      </c>
      <c r="N2345" s="130" t="s">
        <v>1511</v>
      </c>
      <c r="O2345" s="130" t="s">
        <v>1512</v>
      </c>
      <c r="P2345" s="130" t="s">
        <v>1562</v>
      </c>
      <c r="Q2345" s="130" t="s">
        <v>1127</v>
      </c>
      <c r="R2345" s="130" t="s">
        <v>1191</v>
      </c>
      <c r="S2345" s="130" t="s">
        <v>1157</v>
      </c>
      <c r="T2345" s="130" t="s">
        <v>1369</v>
      </c>
      <c r="U2345" s="130">
        <v>0</v>
      </c>
      <c r="V2345" s="131">
        <v>135000</v>
      </c>
      <c r="W2345" s="131">
        <v>135000</v>
      </c>
      <c r="X2345" s="131">
        <v>0</v>
      </c>
      <c r="Y2345" s="131">
        <v>135000</v>
      </c>
      <c r="Z2345" s="131">
        <v>0</v>
      </c>
      <c r="AA2345" s="131">
        <v>135000</v>
      </c>
      <c r="AB2345" s="131">
        <v>0</v>
      </c>
      <c r="AC2345" s="131">
        <v>135000</v>
      </c>
      <c r="AD2345" s="131">
        <v>0</v>
      </c>
      <c r="AE2345" s="132">
        <v>135000</v>
      </c>
    </row>
    <row r="2346" spans="1:31" x14ac:dyDescent="0.2">
      <c r="A2346" s="133">
        <v>451</v>
      </c>
      <c r="B2346" s="133" t="s">
        <v>1198</v>
      </c>
      <c r="C2346" s="133" t="s">
        <v>1199</v>
      </c>
      <c r="D2346" s="133" t="s">
        <v>1508</v>
      </c>
      <c r="E2346" s="133" t="s">
        <v>1903</v>
      </c>
      <c r="F2346" s="133" t="s">
        <v>1117</v>
      </c>
      <c r="G2346" s="133" t="s">
        <v>1276</v>
      </c>
      <c r="H2346" s="133" t="s">
        <v>1277</v>
      </c>
      <c r="I2346" s="130" t="s">
        <v>1288</v>
      </c>
      <c r="J2346" s="130" t="s">
        <v>1289</v>
      </c>
      <c r="K2346" s="130" t="s">
        <v>1292</v>
      </c>
      <c r="L2346" s="130" t="s">
        <v>1509</v>
      </c>
      <c r="M2346" s="130" t="s">
        <v>1561</v>
      </c>
      <c r="N2346" s="130" t="s">
        <v>1511</v>
      </c>
      <c r="O2346" s="130" t="s">
        <v>1512</v>
      </c>
      <c r="P2346" s="130" t="s">
        <v>1562</v>
      </c>
      <c r="Q2346" s="130" t="s">
        <v>1127</v>
      </c>
      <c r="R2346" s="130" t="s">
        <v>1191</v>
      </c>
      <c r="S2346" s="130" t="s">
        <v>1157</v>
      </c>
      <c r="T2346" s="130" t="s">
        <v>1369</v>
      </c>
      <c r="U2346" s="130">
        <v>0</v>
      </c>
      <c r="V2346" s="131">
        <v>3600</v>
      </c>
      <c r="W2346" s="131">
        <v>3600</v>
      </c>
      <c r="X2346" s="131">
        <v>0</v>
      </c>
      <c r="Y2346" s="131">
        <v>3600</v>
      </c>
      <c r="Z2346" s="131">
        <v>0</v>
      </c>
      <c r="AA2346" s="131">
        <v>3600</v>
      </c>
      <c r="AB2346" s="131">
        <v>0</v>
      </c>
      <c r="AC2346" s="131">
        <v>3600</v>
      </c>
      <c r="AD2346" s="131">
        <v>0</v>
      </c>
      <c r="AE2346" s="132">
        <v>3600</v>
      </c>
    </row>
    <row r="2347" spans="1:31" x14ac:dyDescent="0.2">
      <c r="A2347" s="133">
        <v>451</v>
      </c>
      <c r="B2347" s="133" t="s">
        <v>1198</v>
      </c>
      <c r="C2347" s="133" t="s">
        <v>1199</v>
      </c>
      <c r="D2347" s="133" t="s">
        <v>1508</v>
      </c>
      <c r="E2347" s="133" t="s">
        <v>1903</v>
      </c>
      <c r="F2347" s="133" t="s">
        <v>1117</v>
      </c>
      <c r="G2347" s="133" t="s">
        <v>1276</v>
      </c>
      <c r="H2347" s="130" t="s">
        <v>1297</v>
      </c>
      <c r="I2347" s="130" t="s">
        <v>1298</v>
      </c>
      <c r="J2347" s="130" t="s">
        <v>1298</v>
      </c>
      <c r="K2347" s="130" t="s">
        <v>1300</v>
      </c>
      <c r="L2347" s="130" t="s">
        <v>1509</v>
      </c>
      <c r="M2347" s="130" t="s">
        <v>1561</v>
      </c>
      <c r="N2347" s="130" t="s">
        <v>1511</v>
      </c>
      <c r="O2347" s="130" t="s">
        <v>1512</v>
      </c>
      <c r="P2347" s="130" t="s">
        <v>1562</v>
      </c>
      <c r="Q2347" s="130" t="s">
        <v>1127</v>
      </c>
      <c r="R2347" s="130" t="s">
        <v>1191</v>
      </c>
      <c r="S2347" s="130" t="s">
        <v>1157</v>
      </c>
      <c r="T2347" s="130" t="s">
        <v>1369</v>
      </c>
      <c r="U2347" s="130">
        <v>0</v>
      </c>
      <c r="V2347" s="131">
        <v>16200</v>
      </c>
      <c r="W2347" s="131">
        <v>16200</v>
      </c>
      <c r="X2347" s="131">
        <v>0</v>
      </c>
      <c r="Y2347" s="131">
        <v>16200</v>
      </c>
      <c r="Z2347" s="131">
        <v>0</v>
      </c>
      <c r="AA2347" s="131">
        <v>16200</v>
      </c>
      <c r="AB2347" s="131">
        <v>0</v>
      </c>
      <c r="AC2347" s="131">
        <v>16200</v>
      </c>
      <c r="AD2347" s="131">
        <v>0</v>
      </c>
      <c r="AE2347" s="132">
        <v>16200</v>
      </c>
    </row>
    <row r="2348" spans="1:31" x14ac:dyDescent="0.2">
      <c r="A2348" s="133">
        <v>451</v>
      </c>
      <c r="B2348" s="133" t="s">
        <v>1198</v>
      </c>
      <c r="C2348" s="133" t="s">
        <v>1199</v>
      </c>
      <c r="D2348" s="133" t="s">
        <v>1508</v>
      </c>
      <c r="E2348" s="133" t="s">
        <v>1903</v>
      </c>
      <c r="F2348" s="133" t="s">
        <v>1117</v>
      </c>
      <c r="G2348" s="130" t="s">
        <v>1202</v>
      </c>
      <c r="H2348" s="130" t="s">
        <v>1216</v>
      </c>
      <c r="I2348" s="130" t="s">
        <v>1217</v>
      </c>
      <c r="J2348" s="130" t="s">
        <v>1218</v>
      </c>
      <c r="K2348" s="130" t="s">
        <v>1219</v>
      </c>
      <c r="L2348" s="130" t="s">
        <v>1509</v>
      </c>
      <c r="M2348" s="130" t="s">
        <v>1561</v>
      </c>
      <c r="N2348" s="130" t="s">
        <v>1511</v>
      </c>
      <c r="O2348" s="130" t="s">
        <v>1512</v>
      </c>
      <c r="P2348" s="130" t="s">
        <v>1562</v>
      </c>
      <c r="Q2348" s="130" t="s">
        <v>1127</v>
      </c>
      <c r="R2348" s="130" t="s">
        <v>1191</v>
      </c>
      <c r="S2348" s="130" t="s">
        <v>1157</v>
      </c>
      <c r="T2348" s="130" t="s">
        <v>1369</v>
      </c>
      <c r="U2348" s="130">
        <v>0</v>
      </c>
      <c r="V2348" s="131">
        <v>5400</v>
      </c>
      <c r="W2348" s="131">
        <v>5400</v>
      </c>
      <c r="X2348" s="131">
        <v>0</v>
      </c>
      <c r="Y2348" s="131">
        <v>5400</v>
      </c>
      <c r="Z2348" s="131">
        <v>0</v>
      </c>
      <c r="AA2348" s="131">
        <v>5400</v>
      </c>
      <c r="AB2348" s="131">
        <v>0</v>
      </c>
      <c r="AC2348" s="131">
        <v>5400</v>
      </c>
      <c r="AD2348" s="131">
        <v>0</v>
      </c>
      <c r="AE2348" s="132">
        <v>5400</v>
      </c>
    </row>
    <row r="2349" spans="1:31" x14ac:dyDescent="0.2">
      <c r="A2349" s="133">
        <v>451</v>
      </c>
      <c r="B2349" s="133" t="s">
        <v>1198</v>
      </c>
      <c r="C2349" s="133" t="s">
        <v>1199</v>
      </c>
      <c r="D2349" s="133" t="s">
        <v>1508</v>
      </c>
      <c r="E2349" s="133" t="s">
        <v>1903</v>
      </c>
      <c r="F2349" s="133" t="s">
        <v>1117</v>
      </c>
      <c r="G2349" s="133" t="s">
        <v>1202</v>
      </c>
      <c r="H2349" s="133" t="s">
        <v>1216</v>
      </c>
      <c r="I2349" s="130" t="s">
        <v>1222</v>
      </c>
      <c r="J2349" s="130" t="s">
        <v>1304</v>
      </c>
      <c r="K2349" s="130" t="s">
        <v>1305</v>
      </c>
      <c r="L2349" s="130" t="s">
        <v>1509</v>
      </c>
      <c r="M2349" s="130" t="s">
        <v>1561</v>
      </c>
      <c r="N2349" s="130" t="s">
        <v>1511</v>
      </c>
      <c r="O2349" s="130" t="s">
        <v>1512</v>
      </c>
      <c r="P2349" s="130" t="s">
        <v>1562</v>
      </c>
      <c r="Q2349" s="130" t="s">
        <v>1127</v>
      </c>
      <c r="R2349" s="130" t="s">
        <v>1191</v>
      </c>
      <c r="S2349" s="130" t="s">
        <v>1157</v>
      </c>
      <c r="T2349" s="130" t="s">
        <v>1369</v>
      </c>
      <c r="U2349" s="130">
        <v>0</v>
      </c>
      <c r="V2349" s="131">
        <v>13920</v>
      </c>
      <c r="W2349" s="131">
        <v>13920</v>
      </c>
      <c r="X2349" s="131">
        <v>13579.6</v>
      </c>
      <c r="Y2349" s="131">
        <v>340.39999999999964</v>
      </c>
      <c r="Z2349" s="131">
        <v>9865.74</v>
      </c>
      <c r="AA2349" s="131">
        <v>4054.26</v>
      </c>
      <c r="AB2349" s="131">
        <v>9865.74</v>
      </c>
      <c r="AC2349" s="131">
        <v>4054.26</v>
      </c>
      <c r="AD2349" s="131">
        <v>2965.74</v>
      </c>
      <c r="AE2349" s="132">
        <v>10954.26</v>
      </c>
    </row>
    <row r="2350" spans="1:31" x14ac:dyDescent="0.2">
      <c r="A2350" s="133">
        <v>451</v>
      </c>
      <c r="B2350" s="133" t="s">
        <v>1198</v>
      </c>
      <c r="C2350" s="133" t="s">
        <v>1199</v>
      </c>
      <c r="D2350" s="133" t="s">
        <v>1508</v>
      </c>
      <c r="E2350" s="133" t="s">
        <v>1903</v>
      </c>
      <c r="F2350" s="133" t="s">
        <v>1117</v>
      </c>
      <c r="G2350" s="133" t="s">
        <v>1202</v>
      </c>
      <c r="H2350" s="130" t="s">
        <v>1203</v>
      </c>
      <c r="I2350" s="130" t="s">
        <v>1204</v>
      </c>
      <c r="J2350" s="130" t="s">
        <v>1205</v>
      </c>
      <c r="K2350" s="130" t="s">
        <v>1255</v>
      </c>
      <c r="L2350" s="130" t="s">
        <v>1509</v>
      </c>
      <c r="M2350" s="130" t="s">
        <v>1561</v>
      </c>
      <c r="N2350" s="130" t="s">
        <v>1511</v>
      </c>
      <c r="O2350" s="130" t="s">
        <v>1512</v>
      </c>
      <c r="P2350" s="130" t="s">
        <v>1562</v>
      </c>
      <c r="Q2350" s="130" t="s">
        <v>1127</v>
      </c>
      <c r="R2350" s="130" t="s">
        <v>1191</v>
      </c>
      <c r="S2350" s="130" t="s">
        <v>1157</v>
      </c>
      <c r="T2350" s="130" t="s">
        <v>1369</v>
      </c>
      <c r="U2350" s="130">
        <v>0</v>
      </c>
      <c r="V2350" s="131">
        <v>16000</v>
      </c>
      <c r="W2350" s="131">
        <v>16000</v>
      </c>
      <c r="X2350" s="131">
        <v>0</v>
      </c>
      <c r="Y2350" s="131">
        <v>16000</v>
      </c>
      <c r="Z2350" s="131">
        <v>0</v>
      </c>
      <c r="AA2350" s="131">
        <v>16000</v>
      </c>
      <c r="AB2350" s="131">
        <v>0</v>
      </c>
      <c r="AC2350" s="131">
        <v>16000</v>
      </c>
      <c r="AD2350" s="131">
        <v>0</v>
      </c>
      <c r="AE2350" s="132">
        <v>16000</v>
      </c>
    </row>
    <row r="2351" spans="1:31" x14ac:dyDescent="0.2">
      <c r="A2351" s="133">
        <v>451</v>
      </c>
      <c r="B2351" s="133" t="s">
        <v>1198</v>
      </c>
      <c r="C2351" s="133" t="s">
        <v>1199</v>
      </c>
      <c r="D2351" s="133" t="s">
        <v>1508</v>
      </c>
      <c r="E2351" s="133" t="s">
        <v>1903</v>
      </c>
      <c r="F2351" s="133" t="s">
        <v>1117</v>
      </c>
      <c r="G2351" s="133" t="s">
        <v>1202</v>
      </c>
      <c r="H2351" s="133" t="s">
        <v>1203</v>
      </c>
      <c r="I2351" s="133" t="s">
        <v>1204</v>
      </c>
      <c r="J2351" s="133" t="s">
        <v>1205</v>
      </c>
      <c r="K2351" s="130" t="s">
        <v>1256</v>
      </c>
      <c r="L2351" s="130" t="s">
        <v>1509</v>
      </c>
      <c r="M2351" s="130" t="s">
        <v>1561</v>
      </c>
      <c r="N2351" s="130" t="s">
        <v>1511</v>
      </c>
      <c r="O2351" s="130" t="s">
        <v>1512</v>
      </c>
      <c r="P2351" s="130" t="s">
        <v>1562</v>
      </c>
      <c r="Q2351" s="130" t="s">
        <v>1127</v>
      </c>
      <c r="R2351" s="130" t="s">
        <v>1191</v>
      </c>
      <c r="S2351" s="130" t="s">
        <v>1157</v>
      </c>
      <c r="T2351" s="130" t="s">
        <v>1369</v>
      </c>
      <c r="U2351" s="130">
        <v>0</v>
      </c>
      <c r="V2351" s="131">
        <v>5120</v>
      </c>
      <c r="W2351" s="131">
        <v>5120</v>
      </c>
      <c r="X2351" s="131">
        <v>0</v>
      </c>
      <c r="Y2351" s="131">
        <v>5120</v>
      </c>
      <c r="Z2351" s="131">
        <v>0</v>
      </c>
      <c r="AA2351" s="131">
        <v>5120</v>
      </c>
      <c r="AB2351" s="131">
        <v>0</v>
      </c>
      <c r="AC2351" s="131">
        <v>5120</v>
      </c>
      <c r="AD2351" s="131">
        <v>0</v>
      </c>
      <c r="AE2351" s="132">
        <v>5120</v>
      </c>
    </row>
    <row r="2352" spans="1:31" x14ac:dyDescent="0.2">
      <c r="A2352" s="133">
        <v>451</v>
      </c>
      <c r="B2352" s="133" t="s">
        <v>1198</v>
      </c>
      <c r="C2352" s="133" t="s">
        <v>1199</v>
      </c>
      <c r="D2352" s="133" t="s">
        <v>1508</v>
      </c>
      <c r="E2352" s="133" t="s">
        <v>1903</v>
      </c>
      <c r="F2352" s="133" t="s">
        <v>1117</v>
      </c>
      <c r="G2352" s="133" t="s">
        <v>1202</v>
      </c>
      <c r="H2352" s="133" t="s">
        <v>1203</v>
      </c>
      <c r="I2352" s="130" t="s">
        <v>1309</v>
      </c>
      <c r="J2352" s="130" t="s">
        <v>1310</v>
      </c>
      <c r="K2352" s="130" t="s">
        <v>1310</v>
      </c>
      <c r="L2352" s="130" t="s">
        <v>1509</v>
      </c>
      <c r="M2352" s="130" t="s">
        <v>1561</v>
      </c>
      <c r="N2352" s="130" t="s">
        <v>1511</v>
      </c>
      <c r="O2352" s="130" t="s">
        <v>1512</v>
      </c>
      <c r="P2352" s="130" t="s">
        <v>1562</v>
      </c>
      <c r="Q2352" s="130" t="s">
        <v>1127</v>
      </c>
      <c r="R2352" s="130" t="s">
        <v>1191</v>
      </c>
      <c r="S2352" s="130" t="s">
        <v>1157</v>
      </c>
      <c r="T2352" s="130" t="s">
        <v>1369</v>
      </c>
      <c r="U2352" s="130">
        <v>0</v>
      </c>
      <c r="V2352" s="131">
        <v>105680</v>
      </c>
      <c r="W2352" s="131">
        <v>105680</v>
      </c>
      <c r="X2352" s="131">
        <v>12600</v>
      </c>
      <c r="Y2352" s="131">
        <v>93080</v>
      </c>
      <c r="Z2352" s="131">
        <v>12600</v>
      </c>
      <c r="AA2352" s="131">
        <v>93080</v>
      </c>
      <c r="AB2352" s="131">
        <v>12600</v>
      </c>
      <c r="AC2352" s="131">
        <v>93080</v>
      </c>
      <c r="AD2352" s="131">
        <v>10400</v>
      </c>
      <c r="AE2352" s="132">
        <v>95280</v>
      </c>
    </row>
    <row r="2353" spans="1:31" x14ac:dyDescent="0.2">
      <c r="A2353" s="133">
        <v>451</v>
      </c>
      <c r="B2353" s="133" t="s">
        <v>1198</v>
      </c>
      <c r="C2353" s="133" t="s">
        <v>1199</v>
      </c>
      <c r="D2353" s="133" t="s">
        <v>1508</v>
      </c>
      <c r="E2353" s="133" t="s">
        <v>1903</v>
      </c>
      <c r="F2353" s="133" t="s">
        <v>1117</v>
      </c>
      <c r="G2353" s="130" t="s">
        <v>1118</v>
      </c>
      <c r="H2353" s="130" t="s">
        <v>1149</v>
      </c>
      <c r="I2353" s="130" t="s">
        <v>1182</v>
      </c>
      <c r="J2353" s="130" t="s">
        <v>1377</v>
      </c>
      <c r="K2353" s="130" t="s">
        <v>1383</v>
      </c>
      <c r="L2353" s="130" t="s">
        <v>1509</v>
      </c>
      <c r="M2353" s="130" t="s">
        <v>1561</v>
      </c>
      <c r="N2353" s="130" t="s">
        <v>1511</v>
      </c>
      <c r="O2353" s="130" t="s">
        <v>1512</v>
      </c>
      <c r="P2353" s="130" t="s">
        <v>1562</v>
      </c>
      <c r="Q2353" s="130" t="s">
        <v>1127</v>
      </c>
      <c r="R2353" s="130" t="s">
        <v>1191</v>
      </c>
      <c r="S2353" s="130" t="s">
        <v>1157</v>
      </c>
      <c r="T2353" s="130" t="s">
        <v>1369</v>
      </c>
      <c r="U2353" s="130">
        <v>0</v>
      </c>
      <c r="V2353" s="131">
        <v>10000</v>
      </c>
      <c r="W2353" s="131">
        <v>10000</v>
      </c>
      <c r="X2353" s="131">
        <v>9000</v>
      </c>
      <c r="Y2353" s="131">
        <v>1000</v>
      </c>
      <c r="Z2353" s="131">
        <v>3505.45</v>
      </c>
      <c r="AA2353" s="131">
        <v>6494.55</v>
      </c>
      <c r="AB2353" s="131">
        <v>3505.45</v>
      </c>
      <c r="AC2353" s="131">
        <v>6494.55</v>
      </c>
      <c r="AD2353" s="131">
        <v>3505.45</v>
      </c>
      <c r="AE2353" s="132">
        <v>6494.55</v>
      </c>
    </row>
    <row r="2354" spans="1:31" x14ac:dyDescent="0.2">
      <c r="A2354" s="133">
        <v>451</v>
      </c>
      <c r="B2354" s="133" t="s">
        <v>1198</v>
      </c>
      <c r="C2354" s="133" t="s">
        <v>1199</v>
      </c>
      <c r="D2354" s="133" t="s">
        <v>1508</v>
      </c>
      <c r="E2354" s="133" t="s">
        <v>1903</v>
      </c>
      <c r="F2354" s="133" t="s">
        <v>1117</v>
      </c>
      <c r="G2354" s="133" t="s">
        <v>1118</v>
      </c>
      <c r="H2354" s="133" t="s">
        <v>1149</v>
      </c>
      <c r="I2354" s="133" t="s">
        <v>1182</v>
      </c>
      <c r="J2354" s="133" t="s">
        <v>1377</v>
      </c>
      <c r="K2354" s="130" t="s">
        <v>1378</v>
      </c>
      <c r="L2354" s="130" t="s">
        <v>1509</v>
      </c>
      <c r="M2354" s="130" t="s">
        <v>1561</v>
      </c>
      <c r="N2354" s="130" t="s">
        <v>1511</v>
      </c>
      <c r="O2354" s="130" t="s">
        <v>1512</v>
      </c>
      <c r="P2354" s="130" t="s">
        <v>1562</v>
      </c>
      <c r="Q2354" s="130" t="s">
        <v>1127</v>
      </c>
      <c r="R2354" s="130" t="s">
        <v>1191</v>
      </c>
      <c r="S2354" s="130" t="s">
        <v>1157</v>
      </c>
      <c r="T2354" s="130" t="s">
        <v>1369</v>
      </c>
      <c r="U2354" s="130">
        <v>0</v>
      </c>
      <c r="V2354" s="131">
        <v>5000</v>
      </c>
      <c r="W2354" s="131">
        <v>5000</v>
      </c>
      <c r="X2354" s="131">
        <v>0</v>
      </c>
      <c r="Y2354" s="131">
        <v>5000</v>
      </c>
      <c r="Z2354" s="131">
        <v>0</v>
      </c>
      <c r="AA2354" s="131">
        <v>5000</v>
      </c>
      <c r="AB2354" s="131">
        <v>0</v>
      </c>
      <c r="AC2354" s="131">
        <v>5000</v>
      </c>
      <c r="AD2354" s="131">
        <v>0</v>
      </c>
      <c r="AE2354" s="132">
        <v>5000</v>
      </c>
    </row>
    <row r="2355" spans="1:31" x14ac:dyDescent="0.2">
      <c r="A2355" s="130">
        <v>452</v>
      </c>
      <c r="B2355" s="130" t="s">
        <v>1558</v>
      </c>
      <c r="C2355" s="130" t="s">
        <v>1199</v>
      </c>
      <c r="D2355" s="130" t="s">
        <v>1559</v>
      </c>
      <c r="E2355" s="130" t="s">
        <v>1903</v>
      </c>
      <c r="F2355" s="130" t="s">
        <v>1117</v>
      </c>
      <c r="G2355" s="130" t="s">
        <v>1202</v>
      </c>
      <c r="H2355" s="130" t="s">
        <v>1203</v>
      </c>
      <c r="I2355" s="130" t="s">
        <v>1315</v>
      </c>
      <c r="J2355" s="130" t="s">
        <v>1316</v>
      </c>
      <c r="K2355" s="130" t="s">
        <v>1888</v>
      </c>
      <c r="L2355" s="130" t="s">
        <v>1560</v>
      </c>
      <c r="M2355" s="130" t="s">
        <v>1561</v>
      </c>
      <c r="N2355" s="130" t="s">
        <v>1511</v>
      </c>
      <c r="O2355" s="130" t="s">
        <v>1512</v>
      </c>
      <c r="P2355" s="130" t="s">
        <v>1562</v>
      </c>
      <c r="Q2355" s="130" t="s">
        <v>1127</v>
      </c>
      <c r="R2355" s="130" t="s">
        <v>1191</v>
      </c>
      <c r="S2355" s="130" t="s">
        <v>1157</v>
      </c>
      <c r="T2355" s="130" t="s">
        <v>1563</v>
      </c>
      <c r="U2355" s="130">
        <v>0</v>
      </c>
      <c r="V2355" s="131">
        <v>30000</v>
      </c>
      <c r="W2355" s="131">
        <v>30000</v>
      </c>
      <c r="X2355" s="131">
        <v>13800</v>
      </c>
      <c r="Y2355" s="131">
        <v>16200</v>
      </c>
      <c r="Z2355" s="131">
        <v>13800</v>
      </c>
      <c r="AA2355" s="131">
        <v>16200</v>
      </c>
      <c r="AB2355" s="131">
        <v>13800</v>
      </c>
      <c r="AC2355" s="131">
        <v>16200</v>
      </c>
      <c r="AD2355" s="131">
        <v>0</v>
      </c>
      <c r="AE2355" s="132">
        <v>30000</v>
      </c>
    </row>
    <row r="2356" spans="1:31" x14ac:dyDescent="0.2">
      <c r="A2356" s="133">
        <v>452</v>
      </c>
      <c r="B2356" s="133" t="s">
        <v>1558</v>
      </c>
      <c r="C2356" s="133" t="s">
        <v>1199</v>
      </c>
      <c r="D2356" s="133" t="s">
        <v>1559</v>
      </c>
      <c r="E2356" s="133" t="s">
        <v>1903</v>
      </c>
      <c r="F2356" s="133" t="s">
        <v>1117</v>
      </c>
      <c r="G2356" s="133" t="s">
        <v>1202</v>
      </c>
      <c r="H2356" s="133" t="s">
        <v>1203</v>
      </c>
      <c r="I2356" s="130" t="s">
        <v>1209</v>
      </c>
      <c r="J2356" s="130" t="s">
        <v>1873</v>
      </c>
      <c r="K2356" s="130" t="s">
        <v>1901</v>
      </c>
      <c r="L2356" s="130" t="s">
        <v>1560</v>
      </c>
      <c r="M2356" s="130" t="s">
        <v>1561</v>
      </c>
      <c r="N2356" s="130" t="s">
        <v>1511</v>
      </c>
      <c r="O2356" s="130" t="s">
        <v>1512</v>
      </c>
      <c r="P2356" s="130" t="s">
        <v>1562</v>
      </c>
      <c r="Q2356" s="130" t="s">
        <v>1127</v>
      </c>
      <c r="R2356" s="130" t="s">
        <v>1191</v>
      </c>
      <c r="S2356" s="130" t="s">
        <v>1157</v>
      </c>
      <c r="T2356" s="130" t="s">
        <v>1563</v>
      </c>
      <c r="U2356" s="130">
        <v>0</v>
      </c>
      <c r="V2356" s="131">
        <v>16200</v>
      </c>
      <c r="W2356" s="131">
        <v>16200</v>
      </c>
      <c r="X2356" s="131">
        <v>0</v>
      </c>
      <c r="Y2356" s="131">
        <v>16200</v>
      </c>
      <c r="Z2356" s="131">
        <v>0</v>
      </c>
      <c r="AA2356" s="131">
        <v>16200</v>
      </c>
      <c r="AB2356" s="131">
        <v>0</v>
      </c>
      <c r="AC2356" s="131">
        <v>16200</v>
      </c>
      <c r="AD2356" s="131">
        <v>0</v>
      </c>
      <c r="AE2356" s="132">
        <v>16200</v>
      </c>
    </row>
    <row r="2357" spans="1:31" x14ac:dyDescent="0.2">
      <c r="A2357" s="133">
        <v>452</v>
      </c>
      <c r="B2357" s="133" t="s">
        <v>1558</v>
      </c>
      <c r="C2357" s="133" t="s">
        <v>1199</v>
      </c>
      <c r="D2357" s="133" t="s">
        <v>1559</v>
      </c>
      <c r="E2357" s="133" t="s">
        <v>1903</v>
      </c>
      <c r="F2357" s="133" t="s">
        <v>1117</v>
      </c>
      <c r="G2357" s="133" t="s">
        <v>1202</v>
      </c>
      <c r="H2357" s="133" t="s">
        <v>1203</v>
      </c>
      <c r="I2357" s="133" t="s">
        <v>1209</v>
      </c>
      <c r="J2357" s="130" t="s">
        <v>1210</v>
      </c>
      <c r="K2357" s="130" t="s">
        <v>1539</v>
      </c>
      <c r="L2357" s="130" t="s">
        <v>1560</v>
      </c>
      <c r="M2357" s="130" t="s">
        <v>1561</v>
      </c>
      <c r="N2357" s="130" t="s">
        <v>1511</v>
      </c>
      <c r="O2357" s="130" t="s">
        <v>1512</v>
      </c>
      <c r="P2357" s="130" t="s">
        <v>1562</v>
      </c>
      <c r="Q2357" s="130" t="s">
        <v>1127</v>
      </c>
      <c r="R2357" s="130" t="s">
        <v>1191</v>
      </c>
      <c r="S2357" s="130" t="s">
        <v>1157</v>
      </c>
      <c r="T2357" s="130" t="s">
        <v>1563</v>
      </c>
      <c r="U2357" s="130">
        <v>0</v>
      </c>
      <c r="V2357" s="131">
        <v>4815</v>
      </c>
      <c r="W2357" s="131">
        <v>4815</v>
      </c>
      <c r="X2357" s="131">
        <v>2250</v>
      </c>
      <c r="Y2357" s="131">
        <v>2565</v>
      </c>
      <c r="Z2357" s="131">
        <v>2250</v>
      </c>
      <c r="AA2357" s="131">
        <v>2565</v>
      </c>
      <c r="AB2357" s="131">
        <v>2250</v>
      </c>
      <c r="AC2357" s="131">
        <v>2565</v>
      </c>
      <c r="AD2357" s="131">
        <v>0</v>
      </c>
      <c r="AE2357" s="132">
        <v>4815</v>
      </c>
    </row>
    <row r="2358" spans="1:31" x14ac:dyDescent="0.2">
      <c r="A2358" s="133">
        <v>452</v>
      </c>
      <c r="B2358" s="133" t="s">
        <v>1558</v>
      </c>
      <c r="C2358" s="133" t="s">
        <v>1199</v>
      </c>
      <c r="D2358" s="133" t="s">
        <v>1559</v>
      </c>
      <c r="E2358" s="133" t="s">
        <v>1903</v>
      </c>
      <c r="F2358" s="133" t="s">
        <v>1117</v>
      </c>
      <c r="G2358" s="133" t="s">
        <v>1202</v>
      </c>
      <c r="H2358" s="133" t="s">
        <v>1203</v>
      </c>
      <c r="I2358" s="133" t="s">
        <v>1209</v>
      </c>
      <c r="J2358" s="133" t="s">
        <v>1210</v>
      </c>
      <c r="K2358" s="130" t="s">
        <v>1211</v>
      </c>
      <c r="L2358" s="130" t="s">
        <v>1560</v>
      </c>
      <c r="M2358" s="130" t="s">
        <v>1561</v>
      </c>
      <c r="N2358" s="130" t="s">
        <v>1511</v>
      </c>
      <c r="O2358" s="130" t="s">
        <v>1512</v>
      </c>
      <c r="P2358" s="130" t="s">
        <v>1562</v>
      </c>
      <c r="Q2358" s="130" t="s">
        <v>1127</v>
      </c>
      <c r="R2358" s="130" t="s">
        <v>1191</v>
      </c>
      <c r="S2358" s="130" t="s">
        <v>1157</v>
      </c>
      <c r="T2358" s="130" t="s">
        <v>1563</v>
      </c>
      <c r="U2358" s="130">
        <v>0</v>
      </c>
      <c r="V2358" s="131">
        <v>32492</v>
      </c>
      <c r="W2358" s="131">
        <v>32492</v>
      </c>
      <c r="X2358" s="131">
        <v>31730</v>
      </c>
      <c r="Y2358" s="131">
        <v>762</v>
      </c>
      <c r="Z2358" s="131">
        <v>31730</v>
      </c>
      <c r="AA2358" s="131">
        <v>762</v>
      </c>
      <c r="AB2358" s="131">
        <v>31730</v>
      </c>
      <c r="AC2358" s="131">
        <v>762</v>
      </c>
      <c r="AD2358" s="131">
        <v>0</v>
      </c>
      <c r="AE2358" s="132">
        <v>32492</v>
      </c>
    </row>
    <row r="2359" spans="1:31" x14ac:dyDescent="0.2">
      <c r="A2359" s="133">
        <v>452</v>
      </c>
      <c r="B2359" s="133" t="s">
        <v>1558</v>
      </c>
      <c r="C2359" s="133" t="s">
        <v>1199</v>
      </c>
      <c r="D2359" s="133" t="s">
        <v>1559</v>
      </c>
      <c r="E2359" s="133" t="s">
        <v>1903</v>
      </c>
      <c r="F2359" s="133" t="s">
        <v>1117</v>
      </c>
      <c r="G2359" s="133" t="s">
        <v>1202</v>
      </c>
      <c r="H2359" s="133" t="s">
        <v>1203</v>
      </c>
      <c r="I2359" s="133" t="s">
        <v>1209</v>
      </c>
      <c r="J2359" s="133" t="s">
        <v>1210</v>
      </c>
      <c r="K2359" s="130" t="s">
        <v>1274</v>
      </c>
      <c r="L2359" s="130" t="s">
        <v>1560</v>
      </c>
      <c r="M2359" s="130" t="s">
        <v>1561</v>
      </c>
      <c r="N2359" s="130" t="s">
        <v>1511</v>
      </c>
      <c r="O2359" s="130" t="s">
        <v>1512</v>
      </c>
      <c r="P2359" s="130" t="s">
        <v>1562</v>
      </c>
      <c r="Q2359" s="130" t="s">
        <v>1127</v>
      </c>
      <c r="R2359" s="130" t="s">
        <v>1191</v>
      </c>
      <c r="S2359" s="130" t="s">
        <v>1157</v>
      </c>
      <c r="T2359" s="130" t="s">
        <v>1563</v>
      </c>
      <c r="U2359" s="130">
        <v>0</v>
      </c>
      <c r="V2359" s="131">
        <v>4000</v>
      </c>
      <c r="W2359" s="131">
        <v>4000</v>
      </c>
      <c r="X2359" s="131">
        <v>0</v>
      </c>
      <c r="Y2359" s="131">
        <v>4000</v>
      </c>
      <c r="Z2359" s="131">
        <v>0</v>
      </c>
      <c r="AA2359" s="131">
        <v>4000</v>
      </c>
      <c r="AB2359" s="131">
        <v>0</v>
      </c>
      <c r="AC2359" s="131">
        <v>4000</v>
      </c>
      <c r="AD2359" s="131">
        <v>0</v>
      </c>
      <c r="AE2359" s="132">
        <v>4000</v>
      </c>
    </row>
    <row r="2360" spans="1:31" x14ac:dyDescent="0.2">
      <c r="A2360" s="130">
        <v>453</v>
      </c>
      <c r="B2360" s="130" t="s">
        <v>170</v>
      </c>
      <c r="C2360" s="130" t="s">
        <v>1114</v>
      </c>
      <c r="D2360" s="130" t="s">
        <v>1779</v>
      </c>
      <c r="E2360" s="130" t="s">
        <v>1116</v>
      </c>
      <c r="F2360" s="130" t="s">
        <v>1117</v>
      </c>
      <c r="G2360" s="130" t="s">
        <v>1118</v>
      </c>
      <c r="H2360" s="130" t="s">
        <v>1119</v>
      </c>
      <c r="I2360" s="130" t="s">
        <v>1120</v>
      </c>
      <c r="J2360" s="130" t="s">
        <v>1358</v>
      </c>
      <c r="K2360" s="130" t="s">
        <v>1177</v>
      </c>
      <c r="L2360" s="130" t="s">
        <v>2354</v>
      </c>
      <c r="M2360" s="130" t="s">
        <v>1776</v>
      </c>
      <c r="N2360" s="130" t="s">
        <v>168</v>
      </c>
      <c r="O2360" s="130" t="s">
        <v>1361</v>
      </c>
      <c r="P2360" s="130" t="s">
        <v>1777</v>
      </c>
      <c r="Q2360" s="130" t="s">
        <v>1127</v>
      </c>
      <c r="R2360" s="130" t="s">
        <v>1434</v>
      </c>
      <c r="S2360" s="130" t="s">
        <v>1435</v>
      </c>
      <c r="T2360" s="130" t="s">
        <v>1142</v>
      </c>
      <c r="U2360" s="130">
        <v>0</v>
      </c>
      <c r="V2360" s="131">
        <v>3799</v>
      </c>
      <c r="W2360" s="131">
        <v>3799</v>
      </c>
      <c r="X2360" s="131">
        <v>0</v>
      </c>
      <c r="Y2360" s="131">
        <v>3799</v>
      </c>
      <c r="Z2360" s="131">
        <v>0</v>
      </c>
      <c r="AA2360" s="131">
        <v>3799</v>
      </c>
      <c r="AB2360" s="131">
        <v>0</v>
      </c>
      <c r="AC2360" s="131">
        <v>3799</v>
      </c>
      <c r="AD2360" s="131">
        <v>0</v>
      </c>
      <c r="AE2360" s="132">
        <v>3799</v>
      </c>
    </row>
    <row r="2361" spans="1:31" x14ac:dyDescent="0.2">
      <c r="A2361" s="133">
        <v>453</v>
      </c>
      <c r="B2361" s="133" t="s">
        <v>170</v>
      </c>
      <c r="C2361" s="133" t="s">
        <v>1114</v>
      </c>
      <c r="D2361" s="133" t="s">
        <v>1779</v>
      </c>
      <c r="E2361" s="133" t="s">
        <v>1116</v>
      </c>
      <c r="F2361" s="133" t="s">
        <v>1117</v>
      </c>
      <c r="G2361" s="133" t="s">
        <v>1118</v>
      </c>
      <c r="H2361" s="130" t="s">
        <v>1133</v>
      </c>
      <c r="I2361" s="130" t="s">
        <v>1134</v>
      </c>
      <c r="J2361" s="130" t="s">
        <v>1135</v>
      </c>
      <c r="K2361" s="130" t="s">
        <v>1178</v>
      </c>
      <c r="L2361" s="130" t="s">
        <v>2354</v>
      </c>
      <c r="M2361" s="130" t="s">
        <v>1776</v>
      </c>
      <c r="N2361" s="130" t="s">
        <v>168</v>
      </c>
      <c r="O2361" s="130" t="s">
        <v>1361</v>
      </c>
      <c r="P2361" s="130" t="s">
        <v>1777</v>
      </c>
      <c r="Q2361" s="130" t="s">
        <v>1127</v>
      </c>
      <c r="R2361" s="130" t="s">
        <v>1434</v>
      </c>
      <c r="S2361" s="130" t="s">
        <v>1435</v>
      </c>
      <c r="T2361" s="130" t="s">
        <v>1142</v>
      </c>
      <c r="U2361" s="130">
        <v>0</v>
      </c>
      <c r="V2361" s="131">
        <v>10430</v>
      </c>
      <c r="W2361" s="131">
        <v>10430</v>
      </c>
      <c r="X2361" s="131">
        <v>10430</v>
      </c>
      <c r="Y2361" s="131">
        <v>0</v>
      </c>
      <c r="Z2361" s="131">
        <v>10430</v>
      </c>
      <c r="AA2361" s="131">
        <v>0</v>
      </c>
      <c r="AB2361" s="131">
        <v>9749.7999999999993</v>
      </c>
      <c r="AC2361" s="131">
        <v>680.20000000000073</v>
      </c>
      <c r="AD2361" s="131">
        <v>9749.7999999999993</v>
      </c>
      <c r="AE2361" s="132">
        <v>680.20000000000073</v>
      </c>
    </row>
    <row r="2362" spans="1:31" x14ac:dyDescent="0.2">
      <c r="A2362" s="133">
        <v>453</v>
      </c>
      <c r="B2362" s="133" t="s">
        <v>170</v>
      </c>
      <c r="C2362" s="133" t="s">
        <v>1114</v>
      </c>
      <c r="D2362" s="133" t="s">
        <v>1779</v>
      </c>
      <c r="E2362" s="133" t="s">
        <v>1116</v>
      </c>
      <c r="F2362" s="133" t="s">
        <v>1117</v>
      </c>
      <c r="G2362" s="133" t="s">
        <v>1118</v>
      </c>
      <c r="H2362" s="133" t="s">
        <v>1133</v>
      </c>
      <c r="I2362" s="133" t="s">
        <v>1134</v>
      </c>
      <c r="J2362" s="133" t="s">
        <v>1135</v>
      </c>
      <c r="K2362" s="130" t="s">
        <v>1179</v>
      </c>
      <c r="L2362" s="130" t="s">
        <v>2354</v>
      </c>
      <c r="M2362" s="130" t="s">
        <v>1776</v>
      </c>
      <c r="N2362" s="130" t="s">
        <v>168</v>
      </c>
      <c r="O2362" s="130" t="s">
        <v>1361</v>
      </c>
      <c r="P2362" s="130" t="s">
        <v>1777</v>
      </c>
      <c r="Q2362" s="130" t="s">
        <v>1127</v>
      </c>
      <c r="R2362" s="130" t="s">
        <v>1434</v>
      </c>
      <c r="S2362" s="130" t="s">
        <v>1435</v>
      </c>
      <c r="T2362" s="130" t="s">
        <v>1142</v>
      </c>
      <c r="U2362" s="130">
        <v>0</v>
      </c>
      <c r="V2362" s="131">
        <v>2153</v>
      </c>
      <c r="W2362" s="131">
        <v>2153</v>
      </c>
      <c r="X2362" s="131">
        <v>0</v>
      </c>
      <c r="Y2362" s="131">
        <v>2153</v>
      </c>
      <c r="Z2362" s="131">
        <v>0</v>
      </c>
      <c r="AA2362" s="131">
        <v>2153</v>
      </c>
      <c r="AB2362" s="131">
        <v>0</v>
      </c>
      <c r="AC2362" s="131">
        <v>2153</v>
      </c>
      <c r="AD2362" s="131">
        <v>0</v>
      </c>
      <c r="AE2362" s="132">
        <v>2153</v>
      </c>
    </row>
    <row r="2363" spans="1:31" x14ac:dyDescent="0.2">
      <c r="A2363" s="133">
        <v>453</v>
      </c>
      <c r="B2363" s="133" t="s">
        <v>170</v>
      </c>
      <c r="C2363" s="133" t="s">
        <v>1114</v>
      </c>
      <c r="D2363" s="133" t="s">
        <v>1779</v>
      </c>
      <c r="E2363" s="133" t="s">
        <v>1116</v>
      </c>
      <c r="F2363" s="133" t="s">
        <v>1117</v>
      </c>
      <c r="G2363" s="133" t="s">
        <v>1118</v>
      </c>
      <c r="H2363" s="133" t="s">
        <v>1133</v>
      </c>
      <c r="I2363" s="133" t="s">
        <v>1134</v>
      </c>
      <c r="J2363" s="133" t="s">
        <v>1135</v>
      </c>
      <c r="K2363" s="130" t="s">
        <v>1144</v>
      </c>
      <c r="L2363" s="130" t="s">
        <v>2354</v>
      </c>
      <c r="M2363" s="130" t="s">
        <v>1776</v>
      </c>
      <c r="N2363" s="130" t="s">
        <v>168</v>
      </c>
      <c r="O2363" s="130" t="s">
        <v>1361</v>
      </c>
      <c r="P2363" s="130" t="s">
        <v>1777</v>
      </c>
      <c r="Q2363" s="130" t="s">
        <v>1127</v>
      </c>
      <c r="R2363" s="130" t="s">
        <v>1434</v>
      </c>
      <c r="S2363" s="130" t="s">
        <v>1435</v>
      </c>
      <c r="T2363" s="130" t="s">
        <v>1142</v>
      </c>
      <c r="U2363" s="130">
        <v>0</v>
      </c>
      <c r="V2363" s="131">
        <v>1332</v>
      </c>
      <c r="W2363" s="131">
        <v>1332</v>
      </c>
      <c r="X2363" s="131">
        <v>0</v>
      </c>
      <c r="Y2363" s="131">
        <v>1332</v>
      </c>
      <c r="Z2363" s="131">
        <v>0</v>
      </c>
      <c r="AA2363" s="131">
        <v>1332</v>
      </c>
      <c r="AB2363" s="131">
        <v>0</v>
      </c>
      <c r="AC2363" s="131">
        <v>1332</v>
      </c>
      <c r="AD2363" s="131">
        <v>0</v>
      </c>
      <c r="AE2363" s="132">
        <v>1332</v>
      </c>
    </row>
    <row r="2364" spans="1:31" x14ac:dyDescent="0.2">
      <c r="A2364" s="130">
        <v>454</v>
      </c>
      <c r="B2364" s="130" t="s">
        <v>1016</v>
      </c>
      <c r="C2364" s="130" t="s">
        <v>1147</v>
      </c>
      <c r="D2364" s="130" t="s">
        <v>2017</v>
      </c>
      <c r="E2364" s="130" t="s">
        <v>1116</v>
      </c>
      <c r="F2364" s="130" t="s">
        <v>1117</v>
      </c>
      <c r="G2364" s="130" t="s">
        <v>1118</v>
      </c>
      <c r="H2364" s="130" t="s">
        <v>1133</v>
      </c>
      <c r="I2364" s="130" t="s">
        <v>1134</v>
      </c>
      <c r="J2364" s="130" t="s">
        <v>1166</v>
      </c>
      <c r="K2364" s="130" t="s">
        <v>1167</v>
      </c>
      <c r="L2364" s="130" t="s">
        <v>2355</v>
      </c>
      <c r="M2364" s="130" t="s">
        <v>1925</v>
      </c>
      <c r="N2364" s="130" t="s">
        <v>152</v>
      </c>
      <c r="O2364" s="130" t="s">
        <v>1125</v>
      </c>
      <c r="P2364" s="130" t="s">
        <v>2019</v>
      </c>
      <c r="Q2364" s="130" t="s">
        <v>1127</v>
      </c>
      <c r="R2364" s="130" t="s">
        <v>1128</v>
      </c>
      <c r="S2364" s="130" t="s">
        <v>1129</v>
      </c>
      <c r="T2364" s="130" t="s">
        <v>1158</v>
      </c>
      <c r="U2364" s="130">
        <v>0</v>
      </c>
      <c r="V2364" s="131">
        <v>80738</v>
      </c>
      <c r="W2364" s="131">
        <v>80738</v>
      </c>
      <c r="X2364" s="131">
        <v>0</v>
      </c>
      <c r="Y2364" s="131">
        <v>80738</v>
      </c>
      <c r="Z2364" s="131">
        <v>0</v>
      </c>
      <c r="AA2364" s="131">
        <v>80738</v>
      </c>
      <c r="AB2364" s="131">
        <v>0</v>
      </c>
      <c r="AC2364" s="131">
        <v>80738</v>
      </c>
      <c r="AD2364" s="131">
        <v>0</v>
      </c>
      <c r="AE2364" s="132">
        <v>80738</v>
      </c>
    </row>
    <row r="2365" spans="1:31" x14ac:dyDescent="0.2">
      <c r="A2365" s="130">
        <v>455</v>
      </c>
      <c r="B2365" s="130" t="s">
        <v>1042</v>
      </c>
      <c r="C2365" s="130" t="s">
        <v>1114</v>
      </c>
      <c r="D2365" s="130" t="s">
        <v>1367</v>
      </c>
      <c r="E2365" s="130" t="s">
        <v>1116</v>
      </c>
      <c r="F2365" s="130" t="s">
        <v>1117</v>
      </c>
      <c r="G2365" s="130" t="s">
        <v>1118</v>
      </c>
      <c r="H2365" s="130" t="s">
        <v>1119</v>
      </c>
      <c r="I2365" s="130" t="s">
        <v>1120</v>
      </c>
      <c r="J2365" s="130" t="s">
        <v>1358</v>
      </c>
      <c r="K2365" s="130" t="s">
        <v>1131</v>
      </c>
      <c r="L2365" s="130" t="s">
        <v>2356</v>
      </c>
      <c r="M2365" s="130" t="s">
        <v>1360</v>
      </c>
      <c r="N2365" s="130" t="s">
        <v>168</v>
      </c>
      <c r="O2365" s="130" t="s">
        <v>1361</v>
      </c>
      <c r="P2365" s="130" t="s">
        <v>1366</v>
      </c>
      <c r="Q2365" s="130" t="s">
        <v>1127</v>
      </c>
      <c r="R2365" s="130" t="s">
        <v>1409</v>
      </c>
      <c r="S2365" s="130" t="s">
        <v>1460</v>
      </c>
      <c r="T2365" s="130" t="s">
        <v>1130</v>
      </c>
      <c r="U2365" s="130">
        <v>0</v>
      </c>
      <c r="V2365" s="131">
        <v>800000</v>
      </c>
      <c r="W2365" s="131">
        <v>800000</v>
      </c>
      <c r="X2365" s="131">
        <v>200000</v>
      </c>
      <c r="Y2365" s="131">
        <v>600000</v>
      </c>
      <c r="Z2365" s="131">
        <v>200000</v>
      </c>
      <c r="AA2365" s="131">
        <v>600000</v>
      </c>
      <c r="AB2365" s="131">
        <v>120300.45999999999</v>
      </c>
      <c r="AC2365" s="131">
        <v>679699.54</v>
      </c>
      <c r="AD2365" s="131">
        <v>120300.45999999999</v>
      </c>
      <c r="AE2365" s="132">
        <v>679699.54</v>
      </c>
    </row>
    <row r="2366" spans="1:31" x14ac:dyDescent="0.2">
      <c r="A2366" s="133">
        <v>455</v>
      </c>
      <c r="B2366" s="133" t="s">
        <v>1042</v>
      </c>
      <c r="C2366" s="133" t="s">
        <v>1114</v>
      </c>
      <c r="D2366" s="133" t="s">
        <v>1367</v>
      </c>
      <c r="E2366" s="133" t="s">
        <v>1116</v>
      </c>
      <c r="F2366" s="133" t="s">
        <v>1117</v>
      </c>
      <c r="G2366" s="133" t="s">
        <v>1118</v>
      </c>
      <c r="H2366" s="133" t="s">
        <v>1119</v>
      </c>
      <c r="I2366" s="133" t="s">
        <v>1120</v>
      </c>
      <c r="J2366" s="133" t="s">
        <v>1358</v>
      </c>
      <c r="K2366" s="130" t="s">
        <v>1177</v>
      </c>
      <c r="L2366" s="130" t="s">
        <v>2356</v>
      </c>
      <c r="M2366" s="130" t="s">
        <v>1360</v>
      </c>
      <c r="N2366" s="130" t="s">
        <v>168</v>
      </c>
      <c r="O2366" s="130" t="s">
        <v>1361</v>
      </c>
      <c r="P2366" s="130" t="s">
        <v>1366</v>
      </c>
      <c r="Q2366" s="130" t="s">
        <v>1127</v>
      </c>
      <c r="R2366" s="130" t="s">
        <v>1409</v>
      </c>
      <c r="S2366" s="130" t="s">
        <v>1460</v>
      </c>
      <c r="T2366" s="130" t="s">
        <v>1130</v>
      </c>
      <c r="U2366" s="130">
        <v>0</v>
      </c>
      <c r="V2366" s="131">
        <v>2127392</v>
      </c>
      <c r="W2366" s="131">
        <v>2127392</v>
      </c>
      <c r="X2366" s="131">
        <v>1566859.26</v>
      </c>
      <c r="Y2366" s="131">
        <v>560532.74</v>
      </c>
      <c r="Z2366" s="131">
        <v>456262.32</v>
      </c>
      <c r="AA2366" s="131">
        <v>1671129.68</v>
      </c>
      <c r="AB2366" s="131">
        <v>456262.32</v>
      </c>
      <c r="AC2366" s="131">
        <v>1671129.68</v>
      </c>
      <c r="AD2366" s="131">
        <v>288155.71999999997</v>
      </c>
      <c r="AE2366" s="132">
        <v>1839236.28</v>
      </c>
    </row>
    <row r="2367" spans="1:31" x14ac:dyDescent="0.2">
      <c r="A2367" s="133">
        <v>455</v>
      </c>
      <c r="B2367" s="133" t="s">
        <v>1042</v>
      </c>
      <c r="C2367" s="133" t="s">
        <v>1114</v>
      </c>
      <c r="D2367" s="133" t="s">
        <v>1367</v>
      </c>
      <c r="E2367" s="133" t="s">
        <v>1116</v>
      </c>
      <c r="F2367" s="133" t="s">
        <v>1117</v>
      </c>
      <c r="G2367" s="133" t="s">
        <v>1118</v>
      </c>
      <c r="H2367" s="133" t="s">
        <v>1119</v>
      </c>
      <c r="I2367" s="133" t="s">
        <v>1120</v>
      </c>
      <c r="J2367" s="133" t="s">
        <v>1358</v>
      </c>
      <c r="K2367" s="130" t="s">
        <v>1132</v>
      </c>
      <c r="L2367" s="130" t="s">
        <v>2356</v>
      </c>
      <c r="M2367" s="130" t="s">
        <v>1360</v>
      </c>
      <c r="N2367" s="130" t="s">
        <v>168</v>
      </c>
      <c r="O2367" s="130" t="s">
        <v>1361</v>
      </c>
      <c r="P2367" s="130" t="s">
        <v>1366</v>
      </c>
      <c r="Q2367" s="130" t="s">
        <v>1127</v>
      </c>
      <c r="R2367" s="130" t="s">
        <v>1409</v>
      </c>
      <c r="S2367" s="130" t="s">
        <v>1460</v>
      </c>
      <c r="T2367" s="130" t="s">
        <v>1130</v>
      </c>
      <c r="U2367" s="130">
        <v>0</v>
      </c>
      <c r="V2367" s="131">
        <v>180047</v>
      </c>
      <c r="W2367" s="131">
        <v>180047</v>
      </c>
      <c r="X2367" s="131">
        <v>176106</v>
      </c>
      <c r="Y2367" s="131">
        <v>3941</v>
      </c>
      <c r="Z2367" s="131">
        <v>176106</v>
      </c>
      <c r="AA2367" s="131">
        <v>3941</v>
      </c>
      <c r="AB2367" s="131">
        <v>176106</v>
      </c>
      <c r="AC2367" s="131">
        <v>3941</v>
      </c>
      <c r="AD2367" s="131">
        <v>0</v>
      </c>
      <c r="AE2367" s="132">
        <v>180047</v>
      </c>
    </row>
    <row r="2368" spans="1:31" x14ac:dyDescent="0.2">
      <c r="A2368" s="133">
        <v>455</v>
      </c>
      <c r="B2368" s="133" t="s">
        <v>1042</v>
      </c>
      <c r="C2368" s="133" t="s">
        <v>1114</v>
      </c>
      <c r="D2368" s="133" t="s">
        <v>1367</v>
      </c>
      <c r="E2368" s="133" t="s">
        <v>1116</v>
      </c>
      <c r="F2368" s="133" t="s">
        <v>1117</v>
      </c>
      <c r="G2368" s="133" t="s">
        <v>1118</v>
      </c>
      <c r="H2368" s="130" t="s">
        <v>1149</v>
      </c>
      <c r="I2368" s="130" t="s">
        <v>1182</v>
      </c>
      <c r="J2368" s="130" t="s">
        <v>1377</v>
      </c>
      <c r="K2368" s="130" t="s">
        <v>1378</v>
      </c>
      <c r="L2368" s="130" t="s">
        <v>2356</v>
      </c>
      <c r="M2368" s="130" t="s">
        <v>1360</v>
      </c>
      <c r="N2368" s="130" t="s">
        <v>168</v>
      </c>
      <c r="O2368" s="130" t="s">
        <v>1361</v>
      </c>
      <c r="P2368" s="130" t="s">
        <v>1366</v>
      </c>
      <c r="Q2368" s="130" t="s">
        <v>1127</v>
      </c>
      <c r="R2368" s="130" t="s">
        <v>1409</v>
      </c>
      <c r="S2368" s="130" t="s">
        <v>1460</v>
      </c>
      <c r="T2368" s="130" t="s">
        <v>1130</v>
      </c>
      <c r="U2368" s="130">
        <v>0</v>
      </c>
      <c r="V2368" s="131">
        <v>2300</v>
      </c>
      <c r="W2368" s="131">
        <v>2300</v>
      </c>
      <c r="X2368" s="131">
        <v>0</v>
      </c>
      <c r="Y2368" s="131">
        <v>2300</v>
      </c>
      <c r="Z2368" s="131">
        <v>0</v>
      </c>
      <c r="AA2368" s="131">
        <v>2300</v>
      </c>
      <c r="AB2368" s="131">
        <v>0</v>
      </c>
      <c r="AC2368" s="131">
        <v>2300</v>
      </c>
      <c r="AD2368" s="131">
        <v>0</v>
      </c>
      <c r="AE2368" s="132">
        <v>2300</v>
      </c>
    </row>
    <row r="2369" spans="1:31" x14ac:dyDescent="0.2">
      <c r="A2369" s="133">
        <v>455</v>
      </c>
      <c r="B2369" s="133" t="s">
        <v>1042</v>
      </c>
      <c r="C2369" s="133" t="s">
        <v>1114</v>
      </c>
      <c r="D2369" s="133" t="s">
        <v>1367</v>
      </c>
      <c r="E2369" s="133" t="s">
        <v>1116</v>
      </c>
      <c r="F2369" s="133" t="s">
        <v>1117</v>
      </c>
      <c r="G2369" s="133" t="s">
        <v>1118</v>
      </c>
      <c r="H2369" s="133" t="s">
        <v>1149</v>
      </c>
      <c r="I2369" s="133" t="s">
        <v>1182</v>
      </c>
      <c r="J2369" s="130" t="s">
        <v>1382</v>
      </c>
      <c r="K2369" s="130" t="s">
        <v>1383</v>
      </c>
      <c r="L2369" s="130" t="s">
        <v>2356</v>
      </c>
      <c r="M2369" s="130" t="s">
        <v>1360</v>
      </c>
      <c r="N2369" s="130" t="s">
        <v>168</v>
      </c>
      <c r="O2369" s="130" t="s">
        <v>1361</v>
      </c>
      <c r="P2369" s="130" t="s">
        <v>1366</v>
      </c>
      <c r="Q2369" s="130" t="s">
        <v>1127</v>
      </c>
      <c r="R2369" s="130" t="s">
        <v>1409</v>
      </c>
      <c r="S2369" s="130" t="s">
        <v>1460</v>
      </c>
      <c r="T2369" s="130" t="s">
        <v>1130</v>
      </c>
      <c r="U2369" s="130">
        <v>0</v>
      </c>
      <c r="V2369" s="131">
        <v>0</v>
      </c>
      <c r="W2369" s="131">
        <v>0</v>
      </c>
      <c r="X2369" s="131">
        <v>0</v>
      </c>
      <c r="Y2369" s="131">
        <v>0</v>
      </c>
      <c r="Z2369" s="131">
        <v>0</v>
      </c>
      <c r="AA2369" s="131">
        <v>0</v>
      </c>
      <c r="AB2369" s="131">
        <v>0</v>
      </c>
      <c r="AC2369" s="131">
        <v>0</v>
      </c>
      <c r="AD2369" s="131">
        <v>0</v>
      </c>
      <c r="AE2369" s="132">
        <v>0</v>
      </c>
    </row>
    <row r="2370" spans="1:31" x14ac:dyDescent="0.2">
      <c r="A2370" s="133">
        <v>455</v>
      </c>
      <c r="B2370" s="133" t="s">
        <v>1042</v>
      </c>
      <c r="C2370" s="133" t="s">
        <v>1114</v>
      </c>
      <c r="D2370" s="133" t="s">
        <v>1367</v>
      </c>
      <c r="E2370" s="133" t="s">
        <v>1116</v>
      </c>
      <c r="F2370" s="133" t="s">
        <v>1117</v>
      </c>
      <c r="G2370" s="133" t="s">
        <v>1118</v>
      </c>
      <c r="H2370" s="133" t="s">
        <v>1149</v>
      </c>
      <c r="I2370" s="133" t="s">
        <v>1182</v>
      </c>
      <c r="J2370" s="130" t="s">
        <v>1347</v>
      </c>
      <c r="K2370" s="130" t="s">
        <v>1348</v>
      </c>
      <c r="L2370" s="130" t="s">
        <v>2356</v>
      </c>
      <c r="M2370" s="130" t="s">
        <v>1360</v>
      </c>
      <c r="N2370" s="130" t="s">
        <v>168</v>
      </c>
      <c r="O2370" s="130" t="s">
        <v>1361</v>
      </c>
      <c r="P2370" s="130" t="s">
        <v>1366</v>
      </c>
      <c r="Q2370" s="130" t="s">
        <v>1127</v>
      </c>
      <c r="R2370" s="130" t="s">
        <v>1409</v>
      </c>
      <c r="S2370" s="130" t="s">
        <v>1460</v>
      </c>
      <c r="T2370" s="130" t="s">
        <v>1130</v>
      </c>
      <c r="U2370" s="130">
        <v>0</v>
      </c>
      <c r="V2370" s="131">
        <v>2700</v>
      </c>
      <c r="W2370" s="131">
        <v>2700</v>
      </c>
      <c r="X2370" s="131">
        <v>2120</v>
      </c>
      <c r="Y2370" s="131">
        <v>580</v>
      </c>
      <c r="Z2370" s="131">
        <v>1420</v>
      </c>
      <c r="AA2370" s="131">
        <v>1280</v>
      </c>
      <c r="AB2370" s="131">
        <v>1420</v>
      </c>
      <c r="AC2370" s="131">
        <v>1280</v>
      </c>
      <c r="AD2370" s="131">
        <v>0</v>
      </c>
      <c r="AE2370" s="132">
        <v>2700</v>
      </c>
    </row>
    <row r="2371" spans="1:31" x14ac:dyDescent="0.2">
      <c r="A2371" s="133">
        <v>455</v>
      </c>
      <c r="B2371" s="133" t="s">
        <v>1042</v>
      </c>
      <c r="C2371" s="133" t="s">
        <v>1114</v>
      </c>
      <c r="D2371" s="133" t="s">
        <v>1367</v>
      </c>
      <c r="E2371" s="133" t="s">
        <v>1116</v>
      </c>
      <c r="F2371" s="133" t="s">
        <v>1117</v>
      </c>
      <c r="G2371" s="133" t="s">
        <v>1118</v>
      </c>
      <c r="H2371" s="130" t="s">
        <v>1133</v>
      </c>
      <c r="I2371" s="130" t="s">
        <v>1134</v>
      </c>
      <c r="J2371" s="130" t="s">
        <v>1135</v>
      </c>
      <c r="K2371" s="130" t="s">
        <v>1178</v>
      </c>
      <c r="L2371" s="130" t="s">
        <v>2356</v>
      </c>
      <c r="M2371" s="130" t="s">
        <v>1360</v>
      </c>
      <c r="N2371" s="130" t="s">
        <v>168</v>
      </c>
      <c r="O2371" s="130" t="s">
        <v>1361</v>
      </c>
      <c r="P2371" s="130" t="s">
        <v>1366</v>
      </c>
      <c r="Q2371" s="130" t="s">
        <v>1127</v>
      </c>
      <c r="R2371" s="130" t="s">
        <v>1409</v>
      </c>
      <c r="S2371" s="130" t="s">
        <v>1460</v>
      </c>
      <c r="T2371" s="130" t="s">
        <v>1130</v>
      </c>
      <c r="U2371" s="130">
        <v>0</v>
      </c>
      <c r="V2371" s="131">
        <v>105900</v>
      </c>
      <c r="W2371" s="131">
        <v>105900</v>
      </c>
      <c r="X2371" s="131">
        <v>56000</v>
      </c>
      <c r="Y2371" s="131">
        <v>49900</v>
      </c>
      <c r="Z2371" s="131">
        <v>56000</v>
      </c>
      <c r="AA2371" s="131">
        <v>49900</v>
      </c>
      <c r="AB2371" s="131">
        <v>21029.27</v>
      </c>
      <c r="AC2371" s="131">
        <v>84870.73</v>
      </c>
      <c r="AD2371" s="131">
        <v>21029.27</v>
      </c>
      <c r="AE2371" s="132">
        <v>84870.73</v>
      </c>
    </row>
    <row r="2372" spans="1:31" x14ac:dyDescent="0.2">
      <c r="A2372" s="133">
        <v>455</v>
      </c>
      <c r="B2372" s="133" t="s">
        <v>1042</v>
      </c>
      <c r="C2372" s="133" t="s">
        <v>1114</v>
      </c>
      <c r="D2372" s="133" t="s">
        <v>1367</v>
      </c>
      <c r="E2372" s="133" t="s">
        <v>1116</v>
      </c>
      <c r="F2372" s="133" t="s">
        <v>1117</v>
      </c>
      <c r="G2372" s="133" t="s">
        <v>1118</v>
      </c>
      <c r="H2372" s="133" t="s">
        <v>1133</v>
      </c>
      <c r="I2372" s="133" t="s">
        <v>1134</v>
      </c>
      <c r="J2372" s="133" t="s">
        <v>1135</v>
      </c>
      <c r="K2372" s="130" t="s">
        <v>1179</v>
      </c>
      <c r="L2372" s="130" t="s">
        <v>2356</v>
      </c>
      <c r="M2372" s="130" t="s">
        <v>1360</v>
      </c>
      <c r="N2372" s="130" t="s">
        <v>168</v>
      </c>
      <c r="O2372" s="130" t="s">
        <v>1361</v>
      </c>
      <c r="P2372" s="130" t="s">
        <v>1366</v>
      </c>
      <c r="Q2372" s="130" t="s">
        <v>1127</v>
      </c>
      <c r="R2372" s="130" t="s">
        <v>1409</v>
      </c>
      <c r="S2372" s="130" t="s">
        <v>1460</v>
      </c>
      <c r="T2372" s="130" t="s">
        <v>1130</v>
      </c>
      <c r="U2372" s="130">
        <v>0</v>
      </c>
      <c r="V2372" s="131">
        <v>20168</v>
      </c>
      <c r="W2372" s="131">
        <v>20168</v>
      </c>
      <c r="X2372" s="131">
        <v>19454.3</v>
      </c>
      <c r="Y2372" s="131">
        <v>713.70000000000073</v>
      </c>
      <c r="Z2372" s="131">
        <v>19454.3</v>
      </c>
      <c r="AA2372" s="131">
        <v>713.70000000000073</v>
      </c>
      <c r="AB2372" s="131">
        <v>19454.3</v>
      </c>
      <c r="AC2372" s="131">
        <v>713.70000000000073</v>
      </c>
      <c r="AD2372" s="131">
        <v>0</v>
      </c>
      <c r="AE2372" s="132">
        <v>20168</v>
      </c>
    </row>
    <row r="2373" spans="1:31" x14ac:dyDescent="0.2">
      <c r="A2373" s="133">
        <v>455</v>
      </c>
      <c r="B2373" s="133" t="s">
        <v>1042</v>
      </c>
      <c r="C2373" s="133" t="s">
        <v>1114</v>
      </c>
      <c r="D2373" s="133" t="s">
        <v>1367</v>
      </c>
      <c r="E2373" s="133" t="s">
        <v>1116</v>
      </c>
      <c r="F2373" s="133" t="s">
        <v>1117</v>
      </c>
      <c r="G2373" s="133" t="s">
        <v>1118</v>
      </c>
      <c r="H2373" s="133" t="s">
        <v>1133</v>
      </c>
      <c r="I2373" s="133" t="s">
        <v>1134</v>
      </c>
      <c r="J2373" s="133" t="s">
        <v>1135</v>
      </c>
      <c r="K2373" s="130" t="s">
        <v>1144</v>
      </c>
      <c r="L2373" s="130" t="s">
        <v>2356</v>
      </c>
      <c r="M2373" s="130" t="s">
        <v>1360</v>
      </c>
      <c r="N2373" s="130" t="s">
        <v>168</v>
      </c>
      <c r="O2373" s="130" t="s">
        <v>1361</v>
      </c>
      <c r="P2373" s="130" t="s">
        <v>1366</v>
      </c>
      <c r="Q2373" s="130" t="s">
        <v>1127</v>
      </c>
      <c r="R2373" s="130" t="s">
        <v>1409</v>
      </c>
      <c r="S2373" s="130" t="s">
        <v>1460</v>
      </c>
      <c r="T2373" s="130" t="s">
        <v>1130</v>
      </c>
      <c r="U2373" s="130">
        <v>0</v>
      </c>
      <c r="V2373" s="131">
        <v>27252</v>
      </c>
      <c r="W2373" s="131">
        <v>27252</v>
      </c>
      <c r="X2373" s="131">
        <v>24700</v>
      </c>
      <c r="Y2373" s="131">
        <v>2552</v>
      </c>
      <c r="Z2373" s="131">
        <v>24700</v>
      </c>
      <c r="AA2373" s="131">
        <v>2552</v>
      </c>
      <c r="AB2373" s="131">
        <v>24700</v>
      </c>
      <c r="AC2373" s="131">
        <v>2552</v>
      </c>
      <c r="AD2373" s="131">
        <v>0</v>
      </c>
      <c r="AE2373" s="132">
        <v>27252</v>
      </c>
    </row>
    <row r="2374" spans="1:31" x14ac:dyDescent="0.2">
      <c r="A2374" s="130">
        <v>456</v>
      </c>
      <c r="B2374" s="130" t="s">
        <v>2424</v>
      </c>
      <c r="C2374" s="130" t="s">
        <v>1114</v>
      </c>
      <c r="D2374" s="130" t="s">
        <v>2425</v>
      </c>
      <c r="E2374" s="130" t="s">
        <v>1116</v>
      </c>
      <c r="F2374" s="130" t="s">
        <v>1117</v>
      </c>
      <c r="G2374" s="130" t="s">
        <v>1118</v>
      </c>
      <c r="H2374" s="130" t="s">
        <v>1119</v>
      </c>
      <c r="I2374" s="130" t="s">
        <v>1169</v>
      </c>
      <c r="J2374" s="130" t="s">
        <v>1170</v>
      </c>
      <c r="K2374" s="130" t="s">
        <v>1177</v>
      </c>
      <c r="L2374" s="130" t="s">
        <v>2426</v>
      </c>
      <c r="M2374" s="130" t="s">
        <v>1925</v>
      </c>
      <c r="N2374" s="130" t="s">
        <v>1568</v>
      </c>
      <c r="O2374" s="130" t="s">
        <v>1569</v>
      </c>
      <c r="P2374" s="130" t="s">
        <v>1570</v>
      </c>
      <c r="Q2374" s="130" t="s">
        <v>1127</v>
      </c>
      <c r="R2374" s="130" t="s">
        <v>1191</v>
      </c>
      <c r="S2374" s="130" t="s">
        <v>1191</v>
      </c>
      <c r="T2374" s="130" t="s">
        <v>1142</v>
      </c>
      <c r="U2374" s="130">
        <v>0</v>
      </c>
      <c r="V2374" s="131">
        <v>50740</v>
      </c>
      <c r="W2374" s="131">
        <v>50740</v>
      </c>
      <c r="X2374" s="131">
        <v>0</v>
      </c>
      <c r="Y2374" s="131">
        <v>50740</v>
      </c>
      <c r="Z2374" s="131">
        <v>0</v>
      </c>
      <c r="AA2374" s="131">
        <v>50740</v>
      </c>
      <c r="AB2374" s="131">
        <v>0</v>
      </c>
      <c r="AC2374" s="131">
        <v>50740</v>
      </c>
      <c r="AD2374" s="131">
        <v>0</v>
      </c>
      <c r="AE2374" s="132">
        <v>50740</v>
      </c>
    </row>
    <row r="2375" spans="1:31" x14ac:dyDescent="0.2">
      <c r="A2375" s="133">
        <v>456</v>
      </c>
      <c r="B2375" s="133" t="s">
        <v>2424</v>
      </c>
      <c r="C2375" s="133" t="s">
        <v>1114</v>
      </c>
      <c r="D2375" s="133" t="s">
        <v>2425</v>
      </c>
      <c r="E2375" s="133" t="s">
        <v>1116</v>
      </c>
      <c r="F2375" s="133" t="s">
        <v>1117</v>
      </c>
      <c r="G2375" s="133" t="s">
        <v>1118</v>
      </c>
      <c r="H2375" s="133" t="s">
        <v>1119</v>
      </c>
      <c r="I2375" s="133" t="s">
        <v>1169</v>
      </c>
      <c r="J2375" s="133" t="s">
        <v>1170</v>
      </c>
      <c r="K2375" s="130" t="s">
        <v>1132</v>
      </c>
      <c r="L2375" s="130" t="s">
        <v>2426</v>
      </c>
      <c r="M2375" s="130" t="s">
        <v>1925</v>
      </c>
      <c r="N2375" s="130" t="s">
        <v>1568</v>
      </c>
      <c r="O2375" s="130" t="s">
        <v>1569</v>
      </c>
      <c r="P2375" s="130" t="s">
        <v>1570</v>
      </c>
      <c r="Q2375" s="130" t="s">
        <v>1127</v>
      </c>
      <c r="R2375" s="130" t="s">
        <v>1191</v>
      </c>
      <c r="S2375" s="130" t="s">
        <v>1191</v>
      </c>
      <c r="T2375" s="130" t="s">
        <v>1142</v>
      </c>
      <c r="U2375" s="130">
        <v>0</v>
      </c>
      <c r="V2375" s="131">
        <v>16799</v>
      </c>
      <c r="W2375" s="131">
        <v>16799</v>
      </c>
      <c r="X2375" s="131">
        <v>0</v>
      </c>
      <c r="Y2375" s="131">
        <v>16799</v>
      </c>
      <c r="Z2375" s="131">
        <v>0</v>
      </c>
      <c r="AA2375" s="131">
        <v>16799</v>
      </c>
      <c r="AB2375" s="131">
        <v>0</v>
      </c>
      <c r="AC2375" s="131">
        <v>16799</v>
      </c>
      <c r="AD2375" s="131">
        <v>0</v>
      </c>
      <c r="AE2375" s="132">
        <v>16799</v>
      </c>
    </row>
    <row r="2376" spans="1:31" x14ac:dyDescent="0.2">
      <c r="A2376" s="130">
        <v>457</v>
      </c>
      <c r="B2376" s="130" t="s">
        <v>2415</v>
      </c>
      <c r="C2376" s="130" t="s">
        <v>1114</v>
      </c>
      <c r="D2376" s="130" t="s">
        <v>1584</v>
      </c>
      <c r="E2376" s="130" t="s">
        <v>1116</v>
      </c>
      <c r="F2376" s="130" t="s">
        <v>1117</v>
      </c>
      <c r="G2376" s="130" t="s">
        <v>1118</v>
      </c>
      <c r="H2376" s="130" t="s">
        <v>1119</v>
      </c>
      <c r="I2376" s="130" t="s">
        <v>1169</v>
      </c>
      <c r="J2376" s="130" t="s">
        <v>1195</v>
      </c>
      <c r="K2376" s="130" t="s">
        <v>1592</v>
      </c>
      <c r="L2376" s="130" t="s">
        <v>2427</v>
      </c>
      <c r="M2376" s="130" t="s">
        <v>1587</v>
      </c>
      <c r="N2376" s="130" t="s">
        <v>1588</v>
      </c>
      <c r="O2376" s="130" t="s">
        <v>1589</v>
      </c>
      <c r="P2376" s="130" t="s">
        <v>1604</v>
      </c>
      <c r="Q2376" s="130" t="s">
        <v>1127</v>
      </c>
      <c r="R2376" s="130" t="s">
        <v>1175</v>
      </c>
      <c r="S2376" s="130" t="s">
        <v>2318</v>
      </c>
      <c r="T2376" s="130" t="s">
        <v>1142</v>
      </c>
      <c r="U2376" s="130">
        <v>0</v>
      </c>
      <c r="V2376" s="131">
        <v>9358</v>
      </c>
      <c r="W2376" s="131">
        <v>9358</v>
      </c>
      <c r="X2376" s="131">
        <v>0</v>
      </c>
      <c r="Y2376" s="131">
        <v>9358</v>
      </c>
      <c r="Z2376" s="131">
        <v>0</v>
      </c>
      <c r="AA2376" s="131">
        <v>9358</v>
      </c>
      <c r="AB2376" s="131">
        <v>0</v>
      </c>
      <c r="AC2376" s="131">
        <v>9358</v>
      </c>
      <c r="AD2376" s="131">
        <v>0</v>
      </c>
      <c r="AE2376" s="132">
        <v>9358</v>
      </c>
    </row>
    <row r="2377" spans="1:31" x14ac:dyDescent="0.2">
      <c r="A2377" s="133">
        <v>457</v>
      </c>
      <c r="B2377" s="133" t="s">
        <v>2415</v>
      </c>
      <c r="C2377" s="133" t="s">
        <v>1114</v>
      </c>
      <c r="D2377" s="133" t="s">
        <v>1584</v>
      </c>
      <c r="E2377" s="133" t="s">
        <v>1116</v>
      </c>
      <c r="F2377" s="133" t="s">
        <v>1117</v>
      </c>
      <c r="G2377" s="133" t="s">
        <v>1118</v>
      </c>
      <c r="H2377" s="133" t="s">
        <v>1119</v>
      </c>
      <c r="I2377" s="133" t="s">
        <v>1169</v>
      </c>
      <c r="J2377" s="133" t="s">
        <v>1195</v>
      </c>
      <c r="K2377" s="130" t="s">
        <v>1593</v>
      </c>
      <c r="L2377" s="130" t="s">
        <v>2427</v>
      </c>
      <c r="M2377" s="130" t="s">
        <v>1587</v>
      </c>
      <c r="N2377" s="130" t="s">
        <v>1588</v>
      </c>
      <c r="O2377" s="130" t="s">
        <v>1589</v>
      </c>
      <c r="P2377" s="130" t="s">
        <v>1604</v>
      </c>
      <c r="Q2377" s="130" t="s">
        <v>1127</v>
      </c>
      <c r="R2377" s="130" t="s">
        <v>1175</v>
      </c>
      <c r="S2377" s="130" t="s">
        <v>2318</v>
      </c>
      <c r="T2377" s="130" t="s">
        <v>1142</v>
      </c>
      <c r="U2377" s="130">
        <v>0</v>
      </c>
      <c r="V2377" s="131">
        <v>19394</v>
      </c>
      <c r="W2377" s="131">
        <v>19394</v>
      </c>
      <c r="X2377" s="131">
        <v>0</v>
      </c>
      <c r="Y2377" s="131">
        <v>19394</v>
      </c>
      <c r="Z2377" s="131">
        <v>0</v>
      </c>
      <c r="AA2377" s="131">
        <v>19394</v>
      </c>
      <c r="AB2377" s="131">
        <v>0</v>
      </c>
      <c r="AC2377" s="131">
        <v>19394</v>
      </c>
      <c r="AD2377" s="131">
        <v>0</v>
      </c>
      <c r="AE2377" s="132">
        <v>19394</v>
      </c>
    </row>
    <row r="2378" spans="1:31" x14ac:dyDescent="0.2">
      <c r="A2378" s="130">
        <v>459</v>
      </c>
      <c r="B2378" s="130" t="s">
        <v>1039</v>
      </c>
      <c r="C2378" s="130" t="s">
        <v>1114</v>
      </c>
      <c r="D2378" s="130" t="s">
        <v>1367</v>
      </c>
      <c r="E2378" s="130" t="s">
        <v>1116</v>
      </c>
      <c r="F2378" s="130" t="s">
        <v>1117</v>
      </c>
      <c r="G2378" s="130" t="s">
        <v>1118</v>
      </c>
      <c r="H2378" s="130" t="s">
        <v>1133</v>
      </c>
      <c r="I2378" s="130" t="s">
        <v>1134</v>
      </c>
      <c r="J2378" s="130" t="s">
        <v>1166</v>
      </c>
      <c r="K2378" s="130" t="s">
        <v>1167</v>
      </c>
      <c r="L2378" s="130" t="s">
        <v>2357</v>
      </c>
      <c r="M2378" s="130" t="s">
        <v>1360</v>
      </c>
      <c r="N2378" s="130" t="s">
        <v>168</v>
      </c>
      <c r="O2378" s="130" t="s">
        <v>1361</v>
      </c>
      <c r="P2378" s="130" t="s">
        <v>1366</v>
      </c>
      <c r="Q2378" s="130" t="s">
        <v>1127</v>
      </c>
      <c r="R2378" s="130" t="s">
        <v>1191</v>
      </c>
      <c r="S2378" s="130" t="s">
        <v>1827</v>
      </c>
      <c r="T2378" s="130" t="s">
        <v>1158</v>
      </c>
      <c r="U2378" s="130">
        <v>0</v>
      </c>
      <c r="V2378" s="131">
        <v>521845</v>
      </c>
      <c r="W2378" s="131">
        <v>521845</v>
      </c>
      <c r="X2378" s="131">
        <v>0</v>
      </c>
      <c r="Y2378" s="131">
        <v>521845</v>
      </c>
      <c r="Z2378" s="131">
        <v>0</v>
      </c>
      <c r="AA2378" s="131">
        <v>521845</v>
      </c>
      <c r="AB2378" s="131">
        <v>0</v>
      </c>
      <c r="AC2378" s="131">
        <v>521845</v>
      </c>
      <c r="AD2378" s="131">
        <v>0</v>
      </c>
      <c r="AE2378" s="132">
        <v>521845</v>
      </c>
    </row>
    <row r="2379" spans="1:31" x14ac:dyDescent="0.2">
      <c r="A2379" s="130">
        <v>460</v>
      </c>
      <c r="B2379" s="130" t="s">
        <v>1043</v>
      </c>
      <c r="C2379" s="130" t="s">
        <v>1114</v>
      </c>
      <c r="D2379" s="130" t="s">
        <v>1357</v>
      </c>
      <c r="E2379" s="130" t="s">
        <v>1116</v>
      </c>
      <c r="F2379" s="130" t="s">
        <v>1117</v>
      </c>
      <c r="G2379" s="130" t="s">
        <v>1118</v>
      </c>
      <c r="H2379" s="130" t="s">
        <v>1119</v>
      </c>
      <c r="I2379" s="130" t="s">
        <v>1120</v>
      </c>
      <c r="J2379" s="130" t="s">
        <v>1358</v>
      </c>
      <c r="K2379" s="130" t="s">
        <v>1131</v>
      </c>
      <c r="L2379" s="130" t="s">
        <v>2358</v>
      </c>
      <c r="M2379" s="130" t="s">
        <v>1360</v>
      </c>
      <c r="N2379" s="130" t="s">
        <v>168</v>
      </c>
      <c r="O2379" s="130" t="s">
        <v>1361</v>
      </c>
      <c r="P2379" s="130" t="s">
        <v>1362</v>
      </c>
      <c r="Q2379" s="130" t="s">
        <v>1127</v>
      </c>
      <c r="R2379" s="130" t="s">
        <v>1380</v>
      </c>
      <c r="S2379" s="130" t="s">
        <v>1481</v>
      </c>
      <c r="T2379" s="130" t="s">
        <v>1130</v>
      </c>
      <c r="U2379" s="130">
        <v>0</v>
      </c>
      <c r="V2379" s="131">
        <v>1099314</v>
      </c>
      <c r="W2379" s="131">
        <v>1099314</v>
      </c>
      <c r="X2379" s="131">
        <v>350000</v>
      </c>
      <c r="Y2379" s="131">
        <v>749314</v>
      </c>
      <c r="Z2379" s="131">
        <v>350000</v>
      </c>
      <c r="AA2379" s="131">
        <v>749314</v>
      </c>
      <c r="AB2379" s="131">
        <v>95683.12</v>
      </c>
      <c r="AC2379" s="131">
        <v>1003630.88</v>
      </c>
      <c r="AD2379" s="131">
        <v>95683.12</v>
      </c>
      <c r="AE2379" s="132">
        <v>1003630.88</v>
      </c>
    </row>
    <row r="2380" spans="1:31" x14ac:dyDescent="0.2">
      <c r="A2380" s="133">
        <v>460</v>
      </c>
      <c r="B2380" s="133" t="s">
        <v>1043</v>
      </c>
      <c r="C2380" s="133" t="s">
        <v>1114</v>
      </c>
      <c r="D2380" s="133" t="s">
        <v>1357</v>
      </c>
      <c r="E2380" s="133" t="s">
        <v>1116</v>
      </c>
      <c r="F2380" s="133" t="s">
        <v>1117</v>
      </c>
      <c r="G2380" s="133" t="s">
        <v>1118</v>
      </c>
      <c r="H2380" s="133" t="s">
        <v>1119</v>
      </c>
      <c r="I2380" s="133" t="s">
        <v>1120</v>
      </c>
      <c r="J2380" s="133" t="s">
        <v>1358</v>
      </c>
      <c r="K2380" s="130" t="s">
        <v>1177</v>
      </c>
      <c r="L2380" s="130" t="s">
        <v>2358</v>
      </c>
      <c r="M2380" s="130" t="s">
        <v>1360</v>
      </c>
      <c r="N2380" s="130" t="s">
        <v>168</v>
      </c>
      <c r="O2380" s="130" t="s">
        <v>1361</v>
      </c>
      <c r="P2380" s="130" t="s">
        <v>1362</v>
      </c>
      <c r="Q2380" s="130" t="s">
        <v>1127</v>
      </c>
      <c r="R2380" s="130" t="s">
        <v>1380</v>
      </c>
      <c r="S2380" s="130" t="s">
        <v>1481</v>
      </c>
      <c r="T2380" s="130" t="s">
        <v>1130</v>
      </c>
      <c r="U2380" s="130">
        <v>0</v>
      </c>
      <c r="V2380" s="131">
        <v>2086881</v>
      </c>
      <c r="W2380" s="131">
        <v>2086881</v>
      </c>
      <c r="X2380" s="131">
        <v>919405.25</v>
      </c>
      <c r="Y2380" s="131">
        <v>1167475.75</v>
      </c>
      <c r="Z2380" s="131">
        <v>373090.92</v>
      </c>
      <c r="AA2380" s="131">
        <v>1713790.08</v>
      </c>
      <c r="AB2380" s="131">
        <v>373090.92</v>
      </c>
      <c r="AC2380" s="131">
        <v>1713790.08</v>
      </c>
      <c r="AD2380" s="131">
        <v>373090.92</v>
      </c>
      <c r="AE2380" s="132">
        <v>1713790.08</v>
      </c>
    </row>
    <row r="2381" spans="1:31" x14ac:dyDescent="0.2">
      <c r="A2381" s="133">
        <v>460</v>
      </c>
      <c r="B2381" s="133" t="s">
        <v>1043</v>
      </c>
      <c r="C2381" s="133" t="s">
        <v>1114</v>
      </c>
      <c r="D2381" s="133" t="s">
        <v>1357</v>
      </c>
      <c r="E2381" s="133" t="s">
        <v>1116</v>
      </c>
      <c r="F2381" s="133" t="s">
        <v>1117</v>
      </c>
      <c r="G2381" s="133" t="s">
        <v>1118</v>
      </c>
      <c r="H2381" s="133" t="s">
        <v>1119</v>
      </c>
      <c r="I2381" s="133" t="s">
        <v>1120</v>
      </c>
      <c r="J2381" s="133" t="s">
        <v>1358</v>
      </c>
      <c r="K2381" s="130" t="s">
        <v>1132</v>
      </c>
      <c r="L2381" s="130" t="s">
        <v>2358</v>
      </c>
      <c r="M2381" s="130" t="s">
        <v>1360</v>
      </c>
      <c r="N2381" s="130" t="s">
        <v>168</v>
      </c>
      <c r="O2381" s="130" t="s">
        <v>1361</v>
      </c>
      <c r="P2381" s="130" t="s">
        <v>1362</v>
      </c>
      <c r="Q2381" s="130" t="s">
        <v>1127</v>
      </c>
      <c r="R2381" s="130" t="s">
        <v>1380</v>
      </c>
      <c r="S2381" s="130" t="s">
        <v>1481</v>
      </c>
      <c r="T2381" s="130" t="s">
        <v>1130</v>
      </c>
      <c r="U2381" s="130">
        <v>0</v>
      </c>
      <c r="V2381" s="131">
        <v>175076</v>
      </c>
      <c r="W2381" s="131">
        <v>175076</v>
      </c>
      <c r="X2381" s="131">
        <v>126328.4</v>
      </c>
      <c r="Y2381" s="131">
        <v>48747.600000000006</v>
      </c>
      <c r="Z2381" s="131">
        <v>126328.4</v>
      </c>
      <c r="AA2381" s="131">
        <v>48747.600000000006</v>
      </c>
      <c r="AB2381" s="131">
        <v>126328.4</v>
      </c>
      <c r="AC2381" s="131">
        <v>48747.600000000006</v>
      </c>
      <c r="AD2381" s="131">
        <v>13026.4</v>
      </c>
      <c r="AE2381" s="132">
        <v>162049.60000000001</v>
      </c>
    </row>
    <row r="2382" spans="1:31" x14ac:dyDescent="0.2">
      <c r="A2382" s="133">
        <v>460</v>
      </c>
      <c r="B2382" s="133" t="s">
        <v>1043</v>
      </c>
      <c r="C2382" s="133" t="s">
        <v>1114</v>
      </c>
      <c r="D2382" s="133" t="s">
        <v>1357</v>
      </c>
      <c r="E2382" s="133" t="s">
        <v>1116</v>
      </c>
      <c r="F2382" s="133" t="s">
        <v>1117</v>
      </c>
      <c r="G2382" s="133" t="s">
        <v>1118</v>
      </c>
      <c r="H2382" s="130" t="s">
        <v>1149</v>
      </c>
      <c r="I2382" s="130" t="s">
        <v>1182</v>
      </c>
      <c r="J2382" s="130" t="s">
        <v>1377</v>
      </c>
      <c r="K2382" s="130" t="s">
        <v>1378</v>
      </c>
      <c r="L2382" s="130" t="s">
        <v>2358</v>
      </c>
      <c r="M2382" s="130" t="s">
        <v>1360</v>
      </c>
      <c r="N2382" s="130" t="s">
        <v>168</v>
      </c>
      <c r="O2382" s="130" t="s">
        <v>1361</v>
      </c>
      <c r="P2382" s="130" t="s">
        <v>1362</v>
      </c>
      <c r="Q2382" s="130" t="s">
        <v>1127</v>
      </c>
      <c r="R2382" s="130" t="s">
        <v>1380</v>
      </c>
      <c r="S2382" s="130" t="s">
        <v>1481</v>
      </c>
      <c r="T2382" s="130" t="s">
        <v>1130</v>
      </c>
      <c r="U2382" s="130">
        <v>0</v>
      </c>
      <c r="V2382" s="131">
        <v>9220</v>
      </c>
      <c r="W2382" s="131">
        <v>9220</v>
      </c>
      <c r="X2382" s="131">
        <v>0</v>
      </c>
      <c r="Y2382" s="131">
        <v>9220</v>
      </c>
      <c r="Z2382" s="131">
        <v>0</v>
      </c>
      <c r="AA2382" s="131">
        <v>9220</v>
      </c>
      <c r="AB2382" s="131">
        <v>0</v>
      </c>
      <c r="AC2382" s="131">
        <v>9220</v>
      </c>
      <c r="AD2382" s="131">
        <v>0</v>
      </c>
      <c r="AE2382" s="132">
        <v>9220</v>
      </c>
    </row>
    <row r="2383" spans="1:31" x14ac:dyDescent="0.2">
      <c r="A2383" s="133">
        <v>460</v>
      </c>
      <c r="B2383" s="133" t="s">
        <v>1043</v>
      </c>
      <c r="C2383" s="133" t="s">
        <v>1114</v>
      </c>
      <c r="D2383" s="133" t="s">
        <v>1357</v>
      </c>
      <c r="E2383" s="133" t="s">
        <v>1116</v>
      </c>
      <c r="F2383" s="133" t="s">
        <v>1117</v>
      </c>
      <c r="G2383" s="133" t="s">
        <v>1118</v>
      </c>
      <c r="H2383" s="133" t="s">
        <v>1149</v>
      </c>
      <c r="I2383" s="133" t="s">
        <v>1182</v>
      </c>
      <c r="J2383" s="130" t="s">
        <v>1382</v>
      </c>
      <c r="K2383" s="130" t="s">
        <v>1383</v>
      </c>
      <c r="L2383" s="130" t="s">
        <v>2358</v>
      </c>
      <c r="M2383" s="130" t="s">
        <v>1360</v>
      </c>
      <c r="N2383" s="130" t="s">
        <v>168</v>
      </c>
      <c r="O2383" s="130" t="s">
        <v>1361</v>
      </c>
      <c r="P2383" s="130" t="s">
        <v>1362</v>
      </c>
      <c r="Q2383" s="130" t="s">
        <v>1127</v>
      </c>
      <c r="R2383" s="130" t="s">
        <v>1380</v>
      </c>
      <c r="S2383" s="130" t="s">
        <v>1481</v>
      </c>
      <c r="T2383" s="130" t="s">
        <v>1130</v>
      </c>
      <c r="U2383" s="130">
        <v>0</v>
      </c>
      <c r="V2383" s="131">
        <v>100813</v>
      </c>
      <c r="W2383" s="131">
        <v>100813</v>
      </c>
      <c r="X2383" s="131">
        <v>0</v>
      </c>
      <c r="Y2383" s="131">
        <v>100813</v>
      </c>
      <c r="Z2383" s="131">
        <v>0</v>
      </c>
      <c r="AA2383" s="131">
        <v>100813</v>
      </c>
      <c r="AB2383" s="131">
        <v>0</v>
      </c>
      <c r="AC2383" s="131">
        <v>100813</v>
      </c>
      <c r="AD2383" s="131">
        <v>0</v>
      </c>
      <c r="AE2383" s="132">
        <v>100813</v>
      </c>
    </row>
    <row r="2384" spans="1:31" x14ac:dyDescent="0.2">
      <c r="A2384" s="133">
        <v>460</v>
      </c>
      <c r="B2384" s="133" t="s">
        <v>1043</v>
      </c>
      <c r="C2384" s="133" t="s">
        <v>1114</v>
      </c>
      <c r="D2384" s="133" t="s">
        <v>1357</v>
      </c>
      <c r="E2384" s="133" t="s">
        <v>1116</v>
      </c>
      <c r="F2384" s="133" t="s">
        <v>1117</v>
      </c>
      <c r="G2384" s="133" t="s">
        <v>1118</v>
      </c>
      <c r="H2384" s="133" t="s">
        <v>1149</v>
      </c>
      <c r="I2384" s="133" t="s">
        <v>1182</v>
      </c>
      <c r="J2384" s="133" t="s">
        <v>1382</v>
      </c>
      <c r="K2384" s="130" t="s">
        <v>1378</v>
      </c>
      <c r="L2384" s="130" t="s">
        <v>2358</v>
      </c>
      <c r="M2384" s="130" t="s">
        <v>1360</v>
      </c>
      <c r="N2384" s="130" t="s">
        <v>168</v>
      </c>
      <c r="O2384" s="130" t="s">
        <v>1361</v>
      </c>
      <c r="P2384" s="130" t="s">
        <v>1362</v>
      </c>
      <c r="Q2384" s="130" t="s">
        <v>1127</v>
      </c>
      <c r="R2384" s="130" t="s">
        <v>1380</v>
      </c>
      <c r="S2384" s="130" t="s">
        <v>1481</v>
      </c>
      <c r="T2384" s="130" t="s">
        <v>1130</v>
      </c>
      <c r="U2384" s="130">
        <v>0</v>
      </c>
      <c r="V2384" s="131">
        <v>43952</v>
      </c>
      <c r="W2384" s="131">
        <v>43952</v>
      </c>
      <c r="X2384" s="131">
        <v>0</v>
      </c>
      <c r="Y2384" s="131">
        <v>43952</v>
      </c>
      <c r="Z2384" s="131">
        <v>0</v>
      </c>
      <c r="AA2384" s="131">
        <v>43952</v>
      </c>
      <c r="AB2384" s="131">
        <v>0</v>
      </c>
      <c r="AC2384" s="131">
        <v>43952</v>
      </c>
      <c r="AD2384" s="131">
        <v>0</v>
      </c>
      <c r="AE2384" s="132">
        <v>43952</v>
      </c>
    </row>
    <row r="2385" spans="1:31" x14ac:dyDescent="0.2">
      <c r="A2385" s="133">
        <v>460</v>
      </c>
      <c r="B2385" s="133" t="s">
        <v>1043</v>
      </c>
      <c r="C2385" s="133" t="s">
        <v>1114</v>
      </c>
      <c r="D2385" s="133" t="s">
        <v>1357</v>
      </c>
      <c r="E2385" s="133" t="s">
        <v>1116</v>
      </c>
      <c r="F2385" s="133" t="s">
        <v>1117</v>
      </c>
      <c r="G2385" s="133" t="s">
        <v>1118</v>
      </c>
      <c r="H2385" s="133" t="s">
        <v>1149</v>
      </c>
      <c r="I2385" s="133" t="s">
        <v>1182</v>
      </c>
      <c r="J2385" s="130" t="s">
        <v>1347</v>
      </c>
      <c r="K2385" s="130" t="s">
        <v>1348</v>
      </c>
      <c r="L2385" s="130" t="s">
        <v>2358</v>
      </c>
      <c r="M2385" s="130" t="s">
        <v>1360</v>
      </c>
      <c r="N2385" s="130" t="s">
        <v>168</v>
      </c>
      <c r="O2385" s="130" t="s">
        <v>1361</v>
      </c>
      <c r="P2385" s="130" t="s">
        <v>1362</v>
      </c>
      <c r="Q2385" s="130" t="s">
        <v>1127</v>
      </c>
      <c r="R2385" s="130" t="s">
        <v>1380</v>
      </c>
      <c r="S2385" s="130" t="s">
        <v>1481</v>
      </c>
      <c r="T2385" s="130" t="s">
        <v>1130</v>
      </c>
      <c r="U2385" s="130">
        <v>0</v>
      </c>
      <c r="V2385" s="131">
        <v>7540</v>
      </c>
      <c r="W2385" s="131">
        <v>7540</v>
      </c>
      <c r="X2385" s="131">
        <v>3900</v>
      </c>
      <c r="Y2385" s="131">
        <v>3640</v>
      </c>
      <c r="Z2385" s="131">
        <v>3900</v>
      </c>
      <c r="AA2385" s="131">
        <v>3640</v>
      </c>
      <c r="AB2385" s="131">
        <v>3900</v>
      </c>
      <c r="AC2385" s="131">
        <v>3640</v>
      </c>
      <c r="AD2385" s="131">
        <v>3900</v>
      </c>
      <c r="AE2385" s="132">
        <v>3640</v>
      </c>
    </row>
    <row r="2386" spans="1:31" x14ac:dyDescent="0.2">
      <c r="A2386" s="133">
        <v>460</v>
      </c>
      <c r="B2386" s="133" t="s">
        <v>1043</v>
      </c>
      <c r="C2386" s="133" t="s">
        <v>1114</v>
      </c>
      <c r="D2386" s="133" t="s">
        <v>1357</v>
      </c>
      <c r="E2386" s="133" t="s">
        <v>1116</v>
      </c>
      <c r="F2386" s="133" t="s">
        <v>1117</v>
      </c>
      <c r="G2386" s="133" t="s">
        <v>1118</v>
      </c>
      <c r="H2386" s="130" t="s">
        <v>1133</v>
      </c>
      <c r="I2386" s="130" t="s">
        <v>1134</v>
      </c>
      <c r="J2386" s="130" t="s">
        <v>1135</v>
      </c>
      <c r="K2386" s="130" t="s">
        <v>1178</v>
      </c>
      <c r="L2386" s="130" t="s">
        <v>2358</v>
      </c>
      <c r="M2386" s="130" t="s">
        <v>1360</v>
      </c>
      <c r="N2386" s="130" t="s">
        <v>168</v>
      </c>
      <c r="O2386" s="130" t="s">
        <v>1361</v>
      </c>
      <c r="P2386" s="130" t="s">
        <v>1362</v>
      </c>
      <c r="Q2386" s="130" t="s">
        <v>1127</v>
      </c>
      <c r="R2386" s="130" t="s">
        <v>1380</v>
      </c>
      <c r="S2386" s="130" t="s">
        <v>1481</v>
      </c>
      <c r="T2386" s="130" t="s">
        <v>1130</v>
      </c>
      <c r="U2386" s="130">
        <v>0</v>
      </c>
      <c r="V2386" s="131">
        <v>127125</v>
      </c>
      <c r="W2386" s="131">
        <v>127125</v>
      </c>
      <c r="X2386" s="131">
        <v>90000</v>
      </c>
      <c r="Y2386" s="131">
        <v>37125</v>
      </c>
      <c r="Z2386" s="131">
        <v>90000</v>
      </c>
      <c r="AA2386" s="131">
        <v>37125</v>
      </c>
      <c r="AB2386" s="131">
        <v>20111.38</v>
      </c>
      <c r="AC2386" s="131">
        <v>107013.62</v>
      </c>
      <c r="AD2386" s="131">
        <v>20111.38</v>
      </c>
      <c r="AE2386" s="132">
        <v>107013.62</v>
      </c>
    </row>
    <row r="2387" spans="1:31" x14ac:dyDescent="0.2">
      <c r="A2387" s="133">
        <v>460</v>
      </c>
      <c r="B2387" s="133" t="s">
        <v>1043</v>
      </c>
      <c r="C2387" s="133" t="s">
        <v>1114</v>
      </c>
      <c r="D2387" s="133" t="s">
        <v>1357</v>
      </c>
      <c r="E2387" s="133" t="s">
        <v>1116</v>
      </c>
      <c r="F2387" s="133" t="s">
        <v>1117</v>
      </c>
      <c r="G2387" s="133" t="s">
        <v>1118</v>
      </c>
      <c r="H2387" s="133" t="s">
        <v>1133</v>
      </c>
      <c r="I2387" s="133" t="s">
        <v>1134</v>
      </c>
      <c r="J2387" s="133" t="s">
        <v>1135</v>
      </c>
      <c r="K2387" s="130" t="s">
        <v>1179</v>
      </c>
      <c r="L2387" s="130" t="s">
        <v>2358</v>
      </c>
      <c r="M2387" s="130" t="s">
        <v>1360</v>
      </c>
      <c r="N2387" s="130" t="s">
        <v>168</v>
      </c>
      <c r="O2387" s="130" t="s">
        <v>1361</v>
      </c>
      <c r="P2387" s="130" t="s">
        <v>1362</v>
      </c>
      <c r="Q2387" s="130" t="s">
        <v>1127</v>
      </c>
      <c r="R2387" s="130" t="s">
        <v>1380</v>
      </c>
      <c r="S2387" s="130" t="s">
        <v>1481</v>
      </c>
      <c r="T2387" s="130" t="s">
        <v>1130</v>
      </c>
      <c r="U2387" s="130">
        <v>0</v>
      </c>
      <c r="V2387" s="131">
        <v>25252</v>
      </c>
      <c r="W2387" s="131">
        <v>25252</v>
      </c>
      <c r="X2387" s="131">
        <v>0</v>
      </c>
      <c r="Y2387" s="131">
        <v>25252</v>
      </c>
      <c r="Z2387" s="131">
        <v>0</v>
      </c>
      <c r="AA2387" s="131">
        <v>25252</v>
      </c>
      <c r="AB2387" s="131">
        <v>0</v>
      </c>
      <c r="AC2387" s="131">
        <v>25252</v>
      </c>
      <c r="AD2387" s="131">
        <v>0</v>
      </c>
      <c r="AE2387" s="132">
        <v>25252</v>
      </c>
    </row>
    <row r="2388" spans="1:31" x14ac:dyDescent="0.2">
      <c r="A2388" s="133">
        <v>460</v>
      </c>
      <c r="B2388" s="133" t="s">
        <v>1043</v>
      </c>
      <c r="C2388" s="133" t="s">
        <v>1114</v>
      </c>
      <c r="D2388" s="133" t="s">
        <v>1357</v>
      </c>
      <c r="E2388" s="133" t="s">
        <v>1116</v>
      </c>
      <c r="F2388" s="133" t="s">
        <v>1117</v>
      </c>
      <c r="G2388" s="133" t="s">
        <v>1118</v>
      </c>
      <c r="H2388" s="133" t="s">
        <v>1133</v>
      </c>
      <c r="I2388" s="133" t="s">
        <v>1134</v>
      </c>
      <c r="J2388" s="133" t="s">
        <v>1135</v>
      </c>
      <c r="K2388" s="130" t="s">
        <v>1144</v>
      </c>
      <c r="L2388" s="130" t="s">
        <v>2358</v>
      </c>
      <c r="M2388" s="130" t="s">
        <v>1360</v>
      </c>
      <c r="N2388" s="130" t="s">
        <v>168</v>
      </c>
      <c r="O2388" s="130" t="s">
        <v>1361</v>
      </c>
      <c r="P2388" s="130" t="s">
        <v>1362</v>
      </c>
      <c r="Q2388" s="130" t="s">
        <v>1127</v>
      </c>
      <c r="R2388" s="130" t="s">
        <v>1380</v>
      </c>
      <c r="S2388" s="130" t="s">
        <v>1481</v>
      </c>
      <c r="T2388" s="130" t="s">
        <v>1130</v>
      </c>
      <c r="U2388" s="130">
        <v>0</v>
      </c>
      <c r="V2388" s="131">
        <v>262822</v>
      </c>
      <c r="W2388" s="131">
        <v>262822</v>
      </c>
      <c r="X2388" s="131">
        <v>0</v>
      </c>
      <c r="Y2388" s="131">
        <v>262822</v>
      </c>
      <c r="Z2388" s="131">
        <v>0</v>
      </c>
      <c r="AA2388" s="131">
        <v>262822</v>
      </c>
      <c r="AB2388" s="131">
        <v>0</v>
      </c>
      <c r="AC2388" s="131">
        <v>262822</v>
      </c>
      <c r="AD2388" s="131">
        <v>0</v>
      </c>
      <c r="AE2388" s="132">
        <v>262822</v>
      </c>
    </row>
    <row r="2389" spans="1:31" x14ac:dyDescent="0.2">
      <c r="A2389" s="130">
        <v>461</v>
      </c>
      <c r="B2389" s="130" t="s">
        <v>2359</v>
      </c>
      <c r="C2389" s="130" t="s">
        <v>1147</v>
      </c>
      <c r="D2389" s="130" t="s">
        <v>1181</v>
      </c>
      <c r="E2389" s="130" t="s">
        <v>1116</v>
      </c>
      <c r="F2389" s="130" t="s">
        <v>1117</v>
      </c>
      <c r="G2389" s="130" t="s">
        <v>1118</v>
      </c>
      <c r="H2389" s="130" t="s">
        <v>1119</v>
      </c>
      <c r="I2389" s="130" t="s">
        <v>1120</v>
      </c>
      <c r="J2389" s="130" t="s">
        <v>1358</v>
      </c>
      <c r="K2389" s="130" t="s">
        <v>1131</v>
      </c>
      <c r="L2389" s="130" t="s">
        <v>2360</v>
      </c>
      <c r="M2389" s="130" t="s">
        <v>1776</v>
      </c>
      <c r="N2389" s="130" t="s">
        <v>168</v>
      </c>
      <c r="O2389" s="130" t="s">
        <v>1361</v>
      </c>
      <c r="P2389" s="130" t="s">
        <v>1777</v>
      </c>
      <c r="Q2389" s="130" t="s">
        <v>1127</v>
      </c>
      <c r="R2389" s="130" t="s">
        <v>1175</v>
      </c>
      <c r="S2389" s="130" t="s">
        <v>1455</v>
      </c>
      <c r="T2389" s="130" t="s">
        <v>1188</v>
      </c>
      <c r="U2389" s="130">
        <v>0</v>
      </c>
      <c r="V2389" s="131">
        <v>14430</v>
      </c>
      <c r="W2389" s="131">
        <v>14430</v>
      </c>
      <c r="X2389" s="131">
        <v>14430</v>
      </c>
      <c r="Y2389" s="131">
        <v>0</v>
      </c>
      <c r="Z2389" s="131">
        <v>14430</v>
      </c>
      <c r="AA2389" s="131">
        <v>0</v>
      </c>
      <c r="AB2389" s="131">
        <v>10289.66</v>
      </c>
      <c r="AC2389" s="131">
        <v>4140.34</v>
      </c>
      <c r="AD2389" s="131">
        <v>10289.66</v>
      </c>
      <c r="AE2389" s="132">
        <v>4140.34</v>
      </c>
    </row>
    <row r="2390" spans="1:31" x14ac:dyDescent="0.2">
      <c r="A2390" s="133">
        <v>461</v>
      </c>
      <c r="B2390" s="133" t="s">
        <v>2359</v>
      </c>
      <c r="C2390" s="133" t="s">
        <v>1147</v>
      </c>
      <c r="D2390" s="133" t="s">
        <v>1181</v>
      </c>
      <c r="E2390" s="133" t="s">
        <v>1116</v>
      </c>
      <c r="F2390" s="133" t="s">
        <v>1117</v>
      </c>
      <c r="G2390" s="133" t="s">
        <v>1118</v>
      </c>
      <c r="H2390" s="133" t="s">
        <v>1119</v>
      </c>
      <c r="I2390" s="133" t="s">
        <v>1120</v>
      </c>
      <c r="J2390" s="133" t="s">
        <v>1358</v>
      </c>
      <c r="K2390" s="130" t="s">
        <v>1177</v>
      </c>
      <c r="L2390" s="130" t="s">
        <v>2360</v>
      </c>
      <c r="M2390" s="130" t="s">
        <v>1776</v>
      </c>
      <c r="N2390" s="130" t="s">
        <v>168</v>
      </c>
      <c r="O2390" s="130" t="s">
        <v>1361</v>
      </c>
      <c r="P2390" s="130" t="s">
        <v>1777</v>
      </c>
      <c r="Q2390" s="130" t="s">
        <v>1127</v>
      </c>
      <c r="R2390" s="130" t="s">
        <v>1175</v>
      </c>
      <c r="S2390" s="130" t="s">
        <v>1455</v>
      </c>
      <c r="T2390" s="130" t="s">
        <v>1188</v>
      </c>
      <c r="U2390" s="130">
        <v>0</v>
      </c>
      <c r="V2390" s="131">
        <v>1880</v>
      </c>
      <c r="W2390" s="131">
        <v>1880</v>
      </c>
      <c r="X2390" s="131">
        <v>1749</v>
      </c>
      <c r="Y2390" s="131">
        <v>131</v>
      </c>
      <c r="Z2390" s="131">
        <v>1749</v>
      </c>
      <c r="AA2390" s="131">
        <v>131</v>
      </c>
      <c r="AB2390" s="131">
        <v>1749</v>
      </c>
      <c r="AC2390" s="131">
        <v>131</v>
      </c>
      <c r="AD2390" s="131">
        <v>1749</v>
      </c>
      <c r="AE2390" s="132">
        <v>131</v>
      </c>
    </row>
    <row r="2391" spans="1:31" x14ac:dyDescent="0.2">
      <c r="A2391" s="133">
        <v>461</v>
      </c>
      <c r="B2391" s="133" t="s">
        <v>2359</v>
      </c>
      <c r="C2391" s="133" t="s">
        <v>1147</v>
      </c>
      <c r="D2391" s="133" t="s">
        <v>1181</v>
      </c>
      <c r="E2391" s="133" t="s">
        <v>1116</v>
      </c>
      <c r="F2391" s="133" t="s">
        <v>1117</v>
      </c>
      <c r="G2391" s="133" t="s">
        <v>1118</v>
      </c>
      <c r="H2391" s="133" t="s">
        <v>1119</v>
      </c>
      <c r="I2391" s="133" t="s">
        <v>1120</v>
      </c>
      <c r="J2391" s="133" t="s">
        <v>1358</v>
      </c>
      <c r="K2391" s="130" t="s">
        <v>1132</v>
      </c>
      <c r="L2391" s="130" t="s">
        <v>2360</v>
      </c>
      <c r="M2391" s="130" t="s">
        <v>1776</v>
      </c>
      <c r="N2391" s="130" t="s">
        <v>168</v>
      </c>
      <c r="O2391" s="130" t="s">
        <v>1361</v>
      </c>
      <c r="P2391" s="130" t="s">
        <v>1777</v>
      </c>
      <c r="Q2391" s="130" t="s">
        <v>1127</v>
      </c>
      <c r="R2391" s="130" t="s">
        <v>1175</v>
      </c>
      <c r="S2391" s="130" t="s">
        <v>1455</v>
      </c>
      <c r="T2391" s="130" t="s">
        <v>1188</v>
      </c>
      <c r="U2391" s="130">
        <v>0</v>
      </c>
      <c r="V2391" s="131">
        <v>80349</v>
      </c>
      <c r="W2391" s="131">
        <v>80349</v>
      </c>
      <c r="X2391" s="131">
        <v>76200</v>
      </c>
      <c r="Y2391" s="131">
        <v>4149</v>
      </c>
      <c r="Z2391" s="131">
        <v>76200</v>
      </c>
      <c r="AA2391" s="131">
        <v>4149</v>
      </c>
      <c r="AB2391" s="131">
        <v>76200</v>
      </c>
      <c r="AC2391" s="131">
        <v>4149</v>
      </c>
      <c r="AD2391" s="131">
        <v>550</v>
      </c>
      <c r="AE2391" s="132">
        <v>79799</v>
      </c>
    </row>
    <row r="2392" spans="1:31" x14ac:dyDescent="0.2">
      <c r="A2392" s="133">
        <v>461</v>
      </c>
      <c r="B2392" s="133" t="s">
        <v>2359</v>
      </c>
      <c r="C2392" s="133" t="s">
        <v>1147</v>
      </c>
      <c r="D2392" s="133" t="s">
        <v>1181</v>
      </c>
      <c r="E2392" s="133" t="s">
        <v>1116</v>
      </c>
      <c r="F2392" s="133" t="s">
        <v>1117</v>
      </c>
      <c r="G2392" s="133" t="s">
        <v>1118</v>
      </c>
      <c r="H2392" s="130" t="s">
        <v>1149</v>
      </c>
      <c r="I2392" s="130" t="s">
        <v>1182</v>
      </c>
      <c r="J2392" s="130" t="s">
        <v>1382</v>
      </c>
      <c r="K2392" s="130" t="s">
        <v>1378</v>
      </c>
      <c r="L2392" s="130" t="s">
        <v>2360</v>
      </c>
      <c r="M2392" s="130" t="s">
        <v>1776</v>
      </c>
      <c r="N2392" s="130" t="s">
        <v>168</v>
      </c>
      <c r="O2392" s="130" t="s">
        <v>1361</v>
      </c>
      <c r="P2392" s="130" t="s">
        <v>1777</v>
      </c>
      <c r="Q2392" s="130" t="s">
        <v>1127</v>
      </c>
      <c r="R2392" s="130" t="s">
        <v>1175</v>
      </c>
      <c r="S2392" s="130" t="s">
        <v>1455</v>
      </c>
      <c r="T2392" s="130" t="s">
        <v>1188</v>
      </c>
      <c r="U2392" s="130">
        <v>0</v>
      </c>
      <c r="V2392" s="131">
        <v>0</v>
      </c>
      <c r="W2392" s="131">
        <v>0</v>
      </c>
      <c r="X2392" s="131">
        <v>0</v>
      </c>
      <c r="Y2392" s="131">
        <v>0</v>
      </c>
      <c r="Z2392" s="131">
        <v>0</v>
      </c>
      <c r="AA2392" s="131">
        <v>0</v>
      </c>
      <c r="AB2392" s="131">
        <v>0</v>
      </c>
      <c r="AC2392" s="131">
        <v>0</v>
      </c>
      <c r="AD2392" s="131">
        <v>0</v>
      </c>
      <c r="AE2392" s="132">
        <v>0</v>
      </c>
    </row>
    <row r="2393" spans="1:31" x14ac:dyDescent="0.2">
      <c r="A2393" s="133">
        <v>461</v>
      </c>
      <c r="B2393" s="133" t="s">
        <v>2359</v>
      </c>
      <c r="C2393" s="133" t="s">
        <v>1147</v>
      </c>
      <c r="D2393" s="133" t="s">
        <v>1181</v>
      </c>
      <c r="E2393" s="133" t="s">
        <v>1116</v>
      </c>
      <c r="F2393" s="133" t="s">
        <v>1117</v>
      </c>
      <c r="G2393" s="133" t="s">
        <v>1118</v>
      </c>
      <c r="H2393" s="133" t="s">
        <v>1149</v>
      </c>
      <c r="I2393" s="133" t="s">
        <v>1182</v>
      </c>
      <c r="J2393" s="130" t="s">
        <v>1347</v>
      </c>
      <c r="K2393" s="130" t="s">
        <v>1348</v>
      </c>
      <c r="L2393" s="130" t="s">
        <v>2360</v>
      </c>
      <c r="M2393" s="130" t="s">
        <v>1776</v>
      </c>
      <c r="N2393" s="130" t="s">
        <v>168</v>
      </c>
      <c r="O2393" s="130" t="s">
        <v>1361</v>
      </c>
      <c r="P2393" s="130" t="s">
        <v>1777</v>
      </c>
      <c r="Q2393" s="130" t="s">
        <v>1127</v>
      </c>
      <c r="R2393" s="130" t="s">
        <v>1175</v>
      </c>
      <c r="S2393" s="130" t="s">
        <v>1455</v>
      </c>
      <c r="T2393" s="130" t="s">
        <v>1188</v>
      </c>
      <c r="U2393" s="130">
        <v>0</v>
      </c>
      <c r="V2393" s="131">
        <v>84600</v>
      </c>
      <c r="W2393" s="131">
        <v>84600</v>
      </c>
      <c r="X2393" s="131">
        <v>83430</v>
      </c>
      <c r="Y2393" s="131">
        <v>1170</v>
      </c>
      <c r="Z2393" s="131">
        <v>76355.48</v>
      </c>
      <c r="AA2393" s="131">
        <v>8244.5200000000041</v>
      </c>
      <c r="AB2393" s="131">
        <v>76355.48</v>
      </c>
      <c r="AC2393" s="131">
        <v>8244.5200000000041</v>
      </c>
      <c r="AD2393" s="131">
        <v>0</v>
      </c>
      <c r="AE2393" s="132">
        <v>84600</v>
      </c>
    </row>
    <row r="2394" spans="1:31" x14ac:dyDescent="0.2">
      <c r="A2394" s="133">
        <v>461</v>
      </c>
      <c r="B2394" s="133" t="s">
        <v>2359</v>
      </c>
      <c r="C2394" s="133" t="s">
        <v>1147</v>
      </c>
      <c r="D2394" s="133" t="s">
        <v>1181</v>
      </c>
      <c r="E2394" s="133" t="s">
        <v>1116</v>
      </c>
      <c r="F2394" s="133" t="s">
        <v>1117</v>
      </c>
      <c r="G2394" s="133" t="s">
        <v>1118</v>
      </c>
      <c r="H2394" s="130" t="s">
        <v>1133</v>
      </c>
      <c r="I2394" s="130" t="s">
        <v>1134</v>
      </c>
      <c r="J2394" s="130" t="s">
        <v>1135</v>
      </c>
      <c r="K2394" s="130" t="s">
        <v>1178</v>
      </c>
      <c r="L2394" s="130" t="s">
        <v>2360</v>
      </c>
      <c r="M2394" s="130" t="s">
        <v>1776</v>
      </c>
      <c r="N2394" s="130" t="s">
        <v>168</v>
      </c>
      <c r="O2394" s="130" t="s">
        <v>1361</v>
      </c>
      <c r="P2394" s="130" t="s">
        <v>1777</v>
      </c>
      <c r="Q2394" s="130" t="s">
        <v>1127</v>
      </c>
      <c r="R2394" s="130" t="s">
        <v>1175</v>
      </c>
      <c r="S2394" s="130" t="s">
        <v>1455</v>
      </c>
      <c r="T2394" s="130" t="s">
        <v>1188</v>
      </c>
      <c r="U2394" s="130">
        <v>0</v>
      </c>
      <c r="V2394" s="131">
        <v>12580</v>
      </c>
      <c r="W2394" s="131">
        <v>12580</v>
      </c>
      <c r="X2394" s="131">
        <v>10545</v>
      </c>
      <c r="Y2394" s="131">
        <v>2035</v>
      </c>
      <c r="Z2394" s="131">
        <v>10545</v>
      </c>
      <c r="AA2394" s="131">
        <v>2035</v>
      </c>
      <c r="AB2394" s="131">
        <v>2953.6</v>
      </c>
      <c r="AC2394" s="131">
        <v>9626.4</v>
      </c>
      <c r="AD2394" s="131">
        <v>2953.6</v>
      </c>
      <c r="AE2394" s="132">
        <v>9626.4</v>
      </c>
    </row>
    <row r="2395" spans="1:31" x14ac:dyDescent="0.2">
      <c r="A2395" s="133">
        <v>461</v>
      </c>
      <c r="B2395" s="133" t="s">
        <v>2359</v>
      </c>
      <c r="C2395" s="133" t="s">
        <v>1147</v>
      </c>
      <c r="D2395" s="133" t="s">
        <v>1181</v>
      </c>
      <c r="E2395" s="133" t="s">
        <v>1116</v>
      </c>
      <c r="F2395" s="133" t="s">
        <v>1117</v>
      </c>
      <c r="G2395" s="133" t="s">
        <v>1118</v>
      </c>
      <c r="H2395" s="133" t="s">
        <v>1133</v>
      </c>
      <c r="I2395" s="133" t="s">
        <v>1134</v>
      </c>
      <c r="J2395" s="133" t="s">
        <v>1135</v>
      </c>
      <c r="K2395" s="130" t="s">
        <v>1179</v>
      </c>
      <c r="L2395" s="130" t="s">
        <v>2360</v>
      </c>
      <c r="M2395" s="130" t="s">
        <v>1776</v>
      </c>
      <c r="N2395" s="130" t="s">
        <v>168</v>
      </c>
      <c r="O2395" s="130" t="s">
        <v>1361</v>
      </c>
      <c r="P2395" s="130" t="s">
        <v>1777</v>
      </c>
      <c r="Q2395" s="130" t="s">
        <v>1127</v>
      </c>
      <c r="R2395" s="130" t="s">
        <v>1175</v>
      </c>
      <c r="S2395" s="130" t="s">
        <v>1455</v>
      </c>
      <c r="T2395" s="130" t="s">
        <v>1188</v>
      </c>
      <c r="U2395" s="130">
        <v>0</v>
      </c>
      <c r="V2395" s="131">
        <v>190</v>
      </c>
      <c r="W2395" s="131">
        <v>190</v>
      </c>
      <c r="X2395" s="131">
        <v>0</v>
      </c>
      <c r="Y2395" s="131">
        <v>190</v>
      </c>
      <c r="Z2395" s="131">
        <v>0</v>
      </c>
      <c r="AA2395" s="131">
        <v>190</v>
      </c>
      <c r="AB2395" s="131">
        <v>0</v>
      </c>
      <c r="AC2395" s="131">
        <v>190</v>
      </c>
      <c r="AD2395" s="131">
        <v>0</v>
      </c>
      <c r="AE2395" s="132">
        <v>190</v>
      </c>
    </row>
    <row r="2396" spans="1:31" x14ac:dyDescent="0.2">
      <c r="A2396" s="133">
        <v>461</v>
      </c>
      <c r="B2396" s="133" t="s">
        <v>2359</v>
      </c>
      <c r="C2396" s="133" t="s">
        <v>1147</v>
      </c>
      <c r="D2396" s="133" t="s">
        <v>1181</v>
      </c>
      <c r="E2396" s="133" t="s">
        <v>1116</v>
      </c>
      <c r="F2396" s="133" t="s">
        <v>1117</v>
      </c>
      <c r="G2396" s="133" t="s">
        <v>1118</v>
      </c>
      <c r="H2396" s="133" t="s">
        <v>1133</v>
      </c>
      <c r="I2396" s="133" t="s">
        <v>1134</v>
      </c>
      <c r="J2396" s="133" t="s">
        <v>1135</v>
      </c>
      <c r="K2396" s="130" t="s">
        <v>1144</v>
      </c>
      <c r="L2396" s="130" t="s">
        <v>2360</v>
      </c>
      <c r="M2396" s="130" t="s">
        <v>1776</v>
      </c>
      <c r="N2396" s="130" t="s">
        <v>168</v>
      </c>
      <c r="O2396" s="130" t="s">
        <v>1361</v>
      </c>
      <c r="P2396" s="130" t="s">
        <v>1777</v>
      </c>
      <c r="Q2396" s="130" t="s">
        <v>1127</v>
      </c>
      <c r="R2396" s="130" t="s">
        <v>1175</v>
      </c>
      <c r="S2396" s="130" t="s">
        <v>1455</v>
      </c>
      <c r="T2396" s="130" t="s">
        <v>1188</v>
      </c>
      <c r="U2396" s="130">
        <v>0</v>
      </c>
      <c r="V2396" s="131">
        <v>1050</v>
      </c>
      <c r="W2396" s="131">
        <v>1050</v>
      </c>
      <c r="X2396" s="131">
        <v>0</v>
      </c>
      <c r="Y2396" s="131">
        <v>1050</v>
      </c>
      <c r="Z2396" s="131">
        <v>0</v>
      </c>
      <c r="AA2396" s="131">
        <v>1050</v>
      </c>
      <c r="AB2396" s="131">
        <v>0</v>
      </c>
      <c r="AC2396" s="131">
        <v>1050</v>
      </c>
      <c r="AD2396" s="131">
        <v>0</v>
      </c>
      <c r="AE2396" s="132">
        <v>1050</v>
      </c>
    </row>
    <row r="2397" spans="1:31" x14ac:dyDescent="0.2">
      <c r="A2397" s="130">
        <v>462</v>
      </c>
      <c r="B2397" s="130" t="s">
        <v>1056</v>
      </c>
      <c r="C2397" s="130" t="s">
        <v>1114</v>
      </c>
      <c r="D2397" s="130" t="s">
        <v>1954</v>
      </c>
      <c r="E2397" s="130" t="s">
        <v>1116</v>
      </c>
      <c r="F2397" s="130" t="s">
        <v>1117</v>
      </c>
      <c r="G2397" s="130" t="s">
        <v>1118</v>
      </c>
      <c r="H2397" s="130" t="s">
        <v>1119</v>
      </c>
      <c r="I2397" s="130" t="s">
        <v>1120</v>
      </c>
      <c r="J2397" s="130" t="s">
        <v>1121</v>
      </c>
      <c r="K2397" s="130" t="s">
        <v>1131</v>
      </c>
      <c r="L2397" s="130" t="s">
        <v>2077</v>
      </c>
      <c r="M2397" s="130" t="s">
        <v>1925</v>
      </c>
      <c r="N2397" s="130" t="s">
        <v>152</v>
      </c>
      <c r="O2397" s="130" t="s">
        <v>1125</v>
      </c>
      <c r="P2397" s="130" t="s">
        <v>1126</v>
      </c>
      <c r="Q2397" s="130" t="s">
        <v>1127</v>
      </c>
      <c r="R2397" s="130" t="s">
        <v>1448</v>
      </c>
      <c r="S2397" s="130" t="s">
        <v>1487</v>
      </c>
      <c r="T2397" s="130" t="s">
        <v>1130</v>
      </c>
      <c r="U2397" s="130">
        <v>0</v>
      </c>
      <c r="V2397" s="131">
        <v>380300</v>
      </c>
      <c r="W2397" s="131">
        <v>380300</v>
      </c>
      <c r="X2397" s="131">
        <v>380300</v>
      </c>
      <c r="Y2397" s="131">
        <v>0</v>
      </c>
      <c r="Z2397" s="131">
        <v>380300</v>
      </c>
      <c r="AA2397" s="131">
        <v>0</v>
      </c>
      <c r="AB2397" s="131">
        <v>143141.08000000002</v>
      </c>
      <c r="AC2397" s="131">
        <v>237158.91999999998</v>
      </c>
      <c r="AD2397" s="131">
        <v>143141.08000000002</v>
      </c>
      <c r="AE2397" s="132">
        <v>237158.91999999998</v>
      </c>
    </row>
    <row r="2398" spans="1:31" x14ac:dyDescent="0.2">
      <c r="A2398" s="133">
        <v>462</v>
      </c>
      <c r="B2398" s="133" t="s">
        <v>1056</v>
      </c>
      <c r="C2398" s="133" t="s">
        <v>1114</v>
      </c>
      <c r="D2398" s="133" t="s">
        <v>1954</v>
      </c>
      <c r="E2398" s="133" t="s">
        <v>1116</v>
      </c>
      <c r="F2398" s="133" t="s">
        <v>1117</v>
      </c>
      <c r="G2398" s="133" t="s">
        <v>1118</v>
      </c>
      <c r="H2398" s="133" t="s">
        <v>1119</v>
      </c>
      <c r="I2398" s="133" t="s">
        <v>1120</v>
      </c>
      <c r="J2398" s="133" t="s">
        <v>1121</v>
      </c>
      <c r="K2398" s="130" t="s">
        <v>1177</v>
      </c>
      <c r="L2398" s="130" t="s">
        <v>2077</v>
      </c>
      <c r="M2398" s="130" t="s">
        <v>1925</v>
      </c>
      <c r="N2398" s="130" t="s">
        <v>152</v>
      </c>
      <c r="O2398" s="130" t="s">
        <v>1125</v>
      </c>
      <c r="P2398" s="130" t="s">
        <v>1126</v>
      </c>
      <c r="Q2398" s="130" t="s">
        <v>1127</v>
      </c>
      <c r="R2398" s="130" t="s">
        <v>1448</v>
      </c>
      <c r="S2398" s="130" t="s">
        <v>1487</v>
      </c>
      <c r="T2398" s="130" t="s">
        <v>1130</v>
      </c>
      <c r="U2398" s="130">
        <v>0</v>
      </c>
      <c r="V2398" s="131">
        <v>652560</v>
      </c>
      <c r="W2398" s="131">
        <v>652560</v>
      </c>
      <c r="X2398" s="131">
        <v>339777.8</v>
      </c>
      <c r="Y2398" s="131">
        <v>312782.2</v>
      </c>
      <c r="Z2398" s="131">
        <v>339327.8</v>
      </c>
      <c r="AA2398" s="131">
        <v>313232.2</v>
      </c>
      <c r="AB2398" s="131">
        <v>332130.8</v>
      </c>
      <c r="AC2398" s="131">
        <v>320429.2</v>
      </c>
      <c r="AD2398" s="131">
        <v>188698.3</v>
      </c>
      <c r="AE2398" s="132">
        <v>463861.7</v>
      </c>
    </row>
    <row r="2399" spans="1:31" x14ac:dyDescent="0.2">
      <c r="A2399" s="133">
        <v>462</v>
      </c>
      <c r="B2399" s="133" t="s">
        <v>1056</v>
      </c>
      <c r="C2399" s="133" t="s">
        <v>1114</v>
      </c>
      <c r="D2399" s="133" t="s">
        <v>1954</v>
      </c>
      <c r="E2399" s="133" t="s">
        <v>1116</v>
      </c>
      <c r="F2399" s="133" t="s">
        <v>1117</v>
      </c>
      <c r="G2399" s="133" t="s">
        <v>1118</v>
      </c>
      <c r="H2399" s="133" t="s">
        <v>1119</v>
      </c>
      <c r="I2399" s="133" t="s">
        <v>1120</v>
      </c>
      <c r="J2399" s="133" t="s">
        <v>1121</v>
      </c>
      <c r="K2399" s="130" t="s">
        <v>1132</v>
      </c>
      <c r="L2399" s="130" t="s">
        <v>2077</v>
      </c>
      <c r="M2399" s="130" t="s">
        <v>1925</v>
      </c>
      <c r="N2399" s="130" t="s">
        <v>152</v>
      </c>
      <c r="O2399" s="130" t="s">
        <v>1125</v>
      </c>
      <c r="P2399" s="130" t="s">
        <v>1126</v>
      </c>
      <c r="Q2399" s="130" t="s">
        <v>1127</v>
      </c>
      <c r="R2399" s="130" t="s">
        <v>1448</v>
      </c>
      <c r="S2399" s="130" t="s">
        <v>1487</v>
      </c>
      <c r="T2399" s="130" t="s">
        <v>1130</v>
      </c>
      <c r="U2399" s="130">
        <v>0</v>
      </c>
      <c r="V2399" s="131">
        <v>122915</v>
      </c>
      <c r="W2399" s="131">
        <v>122915</v>
      </c>
      <c r="X2399" s="131">
        <v>72105.2</v>
      </c>
      <c r="Y2399" s="131">
        <v>50809.8</v>
      </c>
      <c r="Z2399" s="131">
        <v>72105.2</v>
      </c>
      <c r="AA2399" s="131">
        <v>50809.8</v>
      </c>
      <c r="AB2399" s="131">
        <v>72105.2</v>
      </c>
      <c r="AC2399" s="131">
        <v>50809.8</v>
      </c>
      <c r="AD2399" s="131">
        <v>0</v>
      </c>
      <c r="AE2399" s="132">
        <v>122915</v>
      </c>
    </row>
    <row r="2400" spans="1:31" x14ac:dyDescent="0.2">
      <c r="A2400" s="133">
        <v>462</v>
      </c>
      <c r="B2400" s="133" t="s">
        <v>1056</v>
      </c>
      <c r="C2400" s="133" t="s">
        <v>1114</v>
      </c>
      <c r="D2400" s="133" t="s">
        <v>1954</v>
      </c>
      <c r="E2400" s="133" t="s">
        <v>1116</v>
      </c>
      <c r="F2400" s="133" t="s">
        <v>1117</v>
      </c>
      <c r="G2400" s="133" t="s">
        <v>1118</v>
      </c>
      <c r="H2400" s="130" t="s">
        <v>1149</v>
      </c>
      <c r="I2400" s="130" t="s">
        <v>1182</v>
      </c>
      <c r="J2400" s="130" t="s">
        <v>1377</v>
      </c>
      <c r="K2400" s="130" t="s">
        <v>1378</v>
      </c>
      <c r="L2400" s="130" t="s">
        <v>2077</v>
      </c>
      <c r="M2400" s="130" t="s">
        <v>1925</v>
      </c>
      <c r="N2400" s="130" t="s">
        <v>152</v>
      </c>
      <c r="O2400" s="130" t="s">
        <v>1125</v>
      </c>
      <c r="P2400" s="130" t="s">
        <v>1126</v>
      </c>
      <c r="Q2400" s="130" t="s">
        <v>1127</v>
      </c>
      <c r="R2400" s="130" t="s">
        <v>1448</v>
      </c>
      <c r="S2400" s="130" t="s">
        <v>1487</v>
      </c>
      <c r="T2400" s="130" t="s">
        <v>1130</v>
      </c>
      <c r="U2400" s="130">
        <v>0</v>
      </c>
      <c r="V2400" s="131">
        <v>3680</v>
      </c>
      <c r="W2400" s="131">
        <v>3680</v>
      </c>
      <c r="X2400" s="131">
        <v>0</v>
      </c>
      <c r="Y2400" s="131">
        <v>3680</v>
      </c>
      <c r="Z2400" s="131">
        <v>0</v>
      </c>
      <c r="AA2400" s="131">
        <v>3680</v>
      </c>
      <c r="AB2400" s="131">
        <v>0</v>
      </c>
      <c r="AC2400" s="131">
        <v>3680</v>
      </c>
      <c r="AD2400" s="131">
        <v>0</v>
      </c>
      <c r="AE2400" s="132">
        <v>3680</v>
      </c>
    </row>
    <row r="2401" spans="1:31" x14ac:dyDescent="0.2">
      <c r="A2401" s="133">
        <v>462</v>
      </c>
      <c r="B2401" s="133" t="s">
        <v>1056</v>
      </c>
      <c r="C2401" s="133" t="s">
        <v>1114</v>
      </c>
      <c r="D2401" s="133" t="s">
        <v>1954</v>
      </c>
      <c r="E2401" s="133" t="s">
        <v>1116</v>
      </c>
      <c r="F2401" s="133" t="s">
        <v>1117</v>
      </c>
      <c r="G2401" s="133" t="s">
        <v>1118</v>
      </c>
      <c r="H2401" s="133" t="s">
        <v>1149</v>
      </c>
      <c r="I2401" s="133" t="s">
        <v>1182</v>
      </c>
      <c r="J2401" s="130" t="s">
        <v>1347</v>
      </c>
      <c r="K2401" s="130" t="s">
        <v>1348</v>
      </c>
      <c r="L2401" s="130" t="s">
        <v>2077</v>
      </c>
      <c r="M2401" s="130" t="s">
        <v>1925</v>
      </c>
      <c r="N2401" s="130" t="s">
        <v>152</v>
      </c>
      <c r="O2401" s="130" t="s">
        <v>1125</v>
      </c>
      <c r="P2401" s="130" t="s">
        <v>1126</v>
      </c>
      <c r="Q2401" s="130" t="s">
        <v>1127</v>
      </c>
      <c r="R2401" s="130" t="s">
        <v>1448</v>
      </c>
      <c r="S2401" s="130" t="s">
        <v>1487</v>
      </c>
      <c r="T2401" s="130" t="s">
        <v>1130</v>
      </c>
      <c r="U2401" s="130">
        <v>0</v>
      </c>
      <c r="V2401" s="131">
        <v>1285</v>
      </c>
      <c r="W2401" s="131">
        <v>1285</v>
      </c>
      <c r="X2401" s="131">
        <v>0</v>
      </c>
      <c r="Y2401" s="131">
        <v>1285</v>
      </c>
      <c r="Z2401" s="131">
        <v>0</v>
      </c>
      <c r="AA2401" s="131">
        <v>1285</v>
      </c>
      <c r="AB2401" s="131">
        <v>0</v>
      </c>
      <c r="AC2401" s="131">
        <v>1285</v>
      </c>
      <c r="AD2401" s="131">
        <v>0</v>
      </c>
      <c r="AE2401" s="132">
        <v>1285</v>
      </c>
    </row>
    <row r="2402" spans="1:31" x14ac:dyDescent="0.2">
      <c r="A2402" s="133">
        <v>462</v>
      </c>
      <c r="B2402" s="133" t="s">
        <v>1056</v>
      </c>
      <c r="C2402" s="133" t="s">
        <v>1114</v>
      </c>
      <c r="D2402" s="133" t="s">
        <v>1954</v>
      </c>
      <c r="E2402" s="133" t="s">
        <v>1116</v>
      </c>
      <c r="F2402" s="133" t="s">
        <v>1117</v>
      </c>
      <c r="G2402" s="133" t="s">
        <v>1118</v>
      </c>
      <c r="H2402" s="130" t="s">
        <v>1133</v>
      </c>
      <c r="I2402" s="130" t="s">
        <v>1134</v>
      </c>
      <c r="J2402" s="130" t="s">
        <v>1135</v>
      </c>
      <c r="K2402" s="130" t="s">
        <v>1178</v>
      </c>
      <c r="L2402" s="130" t="s">
        <v>2077</v>
      </c>
      <c r="M2402" s="130" t="s">
        <v>1925</v>
      </c>
      <c r="N2402" s="130" t="s">
        <v>152</v>
      </c>
      <c r="O2402" s="130" t="s">
        <v>1125</v>
      </c>
      <c r="P2402" s="130" t="s">
        <v>1126</v>
      </c>
      <c r="Q2402" s="130" t="s">
        <v>1127</v>
      </c>
      <c r="R2402" s="130" t="s">
        <v>1448</v>
      </c>
      <c r="S2402" s="130" t="s">
        <v>1487</v>
      </c>
      <c r="T2402" s="130" t="s">
        <v>1130</v>
      </c>
      <c r="U2402" s="130">
        <v>0</v>
      </c>
      <c r="V2402" s="131">
        <v>110000</v>
      </c>
      <c r="W2402" s="131">
        <v>110000</v>
      </c>
      <c r="X2402" s="131">
        <v>110000</v>
      </c>
      <c r="Y2402" s="131">
        <v>0</v>
      </c>
      <c r="Z2402" s="131">
        <v>110000</v>
      </c>
      <c r="AA2402" s="131">
        <v>0</v>
      </c>
      <c r="AB2402" s="131">
        <v>29266.79</v>
      </c>
      <c r="AC2402" s="131">
        <v>80733.209999999992</v>
      </c>
      <c r="AD2402" s="131">
        <v>29266.79</v>
      </c>
      <c r="AE2402" s="132">
        <v>80733.209999999992</v>
      </c>
    </row>
    <row r="2403" spans="1:31" x14ac:dyDescent="0.2">
      <c r="A2403" s="133">
        <v>462</v>
      </c>
      <c r="B2403" s="133" t="s">
        <v>1056</v>
      </c>
      <c r="C2403" s="133" t="s">
        <v>1114</v>
      </c>
      <c r="D2403" s="133" t="s">
        <v>1954</v>
      </c>
      <c r="E2403" s="133" t="s">
        <v>1116</v>
      </c>
      <c r="F2403" s="133" t="s">
        <v>1117</v>
      </c>
      <c r="G2403" s="133" t="s">
        <v>1118</v>
      </c>
      <c r="H2403" s="133" t="s">
        <v>1133</v>
      </c>
      <c r="I2403" s="133" t="s">
        <v>1134</v>
      </c>
      <c r="J2403" s="133" t="s">
        <v>1135</v>
      </c>
      <c r="K2403" s="130" t="s">
        <v>1179</v>
      </c>
      <c r="L2403" s="130" t="s">
        <v>2077</v>
      </c>
      <c r="M2403" s="130" t="s">
        <v>1925</v>
      </c>
      <c r="N2403" s="130" t="s">
        <v>152</v>
      </c>
      <c r="O2403" s="130" t="s">
        <v>1125</v>
      </c>
      <c r="P2403" s="130" t="s">
        <v>1126</v>
      </c>
      <c r="Q2403" s="130" t="s">
        <v>1127</v>
      </c>
      <c r="R2403" s="130" t="s">
        <v>1448</v>
      </c>
      <c r="S2403" s="130" t="s">
        <v>1487</v>
      </c>
      <c r="T2403" s="130" t="s">
        <v>1130</v>
      </c>
      <c r="U2403" s="130">
        <v>0</v>
      </c>
      <c r="V2403" s="131">
        <v>15000</v>
      </c>
      <c r="W2403" s="131">
        <v>15000</v>
      </c>
      <c r="X2403" s="131">
        <v>0</v>
      </c>
      <c r="Y2403" s="131">
        <v>15000</v>
      </c>
      <c r="Z2403" s="131">
        <v>0</v>
      </c>
      <c r="AA2403" s="131">
        <v>15000</v>
      </c>
      <c r="AB2403" s="131">
        <v>0</v>
      </c>
      <c r="AC2403" s="131">
        <v>15000</v>
      </c>
      <c r="AD2403" s="131">
        <v>0</v>
      </c>
      <c r="AE2403" s="132">
        <v>15000</v>
      </c>
    </row>
    <row r="2404" spans="1:31" x14ac:dyDescent="0.2">
      <c r="A2404" s="133">
        <v>462</v>
      </c>
      <c r="B2404" s="133" t="s">
        <v>1056</v>
      </c>
      <c r="C2404" s="133" t="s">
        <v>1114</v>
      </c>
      <c r="D2404" s="133" t="s">
        <v>1954</v>
      </c>
      <c r="E2404" s="133" t="s">
        <v>1116</v>
      </c>
      <c r="F2404" s="133" t="s">
        <v>1117</v>
      </c>
      <c r="G2404" s="133" t="s">
        <v>1118</v>
      </c>
      <c r="H2404" s="133" t="s">
        <v>1133</v>
      </c>
      <c r="I2404" s="133" t="s">
        <v>1134</v>
      </c>
      <c r="J2404" s="133" t="s">
        <v>1135</v>
      </c>
      <c r="K2404" s="130" t="s">
        <v>1144</v>
      </c>
      <c r="L2404" s="130" t="s">
        <v>2077</v>
      </c>
      <c r="M2404" s="130" t="s">
        <v>1925</v>
      </c>
      <c r="N2404" s="130" t="s">
        <v>152</v>
      </c>
      <c r="O2404" s="130" t="s">
        <v>1125</v>
      </c>
      <c r="P2404" s="130" t="s">
        <v>1126</v>
      </c>
      <c r="Q2404" s="130" t="s">
        <v>1127</v>
      </c>
      <c r="R2404" s="130" t="s">
        <v>1448</v>
      </c>
      <c r="S2404" s="130" t="s">
        <v>1487</v>
      </c>
      <c r="T2404" s="130" t="s">
        <v>1130</v>
      </c>
      <c r="U2404" s="130">
        <v>0</v>
      </c>
      <c r="V2404" s="131">
        <v>15000</v>
      </c>
      <c r="W2404" s="131">
        <v>15000</v>
      </c>
      <c r="X2404" s="131">
        <v>0</v>
      </c>
      <c r="Y2404" s="131">
        <v>15000</v>
      </c>
      <c r="Z2404" s="131">
        <v>0</v>
      </c>
      <c r="AA2404" s="131">
        <v>15000</v>
      </c>
      <c r="AB2404" s="131">
        <v>0</v>
      </c>
      <c r="AC2404" s="131">
        <v>15000</v>
      </c>
      <c r="AD2404" s="131">
        <v>0</v>
      </c>
      <c r="AE2404" s="132">
        <v>15000</v>
      </c>
    </row>
    <row r="2405" spans="1:31" x14ac:dyDescent="0.2">
      <c r="A2405" s="130">
        <v>463</v>
      </c>
      <c r="B2405" s="130" t="s">
        <v>2361</v>
      </c>
      <c r="C2405" s="130" t="s">
        <v>1114</v>
      </c>
      <c r="D2405" s="130" t="s">
        <v>1621</v>
      </c>
      <c r="E2405" s="130" t="s">
        <v>1116</v>
      </c>
      <c r="F2405" s="130" t="s">
        <v>1117</v>
      </c>
      <c r="G2405" s="130" t="s">
        <v>1118</v>
      </c>
      <c r="H2405" s="130" t="s">
        <v>1119</v>
      </c>
      <c r="I2405" s="130" t="s">
        <v>1169</v>
      </c>
      <c r="J2405" s="130" t="s">
        <v>1195</v>
      </c>
      <c r="K2405" s="130" t="s">
        <v>1585</v>
      </c>
      <c r="L2405" s="130" t="s">
        <v>2362</v>
      </c>
      <c r="M2405" s="130" t="s">
        <v>1767</v>
      </c>
      <c r="N2405" s="130" t="s">
        <v>1588</v>
      </c>
      <c r="O2405" s="130" t="s">
        <v>1768</v>
      </c>
      <c r="P2405" s="130" t="s">
        <v>1769</v>
      </c>
      <c r="Q2405" s="130" t="s">
        <v>1127</v>
      </c>
      <c r="R2405" s="130" t="s">
        <v>1191</v>
      </c>
      <c r="S2405" s="130" t="s">
        <v>1191</v>
      </c>
      <c r="T2405" s="130" t="s">
        <v>1770</v>
      </c>
      <c r="U2405" s="130">
        <v>0</v>
      </c>
      <c r="V2405" s="131">
        <v>300000</v>
      </c>
      <c r="W2405" s="131">
        <v>300000</v>
      </c>
      <c r="X2405" s="131">
        <v>0</v>
      </c>
      <c r="Y2405" s="131">
        <v>300000</v>
      </c>
      <c r="Z2405" s="131">
        <v>0</v>
      </c>
      <c r="AA2405" s="131">
        <v>300000</v>
      </c>
      <c r="AB2405" s="131">
        <v>0</v>
      </c>
      <c r="AC2405" s="131">
        <v>300000</v>
      </c>
      <c r="AD2405" s="131">
        <v>0</v>
      </c>
      <c r="AE2405" s="132">
        <v>300000</v>
      </c>
    </row>
    <row r="2406" spans="1:31" x14ac:dyDescent="0.2">
      <c r="A2406" s="133">
        <v>463</v>
      </c>
      <c r="B2406" s="133" t="s">
        <v>2361</v>
      </c>
      <c r="C2406" s="133" t="s">
        <v>1114</v>
      </c>
      <c r="D2406" s="133" t="s">
        <v>1621</v>
      </c>
      <c r="E2406" s="133" t="s">
        <v>1116</v>
      </c>
      <c r="F2406" s="133" t="s">
        <v>1117</v>
      </c>
      <c r="G2406" s="133" t="s">
        <v>1118</v>
      </c>
      <c r="H2406" s="133" t="s">
        <v>1119</v>
      </c>
      <c r="I2406" s="133" t="s">
        <v>1169</v>
      </c>
      <c r="J2406" s="133" t="s">
        <v>1195</v>
      </c>
      <c r="K2406" s="130" t="s">
        <v>1592</v>
      </c>
      <c r="L2406" s="130" t="s">
        <v>2362</v>
      </c>
      <c r="M2406" s="130" t="s">
        <v>1767</v>
      </c>
      <c r="N2406" s="130" t="s">
        <v>1588</v>
      </c>
      <c r="O2406" s="130" t="s">
        <v>1768</v>
      </c>
      <c r="P2406" s="130" t="s">
        <v>1769</v>
      </c>
      <c r="Q2406" s="130" t="s">
        <v>1127</v>
      </c>
      <c r="R2406" s="130" t="s">
        <v>1191</v>
      </c>
      <c r="S2406" s="130" t="s">
        <v>1191</v>
      </c>
      <c r="T2406" s="130" t="s">
        <v>1770</v>
      </c>
      <c r="U2406" s="130">
        <v>0</v>
      </c>
      <c r="V2406" s="131">
        <v>2500000</v>
      </c>
      <c r="W2406" s="131">
        <v>2500000</v>
      </c>
      <c r="X2406" s="131">
        <v>0</v>
      </c>
      <c r="Y2406" s="131">
        <v>2500000</v>
      </c>
      <c r="Z2406" s="131">
        <v>0</v>
      </c>
      <c r="AA2406" s="131">
        <v>2500000</v>
      </c>
      <c r="AB2406" s="131">
        <v>0</v>
      </c>
      <c r="AC2406" s="131">
        <v>2500000</v>
      </c>
      <c r="AD2406" s="131">
        <v>0</v>
      </c>
      <c r="AE2406" s="132">
        <v>2500000</v>
      </c>
    </row>
    <row r="2407" spans="1:31" x14ac:dyDescent="0.2">
      <c r="A2407" s="133">
        <v>463</v>
      </c>
      <c r="B2407" s="133" t="s">
        <v>2361</v>
      </c>
      <c r="C2407" s="133" t="s">
        <v>1114</v>
      </c>
      <c r="D2407" s="133" t="s">
        <v>1621</v>
      </c>
      <c r="E2407" s="133" t="s">
        <v>1116</v>
      </c>
      <c r="F2407" s="133" t="s">
        <v>1117</v>
      </c>
      <c r="G2407" s="133" t="s">
        <v>1118</v>
      </c>
      <c r="H2407" s="133" t="s">
        <v>1119</v>
      </c>
      <c r="I2407" s="133" t="s">
        <v>1169</v>
      </c>
      <c r="J2407" s="133" t="s">
        <v>1195</v>
      </c>
      <c r="K2407" s="130" t="s">
        <v>1593</v>
      </c>
      <c r="L2407" s="130" t="s">
        <v>2362</v>
      </c>
      <c r="M2407" s="130" t="s">
        <v>1767</v>
      </c>
      <c r="N2407" s="130" t="s">
        <v>1588</v>
      </c>
      <c r="O2407" s="130" t="s">
        <v>1768</v>
      </c>
      <c r="P2407" s="130" t="s">
        <v>1769</v>
      </c>
      <c r="Q2407" s="130" t="s">
        <v>1127</v>
      </c>
      <c r="R2407" s="130" t="s">
        <v>1191</v>
      </c>
      <c r="S2407" s="130" t="s">
        <v>1191</v>
      </c>
      <c r="T2407" s="130" t="s">
        <v>1770</v>
      </c>
      <c r="U2407" s="130">
        <v>0</v>
      </c>
      <c r="V2407" s="131">
        <v>900000</v>
      </c>
      <c r="W2407" s="131">
        <v>900000</v>
      </c>
      <c r="X2407" s="131">
        <v>0</v>
      </c>
      <c r="Y2407" s="131">
        <v>900000</v>
      </c>
      <c r="Z2407" s="131">
        <v>0</v>
      </c>
      <c r="AA2407" s="131">
        <v>900000</v>
      </c>
      <c r="AB2407" s="131">
        <v>0</v>
      </c>
      <c r="AC2407" s="131">
        <v>900000</v>
      </c>
      <c r="AD2407" s="131">
        <v>0</v>
      </c>
      <c r="AE2407" s="132">
        <v>900000</v>
      </c>
    </row>
    <row r="2408" spans="1:31" x14ac:dyDescent="0.2">
      <c r="A2408" s="133">
        <v>463</v>
      </c>
      <c r="B2408" s="133" t="s">
        <v>2361</v>
      </c>
      <c r="C2408" s="133" t="s">
        <v>1114</v>
      </c>
      <c r="D2408" s="133" t="s">
        <v>1621</v>
      </c>
      <c r="E2408" s="133" t="s">
        <v>1116</v>
      </c>
      <c r="F2408" s="133" t="s">
        <v>1117</v>
      </c>
      <c r="G2408" s="133" t="s">
        <v>1118</v>
      </c>
      <c r="H2408" s="130" t="s">
        <v>1149</v>
      </c>
      <c r="I2408" s="130" t="s">
        <v>1182</v>
      </c>
      <c r="J2408" s="130" t="s">
        <v>1377</v>
      </c>
      <c r="K2408" s="130" t="s">
        <v>1378</v>
      </c>
      <c r="L2408" s="130" t="s">
        <v>2362</v>
      </c>
      <c r="M2408" s="130" t="s">
        <v>1767</v>
      </c>
      <c r="N2408" s="130" t="s">
        <v>1588</v>
      </c>
      <c r="O2408" s="130" t="s">
        <v>1768</v>
      </c>
      <c r="P2408" s="130" t="s">
        <v>1769</v>
      </c>
      <c r="Q2408" s="130" t="s">
        <v>1127</v>
      </c>
      <c r="R2408" s="130" t="s">
        <v>1191</v>
      </c>
      <c r="S2408" s="130" t="s">
        <v>1191</v>
      </c>
      <c r="T2408" s="130" t="s">
        <v>1770</v>
      </c>
      <c r="U2408" s="130">
        <v>0</v>
      </c>
      <c r="V2408" s="131">
        <v>0</v>
      </c>
      <c r="W2408" s="131">
        <v>0</v>
      </c>
      <c r="X2408" s="131">
        <v>0</v>
      </c>
      <c r="Y2408" s="131">
        <v>0</v>
      </c>
      <c r="Z2408" s="131">
        <v>0</v>
      </c>
      <c r="AA2408" s="131">
        <v>0</v>
      </c>
      <c r="AB2408" s="131">
        <v>0</v>
      </c>
      <c r="AC2408" s="131">
        <v>0</v>
      </c>
      <c r="AD2408" s="131">
        <v>0</v>
      </c>
      <c r="AE2408" s="132">
        <v>0</v>
      </c>
    </row>
    <row r="2409" spans="1:31" x14ac:dyDescent="0.2">
      <c r="A2409" s="133">
        <v>463</v>
      </c>
      <c r="B2409" s="133" t="s">
        <v>2361</v>
      </c>
      <c r="C2409" s="133" t="s">
        <v>1114</v>
      </c>
      <c r="D2409" s="133" t="s">
        <v>1621</v>
      </c>
      <c r="E2409" s="133" t="s">
        <v>1116</v>
      </c>
      <c r="F2409" s="133" t="s">
        <v>1117</v>
      </c>
      <c r="G2409" s="133" t="s">
        <v>1118</v>
      </c>
      <c r="H2409" s="133" t="s">
        <v>1149</v>
      </c>
      <c r="I2409" s="133" t="s">
        <v>1182</v>
      </c>
      <c r="J2409" s="130" t="s">
        <v>1347</v>
      </c>
      <c r="K2409" s="130" t="s">
        <v>1348</v>
      </c>
      <c r="L2409" s="130" t="s">
        <v>2362</v>
      </c>
      <c r="M2409" s="130" t="s">
        <v>1767</v>
      </c>
      <c r="N2409" s="130" t="s">
        <v>1588</v>
      </c>
      <c r="O2409" s="130" t="s">
        <v>1768</v>
      </c>
      <c r="P2409" s="130" t="s">
        <v>1769</v>
      </c>
      <c r="Q2409" s="130" t="s">
        <v>1127</v>
      </c>
      <c r="R2409" s="130" t="s">
        <v>1191</v>
      </c>
      <c r="S2409" s="130" t="s">
        <v>1191</v>
      </c>
      <c r="T2409" s="130" t="s">
        <v>1770</v>
      </c>
      <c r="U2409" s="130">
        <v>0</v>
      </c>
      <c r="V2409" s="131">
        <v>0</v>
      </c>
      <c r="W2409" s="131">
        <v>0</v>
      </c>
      <c r="X2409" s="131">
        <v>0</v>
      </c>
      <c r="Y2409" s="131">
        <v>0</v>
      </c>
      <c r="Z2409" s="131">
        <v>0</v>
      </c>
      <c r="AA2409" s="131">
        <v>0</v>
      </c>
      <c r="AB2409" s="131">
        <v>0</v>
      </c>
      <c r="AC2409" s="131">
        <v>0</v>
      </c>
      <c r="AD2409" s="131">
        <v>0</v>
      </c>
      <c r="AE2409" s="132">
        <v>0</v>
      </c>
    </row>
    <row r="2410" spans="1:31" x14ac:dyDescent="0.2">
      <c r="A2410" s="133">
        <v>463</v>
      </c>
      <c r="B2410" s="133" t="s">
        <v>2361</v>
      </c>
      <c r="C2410" s="133" t="s">
        <v>1114</v>
      </c>
      <c r="D2410" s="133" t="s">
        <v>1621</v>
      </c>
      <c r="E2410" s="133" t="s">
        <v>1116</v>
      </c>
      <c r="F2410" s="133" t="s">
        <v>1117</v>
      </c>
      <c r="G2410" s="133" t="s">
        <v>1118</v>
      </c>
      <c r="H2410" s="130" t="s">
        <v>1133</v>
      </c>
      <c r="I2410" s="130" t="s">
        <v>1134</v>
      </c>
      <c r="J2410" s="130" t="s">
        <v>1135</v>
      </c>
      <c r="K2410" s="130" t="s">
        <v>1178</v>
      </c>
      <c r="L2410" s="130" t="s">
        <v>2362</v>
      </c>
      <c r="M2410" s="130" t="s">
        <v>1767</v>
      </c>
      <c r="N2410" s="130" t="s">
        <v>1588</v>
      </c>
      <c r="O2410" s="130" t="s">
        <v>1768</v>
      </c>
      <c r="P2410" s="130" t="s">
        <v>1769</v>
      </c>
      <c r="Q2410" s="130" t="s">
        <v>1127</v>
      </c>
      <c r="R2410" s="130" t="s">
        <v>1191</v>
      </c>
      <c r="S2410" s="130" t="s">
        <v>1191</v>
      </c>
      <c r="T2410" s="130" t="s">
        <v>1770</v>
      </c>
      <c r="U2410" s="130">
        <v>0</v>
      </c>
      <c r="V2410" s="131">
        <v>127737</v>
      </c>
      <c r="W2410" s="131">
        <v>127737</v>
      </c>
      <c r="X2410" s="131">
        <v>0</v>
      </c>
      <c r="Y2410" s="131">
        <v>127737</v>
      </c>
      <c r="Z2410" s="131">
        <v>0</v>
      </c>
      <c r="AA2410" s="131">
        <v>127737</v>
      </c>
      <c r="AB2410" s="131">
        <v>0</v>
      </c>
      <c r="AC2410" s="131">
        <v>127737</v>
      </c>
      <c r="AD2410" s="131">
        <v>0</v>
      </c>
      <c r="AE2410" s="132">
        <v>127737</v>
      </c>
    </row>
    <row r="2411" spans="1:31" x14ac:dyDescent="0.2">
      <c r="A2411" s="133">
        <v>463</v>
      </c>
      <c r="B2411" s="133" t="s">
        <v>2361</v>
      </c>
      <c r="C2411" s="133" t="s">
        <v>1114</v>
      </c>
      <c r="D2411" s="133" t="s">
        <v>1621</v>
      </c>
      <c r="E2411" s="133" t="s">
        <v>1116</v>
      </c>
      <c r="F2411" s="133" t="s">
        <v>1117</v>
      </c>
      <c r="G2411" s="133" t="s">
        <v>1118</v>
      </c>
      <c r="H2411" s="133" t="s">
        <v>1133</v>
      </c>
      <c r="I2411" s="133" t="s">
        <v>1134</v>
      </c>
      <c r="J2411" s="133" t="s">
        <v>1135</v>
      </c>
      <c r="K2411" s="130" t="s">
        <v>1179</v>
      </c>
      <c r="L2411" s="130" t="s">
        <v>2362</v>
      </c>
      <c r="M2411" s="130" t="s">
        <v>1767</v>
      </c>
      <c r="N2411" s="130" t="s">
        <v>1588</v>
      </c>
      <c r="O2411" s="130" t="s">
        <v>1768</v>
      </c>
      <c r="P2411" s="130" t="s">
        <v>1769</v>
      </c>
      <c r="Q2411" s="130" t="s">
        <v>1127</v>
      </c>
      <c r="R2411" s="130" t="s">
        <v>1191</v>
      </c>
      <c r="S2411" s="130" t="s">
        <v>1191</v>
      </c>
      <c r="T2411" s="130" t="s">
        <v>1770</v>
      </c>
      <c r="U2411" s="130">
        <v>0</v>
      </c>
      <c r="V2411" s="131">
        <v>0</v>
      </c>
      <c r="W2411" s="131">
        <v>0</v>
      </c>
      <c r="X2411" s="131">
        <v>0</v>
      </c>
      <c r="Y2411" s="131">
        <v>0</v>
      </c>
      <c r="Z2411" s="131">
        <v>0</v>
      </c>
      <c r="AA2411" s="131">
        <v>0</v>
      </c>
      <c r="AB2411" s="131">
        <v>0</v>
      </c>
      <c r="AC2411" s="131">
        <v>0</v>
      </c>
      <c r="AD2411" s="131">
        <v>0</v>
      </c>
      <c r="AE2411" s="132">
        <v>0</v>
      </c>
    </row>
    <row r="2412" spans="1:31" x14ac:dyDescent="0.2">
      <c r="A2412" s="133">
        <v>463</v>
      </c>
      <c r="B2412" s="133" t="s">
        <v>2361</v>
      </c>
      <c r="C2412" s="133" t="s">
        <v>1114</v>
      </c>
      <c r="D2412" s="133" t="s">
        <v>1621</v>
      </c>
      <c r="E2412" s="133" t="s">
        <v>1116</v>
      </c>
      <c r="F2412" s="133" t="s">
        <v>1117</v>
      </c>
      <c r="G2412" s="133" t="s">
        <v>1118</v>
      </c>
      <c r="H2412" s="133" t="s">
        <v>1133</v>
      </c>
      <c r="I2412" s="133" t="s">
        <v>1134</v>
      </c>
      <c r="J2412" s="133" t="s">
        <v>1135</v>
      </c>
      <c r="K2412" s="130" t="s">
        <v>1144</v>
      </c>
      <c r="L2412" s="130" t="s">
        <v>2362</v>
      </c>
      <c r="M2412" s="130" t="s">
        <v>1767</v>
      </c>
      <c r="N2412" s="130" t="s">
        <v>1588</v>
      </c>
      <c r="O2412" s="130" t="s">
        <v>1768</v>
      </c>
      <c r="P2412" s="130" t="s">
        <v>1769</v>
      </c>
      <c r="Q2412" s="130" t="s">
        <v>1127</v>
      </c>
      <c r="R2412" s="130" t="s">
        <v>1191</v>
      </c>
      <c r="S2412" s="130" t="s">
        <v>1191</v>
      </c>
      <c r="T2412" s="130" t="s">
        <v>1770</v>
      </c>
      <c r="U2412" s="130">
        <v>0</v>
      </c>
      <c r="V2412" s="131">
        <v>0</v>
      </c>
      <c r="W2412" s="131">
        <v>0</v>
      </c>
      <c r="X2412" s="131">
        <v>0</v>
      </c>
      <c r="Y2412" s="131">
        <v>0</v>
      </c>
      <c r="Z2412" s="131">
        <v>0</v>
      </c>
      <c r="AA2412" s="131">
        <v>0</v>
      </c>
      <c r="AB2412" s="131">
        <v>0</v>
      </c>
      <c r="AC2412" s="131">
        <v>0</v>
      </c>
      <c r="AD2412" s="131">
        <v>0</v>
      </c>
      <c r="AE2412" s="132">
        <v>0</v>
      </c>
    </row>
    <row r="2413" spans="1:31" x14ac:dyDescent="0.2">
      <c r="A2413" s="130">
        <v>464</v>
      </c>
      <c r="B2413" s="130" t="s">
        <v>183</v>
      </c>
      <c r="C2413" s="130" t="s">
        <v>1114</v>
      </c>
      <c r="D2413" s="130" t="s">
        <v>1367</v>
      </c>
      <c r="E2413" s="130" t="s">
        <v>1116</v>
      </c>
      <c r="F2413" s="130" t="s">
        <v>1117</v>
      </c>
      <c r="G2413" s="130" t="s">
        <v>1118</v>
      </c>
      <c r="H2413" s="130" t="s">
        <v>1133</v>
      </c>
      <c r="I2413" s="130" t="s">
        <v>1134</v>
      </c>
      <c r="J2413" s="130" t="s">
        <v>1135</v>
      </c>
      <c r="K2413" s="130" t="s">
        <v>1136</v>
      </c>
      <c r="L2413" s="130" t="s">
        <v>2363</v>
      </c>
      <c r="M2413" s="130" t="s">
        <v>1360</v>
      </c>
      <c r="N2413" s="130" t="s">
        <v>168</v>
      </c>
      <c r="O2413" s="130" t="s">
        <v>1361</v>
      </c>
      <c r="P2413" s="130" t="s">
        <v>1366</v>
      </c>
      <c r="Q2413" s="130" t="s">
        <v>1127</v>
      </c>
      <c r="R2413" s="130" t="s">
        <v>1128</v>
      </c>
      <c r="S2413" s="130" t="s">
        <v>1751</v>
      </c>
      <c r="T2413" s="130" t="s">
        <v>1369</v>
      </c>
      <c r="U2413" s="130">
        <v>0</v>
      </c>
      <c r="V2413" s="131">
        <v>2455</v>
      </c>
      <c r="W2413" s="131">
        <v>2455</v>
      </c>
      <c r="X2413" s="131">
        <v>2454.4</v>
      </c>
      <c r="Y2413" s="131">
        <v>0.59999999999990905</v>
      </c>
      <c r="Z2413" s="131">
        <v>2454.4</v>
      </c>
      <c r="AA2413" s="131">
        <v>0.59999999999990905</v>
      </c>
      <c r="AB2413" s="131">
        <v>2454.4</v>
      </c>
      <c r="AC2413" s="131">
        <v>0.59999999999990905</v>
      </c>
      <c r="AD2413" s="131">
        <v>2454.4</v>
      </c>
      <c r="AE2413" s="132">
        <v>0.59999999999990905</v>
      </c>
    </row>
    <row r="2414" spans="1:31" x14ac:dyDescent="0.2">
      <c r="A2414" s="133">
        <v>464</v>
      </c>
      <c r="B2414" s="133" t="s">
        <v>183</v>
      </c>
      <c r="C2414" s="133" t="s">
        <v>1114</v>
      </c>
      <c r="D2414" s="133" t="s">
        <v>1367</v>
      </c>
      <c r="E2414" s="133" t="s">
        <v>1116</v>
      </c>
      <c r="F2414" s="133" t="s">
        <v>1117</v>
      </c>
      <c r="G2414" s="133" t="s">
        <v>1118</v>
      </c>
      <c r="H2414" s="133" t="s">
        <v>1133</v>
      </c>
      <c r="I2414" s="133" t="s">
        <v>1134</v>
      </c>
      <c r="J2414" s="133" t="s">
        <v>1135</v>
      </c>
      <c r="K2414" s="130" t="s">
        <v>1206</v>
      </c>
      <c r="L2414" s="130" t="s">
        <v>2363</v>
      </c>
      <c r="M2414" s="130" t="s">
        <v>1360</v>
      </c>
      <c r="N2414" s="130" t="s">
        <v>168</v>
      </c>
      <c r="O2414" s="130" t="s">
        <v>1361</v>
      </c>
      <c r="P2414" s="130" t="s">
        <v>1366</v>
      </c>
      <c r="Q2414" s="130" t="s">
        <v>1127</v>
      </c>
      <c r="R2414" s="130" t="s">
        <v>1128</v>
      </c>
      <c r="S2414" s="130" t="s">
        <v>1751</v>
      </c>
      <c r="T2414" s="130" t="s">
        <v>1369</v>
      </c>
      <c r="U2414" s="130">
        <v>0</v>
      </c>
      <c r="V2414" s="131">
        <v>0</v>
      </c>
      <c r="W2414" s="131">
        <v>0</v>
      </c>
      <c r="X2414" s="131">
        <v>0</v>
      </c>
      <c r="Y2414" s="131">
        <v>0</v>
      </c>
      <c r="Z2414" s="131">
        <v>0</v>
      </c>
      <c r="AA2414" s="131">
        <v>0</v>
      </c>
      <c r="AB2414" s="131">
        <v>0</v>
      </c>
      <c r="AC2414" s="131">
        <v>0</v>
      </c>
      <c r="AD2414" s="131">
        <v>0</v>
      </c>
      <c r="AE2414" s="132">
        <v>0</v>
      </c>
    </row>
    <row r="2415" spans="1:31" x14ac:dyDescent="0.2">
      <c r="A2415" s="130">
        <v>465</v>
      </c>
      <c r="B2415" s="130" t="s">
        <v>149</v>
      </c>
      <c r="C2415" s="130" t="s">
        <v>1147</v>
      </c>
      <c r="D2415" s="130" t="s">
        <v>1346</v>
      </c>
      <c r="E2415" s="130" t="s">
        <v>1116</v>
      </c>
      <c r="F2415" s="130" t="s">
        <v>1117</v>
      </c>
      <c r="G2415" s="130" t="s">
        <v>1118</v>
      </c>
      <c r="H2415" s="130" t="s">
        <v>1159</v>
      </c>
      <c r="I2415" s="130" t="s">
        <v>1160</v>
      </c>
      <c r="J2415" s="130" t="s">
        <v>1163</v>
      </c>
      <c r="K2415" s="130" t="s">
        <v>1165</v>
      </c>
      <c r="L2415" s="130" t="s">
        <v>2364</v>
      </c>
      <c r="M2415" s="130" t="s">
        <v>1925</v>
      </c>
      <c r="N2415" s="130" t="s">
        <v>148</v>
      </c>
      <c r="O2415" s="130" t="s">
        <v>1729</v>
      </c>
      <c r="P2415" s="130" t="s">
        <v>2365</v>
      </c>
      <c r="Q2415" s="130" t="s">
        <v>1127</v>
      </c>
      <c r="R2415" s="130" t="s">
        <v>1191</v>
      </c>
      <c r="S2415" s="130" t="s">
        <v>1157</v>
      </c>
      <c r="T2415" s="130" t="s">
        <v>1142</v>
      </c>
      <c r="U2415" s="130">
        <v>0</v>
      </c>
      <c r="V2415" s="131">
        <v>27998</v>
      </c>
      <c r="W2415" s="131">
        <v>27998</v>
      </c>
      <c r="X2415" s="131">
        <v>0</v>
      </c>
      <c r="Y2415" s="131">
        <v>27998</v>
      </c>
      <c r="Z2415" s="131">
        <v>0</v>
      </c>
      <c r="AA2415" s="131">
        <v>27998</v>
      </c>
      <c r="AB2415" s="131">
        <v>0</v>
      </c>
      <c r="AC2415" s="131">
        <v>27998</v>
      </c>
      <c r="AD2415" s="131">
        <v>0</v>
      </c>
      <c r="AE2415" s="132">
        <v>27998</v>
      </c>
    </row>
    <row r="2416" spans="1:31" x14ac:dyDescent="0.2">
      <c r="A2416" s="133">
        <v>465</v>
      </c>
      <c r="B2416" s="133" t="s">
        <v>149</v>
      </c>
      <c r="C2416" s="133" t="s">
        <v>1147</v>
      </c>
      <c r="D2416" s="133" t="s">
        <v>1346</v>
      </c>
      <c r="E2416" s="133" t="s">
        <v>1116</v>
      </c>
      <c r="F2416" s="133" t="s">
        <v>1117</v>
      </c>
      <c r="G2416" s="133" t="s">
        <v>1118</v>
      </c>
      <c r="H2416" s="130" t="s">
        <v>1133</v>
      </c>
      <c r="I2416" s="130" t="s">
        <v>1134</v>
      </c>
      <c r="J2416" s="130" t="s">
        <v>1135</v>
      </c>
      <c r="K2416" s="130" t="s">
        <v>1179</v>
      </c>
      <c r="L2416" s="130" t="s">
        <v>2364</v>
      </c>
      <c r="M2416" s="130" t="s">
        <v>1925</v>
      </c>
      <c r="N2416" s="130" t="s">
        <v>148</v>
      </c>
      <c r="O2416" s="130" t="s">
        <v>1729</v>
      </c>
      <c r="P2416" s="130" t="s">
        <v>2365</v>
      </c>
      <c r="Q2416" s="130" t="s">
        <v>1127</v>
      </c>
      <c r="R2416" s="130" t="s">
        <v>1191</v>
      </c>
      <c r="S2416" s="130" t="s">
        <v>1157</v>
      </c>
      <c r="T2416" s="130" t="s">
        <v>1142</v>
      </c>
      <c r="U2416" s="130">
        <v>0</v>
      </c>
      <c r="V2416" s="131">
        <v>2134</v>
      </c>
      <c r="W2416" s="131">
        <v>2134</v>
      </c>
      <c r="X2416" s="131">
        <v>0</v>
      </c>
      <c r="Y2416" s="131">
        <v>2134</v>
      </c>
      <c r="Z2416" s="131">
        <v>0</v>
      </c>
      <c r="AA2416" s="131">
        <v>2134</v>
      </c>
      <c r="AB2416" s="131">
        <v>0</v>
      </c>
      <c r="AC2416" s="131">
        <v>2134</v>
      </c>
      <c r="AD2416" s="131">
        <v>0</v>
      </c>
      <c r="AE2416" s="132">
        <v>2134</v>
      </c>
    </row>
    <row r="2417" spans="1:31" x14ac:dyDescent="0.2">
      <c r="A2417" s="133">
        <v>465</v>
      </c>
      <c r="B2417" s="133" t="s">
        <v>149</v>
      </c>
      <c r="C2417" s="133" t="s">
        <v>1147</v>
      </c>
      <c r="D2417" s="133" t="s">
        <v>1346</v>
      </c>
      <c r="E2417" s="133" t="s">
        <v>1116</v>
      </c>
      <c r="F2417" s="133" t="s">
        <v>1117</v>
      </c>
      <c r="G2417" s="133" t="s">
        <v>1118</v>
      </c>
      <c r="H2417" s="133" t="s">
        <v>1133</v>
      </c>
      <c r="I2417" s="133" t="s">
        <v>1134</v>
      </c>
      <c r="J2417" s="133" t="s">
        <v>1135</v>
      </c>
      <c r="K2417" s="130" t="s">
        <v>1144</v>
      </c>
      <c r="L2417" s="130" t="s">
        <v>2364</v>
      </c>
      <c r="M2417" s="130" t="s">
        <v>1925</v>
      </c>
      <c r="N2417" s="130" t="s">
        <v>148</v>
      </c>
      <c r="O2417" s="130" t="s">
        <v>1729</v>
      </c>
      <c r="P2417" s="130" t="s">
        <v>2365</v>
      </c>
      <c r="Q2417" s="130" t="s">
        <v>1127</v>
      </c>
      <c r="R2417" s="130" t="s">
        <v>1191</v>
      </c>
      <c r="S2417" s="130" t="s">
        <v>1157</v>
      </c>
      <c r="T2417" s="130" t="s">
        <v>1142</v>
      </c>
      <c r="U2417" s="130">
        <v>0</v>
      </c>
      <c r="V2417" s="131">
        <v>40500</v>
      </c>
      <c r="W2417" s="131">
        <v>40500</v>
      </c>
      <c r="X2417" s="131">
        <v>0</v>
      </c>
      <c r="Y2417" s="131">
        <v>40500</v>
      </c>
      <c r="Z2417" s="131">
        <v>0</v>
      </c>
      <c r="AA2417" s="131">
        <v>40500</v>
      </c>
      <c r="AB2417" s="131">
        <v>0</v>
      </c>
      <c r="AC2417" s="131">
        <v>40500</v>
      </c>
      <c r="AD2417" s="131">
        <v>0</v>
      </c>
      <c r="AE2417" s="132">
        <v>40500</v>
      </c>
    </row>
    <row r="2418" spans="1:31" x14ac:dyDescent="0.2">
      <c r="A2418" s="130">
        <v>466</v>
      </c>
      <c r="B2418" s="130" t="s">
        <v>1330</v>
      </c>
      <c r="C2418" s="130" t="s">
        <v>1199</v>
      </c>
      <c r="D2418" s="130" t="s">
        <v>2366</v>
      </c>
      <c r="E2418" s="130" t="s">
        <v>1143</v>
      </c>
      <c r="F2418" s="130" t="s">
        <v>1117</v>
      </c>
      <c r="G2418" s="130" t="s">
        <v>1202</v>
      </c>
      <c r="H2418" s="130" t="s">
        <v>1203</v>
      </c>
      <c r="I2418" s="130" t="s">
        <v>1309</v>
      </c>
      <c r="J2418" s="130" t="s">
        <v>1310</v>
      </c>
      <c r="K2418" s="130" t="s">
        <v>1310</v>
      </c>
      <c r="L2418" s="130" t="s">
        <v>2367</v>
      </c>
      <c r="M2418" s="130" t="s">
        <v>1335</v>
      </c>
      <c r="N2418" s="130" t="s">
        <v>365</v>
      </c>
      <c r="O2418" s="130" t="s">
        <v>1336</v>
      </c>
      <c r="P2418" s="130" t="s">
        <v>1337</v>
      </c>
      <c r="Q2418" s="130" t="s">
        <v>1127</v>
      </c>
      <c r="R2418" s="130" t="s">
        <v>1191</v>
      </c>
      <c r="S2418" s="130" t="s">
        <v>1191</v>
      </c>
      <c r="T2418" s="130" t="s">
        <v>1338</v>
      </c>
      <c r="U2418" s="130">
        <v>0</v>
      </c>
      <c r="V2418" s="131">
        <v>86296</v>
      </c>
      <c r="W2418" s="131">
        <v>86296</v>
      </c>
      <c r="X2418" s="131">
        <v>85500</v>
      </c>
      <c r="Y2418" s="131">
        <v>796</v>
      </c>
      <c r="Z2418" s="131">
        <v>85500</v>
      </c>
      <c r="AA2418" s="131">
        <v>796</v>
      </c>
      <c r="AB2418" s="131">
        <v>85500</v>
      </c>
      <c r="AC2418" s="131">
        <v>796</v>
      </c>
      <c r="AD2418" s="131">
        <v>15000</v>
      </c>
      <c r="AE2418" s="132">
        <v>71296</v>
      </c>
    </row>
    <row r="2419" spans="1:31" x14ac:dyDescent="0.2">
      <c r="A2419" s="130">
        <v>467</v>
      </c>
      <c r="B2419" s="130" t="s">
        <v>2368</v>
      </c>
      <c r="C2419" s="130" t="s">
        <v>1199</v>
      </c>
      <c r="D2419" s="130" t="s">
        <v>2369</v>
      </c>
      <c r="E2419" s="130" t="s">
        <v>1143</v>
      </c>
      <c r="F2419" s="130" t="s">
        <v>1117</v>
      </c>
      <c r="G2419" s="130" t="s">
        <v>1118</v>
      </c>
      <c r="H2419" s="130" t="s">
        <v>1149</v>
      </c>
      <c r="I2419" s="130" t="s">
        <v>1182</v>
      </c>
      <c r="J2419" s="130" t="s">
        <v>1942</v>
      </c>
      <c r="K2419" s="130" t="s">
        <v>1944</v>
      </c>
      <c r="L2419" s="130" t="s">
        <v>2370</v>
      </c>
      <c r="M2419" s="130" t="s">
        <v>1124</v>
      </c>
      <c r="N2419" s="130" t="s">
        <v>152</v>
      </c>
      <c r="O2419" s="130" t="s">
        <v>1125</v>
      </c>
      <c r="P2419" s="130" t="s">
        <v>1126</v>
      </c>
      <c r="Q2419" s="130" t="s">
        <v>1127</v>
      </c>
      <c r="R2419" s="130" t="s">
        <v>1191</v>
      </c>
      <c r="S2419" s="130" t="s">
        <v>1191</v>
      </c>
      <c r="T2419" s="130" t="s">
        <v>1321</v>
      </c>
      <c r="U2419" s="130">
        <v>0</v>
      </c>
      <c r="V2419" s="131">
        <v>108000</v>
      </c>
      <c r="W2419" s="131">
        <v>108000</v>
      </c>
      <c r="X2419" s="131">
        <v>108000</v>
      </c>
      <c r="Y2419" s="131">
        <v>0</v>
      </c>
      <c r="Z2419" s="131">
        <v>108000</v>
      </c>
      <c r="AA2419" s="131">
        <v>0</v>
      </c>
      <c r="AB2419" s="131">
        <v>108000</v>
      </c>
      <c r="AC2419" s="131">
        <v>0</v>
      </c>
      <c r="AD2419" s="131">
        <v>0</v>
      </c>
      <c r="AE2419" s="132">
        <v>108000</v>
      </c>
    </row>
    <row r="2420" spans="1:31" x14ac:dyDescent="0.2">
      <c r="A2420" s="130">
        <v>468</v>
      </c>
      <c r="B2420" s="130" t="s">
        <v>2371</v>
      </c>
      <c r="C2420" s="130" t="s">
        <v>1199</v>
      </c>
      <c r="D2420" s="130" t="s">
        <v>2372</v>
      </c>
      <c r="E2420" s="130" t="s">
        <v>1143</v>
      </c>
      <c r="F2420" s="130" t="s">
        <v>1117</v>
      </c>
      <c r="G2420" s="130" t="s">
        <v>1118</v>
      </c>
      <c r="H2420" s="130" t="s">
        <v>1149</v>
      </c>
      <c r="I2420" s="130" t="s">
        <v>1182</v>
      </c>
      <c r="J2420" s="130" t="s">
        <v>1183</v>
      </c>
      <c r="K2420" s="130" t="s">
        <v>1390</v>
      </c>
      <c r="L2420" s="130" t="s">
        <v>2373</v>
      </c>
      <c r="M2420" s="130" t="s">
        <v>1834</v>
      </c>
      <c r="N2420" s="130" t="s">
        <v>152</v>
      </c>
      <c r="O2420" s="130" t="s">
        <v>1835</v>
      </c>
      <c r="P2420" s="130" t="s">
        <v>1836</v>
      </c>
      <c r="Q2420" s="130" t="s">
        <v>1127</v>
      </c>
      <c r="R2420" s="130" t="s">
        <v>1191</v>
      </c>
      <c r="S2420" s="130" t="s">
        <v>1191</v>
      </c>
      <c r="T2420" s="130" t="s">
        <v>2374</v>
      </c>
      <c r="U2420" s="130">
        <v>0</v>
      </c>
      <c r="V2420" s="131">
        <v>295200</v>
      </c>
      <c r="W2420" s="131">
        <v>295200</v>
      </c>
      <c r="X2420" s="131">
        <v>295200</v>
      </c>
      <c r="Y2420" s="131">
        <v>0</v>
      </c>
      <c r="Z2420" s="131">
        <v>0</v>
      </c>
      <c r="AA2420" s="131">
        <v>295200</v>
      </c>
      <c r="AB2420" s="131">
        <v>0</v>
      </c>
      <c r="AC2420" s="131">
        <v>295200</v>
      </c>
      <c r="AD2420" s="131">
        <v>0</v>
      </c>
      <c r="AE2420" s="132">
        <v>295200</v>
      </c>
    </row>
    <row r="2421" spans="1:31" x14ac:dyDescent="0.2">
      <c r="A2421" s="130">
        <v>469</v>
      </c>
      <c r="B2421" s="130" t="s">
        <v>1198</v>
      </c>
      <c r="C2421" s="130" t="s">
        <v>1199</v>
      </c>
      <c r="D2421" s="130" t="s">
        <v>2375</v>
      </c>
      <c r="E2421" s="130" t="s">
        <v>1143</v>
      </c>
      <c r="F2421" s="130" t="s">
        <v>1117</v>
      </c>
      <c r="G2421" s="130" t="s">
        <v>1202</v>
      </c>
      <c r="H2421" s="130" t="s">
        <v>1216</v>
      </c>
      <c r="I2421" s="130" t="s">
        <v>1242</v>
      </c>
      <c r="J2421" s="130" t="s">
        <v>1243</v>
      </c>
      <c r="K2421" s="130" t="s">
        <v>1303</v>
      </c>
      <c r="L2421" s="130" t="s">
        <v>2376</v>
      </c>
      <c r="M2421" s="130" t="s">
        <v>1834</v>
      </c>
      <c r="N2421" s="130" t="s">
        <v>152</v>
      </c>
      <c r="O2421" s="130" t="s">
        <v>1845</v>
      </c>
      <c r="P2421" s="130" t="s">
        <v>1846</v>
      </c>
      <c r="Q2421" s="130" t="s">
        <v>1127</v>
      </c>
      <c r="R2421" s="130" t="s">
        <v>1191</v>
      </c>
      <c r="S2421" s="130" t="s">
        <v>1191</v>
      </c>
      <c r="T2421" s="130" t="s">
        <v>1142</v>
      </c>
      <c r="U2421" s="130">
        <v>0</v>
      </c>
      <c r="V2421" s="131">
        <v>10000</v>
      </c>
      <c r="W2421" s="131">
        <v>10000</v>
      </c>
      <c r="X2421" s="131">
        <v>6250</v>
      </c>
      <c r="Y2421" s="131">
        <v>3750</v>
      </c>
      <c r="Z2421" s="131">
        <v>6250</v>
      </c>
      <c r="AA2421" s="131">
        <v>3750</v>
      </c>
      <c r="AB2421" s="131">
        <v>0</v>
      </c>
      <c r="AC2421" s="131">
        <v>10000</v>
      </c>
      <c r="AD2421" s="131">
        <v>0</v>
      </c>
      <c r="AE2421" s="132">
        <v>10000</v>
      </c>
    </row>
    <row r="2422" spans="1:31" x14ac:dyDescent="0.2">
      <c r="A2422" s="133">
        <v>469</v>
      </c>
      <c r="B2422" s="133" t="s">
        <v>1198</v>
      </c>
      <c r="C2422" s="133" t="s">
        <v>1199</v>
      </c>
      <c r="D2422" s="133" t="s">
        <v>2375</v>
      </c>
      <c r="E2422" s="133" t="s">
        <v>1143</v>
      </c>
      <c r="F2422" s="133" t="s">
        <v>1117</v>
      </c>
      <c r="G2422" s="133" t="s">
        <v>1202</v>
      </c>
      <c r="H2422" s="133" t="s">
        <v>1216</v>
      </c>
      <c r="I2422" s="130" t="s">
        <v>1222</v>
      </c>
      <c r="J2422" s="130" t="s">
        <v>1304</v>
      </c>
      <c r="K2422" s="130" t="s">
        <v>1305</v>
      </c>
      <c r="L2422" s="130" t="s">
        <v>2376</v>
      </c>
      <c r="M2422" s="130" t="s">
        <v>1834</v>
      </c>
      <c r="N2422" s="130" t="s">
        <v>152</v>
      </c>
      <c r="O2422" s="130" t="s">
        <v>1845</v>
      </c>
      <c r="P2422" s="130" t="s">
        <v>1846</v>
      </c>
      <c r="Q2422" s="130" t="s">
        <v>1127</v>
      </c>
      <c r="R2422" s="130" t="s">
        <v>1191</v>
      </c>
      <c r="S2422" s="130" t="s">
        <v>1191</v>
      </c>
      <c r="T2422" s="130" t="s">
        <v>1142</v>
      </c>
      <c r="U2422" s="130">
        <v>0</v>
      </c>
      <c r="V2422" s="131">
        <v>5388</v>
      </c>
      <c r="W2422" s="131">
        <v>5388</v>
      </c>
      <c r="X2422" s="131">
        <v>5388</v>
      </c>
      <c r="Y2422" s="131">
        <v>0</v>
      </c>
      <c r="Z2422" s="131">
        <v>5388</v>
      </c>
      <c r="AA2422" s="131">
        <v>0</v>
      </c>
      <c r="AB2422" s="131">
        <v>5388</v>
      </c>
      <c r="AC2422" s="131">
        <v>0</v>
      </c>
      <c r="AD2422" s="131">
        <v>0</v>
      </c>
      <c r="AE2422" s="132">
        <v>5388</v>
      </c>
    </row>
    <row r="2423" spans="1:31" x14ac:dyDescent="0.2">
      <c r="A2423" s="133">
        <v>469</v>
      </c>
      <c r="B2423" s="133" t="s">
        <v>1198</v>
      </c>
      <c r="C2423" s="133" t="s">
        <v>1199</v>
      </c>
      <c r="D2423" s="133" t="s">
        <v>2375</v>
      </c>
      <c r="E2423" s="133" t="s">
        <v>1143</v>
      </c>
      <c r="F2423" s="133" t="s">
        <v>1117</v>
      </c>
      <c r="G2423" s="133" t="s">
        <v>1202</v>
      </c>
      <c r="H2423" s="130" t="s">
        <v>1203</v>
      </c>
      <c r="I2423" s="130" t="s">
        <v>1315</v>
      </c>
      <c r="J2423" s="130" t="s">
        <v>1316</v>
      </c>
      <c r="K2423" s="130" t="s">
        <v>1582</v>
      </c>
      <c r="L2423" s="130" t="s">
        <v>2376</v>
      </c>
      <c r="M2423" s="130" t="s">
        <v>1834</v>
      </c>
      <c r="N2423" s="130" t="s">
        <v>152</v>
      </c>
      <c r="O2423" s="130" t="s">
        <v>1845</v>
      </c>
      <c r="P2423" s="130" t="s">
        <v>1846</v>
      </c>
      <c r="Q2423" s="130" t="s">
        <v>1127</v>
      </c>
      <c r="R2423" s="130" t="s">
        <v>1191</v>
      </c>
      <c r="S2423" s="130" t="s">
        <v>1191</v>
      </c>
      <c r="T2423" s="130" t="s">
        <v>1142</v>
      </c>
      <c r="U2423" s="130">
        <v>0</v>
      </c>
      <c r="V2423" s="131">
        <v>35100</v>
      </c>
      <c r="W2423" s="131">
        <v>35100</v>
      </c>
      <c r="X2423" s="131">
        <v>12150</v>
      </c>
      <c r="Y2423" s="131">
        <v>22950</v>
      </c>
      <c r="Z2423" s="131">
        <v>12150</v>
      </c>
      <c r="AA2423" s="131">
        <v>22950</v>
      </c>
      <c r="AB2423" s="131">
        <v>12150</v>
      </c>
      <c r="AC2423" s="131">
        <v>22950</v>
      </c>
      <c r="AD2423" s="131">
        <v>4050</v>
      </c>
      <c r="AE2423" s="132">
        <v>31050</v>
      </c>
    </row>
    <row r="2424" spans="1:31" x14ac:dyDescent="0.2">
      <c r="A2424" s="133">
        <v>469</v>
      </c>
      <c r="B2424" s="133" t="s">
        <v>1198</v>
      </c>
      <c r="C2424" s="133" t="s">
        <v>1199</v>
      </c>
      <c r="D2424" s="133" t="s">
        <v>2375</v>
      </c>
      <c r="E2424" s="133" t="s">
        <v>1143</v>
      </c>
      <c r="F2424" s="133" t="s">
        <v>1117</v>
      </c>
      <c r="G2424" s="133" t="s">
        <v>1202</v>
      </c>
      <c r="H2424" s="133" t="s">
        <v>1203</v>
      </c>
      <c r="I2424" s="130" t="s">
        <v>1209</v>
      </c>
      <c r="J2424" s="130" t="s">
        <v>1210</v>
      </c>
      <c r="K2424" s="130" t="s">
        <v>1539</v>
      </c>
      <c r="L2424" s="130" t="s">
        <v>2376</v>
      </c>
      <c r="M2424" s="130" t="s">
        <v>1834</v>
      </c>
      <c r="N2424" s="130" t="s">
        <v>152</v>
      </c>
      <c r="O2424" s="130" t="s">
        <v>1845</v>
      </c>
      <c r="P2424" s="130" t="s">
        <v>1846</v>
      </c>
      <c r="Q2424" s="130" t="s">
        <v>1127</v>
      </c>
      <c r="R2424" s="130" t="s">
        <v>1191</v>
      </c>
      <c r="S2424" s="130" t="s">
        <v>1191</v>
      </c>
      <c r="T2424" s="130" t="s">
        <v>1142</v>
      </c>
      <c r="U2424" s="130">
        <v>0</v>
      </c>
      <c r="V2424" s="131">
        <v>15000</v>
      </c>
      <c r="W2424" s="131">
        <v>15000</v>
      </c>
      <c r="X2424" s="131">
        <v>5000</v>
      </c>
      <c r="Y2424" s="131">
        <v>10000</v>
      </c>
      <c r="Z2424" s="131">
        <v>5000</v>
      </c>
      <c r="AA2424" s="131">
        <v>10000</v>
      </c>
      <c r="AB2424" s="131">
        <v>5000</v>
      </c>
      <c r="AC2424" s="131">
        <v>10000</v>
      </c>
      <c r="AD2424" s="131">
        <v>0</v>
      </c>
      <c r="AE2424" s="132">
        <v>15000</v>
      </c>
    </row>
    <row r="2425" spans="1:31" x14ac:dyDescent="0.2">
      <c r="A2425" s="133">
        <v>469</v>
      </c>
      <c r="B2425" s="133" t="s">
        <v>1198</v>
      </c>
      <c r="C2425" s="133" t="s">
        <v>1199</v>
      </c>
      <c r="D2425" s="133" t="s">
        <v>2375</v>
      </c>
      <c r="E2425" s="133" t="s">
        <v>1143</v>
      </c>
      <c r="F2425" s="133" t="s">
        <v>1117</v>
      </c>
      <c r="G2425" s="133" t="s">
        <v>1202</v>
      </c>
      <c r="H2425" s="133" t="s">
        <v>1203</v>
      </c>
      <c r="I2425" s="130" t="s">
        <v>1309</v>
      </c>
      <c r="J2425" s="130" t="s">
        <v>1310</v>
      </c>
      <c r="K2425" s="130" t="s">
        <v>1310</v>
      </c>
      <c r="L2425" s="130" t="s">
        <v>2376</v>
      </c>
      <c r="M2425" s="130" t="s">
        <v>1834</v>
      </c>
      <c r="N2425" s="130" t="s">
        <v>152</v>
      </c>
      <c r="O2425" s="130" t="s">
        <v>1845</v>
      </c>
      <c r="P2425" s="130" t="s">
        <v>1846</v>
      </c>
      <c r="Q2425" s="130" t="s">
        <v>1127</v>
      </c>
      <c r="R2425" s="130" t="s">
        <v>1191</v>
      </c>
      <c r="S2425" s="130" t="s">
        <v>1191</v>
      </c>
      <c r="T2425" s="130" t="s">
        <v>1142</v>
      </c>
      <c r="U2425" s="130">
        <v>0</v>
      </c>
      <c r="V2425" s="131">
        <v>82175</v>
      </c>
      <c r="W2425" s="131">
        <v>82175</v>
      </c>
      <c r="X2425" s="131">
        <v>24900</v>
      </c>
      <c r="Y2425" s="131">
        <v>57275</v>
      </c>
      <c r="Z2425" s="131">
        <v>24900</v>
      </c>
      <c r="AA2425" s="131">
        <v>57275</v>
      </c>
      <c r="AB2425" s="131">
        <v>24900</v>
      </c>
      <c r="AC2425" s="131">
        <v>57275</v>
      </c>
      <c r="AD2425" s="131">
        <v>3800</v>
      </c>
      <c r="AE2425" s="132">
        <v>78375</v>
      </c>
    </row>
    <row r="2426" spans="1:31" x14ac:dyDescent="0.2">
      <c r="A2426" s="130">
        <v>470</v>
      </c>
      <c r="B2426" s="130" t="s">
        <v>1069</v>
      </c>
      <c r="C2426" s="130" t="s">
        <v>1114</v>
      </c>
      <c r="D2426" s="130" t="s">
        <v>2377</v>
      </c>
      <c r="E2426" s="130" t="s">
        <v>1116</v>
      </c>
      <c r="F2426" s="130" t="s">
        <v>1117</v>
      </c>
      <c r="G2426" s="130" t="s">
        <v>1118</v>
      </c>
      <c r="H2426" s="130" t="s">
        <v>1119</v>
      </c>
      <c r="I2426" s="130" t="s">
        <v>1169</v>
      </c>
      <c r="J2426" s="130" t="s">
        <v>2378</v>
      </c>
      <c r="K2426" s="130" t="s">
        <v>1132</v>
      </c>
      <c r="L2426" s="130" t="s">
        <v>2379</v>
      </c>
      <c r="M2426" s="130" t="s">
        <v>1335</v>
      </c>
      <c r="N2426" s="130" t="s">
        <v>365</v>
      </c>
      <c r="O2426" s="130" t="s">
        <v>1336</v>
      </c>
      <c r="P2426" s="130" t="s">
        <v>1337</v>
      </c>
      <c r="Q2426" s="130" t="s">
        <v>1127</v>
      </c>
      <c r="R2426" s="130" t="s">
        <v>1128</v>
      </c>
      <c r="S2426" s="130" t="s">
        <v>1376</v>
      </c>
      <c r="T2426" s="130" t="s">
        <v>1130</v>
      </c>
      <c r="U2426" s="130">
        <v>0</v>
      </c>
      <c r="V2426" s="131">
        <v>5000</v>
      </c>
      <c r="W2426" s="131">
        <v>5000</v>
      </c>
      <c r="X2426" s="131">
        <v>5000</v>
      </c>
      <c r="Y2426" s="131">
        <v>0</v>
      </c>
      <c r="Z2426" s="131">
        <v>0</v>
      </c>
      <c r="AA2426" s="131">
        <v>5000</v>
      </c>
      <c r="AB2426" s="131">
        <v>0</v>
      </c>
      <c r="AC2426" s="131">
        <v>5000</v>
      </c>
      <c r="AD2426" s="131">
        <v>0</v>
      </c>
      <c r="AE2426" s="132">
        <v>5000</v>
      </c>
    </row>
    <row r="2427" spans="1:31" x14ac:dyDescent="0.2">
      <c r="A2427" s="133">
        <v>470</v>
      </c>
      <c r="B2427" s="133" t="s">
        <v>1069</v>
      </c>
      <c r="C2427" s="133" t="s">
        <v>1114</v>
      </c>
      <c r="D2427" s="133" t="s">
        <v>2377</v>
      </c>
      <c r="E2427" s="133" t="s">
        <v>1116</v>
      </c>
      <c r="F2427" s="133" t="s">
        <v>1117</v>
      </c>
      <c r="G2427" s="133" t="s">
        <v>1118</v>
      </c>
      <c r="H2427" s="130" t="s">
        <v>1133</v>
      </c>
      <c r="I2427" s="130" t="s">
        <v>1134</v>
      </c>
      <c r="J2427" s="130" t="s">
        <v>1135</v>
      </c>
      <c r="K2427" s="130" t="s">
        <v>1144</v>
      </c>
      <c r="L2427" s="130" t="s">
        <v>2379</v>
      </c>
      <c r="M2427" s="130" t="s">
        <v>1335</v>
      </c>
      <c r="N2427" s="130" t="s">
        <v>365</v>
      </c>
      <c r="O2427" s="130" t="s">
        <v>1336</v>
      </c>
      <c r="P2427" s="130" t="s">
        <v>1337</v>
      </c>
      <c r="Q2427" s="130" t="s">
        <v>1127</v>
      </c>
      <c r="R2427" s="130" t="s">
        <v>1128</v>
      </c>
      <c r="S2427" s="130" t="s">
        <v>1376</v>
      </c>
      <c r="T2427" s="130" t="s">
        <v>1130</v>
      </c>
      <c r="U2427" s="130">
        <v>0</v>
      </c>
      <c r="V2427" s="131">
        <v>6000</v>
      </c>
      <c r="W2427" s="131">
        <v>6000</v>
      </c>
      <c r="X2427" s="131">
        <v>6000</v>
      </c>
      <c r="Y2427" s="131">
        <v>0</v>
      </c>
      <c r="Z2427" s="131">
        <v>0</v>
      </c>
      <c r="AA2427" s="131">
        <v>6000</v>
      </c>
      <c r="AB2427" s="131">
        <v>0</v>
      </c>
      <c r="AC2427" s="131">
        <v>6000</v>
      </c>
      <c r="AD2427" s="131">
        <v>0</v>
      </c>
      <c r="AE2427" s="132">
        <v>6000</v>
      </c>
    </row>
    <row r="2428" spans="1:31" x14ac:dyDescent="0.2">
      <c r="A2428" s="130">
        <v>471</v>
      </c>
      <c r="B2428" s="130" t="s">
        <v>1070</v>
      </c>
      <c r="C2428" s="130" t="s">
        <v>1114</v>
      </c>
      <c r="D2428" s="130" t="s">
        <v>2380</v>
      </c>
      <c r="E2428" s="130" t="s">
        <v>1116</v>
      </c>
      <c r="F2428" s="130" t="s">
        <v>1117</v>
      </c>
      <c r="G2428" s="130" t="s">
        <v>1118</v>
      </c>
      <c r="H2428" s="130" t="s">
        <v>1119</v>
      </c>
      <c r="I2428" s="130" t="s">
        <v>1169</v>
      </c>
      <c r="J2428" s="130" t="s">
        <v>1170</v>
      </c>
      <c r="K2428" s="130" t="s">
        <v>1132</v>
      </c>
      <c r="L2428" s="130" t="s">
        <v>2381</v>
      </c>
      <c r="M2428" s="130" t="s">
        <v>1925</v>
      </c>
      <c r="N2428" s="130" t="s">
        <v>148</v>
      </c>
      <c r="O2428" s="130" t="s">
        <v>2382</v>
      </c>
      <c r="P2428" s="130" t="s">
        <v>2383</v>
      </c>
      <c r="Q2428" s="130" t="s">
        <v>1127</v>
      </c>
      <c r="R2428" s="130" t="s">
        <v>1380</v>
      </c>
      <c r="S2428" s="130" t="s">
        <v>1157</v>
      </c>
      <c r="T2428" s="130" t="s">
        <v>1130</v>
      </c>
      <c r="U2428" s="130">
        <v>0</v>
      </c>
      <c r="V2428" s="131">
        <v>5000</v>
      </c>
      <c r="W2428" s="131">
        <v>5000</v>
      </c>
      <c r="X2428" s="131">
        <v>5000</v>
      </c>
      <c r="Y2428" s="131">
        <v>0</v>
      </c>
      <c r="Z2428" s="131">
        <v>0</v>
      </c>
      <c r="AA2428" s="131">
        <v>5000</v>
      </c>
      <c r="AB2428" s="131">
        <v>0</v>
      </c>
      <c r="AC2428" s="131">
        <v>5000</v>
      </c>
      <c r="AD2428" s="131">
        <v>0</v>
      </c>
      <c r="AE2428" s="132">
        <v>5000</v>
      </c>
    </row>
    <row r="2429" spans="1:31" x14ac:dyDescent="0.2">
      <c r="A2429" s="133">
        <v>471</v>
      </c>
      <c r="B2429" s="133" t="s">
        <v>1070</v>
      </c>
      <c r="C2429" s="133" t="s">
        <v>1114</v>
      </c>
      <c r="D2429" s="133" t="s">
        <v>2380</v>
      </c>
      <c r="E2429" s="133" t="s">
        <v>1116</v>
      </c>
      <c r="F2429" s="133" t="s">
        <v>1117</v>
      </c>
      <c r="G2429" s="133" t="s">
        <v>1118</v>
      </c>
      <c r="H2429" s="130" t="s">
        <v>1133</v>
      </c>
      <c r="I2429" s="130" t="s">
        <v>1134</v>
      </c>
      <c r="J2429" s="130" t="s">
        <v>1135</v>
      </c>
      <c r="K2429" s="130" t="s">
        <v>1144</v>
      </c>
      <c r="L2429" s="130" t="s">
        <v>2381</v>
      </c>
      <c r="M2429" s="130" t="s">
        <v>1925</v>
      </c>
      <c r="N2429" s="130" t="s">
        <v>148</v>
      </c>
      <c r="O2429" s="130" t="s">
        <v>2382</v>
      </c>
      <c r="P2429" s="130" t="s">
        <v>2383</v>
      </c>
      <c r="Q2429" s="130" t="s">
        <v>1127</v>
      </c>
      <c r="R2429" s="130" t="s">
        <v>1380</v>
      </c>
      <c r="S2429" s="130" t="s">
        <v>1157</v>
      </c>
      <c r="T2429" s="130" t="s">
        <v>1130</v>
      </c>
      <c r="U2429" s="130">
        <v>0</v>
      </c>
      <c r="V2429" s="131">
        <v>6000</v>
      </c>
      <c r="W2429" s="131">
        <v>6000</v>
      </c>
      <c r="X2429" s="131">
        <v>6000</v>
      </c>
      <c r="Y2429" s="131">
        <v>0</v>
      </c>
      <c r="Z2429" s="131">
        <v>0</v>
      </c>
      <c r="AA2429" s="131">
        <v>6000</v>
      </c>
      <c r="AB2429" s="131">
        <v>0</v>
      </c>
      <c r="AC2429" s="131">
        <v>6000</v>
      </c>
      <c r="AD2429" s="131">
        <v>0</v>
      </c>
      <c r="AE2429" s="132">
        <v>6000</v>
      </c>
    </row>
    <row r="2430" spans="1:31" x14ac:dyDescent="0.2">
      <c r="A2430" s="130">
        <v>472</v>
      </c>
      <c r="B2430" s="130" t="s">
        <v>1841</v>
      </c>
      <c r="C2430" s="130" t="s">
        <v>1199</v>
      </c>
      <c r="D2430" s="130" t="s">
        <v>1842</v>
      </c>
      <c r="E2430" s="130" t="s">
        <v>1903</v>
      </c>
      <c r="F2430" s="130" t="s">
        <v>1117</v>
      </c>
      <c r="G2430" s="130" t="s">
        <v>1202</v>
      </c>
      <c r="H2430" s="130" t="s">
        <v>1203</v>
      </c>
      <c r="I2430" s="130" t="s">
        <v>1309</v>
      </c>
      <c r="J2430" s="130" t="s">
        <v>1310</v>
      </c>
      <c r="K2430" s="130" t="s">
        <v>1310</v>
      </c>
      <c r="L2430" s="130" t="s">
        <v>2384</v>
      </c>
      <c r="M2430" s="130" t="s">
        <v>1844</v>
      </c>
      <c r="N2430" s="130" t="s">
        <v>120</v>
      </c>
      <c r="O2430" s="130" t="s">
        <v>1845</v>
      </c>
      <c r="P2430" s="130" t="s">
        <v>1846</v>
      </c>
      <c r="Q2430" s="130" t="s">
        <v>1127</v>
      </c>
      <c r="R2430" s="130" t="s">
        <v>1191</v>
      </c>
      <c r="S2430" s="130" t="s">
        <v>1191</v>
      </c>
      <c r="T2430" s="130" t="s">
        <v>1369</v>
      </c>
      <c r="U2430" s="130">
        <v>0</v>
      </c>
      <c r="V2430" s="131">
        <v>217664</v>
      </c>
      <c r="W2430" s="131">
        <v>217664</v>
      </c>
      <c r="X2430" s="131">
        <v>93600</v>
      </c>
      <c r="Y2430" s="131">
        <v>124064</v>
      </c>
      <c r="Z2430" s="131">
        <v>93600</v>
      </c>
      <c r="AA2430" s="131">
        <v>124064</v>
      </c>
      <c r="AB2430" s="131">
        <v>93600</v>
      </c>
      <c r="AC2430" s="131">
        <v>124064</v>
      </c>
      <c r="AD2430" s="131">
        <v>27900</v>
      </c>
      <c r="AE2430" s="132">
        <v>189764</v>
      </c>
    </row>
    <row r="2431" spans="1:31" x14ac:dyDescent="0.2">
      <c r="A2431" s="130">
        <v>473</v>
      </c>
      <c r="B2431" s="130" t="s">
        <v>1064</v>
      </c>
      <c r="C2431" s="130" t="s">
        <v>1147</v>
      </c>
      <c r="D2431" s="130" t="s">
        <v>1461</v>
      </c>
      <c r="E2431" s="130" t="s">
        <v>1116</v>
      </c>
      <c r="F2431" s="130" t="s">
        <v>1117</v>
      </c>
      <c r="G2431" s="130" t="s">
        <v>1118</v>
      </c>
      <c r="H2431" s="130" t="s">
        <v>1149</v>
      </c>
      <c r="I2431" s="130" t="s">
        <v>1182</v>
      </c>
      <c r="J2431" s="130" t="s">
        <v>2221</v>
      </c>
      <c r="K2431" s="130" t="s">
        <v>2222</v>
      </c>
      <c r="L2431" s="130" t="s">
        <v>2385</v>
      </c>
      <c r="M2431" s="130" t="s">
        <v>1925</v>
      </c>
      <c r="N2431" s="130" t="s">
        <v>2237</v>
      </c>
      <c r="O2431" s="130" t="s">
        <v>2238</v>
      </c>
      <c r="P2431" s="130" t="s">
        <v>2239</v>
      </c>
      <c r="Q2431" s="130" t="s">
        <v>1127</v>
      </c>
      <c r="R2431" s="130" t="s">
        <v>1175</v>
      </c>
      <c r="S2431" s="130" t="s">
        <v>1401</v>
      </c>
      <c r="T2431" s="130" t="s">
        <v>1188</v>
      </c>
      <c r="U2431" s="130">
        <v>0</v>
      </c>
      <c r="V2431" s="131">
        <v>146300</v>
      </c>
      <c r="W2431" s="131">
        <v>146300</v>
      </c>
      <c r="X2431" s="131">
        <v>0</v>
      </c>
      <c r="Y2431" s="131">
        <v>146300</v>
      </c>
      <c r="Z2431" s="131">
        <v>0</v>
      </c>
      <c r="AA2431" s="131">
        <v>146300</v>
      </c>
      <c r="AB2431" s="131">
        <v>0</v>
      </c>
      <c r="AC2431" s="131">
        <v>146300</v>
      </c>
      <c r="AD2431" s="131">
        <v>0</v>
      </c>
      <c r="AE2431" s="132">
        <v>146300</v>
      </c>
    </row>
    <row r="2432" spans="1:31" x14ac:dyDescent="0.2">
      <c r="A2432" s="133">
        <v>473</v>
      </c>
      <c r="B2432" s="133" t="s">
        <v>1064</v>
      </c>
      <c r="C2432" s="133" t="s">
        <v>1147</v>
      </c>
      <c r="D2432" s="133" t="s">
        <v>1461</v>
      </c>
      <c r="E2432" s="133" t="s">
        <v>1116</v>
      </c>
      <c r="F2432" s="133" t="s">
        <v>1117</v>
      </c>
      <c r="G2432" s="133" t="s">
        <v>1118</v>
      </c>
      <c r="H2432" s="130" t="s">
        <v>1133</v>
      </c>
      <c r="I2432" s="130" t="s">
        <v>1134</v>
      </c>
      <c r="J2432" s="130" t="s">
        <v>1135</v>
      </c>
      <c r="K2432" s="130" t="s">
        <v>1144</v>
      </c>
      <c r="L2432" s="130" t="s">
        <v>2385</v>
      </c>
      <c r="M2432" s="130" t="s">
        <v>1925</v>
      </c>
      <c r="N2432" s="130" t="s">
        <v>2237</v>
      </c>
      <c r="O2432" s="130" t="s">
        <v>2238</v>
      </c>
      <c r="P2432" s="130" t="s">
        <v>2239</v>
      </c>
      <c r="Q2432" s="130" t="s">
        <v>1127</v>
      </c>
      <c r="R2432" s="130" t="s">
        <v>1175</v>
      </c>
      <c r="S2432" s="130" t="s">
        <v>1401</v>
      </c>
      <c r="T2432" s="130" t="s">
        <v>1188</v>
      </c>
      <c r="U2432" s="130">
        <v>0</v>
      </c>
      <c r="V2432" s="131">
        <v>13700</v>
      </c>
      <c r="W2432" s="131">
        <v>13700</v>
      </c>
      <c r="X2432" s="131">
        <v>0</v>
      </c>
      <c r="Y2432" s="131">
        <v>13700</v>
      </c>
      <c r="Z2432" s="131">
        <v>0</v>
      </c>
      <c r="AA2432" s="131">
        <v>13700</v>
      </c>
      <c r="AB2432" s="131">
        <v>0</v>
      </c>
      <c r="AC2432" s="131">
        <v>13700</v>
      </c>
      <c r="AD2432" s="131">
        <v>0</v>
      </c>
      <c r="AE2432" s="132">
        <v>13700</v>
      </c>
    </row>
    <row r="2433" spans="1:31" x14ac:dyDescent="0.2">
      <c r="A2433" s="130">
        <v>474</v>
      </c>
      <c r="B2433" s="130" t="s">
        <v>1063</v>
      </c>
      <c r="C2433" s="130" t="s">
        <v>1147</v>
      </c>
      <c r="D2433" s="130" t="s">
        <v>1461</v>
      </c>
      <c r="E2433" s="130" t="s">
        <v>1116</v>
      </c>
      <c r="F2433" s="130" t="s">
        <v>1117</v>
      </c>
      <c r="G2433" s="130" t="s">
        <v>1118</v>
      </c>
      <c r="H2433" s="130" t="s">
        <v>1149</v>
      </c>
      <c r="I2433" s="130" t="s">
        <v>1182</v>
      </c>
      <c r="J2433" s="130" t="s">
        <v>2221</v>
      </c>
      <c r="K2433" s="130" t="s">
        <v>2222</v>
      </c>
      <c r="L2433" s="130" t="s">
        <v>2386</v>
      </c>
      <c r="M2433" s="130" t="s">
        <v>1925</v>
      </c>
      <c r="N2433" s="130" t="s">
        <v>130</v>
      </c>
      <c r="O2433" s="130" t="s">
        <v>2387</v>
      </c>
      <c r="P2433" s="130" t="s">
        <v>2388</v>
      </c>
      <c r="Q2433" s="130" t="s">
        <v>1127</v>
      </c>
      <c r="R2433" s="130" t="s">
        <v>1187</v>
      </c>
      <c r="S2433" s="130" t="s">
        <v>1613</v>
      </c>
      <c r="T2433" s="130" t="s">
        <v>1188</v>
      </c>
      <c r="U2433" s="130">
        <v>0</v>
      </c>
      <c r="V2433" s="131">
        <v>327800</v>
      </c>
      <c r="W2433" s="131">
        <v>327800</v>
      </c>
      <c r="X2433" s="131">
        <v>0</v>
      </c>
      <c r="Y2433" s="131">
        <v>327800</v>
      </c>
      <c r="Z2433" s="131">
        <v>0</v>
      </c>
      <c r="AA2433" s="131">
        <v>327800</v>
      </c>
      <c r="AB2433" s="131">
        <v>0</v>
      </c>
      <c r="AC2433" s="131">
        <v>327800</v>
      </c>
      <c r="AD2433" s="131">
        <v>0</v>
      </c>
      <c r="AE2433" s="132">
        <v>327800</v>
      </c>
    </row>
    <row r="2434" spans="1:31" x14ac:dyDescent="0.2">
      <c r="A2434" s="133">
        <v>474</v>
      </c>
      <c r="B2434" s="133" t="s">
        <v>1063</v>
      </c>
      <c r="C2434" s="133" t="s">
        <v>1147</v>
      </c>
      <c r="D2434" s="133" t="s">
        <v>1461</v>
      </c>
      <c r="E2434" s="133" t="s">
        <v>1116</v>
      </c>
      <c r="F2434" s="133" t="s">
        <v>1117</v>
      </c>
      <c r="G2434" s="133" t="s">
        <v>1118</v>
      </c>
      <c r="H2434" s="130" t="s">
        <v>1133</v>
      </c>
      <c r="I2434" s="130" t="s">
        <v>1134</v>
      </c>
      <c r="J2434" s="130" t="s">
        <v>1135</v>
      </c>
      <c r="K2434" s="130" t="s">
        <v>1144</v>
      </c>
      <c r="L2434" s="130" t="s">
        <v>2386</v>
      </c>
      <c r="M2434" s="130" t="s">
        <v>1925</v>
      </c>
      <c r="N2434" s="130" t="s">
        <v>130</v>
      </c>
      <c r="O2434" s="130" t="s">
        <v>2387</v>
      </c>
      <c r="P2434" s="130" t="s">
        <v>2388</v>
      </c>
      <c r="Q2434" s="130" t="s">
        <v>1127</v>
      </c>
      <c r="R2434" s="130" t="s">
        <v>1187</v>
      </c>
      <c r="S2434" s="130" t="s">
        <v>1613</v>
      </c>
      <c r="T2434" s="130" t="s">
        <v>1188</v>
      </c>
      <c r="U2434" s="130">
        <v>0</v>
      </c>
      <c r="V2434" s="131">
        <v>21868</v>
      </c>
      <c r="W2434" s="131">
        <v>21868</v>
      </c>
      <c r="X2434" s="131">
        <v>0</v>
      </c>
      <c r="Y2434" s="131">
        <v>21868</v>
      </c>
      <c r="Z2434" s="131">
        <v>0</v>
      </c>
      <c r="AA2434" s="131">
        <v>21868</v>
      </c>
      <c r="AB2434" s="131">
        <v>0</v>
      </c>
      <c r="AC2434" s="131">
        <v>21868</v>
      </c>
      <c r="AD2434" s="131">
        <v>0</v>
      </c>
      <c r="AE2434" s="132">
        <v>21868</v>
      </c>
    </row>
    <row r="2435" spans="1:31" x14ac:dyDescent="0.2">
      <c r="A2435" s="130">
        <v>475</v>
      </c>
      <c r="B2435" s="130" t="s">
        <v>1061</v>
      </c>
      <c r="C2435" s="130" t="s">
        <v>1147</v>
      </c>
      <c r="D2435" s="130" t="s">
        <v>1461</v>
      </c>
      <c r="E2435" s="130" t="s">
        <v>1116</v>
      </c>
      <c r="F2435" s="130" t="s">
        <v>1117</v>
      </c>
      <c r="G2435" s="130" t="s">
        <v>1118</v>
      </c>
      <c r="H2435" s="130" t="s">
        <v>1149</v>
      </c>
      <c r="I2435" s="130" t="s">
        <v>1182</v>
      </c>
      <c r="J2435" s="130" t="s">
        <v>1183</v>
      </c>
      <c r="K2435" s="130" t="s">
        <v>1184</v>
      </c>
      <c r="L2435" s="130" t="s">
        <v>2389</v>
      </c>
      <c r="M2435" s="130" t="s">
        <v>1925</v>
      </c>
      <c r="N2435" s="130" t="s">
        <v>1351</v>
      </c>
      <c r="O2435" s="130" t="s">
        <v>1352</v>
      </c>
      <c r="P2435" s="130" t="s">
        <v>1353</v>
      </c>
      <c r="Q2435" s="130" t="s">
        <v>1127</v>
      </c>
      <c r="R2435" s="130" t="s">
        <v>1409</v>
      </c>
      <c r="S2435" s="130" t="s">
        <v>1431</v>
      </c>
      <c r="T2435" s="130" t="s">
        <v>1188</v>
      </c>
      <c r="U2435" s="130">
        <v>0</v>
      </c>
      <c r="V2435" s="131">
        <v>147000</v>
      </c>
      <c r="W2435" s="131">
        <v>147000</v>
      </c>
      <c r="X2435" s="131">
        <v>0</v>
      </c>
      <c r="Y2435" s="131">
        <v>147000</v>
      </c>
      <c r="Z2435" s="131">
        <v>0</v>
      </c>
      <c r="AA2435" s="131">
        <v>147000</v>
      </c>
      <c r="AB2435" s="131">
        <v>0</v>
      </c>
      <c r="AC2435" s="131">
        <v>147000</v>
      </c>
      <c r="AD2435" s="131">
        <v>0</v>
      </c>
      <c r="AE2435" s="132">
        <v>147000</v>
      </c>
    </row>
    <row r="2436" spans="1:31" x14ac:dyDescent="0.2">
      <c r="A2436" s="133">
        <v>475</v>
      </c>
      <c r="B2436" s="133" t="s">
        <v>1061</v>
      </c>
      <c r="C2436" s="133" t="s">
        <v>1147</v>
      </c>
      <c r="D2436" s="133" t="s">
        <v>1461</v>
      </c>
      <c r="E2436" s="133" t="s">
        <v>1116</v>
      </c>
      <c r="F2436" s="133" t="s">
        <v>1117</v>
      </c>
      <c r="G2436" s="133" t="s">
        <v>1118</v>
      </c>
      <c r="H2436" s="130" t="s">
        <v>1133</v>
      </c>
      <c r="I2436" s="130" t="s">
        <v>1134</v>
      </c>
      <c r="J2436" s="130" t="s">
        <v>1135</v>
      </c>
      <c r="K2436" s="130" t="s">
        <v>1144</v>
      </c>
      <c r="L2436" s="130" t="s">
        <v>2389</v>
      </c>
      <c r="M2436" s="130" t="s">
        <v>1925</v>
      </c>
      <c r="N2436" s="130" t="s">
        <v>1351</v>
      </c>
      <c r="O2436" s="130" t="s">
        <v>1352</v>
      </c>
      <c r="P2436" s="130" t="s">
        <v>1353</v>
      </c>
      <c r="Q2436" s="130" t="s">
        <v>1127</v>
      </c>
      <c r="R2436" s="130" t="s">
        <v>1409</v>
      </c>
      <c r="S2436" s="130" t="s">
        <v>1431</v>
      </c>
      <c r="T2436" s="130" t="s">
        <v>1188</v>
      </c>
      <c r="U2436" s="130">
        <v>0</v>
      </c>
      <c r="V2436" s="131">
        <v>12560</v>
      </c>
      <c r="W2436" s="131">
        <v>12560</v>
      </c>
      <c r="X2436" s="131">
        <v>0</v>
      </c>
      <c r="Y2436" s="131">
        <v>12560</v>
      </c>
      <c r="Z2436" s="131">
        <v>0</v>
      </c>
      <c r="AA2436" s="131">
        <v>12560</v>
      </c>
      <c r="AB2436" s="131">
        <v>0</v>
      </c>
      <c r="AC2436" s="131">
        <v>12560</v>
      </c>
      <c r="AD2436" s="131">
        <v>0</v>
      </c>
      <c r="AE2436" s="132">
        <v>12560</v>
      </c>
    </row>
    <row r="2437" spans="1:31" x14ac:dyDescent="0.2">
      <c r="A2437" s="130">
        <v>476</v>
      </c>
      <c r="B2437" s="130" t="s">
        <v>1065</v>
      </c>
      <c r="C2437" s="130" t="s">
        <v>1147</v>
      </c>
      <c r="D2437" s="130" t="s">
        <v>1461</v>
      </c>
      <c r="E2437" s="130" t="s">
        <v>1116</v>
      </c>
      <c r="F2437" s="130" t="s">
        <v>1117</v>
      </c>
      <c r="G2437" s="130" t="s">
        <v>1118</v>
      </c>
      <c r="H2437" s="130" t="s">
        <v>1149</v>
      </c>
      <c r="I2437" s="130" t="s">
        <v>1182</v>
      </c>
      <c r="J2437" s="130" t="s">
        <v>1183</v>
      </c>
      <c r="K2437" s="130" t="s">
        <v>1184</v>
      </c>
      <c r="L2437" s="130" t="s">
        <v>2390</v>
      </c>
      <c r="M2437" s="130" t="s">
        <v>1925</v>
      </c>
      <c r="N2437" s="130" t="s">
        <v>2237</v>
      </c>
      <c r="O2437" s="130" t="s">
        <v>2238</v>
      </c>
      <c r="P2437" s="130" t="s">
        <v>2239</v>
      </c>
      <c r="Q2437" s="130" t="s">
        <v>1127</v>
      </c>
      <c r="R2437" s="130" t="s">
        <v>1417</v>
      </c>
      <c r="S2437" s="130" t="s">
        <v>2391</v>
      </c>
      <c r="T2437" s="130" t="s">
        <v>1188</v>
      </c>
      <c r="U2437" s="130">
        <v>0</v>
      </c>
      <c r="V2437" s="131">
        <v>127850</v>
      </c>
      <c r="W2437" s="131">
        <v>127850</v>
      </c>
      <c r="X2437" s="131">
        <v>0</v>
      </c>
      <c r="Y2437" s="131">
        <v>127850</v>
      </c>
      <c r="Z2437" s="131">
        <v>0</v>
      </c>
      <c r="AA2437" s="131">
        <v>127850</v>
      </c>
      <c r="AB2437" s="131">
        <v>0</v>
      </c>
      <c r="AC2437" s="131">
        <v>127850</v>
      </c>
      <c r="AD2437" s="131">
        <v>0</v>
      </c>
      <c r="AE2437" s="132">
        <v>127850</v>
      </c>
    </row>
    <row r="2438" spans="1:31" x14ac:dyDescent="0.2">
      <c r="A2438" s="133">
        <v>476</v>
      </c>
      <c r="B2438" s="133" t="s">
        <v>1065</v>
      </c>
      <c r="C2438" s="133" t="s">
        <v>1147</v>
      </c>
      <c r="D2438" s="133" t="s">
        <v>1461</v>
      </c>
      <c r="E2438" s="133" t="s">
        <v>1116</v>
      </c>
      <c r="F2438" s="133" t="s">
        <v>1117</v>
      </c>
      <c r="G2438" s="133" t="s">
        <v>1118</v>
      </c>
      <c r="H2438" s="130" t="s">
        <v>1133</v>
      </c>
      <c r="I2438" s="130" t="s">
        <v>1134</v>
      </c>
      <c r="J2438" s="130" t="s">
        <v>1135</v>
      </c>
      <c r="K2438" s="130" t="s">
        <v>1144</v>
      </c>
      <c r="L2438" s="130" t="s">
        <v>2390</v>
      </c>
      <c r="M2438" s="130" t="s">
        <v>1925</v>
      </c>
      <c r="N2438" s="130" t="s">
        <v>2237</v>
      </c>
      <c r="O2438" s="130" t="s">
        <v>2238</v>
      </c>
      <c r="P2438" s="130" t="s">
        <v>2239</v>
      </c>
      <c r="Q2438" s="130" t="s">
        <v>1127</v>
      </c>
      <c r="R2438" s="130" t="s">
        <v>1417</v>
      </c>
      <c r="S2438" s="130" t="s">
        <v>2391</v>
      </c>
      <c r="T2438" s="130" t="s">
        <v>1188</v>
      </c>
      <c r="U2438" s="130">
        <v>0</v>
      </c>
      <c r="V2438" s="131">
        <v>13300</v>
      </c>
      <c r="W2438" s="131">
        <v>13300</v>
      </c>
      <c r="X2438" s="131">
        <v>0</v>
      </c>
      <c r="Y2438" s="131">
        <v>13300</v>
      </c>
      <c r="Z2438" s="131">
        <v>0</v>
      </c>
      <c r="AA2438" s="131">
        <v>13300</v>
      </c>
      <c r="AB2438" s="131">
        <v>0</v>
      </c>
      <c r="AC2438" s="131">
        <v>13300</v>
      </c>
      <c r="AD2438" s="131">
        <v>0</v>
      </c>
      <c r="AE2438" s="132">
        <v>13300</v>
      </c>
    </row>
    <row r="2439" spans="1:31" x14ac:dyDescent="0.2">
      <c r="A2439" s="130">
        <v>477</v>
      </c>
      <c r="B2439" s="130" t="s">
        <v>1066</v>
      </c>
      <c r="C2439" s="130" t="s">
        <v>1147</v>
      </c>
      <c r="D2439" s="130" t="s">
        <v>1461</v>
      </c>
      <c r="E2439" s="130" t="s">
        <v>1116</v>
      </c>
      <c r="F2439" s="130" t="s">
        <v>1117</v>
      </c>
      <c r="G2439" s="130" t="s">
        <v>1118</v>
      </c>
      <c r="H2439" s="130" t="s">
        <v>1149</v>
      </c>
      <c r="I2439" s="130" t="s">
        <v>1182</v>
      </c>
      <c r="J2439" s="130" t="s">
        <v>2221</v>
      </c>
      <c r="K2439" s="130" t="s">
        <v>2222</v>
      </c>
      <c r="L2439" s="130" t="s">
        <v>2392</v>
      </c>
      <c r="M2439" s="130" t="s">
        <v>1925</v>
      </c>
      <c r="N2439" s="130" t="s">
        <v>2237</v>
      </c>
      <c r="O2439" s="130" t="s">
        <v>2238</v>
      </c>
      <c r="P2439" s="130" t="s">
        <v>2239</v>
      </c>
      <c r="Q2439" s="130" t="s">
        <v>1127</v>
      </c>
      <c r="R2439" s="130" t="s">
        <v>1191</v>
      </c>
      <c r="S2439" s="130" t="s">
        <v>1191</v>
      </c>
      <c r="T2439" s="130" t="s">
        <v>1188</v>
      </c>
      <c r="U2439" s="130">
        <v>0</v>
      </c>
      <c r="V2439" s="131">
        <v>320200</v>
      </c>
      <c r="W2439" s="131">
        <v>320200</v>
      </c>
      <c r="X2439" s="131">
        <v>0</v>
      </c>
      <c r="Y2439" s="131">
        <v>320200</v>
      </c>
      <c r="Z2439" s="131">
        <v>0</v>
      </c>
      <c r="AA2439" s="131">
        <v>320200</v>
      </c>
      <c r="AB2439" s="131">
        <v>0</v>
      </c>
      <c r="AC2439" s="131">
        <v>320200</v>
      </c>
      <c r="AD2439" s="131">
        <v>0</v>
      </c>
      <c r="AE2439" s="132">
        <v>320200</v>
      </c>
    </row>
    <row r="2440" spans="1:31" x14ac:dyDescent="0.2">
      <c r="A2440" s="133">
        <v>477</v>
      </c>
      <c r="B2440" s="133" t="s">
        <v>1066</v>
      </c>
      <c r="C2440" s="133" t="s">
        <v>1147</v>
      </c>
      <c r="D2440" s="133" t="s">
        <v>1461</v>
      </c>
      <c r="E2440" s="133" t="s">
        <v>1116</v>
      </c>
      <c r="F2440" s="133" t="s">
        <v>1117</v>
      </c>
      <c r="G2440" s="133" t="s">
        <v>1118</v>
      </c>
      <c r="H2440" s="130" t="s">
        <v>1133</v>
      </c>
      <c r="I2440" s="130" t="s">
        <v>1134</v>
      </c>
      <c r="J2440" s="130" t="s">
        <v>1135</v>
      </c>
      <c r="K2440" s="130" t="s">
        <v>1144</v>
      </c>
      <c r="L2440" s="130" t="s">
        <v>2392</v>
      </c>
      <c r="M2440" s="130" t="s">
        <v>1925</v>
      </c>
      <c r="N2440" s="130" t="s">
        <v>2237</v>
      </c>
      <c r="O2440" s="130" t="s">
        <v>2238</v>
      </c>
      <c r="P2440" s="130" t="s">
        <v>2239</v>
      </c>
      <c r="Q2440" s="130" t="s">
        <v>1127</v>
      </c>
      <c r="R2440" s="130" t="s">
        <v>1191</v>
      </c>
      <c r="S2440" s="130" t="s">
        <v>1191</v>
      </c>
      <c r="T2440" s="130" t="s">
        <v>1188</v>
      </c>
      <c r="U2440" s="130">
        <v>0</v>
      </c>
      <c r="V2440" s="131">
        <v>29800</v>
      </c>
      <c r="W2440" s="131">
        <v>29800</v>
      </c>
      <c r="X2440" s="131">
        <v>0</v>
      </c>
      <c r="Y2440" s="131">
        <v>29800</v>
      </c>
      <c r="Z2440" s="131">
        <v>0</v>
      </c>
      <c r="AA2440" s="131">
        <v>29800</v>
      </c>
      <c r="AB2440" s="131">
        <v>0</v>
      </c>
      <c r="AC2440" s="131">
        <v>29800</v>
      </c>
      <c r="AD2440" s="131">
        <v>0</v>
      </c>
      <c r="AE2440" s="132">
        <v>29800</v>
      </c>
    </row>
    <row r="2441" spans="1:31" x14ac:dyDescent="0.2">
      <c r="A2441" s="130">
        <v>478</v>
      </c>
      <c r="B2441" s="130" t="s">
        <v>1062</v>
      </c>
      <c r="C2441" s="130" t="s">
        <v>1147</v>
      </c>
      <c r="D2441" s="130" t="s">
        <v>1461</v>
      </c>
      <c r="E2441" s="130" t="s">
        <v>1116</v>
      </c>
      <c r="F2441" s="130" t="s">
        <v>1117</v>
      </c>
      <c r="G2441" s="130" t="s">
        <v>1118</v>
      </c>
      <c r="H2441" s="130" t="s">
        <v>1149</v>
      </c>
      <c r="I2441" s="130" t="s">
        <v>1182</v>
      </c>
      <c r="J2441" s="130" t="s">
        <v>2221</v>
      </c>
      <c r="K2441" s="130" t="s">
        <v>2222</v>
      </c>
      <c r="L2441" s="130" t="s">
        <v>2393</v>
      </c>
      <c r="M2441" s="130" t="s">
        <v>1925</v>
      </c>
      <c r="N2441" s="130" t="s">
        <v>127</v>
      </c>
      <c r="O2441" s="130" t="s">
        <v>1933</v>
      </c>
      <c r="P2441" s="130" t="s">
        <v>1934</v>
      </c>
      <c r="Q2441" s="130" t="s">
        <v>1127</v>
      </c>
      <c r="R2441" s="130" t="s">
        <v>1191</v>
      </c>
      <c r="S2441" s="130" t="s">
        <v>1192</v>
      </c>
      <c r="T2441" s="130" t="s">
        <v>1188</v>
      </c>
      <c r="U2441" s="130">
        <v>0</v>
      </c>
      <c r="V2441" s="131">
        <v>146500</v>
      </c>
      <c r="W2441" s="131">
        <v>146500</v>
      </c>
      <c r="X2441" s="131">
        <v>0</v>
      </c>
      <c r="Y2441" s="131">
        <v>146500</v>
      </c>
      <c r="Z2441" s="131">
        <v>0</v>
      </c>
      <c r="AA2441" s="131">
        <v>146500</v>
      </c>
      <c r="AB2441" s="131">
        <v>0</v>
      </c>
      <c r="AC2441" s="131">
        <v>146500</v>
      </c>
      <c r="AD2441" s="131">
        <v>0</v>
      </c>
      <c r="AE2441" s="132">
        <v>146500</v>
      </c>
    </row>
    <row r="2442" spans="1:31" x14ac:dyDescent="0.2">
      <c r="A2442" s="133">
        <v>478</v>
      </c>
      <c r="B2442" s="133" t="s">
        <v>1062</v>
      </c>
      <c r="C2442" s="133" t="s">
        <v>1147</v>
      </c>
      <c r="D2442" s="133" t="s">
        <v>1461</v>
      </c>
      <c r="E2442" s="133" t="s">
        <v>1116</v>
      </c>
      <c r="F2442" s="133" t="s">
        <v>1117</v>
      </c>
      <c r="G2442" s="133" t="s">
        <v>1118</v>
      </c>
      <c r="H2442" s="130" t="s">
        <v>1133</v>
      </c>
      <c r="I2442" s="130" t="s">
        <v>1134</v>
      </c>
      <c r="J2442" s="130" t="s">
        <v>1135</v>
      </c>
      <c r="K2442" s="130" t="s">
        <v>1144</v>
      </c>
      <c r="L2442" s="130" t="s">
        <v>2393</v>
      </c>
      <c r="M2442" s="130" t="s">
        <v>1925</v>
      </c>
      <c r="N2442" s="130" t="s">
        <v>127</v>
      </c>
      <c r="O2442" s="130" t="s">
        <v>1933</v>
      </c>
      <c r="P2442" s="130" t="s">
        <v>1934</v>
      </c>
      <c r="Q2442" s="130" t="s">
        <v>1127</v>
      </c>
      <c r="R2442" s="130" t="s">
        <v>1191</v>
      </c>
      <c r="S2442" s="130" t="s">
        <v>1192</v>
      </c>
      <c r="T2442" s="130" t="s">
        <v>1188</v>
      </c>
      <c r="U2442" s="130">
        <v>0</v>
      </c>
      <c r="V2442" s="131">
        <v>13478</v>
      </c>
      <c r="W2442" s="131">
        <v>13478</v>
      </c>
      <c r="X2442" s="131">
        <v>0</v>
      </c>
      <c r="Y2442" s="131">
        <v>13478</v>
      </c>
      <c r="Z2442" s="131">
        <v>0</v>
      </c>
      <c r="AA2442" s="131">
        <v>13478</v>
      </c>
      <c r="AB2442" s="131">
        <v>0</v>
      </c>
      <c r="AC2442" s="131">
        <v>13478</v>
      </c>
      <c r="AD2442" s="131">
        <v>0</v>
      </c>
      <c r="AE2442" s="132">
        <v>13478</v>
      </c>
    </row>
    <row r="2443" spans="1:31" x14ac:dyDescent="0.2">
      <c r="A2443" s="130">
        <v>479</v>
      </c>
      <c r="B2443" s="130" t="s">
        <v>1071</v>
      </c>
      <c r="C2443" s="130" t="s">
        <v>1114</v>
      </c>
      <c r="D2443" s="130" t="s">
        <v>1367</v>
      </c>
      <c r="E2443" s="130" t="s">
        <v>1116</v>
      </c>
      <c r="F2443" s="130" t="s">
        <v>1117</v>
      </c>
      <c r="G2443" s="130" t="s">
        <v>1118</v>
      </c>
      <c r="H2443" s="130" t="s">
        <v>1133</v>
      </c>
      <c r="I2443" s="130" t="s">
        <v>1134</v>
      </c>
      <c r="J2443" s="130" t="s">
        <v>1166</v>
      </c>
      <c r="K2443" s="130" t="s">
        <v>1167</v>
      </c>
      <c r="L2443" s="130" t="s">
        <v>2394</v>
      </c>
      <c r="M2443" s="130" t="s">
        <v>1360</v>
      </c>
      <c r="N2443" s="130" t="s">
        <v>168</v>
      </c>
      <c r="O2443" s="130" t="s">
        <v>1361</v>
      </c>
      <c r="P2443" s="130" t="s">
        <v>1366</v>
      </c>
      <c r="Q2443" s="130" t="s">
        <v>1127</v>
      </c>
      <c r="R2443" s="130" t="s">
        <v>1409</v>
      </c>
      <c r="S2443" s="130" t="s">
        <v>1410</v>
      </c>
      <c r="T2443" s="130" t="s">
        <v>1158</v>
      </c>
      <c r="U2443" s="130">
        <v>0</v>
      </c>
      <c r="V2443" s="131">
        <v>442669</v>
      </c>
      <c r="W2443" s="131">
        <v>442669</v>
      </c>
      <c r="X2443" s="131">
        <v>442669</v>
      </c>
      <c r="Y2443" s="131">
        <v>0</v>
      </c>
      <c r="Z2443" s="131">
        <v>442669</v>
      </c>
      <c r="AA2443" s="131">
        <v>0</v>
      </c>
      <c r="AB2443" s="131">
        <v>67023.08</v>
      </c>
      <c r="AC2443" s="131">
        <v>375645.92</v>
      </c>
      <c r="AD2443" s="131">
        <v>67023.08</v>
      </c>
      <c r="AE2443" s="132">
        <v>375645.92</v>
      </c>
    </row>
    <row r="2444" spans="1:31" x14ac:dyDescent="0.2">
      <c r="A2444" s="130">
        <v>480</v>
      </c>
      <c r="B2444" s="130" t="s">
        <v>1072</v>
      </c>
      <c r="C2444" s="130" t="s">
        <v>1147</v>
      </c>
      <c r="D2444" s="130" t="s">
        <v>2395</v>
      </c>
      <c r="E2444" s="130" t="s">
        <v>1116</v>
      </c>
      <c r="F2444" s="130" t="s">
        <v>1117</v>
      </c>
      <c r="G2444" s="130" t="s">
        <v>1118</v>
      </c>
      <c r="H2444" s="130" t="s">
        <v>1119</v>
      </c>
      <c r="I2444" s="130" t="s">
        <v>1120</v>
      </c>
      <c r="J2444" s="130" t="s">
        <v>1358</v>
      </c>
      <c r="K2444" s="130" t="s">
        <v>1131</v>
      </c>
      <c r="L2444" s="130" t="s">
        <v>2396</v>
      </c>
      <c r="M2444" s="130" t="s">
        <v>1360</v>
      </c>
      <c r="N2444" s="130" t="s">
        <v>168</v>
      </c>
      <c r="O2444" s="130" t="s">
        <v>1361</v>
      </c>
      <c r="P2444" s="130" t="s">
        <v>1366</v>
      </c>
      <c r="Q2444" s="130" t="s">
        <v>1127</v>
      </c>
      <c r="R2444" s="130" t="s">
        <v>1448</v>
      </c>
      <c r="S2444" s="130" t="s">
        <v>1487</v>
      </c>
      <c r="T2444" s="130" t="s">
        <v>2397</v>
      </c>
      <c r="U2444" s="130">
        <v>0</v>
      </c>
      <c r="V2444" s="131">
        <v>17266</v>
      </c>
      <c r="W2444" s="131">
        <v>17266</v>
      </c>
      <c r="X2444" s="131">
        <v>0</v>
      </c>
      <c r="Y2444" s="131">
        <v>17266</v>
      </c>
      <c r="Z2444" s="131">
        <v>0</v>
      </c>
      <c r="AA2444" s="131">
        <v>17266</v>
      </c>
      <c r="AB2444" s="131">
        <v>0</v>
      </c>
      <c r="AC2444" s="131">
        <v>17266</v>
      </c>
      <c r="AD2444" s="131">
        <v>0</v>
      </c>
      <c r="AE2444" s="132">
        <v>17266</v>
      </c>
    </row>
    <row r="2445" spans="1:31" x14ac:dyDescent="0.2">
      <c r="A2445" s="133">
        <v>480</v>
      </c>
      <c r="B2445" s="133" t="s">
        <v>1072</v>
      </c>
      <c r="C2445" s="133" t="s">
        <v>1147</v>
      </c>
      <c r="D2445" s="133" t="s">
        <v>2395</v>
      </c>
      <c r="E2445" s="133" t="s">
        <v>1116</v>
      </c>
      <c r="F2445" s="133" t="s">
        <v>1117</v>
      </c>
      <c r="G2445" s="133" t="s">
        <v>1118</v>
      </c>
      <c r="H2445" s="133" t="s">
        <v>1119</v>
      </c>
      <c r="I2445" s="133" t="s">
        <v>1120</v>
      </c>
      <c r="J2445" s="133" t="s">
        <v>1358</v>
      </c>
      <c r="K2445" s="130" t="s">
        <v>1177</v>
      </c>
      <c r="L2445" s="130" t="s">
        <v>2396</v>
      </c>
      <c r="M2445" s="130" t="s">
        <v>1360</v>
      </c>
      <c r="N2445" s="130" t="s">
        <v>168</v>
      </c>
      <c r="O2445" s="130" t="s">
        <v>1361</v>
      </c>
      <c r="P2445" s="130" t="s">
        <v>1366</v>
      </c>
      <c r="Q2445" s="130" t="s">
        <v>1127</v>
      </c>
      <c r="R2445" s="130" t="s">
        <v>1448</v>
      </c>
      <c r="S2445" s="130" t="s">
        <v>1487</v>
      </c>
      <c r="T2445" s="130" t="s">
        <v>2397</v>
      </c>
      <c r="U2445" s="130">
        <v>0</v>
      </c>
      <c r="V2445" s="131">
        <v>1503</v>
      </c>
      <c r="W2445" s="131">
        <v>1503</v>
      </c>
      <c r="X2445" s="131">
        <v>815</v>
      </c>
      <c r="Y2445" s="131">
        <v>688</v>
      </c>
      <c r="Z2445" s="131">
        <v>815</v>
      </c>
      <c r="AA2445" s="131">
        <v>688</v>
      </c>
      <c r="AB2445" s="131">
        <v>815</v>
      </c>
      <c r="AC2445" s="131">
        <v>688</v>
      </c>
      <c r="AD2445" s="131">
        <v>0</v>
      </c>
      <c r="AE2445" s="132">
        <v>1503</v>
      </c>
    </row>
    <row r="2446" spans="1:31" x14ac:dyDescent="0.2">
      <c r="A2446" s="133">
        <v>480</v>
      </c>
      <c r="B2446" s="133" t="s">
        <v>1072</v>
      </c>
      <c r="C2446" s="133" t="s">
        <v>1147</v>
      </c>
      <c r="D2446" s="133" t="s">
        <v>2395</v>
      </c>
      <c r="E2446" s="133" t="s">
        <v>1116</v>
      </c>
      <c r="F2446" s="133" t="s">
        <v>1117</v>
      </c>
      <c r="G2446" s="133" t="s">
        <v>1118</v>
      </c>
      <c r="H2446" s="133" t="s">
        <v>1119</v>
      </c>
      <c r="I2446" s="133" t="s">
        <v>1120</v>
      </c>
      <c r="J2446" s="133" t="s">
        <v>1358</v>
      </c>
      <c r="K2446" s="130" t="s">
        <v>1132</v>
      </c>
      <c r="L2446" s="130" t="s">
        <v>2396</v>
      </c>
      <c r="M2446" s="130" t="s">
        <v>1360</v>
      </c>
      <c r="N2446" s="130" t="s">
        <v>168</v>
      </c>
      <c r="O2446" s="130" t="s">
        <v>1361</v>
      </c>
      <c r="P2446" s="130" t="s">
        <v>1366</v>
      </c>
      <c r="Q2446" s="130" t="s">
        <v>1127</v>
      </c>
      <c r="R2446" s="130" t="s">
        <v>1448</v>
      </c>
      <c r="S2446" s="130" t="s">
        <v>1487</v>
      </c>
      <c r="T2446" s="130" t="s">
        <v>2397</v>
      </c>
      <c r="U2446" s="130">
        <v>0</v>
      </c>
      <c r="V2446" s="131">
        <v>16730</v>
      </c>
      <c r="W2446" s="131">
        <v>16730</v>
      </c>
      <c r="X2446" s="131">
        <v>0</v>
      </c>
      <c r="Y2446" s="131">
        <v>16730</v>
      </c>
      <c r="Z2446" s="131">
        <v>0</v>
      </c>
      <c r="AA2446" s="131">
        <v>16730</v>
      </c>
      <c r="AB2446" s="131">
        <v>0</v>
      </c>
      <c r="AC2446" s="131">
        <v>16730</v>
      </c>
      <c r="AD2446" s="131">
        <v>0</v>
      </c>
      <c r="AE2446" s="132">
        <v>16730</v>
      </c>
    </row>
    <row r="2447" spans="1:31" x14ac:dyDescent="0.2">
      <c r="A2447" s="133">
        <v>480</v>
      </c>
      <c r="B2447" s="133" t="s">
        <v>1072</v>
      </c>
      <c r="C2447" s="133" t="s">
        <v>1147</v>
      </c>
      <c r="D2447" s="133" t="s">
        <v>2395</v>
      </c>
      <c r="E2447" s="133" t="s">
        <v>1116</v>
      </c>
      <c r="F2447" s="133" t="s">
        <v>1117</v>
      </c>
      <c r="G2447" s="133" t="s">
        <v>1118</v>
      </c>
      <c r="H2447" s="130" t="s">
        <v>1149</v>
      </c>
      <c r="I2447" s="130" t="s">
        <v>1182</v>
      </c>
      <c r="J2447" s="130" t="s">
        <v>1382</v>
      </c>
      <c r="K2447" s="130" t="s">
        <v>1383</v>
      </c>
      <c r="L2447" s="130" t="s">
        <v>2396</v>
      </c>
      <c r="M2447" s="130" t="s">
        <v>1360</v>
      </c>
      <c r="N2447" s="130" t="s">
        <v>168</v>
      </c>
      <c r="O2447" s="130" t="s">
        <v>1361</v>
      </c>
      <c r="P2447" s="130" t="s">
        <v>1366</v>
      </c>
      <c r="Q2447" s="130" t="s">
        <v>1127</v>
      </c>
      <c r="R2447" s="130" t="s">
        <v>1448</v>
      </c>
      <c r="S2447" s="130" t="s">
        <v>1487</v>
      </c>
      <c r="T2447" s="130" t="s">
        <v>2397</v>
      </c>
      <c r="U2447" s="130">
        <v>0</v>
      </c>
      <c r="V2447" s="131">
        <v>1799</v>
      </c>
      <c r="W2447" s="131">
        <v>1799</v>
      </c>
      <c r="X2447" s="131">
        <v>0</v>
      </c>
      <c r="Y2447" s="131">
        <v>1799</v>
      </c>
      <c r="Z2447" s="131">
        <v>0</v>
      </c>
      <c r="AA2447" s="131">
        <v>1799</v>
      </c>
      <c r="AB2447" s="131">
        <v>0</v>
      </c>
      <c r="AC2447" s="131">
        <v>1799</v>
      </c>
      <c r="AD2447" s="131">
        <v>0</v>
      </c>
      <c r="AE2447" s="132">
        <v>1799</v>
      </c>
    </row>
    <row r="2448" spans="1:31" x14ac:dyDescent="0.2">
      <c r="A2448" s="133">
        <v>480</v>
      </c>
      <c r="B2448" s="133" t="s">
        <v>1072</v>
      </c>
      <c r="C2448" s="133" t="s">
        <v>1147</v>
      </c>
      <c r="D2448" s="133" t="s">
        <v>2395</v>
      </c>
      <c r="E2448" s="133" t="s">
        <v>1116</v>
      </c>
      <c r="F2448" s="133" t="s">
        <v>1117</v>
      </c>
      <c r="G2448" s="133" t="s">
        <v>1118</v>
      </c>
      <c r="H2448" s="133" t="s">
        <v>1149</v>
      </c>
      <c r="I2448" s="133" t="s">
        <v>1182</v>
      </c>
      <c r="J2448" s="133" t="s">
        <v>1382</v>
      </c>
      <c r="K2448" s="130" t="s">
        <v>1378</v>
      </c>
      <c r="L2448" s="130" t="s">
        <v>2396</v>
      </c>
      <c r="M2448" s="130" t="s">
        <v>1360</v>
      </c>
      <c r="N2448" s="130" t="s">
        <v>168</v>
      </c>
      <c r="O2448" s="130" t="s">
        <v>1361</v>
      </c>
      <c r="P2448" s="130" t="s">
        <v>1366</v>
      </c>
      <c r="Q2448" s="130" t="s">
        <v>1127</v>
      </c>
      <c r="R2448" s="130" t="s">
        <v>1448</v>
      </c>
      <c r="S2448" s="130" t="s">
        <v>1487</v>
      </c>
      <c r="T2448" s="130" t="s">
        <v>2397</v>
      </c>
      <c r="U2448" s="130">
        <v>0</v>
      </c>
      <c r="V2448" s="131">
        <v>316296</v>
      </c>
      <c r="W2448" s="131">
        <v>316296</v>
      </c>
      <c r="X2448" s="131">
        <v>186499.5</v>
      </c>
      <c r="Y2448" s="131">
        <v>129796.5</v>
      </c>
      <c r="Z2448" s="131">
        <v>36360</v>
      </c>
      <c r="AA2448" s="131">
        <v>279936</v>
      </c>
      <c r="AB2448" s="131">
        <v>36360</v>
      </c>
      <c r="AC2448" s="131">
        <v>279936</v>
      </c>
      <c r="AD2448" s="131">
        <v>0</v>
      </c>
      <c r="AE2448" s="132">
        <v>316296</v>
      </c>
    </row>
    <row r="2449" spans="1:31" x14ac:dyDescent="0.2">
      <c r="A2449" s="133">
        <v>480</v>
      </c>
      <c r="B2449" s="133" t="s">
        <v>1072</v>
      </c>
      <c r="C2449" s="133" t="s">
        <v>1147</v>
      </c>
      <c r="D2449" s="133" t="s">
        <v>2395</v>
      </c>
      <c r="E2449" s="133" t="s">
        <v>1116</v>
      </c>
      <c r="F2449" s="133" t="s">
        <v>1117</v>
      </c>
      <c r="G2449" s="133" t="s">
        <v>1118</v>
      </c>
      <c r="H2449" s="133" t="s">
        <v>1149</v>
      </c>
      <c r="I2449" s="133" t="s">
        <v>1182</v>
      </c>
      <c r="J2449" s="130" t="s">
        <v>1347</v>
      </c>
      <c r="K2449" s="130" t="s">
        <v>1348</v>
      </c>
      <c r="L2449" s="130" t="s">
        <v>2396</v>
      </c>
      <c r="M2449" s="130" t="s">
        <v>1360</v>
      </c>
      <c r="N2449" s="130" t="s">
        <v>168</v>
      </c>
      <c r="O2449" s="130" t="s">
        <v>1361</v>
      </c>
      <c r="P2449" s="130" t="s">
        <v>1366</v>
      </c>
      <c r="Q2449" s="130" t="s">
        <v>1127</v>
      </c>
      <c r="R2449" s="130" t="s">
        <v>1448</v>
      </c>
      <c r="S2449" s="130" t="s">
        <v>1487</v>
      </c>
      <c r="T2449" s="130" t="s">
        <v>2397</v>
      </c>
      <c r="U2449" s="130">
        <v>0</v>
      </c>
      <c r="V2449" s="131">
        <v>112344</v>
      </c>
      <c r="W2449" s="131">
        <v>112344</v>
      </c>
      <c r="X2449" s="131">
        <v>3750</v>
      </c>
      <c r="Y2449" s="131">
        <v>108594</v>
      </c>
      <c r="Z2449" s="131">
        <v>3750</v>
      </c>
      <c r="AA2449" s="131">
        <v>108594</v>
      </c>
      <c r="AB2449" s="131">
        <v>3750</v>
      </c>
      <c r="AC2449" s="131">
        <v>108594</v>
      </c>
      <c r="AD2449" s="131">
        <v>0</v>
      </c>
      <c r="AE2449" s="132">
        <v>112344</v>
      </c>
    </row>
    <row r="2450" spans="1:31" x14ac:dyDescent="0.2">
      <c r="A2450" s="133">
        <v>480</v>
      </c>
      <c r="B2450" s="133" t="s">
        <v>1072</v>
      </c>
      <c r="C2450" s="133" t="s">
        <v>1147</v>
      </c>
      <c r="D2450" s="133" t="s">
        <v>2395</v>
      </c>
      <c r="E2450" s="133" t="s">
        <v>1116</v>
      </c>
      <c r="F2450" s="133" t="s">
        <v>1117</v>
      </c>
      <c r="G2450" s="133" t="s">
        <v>1118</v>
      </c>
      <c r="H2450" s="133" t="s">
        <v>1149</v>
      </c>
      <c r="I2450" s="133" t="s">
        <v>1182</v>
      </c>
      <c r="J2450" s="130" t="s">
        <v>1183</v>
      </c>
      <c r="K2450" s="130" t="s">
        <v>2398</v>
      </c>
      <c r="L2450" s="130" t="s">
        <v>2396</v>
      </c>
      <c r="M2450" s="130" t="s">
        <v>1360</v>
      </c>
      <c r="N2450" s="130" t="s">
        <v>168</v>
      </c>
      <c r="O2450" s="130" t="s">
        <v>1361</v>
      </c>
      <c r="P2450" s="130" t="s">
        <v>1366</v>
      </c>
      <c r="Q2450" s="130" t="s">
        <v>1127</v>
      </c>
      <c r="R2450" s="130" t="s">
        <v>1448</v>
      </c>
      <c r="S2450" s="130" t="s">
        <v>1487</v>
      </c>
      <c r="T2450" s="130" t="s">
        <v>2397</v>
      </c>
      <c r="U2450" s="130">
        <v>0</v>
      </c>
      <c r="V2450" s="131">
        <v>3045</v>
      </c>
      <c r="W2450" s="131">
        <v>3045</v>
      </c>
      <c r="X2450" s="131">
        <v>0</v>
      </c>
      <c r="Y2450" s="131">
        <v>3045</v>
      </c>
      <c r="Z2450" s="131">
        <v>0</v>
      </c>
      <c r="AA2450" s="131">
        <v>3045</v>
      </c>
      <c r="AB2450" s="131">
        <v>0</v>
      </c>
      <c r="AC2450" s="131">
        <v>3045</v>
      </c>
      <c r="AD2450" s="131">
        <v>0</v>
      </c>
      <c r="AE2450" s="132">
        <v>3045</v>
      </c>
    </row>
    <row r="2451" spans="1:31" x14ac:dyDescent="0.2">
      <c r="A2451" s="133">
        <v>480</v>
      </c>
      <c r="B2451" s="133" t="s">
        <v>1072</v>
      </c>
      <c r="C2451" s="133" t="s">
        <v>1147</v>
      </c>
      <c r="D2451" s="133" t="s">
        <v>2395</v>
      </c>
      <c r="E2451" s="133" t="s">
        <v>1116</v>
      </c>
      <c r="F2451" s="133" t="s">
        <v>1117</v>
      </c>
      <c r="G2451" s="133" t="s">
        <v>1118</v>
      </c>
      <c r="H2451" s="130" t="s">
        <v>1133</v>
      </c>
      <c r="I2451" s="130" t="s">
        <v>1134</v>
      </c>
      <c r="J2451" s="130" t="s">
        <v>1135</v>
      </c>
      <c r="K2451" s="130" t="s">
        <v>1178</v>
      </c>
      <c r="L2451" s="130" t="s">
        <v>2396</v>
      </c>
      <c r="M2451" s="130" t="s">
        <v>1360</v>
      </c>
      <c r="N2451" s="130" t="s">
        <v>168</v>
      </c>
      <c r="O2451" s="130" t="s">
        <v>1361</v>
      </c>
      <c r="P2451" s="130" t="s">
        <v>1366</v>
      </c>
      <c r="Q2451" s="130" t="s">
        <v>1127</v>
      </c>
      <c r="R2451" s="130" t="s">
        <v>1448</v>
      </c>
      <c r="S2451" s="130" t="s">
        <v>1487</v>
      </c>
      <c r="T2451" s="130" t="s">
        <v>2397</v>
      </c>
      <c r="U2451" s="130">
        <v>0</v>
      </c>
      <c r="V2451" s="131">
        <v>17390</v>
      </c>
      <c r="W2451" s="131">
        <v>17390</v>
      </c>
      <c r="X2451" s="131">
        <v>0</v>
      </c>
      <c r="Y2451" s="131">
        <v>17390</v>
      </c>
      <c r="Z2451" s="131">
        <v>0</v>
      </c>
      <c r="AA2451" s="131">
        <v>17390</v>
      </c>
      <c r="AB2451" s="131">
        <v>0</v>
      </c>
      <c r="AC2451" s="131">
        <v>17390</v>
      </c>
      <c r="AD2451" s="131">
        <v>0</v>
      </c>
      <c r="AE2451" s="132">
        <v>17390</v>
      </c>
    </row>
    <row r="2452" spans="1:31" x14ac:dyDescent="0.2">
      <c r="A2452" s="133">
        <v>480</v>
      </c>
      <c r="B2452" s="133" t="s">
        <v>1072</v>
      </c>
      <c r="C2452" s="133" t="s">
        <v>1147</v>
      </c>
      <c r="D2452" s="133" t="s">
        <v>2395</v>
      </c>
      <c r="E2452" s="133" t="s">
        <v>1116</v>
      </c>
      <c r="F2452" s="133" t="s">
        <v>1117</v>
      </c>
      <c r="G2452" s="133" t="s">
        <v>1118</v>
      </c>
      <c r="H2452" s="133" t="s">
        <v>1133</v>
      </c>
      <c r="I2452" s="133" t="s">
        <v>1134</v>
      </c>
      <c r="J2452" s="133" t="s">
        <v>1135</v>
      </c>
      <c r="K2452" s="130" t="s">
        <v>1179</v>
      </c>
      <c r="L2452" s="130" t="s">
        <v>2396</v>
      </c>
      <c r="M2452" s="130" t="s">
        <v>1360</v>
      </c>
      <c r="N2452" s="130" t="s">
        <v>168</v>
      </c>
      <c r="O2452" s="130" t="s">
        <v>1361</v>
      </c>
      <c r="P2452" s="130" t="s">
        <v>1366</v>
      </c>
      <c r="Q2452" s="130" t="s">
        <v>1127</v>
      </c>
      <c r="R2452" s="130" t="s">
        <v>1448</v>
      </c>
      <c r="S2452" s="130" t="s">
        <v>1487</v>
      </c>
      <c r="T2452" s="130" t="s">
        <v>2397</v>
      </c>
      <c r="U2452" s="130">
        <v>0</v>
      </c>
      <c r="V2452" s="131">
        <v>1613</v>
      </c>
      <c r="W2452" s="131">
        <v>1613</v>
      </c>
      <c r="X2452" s="131">
        <v>0</v>
      </c>
      <c r="Y2452" s="131">
        <v>1613</v>
      </c>
      <c r="Z2452" s="131">
        <v>0</v>
      </c>
      <c r="AA2452" s="131">
        <v>1613</v>
      </c>
      <c r="AB2452" s="131">
        <v>0</v>
      </c>
      <c r="AC2452" s="131">
        <v>1613</v>
      </c>
      <c r="AD2452" s="131">
        <v>0</v>
      </c>
      <c r="AE2452" s="132">
        <v>1613</v>
      </c>
    </row>
    <row r="2453" spans="1:31" x14ac:dyDescent="0.2">
      <c r="A2453" s="133">
        <v>480</v>
      </c>
      <c r="B2453" s="133" t="s">
        <v>1072</v>
      </c>
      <c r="C2453" s="133" t="s">
        <v>1147</v>
      </c>
      <c r="D2453" s="133" t="s">
        <v>2395</v>
      </c>
      <c r="E2453" s="133" t="s">
        <v>1116</v>
      </c>
      <c r="F2453" s="133" t="s">
        <v>1117</v>
      </c>
      <c r="G2453" s="133" t="s">
        <v>1118</v>
      </c>
      <c r="H2453" s="133" t="s">
        <v>1133</v>
      </c>
      <c r="I2453" s="133" t="s">
        <v>1134</v>
      </c>
      <c r="J2453" s="133" t="s">
        <v>1135</v>
      </c>
      <c r="K2453" s="130" t="s">
        <v>1144</v>
      </c>
      <c r="L2453" s="130" t="s">
        <v>2396</v>
      </c>
      <c r="M2453" s="130" t="s">
        <v>1360</v>
      </c>
      <c r="N2453" s="130" t="s">
        <v>168</v>
      </c>
      <c r="O2453" s="130" t="s">
        <v>1361</v>
      </c>
      <c r="P2453" s="130" t="s">
        <v>1366</v>
      </c>
      <c r="Q2453" s="130" t="s">
        <v>1127</v>
      </c>
      <c r="R2453" s="130" t="s">
        <v>1448</v>
      </c>
      <c r="S2453" s="130" t="s">
        <v>1487</v>
      </c>
      <c r="T2453" s="130" t="s">
        <v>2397</v>
      </c>
      <c r="U2453" s="130">
        <v>0</v>
      </c>
      <c r="V2453" s="131">
        <v>1005</v>
      </c>
      <c r="W2453" s="131">
        <v>1005</v>
      </c>
      <c r="X2453" s="131">
        <v>0</v>
      </c>
      <c r="Y2453" s="131">
        <v>1005</v>
      </c>
      <c r="Z2453" s="131">
        <v>0</v>
      </c>
      <c r="AA2453" s="131">
        <v>1005</v>
      </c>
      <c r="AB2453" s="131">
        <v>0</v>
      </c>
      <c r="AC2453" s="131">
        <v>1005</v>
      </c>
      <c r="AD2453" s="131">
        <v>0</v>
      </c>
      <c r="AE2453" s="132">
        <v>1005</v>
      </c>
    </row>
    <row r="2454" spans="1:31" x14ac:dyDescent="0.2">
      <c r="A2454" s="130">
        <v>481</v>
      </c>
      <c r="B2454" s="130" t="s">
        <v>121</v>
      </c>
      <c r="C2454" s="130" t="s">
        <v>1147</v>
      </c>
      <c r="D2454" s="130" t="s">
        <v>1921</v>
      </c>
      <c r="E2454" s="130" t="s">
        <v>1116</v>
      </c>
      <c r="F2454" s="130" t="s">
        <v>1117</v>
      </c>
      <c r="G2454" s="130" t="s">
        <v>1118</v>
      </c>
      <c r="H2454" s="130" t="s">
        <v>1133</v>
      </c>
      <c r="I2454" s="130" t="s">
        <v>1134</v>
      </c>
      <c r="J2454" s="130" t="s">
        <v>1922</v>
      </c>
      <c r="K2454" s="130" t="s">
        <v>1923</v>
      </c>
      <c r="L2454" s="130" t="s">
        <v>1924</v>
      </c>
      <c r="M2454" s="130" t="s">
        <v>1925</v>
      </c>
      <c r="N2454" s="130" t="s">
        <v>130</v>
      </c>
      <c r="O2454" s="130" t="s">
        <v>1860</v>
      </c>
      <c r="P2454" s="130" t="s">
        <v>1866</v>
      </c>
      <c r="Q2454" s="130" t="s">
        <v>1127</v>
      </c>
      <c r="R2454" s="130" t="s">
        <v>1191</v>
      </c>
      <c r="S2454" s="130" t="s">
        <v>1191</v>
      </c>
      <c r="T2454" s="130" t="s">
        <v>1926</v>
      </c>
      <c r="U2454" s="130">
        <v>0</v>
      </c>
      <c r="V2454" s="131">
        <v>84425</v>
      </c>
      <c r="W2454" s="131">
        <v>84425</v>
      </c>
      <c r="X2454" s="131">
        <v>84425</v>
      </c>
      <c r="Y2454" s="131">
        <v>0</v>
      </c>
      <c r="Z2454" s="131">
        <v>84425</v>
      </c>
      <c r="AA2454" s="131">
        <v>0</v>
      </c>
      <c r="AB2454" s="131">
        <v>79219.88</v>
      </c>
      <c r="AC2454" s="131">
        <v>5205.1199999999953</v>
      </c>
      <c r="AD2454" s="131">
        <v>79219.88</v>
      </c>
      <c r="AE2454" s="132">
        <v>5205.1199999999953</v>
      </c>
    </row>
    <row r="2455" spans="1:31" x14ac:dyDescent="0.2">
      <c r="A2455" s="130">
        <v>482</v>
      </c>
      <c r="B2455" s="130" t="s">
        <v>1073</v>
      </c>
      <c r="C2455" s="130" t="s">
        <v>1147</v>
      </c>
      <c r="D2455" s="130" t="s">
        <v>2017</v>
      </c>
      <c r="E2455" s="130" t="s">
        <v>1116</v>
      </c>
      <c r="F2455" s="130" t="s">
        <v>1117</v>
      </c>
      <c r="G2455" s="130" t="s">
        <v>1118</v>
      </c>
      <c r="H2455" s="130" t="s">
        <v>1133</v>
      </c>
      <c r="I2455" s="130" t="s">
        <v>1134</v>
      </c>
      <c r="J2455" s="130" t="s">
        <v>1135</v>
      </c>
      <c r="K2455" s="130" t="s">
        <v>1178</v>
      </c>
      <c r="L2455" s="130" t="s">
        <v>2399</v>
      </c>
      <c r="M2455" s="130" t="s">
        <v>1925</v>
      </c>
      <c r="N2455" s="130" t="s">
        <v>152</v>
      </c>
      <c r="O2455" s="130" t="s">
        <v>1125</v>
      </c>
      <c r="P2455" s="130" t="s">
        <v>2019</v>
      </c>
      <c r="Q2455" s="130" t="s">
        <v>1127</v>
      </c>
      <c r="R2455" s="130" t="s">
        <v>1499</v>
      </c>
      <c r="S2455" s="130" t="s">
        <v>1500</v>
      </c>
      <c r="T2455" s="130" t="s">
        <v>1142</v>
      </c>
      <c r="U2455" s="130">
        <v>0</v>
      </c>
      <c r="V2455" s="131">
        <v>13758</v>
      </c>
      <c r="W2455" s="131">
        <v>13758</v>
      </c>
      <c r="X2455" s="131">
        <v>13758</v>
      </c>
      <c r="Y2455" s="131">
        <v>0</v>
      </c>
      <c r="Z2455" s="131">
        <v>13758</v>
      </c>
      <c r="AA2455" s="131">
        <v>0</v>
      </c>
      <c r="AB2455" s="131">
        <v>13212.64</v>
      </c>
      <c r="AC2455" s="131">
        <v>545.36000000000058</v>
      </c>
      <c r="AD2455" s="131">
        <v>13212.64</v>
      </c>
      <c r="AE2455" s="132">
        <v>545.36000000000058</v>
      </c>
    </row>
    <row r="2456" spans="1:31" x14ac:dyDescent="0.2">
      <c r="A2456" s="130">
        <v>484</v>
      </c>
      <c r="B2456" s="130" t="s">
        <v>2400</v>
      </c>
      <c r="C2456" s="130" t="s">
        <v>1114</v>
      </c>
      <c r="D2456" s="130" t="s">
        <v>1554</v>
      </c>
      <c r="E2456" s="130" t="s">
        <v>1116</v>
      </c>
      <c r="F2456" s="130" t="s">
        <v>1117</v>
      </c>
      <c r="G2456" s="130" t="s">
        <v>1118</v>
      </c>
      <c r="H2456" s="130" t="s">
        <v>1119</v>
      </c>
      <c r="I2456" s="130" t="s">
        <v>1120</v>
      </c>
      <c r="J2456" s="130" t="s">
        <v>1358</v>
      </c>
      <c r="K2456" s="130" t="s">
        <v>1177</v>
      </c>
      <c r="L2456" s="130" t="s">
        <v>2401</v>
      </c>
      <c r="M2456" s="130" t="s">
        <v>1550</v>
      </c>
      <c r="N2456" s="130" t="s">
        <v>168</v>
      </c>
      <c r="O2456" s="130" t="s">
        <v>1551</v>
      </c>
      <c r="P2456" s="130" t="s">
        <v>1552</v>
      </c>
      <c r="Q2456" s="130" t="s">
        <v>1127</v>
      </c>
      <c r="R2456" s="130" t="s">
        <v>1409</v>
      </c>
      <c r="S2456" s="130" t="s">
        <v>1460</v>
      </c>
      <c r="T2456" s="130" t="s">
        <v>1142</v>
      </c>
      <c r="U2456" s="130">
        <v>0</v>
      </c>
      <c r="V2456" s="131">
        <v>3910</v>
      </c>
      <c r="W2456" s="131">
        <v>3910</v>
      </c>
      <c r="X2456" s="131">
        <v>0</v>
      </c>
      <c r="Y2456" s="131">
        <v>3910</v>
      </c>
      <c r="Z2456" s="131">
        <v>0</v>
      </c>
      <c r="AA2456" s="131">
        <v>3910</v>
      </c>
      <c r="AB2456" s="131">
        <v>0</v>
      </c>
      <c r="AC2456" s="131">
        <v>3910</v>
      </c>
      <c r="AD2456" s="131">
        <v>0</v>
      </c>
      <c r="AE2456" s="132">
        <v>3910</v>
      </c>
    </row>
    <row r="2457" spans="1:31" x14ac:dyDescent="0.2">
      <c r="A2457" s="133">
        <v>484</v>
      </c>
      <c r="B2457" s="133" t="s">
        <v>2400</v>
      </c>
      <c r="C2457" s="133" t="s">
        <v>1114</v>
      </c>
      <c r="D2457" s="133" t="s">
        <v>1554</v>
      </c>
      <c r="E2457" s="133" t="s">
        <v>1116</v>
      </c>
      <c r="F2457" s="133" t="s">
        <v>1117</v>
      </c>
      <c r="G2457" s="133" t="s">
        <v>1118</v>
      </c>
      <c r="H2457" s="130" t="s">
        <v>1133</v>
      </c>
      <c r="I2457" s="130" t="s">
        <v>1134</v>
      </c>
      <c r="J2457" s="130" t="s">
        <v>1135</v>
      </c>
      <c r="K2457" s="130" t="s">
        <v>1178</v>
      </c>
      <c r="L2457" s="130" t="s">
        <v>2401</v>
      </c>
      <c r="M2457" s="130" t="s">
        <v>1550</v>
      </c>
      <c r="N2457" s="130" t="s">
        <v>168</v>
      </c>
      <c r="O2457" s="130" t="s">
        <v>1551</v>
      </c>
      <c r="P2457" s="130" t="s">
        <v>1552</v>
      </c>
      <c r="Q2457" s="130" t="s">
        <v>1127</v>
      </c>
      <c r="R2457" s="130" t="s">
        <v>1409</v>
      </c>
      <c r="S2457" s="130" t="s">
        <v>1460</v>
      </c>
      <c r="T2457" s="130" t="s">
        <v>1142</v>
      </c>
      <c r="U2457" s="130">
        <v>0</v>
      </c>
      <c r="V2457" s="131">
        <v>19650</v>
      </c>
      <c r="W2457" s="131">
        <v>19650</v>
      </c>
      <c r="X2457" s="131">
        <v>19650</v>
      </c>
      <c r="Y2457" s="131">
        <v>0</v>
      </c>
      <c r="Z2457" s="131">
        <v>19650</v>
      </c>
      <c r="AA2457" s="131">
        <v>0</v>
      </c>
      <c r="AB2457" s="131">
        <v>6795.64</v>
      </c>
      <c r="AC2457" s="131">
        <v>12854.36</v>
      </c>
      <c r="AD2457" s="131">
        <v>6795.64</v>
      </c>
      <c r="AE2457" s="132">
        <v>12854.36</v>
      </c>
    </row>
    <row r="2458" spans="1:31" x14ac:dyDescent="0.2">
      <c r="A2458" s="130">
        <v>485</v>
      </c>
      <c r="B2458" s="130" t="s">
        <v>2428</v>
      </c>
      <c r="C2458" s="130" t="s">
        <v>1147</v>
      </c>
      <c r="D2458" s="130" t="s">
        <v>2017</v>
      </c>
      <c r="E2458" s="130" t="s">
        <v>1116</v>
      </c>
      <c r="F2458" s="130" t="s">
        <v>1117</v>
      </c>
      <c r="G2458" s="130" t="s">
        <v>1118</v>
      </c>
      <c r="H2458" s="130" t="s">
        <v>1133</v>
      </c>
      <c r="I2458" s="130" t="s">
        <v>1134</v>
      </c>
      <c r="J2458" s="130" t="s">
        <v>1135</v>
      </c>
      <c r="K2458" s="130" t="s">
        <v>1178</v>
      </c>
      <c r="L2458" s="130" t="s">
        <v>2429</v>
      </c>
      <c r="M2458" s="130" t="s">
        <v>1925</v>
      </c>
      <c r="N2458" s="130" t="s">
        <v>152</v>
      </c>
      <c r="O2458" s="130" t="s">
        <v>1125</v>
      </c>
      <c r="P2458" s="130" t="s">
        <v>2019</v>
      </c>
      <c r="Q2458" s="130" t="s">
        <v>1127</v>
      </c>
      <c r="R2458" s="130" t="s">
        <v>1128</v>
      </c>
      <c r="S2458" s="130" t="s">
        <v>1129</v>
      </c>
      <c r="T2458" s="130" t="s">
        <v>1142</v>
      </c>
      <c r="U2458" s="130">
        <v>0</v>
      </c>
      <c r="V2458" s="131">
        <v>10277</v>
      </c>
      <c r="W2458" s="131">
        <v>10277</v>
      </c>
      <c r="X2458" s="131">
        <v>0</v>
      </c>
      <c r="Y2458" s="131">
        <v>10277</v>
      </c>
      <c r="Z2458" s="131">
        <v>0</v>
      </c>
      <c r="AA2458" s="131">
        <v>10277</v>
      </c>
      <c r="AB2458" s="131">
        <v>0</v>
      </c>
      <c r="AC2458" s="131">
        <v>10277</v>
      </c>
      <c r="AD2458" s="131">
        <v>0</v>
      </c>
      <c r="AE2458" s="132">
        <v>10277</v>
      </c>
    </row>
    <row r="2459" spans="1:31" x14ac:dyDescent="0.2">
      <c r="A2459" s="130">
        <v>486</v>
      </c>
      <c r="B2459" s="130" t="s">
        <v>1841</v>
      </c>
      <c r="C2459" s="130" t="s">
        <v>1199</v>
      </c>
      <c r="D2459" s="130" t="s">
        <v>2402</v>
      </c>
      <c r="E2459" s="130" t="s">
        <v>1116</v>
      </c>
      <c r="F2459" s="130" t="s">
        <v>1117</v>
      </c>
      <c r="G2459" s="130" t="s">
        <v>1875</v>
      </c>
      <c r="H2459" s="130" t="s">
        <v>2403</v>
      </c>
      <c r="I2459" s="130" t="s">
        <v>1877</v>
      </c>
      <c r="J2459" s="130" t="s">
        <v>1878</v>
      </c>
      <c r="K2459" s="130" t="s">
        <v>2404</v>
      </c>
      <c r="L2459" s="130" t="s">
        <v>2405</v>
      </c>
      <c r="M2459" s="130" t="s">
        <v>1925</v>
      </c>
      <c r="N2459" s="130" t="s">
        <v>120</v>
      </c>
      <c r="O2459" s="130" t="s">
        <v>2406</v>
      </c>
      <c r="P2459" s="130" t="s">
        <v>2407</v>
      </c>
      <c r="Q2459" s="130" t="s">
        <v>1127</v>
      </c>
      <c r="R2459" s="130" t="s">
        <v>1191</v>
      </c>
      <c r="S2459" s="130" t="s">
        <v>1157</v>
      </c>
      <c r="T2459" s="130" t="s">
        <v>2408</v>
      </c>
      <c r="U2459" s="130">
        <v>0</v>
      </c>
      <c r="V2459" s="131">
        <v>9577148</v>
      </c>
      <c r="W2459" s="131">
        <v>9577148</v>
      </c>
      <c r="X2459" s="131">
        <v>9577148</v>
      </c>
      <c r="Y2459" s="131">
        <v>0</v>
      </c>
      <c r="Z2459" s="131">
        <v>9577148</v>
      </c>
      <c r="AA2459" s="131">
        <v>0</v>
      </c>
      <c r="AB2459" s="131">
        <v>9577148</v>
      </c>
      <c r="AC2459" s="131">
        <v>0</v>
      </c>
      <c r="AD2459" s="131">
        <v>9577148</v>
      </c>
      <c r="AE2459" s="132">
        <v>0</v>
      </c>
    </row>
    <row r="2460" spans="1:31" x14ac:dyDescent="0.2">
      <c r="A2460" s="133">
        <v>486</v>
      </c>
      <c r="B2460" s="133" t="s">
        <v>1841</v>
      </c>
      <c r="C2460" s="133" t="s">
        <v>1199</v>
      </c>
      <c r="D2460" s="133" t="s">
        <v>2402</v>
      </c>
      <c r="E2460" s="130" t="s">
        <v>1143</v>
      </c>
      <c r="F2460" s="130" t="s">
        <v>1117</v>
      </c>
      <c r="G2460" s="130" t="s">
        <v>1875</v>
      </c>
      <c r="H2460" s="130" t="s">
        <v>2403</v>
      </c>
      <c r="I2460" s="130" t="s">
        <v>1877</v>
      </c>
      <c r="J2460" s="130" t="s">
        <v>1878</v>
      </c>
      <c r="K2460" s="130" t="s">
        <v>2404</v>
      </c>
      <c r="L2460" s="130" t="s">
        <v>2405</v>
      </c>
      <c r="M2460" s="130" t="s">
        <v>1925</v>
      </c>
      <c r="N2460" s="130" t="s">
        <v>120</v>
      </c>
      <c r="O2460" s="130" t="s">
        <v>2406</v>
      </c>
      <c r="P2460" s="130" t="s">
        <v>2407</v>
      </c>
      <c r="Q2460" s="130" t="s">
        <v>1127</v>
      </c>
      <c r="R2460" s="130" t="s">
        <v>1191</v>
      </c>
      <c r="S2460" s="130" t="s">
        <v>1157</v>
      </c>
      <c r="T2460" s="130" t="s">
        <v>2408</v>
      </c>
      <c r="U2460" s="130">
        <v>0</v>
      </c>
      <c r="V2460" s="131">
        <v>10122064</v>
      </c>
      <c r="W2460" s="131">
        <v>10122064</v>
      </c>
      <c r="X2460" s="131">
        <v>10122064</v>
      </c>
      <c r="Y2460" s="131">
        <v>0</v>
      </c>
      <c r="Z2460" s="131">
        <v>10068381</v>
      </c>
      <c r="AA2460" s="131">
        <v>53683</v>
      </c>
      <c r="AB2460" s="131">
        <v>10068381</v>
      </c>
      <c r="AC2460" s="131">
        <v>53683</v>
      </c>
      <c r="AD2460" s="131">
        <v>10068381</v>
      </c>
      <c r="AE2460" s="132">
        <v>53683</v>
      </c>
    </row>
    <row r="2461" spans="1:31" x14ac:dyDescent="0.2">
      <c r="A2461" s="130">
        <v>487</v>
      </c>
      <c r="B2461" s="130" t="s">
        <v>129</v>
      </c>
      <c r="C2461" s="130" t="s">
        <v>1147</v>
      </c>
      <c r="D2461" s="130" t="s">
        <v>1346</v>
      </c>
      <c r="E2461" s="130" t="s">
        <v>1116</v>
      </c>
      <c r="F2461" s="130" t="s">
        <v>1117</v>
      </c>
      <c r="G2461" s="130" t="s">
        <v>1118</v>
      </c>
      <c r="H2461" s="130" t="s">
        <v>1133</v>
      </c>
      <c r="I2461" s="130" t="s">
        <v>1134</v>
      </c>
      <c r="J2461" s="130" t="s">
        <v>1135</v>
      </c>
      <c r="K2461" s="130" t="s">
        <v>1144</v>
      </c>
      <c r="L2461" s="130" t="s">
        <v>2409</v>
      </c>
      <c r="M2461" s="130" t="s">
        <v>2410</v>
      </c>
      <c r="N2461" s="130" t="s">
        <v>127</v>
      </c>
      <c r="O2461" s="130" t="s">
        <v>2411</v>
      </c>
      <c r="P2461" s="130" t="s">
        <v>2412</v>
      </c>
      <c r="Q2461" s="130" t="s">
        <v>1127</v>
      </c>
      <c r="R2461" s="130" t="s">
        <v>1140</v>
      </c>
      <c r="S2461" s="130" t="s">
        <v>1157</v>
      </c>
      <c r="T2461" s="130" t="s">
        <v>1142</v>
      </c>
      <c r="U2461" s="130">
        <v>0</v>
      </c>
      <c r="V2461" s="131">
        <v>44000</v>
      </c>
      <c r="W2461" s="131">
        <v>44000</v>
      </c>
      <c r="X2461" s="131">
        <v>0</v>
      </c>
      <c r="Y2461" s="131">
        <v>44000</v>
      </c>
      <c r="Z2461" s="131">
        <v>0</v>
      </c>
      <c r="AA2461" s="131">
        <v>44000</v>
      </c>
      <c r="AB2461" s="131">
        <v>0</v>
      </c>
      <c r="AC2461" s="131">
        <v>44000</v>
      </c>
      <c r="AD2461" s="131">
        <v>0</v>
      </c>
      <c r="AE2461" s="132">
        <v>44000</v>
      </c>
    </row>
    <row r="2462" spans="1:31" x14ac:dyDescent="0.2">
      <c r="A2462" s="130">
        <v>489</v>
      </c>
      <c r="B2462" s="130" t="s">
        <v>175</v>
      </c>
      <c r="C2462" s="130" t="s">
        <v>1114</v>
      </c>
      <c r="D2462" s="130" t="s">
        <v>1357</v>
      </c>
      <c r="E2462" s="130" t="s">
        <v>1116</v>
      </c>
      <c r="F2462" s="130" t="s">
        <v>1117</v>
      </c>
      <c r="G2462" s="130" t="s">
        <v>1118</v>
      </c>
      <c r="H2462" s="130" t="s">
        <v>1119</v>
      </c>
      <c r="I2462" s="130" t="s">
        <v>1120</v>
      </c>
      <c r="J2462" s="130" t="s">
        <v>1358</v>
      </c>
      <c r="K2462" s="130" t="s">
        <v>1132</v>
      </c>
      <c r="L2462" s="130" t="s">
        <v>2413</v>
      </c>
      <c r="M2462" s="130" t="s">
        <v>1360</v>
      </c>
      <c r="N2462" s="130" t="s">
        <v>168</v>
      </c>
      <c r="O2462" s="130" t="s">
        <v>1361</v>
      </c>
      <c r="P2462" s="130" t="s">
        <v>1362</v>
      </c>
      <c r="Q2462" s="130" t="s">
        <v>1127</v>
      </c>
      <c r="R2462" s="130" t="s">
        <v>1380</v>
      </c>
      <c r="S2462" s="130" t="s">
        <v>1381</v>
      </c>
      <c r="T2462" s="130" t="s">
        <v>1130</v>
      </c>
      <c r="U2462" s="130">
        <v>0</v>
      </c>
      <c r="V2462" s="131">
        <v>25000</v>
      </c>
      <c r="W2462" s="131">
        <v>25000</v>
      </c>
      <c r="X2462" s="131">
        <v>0</v>
      </c>
      <c r="Y2462" s="131">
        <v>25000</v>
      </c>
      <c r="Z2462" s="131">
        <v>0</v>
      </c>
      <c r="AA2462" s="131">
        <v>25000</v>
      </c>
      <c r="AB2462" s="131">
        <v>0</v>
      </c>
      <c r="AC2462" s="131">
        <v>25000</v>
      </c>
      <c r="AD2462" s="131">
        <v>0</v>
      </c>
      <c r="AE2462" s="132">
        <v>25000</v>
      </c>
    </row>
    <row r="2463" spans="1:31" x14ac:dyDescent="0.2">
      <c r="A2463" s="130">
        <v>490</v>
      </c>
      <c r="B2463" s="130" t="s">
        <v>175</v>
      </c>
      <c r="C2463" s="130" t="s">
        <v>1114</v>
      </c>
      <c r="D2463" s="130" t="s">
        <v>1357</v>
      </c>
      <c r="E2463" s="130" t="s">
        <v>1116</v>
      </c>
      <c r="F2463" s="130" t="s">
        <v>1117</v>
      </c>
      <c r="G2463" s="130" t="s">
        <v>1118</v>
      </c>
      <c r="H2463" s="130" t="s">
        <v>1119</v>
      </c>
      <c r="I2463" s="130" t="s">
        <v>1120</v>
      </c>
      <c r="J2463" s="130" t="s">
        <v>1358</v>
      </c>
      <c r="K2463" s="130" t="s">
        <v>1132</v>
      </c>
      <c r="L2463" s="130" t="s">
        <v>2414</v>
      </c>
      <c r="M2463" s="130" t="s">
        <v>1360</v>
      </c>
      <c r="N2463" s="130" t="s">
        <v>168</v>
      </c>
      <c r="O2463" s="130" t="s">
        <v>1361</v>
      </c>
      <c r="P2463" s="130" t="s">
        <v>1362</v>
      </c>
      <c r="Q2463" s="130" t="s">
        <v>1127</v>
      </c>
      <c r="R2463" s="130" t="s">
        <v>1380</v>
      </c>
      <c r="S2463" s="130" t="s">
        <v>1381</v>
      </c>
      <c r="T2463" s="130" t="s">
        <v>1130</v>
      </c>
      <c r="U2463" s="130">
        <v>0</v>
      </c>
      <c r="V2463" s="131">
        <v>28700</v>
      </c>
      <c r="W2463" s="131">
        <v>28700</v>
      </c>
      <c r="X2463" s="131">
        <v>0</v>
      </c>
      <c r="Y2463" s="131">
        <v>28700</v>
      </c>
      <c r="Z2463" s="131">
        <v>0</v>
      </c>
      <c r="AA2463" s="131">
        <v>28700</v>
      </c>
      <c r="AB2463" s="131">
        <v>0</v>
      </c>
      <c r="AC2463" s="131">
        <v>28700</v>
      </c>
      <c r="AD2463" s="131">
        <v>0</v>
      </c>
      <c r="AE2463" s="132">
        <v>28700</v>
      </c>
    </row>
    <row r="2464" spans="1:31" x14ac:dyDescent="0.2">
      <c r="A2464" s="130">
        <v>491</v>
      </c>
      <c r="B2464" s="130" t="s">
        <v>2416</v>
      </c>
      <c r="C2464" s="130" t="s">
        <v>1114</v>
      </c>
      <c r="D2464" s="130" t="s">
        <v>1473</v>
      </c>
      <c r="E2464" s="130" t="s">
        <v>1116</v>
      </c>
      <c r="F2464" s="130" t="s">
        <v>1117</v>
      </c>
      <c r="G2464" s="130" t="s">
        <v>1118</v>
      </c>
      <c r="H2464" s="130" t="s">
        <v>1133</v>
      </c>
      <c r="I2464" s="130" t="s">
        <v>1134</v>
      </c>
      <c r="J2464" s="130" t="s">
        <v>1166</v>
      </c>
      <c r="K2464" s="130" t="s">
        <v>1167</v>
      </c>
      <c r="L2464" s="130" t="s">
        <v>2430</v>
      </c>
      <c r="M2464" s="130" t="s">
        <v>1475</v>
      </c>
      <c r="N2464" s="130" t="s">
        <v>165</v>
      </c>
      <c r="O2464" s="130" t="s">
        <v>1476</v>
      </c>
      <c r="P2464" s="130" t="s">
        <v>1477</v>
      </c>
      <c r="Q2464" s="130" t="s">
        <v>1127</v>
      </c>
      <c r="R2464" s="130" t="s">
        <v>1175</v>
      </c>
      <c r="S2464" s="130" t="s">
        <v>1401</v>
      </c>
      <c r="T2464" s="130" t="s">
        <v>1158</v>
      </c>
      <c r="U2464" s="130">
        <v>0</v>
      </c>
      <c r="V2464" s="131">
        <v>50000</v>
      </c>
      <c r="W2464" s="131">
        <v>50000</v>
      </c>
      <c r="X2464" s="131">
        <v>0</v>
      </c>
      <c r="Y2464" s="131">
        <v>50000</v>
      </c>
      <c r="Z2464" s="131">
        <v>0</v>
      </c>
      <c r="AA2464" s="131">
        <v>50000</v>
      </c>
      <c r="AB2464" s="131">
        <v>0</v>
      </c>
      <c r="AC2464" s="131">
        <v>50000</v>
      </c>
      <c r="AD2464" s="131">
        <v>0</v>
      </c>
      <c r="AE2464" s="132">
        <v>50000</v>
      </c>
    </row>
    <row r="2465" spans="1:31" x14ac:dyDescent="0.2">
      <c r="A2465" s="130">
        <v>492</v>
      </c>
      <c r="B2465" s="130" t="s">
        <v>2417</v>
      </c>
      <c r="C2465" s="130" t="s">
        <v>1114</v>
      </c>
      <c r="D2465" s="130" t="s">
        <v>1367</v>
      </c>
      <c r="E2465" s="130" t="s">
        <v>1116</v>
      </c>
      <c r="F2465" s="130" t="s">
        <v>1117</v>
      </c>
      <c r="G2465" s="130" t="s">
        <v>1118</v>
      </c>
      <c r="H2465" s="130" t="s">
        <v>1133</v>
      </c>
      <c r="I2465" s="130" t="s">
        <v>1134</v>
      </c>
      <c r="J2465" s="130" t="s">
        <v>1166</v>
      </c>
      <c r="K2465" s="130" t="s">
        <v>1167</v>
      </c>
      <c r="L2465" s="130" t="s">
        <v>2431</v>
      </c>
      <c r="M2465" s="130" t="s">
        <v>1360</v>
      </c>
      <c r="N2465" s="130" t="s">
        <v>168</v>
      </c>
      <c r="O2465" s="130" t="s">
        <v>1361</v>
      </c>
      <c r="P2465" s="130" t="s">
        <v>1366</v>
      </c>
      <c r="Q2465" s="130" t="s">
        <v>1127</v>
      </c>
      <c r="R2465" s="130" t="s">
        <v>1409</v>
      </c>
      <c r="S2465" s="130" t="s">
        <v>1460</v>
      </c>
      <c r="T2465" s="130" t="s">
        <v>1158</v>
      </c>
      <c r="U2465" s="130">
        <v>0</v>
      </c>
      <c r="V2465" s="131">
        <v>340000</v>
      </c>
      <c r="W2465" s="131">
        <v>340000</v>
      </c>
      <c r="X2465" s="131">
        <v>150000</v>
      </c>
      <c r="Y2465" s="131">
        <v>190000</v>
      </c>
      <c r="Z2465" s="131">
        <v>0</v>
      </c>
      <c r="AA2465" s="131">
        <v>340000</v>
      </c>
      <c r="AB2465" s="131">
        <v>0</v>
      </c>
      <c r="AC2465" s="131">
        <v>340000</v>
      </c>
      <c r="AD2465" s="131">
        <v>0</v>
      </c>
      <c r="AE2465" s="132">
        <v>340000</v>
      </c>
    </row>
  </sheetData>
  <pageMargins left="0.7" right="0.7" top="0.75" bottom="0.75" header="0.3" footer="0.3"/>
  <pageSetup paperSize="9" scale="3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L905"/>
  <sheetViews>
    <sheetView zoomScale="85" zoomScaleNormal="85" workbookViewId="0">
      <pane ySplit="4" topLeftCell="A5" activePane="bottomLeft" state="frozen"/>
      <selection activeCell="D356" sqref="D356"/>
      <selection pane="bottomLeft" activeCell="G14" sqref="G14"/>
    </sheetView>
  </sheetViews>
  <sheetFormatPr baseColWidth="10" defaultColWidth="10.85546875" defaultRowHeight="12.75" x14ac:dyDescent="0.2"/>
  <cols>
    <col min="1" max="1" width="4.5703125" style="13" customWidth="1"/>
    <col min="2" max="2" width="5.85546875" style="13" customWidth="1"/>
    <col min="3" max="3" width="47.140625" style="13" customWidth="1"/>
    <col min="4" max="4" width="16.85546875" style="13" customWidth="1"/>
    <col min="5" max="5" width="17.28515625" style="13" customWidth="1"/>
    <col min="6" max="6" width="16.85546875" style="13" customWidth="1"/>
    <col min="7" max="7" width="16.28515625" style="13" customWidth="1"/>
    <col min="8" max="8" width="16.85546875" style="13" customWidth="1"/>
    <col min="9" max="9" width="10.85546875" style="20" customWidth="1"/>
    <col min="10" max="10" width="10.85546875" style="13"/>
    <col min="11" max="11" width="10.85546875" style="13" customWidth="1"/>
    <col min="12" max="12" width="11.7109375" style="13" bestFit="1" customWidth="1"/>
    <col min="13" max="16384" width="10.85546875" style="13"/>
  </cols>
  <sheetData>
    <row r="1" spans="1:9" ht="14.25" customHeight="1" x14ac:dyDescent="0.2">
      <c r="A1" s="12"/>
      <c r="B1" s="84"/>
      <c r="C1" s="203" t="s">
        <v>26</v>
      </c>
      <c r="D1" s="203"/>
      <c r="E1" s="203"/>
      <c r="F1" s="203"/>
      <c r="G1" s="203"/>
      <c r="H1" s="203"/>
      <c r="I1" s="203"/>
    </row>
    <row r="2" spans="1:9" ht="42" customHeight="1" x14ac:dyDescent="0.25">
      <c r="A2" s="12"/>
      <c r="B2" s="204" t="s">
        <v>2499</v>
      </c>
      <c r="C2" s="204"/>
      <c r="D2" s="204"/>
      <c r="E2" s="204"/>
      <c r="F2" s="204"/>
      <c r="G2" s="204"/>
      <c r="H2" s="204"/>
      <c r="I2" s="204"/>
    </row>
    <row r="3" spans="1:9" x14ac:dyDescent="0.2">
      <c r="A3" s="202" t="s">
        <v>3</v>
      </c>
      <c r="B3" s="196" t="s">
        <v>400</v>
      </c>
      <c r="C3" s="196" t="s">
        <v>0</v>
      </c>
      <c r="D3" s="196" t="s">
        <v>1076</v>
      </c>
      <c r="E3" s="196" t="s">
        <v>2478</v>
      </c>
      <c r="F3" s="196" t="s">
        <v>1077</v>
      </c>
      <c r="G3" s="196" t="s">
        <v>1078</v>
      </c>
      <c r="H3" s="196" t="s">
        <v>1079</v>
      </c>
      <c r="I3" s="205" t="s">
        <v>190</v>
      </c>
    </row>
    <row r="4" spans="1:9" ht="37.5" customHeight="1" x14ac:dyDescent="0.2">
      <c r="A4" s="202"/>
      <c r="B4" s="196"/>
      <c r="C4" s="196"/>
      <c r="D4" s="196"/>
      <c r="E4" s="196"/>
      <c r="F4" s="196"/>
      <c r="G4" s="196"/>
      <c r="H4" s="196"/>
      <c r="I4" s="205"/>
    </row>
    <row r="5" spans="1:9" ht="16.5" x14ac:dyDescent="0.2">
      <c r="A5" s="197" t="s">
        <v>119</v>
      </c>
      <c r="B5" s="197"/>
      <c r="C5" s="197"/>
      <c r="D5" s="85">
        <f>D6+'Gerencias y Oficinas'!D6+'Gerencias y Oficinas'!D192+'Gerencias y Oficinas'!D217+'Gerencias y Oficinas'!D224+'Gerencias y Oficinas'!D231+'Gerencias y Oficinas'!D300</f>
        <v>909469091</v>
      </c>
      <c r="E5" s="85">
        <f>E6+'Gerencias y Oficinas'!E6+'Gerencias y Oficinas'!E192+'Gerencias y Oficinas'!E217+'Gerencias y Oficinas'!E224+'Gerencias y Oficinas'!E231+'Gerencias y Oficinas'!E300</f>
        <v>828307368.91999984</v>
      </c>
      <c r="F5" s="85">
        <f>F6+'Gerencias y Oficinas'!F6+'Gerencias y Oficinas'!F192+'Gerencias y Oficinas'!F217+'Gerencias y Oficinas'!F224+'Gerencias y Oficinas'!F231+'Gerencias y Oficinas'!F300</f>
        <v>81161722.079999998</v>
      </c>
      <c r="G5" s="85">
        <f>G6+'Gerencias y Oficinas'!G6+'Gerencias y Oficinas'!G192+'Gerencias y Oficinas'!G217+'Gerencias y Oficinas'!G224+'Gerencias y Oficinas'!G231+'Gerencias y Oficinas'!G300</f>
        <v>377106269.03999996</v>
      </c>
      <c r="H5" s="85">
        <f>D5-G5</f>
        <v>532362821.96000004</v>
      </c>
      <c r="I5" s="86">
        <f t="shared" ref="I5:I7" si="0">G5/D5</f>
        <v>0.41464440383054202</v>
      </c>
    </row>
    <row r="6" spans="1:9" ht="16.5" x14ac:dyDescent="0.2">
      <c r="A6" s="198" t="s">
        <v>186</v>
      </c>
      <c r="B6" s="198"/>
      <c r="C6" s="198"/>
      <c r="D6" s="87">
        <f>D7+D175+D307+D210</f>
        <v>771428028</v>
      </c>
      <c r="E6" s="87">
        <f>E7+E175+E307+E210</f>
        <v>711583943.99999988</v>
      </c>
      <c r="F6" s="87">
        <f>F7+F175+F307+F210</f>
        <v>59844084</v>
      </c>
      <c r="G6" s="87">
        <f>G7+G175+G307+G210</f>
        <v>332452578.20999998</v>
      </c>
      <c r="H6" s="87">
        <f>H7+H175+H307+H210</f>
        <v>438975449.79000002</v>
      </c>
      <c r="I6" s="88">
        <f t="shared" si="0"/>
        <v>0.43095734941328834</v>
      </c>
    </row>
    <row r="7" spans="1:9" ht="16.5" x14ac:dyDescent="0.2">
      <c r="A7" s="183" t="s">
        <v>4</v>
      </c>
      <c r="B7" s="183"/>
      <c r="C7" s="183"/>
      <c r="D7" s="89">
        <f>D8+D128</f>
        <v>497490205</v>
      </c>
      <c r="E7" s="89">
        <f>E8+E128</f>
        <v>460909978.40999997</v>
      </c>
      <c r="F7" s="89">
        <f>F8+F128</f>
        <v>36580226.590000004</v>
      </c>
      <c r="G7" s="89">
        <f>G8+G128</f>
        <v>224204223.93000001</v>
      </c>
      <c r="H7" s="89">
        <f>H8+H128</f>
        <v>273285981.06999999</v>
      </c>
      <c r="I7" s="90">
        <f t="shared" si="0"/>
        <v>0.45067062964586407</v>
      </c>
    </row>
    <row r="8" spans="1:9" ht="39.75" customHeight="1" x14ac:dyDescent="0.2">
      <c r="A8" s="183" t="s">
        <v>2472</v>
      </c>
      <c r="B8" s="183"/>
      <c r="C8" s="183"/>
      <c r="D8" s="89">
        <f>+D40+D9+D65+D12+D75+D78</f>
        <v>234393433</v>
      </c>
      <c r="E8" s="89">
        <f>+E40+E9+E65+E12+E75+E78</f>
        <v>219088000.34999996</v>
      </c>
      <c r="F8" s="89">
        <f>+F40+F9+F65+F12+F75+F78</f>
        <v>15305432.65</v>
      </c>
      <c r="G8" s="89">
        <f>+G40+G9+G65+G12+G75+G78</f>
        <v>86221255.399999991</v>
      </c>
      <c r="H8" s="89">
        <f>+H40+H9+H65+H12+H75+H78</f>
        <v>148172177.59999999</v>
      </c>
      <c r="I8" s="90">
        <f t="shared" ref="I8:I38" si="1">G8/D8</f>
        <v>0.36784842602650897</v>
      </c>
    </row>
    <row r="9" spans="1:9" ht="16.5" x14ac:dyDescent="0.2">
      <c r="A9" s="182" t="s">
        <v>1045</v>
      </c>
      <c r="B9" s="182"/>
      <c r="C9" s="182"/>
      <c r="D9" s="91">
        <f>SUM(D10:D11)</f>
        <v>54526700</v>
      </c>
      <c r="E9" s="91">
        <f t="shared" ref="E9:H9" si="2">SUM(E10:E11)</f>
        <v>53909348.199999996</v>
      </c>
      <c r="F9" s="91">
        <f t="shared" si="2"/>
        <v>617351.79999999993</v>
      </c>
      <c r="G9" s="91">
        <f t="shared" si="2"/>
        <v>354678.45999999996</v>
      </c>
      <c r="H9" s="91">
        <f t="shared" si="2"/>
        <v>54172021.540000007</v>
      </c>
      <c r="I9" s="92">
        <f t="shared" si="1"/>
        <v>6.5046749574061875E-3</v>
      </c>
    </row>
    <row r="10" spans="1:9" ht="25.5" x14ac:dyDescent="0.2">
      <c r="A10" s="93">
        <f>SUBTOTAL(103,$B$10:B10)</f>
        <v>1</v>
      </c>
      <c r="B10" s="94">
        <v>1</v>
      </c>
      <c r="C10" s="127" t="s">
        <v>250</v>
      </c>
      <c r="D10" s="95">
        <f>[1]AA!D2</f>
        <v>767303</v>
      </c>
      <c r="E10" s="95">
        <f>[1]AA!E2</f>
        <v>149951.29999999999</v>
      </c>
      <c r="F10" s="95">
        <f>[1]AA!F2</f>
        <v>617351.69999999995</v>
      </c>
      <c r="G10" s="95">
        <f>[1]AA!G2</f>
        <v>93335.409999999989</v>
      </c>
      <c r="H10" s="95">
        <f>[1]AA!H2</f>
        <v>673967.59</v>
      </c>
      <c r="I10" s="96">
        <f t="shared" si="1"/>
        <v>0.12164087720235681</v>
      </c>
    </row>
    <row r="11" spans="1:9" ht="38.25" x14ac:dyDescent="0.2">
      <c r="A11" s="93">
        <f>SUBTOTAL(103,$B$10:B11)</f>
        <v>2</v>
      </c>
      <c r="B11" s="98" t="s">
        <v>912</v>
      </c>
      <c r="C11" s="127" t="s">
        <v>523</v>
      </c>
      <c r="D11" s="95">
        <f>[1]AA!D185</f>
        <v>53759397</v>
      </c>
      <c r="E11" s="95">
        <f>[1]AA!E185</f>
        <v>53759396.899999999</v>
      </c>
      <c r="F11" s="95">
        <f>[1]AA!F185</f>
        <v>0.10000000000002274</v>
      </c>
      <c r="G11" s="95">
        <f>[1]AA!G185</f>
        <v>261343.05</v>
      </c>
      <c r="H11" s="95">
        <f>[1]AA!H185</f>
        <v>53498053.950000003</v>
      </c>
      <c r="I11" s="96">
        <f>G11/D11</f>
        <v>4.8613463800570526E-3</v>
      </c>
    </row>
    <row r="12" spans="1:9" ht="16.5" x14ac:dyDescent="0.2">
      <c r="A12" s="182" t="s">
        <v>1046</v>
      </c>
      <c r="B12" s="182"/>
      <c r="C12" s="182"/>
      <c r="D12" s="91">
        <f>SUM(D13:D39)</f>
        <v>60682253</v>
      </c>
      <c r="E12" s="91">
        <f t="shared" ref="E12:H12" si="3">SUM(E13:E39)</f>
        <v>54738901.630000003</v>
      </c>
      <c r="F12" s="91">
        <f t="shared" si="3"/>
        <v>5943351.370000001</v>
      </c>
      <c r="G12" s="91">
        <f t="shared" si="3"/>
        <v>29481389.530000001</v>
      </c>
      <c r="H12" s="91">
        <f t="shared" si="3"/>
        <v>31200863.47000001</v>
      </c>
      <c r="I12" s="92">
        <f t="shared" si="1"/>
        <v>0.48583215145291325</v>
      </c>
    </row>
    <row r="13" spans="1:9" ht="63.75" x14ac:dyDescent="0.2">
      <c r="A13" s="93">
        <f>SUBTOTAL(103,$B$10:B13)</f>
        <v>3</v>
      </c>
      <c r="B13" s="94">
        <v>223</v>
      </c>
      <c r="C13" s="127" t="s">
        <v>273</v>
      </c>
      <c r="D13" s="95">
        <f>[1]AA!D188</f>
        <v>10519577</v>
      </c>
      <c r="E13" s="95">
        <f>[1]AA!E188</f>
        <v>9232380.2200000007</v>
      </c>
      <c r="F13" s="95">
        <f>[1]AA!F188</f>
        <v>1287196.7799999998</v>
      </c>
      <c r="G13" s="95">
        <f>[1]AA!G188</f>
        <v>6703493.129999999</v>
      </c>
      <c r="H13" s="95">
        <f>[1]AA!H188</f>
        <v>3816083.8700000006</v>
      </c>
      <c r="I13" s="96">
        <f t="shared" si="1"/>
        <v>0.63723979871053738</v>
      </c>
    </row>
    <row r="14" spans="1:9" ht="63.75" x14ac:dyDescent="0.2">
      <c r="A14" s="93">
        <f>SUBTOTAL(103,$B$10:B14)</f>
        <v>4</v>
      </c>
      <c r="B14" s="97">
        <v>224</v>
      </c>
      <c r="C14" s="127" t="s">
        <v>274</v>
      </c>
      <c r="D14" s="95">
        <f>[1]AA!D189</f>
        <v>10208307</v>
      </c>
      <c r="E14" s="95">
        <f>[1]AA!E189</f>
        <v>9880484.9199999999</v>
      </c>
      <c r="F14" s="95">
        <f>[1]AA!F189</f>
        <v>327822.08000000042</v>
      </c>
      <c r="G14" s="95">
        <f>[1]AA!G189</f>
        <v>4806962.3599999994</v>
      </c>
      <c r="H14" s="95">
        <f>[1]AA!H189</f>
        <v>5401344.6400000006</v>
      </c>
      <c r="I14" s="96">
        <f t="shared" si="1"/>
        <v>0.47088732343178935</v>
      </c>
    </row>
    <row r="15" spans="1:9" ht="51" x14ac:dyDescent="0.2">
      <c r="A15" s="93">
        <f>SUBTOTAL(103,$B$10:B15)</f>
        <v>5</v>
      </c>
      <c r="B15" s="97">
        <v>245</v>
      </c>
      <c r="C15" s="127" t="s">
        <v>285</v>
      </c>
      <c r="D15" s="95">
        <f>[1]AA!D210</f>
        <v>11203165</v>
      </c>
      <c r="E15" s="95">
        <f>[1]AA!E210</f>
        <v>10760828.15</v>
      </c>
      <c r="F15" s="95">
        <f>[1]AA!F210</f>
        <v>442336.84999999957</v>
      </c>
      <c r="G15" s="95">
        <f>[1]AA!G210</f>
        <v>5694332.8400000008</v>
      </c>
      <c r="H15" s="95">
        <f>[1]AA!H210</f>
        <v>5508832.1599999992</v>
      </c>
      <c r="I15" s="96">
        <f t="shared" si="1"/>
        <v>0.50827894081717095</v>
      </c>
    </row>
    <row r="16" spans="1:9" ht="38.25" x14ac:dyDescent="0.2">
      <c r="A16" s="93">
        <f>SUBTOTAL(103,$B$10:B16)</f>
        <v>6</v>
      </c>
      <c r="B16" s="94">
        <v>29</v>
      </c>
      <c r="C16" s="127" t="s">
        <v>276</v>
      </c>
      <c r="D16" s="95">
        <f>[1]AA!D18</f>
        <v>2121919</v>
      </c>
      <c r="E16" s="95">
        <f>[1]AA!E18</f>
        <v>1994037.46</v>
      </c>
      <c r="F16" s="95">
        <f>[1]AA!F18</f>
        <v>127881.54000000011</v>
      </c>
      <c r="G16" s="95">
        <f>[1]AA!G18</f>
        <v>1940802.94</v>
      </c>
      <c r="H16" s="95">
        <f>[1]AA!H18</f>
        <v>181116.06000000011</v>
      </c>
      <c r="I16" s="96">
        <f t="shared" si="1"/>
        <v>0.91464515846269345</v>
      </c>
    </row>
    <row r="17" spans="1:9" ht="51" x14ac:dyDescent="0.2">
      <c r="A17" s="93">
        <f>SUBTOTAL(103,$B$10:B17)</f>
        <v>7</v>
      </c>
      <c r="B17" s="99" t="s">
        <v>941</v>
      </c>
      <c r="C17" s="127" t="s">
        <v>742</v>
      </c>
      <c r="D17" s="95">
        <f>[1]AA!D264</f>
        <v>1445268</v>
      </c>
      <c r="E17" s="95">
        <f>[1]AA!E264</f>
        <v>1239788.9000000001</v>
      </c>
      <c r="F17" s="95">
        <f>[1]AA!F264</f>
        <v>205479.10000000003</v>
      </c>
      <c r="G17" s="95">
        <f>[1]AA!G264</f>
        <v>1144536.9800000002</v>
      </c>
      <c r="H17" s="95">
        <f>[1]AA!H264</f>
        <v>300731.02</v>
      </c>
      <c r="I17" s="96">
        <f t="shared" si="1"/>
        <v>0.79192023901449438</v>
      </c>
    </row>
    <row r="18" spans="1:9" ht="51" x14ac:dyDescent="0.2">
      <c r="A18" s="93">
        <f>SUBTOTAL(103,$B$10:B18)</f>
        <v>8</v>
      </c>
      <c r="B18" s="94">
        <v>160</v>
      </c>
      <c r="C18" s="127" t="s">
        <v>301</v>
      </c>
      <c r="D18" s="95">
        <f>[1]AA!D140</f>
        <v>9222405</v>
      </c>
      <c r="E18" s="95">
        <f>[1]AA!E140</f>
        <v>8798687.2000000011</v>
      </c>
      <c r="F18" s="95">
        <f>[1]AA!F140</f>
        <v>423717.79999999987</v>
      </c>
      <c r="G18" s="95">
        <f>[1]AA!G140</f>
        <v>4917447.71</v>
      </c>
      <c r="H18" s="95">
        <f>[1]AA!H140</f>
        <v>4304957.29</v>
      </c>
      <c r="I18" s="96">
        <f t="shared" ref="I18:I36" si="4">G18/D18</f>
        <v>0.53320665379583743</v>
      </c>
    </row>
    <row r="19" spans="1:9" ht="63.75" x14ac:dyDescent="0.2">
      <c r="A19" s="93">
        <f>SUBTOTAL(103,$B$10:B19)</f>
        <v>9</v>
      </c>
      <c r="B19" s="94">
        <v>162</v>
      </c>
      <c r="C19" s="127" t="s">
        <v>382</v>
      </c>
      <c r="D19" s="95">
        <f>[1]AA!D142</f>
        <v>5194033</v>
      </c>
      <c r="E19" s="95">
        <f>[1]AA!E142</f>
        <v>5104756.7699999996</v>
      </c>
      <c r="F19" s="95">
        <f>[1]AA!F142</f>
        <v>89276.230000000447</v>
      </c>
      <c r="G19" s="95">
        <f>[1]AA!G142</f>
        <v>385631.47</v>
      </c>
      <c r="H19" s="95">
        <f>[1]AA!H142</f>
        <v>4808401.53</v>
      </c>
      <c r="I19" s="96">
        <f t="shared" si="4"/>
        <v>7.4245094322658328E-2</v>
      </c>
    </row>
    <row r="20" spans="1:9" ht="51" x14ac:dyDescent="0.2">
      <c r="A20" s="93">
        <f>SUBTOTAL(103,$B$10:B20)</f>
        <v>10</v>
      </c>
      <c r="B20" s="94">
        <v>44</v>
      </c>
      <c r="C20" s="127" t="s">
        <v>1058</v>
      </c>
      <c r="D20" s="95">
        <f>[1]AA!D33</f>
        <v>3656326</v>
      </c>
      <c r="E20" s="95">
        <f>[1]AA!E33</f>
        <v>2527064.17</v>
      </c>
      <c r="F20" s="95">
        <f>[1]AA!F33</f>
        <v>1129261.83</v>
      </c>
      <c r="G20" s="95">
        <f>[1]AA!G33</f>
        <v>1590544.42</v>
      </c>
      <c r="H20" s="95">
        <f>[1]AA!H33</f>
        <v>2065781.58</v>
      </c>
      <c r="I20" s="96">
        <f t="shared" si="4"/>
        <v>0.43501165377485485</v>
      </c>
    </row>
    <row r="21" spans="1:9" ht="51" x14ac:dyDescent="0.2">
      <c r="A21" s="93">
        <f>SUBTOTAL(103,$B$10:B21)</f>
        <v>11</v>
      </c>
      <c r="B21" s="94">
        <v>248</v>
      </c>
      <c r="C21" s="127" t="s">
        <v>338</v>
      </c>
      <c r="D21" s="95">
        <f>[1]AA!D$213</f>
        <v>2000000</v>
      </c>
      <c r="E21" s="95">
        <f>[1]AA!E$213</f>
        <v>2000000</v>
      </c>
      <c r="F21" s="95">
        <f>[1]AA!F$213</f>
        <v>0</v>
      </c>
      <c r="G21" s="95">
        <f>[1]AA!G$213</f>
        <v>0</v>
      </c>
      <c r="H21" s="95">
        <f>[1]AA!H$213</f>
        <v>2000000</v>
      </c>
      <c r="I21" s="96">
        <f t="shared" si="4"/>
        <v>0</v>
      </c>
    </row>
    <row r="22" spans="1:9" ht="51" hidden="1" x14ac:dyDescent="0.2">
      <c r="A22" s="93">
        <f>SUBTOTAL(103,$B$10:B22)</f>
        <v>11</v>
      </c>
      <c r="B22" s="94">
        <v>45</v>
      </c>
      <c r="C22" s="127" t="s">
        <v>479</v>
      </c>
      <c r="D22" s="95">
        <f>[1]AA!D34</f>
        <v>0</v>
      </c>
      <c r="E22" s="95">
        <f>[1]AA!E34</f>
        <v>0</v>
      </c>
      <c r="F22" s="95">
        <f>[1]AA!F34</f>
        <v>0</v>
      </c>
      <c r="G22" s="95">
        <f>[1]AA!G34</f>
        <v>0</v>
      </c>
      <c r="H22" s="95">
        <f>[1]AA!H34</f>
        <v>0</v>
      </c>
      <c r="I22" s="96" t="e">
        <f t="shared" si="4"/>
        <v>#DIV/0!</v>
      </c>
    </row>
    <row r="23" spans="1:9" ht="38.25" x14ac:dyDescent="0.2">
      <c r="A23" s="93">
        <f>SUBTOTAL(103,$B$10:B23)</f>
        <v>12</v>
      </c>
      <c r="B23" s="97">
        <v>193</v>
      </c>
      <c r="C23" s="127" t="s">
        <v>847</v>
      </c>
      <c r="D23" s="95">
        <f>[1]AA!D173</f>
        <v>1861270</v>
      </c>
      <c r="E23" s="95">
        <f>[1]AA!E173</f>
        <v>1239981.4100000001</v>
      </c>
      <c r="F23" s="95">
        <f>[1]AA!F173</f>
        <v>621288.59</v>
      </c>
      <c r="G23" s="95">
        <f>[1]AA!G173</f>
        <v>982360.76</v>
      </c>
      <c r="H23" s="95">
        <f>[1]AA!H173</f>
        <v>878909.24000000022</v>
      </c>
      <c r="I23" s="96">
        <f t="shared" si="4"/>
        <v>0.52779057310331123</v>
      </c>
    </row>
    <row r="24" spans="1:9" ht="38.25" x14ac:dyDescent="0.2">
      <c r="A24" s="93">
        <f>SUBTOTAL(103,$B$10:B24)</f>
        <v>13</v>
      </c>
      <c r="B24" s="97">
        <v>46</v>
      </c>
      <c r="C24" s="127" t="s">
        <v>478</v>
      </c>
      <c r="D24" s="95">
        <f>[1]AA!D35</f>
        <v>0</v>
      </c>
      <c r="E24" s="95">
        <f>[1]AA!E35</f>
        <v>0</v>
      </c>
      <c r="F24" s="95">
        <f>[1]AA!F35</f>
        <v>0</v>
      </c>
      <c r="G24" s="95">
        <f>[1]AA!G35</f>
        <v>0</v>
      </c>
      <c r="H24" s="95">
        <f>[1]AA!H35</f>
        <v>0</v>
      </c>
      <c r="I24" s="96" t="e">
        <f t="shared" si="4"/>
        <v>#DIV/0!</v>
      </c>
    </row>
    <row r="25" spans="1:9" ht="51" x14ac:dyDescent="0.2">
      <c r="A25" s="93">
        <f>SUBTOTAL(103,$B$10:B25)</f>
        <v>14</v>
      </c>
      <c r="B25" s="97">
        <v>480</v>
      </c>
      <c r="C25" s="127" t="s">
        <v>1072</v>
      </c>
      <c r="D25" s="95">
        <f>[1]AA!D399</f>
        <v>677644</v>
      </c>
      <c r="E25" s="95">
        <f>[1]AA!E399</f>
        <v>540812.88</v>
      </c>
      <c r="F25" s="95">
        <f>[1]AA!F399</f>
        <v>136831.12</v>
      </c>
      <c r="G25" s="95">
        <f>[1]AA!G399</f>
        <v>123643.38</v>
      </c>
      <c r="H25" s="95">
        <f>[1]AA!H399</f>
        <v>554000.62</v>
      </c>
      <c r="I25" s="96">
        <f t="shared" si="4"/>
        <v>0.18246067256553589</v>
      </c>
    </row>
    <row r="26" spans="1:9" ht="38.25" x14ac:dyDescent="0.2">
      <c r="A26" s="93">
        <f>SUBTOTAL(103,$B$10:B26)</f>
        <v>15</v>
      </c>
      <c r="B26" s="97">
        <v>479</v>
      </c>
      <c r="C26" s="127" t="s">
        <v>1071</v>
      </c>
      <c r="D26" s="95">
        <f>[1]AA!D398</f>
        <v>442669</v>
      </c>
      <c r="E26" s="95">
        <f>[1]AA!E398</f>
        <v>414894</v>
      </c>
      <c r="F26" s="95">
        <f>[1]AA!F398</f>
        <v>27775</v>
      </c>
      <c r="G26" s="95">
        <f>[1]AA!G398</f>
        <v>211662.5</v>
      </c>
      <c r="H26" s="95">
        <f>[1]AA!H398</f>
        <v>231006.5</v>
      </c>
      <c r="I26" s="96">
        <f t="shared" si="4"/>
        <v>0.47815071757904892</v>
      </c>
    </row>
    <row r="27" spans="1:9" ht="38.25" x14ac:dyDescent="0.2">
      <c r="A27" s="93">
        <f>SUBTOTAL(103,$B$10:B27)</f>
        <v>16</v>
      </c>
      <c r="B27" s="97">
        <v>170</v>
      </c>
      <c r="C27" s="127" t="s">
        <v>171</v>
      </c>
      <c r="D27" s="95">
        <f>[1]AA!D150</f>
        <v>118539</v>
      </c>
      <c r="E27" s="95">
        <f>[1]AA!E150</f>
        <v>70562.12999999999</v>
      </c>
      <c r="F27" s="95">
        <f>[1]AA!F150</f>
        <v>47976.87</v>
      </c>
      <c r="G27" s="95">
        <f>[1]AA!G150</f>
        <v>70562.12999999999</v>
      </c>
      <c r="H27" s="95">
        <f>[1]AA!H150</f>
        <v>47976.87</v>
      </c>
      <c r="I27" s="96">
        <f t="shared" si="4"/>
        <v>0.59526510262445265</v>
      </c>
    </row>
    <row r="28" spans="1:9" ht="38.25" x14ac:dyDescent="0.2">
      <c r="A28" s="93">
        <f>SUBTOTAL(103,$B$10:B28)</f>
        <v>17</v>
      </c>
      <c r="B28" s="97">
        <v>490</v>
      </c>
      <c r="C28" s="127" t="s">
        <v>272</v>
      </c>
      <c r="D28" s="95">
        <f>[1]AA!D406</f>
        <v>28700</v>
      </c>
      <c r="E28" s="95">
        <f>[1]AA!E406</f>
        <v>0</v>
      </c>
      <c r="F28" s="95">
        <f>[1]AA!F406</f>
        <v>28700</v>
      </c>
      <c r="G28" s="95">
        <f>[1]AA!G406</f>
        <v>0</v>
      </c>
      <c r="H28" s="95">
        <f>[1]AA!H406</f>
        <v>28700</v>
      </c>
      <c r="I28" s="96">
        <f t="shared" si="4"/>
        <v>0</v>
      </c>
    </row>
    <row r="29" spans="1:9" ht="38.25" x14ac:dyDescent="0.2">
      <c r="A29" s="93">
        <f>SUBTOTAL(103,$B$10:B29)</f>
        <v>18</v>
      </c>
      <c r="B29" s="97">
        <v>489</v>
      </c>
      <c r="C29" s="127" t="s">
        <v>272</v>
      </c>
      <c r="D29" s="95">
        <f>[1]AA!D405</f>
        <v>25000</v>
      </c>
      <c r="E29" s="95">
        <f>[1]AA!E405</f>
        <v>0</v>
      </c>
      <c r="F29" s="95">
        <f>[1]AA!F405</f>
        <v>25000</v>
      </c>
      <c r="G29" s="95">
        <f>[1]AA!G405</f>
        <v>0</v>
      </c>
      <c r="H29" s="95">
        <f>[1]AA!H405</f>
        <v>25000</v>
      </c>
      <c r="I29" s="96">
        <f t="shared" si="4"/>
        <v>0</v>
      </c>
    </row>
    <row r="30" spans="1:9" ht="76.5" x14ac:dyDescent="0.2">
      <c r="A30" s="93">
        <f>SUBTOTAL(103,$B$10:B30)</f>
        <v>19</v>
      </c>
      <c r="B30" s="97">
        <v>484</v>
      </c>
      <c r="C30" s="127" t="s">
        <v>369</v>
      </c>
      <c r="D30" s="95">
        <f>[1]AA!D402</f>
        <v>23560</v>
      </c>
      <c r="E30" s="95">
        <f>[1]AA!E402</f>
        <v>22650</v>
      </c>
      <c r="F30" s="95">
        <f>[1]AA!F402</f>
        <v>910</v>
      </c>
      <c r="G30" s="95">
        <f>[1]AA!G402</f>
        <v>14282.09</v>
      </c>
      <c r="H30" s="95">
        <f>[1]AA!H402</f>
        <v>9277.91</v>
      </c>
      <c r="I30" s="96">
        <f t="shared" si="4"/>
        <v>0.60620076400679113</v>
      </c>
    </row>
    <row r="31" spans="1:9" ht="38.25" x14ac:dyDescent="0.2">
      <c r="A31" s="93">
        <f>SUBTOTAL(103,$B$10:B31)</f>
        <v>20</v>
      </c>
      <c r="B31" s="97">
        <v>453</v>
      </c>
      <c r="C31" s="127" t="s">
        <v>1015</v>
      </c>
      <c r="D31" s="95">
        <f>[1]AA!D378</f>
        <v>17714</v>
      </c>
      <c r="E31" s="95">
        <f>[1]AA!E378</f>
        <v>14228.68</v>
      </c>
      <c r="F31" s="95">
        <f>[1]AA!F378</f>
        <v>3485.32</v>
      </c>
      <c r="G31" s="95">
        <f>[1]AA!G378</f>
        <v>9749.7999999999993</v>
      </c>
      <c r="H31" s="95">
        <f>[1]AA!H378</f>
        <v>7964.2000000000007</v>
      </c>
      <c r="I31" s="96">
        <f t="shared" si="4"/>
        <v>0.55040081291633736</v>
      </c>
    </row>
    <row r="32" spans="1:9" ht="38.25" hidden="1" x14ac:dyDescent="0.2">
      <c r="A32" s="93">
        <f>SUBTOTAL(103,$B$10:B32)</f>
        <v>20</v>
      </c>
      <c r="B32" s="94">
        <v>24</v>
      </c>
      <c r="C32" s="127" t="s">
        <v>511</v>
      </c>
      <c r="D32" s="95">
        <f>[1]AA!D13</f>
        <v>0</v>
      </c>
      <c r="E32" s="95">
        <f>[1]AA!E13</f>
        <v>0</v>
      </c>
      <c r="F32" s="95">
        <f>[1]AA!F13</f>
        <v>0</v>
      </c>
      <c r="G32" s="95">
        <f>[1]AA!G13</f>
        <v>0</v>
      </c>
      <c r="H32" s="95">
        <f>[1]AA!H13</f>
        <v>0</v>
      </c>
      <c r="I32" s="96" t="e">
        <f t="shared" si="4"/>
        <v>#DIV/0!</v>
      </c>
    </row>
    <row r="33" spans="1:9" ht="38.25" x14ac:dyDescent="0.2">
      <c r="A33" s="93">
        <f>SUBTOTAL(103,$B$10:B33)</f>
        <v>21</v>
      </c>
      <c r="B33" s="97">
        <v>168</v>
      </c>
      <c r="C33" s="127" t="s">
        <v>833</v>
      </c>
      <c r="D33" s="95">
        <f>[1]AA!D148</f>
        <v>728529</v>
      </c>
      <c r="E33" s="95">
        <f>[1]AA!E148</f>
        <v>0</v>
      </c>
      <c r="F33" s="95">
        <f>[1]AA!F148</f>
        <v>728529</v>
      </c>
      <c r="G33" s="95">
        <f>[1]AA!G148</f>
        <v>0</v>
      </c>
      <c r="H33" s="95">
        <f>[1]AA!H148</f>
        <v>728529</v>
      </c>
      <c r="I33" s="96">
        <f t="shared" si="4"/>
        <v>0</v>
      </c>
    </row>
    <row r="34" spans="1:9" ht="38.25" x14ac:dyDescent="0.2">
      <c r="A34" s="93">
        <f>SUBTOTAL(103,$B$10:B34)</f>
        <v>22</v>
      </c>
      <c r="B34" s="97">
        <v>464</v>
      </c>
      <c r="C34" s="127" t="s">
        <v>841</v>
      </c>
      <c r="D34" s="95">
        <f>[1]AA!D388</f>
        <v>40621</v>
      </c>
      <c r="E34" s="95">
        <f>[1]AA!E388</f>
        <v>28914.400000000001</v>
      </c>
      <c r="F34" s="95">
        <f>[1]AA!F388</f>
        <v>11706.6</v>
      </c>
      <c r="G34" s="95">
        <f>[1]AA!G388</f>
        <v>27953.93</v>
      </c>
      <c r="H34" s="95">
        <f>[1]AA!H388</f>
        <v>12667.070000000002</v>
      </c>
      <c r="I34" s="96">
        <f t="shared" si="4"/>
        <v>0.68816449619654863</v>
      </c>
    </row>
    <row r="35" spans="1:9" ht="38.25" hidden="1" x14ac:dyDescent="0.2">
      <c r="A35" s="93">
        <f>SUBTOTAL(103,$B$10:B35)</f>
        <v>22</v>
      </c>
      <c r="B35" s="94">
        <v>169</v>
      </c>
      <c r="C35" s="127" t="s">
        <v>267</v>
      </c>
      <c r="D35" s="95">
        <f>[1]AA!D149</f>
        <v>0</v>
      </c>
      <c r="E35" s="95">
        <f>[1]AA!E149</f>
        <v>0</v>
      </c>
      <c r="F35" s="95">
        <f>[1]AA!F149</f>
        <v>0</v>
      </c>
      <c r="G35" s="95">
        <f>[1]AA!G149</f>
        <v>0</v>
      </c>
      <c r="H35" s="95">
        <f>[1]AA!H149</f>
        <v>0</v>
      </c>
      <c r="I35" s="96" t="e">
        <f t="shared" si="4"/>
        <v>#DIV/0!</v>
      </c>
    </row>
    <row r="36" spans="1:9" ht="38.25" x14ac:dyDescent="0.2">
      <c r="A36" s="93">
        <f>SUBTOTAL(103,$B$10:B36)</f>
        <v>23</v>
      </c>
      <c r="B36" s="94">
        <v>499</v>
      </c>
      <c r="C36" s="127" t="s">
        <v>2435</v>
      </c>
      <c r="D36" s="95">
        <f>[1]AA!D415</f>
        <v>20166</v>
      </c>
      <c r="E36" s="95">
        <f>[1]AA!E415</f>
        <v>19362</v>
      </c>
      <c r="F36" s="95">
        <f>[1]AA!F415</f>
        <v>804</v>
      </c>
      <c r="G36" s="95">
        <f>[1]AA!G415</f>
        <v>18148.25</v>
      </c>
      <c r="H36" s="95">
        <f>[1]AA!H415</f>
        <v>2017.75</v>
      </c>
      <c r="I36" s="96">
        <f t="shared" si="4"/>
        <v>0.89994297332143214</v>
      </c>
    </row>
    <row r="37" spans="1:9" ht="38.25" x14ac:dyDescent="0.2">
      <c r="A37" s="93">
        <f>SUBTOTAL(103,$B$10:B37)</f>
        <v>24</v>
      </c>
      <c r="B37" s="97">
        <v>27</v>
      </c>
      <c r="C37" s="127" t="s">
        <v>272</v>
      </c>
      <c r="D37" s="95">
        <f>[1]AA!D16</f>
        <v>909204</v>
      </c>
      <c r="E37" s="95">
        <f>[1]AA!E16</f>
        <v>725859.11</v>
      </c>
      <c r="F37" s="95">
        <f>[1]AA!F16</f>
        <v>183344.89000000007</v>
      </c>
      <c r="G37" s="95">
        <f>[1]AA!G16</f>
        <v>715665.61</v>
      </c>
      <c r="H37" s="95">
        <f>[1]AA!H16</f>
        <v>193538.39000000007</v>
      </c>
      <c r="I37" s="96">
        <f t="shared" si="1"/>
        <v>0.78713425149911354</v>
      </c>
    </row>
    <row r="38" spans="1:9" ht="38.25" x14ac:dyDescent="0.2">
      <c r="A38" s="93">
        <f>SUBTOTAL(103,$B$10:B38)</f>
        <v>25</v>
      </c>
      <c r="B38" s="94">
        <v>22</v>
      </c>
      <c r="C38" s="127" t="s">
        <v>266</v>
      </c>
      <c r="D38" s="95">
        <f>[1]AA!D11</f>
        <v>167505</v>
      </c>
      <c r="E38" s="95">
        <f>[1]AA!E11</f>
        <v>76159.179999999993</v>
      </c>
      <c r="F38" s="95">
        <f>[1]AA!F11</f>
        <v>91345.82</v>
      </c>
      <c r="G38" s="95">
        <f>[1]AA!G11</f>
        <v>76159.180000000008</v>
      </c>
      <c r="H38" s="95">
        <f>[1]AA!H11</f>
        <v>91345.819999999992</v>
      </c>
      <c r="I38" s="96">
        <f t="shared" si="1"/>
        <v>0.45466809945971765</v>
      </c>
    </row>
    <row r="39" spans="1:9" ht="38.25" x14ac:dyDescent="0.2">
      <c r="A39" s="93">
        <f>SUBTOTAL(103,$B$10:B39)</f>
        <v>26</v>
      </c>
      <c r="B39" s="94">
        <v>37</v>
      </c>
      <c r="C39" s="127" t="s">
        <v>284</v>
      </c>
      <c r="D39" s="95">
        <f>[1]AA!D26</f>
        <v>50132</v>
      </c>
      <c r="E39" s="95">
        <f>[1]AA!E26</f>
        <v>47450.05</v>
      </c>
      <c r="F39" s="95">
        <f>[1]AA!F26</f>
        <v>2681.9499999999971</v>
      </c>
      <c r="G39" s="95">
        <f>[1]AA!G26</f>
        <v>47450.05</v>
      </c>
      <c r="H39" s="95">
        <f>[1]AA!H26</f>
        <v>2681.9499999999971</v>
      </c>
      <c r="I39" s="96">
        <f t="shared" ref="I39" si="5">G39/D39</f>
        <v>0.94650223410197087</v>
      </c>
    </row>
    <row r="40" spans="1:9" ht="16.5" x14ac:dyDescent="0.2">
      <c r="A40" s="182" t="s">
        <v>133</v>
      </c>
      <c r="B40" s="182"/>
      <c r="C40" s="182"/>
      <c r="D40" s="91">
        <f>SUM(D41:D64)</f>
        <v>86566085</v>
      </c>
      <c r="E40" s="91">
        <f>SUM(E41:E64)</f>
        <v>82016537.899999976</v>
      </c>
      <c r="F40" s="91">
        <f>SUM(F41:F64)</f>
        <v>4549547.1000000006</v>
      </c>
      <c r="G40" s="91">
        <f>SUM(G41:G64)</f>
        <v>43429981.109999999</v>
      </c>
      <c r="H40" s="91">
        <f>SUM(H41:H64)</f>
        <v>43136103.890000001</v>
      </c>
      <c r="I40" s="92">
        <f t="shared" ref="I40:I49" si="6">G40/D40</f>
        <v>0.50169741544855584</v>
      </c>
    </row>
    <row r="41" spans="1:9" ht="25.5" x14ac:dyDescent="0.2">
      <c r="A41" s="93">
        <f>SUBTOTAL(103,$B$10:B41)</f>
        <v>27</v>
      </c>
      <c r="B41" s="94">
        <v>95</v>
      </c>
      <c r="C41" s="127" t="s">
        <v>233</v>
      </c>
      <c r="D41" s="95">
        <f>[1]AA!D75</f>
        <v>18401182</v>
      </c>
      <c r="E41" s="95">
        <f>[1]AA!E75</f>
        <v>17727197.93</v>
      </c>
      <c r="F41" s="95">
        <f>[1]AA!F75</f>
        <v>673984.06999999983</v>
      </c>
      <c r="G41" s="95">
        <f>[1]AA!G75</f>
        <v>13953950.129999999</v>
      </c>
      <c r="H41" s="95">
        <f>[1]AA!H75</f>
        <v>4447231.870000001</v>
      </c>
      <c r="I41" s="96">
        <f t="shared" si="6"/>
        <v>0.75831814119332108</v>
      </c>
    </row>
    <row r="42" spans="1:9" ht="51" x14ac:dyDescent="0.2">
      <c r="A42" s="93">
        <f>SUBTOTAL(103,$B$10:B42)</f>
        <v>28</v>
      </c>
      <c r="B42" s="97">
        <v>98</v>
      </c>
      <c r="C42" s="127" t="s">
        <v>235</v>
      </c>
      <c r="D42" s="95">
        <f>[1]AA!D78</f>
        <v>10002053</v>
      </c>
      <c r="E42" s="95">
        <f>[1]AA!E78</f>
        <v>9636351.4800000004</v>
      </c>
      <c r="F42" s="95">
        <f>[1]AA!F78</f>
        <v>365701.52000000019</v>
      </c>
      <c r="G42" s="95">
        <f>[1]AA!G78</f>
        <v>4907767.4499999993</v>
      </c>
      <c r="H42" s="95">
        <f>[1]AA!H78</f>
        <v>5094285.5500000007</v>
      </c>
      <c r="I42" s="96">
        <f t="shared" si="6"/>
        <v>0.49067600921530802</v>
      </c>
    </row>
    <row r="43" spans="1:9" ht="51" x14ac:dyDescent="0.2">
      <c r="A43" s="93">
        <f>SUBTOTAL(103,$B$10:B43)</f>
        <v>29</v>
      </c>
      <c r="B43" s="94">
        <v>112</v>
      </c>
      <c r="C43" s="127" t="s">
        <v>246</v>
      </c>
      <c r="D43" s="95">
        <f>[1]AA!D92</f>
        <v>3297813</v>
      </c>
      <c r="E43" s="95">
        <f>[1]AA!E92</f>
        <v>3297810.4499999997</v>
      </c>
      <c r="F43" s="95">
        <f>[1]AA!F92</f>
        <v>2.5500000001047738</v>
      </c>
      <c r="G43" s="95">
        <f>[1]AA!G92</f>
        <v>3254989.7</v>
      </c>
      <c r="H43" s="95">
        <f>[1]AA!H92</f>
        <v>42823.300000000105</v>
      </c>
      <c r="I43" s="96">
        <f t="shared" si="6"/>
        <v>0.98701463666981726</v>
      </c>
    </row>
    <row r="44" spans="1:9" ht="76.5" x14ac:dyDescent="0.2">
      <c r="A44" s="93">
        <f>SUBTOTAL(103,$B$10:B44)</f>
        <v>30</v>
      </c>
      <c r="B44" s="94">
        <v>99</v>
      </c>
      <c r="C44" s="127" t="s">
        <v>236</v>
      </c>
      <c r="D44" s="95">
        <f>[1]AA!D79</f>
        <v>2470745</v>
      </c>
      <c r="E44" s="95">
        <f>[1]AA!E79</f>
        <v>2316938.79</v>
      </c>
      <c r="F44" s="95">
        <f>[1]AA!F79</f>
        <v>153806.21000000008</v>
      </c>
      <c r="G44" s="95">
        <f>[1]AA!G79</f>
        <v>1216798.8400000001</v>
      </c>
      <c r="H44" s="95">
        <f>[1]AA!H79</f>
        <v>1253946.1599999999</v>
      </c>
      <c r="I44" s="96">
        <f t="shared" si="6"/>
        <v>0.4924825669990226</v>
      </c>
    </row>
    <row r="45" spans="1:9" ht="38.25" x14ac:dyDescent="0.2">
      <c r="A45" s="93">
        <f>SUBTOTAL(103,$B$10:B45)</f>
        <v>31</v>
      </c>
      <c r="B45" s="94">
        <v>87</v>
      </c>
      <c r="C45" s="127" t="s">
        <v>227</v>
      </c>
      <c r="D45" s="95">
        <f>[1]AA!D67</f>
        <v>1122559</v>
      </c>
      <c r="E45" s="95">
        <f>[1]AA!E67</f>
        <v>1113371.05</v>
      </c>
      <c r="F45" s="95">
        <f>[1]AA!F67</f>
        <v>9187.9500000000116</v>
      </c>
      <c r="G45" s="95">
        <f>[1]AA!G67</f>
        <v>1019064.1</v>
      </c>
      <c r="H45" s="95">
        <f>[1]AA!H67</f>
        <v>103494.89999999998</v>
      </c>
      <c r="I45" s="96">
        <f t="shared" si="6"/>
        <v>0.90780448956357751</v>
      </c>
    </row>
    <row r="46" spans="1:9" ht="38.25" x14ac:dyDescent="0.2">
      <c r="A46" s="93">
        <f>SUBTOTAL(103,$B$10:B46)</f>
        <v>32</v>
      </c>
      <c r="B46" s="94">
        <v>92</v>
      </c>
      <c r="C46" s="127" t="s">
        <v>231</v>
      </c>
      <c r="D46" s="95">
        <f>[1]AA!D72</f>
        <v>1260590</v>
      </c>
      <c r="E46" s="95">
        <f>[1]AA!E72</f>
        <v>1151623.79</v>
      </c>
      <c r="F46" s="95">
        <f>[1]AA!F72</f>
        <v>108966.21</v>
      </c>
      <c r="G46" s="95">
        <f>[1]AA!G72</f>
        <v>1105100.42</v>
      </c>
      <c r="H46" s="95">
        <f>[1]AA!H72</f>
        <v>155489.58000000002</v>
      </c>
      <c r="I46" s="96">
        <f t="shared" si="6"/>
        <v>0.87665332899673953</v>
      </c>
    </row>
    <row r="47" spans="1:9" ht="38.25" x14ac:dyDescent="0.2">
      <c r="A47" s="93">
        <f>SUBTOTAL(103,$B$10:B47)</f>
        <v>33</v>
      </c>
      <c r="B47" s="94">
        <v>104</v>
      </c>
      <c r="C47" s="127" t="s">
        <v>241</v>
      </c>
      <c r="D47" s="95">
        <f>[1]AA!D84</f>
        <v>167638</v>
      </c>
      <c r="E47" s="95">
        <f>[1]AA!E84</f>
        <v>167637.03</v>
      </c>
      <c r="F47" s="95">
        <f>[1]AA!F84</f>
        <v>0.97000000000116415</v>
      </c>
      <c r="G47" s="95">
        <f>[1]AA!G84</f>
        <v>119604.61</v>
      </c>
      <c r="H47" s="95">
        <f>[1]AA!H84</f>
        <v>48033.39</v>
      </c>
      <c r="I47" s="96">
        <f t="shared" si="6"/>
        <v>0.71346955940777146</v>
      </c>
    </row>
    <row r="48" spans="1:9" ht="51" x14ac:dyDescent="0.2">
      <c r="A48" s="93">
        <f>SUBTOTAL(103,$B$10:B48)</f>
        <v>34</v>
      </c>
      <c r="B48" s="94">
        <v>101</v>
      </c>
      <c r="C48" s="127" t="s">
        <v>238</v>
      </c>
      <c r="D48" s="95">
        <f>[1]AA!D81</f>
        <v>844818</v>
      </c>
      <c r="E48" s="95">
        <f>[1]AA!E81</f>
        <v>75387.03</v>
      </c>
      <c r="F48" s="95">
        <f>[1]AA!F81</f>
        <v>769430.97</v>
      </c>
      <c r="G48" s="95">
        <f>[1]AA!G81</f>
        <v>75387.03</v>
      </c>
      <c r="H48" s="95">
        <f>[1]AA!H81</f>
        <v>769430.97</v>
      </c>
      <c r="I48" s="96">
        <f t="shared" si="6"/>
        <v>8.9234639886934225E-2</v>
      </c>
    </row>
    <row r="49" spans="1:9" ht="51" x14ac:dyDescent="0.2">
      <c r="A49" s="93">
        <f>SUBTOTAL(103,$B$10:B49)</f>
        <v>35</v>
      </c>
      <c r="B49" s="94">
        <v>166</v>
      </c>
      <c r="C49" s="127" t="s">
        <v>145</v>
      </c>
      <c r="D49" s="95">
        <f>[1]AA!D146</f>
        <v>225842</v>
      </c>
      <c r="E49" s="95">
        <f>[1]AA!E146</f>
        <v>0</v>
      </c>
      <c r="F49" s="95">
        <f>[1]AA!F146</f>
        <v>225842</v>
      </c>
      <c r="G49" s="95">
        <f>[1]AA!G146</f>
        <v>0</v>
      </c>
      <c r="H49" s="95">
        <f>[1]AA!H146</f>
        <v>225842</v>
      </c>
      <c r="I49" s="96">
        <f t="shared" si="6"/>
        <v>0</v>
      </c>
    </row>
    <row r="50" spans="1:9" ht="25.5" x14ac:dyDescent="0.2">
      <c r="A50" s="93">
        <f>SUBTOTAL(103,$B$10:B50)</f>
        <v>36</v>
      </c>
      <c r="B50" s="94">
        <v>90</v>
      </c>
      <c r="C50" s="127" t="s">
        <v>229</v>
      </c>
      <c r="D50" s="95">
        <f>[1]AA!D70</f>
        <v>459851</v>
      </c>
      <c r="E50" s="95">
        <f>[1]AA!E70</f>
        <v>344060.18</v>
      </c>
      <c r="F50" s="95">
        <f>[1]AA!F70</f>
        <v>115790.82</v>
      </c>
      <c r="G50" s="95">
        <f>[1]AA!G70</f>
        <v>300345.76</v>
      </c>
      <c r="H50" s="95">
        <f>[1]AA!H70</f>
        <v>159505.24</v>
      </c>
      <c r="I50" s="96">
        <f t="shared" ref="I50:I52" si="7">G50/D50</f>
        <v>0.65313712485131059</v>
      </c>
    </row>
    <row r="51" spans="1:9" ht="38.25" x14ac:dyDescent="0.2">
      <c r="A51" s="93">
        <f>SUBTOTAL(103,$B$10:B51)</f>
        <v>37</v>
      </c>
      <c r="B51" s="94">
        <v>96</v>
      </c>
      <c r="C51" s="127" t="s">
        <v>234</v>
      </c>
      <c r="D51" s="95">
        <f>[1]AA!D76</f>
        <v>91759</v>
      </c>
      <c r="E51" s="95">
        <f>[1]AA!E76</f>
        <v>91758.5</v>
      </c>
      <c r="F51" s="95">
        <f>[1]AA!F76</f>
        <v>0.5</v>
      </c>
      <c r="G51" s="95">
        <f>[1]AA!G76</f>
        <v>82094.58</v>
      </c>
      <c r="H51" s="95">
        <f>[1]AA!H76</f>
        <v>9664.4199999999983</v>
      </c>
      <c r="I51" s="96">
        <f t="shared" si="7"/>
        <v>0.89467605357512614</v>
      </c>
    </row>
    <row r="52" spans="1:9" ht="51" x14ac:dyDescent="0.2">
      <c r="A52" s="93">
        <f>SUBTOTAL(103,$B$10:B52)</f>
        <v>38</v>
      </c>
      <c r="B52" s="94">
        <v>113</v>
      </c>
      <c r="C52" s="127" t="s">
        <v>188</v>
      </c>
      <c r="D52" s="95">
        <f>[1]AA!D93</f>
        <v>104124</v>
      </c>
      <c r="E52" s="95">
        <f>[1]AA!E93</f>
        <v>48234.880000000005</v>
      </c>
      <c r="F52" s="95">
        <f>[1]AA!F93</f>
        <v>55889.119999999995</v>
      </c>
      <c r="G52" s="95">
        <f>[1]AA!G93</f>
        <v>48234.879999999997</v>
      </c>
      <c r="H52" s="95">
        <f>[1]AA!H93</f>
        <v>55889.120000000003</v>
      </c>
      <c r="I52" s="96">
        <f t="shared" si="7"/>
        <v>0.46324459298528675</v>
      </c>
    </row>
    <row r="53" spans="1:9" ht="51" x14ac:dyDescent="0.2">
      <c r="A53" s="93">
        <f>SUBTOTAL(103,$B$10:B53)</f>
        <v>39</v>
      </c>
      <c r="B53" s="97">
        <v>107</v>
      </c>
      <c r="C53" s="127" t="s">
        <v>1059</v>
      </c>
      <c r="D53" s="95">
        <f>[1]AA!D87</f>
        <v>22224878</v>
      </c>
      <c r="E53" s="95">
        <f>[1]AA!E87</f>
        <v>21945068.199999999</v>
      </c>
      <c r="F53" s="95">
        <f>[1]AA!F87</f>
        <v>279809.79999999993</v>
      </c>
      <c r="G53" s="95">
        <f>[1]AA!G87</f>
        <v>6322587.9100000001</v>
      </c>
      <c r="H53" s="95">
        <f>[1]AA!H87</f>
        <v>15902290.09</v>
      </c>
      <c r="I53" s="96">
        <f t="shared" ref="I53:I60" si="8">G53/D53</f>
        <v>0.28448245745150996</v>
      </c>
    </row>
    <row r="54" spans="1:9" ht="63.75" x14ac:dyDescent="0.2">
      <c r="A54" s="93">
        <f>SUBTOTAL(103,$B$10:B54)</f>
        <v>40</v>
      </c>
      <c r="B54" s="94">
        <v>124</v>
      </c>
      <c r="C54" s="127" t="s">
        <v>1075</v>
      </c>
      <c r="D54" s="95">
        <f>[1]AA!D104</f>
        <v>10719366</v>
      </c>
      <c r="E54" s="95">
        <f>[1]AA!E104</f>
        <v>9503663.8200000003</v>
      </c>
      <c r="F54" s="95">
        <f>[1]AA!F104</f>
        <v>1215702.18</v>
      </c>
      <c r="G54" s="95">
        <f>[1]AA!G104</f>
        <v>4582226.3099999996</v>
      </c>
      <c r="H54" s="95">
        <f>[1]AA!H104</f>
        <v>6137139.6899999995</v>
      </c>
      <c r="I54" s="96">
        <f t="shared" si="8"/>
        <v>0.42747176558762895</v>
      </c>
    </row>
    <row r="55" spans="1:9" ht="63.75" x14ac:dyDescent="0.2">
      <c r="A55" s="93">
        <f>SUBTOTAL(103,$B$10:B55)</f>
        <v>41</v>
      </c>
      <c r="B55" s="94">
        <v>116</v>
      </c>
      <c r="C55" s="127" t="s">
        <v>489</v>
      </c>
      <c r="D55" s="95">
        <f>[1]AA!D96</f>
        <v>6736048</v>
      </c>
      <c r="E55" s="95">
        <f>[1]AA!E96</f>
        <v>6528785.71</v>
      </c>
      <c r="F55" s="95">
        <f>[1]AA!F96</f>
        <v>207262.29</v>
      </c>
      <c r="G55" s="95">
        <f>[1]AA!G96</f>
        <v>2578625.13</v>
      </c>
      <c r="H55" s="95">
        <f>[1]AA!H96</f>
        <v>4157422.8699999996</v>
      </c>
      <c r="I55" s="96">
        <f t="shared" si="8"/>
        <v>0.38280979143854083</v>
      </c>
    </row>
    <row r="56" spans="1:9" ht="51" x14ac:dyDescent="0.2">
      <c r="A56" s="93">
        <f>SUBTOTAL(103,$B$10:B56)</f>
        <v>42</v>
      </c>
      <c r="B56" s="94">
        <v>123</v>
      </c>
      <c r="C56" s="127" t="s">
        <v>409</v>
      </c>
      <c r="D56" s="95">
        <f>[1]AA!D103</f>
        <v>8141874</v>
      </c>
      <c r="E56" s="95">
        <f>[1]AA!E103</f>
        <v>7901531.1600000001</v>
      </c>
      <c r="F56" s="95">
        <f>[1]AA!F103</f>
        <v>240342.83999999985</v>
      </c>
      <c r="G56" s="95">
        <f>[1]AA!G103</f>
        <v>3734440.93</v>
      </c>
      <c r="H56" s="95">
        <f>[1]AA!H103</f>
        <v>4407433.07</v>
      </c>
      <c r="I56" s="96">
        <f t="shared" si="8"/>
        <v>0.45867093128682662</v>
      </c>
    </row>
    <row r="57" spans="1:9" ht="38.25" x14ac:dyDescent="0.2">
      <c r="A57" s="93">
        <f>SUBTOTAL(103,$B$10:B57)</f>
        <v>43</v>
      </c>
      <c r="B57" s="94">
        <v>94</v>
      </c>
      <c r="C57" s="127" t="s">
        <v>232</v>
      </c>
      <c r="D57" s="95">
        <f>[1]AA!D74</f>
        <v>67139</v>
      </c>
      <c r="E57" s="95">
        <f>[1]AA!E74</f>
        <v>0</v>
      </c>
      <c r="F57" s="95">
        <f>[1]AA!F74</f>
        <v>67139</v>
      </c>
      <c r="G57" s="95">
        <f>[1]AA!G74</f>
        <v>0</v>
      </c>
      <c r="H57" s="95">
        <f>[1]AA!H74</f>
        <v>67139</v>
      </c>
      <c r="I57" s="96">
        <f t="shared" si="8"/>
        <v>0</v>
      </c>
    </row>
    <row r="58" spans="1:9" ht="51" x14ac:dyDescent="0.2">
      <c r="A58" s="93">
        <f>SUBTOTAL(103,$B$10:B58)</f>
        <v>44</v>
      </c>
      <c r="B58" s="97">
        <v>433</v>
      </c>
      <c r="C58" s="127" t="s">
        <v>854</v>
      </c>
      <c r="D58" s="95">
        <f>[1]AA!D374</f>
        <v>105000</v>
      </c>
      <c r="E58" s="95">
        <f>[1]AA!E374</f>
        <v>44312.3</v>
      </c>
      <c r="F58" s="95">
        <f>[1]AA!F374</f>
        <v>60687.7</v>
      </c>
      <c r="G58" s="95">
        <f>[1]AA!G374</f>
        <v>39935.869999999995</v>
      </c>
      <c r="H58" s="95">
        <f>[1]AA!H374</f>
        <v>65064.13</v>
      </c>
      <c r="I58" s="96">
        <f t="shared" si="8"/>
        <v>0.38034161904761898</v>
      </c>
    </row>
    <row r="59" spans="1:9" ht="63.75" x14ac:dyDescent="0.2">
      <c r="A59" s="93">
        <f>SUBTOTAL(103,$B$10:B59)</f>
        <v>45</v>
      </c>
      <c r="B59" s="97">
        <v>508</v>
      </c>
      <c r="C59" s="127" t="s">
        <v>1653</v>
      </c>
      <c r="D59" s="95">
        <f>[1]AA!D422</f>
        <v>94054</v>
      </c>
      <c r="E59" s="95">
        <f>[1]AA!E422</f>
        <v>94054</v>
      </c>
      <c r="F59" s="95">
        <f>[1]AA!F422</f>
        <v>0</v>
      </c>
      <c r="G59" s="95">
        <f>[1]AA!G422</f>
        <v>60075.86</v>
      </c>
      <c r="H59" s="95">
        <f>[1]AA!H422</f>
        <v>33978.14</v>
      </c>
      <c r="I59" s="96">
        <f t="shared" ref="I59" si="9">G59/D59</f>
        <v>0.63873795904480402</v>
      </c>
    </row>
    <row r="60" spans="1:9" ht="51" x14ac:dyDescent="0.2">
      <c r="A60" s="93">
        <f>SUBTOTAL(103,$B$10:B60)</f>
        <v>46</v>
      </c>
      <c r="B60" s="97">
        <v>457</v>
      </c>
      <c r="C60" s="127" t="s">
        <v>2415</v>
      </c>
      <c r="D60" s="95">
        <f>[1]AA!D382</f>
        <v>28752</v>
      </c>
      <c r="E60" s="95">
        <f>[1]AA!E382</f>
        <v>28751.599999999999</v>
      </c>
      <c r="F60" s="95">
        <f>[1]AA!F382</f>
        <v>0.40000000000145519</v>
      </c>
      <c r="G60" s="95">
        <f>[1]AA!G382</f>
        <v>28751.599999999999</v>
      </c>
      <c r="H60" s="95">
        <f>[1]AA!H382</f>
        <v>0.40000000000145519</v>
      </c>
      <c r="I60" s="96">
        <f t="shared" si="8"/>
        <v>0.99998608792431831</v>
      </c>
    </row>
    <row r="61" spans="1:9" ht="25.5" hidden="1" x14ac:dyDescent="0.2">
      <c r="A61" s="93">
        <f>SUBTOTAL(103,$B$10:B61)</f>
        <v>46</v>
      </c>
      <c r="B61" s="94">
        <v>88</v>
      </c>
      <c r="C61" s="127" t="s">
        <v>228</v>
      </c>
      <c r="D61" s="95">
        <f>[1]AA!D68</f>
        <v>0</v>
      </c>
      <c r="E61" s="95">
        <f>[1]AA!E68</f>
        <v>0</v>
      </c>
      <c r="F61" s="95">
        <f>[1]AA!F68</f>
        <v>0</v>
      </c>
      <c r="G61" s="95">
        <f>[1]AA!G68</f>
        <v>0</v>
      </c>
      <c r="H61" s="95">
        <f>[1]AA!H68</f>
        <v>0</v>
      </c>
      <c r="I61" s="96" t="e">
        <f>G61/D61</f>
        <v>#DIV/0!</v>
      </c>
    </row>
    <row r="62" spans="1:9" ht="38.25" hidden="1" x14ac:dyDescent="0.2">
      <c r="A62" s="93">
        <f>SUBTOTAL(103,$B$10:B62)</f>
        <v>46</v>
      </c>
      <c r="B62" s="94">
        <v>89</v>
      </c>
      <c r="C62" s="127" t="s">
        <v>288</v>
      </c>
      <c r="D62" s="95">
        <f>[1]AA!D69</f>
        <v>0</v>
      </c>
      <c r="E62" s="95">
        <f>[1]AA!E69</f>
        <v>0</v>
      </c>
      <c r="F62" s="95">
        <f>[1]AA!F69</f>
        <v>0</v>
      </c>
      <c r="G62" s="95">
        <f>[1]AA!G69</f>
        <v>0</v>
      </c>
      <c r="H62" s="95">
        <f>[1]AA!H69</f>
        <v>0</v>
      </c>
      <c r="I62" s="96" t="e">
        <f>G62/D62</f>
        <v>#DIV/0!</v>
      </c>
    </row>
    <row r="63" spans="1:9" ht="38.25" hidden="1" x14ac:dyDescent="0.2">
      <c r="A63" s="93">
        <f>SUBTOTAL(103,$B$10:B63)</f>
        <v>46</v>
      </c>
      <c r="B63" s="97">
        <v>97</v>
      </c>
      <c r="C63" s="127" t="s">
        <v>342</v>
      </c>
      <c r="D63" s="95">
        <f>[1]AA!D77</f>
        <v>0</v>
      </c>
      <c r="E63" s="95">
        <f>[1]AA!E77</f>
        <v>0</v>
      </c>
      <c r="F63" s="95">
        <f>[1]AA!F77</f>
        <v>0</v>
      </c>
      <c r="G63" s="95">
        <f>[1]AA!G77</f>
        <v>0</v>
      </c>
      <c r="H63" s="95">
        <f>[1]AA!H77</f>
        <v>0</v>
      </c>
      <c r="I63" s="96" t="e">
        <f>G63/D63</f>
        <v>#DIV/0!</v>
      </c>
    </row>
    <row r="64" spans="1:9" ht="63.75" hidden="1" x14ac:dyDescent="0.2">
      <c r="A64" s="93">
        <f>SUBTOTAL(103,$B$10:B64)</f>
        <v>46</v>
      </c>
      <c r="B64" s="94">
        <v>108</v>
      </c>
      <c r="C64" s="127" t="s">
        <v>242</v>
      </c>
      <c r="D64" s="95">
        <f>[1]AA!D88</f>
        <v>0</v>
      </c>
      <c r="E64" s="95">
        <f>[1]AA!E88</f>
        <v>0</v>
      </c>
      <c r="F64" s="95">
        <f>[1]AA!F88</f>
        <v>0</v>
      </c>
      <c r="G64" s="95">
        <f>[1]AA!G88</f>
        <v>0</v>
      </c>
      <c r="H64" s="95">
        <f>[1]AA!H88</f>
        <v>0</v>
      </c>
      <c r="I64" s="96" t="e">
        <f>G64/D64</f>
        <v>#DIV/0!</v>
      </c>
    </row>
    <row r="65" spans="1:12" ht="16.5" x14ac:dyDescent="0.2">
      <c r="A65" s="182" t="s">
        <v>1054</v>
      </c>
      <c r="B65" s="182"/>
      <c r="C65" s="182"/>
      <c r="D65" s="91">
        <f>SUM(D66:D74)</f>
        <v>24976788</v>
      </c>
      <c r="E65" s="91">
        <f>SUM(E66:E74)</f>
        <v>20782128.149999999</v>
      </c>
      <c r="F65" s="91">
        <f>SUM(F66:F74)</f>
        <v>4194659.8500000006</v>
      </c>
      <c r="G65" s="91">
        <f>SUM(G66:G74)</f>
        <v>5330362.8100000005</v>
      </c>
      <c r="H65" s="91">
        <f>SUM(H66:H74)</f>
        <v>19646425.189999998</v>
      </c>
      <c r="I65" s="92">
        <f t="shared" ref="I65:I72" si="10">G65/D65</f>
        <v>0.21341266178821713</v>
      </c>
    </row>
    <row r="66" spans="1:12" ht="38.25" x14ac:dyDescent="0.2">
      <c r="A66" s="93">
        <f>SUBTOTAL(103,$B$10:B66)</f>
        <v>47</v>
      </c>
      <c r="B66" s="94">
        <v>217</v>
      </c>
      <c r="C66" s="127" t="s">
        <v>522</v>
      </c>
      <c r="D66" s="95">
        <f>[1]AA!D182</f>
        <v>5810277</v>
      </c>
      <c r="E66" s="95">
        <f>[1]AA!E182</f>
        <v>5160201.5999999996</v>
      </c>
      <c r="F66" s="95">
        <f>[1]AA!F182</f>
        <v>650075.39999999991</v>
      </c>
      <c r="G66" s="95">
        <f>[1]AA!G182</f>
        <v>1005736.6399999999</v>
      </c>
      <c r="H66" s="95">
        <f>[1]AA!H182</f>
        <v>4804540.3599999994</v>
      </c>
      <c r="I66" s="96">
        <f t="shared" si="10"/>
        <v>0.17309616047565374</v>
      </c>
    </row>
    <row r="67" spans="1:12" ht="45.75" customHeight="1" x14ac:dyDescent="0.2">
      <c r="A67" s="93">
        <f>SUBTOTAL(103,$B$10:B67)</f>
        <v>48</v>
      </c>
      <c r="B67" s="94">
        <v>63</v>
      </c>
      <c r="C67" s="127" t="s">
        <v>514</v>
      </c>
      <c r="D67" s="95">
        <f>[1]AA!D52</f>
        <v>5921783</v>
      </c>
      <c r="E67" s="95">
        <f>[1]AA!E52</f>
        <v>5841984.7199999997</v>
      </c>
      <c r="F67" s="95">
        <f>[1]AA!F52</f>
        <v>79798.280000000377</v>
      </c>
      <c r="G67" s="95">
        <f>[1]AA!G52</f>
        <v>1173718.23</v>
      </c>
      <c r="H67" s="95">
        <f>[1]AA!H52</f>
        <v>4748064.7699999996</v>
      </c>
      <c r="I67" s="96">
        <f t="shared" si="10"/>
        <v>0.19820351910902509</v>
      </c>
    </row>
    <row r="68" spans="1:12" ht="25.5" x14ac:dyDescent="0.2">
      <c r="A68" s="93">
        <f>SUBTOTAL(103,$B$10:B68)</f>
        <v>49</v>
      </c>
      <c r="B68" s="94">
        <v>62</v>
      </c>
      <c r="C68" s="127" t="s">
        <v>262</v>
      </c>
      <c r="D68" s="95">
        <f>[1]AA!D51</f>
        <v>1180793</v>
      </c>
      <c r="E68" s="95">
        <f>[1]AA!E51</f>
        <v>1108033.83</v>
      </c>
      <c r="F68" s="95">
        <f>[1]AA!F51</f>
        <v>72759.17</v>
      </c>
      <c r="G68" s="95">
        <f>[1]AA!G51</f>
        <v>1072519.9099999999</v>
      </c>
      <c r="H68" s="95">
        <f>[1]AA!H51</f>
        <v>108273.09</v>
      </c>
      <c r="I68" s="96">
        <f t="shared" si="10"/>
        <v>0.90830476637310686</v>
      </c>
    </row>
    <row r="69" spans="1:12" ht="63.75" x14ac:dyDescent="0.2">
      <c r="A69" s="93">
        <f>SUBTOTAL(103,$B$10:B69)</f>
        <v>50</v>
      </c>
      <c r="B69" s="94">
        <v>72</v>
      </c>
      <c r="C69" s="127" t="s">
        <v>391</v>
      </c>
      <c r="D69" s="95">
        <f>[1]AA!D61</f>
        <v>3067172</v>
      </c>
      <c r="E69" s="95">
        <f>[1]AA!E61</f>
        <v>1860545</v>
      </c>
      <c r="F69" s="95">
        <f>[1]AA!F61</f>
        <v>1206627</v>
      </c>
      <c r="G69" s="95">
        <f>[1]AA!G61</f>
        <v>26447.489999999998</v>
      </c>
      <c r="H69" s="95">
        <f>[1]AA!H61</f>
        <v>3040724.5100000002</v>
      </c>
      <c r="I69" s="96">
        <f t="shared" si="10"/>
        <v>8.6227606407465896E-3</v>
      </c>
    </row>
    <row r="70" spans="1:12" ht="76.5" x14ac:dyDescent="0.2">
      <c r="A70" s="93">
        <f>SUBTOTAL(103,$B$10:B70)</f>
        <v>51</v>
      </c>
      <c r="B70" s="94">
        <v>67</v>
      </c>
      <c r="C70" s="127" t="s">
        <v>396</v>
      </c>
      <c r="D70" s="95">
        <f>[1]AA!D56</f>
        <v>2575916</v>
      </c>
      <c r="E70" s="95">
        <f>[1]AA!E56</f>
        <v>2500859</v>
      </c>
      <c r="F70" s="95">
        <f>[1]AA!F56</f>
        <v>75057</v>
      </c>
      <c r="G70" s="95">
        <f>[1]AA!G56</f>
        <v>23527.19</v>
      </c>
      <c r="H70" s="95">
        <f>[1]AA!H56</f>
        <v>2552388.81</v>
      </c>
      <c r="I70" s="96">
        <f t="shared" si="10"/>
        <v>9.1335237639736701E-3</v>
      </c>
    </row>
    <row r="71" spans="1:12" ht="51" x14ac:dyDescent="0.2">
      <c r="A71" s="93">
        <f>SUBTOTAL(103,$B$10:B71)</f>
        <v>52</v>
      </c>
      <c r="B71" s="94">
        <v>71</v>
      </c>
      <c r="C71" s="127" t="s">
        <v>393</v>
      </c>
      <c r="D71" s="95">
        <f>[1]AA!D60</f>
        <v>2054253</v>
      </c>
      <c r="E71" s="95">
        <f>[1]AA!E60</f>
        <v>1854253</v>
      </c>
      <c r="F71" s="95">
        <f>[1]AA!F60</f>
        <v>200000</v>
      </c>
      <c r="G71" s="95">
        <f>[1]AA!G60</f>
        <v>0</v>
      </c>
      <c r="H71" s="95">
        <f>[1]AA!H60</f>
        <v>2054253</v>
      </c>
      <c r="I71" s="96">
        <f t="shared" si="10"/>
        <v>0</v>
      </c>
    </row>
    <row r="72" spans="1:12" ht="51" x14ac:dyDescent="0.2">
      <c r="A72" s="93">
        <f>SUBTOTAL(103,$B$10:B72)</f>
        <v>53</v>
      </c>
      <c r="B72" s="94">
        <v>65</v>
      </c>
      <c r="C72" s="127" t="s">
        <v>398</v>
      </c>
      <c r="D72" s="95">
        <f>[1]AA!D54</f>
        <v>2028388</v>
      </c>
      <c r="E72" s="95">
        <f>[1]AA!E54</f>
        <v>2028388</v>
      </c>
      <c r="F72" s="95">
        <f>[1]AA!F54</f>
        <v>0</v>
      </c>
      <c r="G72" s="95">
        <f>[1]AA!G54</f>
        <v>1711781.12</v>
      </c>
      <c r="H72" s="95">
        <f>[1]AA!H54</f>
        <v>316606.87999999995</v>
      </c>
      <c r="I72" s="96">
        <f t="shared" si="10"/>
        <v>0.84391207204933183</v>
      </c>
    </row>
    <row r="73" spans="1:12" ht="51" x14ac:dyDescent="0.2">
      <c r="A73" s="93">
        <f>SUBTOTAL(103,$B$10:B73)</f>
        <v>54</v>
      </c>
      <c r="B73" s="94">
        <v>252</v>
      </c>
      <c r="C73" s="127" t="s">
        <v>525</v>
      </c>
      <c r="D73" s="95">
        <f>[1]AA!D217</f>
        <v>2047936</v>
      </c>
      <c r="E73" s="95">
        <f>[1]AA!E217</f>
        <v>327863</v>
      </c>
      <c r="F73" s="95">
        <f>[1]AA!F217</f>
        <v>1720073</v>
      </c>
      <c r="G73" s="95">
        <f>[1]AA!G217</f>
        <v>316632.23</v>
      </c>
      <c r="H73" s="95">
        <f>[1]AA!H217</f>
        <v>1731303.77</v>
      </c>
      <c r="I73" s="96">
        <f t="shared" ref="I73:I74" si="11">G73/D73</f>
        <v>0.15461041263008218</v>
      </c>
    </row>
    <row r="74" spans="1:12" ht="51" x14ac:dyDescent="0.2">
      <c r="A74" s="93">
        <f>SUBTOTAL(103,$B$10:B74)</f>
        <v>55</v>
      </c>
      <c r="B74" s="94">
        <v>260</v>
      </c>
      <c r="C74" s="127" t="s">
        <v>217</v>
      </c>
      <c r="D74" s="95">
        <f>[1]AA!D225</f>
        <v>290270</v>
      </c>
      <c r="E74" s="95">
        <f>[1]AA!E225</f>
        <v>100000</v>
      </c>
      <c r="F74" s="95">
        <f>[1]AA!F225</f>
        <v>190270</v>
      </c>
      <c r="G74" s="95">
        <f>[1]AA!G225</f>
        <v>0</v>
      </c>
      <c r="H74" s="95">
        <f>[1]AA!H225</f>
        <v>290270</v>
      </c>
      <c r="I74" s="96">
        <f t="shared" si="11"/>
        <v>0</v>
      </c>
    </row>
    <row r="75" spans="1:12" ht="16.5" x14ac:dyDescent="0.2">
      <c r="A75" s="199" t="s">
        <v>1048</v>
      </c>
      <c r="B75" s="200"/>
      <c r="C75" s="201"/>
      <c r="D75" s="91">
        <f>SUM(D76:D76)</f>
        <v>7542377</v>
      </c>
      <c r="E75" s="91">
        <f t="shared" ref="E75:H75" si="12">SUM(E76:E76)</f>
        <v>7542076.8799999999</v>
      </c>
      <c r="F75" s="91">
        <f t="shared" si="12"/>
        <v>300.11999999999534</v>
      </c>
      <c r="G75" s="91">
        <f t="shared" si="12"/>
        <v>7531497.7200000007</v>
      </c>
      <c r="H75" s="91">
        <f t="shared" si="12"/>
        <v>10879.279999999999</v>
      </c>
      <c r="I75" s="92">
        <f>G75/D75</f>
        <v>0.9985575793944006</v>
      </c>
      <c r="L75" s="35"/>
    </row>
    <row r="76" spans="1:12" ht="51" x14ac:dyDescent="0.2">
      <c r="A76" s="93">
        <f>SUBTOTAL(103,$B$10:B76)</f>
        <v>56</v>
      </c>
      <c r="B76" s="94">
        <v>259</v>
      </c>
      <c r="C76" s="127" t="s">
        <v>211</v>
      </c>
      <c r="D76" s="95">
        <f>[1]AA!D224</f>
        <v>7542377</v>
      </c>
      <c r="E76" s="95">
        <f>[1]AA!E224</f>
        <v>7542076.8799999999</v>
      </c>
      <c r="F76" s="95">
        <f>[1]AA!F224</f>
        <v>300.11999999999534</v>
      </c>
      <c r="G76" s="95">
        <f>[1]AA!G224</f>
        <v>7531497.7200000007</v>
      </c>
      <c r="H76" s="95">
        <f>[1]AA!H224</f>
        <v>10879.279999999999</v>
      </c>
      <c r="I76" s="96">
        <f>G76/D76</f>
        <v>0.9985575793944006</v>
      </c>
    </row>
    <row r="77" spans="1:12" ht="47.25" hidden="1" x14ac:dyDescent="0.2">
      <c r="A77" s="73"/>
      <c r="B77" s="64"/>
      <c r="C77" s="31" t="s">
        <v>189</v>
      </c>
      <c r="D77" s="16"/>
      <c r="E77" s="16"/>
      <c r="F77" s="16"/>
      <c r="G77" s="16"/>
      <c r="H77" s="16"/>
      <c r="I77" s="17" t="e">
        <f>G77/D77</f>
        <v>#DIV/0!</v>
      </c>
      <c r="L77" s="35"/>
    </row>
    <row r="78" spans="1:12" ht="16.5" x14ac:dyDescent="0.2">
      <c r="A78" s="184" t="s">
        <v>1047</v>
      </c>
      <c r="B78" s="185"/>
      <c r="C78" s="186"/>
      <c r="D78" s="91">
        <f>SUM(D79)</f>
        <v>99230</v>
      </c>
      <c r="E78" s="91">
        <f t="shared" ref="E78:H78" si="13">SUM(E79)</f>
        <v>99007.59</v>
      </c>
      <c r="F78" s="91">
        <f t="shared" si="13"/>
        <v>222.40999999999985</v>
      </c>
      <c r="G78" s="91">
        <f t="shared" si="13"/>
        <v>93345.76999999999</v>
      </c>
      <c r="H78" s="91">
        <f t="shared" si="13"/>
        <v>5884.23</v>
      </c>
      <c r="I78" s="92">
        <f>G78/D78</f>
        <v>0.94070109845812744</v>
      </c>
    </row>
    <row r="79" spans="1:12" ht="51" x14ac:dyDescent="0.2">
      <c r="A79" s="93">
        <f>SUBTOTAL(103,$B$10:B79)</f>
        <v>57</v>
      </c>
      <c r="B79" s="97">
        <v>456</v>
      </c>
      <c r="C79" s="127" t="s">
        <v>215</v>
      </c>
      <c r="D79" s="95">
        <f>[1]AA!D381</f>
        <v>99230</v>
      </c>
      <c r="E79" s="95">
        <f>[1]AA!E381</f>
        <v>99007.59</v>
      </c>
      <c r="F79" s="95">
        <f>[1]AA!F381</f>
        <v>222.40999999999985</v>
      </c>
      <c r="G79" s="95">
        <f>[1]AA!G381</f>
        <v>93345.76999999999</v>
      </c>
      <c r="H79" s="95">
        <f>[1]AA!H381</f>
        <v>5884.23</v>
      </c>
      <c r="I79" s="96">
        <f>G79/D79</f>
        <v>0.94070109845812744</v>
      </c>
    </row>
    <row r="80" spans="1:12" ht="63" hidden="1" x14ac:dyDescent="0.2">
      <c r="A80" s="93"/>
      <c r="B80" s="64"/>
      <c r="C80" s="31" t="s">
        <v>34</v>
      </c>
      <c r="D80" s="16"/>
      <c r="E80" s="16"/>
      <c r="F80" s="16"/>
      <c r="G80" s="16"/>
      <c r="H80" s="16"/>
      <c r="I80" s="17">
        <v>0</v>
      </c>
    </row>
    <row r="81" spans="1:9" ht="78.75" hidden="1" x14ac:dyDescent="0.2">
      <c r="A81" s="73"/>
      <c r="B81" s="64"/>
      <c r="C81" s="31" t="s">
        <v>509</v>
      </c>
      <c r="D81" s="16"/>
      <c r="E81" s="16"/>
      <c r="F81" s="16"/>
      <c r="G81" s="16"/>
      <c r="H81" s="16"/>
      <c r="I81" s="17" t="e">
        <f>G81/D81</f>
        <v>#DIV/0!</v>
      </c>
    </row>
    <row r="82" spans="1:9" ht="78.75" hidden="1" x14ac:dyDescent="0.2">
      <c r="A82" s="73"/>
      <c r="B82" s="64"/>
      <c r="C82" s="31" t="s">
        <v>512</v>
      </c>
      <c r="D82" s="16"/>
      <c r="E82" s="16"/>
      <c r="F82" s="16"/>
      <c r="G82" s="16"/>
      <c r="H82" s="16"/>
      <c r="I82" s="17" t="e">
        <f>G82/D82</f>
        <v>#DIV/0!</v>
      </c>
    </row>
    <row r="83" spans="1:9" ht="63" hidden="1" x14ac:dyDescent="0.2">
      <c r="A83" s="73"/>
      <c r="B83" s="64"/>
      <c r="C83" s="31" t="s">
        <v>513</v>
      </c>
      <c r="D83" s="16"/>
      <c r="E83" s="16"/>
      <c r="F83" s="16"/>
      <c r="G83" s="16"/>
      <c r="H83" s="16"/>
      <c r="I83" s="17" t="e">
        <f>G83/D83</f>
        <v>#DIV/0!</v>
      </c>
    </row>
    <row r="84" spans="1:9" ht="110.25" hidden="1" x14ac:dyDescent="0.2">
      <c r="A84" s="73"/>
      <c r="B84" s="64"/>
      <c r="C84" s="31" t="s">
        <v>63</v>
      </c>
      <c r="D84" s="16"/>
      <c r="E84" s="16"/>
      <c r="F84" s="16"/>
      <c r="G84" s="16"/>
      <c r="H84" s="16"/>
      <c r="I84" s="17">
        <v>0</v>
      </c>
    </row>
    <row r="85" spans="1:9" ht="78.75" hidden="1" customHeight="1" x14ac:dyDescent="0.2">
      <c r="A85" s="73"/>
      <c r="B85" s="64"/>
      <c r="C85" s="31" t="s">
        <v>515</v>
      </c>
      <c r="D85" s="16"/>
      <c r="E85" s="16"/>
      <c r="F85" s="16"/>
      <c r="G85" s="16"/>
      <c r="H85" s="16"/>
      <c r="I85" s="17" t="e">
        <f>G85/D85</f>
        <v>#DIV/0!</v>
      </c>
    </row>
    <row r="86" spans="1:9" ht="63" hidden="1" x14ac:dyDescent="0.2">
      <c r="A86" s="73"/>
      <c r="B86" s="64"/>
      <c r="C86" s="31" t="s">
        <v>516</v>
      </c>
      <c r="D86" s="16"/>
      <c r="E86" s="16"/>
      <c r="F86" s="16"/>
      <c r="G86" s="16"/>
      <c r="H86" s="16"/>
      <c r="I86" s="17" t="e">
        <f>G86/D86</f>
        <v>#DIV/0!</v>
      </c>
    </row>
    <row r="87" spans="1:9" ht="78.75" hidden="1" x14ac:dyDescent="0.2">
      <c r="A87" s="73"/>
      <c r="B87" s="64"/>
      <c r="C87" s="31" t="s">
        <v>359</v>
      </c>
      <c r="D87" s="16"/>
      <c r="E87" s="16"/>
      <c r="F87" s="16"/>
      <c r="G87" s="16"/>
      <c r="H87" s="16"/>
      <c r="I87" s="17" t="e">
        <f>G87/D87</f>
        <v>#DIV/0!</v>
      </c>
    </row>
    <row r="88" spans="1:9" ht="78.75" hidden="1" x14ac:dyDescent="0.2">
      <c r="A88" s="73"/>
      <c r="B88" s="64"/>
      <c r="C88" s="31" t="s">
        <v>517</v>
      </c>
      <c r="D88" s="16"/>
      <c r="E88" s="16"/>
      <c r="F88" s="16"/>
      <c r="G88" s="16"/>
      <c r="H88" s="16"/>
      <c r="I88" s="17" t="e">
        <f>G88/D88</f>
        <v>#DIV/0!</v>
      </c>
    </row>
    <row r="89" spans="1:9" ht="94.5" hidden="1" x14ac:dyDescent="0.2">
      <c r="A89" s="73"/>
      <c r="B89" s="64"/>
      <c r="C89" s="31" t="s">
        <v>65</v>
      </c>
      <c r="D89" s="16"/>
      <c r="E89" s="16"/>
      <c r="F89" s="16"/>
      <c r="G89" s="16"/>
      <c r="H89" s="16"/>
      <c r="I89" s="17"/>
    </row>
    <row r="90" spans="1:9" ht="78.75" hidden="1" x14ac:dyDescent="0.2">
      <c r="A90" s="73"/>
      <c r="B90" s="64"/>
      <c r="C90" s="31" t="s">
        <v>518</v>
      </c>
      <c r="D90" s="16"/>
      <c r="E90" s="16"/>
      <c r="F90" s="16"/>
      <c r="G90" s="16"/>
      <c r="H90" s="16"/>
      <c r="I90" s="17" t="e">
        <f>G90/D90</f>
        <v>#DIV/0!</v>
      </c>
    </row>
    <row r="91" spans="1:9" ht="63" hidden="1" x14ac:dyDescent="0.2">
      <c r="A91" s="73"/>
      <c r="B91" s="64"/>
      <c r="C91" s="31" t="s">
        <v>68</v>
      </c>
      <c r="D91" s="16"/>
      <c r="E91" s="16"/>
      <c r="F91" s="16"/>
      <c r="G91" s="16"/>
      <c r="H91" s="16"/>
      <c r="I91" s="17">
        <v>0</v>
      </c>
    </row>
    <row r="92" spans="1:9" ht="63" hidden="1" x14ac:dyDescent="0.2">
      <c r="A92" s="73"/>
      <c r="B92" s="64"/>
      <c r="C92" s="31" t="s">
        <v>37</v>
      </c>
      <c r="D92" s="16"/>
      <c r="E92" s="16"/>
      <c r="F92" s="16"/>
      <c r="G92" s="16"/>
      <c r="H92" s="16"/>
      <c r="I92" s="17">
        <v>0</v>
      </c>
    </row>
    <row r="93" spans="1:9" ht="94.5" hidden="1" x14ac:dyDescent="0.2">
      <c r="A93" s="73"/>
      <c r="B93" s="64"/>
      <c r="C93" s="31" t="s">
        <v>66</v>
      </c>
      <c r="D93" s="16"/>
      <c r="E93" s="16"/>
      <c r="F93" s="16"/>
      <c r="G93" s="16"/>
      <c r="H93" s="16"/>
      <c r="I93" s="17" t="e">
        <f>G93/D93</f>
        <v>#DIV/0!</v>
      </c>
    </row>
    <row r="94" spans="1:9" ht="63" hidden="1" x14ac:dyDescent="0.2">
      <c r="A94" s="73"/>
      <c r="B94" s="64"/>
      <c r="C94" s="31" t="s">
        <v>465</v>
      </c>
      <c r="D94" s="16"/>
      <c r="E94" s="16"/>
      <c r="F94" s="16"/>
      <c r="G94" s="16"/>
      <c r="H94" s="16"/>
      <c r="I94" s="17" t="e">
        <f>G94/D94</f>
        <v>#DIV/0!</v>
      </c>
    </row>
    <row r="95" spans="1:9" ht="63" hidden="1" x14ac:dyDescent="0.2">
      <c r="A95" s="73"/>
      <c r="B95" s="64"/>
      <c r="C95" s="31" t="s">
        <v>519</v>
      </c>
      <c r="D95" s="16"/>
      <c r="E95" s="16"/>
      <c r="F95" s="16"/>
      <c r="G95" s="16"/>
      <c r="H95" s="16"/>
      <c r="I95" s="17" t="e">
        <f>G95/D95</f>
        <v>#DIV/0!</v>
      </c>
    </row>
    <row r="96" spans="1:9" ht="78.75" hidden="1" x14ac:dyDescent="0.2">
      <c r="A96" s="73"/>
      <c r="B96" s="64"/>
      <c r="C96" s="31" t="s">
        <v>520</v>
      </c>
      <c r="D96" s="16"/>
      <c r="E96" s="16"/>
      <c r="F96" s="16"/>
      <c r="G96" s="16"/>
      <c r="H96" s="16"/>
      <c r="I96" s="17" t="e">
        <f>G96/D96</f>
        <v>#DIV/0!</v>
      </c>
    </row>
    <row r="97" spans="1:9" ht="47.25" hidden="1" x14ac:dyDescent="0.2">
      <c r="A97" s="73"/>
      <c r="B97" s="66"/>
      <c r="C97" s="31" t="s">
        <v>115</v>
      </c>
      <c r="D97" s="16"/>
      <c r="E97" s="16"/>
      <c r="F97" s="16"/>
      <c r="G97" s="16"/>
      <c r="H97" s="16"/>
      <c r="I97" s="17">
        <v>0</v>
      </c>
    </row>
    <row r="98" spans="1:9" ht="63" hidden="1" x14ac:dyDescent="0.2">
      <c r="A98" s="73"/>
      <c r="B98" s="64"/>
      <c r="C98" s="31" t="s">
        <v>329</v>
      </c>
      <c r="D98" s="16"/>
      <c r="E98" s="16"/>
      <c r="F98" s="16"/>
      <c r="G98" s="16"/>
      <c r="H98" s="16"/>
      <c r="I98" s="17" t="e">
        <f>G98/D98</f>
        <v>#DIV/0!</v>
      </c>
    </row>
    <row r="99" spans="1:9" ht="63" hidden="1" x14ac:dyDescent="0.2">
      <c r="A99" s="73"/>
      <c r="B99" s="64"/>
      <c r="C99" s="31" t="s">
        <v>345</v>
      </c>
      <c r="D99" s="16"/>
      <c r="E99" s="16"/>
      <c r="F99" s="16"/>
      <c r="G99" s="16"/>
      <c r="H99" s="16"/>
      <c r="I99" s="17" t="e">
        <f>G99/D99</f>
        <v>#DIV/0!</v>
      </c>
    </row>
    <row r="100" spans="1:9" ht="78.75" hidden="1" x14ac:dyDescent="0.2">
      <c r="A100" s="73"/>
      <c r="B100" s="64"/>
      <c r="C100" s="31" t="s">
        <v>64</v>
      </c>
      <c r="D100" s="16"/>
      <c r="E100" s="16"/>
      <c r="F100" s="16"/>
      <c r="G100" s="16"/>
      <c r="H100" s="16"/>
      <c r="I100" s="17">
        <v>0</v>
      </c>
    </row>
    <row r="101" spans="1:9" ht="78.75" hidden="1" x14ac:dyDescent="0.2">
      <c r="A101" s="73"/>
      <c r="B101" s="64"/>
      <c r="C101" s="31" t="s">
        <v>302</v>
      </c>
      <c r="D101" s="16"/>
      <c r="E101" s="16"/>
      <c r="F101" s="16"/>
      <c r="G101" s="16"/>
      <c r="H101" s="16"/>
      <c r="I101" s="17">
        <v>0</v>
      </c>
    </row>
    <row r="102" spans="1:9" ht="78.75" hidden="1" x14ac:dyDescent="0.2">
      <c r="A102" s="73"/>
      <c r="B102" s="64"/>
      <c r="C102" s="31" t="s">
        <v>521</v>
      </c>
      <c r="D102" s="16"/>
      <c r="E102" s="16"/>
      <c r="F102" s="16"/>
      <c r="G102" s="16"/>
      <c r="H102" s="16"/>
      <c r="I102" s="17" t="e">
        <f>G102/D102</f>
        <v>#DIV/0!</v>
      </c>
    </row>
    <row r="103" spans="1:9" ht="94.5" hidden="1" x14ac:dyDescent="0.2">
      <c r="A103" s="73"/>
      <c r="B103" s="64"/>
      <c r="C103" s="31" t="s">
        <v>385</v>
      </c>
      <c r="D103" s="16"/>
      <c r="E103" s="16"/>
      <c r="F103" s="16"/>
      <c r="G103" s="16"/>
      <c r="H103" s="16"/>
      <c r="I103" s="17" t="e">
        <f>G103/D103</f>
        <v>#DIV/0!</v>
      </c>
    </row>
    <row r="104" spans="1:9" ht="63" hidden="1" x14ac:dyDescent="0.2">
      <c r="A104" s="73"/>
      <c r="B104" s="64"/>
      <c r="C104" s="31" t="s">
        <v>35</v>
      </c>
      <c r="D104" s="16"/>
      <c r="E104" s="16"/>
      <c r="F104" s="16"/>
      <c r="G104" s="16"/>
      <c r="H104" s="16"/>
      <c r="I104" s="17" t="e">
        <f>G104/D104</f>
        <v>#DIV/0!</v>
      </c>
    </row>
    <row r="105" spans="1:9" ht="47.25" hidden="1" x14ac:dyDescent="0.2">
      <c r="A105" s="73"/>
      <c r="B105" s="64"/>
      <c r="C105" s="31" t="s">
        <v>36</v>
      </c>
      <c r="D105" s="16"/>
      <c r="E105" s="16"/>
      <c r="F105" s="16"/>
      <c r="G105" s="16"/>
      <c r="H105" s="16"/>
      <c r="I105" s="17" t="e">
        <f>G105/D105</f>
        <v>#DIV/0!</v>
      </c>
    </row>
    <row r="106" spans="1:9" ht="78.75" hidden="1" x14ac:dyDescent="0.2">
      <c r="A106" s="73"/>
      <c r="B106" s="64"/>
      <c r="C106" s="31" t="s">
        <v>67</v>
      </c>
      <c r="D106" s="16"/>
      <c r="E106" s="16"/>
      <c r="F106" s="16"/>
      <c r="G106" s="16"/>
      <c r="H106" s="16"/>
      <c r="I106" s="17">
        <v>0</v>
      </c>
    </row>
    <row r="107" spans="1:9" ht="63" hidden="1" x14ac:dyDescent="0.2">
      <c r="A107" s="73"/>
      <c r="B107" s="64"/>
      <c r="C107" s="31" t="s">
        <v>55</v>
      </c>
      <c r="D107" s="16"/>
      <c r="E107" s="16"/>
      <c r="F107" s="16"/>
      <c r="G107" s="16"/>
      <c r="H107" s="16"/>
      <c r="I107" s="17">
        <v>0</v>
      </c>
    </row>
    <row r="108" spans="1:9" ht="63" hidden="1" x14ac:dyDescent="0.2">
      <c r="A108" s="73"/>
      <c r="B108" s="66"/>
      <c r="C108" s="31" t="s">
        <v>193</v>
      </c>
      <c r="D108" s="16"/>
      <c r="E108" s="16"/>
      <c r="F108" s="16"/>
      <c r="G108" s="16"/>
      <c r="H108" s="16"/>
      <c r="I108" s="17">
        <v>0</v>
      </c>
    </row>
    <row r="109" spans="1:9" ht="47.25" hidden="1" x14ac:dyDescent="0.2">
      <c r="A109" s="73"/>
      <c r="B109" s="66"/>
      <c r="C109" s="31" t="s">
        <v>208</v>
      </c>
      <c r="D109" s="16"/>
      <c r="E109" s="16"/>
      <c r="F109" s="16"/>
      <c r="G109" s="16"/>
      <c r="H109" s="16"/>
      <c r="I109" s="17">
        <v>0</v>
      </c>
    </row>
    <row r="110" spans="1:9" ht="47.25" hidden="1" x14ac:dyDescent="0.2">
      <c r="A110" s="73"/>
      <c r="B110" s="67"/>
      <c r="C110" s="31" t="s">
        <v>331</v>
      </c>
      <c r="D110" s="16"/>
      <c r="E110" s="16"/>
      <c r="F110" s="16"/>
      <c r="G110" s="16"/>
      <c r="H110" s="16"/>
      <c r="I110" s="17" t="e">
        <f>G110/D110</f>
        <v>#DIV/0!</v>
      </c>
    </row>
    <row r="111" spans="1:9" ht="47.25" hidden="1" x14ac:dyDescent="0.2">
      <c r="A111" s="73"/>
      <c r="B111" s="67"/>
      <c r="C111" s="31" t="s">
        <v>332</v>
      </c>
      <c r="D111" s="16"/>
      <c r="E111" s="16"/>
      <c r="F111" s="16"/>
      <c r="G111" s="16"/>
      <c r="H111" s="16"/>
      <c r="I111" s="17" t="e">
        <f>G111/D111</f>
        <v>#DIV/0!</v>
      </c>
    </row>
    <row r="112" spans="1:9" ht="47.25" hidden="1" x14ac:dyDescent="0.2">
      <c r="A112" s="73"/>
      <c r="B112" s="67"/>
      <c r="C112" s="31" t="s">
        <v>333</v>
      </c>
      <c r="D112" s="16"/>
      <c r="E112" s="16"/>
      <c r="F112" s="16"/>
      <c r="G112" s="16"/>
      <c r="H112" s="16"/>
      <c r="I112" s="17" t="e">
        <f>G112/D112</f>
        <v>#DIV/0!</v>
      </c>
    </row>
    <row r="113" spans="1:9" ht="47.25" hidden="1" x14ac:dyDescent="0.2">
      <c r="A113" s="73"/>
      <c r="B113" s="67"/>
      <c r="C113" s="31" t="s">
        <v>334</v>
      </c>
      <c r="D113" s="16"/>
      <c r="E113" s="16"/>
      <c r="F113" s="16"/>
      <c r="G113" s="16"/>
      <c r="H113" s="16"/>
      <c r="I113" s="17" t="e">
        <f>G113/D113</f>
        <v>#DIV/0!</v>
      </c>
    </row>
    <row r="114" spans="1:9" ht="47.25" hidden="1" x14ac:dyDescent="0.2">
      <c r="A114" s="73"/>
      <c r="B114" s="67"/>
      <c r="C114" s="31" t="s">
        <v>335</v>
      </c>
      <c r="D114" s="16"/>
      <c r="E114" s="16"/>
      <c r="F114" s="16"/>
      <c r="G114" s="16"/>
      <c r="H114" s="16"/>
      <c r="I114" s="17">
        <v>0</v>
      </c>
    </row>
    <row r="115" spans="1:9" ht="47.25" hidden="1" x14ac:dyDescent="0.2">
      <c r="A115" s="73"/>
      <c r="B115" s="67"/>
      <c r="C115" s="31" t="s">
        <v>336</v>
      </c>
      <c r="D115" s="16"/>
      <c r="E115" s="16"/>
      <c r="F115" s="16"/>
      <c r="G115" s="16"/>
      <c r="H115" s="16"/>
      <c r="I115" s="17" t="e">
        <f t="shared" ref="I115:I124" si="14">G115/D115</f>
        <v>#DIV/0!</v>
      </c>
    </row>
    <row r="116" spans="1:9" ht="63" hidden="1" x14ac:dyDescent="0.2">
      <c r="A116" s="73"/>
      <c r="B116" s="65"/>
      <c r="C116" s="31" t="s">
        <v>272</v>
      </c>
      <c r="D116" s="16"/>
      <c r="E116" s="16"/>
      <c r="F116" s="16"/>
      <c r="G116" s="16"/>
      <c r="H116" s="16"/>
      <c r="I116" s="17" t="e">
        <f t="shared" si="14"/>
        <v>#DIV/0!</v>
      </c>
    </row>
    <row r="117" spans="1:9" ht="63" hidden="1" x14ac:dyDescent="0.2">
      <c r="A117" s="73"/>
      <c r="B117" s="65"/>
      <c r="C117" s="31" t="s">
        <v>533</v>
      </c>
      <c r="D117" s="16"/>
      <c r="E117" s="16"/>
      <c r="F117" s="16"/>
      <c r="G117" s="16"/>
      <c r="H117" s="16"/>
      <c r="I117" s="17" t="e">
        <f t="shared" si="14"/>
        <v>#DIV/0!</v>
      </c>
    </row>
    <row r="118" spans="1:9" ht="63" hidden="1" x14ac:dyDescent="0.2">
      <c r="A118" s="73"/>
      <c r="B118" s="65"/>
      <c r="C118" s="31" t="s">
        <v>212</v>
      </c>
      <c r="D118" s="16"/>
      <c r="E118" s="16"/>
      <c r="F118" s="16"/>
      <c r="G118" s="16"/>
      <c r="H118" s="16"/>
      <c r="I118" s="17" t="e">
        <f t="shared" si="14"/>
        <v>#DIV/0!</v>
      </c>
    </row>
    <row r="119" spans="1:9" ht="47.25" hidden="1" x14ac:dyDescent="0.2">
      <c r="A119" s="73"/>
      <c r="B119" s="65"/>
      <c r="C119" s="31" t="s">
        <v>209</v>
      </c>
      <c r="D119" s="16"/>
      <c r="E119" s="16"/>
      <c r="F119" s="16"/>
      <c r="G119" s="16"/>
      <c r="H119" s="16"/>
      <c r="I119" s="17" t="e">
        <f t="shared" si="14"/>
        <v>#DIV/0!</v>
      </c>
    </row>
    <row r="120" spans="1:9" ht="78.75" hidden="1" x14ac:dyDescent="0.2">
      <c r="A120" s="73"/>
      <c r="B120" s="65"/>
      <c r="C120" s="31" t="s">
        <v>859</v>
      </c>
      <c r="D120" s="16"/>
      <c r="E120" s="16"/>
      <c r="F120" s="16"/>
      <c r="G120" s="16"/>
      <c r="H120" s="16"/>
      <c r="I120" s="17" t="e">
        <f t="shared" si="14"/>
        <v>#DIV/0!</v>
      </c>
    </row>
    <row r="121" spans="1:9" ht="94.5" hidden="1" x14ac:dyDescent="0.2">
      <c r="A121" s="78"/>
      <c r="B121" s="65"/>
      <c r="C121" s="31" t="s">
        <v>889</v>
      </c>
      <c r="D121" s="16"/>
      <c r="E121" s="16"/>
      <c r="F121" s="16"/>
      <c r="G121" s="16"/>
      <c r="H121" s="16"/>
      <c r="I121" s="17" t="e">
        <f t="shared" si="14"/>
        <v>#DIV/0!</v>
      </c>
    </row>
    <row r="122" spans="1:9" ht="63" hidden="1" x14ac:dyDescent="0.2">
      <c r="A122" s="78"/>
      <c r="B122" s="65"/>
      <c r="C122" s="31" t="s">
        <v>890</v>
      </c>
      <c r="D122" s="16"/>
      <c r="E122" s="16"/>
      <c r="F122" s="16"/>
      <c r="G122" s="16"/>
      <c r="H122" s="16"/>
      <c r="I122" s="17" t="e">
        <f t="shared" si="14"/>
        <v>#DIV/0!</v>
      </c>
    </row>
    <row r="123" spans="1:9" ht="63" hidden="1" x14ac:dyDescent="0.2">
      <c r="A123" s="80"/>
      <c r="B123" s="65"/>
      <c r="C123" s="31" t="s">
        <v>904</v>
      </c>
      <c r="D123" s="16"/>
      <c r="E123" s="16"/>
      <c r="F123" s="16"/>
      <c r="G123" s="16"/>
      <c r="H123" s="16"/>
      <c r="I123" s="17" t="e">
        <f t="shared" si="14"/>
        <v>#DIV/0!</v>
      </c>
    </row>
    <row r="124" spans="1:9" ht="47.25" hidden="1" x14ac:dyDescent="0.2">
      <c r="A124" s="80"/>
      <c r="B124" s="65"/>
      <c r="C124" s="31" t="s">
        <v>262</v>
      </c>
      <c r="D124" s="16"/>
      <c r="E124" s="16"/>
      <c r="F124" s="16"/>
      <c r="G124" s="16"/>
      <c r="H124" s="16"/>
      <c r="I124" s="17" t="e">
        <f t="shared" si="14"/>
        <v>#DIV/0!</v>
      </c>
    </row>
    <row r="125" spans="1:9" ht="78.75" hidden="1" x14ac:dyDescent="0.2">
      <c r="A125" s="73"/>
      <c r="B125" s="68"/>
      <c r="C125" s="31" t="s">
        <v>530</v>
      </c>
      <c r="D125" s="16"/>
      <c r="E125" s="16"/>
      <c r="F125" s="16"/>
      <c r="G125" s="16"/>
      <c r="H125" s="16"/>
      <c r="I125" s="17" t="e">
        <f t="shared" ref="I125:I127" si="15">G125/D125</f>
        <v>#DIV/0!</v>
      </c>
    </row>
    <row r="126" spans="1:9" ht="63" hidden="1" x14ac:dyDescent="0.2">
      <c r="A126" s="73"/>
      <c r="B126" s="65"/>
      <c r="C126" s="31" t="s">
        <v>531</v>
      </c>
      <c r="D126" s="16"/>
      <c r="E126" s="16"/>
      <c r="F126" s="16"/>
      <c r="G126" s="16"/>
      <c r="H126" s="16"/>
      <c r="I126" s="17" t="e">
        <f t="shared" si="15"/>
        <v>#DIV/0!</v>
      </c>
    </row>
    <row r="127" spans="1:9" ht="47.25" hidden="1" x14ac:dyDescent="0.2">
      <c r="A127" s="73"/>
      <c r="B127" s="65"/>
      <c r="C127" s="31" t="s">
        <v>229</v>
      </c>
      <c r="D127" s="16"/>
      <c r="E127" s="16"/>
      <c r="F127" s="16"/>
      <c r="G127" s="16"/>
      <c r="H127" s="16"/>
      <c r="I127" s="17" t="e">
        <f t="shared" si="15"/>
        <v>#DIV/0!</v>
      </c>
    </row>
    <row r="128" spans="1:9" ht="16.5" x14ac:dyDescent="0.2">
      <c r="A128" s="183" t="s">
        <v>887</v>
      </c>
      <c r="B128" s="183"/>
      <c r="C128" s="183"/>
      <c r="D128" s="89">
        <f>+D157+D129+D136+D168</f>
        <v>263096772</v>
      </c>
      <c r="E128" s="89">
        <f t="shared" ref="E128:H128" si="16">+E157+E129+E136+E168</f>
        <v>241821978.06000003</v>
      </c>
      <c r="F128" s="89">
        <f t="shared" si="16"/>
        <v>21274793.940000001</v>
      </c>
      <c r="G128" s="89">
        <f t="shared" si="16"/>
        <v>137982968.53000003</v>
      </c>
      <c r="H128" s="89">
        <f t="shared" si="16"/>
        <v>125113803.47</v>
      </c>
      <c r="I128" s="90">
        <f t="shared" ref="I128:I134" si="17">G128/D128</f>
        <v>0.52445709417521869</v>
      </c>
    </row>
    <row r="129" spans="1:9" ht="16.5" x14ac:dyDescent="0.2">
      <c r="A129" s="182" t="s">
        <v>1045</v>
      </c>
      <c r="B129" s="182"/>
      <c r="C129" s="182"/>
      <c r="D129" s="91">
        <f>SUM(D130:D135)</f>
        <v>32634907</v>
      </c>
      <c r="E129" s="91">
        <f t="shared" ref="E129:H129" si="18">SUM(E130:E135)</f>
        <v>30187139.509999998</v>
      </c>
      <c r="F129" s="91">
        <f t="shared" si="18"/>
        <v>2447767.4900000002</v>
      </c>
      <c r="G129" s="91">
        <f t="shared" si="18"/>
        <v>10912061.07</v>
      </c>
      <c r="H129" s="91">
        <f t="shared" si="18"/>
        <v>21722845.93</v>
      </c>
      <c r="I129" s="92">
        <f t="shared" si="17"/>
        <v>0.33436776976260418</v>
      </c>
    </row>
    <row r="130" spans="1:9" ht="51" x14ac:dyDescent="0.2">
      <c r="A130" s="93">
        <f>SUBTOTAL(103,$B$10:B130)</f>
        <v>58</v>
      </c>
      <c r="B130" s="94">
        <v>242</v>
      </c>
      <c r="C130" s="127" t="s">
        <v>260</v>
      </c>
      <c r="D130" s="95">
        <f>[1]AA!D207</f>
        <v>8256172</v>
      </c>
      <c r="E130" s="95">
        <f>[1]AA!E207</f>
        <v>7020145.0099999998</v>
      </c>
      <c r="F130" s="95">
        <f>[1]AA!F207</f>
        <v>1236026.99</v>
      </c>
      <c r="G130" s="95">
        <f>[1]AA!G207</f>
        <v>3494346.91</v>
      </c>
      <c r="H130" s="95">
        <f>[1]AA!H207</f>
        <v>4761825.09</v>
      </c>
      <c r="I130" s="96">
        <f t="shared" si="17"/>
        <v>0.42324056596689119</v>
      </c>
    </row>
    <row r="131" spans="1:9" ht="51" x14ac:dyDescent="0.2">
      <c r="A131" s="93">
        <f>SUBTOTAL(103,$B$10:B131)</f>
        <v>59</v>
      </c>
      <c r="B131" s="97">
        <v>237</v>
      </c>
      <c r="C131" s="127" t="s">
        <v>258</v>
      </c>
      <c r="D131" s="101">
        <f>[1]AA!D202</f>
        <v>7374992</v>
      </c>
      <c r="E131" s="101">
        <f>[1]AA!E202</f>
        <v>7374802</v>
      </c>
      <c r="F131" s="101">
        <f>[1]AA!F202</f>
        <v>190</v>
      </c>
      <c r="G131" s="101">
        <f>[1]AA!G202</f>
        <v>0</v>
      </c>
      <c r="H131" s="101">
        <f>[1]AA!H202</f>
        <v>7374992</v>
      </c>
      <c r="I131" s="96">
        <f t="shared" si="17"/>
        <v>0</v>
      </c>
    </row>
    <row r="132" spans="1:9" ht="51" x14ac:dyDescent="0.2">
      <c r="A132" s="93">
        <f>SUBTOTAL(103,$B$10:B132)</f>
        <v>60</v>
      </c>
      <c r="B132" s="97">
        <v>228</v>
      </c>
      <c r="C132" s="127" t="s">
        <v>253</v>
      </c>
      <c r="D132" s="101">
        <f>[1]AA!D193</f>
        <v>6997430</v>
      </c>
      <c r="E132" s="101">
        <f>[1]AA!E193</f>
        <v>6729413.1099999994</v>
      </c>
      <c r="F132" s="101">
        <f>[1]AA!F193</f>
        <v>268016.89000000007</v>
      </c>
      <c r="G132" s="101">
        <f>[1]AA!G193</f>
        <v>2245057.4900000002</v>
      </c>
      <c r="H132" s="101">
        <f>[1]AA!H193</f>
        <v>4752372.51</v>
      </c>
      <c r="I132" s="96">
        <f t="shared" si="17"/>
        <v>0.32084029279321125</v>
      </c>
    </row>
    <row r="133" spans="1:9" ht="51" x14ac:dyDescent="0.2">
      <c r="A133" s="93">
        <f>SUBTOTAL(103,$B$10:B133)</f>
        <v>61</v>
      </c>
      <c r="B133" s="94">
        <v>241</v>
      </c>
      <c r="C133" s="127" t="s">
        <v>408</v>
      </c>
      <c r="D133" s="95">
        <f>[1]AA!D206</f>
        <v>6688287</v>
      </c>
      <c r="E133" s="95">
        <f>[1]AA!E206</f>
        <v>6029188.9400000004</v>
      </c>
      <c r="F133" s="95">
        <f>[1]AA!F206</f>
        <v>659098.06000000017</v>
      </c>
      <c r="G133" s="95">
        <f>[1]AA!G206</f>
        <v>3108351.64</v>
      </c>
      <c r="H133" s="95">
        <f>[1]AA!H206</f>
        <v>3579935.3599999994</v>
      </c>
      <c r="I133" s="96">
        <f t="shared" si="17"/>
        <v>0.46474555293455561</v>
      </c>
    </row>
    <row r="134" spans="1:9" ht="51" x14ac:dyDescent="0.2">
      <c r="A134" s="93">
        <f>SUBTOTAL(103,$B$10:B134)</f>
        <v>62</v>
      </c>
      <c r="B134" s="97">
        <v>221</v>
      </c>
      <c r="C134" s="127" t="s">
        <v>375</v>
      </c>
      <c r="D134" s="95">
        <f>[1]AA!D186</f>
        <v>3318026</v>
      </c>
      <c r="E134" s="95">
        <f>[1]AA!E186</f>
        <v>3033590.45</v>
      </c>
      <c r="F134" s="95">
        <f>[1]AA!F186</f>
        <v>284435.55</v>
      </c>
      <c r="G134" s="95">
        <f>[1]AA!G186</f>
        <v>2064305.0299999998</v>
      </c>
      <c r="H134" s="95">
        <f>[1]AA!H186</f>
        <v>1253720.9700000002</v>
      </c>
      <c r="I134" s="96">
        <f t="shared" si="17"/>
        <v>0.62214853952319837</v>
      </c>
    </row>
    <row r="135" spans="1:9" ht="51" hidden="1" x14ac:dyDescent="0.2">
      <c r="A135" s="93">
        <f>SUBTOTAL(103,$B$10:B135)</f>
        <v>62</v>
      </c>
      <c r="B135" s="94">
        <v>235</v>
      </c>
      <c r="C135" s="127" t="s">
        <v>257</v>
      </c>
      <c r="D135" s="101">
        <f>[1]AA!D200</f>
        <v>0</v>
      </c>
      <c r="E135" s="101">
        <f>[1]AA!E200</f>
        <v>0</v>
      </c>
      <c r="F135" s="101">
        <f>[1]AA!F200</f>
        <v>0</v>
      </c>
      <c r="G135" s="101">
        <f>[1]AA!G200</f>
        <v>0</v>
      </c>
      <c r="H135" s="101">
        <f>[1]AA!H200</f>
        <v>0</v>
      </c>
      <c r="I135" s="96" t="e">
        <f t="shared" ref="I135" si="19">G135/D135</f>
        <v>#DIV/0!</v>
      </c>
    </row>
    <row r="136" spans="1:9" ht="16.5" x14ac:dyDescent="0.2">
      <c r="A136" s="182" t="s">
        <v>1046</v>
      </c>
      <c r="B136" s="182"/>
      <c r="C136" s="182"/>
      <c r="D136" s="91">
        <f>SUM(D137:D156)</f>
        <v>156811186</v>
      </c>
      <c r="E136" s="91">
        <f>SUM(E137:E156)</f>
        <v>146156930.95000002</v>
      </c>
      <c r="F136" s="91">
        <f>SUM(F137:F156)</f>
        <v>10654255.050000001</v>
      </c>
      <c r="G136" s="91">
        <f>SUM(G137:G156)</f>
        <v>90925679.090000018</v>
      </c>
      <c r="H136" s="91">
        <f>SUM(H137:H156)</f>
        <v>65885506.910000004</v>
      </c>
      <c r="I136" s="92">
        <f t="shared" ref="I136:I144" si="20">G136/D136</f>
        <v>0.57984179196246888</v>
      </c>
    </row>
    <row r="137" spans="1:9" ht="38.25" x14ac:dyDescent="0.2">
      <c r="A137" s="93">
        <f>SUBTOTAL(103,$B$10:B137)</f>
        <v>63</v>
      </c>
      <c r="B137" s="94">
        <v>35</v>
      </c>
      <c r="C137" s="127" t="s">
        <v>282</v>
      </c>
      <c r="D137" s="101">
        <f>[1]AA!D24</f>
        <v>21914154</v>
      </c>
      <c r="E137" s="101">
        <f>[1]AA!E24</f>
        <v>21331876.830000002</v>
      </c>
      <c r="F137" s="101">
        <f>[1]AA!F24</f>
        <v>582277.16999999969</v>
      </c>
      <c r="G137" s="101">
        <f>[1]AA!G24</f>
        <v>13047518.030000001</v>
      </c>
      <c r="H137" s="101">
        <f>[1]AA!H24</f>
        <v>8866635.9699999988</v>
      </c>
      <c r="I137" s="96">
        <f t="shared" si="20"/>
        <v>0.59539227615175117</v>
      </c>
    </row>
    <row r="138" spans="1:9" ht="38.25" x14ac:dyDescent="0.2">
      <c r="A138" s="93">
        <f>SUBTOTAL(103,$B$10:B138)</f>
        <v>64</v>
      </c>
      <c r="B138" s="94">
        <v>25</v>
      </c>
      <c r="C138" s="127" t="s">
        <v>271</v>
      </c>
      <c r="D138" s="95">
        <f>[1]AA!D14</f>
        <v>19276780</v>
      </c>
      <c r="E138" s="95">
        <f>[1]AA!E14</f>
        <v>17838049.559999999</v>
      </c>
      <c r="F138" s="95">
        <f>[1]AA!F14</f>
        <v>1438730.4399999992</v>
      </c>
      <c r="G138" s="95">
        <f>[1]AA!G14</f>
        <v>14335526.07</v>
      </c>
      <c r="H138" s="95">
        <f>[1]AA!H14</f>
        <v>4941253.93</v>
      </c>
      <c r="I138" s="96">
        <f t="shared" si="20"/>
        <v>0.74366808512625038</v>
      </c>
    </row>
    <row r="139" spans="1:9" ht="76.5" x14ac:dyDescent="0.2">
      <c r="A139" s="93">
        <f>SUBTOTAL(103,$B$10:B139)</f>
        <v>65</v>
      </c>
      <c r="B139" s="97">
        <v>229</v>
      </c>
      <c r="C139" s="127" t="s">
        <v>277</v>
      </c>
      <c r="D139" s="101">
        <f>[1]AA!D194</f>
        <v>18108320</v>
      </c>
      <c r="E139" s="101">
        <f>[1]AA!E194</f>
        <v>16981604.630000003</v>
      </c>
      <c r="F139" s="101">
        <f>[1]AA!F194</f>
        <v>1126715.3699999999</v>
      </c>
      <c r="G139" s="101">
        <f>[1]AA!G194</f>
        <v>7610417.5800000001</v>
      </c>
      <c r="H139" s="101">
        <f>[1]AA!H194</f>
        <v>10497902.42</v>
      </c>
      <c r="I139" s="96">
        <f t="shared" si="20"/>
        <v>0.42027187392314691</v>
      </c>
    </row>
    <row r="140" spans="1:9" ht="38.25" x14ac:dyDescent="0.2">
      <c r="A140" s="93">
        <f>SUBTOTAL(103,$B$10:B140)</f>
        <v>66</v>
      </c>
      <c r="B140" s="94">
        <v>30</v>
      </c>
      <c r="C140" s="127" t="s">
        <v>198</v>
      </c>
      <c r="D140" s="95">
        <f>[1]AA!D19</f>
        <v>19795501</v>
      </c>
      <c r="E140" s="95">
        <f>[1]AA!E19</f>
        <v>18952715.59</v>
      </c>
      <c r="F140" s="95">
        <f>[1]AA!F19</f>
        <v>842785.41000000073</v>
      </c>
      <c r="G140" s="95">
        <f>[1]AA!G19</f>
        <v>12452734.579999998</v>
      </c>
      <c r="H140" s="95">
        <f>[1]AA!H19</f>
        <v>7342766.4200000009</v>
      </c>
      <c r="I140" s="96">
        <f t="shared" si="20"/>
        <v>0.62906892732848729</v>
      </c>
    </row>
    <row r="141" spans="1:9" ht="38.25" x14ac:dyDescent="0.2">
      <c r="A141" s="93">
        <f>SUBTOTAL(103,$B$10:B141)</f>
        <v>67</v>
      </c>
      <c r="B141" s="94">
        <v>33</v>
      </c>
      <c r="C141" s="127" t="s">
        <v>280</v>
      </c>
      <c r="D141" s="95">
        <f>[1]AA!D22</f>
        <v>16972964</v>
      </c>
      <c r="E141" s="95">
        <f>[1]AA!E22</f>
        <v>16665505.02</v>
      </c>
      <c r="F141" s="95">
        <f>[1]AA!F22</f>
        <v>307458.98000000027</v>
      </c>
      <c r="G141" s="95">
        <f>[1]AA!G22</f>
        <v>9943556.3199999984</v>
      </c>
      <c r="H141" s="95">
        <f>[1]AA!H22</f>
        <v>7029407.6800000016</v>
      </c>
      <c r="I141" s="96">
        <f t="shared" si="20"/>
        <v>0.58584678079797958</v>
      </c>
    </row>
    <row r="142" spans="1:9" ht="63.75" x14ac:dyDescent="0.2">
      <c r="A142" s="93">
        <f>SUBTOTAL(103,$B$10:B142)</f>
        <v>68</v>
      </c>
      <c r="B142" s="94">
        <v>161</v>
      </c>
      <c r="C142" s="127" t="s">
        <v>360</v>
      </c>
      <c r="D142" s="95">
        <f>[1]AA!D141</f>
        <v>14380884</v>
      </c>
      <c r="E142" s="95">
        <f>[1]AA!E141</f>
        <v>14132471.25</v>
      </c>
      <c r="F142" s="95">
        <f>[1]AA!F141</f>
        <v>248412.75000000006</v>
      </c>
      <c r="G142" s="95">
        <f>[1]AA!G141</f>
        <v>7870455.29</v>
      </c>
      <c r="H142" s="95">
        <f>[1]AA!H141</f>
        <v>6510428.71</v>
      </c>
      <c r="I142" s="96">
        <f t="shared" si="20"/>
        <v>0.54728591719396391</v>
      </c>
    </row>
    <row r="143" spans="1:9" ht="51" x14ac:dyDescent="0.2">
      <c r="A143" s="93">
        <f>SUBTOTAL(103,$B$10:B143)</f>
        <v>69</v>
      </c>
      <c r="B143" s="94">
        <v>247</v>
      </c>
      <c r="C143" s="127" t="s">
        <v>184</v>
      </c>
      <c r="D143" s="101">
        <f>[1]AA!D212</f>
        <v>9666000</v>
      </c>
      <c r="E143" s="101">
        <f>[1]AA!E212</f>
        <v>9262049.4800000004</v>
      </c>
      <c r="F143" s="101">
        <f>[1]AA!F212</f>
        <v>403950.51999999961</v>
      </c>
      <c r="G143" s="101">
        <f>[1]AA!G212</f>
        <v>4751708.2400000012</v>
      </c>
      <c r="H143" s="101">
        <f>[1]AA!H212</f>
        <v>4914291.7599999988</v>
      </c>
      <c r="I143" s="96">
        <f t="shared" si="20"/>
        <v>0.49158992758121262</v>
      </c>
    </row>
    <row r="144" spans="1:9" ht="38.25" x14ac:dyDescent="0.2">
      <c r="A144" s="93">
        <f>SUBTOTAL(103,$B$10:B144)</f>
        <v>70</v>
      </c>
      <c r="B144" s="97">
        <v>39</v>
      </c>
      <c r="C144" s="127" t="s">
        <v>747</v>
      </c>
      <c r="D144" s="95">
        <f>[1]AA!D28</f>
        <v>6765264</v>
      </c>
      <c r="E144" s="95">
        <f>[1]AA!E28</f>
        <v>6573193.7800000003</v>
      </c>
      <c r="F144" s="95">
        <f>[1]AA!F28</f>
        <v>192070.2199999998</v>
      </c>
      <c r="G144" s="95">
        <f>[1]AA!G28</f>
        <v>3684142.54</v>
      </c>
      <c r="H144" s="95">
        <f>[1]AA!H28</f>
        <v>3081121.4600000004</v>
      </c>
      <c r="I144" s="96">
        <f t="shared" si="20"/>
        <v>0.54456744629625686</v>
      </c>
    </row>
    <row r="145" spans="1:9" ht="38.25" x14ac:dyDescent="0.2">
      <c r="A145" s="93">
        <f>SUBTOTAL(103,$B$10:B145)</f>
        <v>71</v>
      </c>
      <c r="B145" s="99" t="s">
        <v>913</v>
      </c>
      <c r="C145" s="127" t="s">
        <v>377</v>
      </c>
      <c r="D145" s="95">
        <f>[1]AA!D15</f>
        <v>4291327</v>
      </c>
      <c r="E145" s="95">
        <f>[1]AA!E15</f>
        <v>4093667.05</v>
      </c>
      <c r="F145" s="95">
        <f>[1]AA!F15</f>
        <v>197659.9500000001</v>
      </c>
      <c r="G145" s="95">
        <f>[1]AA!G15</f>
        <v>3585840.7899999996</v>
      </c>
      <c r="H145" s="95">
        <f>[1]AA!H15</f>
        <v>705486.2100000002</v>
      </c>
      <c r="I145" s="96">
        <f t="shared" ref="I145:I156" si="21">G145/D145</f>
        <v>0.83560185229417372</v>
      </c>
    </row>
    <row r="146" spans="1:9" ht="38.25" x14ac:dyDescent="0.2">
      <c r="A146" s="93">
        <f>SUBTOTAL(103,$B$10:B146)</f>
        <v>72</v>
      </c>
      <c r="B146" s="94">
        <v>41</v>
      </c>
      <c r="C146" s="127" t="s">
        <v>383</v>
      </c>
      <c r="D146" s="95">
        <f>[1]AA!D30</f>
        <v>5799805</v>
      </c>
      <c r="E146" s="95">
        <f>[1]AA!E30</f>
        <v>5158644.4400000004</v>
      </c>
      <c r="F146" s="95">
        <f>[1]AA!F30</f>
        <v>641160.55999999994</v>
      </c>
      <c r="G146" s="95">
        <f>[1]AA!G30</f>
        <v>3424336.2300000004</v>
      </c>
      <c r="H146" s="95">
        <f>[1]AA!H30</f>
        <v>2375468.7699999996</v>
      </c>
      <c r="I146" s="96">
        <f t="shared" ref="I146:I154" si="22">G146/D146</f>
        <v>0.59042264869249927</v>
      </c>
    </row>
    <row r="147" spans="1:9" ht="76.5" x14ac:dyDescent="0.2">
      <c r="A147" s="93">
        <f>SUBTOTAL(103,$B$10:B147)</f>
        <v>73</v>
      </c>
      <c r="B147" s="94">
        <v>36</v>
      </c>
      <c r="C147" s="127" t="s">
        <v>283</v>
      </c>
      <c r="D147" s="101">
        <f>[1]AA!D25</f>
        <v>4802506</v>
      </c>
      <c r="E147" s="101">
        <f>[1]AA!E25</f>
        <v>4223221.13</v>
      </c>
      <c r="F147" s="101">
        <f>[1]AA!F25</f>
        <v>579284.87000000011</v>
      </c>
      <c r="G147" s="101">
        <f>[1]AA!G25</f>
        <v>2795976.44</v>
      </c>
      <c r="H147" s="101">
        <f>[1]AA!H25</f>
        <v>2006529.56</v>
      </c>
      <c r="I147" s="96">
        <f t="shared" si="22"/>
        <v>0.5821911393759841</v>
      </c>
    </row>
    <row r="148" spans="1:9" ht="76.5" x14ac:dyDescent="0.2">
      <c r="A148" s="93">
        <f>SUBTOTAL(103,$B$10:B148)</f>
        <v>74</v>
      </c>
      <c r="B148" s="94">
        <v>311</v>
      </c>
      <c r="C148" s="127" t="s">
        <v>283</v>
      </c>
      <c r="D148" s="95">
        <f>[1]AA!D261</f>
        <v>4992699</v>
      </c>
      <c r="E148" s="95">
        <f>[1]AA!E261</f>
        <v>4233964.21</v>
      </c>
      <c r="F148" s="95">
        <f>[1]AA!F261</f>
        <v>758734.79</v>
      </c>
      <c r="G148" s="95">
        <f>[1]AA!G261</f>
        <v>2874461.9999999995</v>
      </c>
      <c r="H148" s="95">
        <f>[1]AA!H261</f>
        <v>2118237</v>
      </c>
      <c r="I148" s="96">
        <f t="shared" si="22"/>
        <v>0.57573308545137603</v>
      </c>
    </row>
    <row r="149" spans="1:9" ht="38.25" x14ac:dyDescent="0.2">
      <c r="A149" s="93">
        <f>SUBTOTAL(103,$B$10:B149)</f>
        <v>75</v>
      </c>
      <c r="B149" s="97">
        <v>306</v>
      </c>
      <c r="C149" s="127" t="s">
        <v>797</v>
      </c>
      <c r="D149" s="95">
        <f>[1]AA!D256</f>
        <v>3252523</v>
      </c>
      <c r="E149" s="95">
        <f>[1]AA!E256</f>
        <v>3248301.29</v>
      </c>
      <c r="F149" s="95">
        <f>[1]AA!F256</f>
        <v>4221.71</v>
      </c>
      <c r="G149" s="95">
        <f>[1]AA!G256</f>
        <v>2592973.7000000002</v>
      </c>
      <c r="H149" s="95">
        <f>[1]AA!H256</f>
        <v>659549.29999999993</v>
      </c>
      <c r="I149" s="96">
        <f t="shared" si="22"/>
        <v>0.7972191741611051</v>
      </c>
    </row>
    <row r="150" spans="1:9" ht="38.25" x14ac:dyDescent="0.2">
      <c r="A150" s="93">
        <f>SUBTOTAL(103,$B$10:B150)</f>
        <v>76</v>
      </c>
      <c r="B150" s="97">
        <v>181</v>
      </c>
      <c r="C150" s="161" t="s">
        <v>837</v>
      </c>
      <c r="D150" s="162">
        <f>[1]AA!D161</f>
        <v>1142346</v>
      </c>
      <c r="E150" s="162">
        <f>[1]AA!E161</f>
        <v>441795.1</v>
      </c>
      <c r="F150" s="162">
        <f>[1]AA!F161</f>
        <v>700550.9</v>
      </c>
      <c r="G150" s="162">
        <f>[1]AA!G161</f>
        <v>5098.8500000000004</v>
      </c>
      <c r="H150" s="162">
        <f>[1]AA!H161</f>
        <v>1137247.1499999999</v>
      </c>
      <c r="I150" s="96">
        <f>G150/D150</f>
        <v>4.4634900459230393E-3</v>
      </c>
    </row>
    <row r="151" spans="1:9" ht="38.25" x14ac:dyDescent="0.2">
      <c r="A151" s="93">
        <f>SUBTOTAL(103,$B$10:B151)</f>
        <v>77</v>
      </c>
      <c r="B151" s="94">
        <v>187</v>
      </c>
      <c r="C151" s="127" t="s">
        <v>828</v>
      </c>
      <c r="D151" s="95">
        <f>[1]AA!D167</f>
        <v>2397705</v>
      </c>
      <c r="E151" s="95">
        <f>[1]AA!E167</f>
        <v>1478359.3599999999</v>
      </c>
      <c r="F151" s="95">
        <f>[1]AA!F167</f>
        <v>919345.64</v>
      </c>
      <c r="G151" s="95">
        <f>[1]AA!G167</f>
        <v>736272.58</v>
      </c>
      <c r="H151" s="95">
        <f>[1]AA!H167</f>
        <v>1661432.42</v>
      </c>
      <c r="I151" s="96">
        <f t="shared" si="22"/>
        <v>0.30707388106543548</v>
      </c>
    </row>
    <row r="152" spans="1:9" ht="38.25" x14ac:dyDescent="0.2">
      <c r="A152" s="93">
        <f>SUBTOTAL(103,$B$10:B152)</f>
        <v>78</v>
      </c>
      <c r="B152" s="94">
        <v>307</v>
      </c>
      <c r="C152" s="127" t="s">
        <v>206</v>
      </c>
      <c r="D152" s="95">
        <f>[1]AA!D257</f>
        <v>1272735</v>
      </c>
      <c r="E152" s="95">
        <f>[1]AA!E257</f>
        <v>1253656.8600000001</v>
      </c>
      <c r="F152" s="95">
        <f>[1]AA!F257</f>
        <v>19078.140000000047</v>
      </c>
      <c r="G152" s="95">
        <f>[1]AA!G257</f>
        <v>1175927.1499999999</v>
      </c>
      <c r="H152" s="95">
        <f>[1]AA!H257</f>
        <v>96807.850000000035</v>
      </c>
      <c r="I152" s="96">
        <f t="shared" si="22"/>
        <v>0.92393715109586827</v>
      </c>
    </row>
    <row r="153" spans="1:9" ht="38.25" x14ac:dyDescent="0.2">
      <c r="A153" s="93">
        <f>SUBTOTAL(103,$B$10:B153)</f>
        <v>79</v>
      </c>
      <c r="B153" s="94">
        <v>333</v>
      </c>
      <c r="C153" s="161" t="s">
        <v>1034</v>
      </c>
      <c r="D153" s="162">
        <f>[1]AA!D281</f>
        <v>1171778</v>
      </c>
      <c r="E153" s="162">
        <f>[1]AA!E281</f>
        <v>0</v>
      </c>
      <c r="F153" s="162">
        <f>[1]AA!F281</f>
        <v>1171778</v>
      </c>
      <c r="G153" s="162">
        <f>[1]AA!G281</f>
        <v>0</v>
      </c>
      <c r="H153" s="162">
        <f>[1]AA!H281</f>
        <v>1171778</v>
      </c>
      <c r="I153" s="96">
        <f>G153/D153</f>
        <v>0</v>
      </c>
    </row>
    <row r="154" spans="1:9" ht="51" x14ac:dyDescent="0.2">
      <c r="A154" s="93">
        <f>SUBTOTAL(103,$B$10:B154)</f>
        <v>80</v>
      </c>
      <c r="B154" s="94">
        <v>173</v>
      </c>
      <c r="C154" s="127" t="s">
        <v>269</v>
      </c>
      <c r="D154" s="95">
        <f>[1]AA!D153</f>
        <v>41720</v>
      </c>
      <c r="E154" s="95">
        <f>[1]AA!E153</f>
        <v>31883.37</v>
      </c>
      <c r="F154" s="95">
        <f>[1]AA!F153</f>
        <v>9836.630000000001</v>
      </c>
      <c r="G154" s="95">
        <f>[1]AA!G153</f>
        <v>31883.370000000003</v>
      </c>
      <c r="H154" s="95">
        <f>[1]AA!H153</f>
        <v>9836.6299999999974</v>
      </c>
      <c r="I154" s="96">
        <f t="shared" si="22"/>
        <v>0.76422267497603069</v>
      </c>
    </row>
    <row r="155" spans="1:9" ht="38.25" x14ac:dyDescent="0.2">
      <c r="A155" s="93">
        <f>SUBTOTAL(103,$B$10:B155)</f>
        <v>81</v>
      </c>
      <c r="B155" s="94">
        <v>180</v>
      </c>
      <c r="C155" s="161" t="s">
        <v>832</v>
      </c>
      <c r="D155" s="162">
        <f>[1]AA!D160</f>
        <v>704972</v>
      </c>
      <c r="E155" s="162">
        <f>[1]AA!E160</f>
        <v>255972</v>
      </c>
      <c r="F155" s="162">
        <f>[1]AA!F160</f>
        <v>449000</v>
      </c>
      <c r="G155" s="162">
        <f>[1]AA!G160</f>
        <v>6849.33</v>
      </c>
      <c r="H155" s="162">
        <f>[1]AA!H160</f>
        <v>698122.66999999993</v>
      </c>
      <c r="I155" s="96">
        <f>G155/D155</f>
        <v>9.7157475757902439E-3</v>
      </c>
    </row>
    <row r="156" spans="1:9" ht="76.5" x14ac:dyDescent="0.2">
      <c r="A156" s="93">
        <f>SUBTOTAL(103,$B$10:B156)</f>
        <v>82</v>
      </c>
      <c r="B156" s="94">
        <v>83</v>
      </c>
      <c r="C156" s="127" t="s">
        <v>357</v>
      </c>
      <c r="D156" s="95">
        <f>[1]AA!D66</f>
        <v>61203</v>
      </c>
      <c r="E156" s="95">
        <f>[1]AA!E66</f>
        <v>0</v>
      </c>
      <c r="F156" s="95">
        <f>[1]AA!F66</f>
        <v>61203</v>
      </c>
      <c r="G156" s="95">
        <f>[1]AA!G66</f>
        <v>0</v>
      </c>
      <c r="H156" s="95">
        <f>[1]AA!H66</f>
        <v>61203</v>
      </c>
      <c r="I156" s="96">
        <f t="shared" si="21"/>
        <v>0</v>
      </c>
    </row>
    <row r="157" spans="1:9" ht="16.5" x14ac:dyDescent="0.2">
      <c r="A157" s="182" t="s">
        <v>133</v>
      </c>
      <c r="B157" s="182"/>
      <c r="C157" s="182"/>
      <c r="D157" s="91">
        <f>SUM(D158:D167)</f>
        <v>67201599</v>
      </c>
      <c r="E157" s="91">
        <f t="shared" ref="E157:H157" si="23">SUM(E158:E167)</f>
        <v>59322503.06000001</v>
      </c>
      <c r="F157" s="91">
        <f t="shared" si="23"/>
        <v>7879095.9399999995</v>
      </c>
      <c r="G157" s="91">
        <f t="shared" si="23"/>
        <v>36124405.900000006</v>
      </c>
      <c r="H157" s="91">
        <f t="shared" si="23"/>
        <v>31077193.100000001</v>
      </c>
      <c r="I157" s="92">
        <f t="shared" ref="I157:I164" si="24">G157/D157</f>
        <v>0.53755277311184224</v>
      </c>
    </row>
    <row r="158" spans="1:9" ht="38.25" x14ac:dyDescent="0.2">
      <c r="A158" s="93">
        <f>SUBTOTAL(103,$B$10:B158)</f>
        <v>83</v>
      </c>
      <c r="B158" s="94">
        <v>110</v>
      </c>
      <c r="C158" s="127" t="s">
        <v>144</v>
      </c>
      <c r="D158" s="95">
        <f>[1]AA!D90</f>
        <v>23727945</v>
      </c>
      <c r="E158" s="95">
        <f>[1]AA!E90</f>
        <v>22694983.110000003</v>
      </c>
      <c r="F158" s="95">
        <f>[1]AA!F90</f>
        <v>1032961.8899999992</v>
      </c>
      <c r="G158" s="95">
        <f>[1]AA!G90</f>
        <v>10808564.640000001</v>
      </c>
      <c r="H158" s="95">
        <f>[1]AA!H90</f>
        <v>12919380.359999999</v>
      </c>
      <c r="I158" s="96">
        <f t="shared" si="24"/>
        <v>0.45552046921888939</v>
      </c>
    </row>
    <row r="159" spans="1:9" ht="38.25" x14ac:dyDescent="0.2">
      <c r="A159" s="93">
        <f>SUBTOTAL(103,$B$10:B159)</f>
        <v>84</v>
      </c>
      <c r="B159" s="94">
        <v>103</v>
      </c>
      <c r="C159" s="127" t="s">
        <v>240</v>
      </c>
      <c r="D159" s="95">
        <f>[1]AA!D83</f>
        <v>14991498</v>
      </c>
      <c r="E159" s="95">
        <f>[1]AA!E83</f>
        <v>14098507.41</v>
      </c>
      <c r="F159" s="95">
        <f>[1]AA!F83</f>
        <v>892990.59000000055</v>
      </c>
      <c r="G159" s="95">
        <f>[1]AA!G83</f>
        <v>9856776.3099999987</v>
      </c>
      <c r="H159" s="95">
        <f>[1]AA!H83</f>
        <v>5134721.6900000013</v>
      </c>
      <c r="I159" s="96">
        <f t="shared" si="24"/>
        <v>0.65749108661455968</v>
      </c>
    </row>
    <row r="160" spans="1:9" ht="38.25" x14ac:dyDescent="0.2">
      <c r="A160" s="93">
        <f>SUBTOTAL(103,$B$10:B160)</f>
        <v>85</v>
      </c>
      <c r="B160" s="97">
        <v>106</v>
      </c>
      <c r="C160" s="127" t="s">
        <v>374</v>
      </c>
      <c r="D160" s="95">
        <f>[1]AA!D86</f>
        <v>5334428</v>
      </c>
      <c r="E160" s="95">
        <f>[1]AA!E86</f>
        <v>5222084.29</v>
      </c>
      <c r="F160" s="95">
        <f>[1]AA!F86</f>
        <v>112343.7099999999</v>
      </c>
      <c r="G160" s="95">
        <f>[1]AA!G86</f>
        <v>5220159.290000001</v>
      </c>
      <c r="H160" s="95">
        <f>[1]AA!H86</f>
        <v>114268.70999999956</v>
      </c>
      <c r="I160" s="96">
        <f t="shared" si="24"/>
        <v>0.97857901353247267</v>
      </c>
    </row>
    <row r="161" spans="1:9" ht="63.75" x14ac:dyDescent="0.2">
      <c r="A161" s="93">
        <f>SUBTOTAL(103,$B$10:B161)</f>
        <v>86</v>
      </c>
      <c r="B161" s="100">
        <v>119</v>
      </c>
      <c r="C161" s="127" t="s">
        <v>848</v>
      </c>
      <c r="D161" s="101">
        <f>[1]AA!D99</f>
        <v>6770858</v>
      </c>
      <c r="E161" s="101">
        <f>[1]AA!E99</f>
        <v>5727900.0300000003</v>
      </c>
      <c r="F161" s="101">
        <f>[1]AA!F99</f>
        <v>1042957.9699999997</v>
      </c>
      <c r="G161" s="101">
        <f>[1]AA!G99</f>
        <v>3232450.25</v>
      </c>
      <c r="H161" s="101">
        <f>[1]AA!H99</f>
        <v>3538407.75</v>
      </c>
      <c r="I161" s="96">
        <f t="shared" si="24"/>
        <v>0.47740629769521087</v>
      </c>
    </row>
    <row r="162" spans="1:9" ht="76.5" x14ac:dyDescent="0.2">
      <c r="A162" s="93">
        <f>SUBTOTAL(103,$B$10:B162)</f>
        <v>87</v>
      </c>
      <c r="B162" s="100">
        <v>121</v>
      </c>
      <c r="C162" s="127" t="s">
        <v>389</v>
      </c>
      <c r="D162" s="101">
        <f>[1]AA!D101</f>
        <v>2408286</v>
      </c>
      <c r="E162" s="101">
        <f>[1]AA!E101</f>
        <v>0</v>
      </c>
      <c r="F162" s="101">
        <f>[1]AA!F101</f>
        <v>2408286</v>
      </c>
      <c r="G162" s="101">
        <f>[1]AA!G101</f>
        <v>0</v>
      </c>
      <c r="H162" s="101">
        <f>[1]AA!H101</f>
        <v>2408286</v>
      </c>
      <c r="I162" s="96">
        <f t="shared" si="24"/>
        <v>0</v>
      </c>
    </row>
    <row r="163" spans="1:9" ht="38.25" x14ac:dyDescent="0.2">
      <c r="A163" s="93">
        <f>SUBTOTAL(103,$B$10:B163)</f>
        <v>88</v>
      </c>
      <c r="B163" s="94">
        <v>463</v>
      </c>
      <c r="C163" s="127" t="s">
        <v>867</v>
      </c>
      <c r="D163" s="95">
        <f>[1]AA!D387</f>
        <v>1827737</v>
      </c>
      <c r="E163" s="95">
        <f>[1]AA!E387</f>
        <v>300000</v>
      </c>
      <c r="F163" s="95">
        <f>[1]AA!F387</f>
        <v>1527737</v>
      </c>
      <c r="G163" s="95">
        <f>[1]AA!G387</f>
        <v>0</v>
      </c>
      <c r="H163" s="95">
        <f>[1]AA!H387</f>
        <v>1827737</v>
      </c>
      <c r="I163" s="96">
        <f t="shared" si="24"/>
        <v>0</v>
      </c>
    </row>
    <row r="164" spans="1:9" ht="63.75" x14ac:dyDescent="0.2">
      <c r="A164" s="93">
        <f>SUBTOTAL(103,$B$10:B164)</f>
        <v>89</v>
      </c>
      <c r="B164" s="97">
        <v>128</v>
      </c>
      <c r="C164" s="127" t="s">
        <v>855</v>
      </c>
      <c r="D164" s="95">
        <f>[1]AA!D108</f>
        <v>4106961</v>
      </c>
      <c r="E164" s="95">
        <f>[1]AA!E108</f>
        <v>3654988.21</v>
      </c>
      <c r="F164" s="95">
        <f>[1]AA!F108</f>
        <v>451972.79000000004</v>
      </c>
      <c r="G164" s="95">
        <f>[1]AA!G108</f>
        <v>1764492.71</v>
      </c>
      <c r="H164" s="95">
        <f>[1]AA!H108</f>
        <v>2342468.29</v>
      </c>
      <c r="I164" s="96">
        <f t="shared" si="24"/>
        <v>0.42963463982248673</v>
      </c>
    </row>
    <row r="165" spans="1:9" ht="51" x14ac:dyDescent="0.2">
      <c r="A165" s="93">
        <f>SUBTOTAL(103,$B$10:B165)</f>
        <v>90</v>
      </c>
      <c r="B165" s="97">
        <v>105</v>
      </c>
      <c r="C165" s="127" t="s">
        <v>373</v>
      </c>
      <c r="D165" s="95">
        <f>[1]AA!D85</f>
        <v>6531673</v>
      </c>
      <c r="E165" s="95">
        <f>[1]AA!E85</f>
        <v>6254262.6699999999</v>
      </c>
      <c r="F165" s="95">
        <f>[1]AA!F85</f>
        <v>277410.32999999996</v>
      </c>
      <c r="G165" s="95">
        <f>[1]AA!G85</f>
        <v>3928904.77</v>
      </c>
      <c r="H165" s="95">
        <f>[1]AA!H85</f>
        <v>2602768.2299999995</v>
      </c>
      <c r="I165" s="96">
        <f t="shared" ref="I165:I167" si="25">G165/D165</f>
        <v>0.6015158398162308</v>
      </c>
    </row>
    <row r="166" spans="1:9" ht="51" x14ac:dyDescent="0.2">
      <c r="A166" s="93">
        <f>SUBTOTAL(103,$B$10:B166)</f>
        <v>91</v>
      </c>
      <c r="B166" s="94">
        <v>114</v>
      </c>
      <c r="C166" s="127" t="s">
        <v>362</v>
      </c>
      <c r="D166" s="95">
        <f>[1]AA!D94</f>
        <v>936343</v>
      </c>
      <c r="E166" s="95">
        <f>[1]AA!E94</f>
        <v>866828.77</v>
      </c>
      <c r="F166" s="95">
        <f>[1]AA!F94</f>
        <v>69514.229999999981</v>
      </c>
      <c r="G166" s="95">
        <f>[1]AA!G94</f>
        <v>866828.77</v>
      </c>
      <c r="H166" s="95">
        <f>[1]AA!H94</f>
        <v>69514.229999999981</v>
      </c>
      <c r="I166" s="96">
        <f t="shared" si="25"/>
        <v>0.9257598657756827</v>
      </c>
    </row>
    <row r="167" spans="1:9" ht="51" x14ac:dyDescent="0.2">
      <c r="A167" s="93">
        <f>SUBTOTAL(103,$B$10:B167)</f>
        <v>92</v>
      </c>
      <c r="B167" s="97">
        <v>167</v>
      </c>
      <c r="C167" s="127" t="s">
        <v>384</v>
      </c>
      <c r="D167" s="95">
        <f>[1]AA!D147</f>
        <v>565870</v>
      </c>
      <c r="E167" s="95">
        <f>[1]AA!E147</f>
        <v>502948.57</v>
      </c>
      <c r="F167" s="95">
        <f>[1]AA!F147</f>
        <v>62921.43</v>
      </c>
      <c r="G167" s="95">
        <f>[1]AA!G147</f>
        <v>446229.16000000003</v>
      </c>
      <c r="H167" s="95">
        <f>[1]AA!H147</f>
        <v>119640.84</v>
      </c>
      <c r="I167" s="96">
        <f t="shared" si="25"/>
        <v>0.78857186279534175</v>
      </c>
    </row>
    <row r="168" spans="1:9" ht="16.5" x14ac:dyDescent="0.2">
      <c r="A168" s="182" t="s">
        <v>1054</v>
      </c>
      <c r="B168" s="182"/>
      <c r="C168" s="182"/>
      <c r="D168" s="91">
        <f>SUM(D169:D171)</f>
        <v>6449080</v>
      </c>
      <c r="E168" s="91">
        <f>SUM(E169:E171)</f>
        <v>6155404.54</v>
      </c>
      <c r="F168" s="91">
        <f>SUM(F169:F171)</f>
        <v>293675.46000000002</v>
      </c>
      <c r="G168" s="91">
        <f>SUM(G169:G171)</f>
        <v>20822.47</v>
      </c>
      <c r="H168" s="91">
        <f>SUM(H169:H171)</f>
        <v>6428257.5300000003</v>
      </c>
      <c r="I168" s="92">
        <f>G168/D168</f>
        <v>3.2287504574295871E-3</v>
      </c>
    </row>
    <row r="169" spans="1:9" ht="51" x14ac:dyDescent="0.2">
      <c r="A169" s="93">
        <f>SUBTOTAL(103,$B$10:B169)</f>
        <v>93</v>
      </c>
      <c r="B169" s="94">
        <v>69</v>
      </c>
      <c r="C169" s="161" t="s">
        <v>394</v>
      </c>
      <c r="D169" s="162">
        <f>[1]AA!D58</f>
        <v>1075076</v>
      </c>
      <c r="E169" s="162">
        <f>[1]AA!E58</f>
        <v>1062250</v>
      </c>
      <c r="F169" s="162">
        <f>[1]AA!F58</f>
        <v>12826</v>
      </c>
      <c r="G169" s="162">
        <f>[1]AA!G58</f>
        <v>20822.47</v>
      </c>
      <c r="H169" s="162">
        <f>[1]AA!H58</f>
        <v>1054253.53</v>
      </c>
      <c r="I169" s="96">
        <f>G169/D169</f>
        <v>1.9368370236150748E-2</v>
      </c>
    </row>
    <row r="170" spans="1:9" ht="51" x14ac:dyDescent="0.2">
      <c r="A170" s="93">
        <f>SUBTOTAL(103,$B$10:B170)</f>
        <v>94</v>
      </c>
      <c r="B170" s="94">
        <v>73</v>
      </c>
      <c r="C170" s="161" t="s">
        <v>390</v>
      </c>
      <c r="D170" s="162">
        <f>[1]AA!D62</f>
        <v>4474004</v>
      </c>
      <c r="E170" s="162">
        <f>[1]AA!E62</f>
        <v>4473905</v>
      </c>
      <c r="F170" s="162">
        <f>[1]AA!F62</f>
        <v>99</v>
      </c>
      <c r="G170" s="162">
        <f>[1]AA!G62</f>
        <v>0</v>
      </c>
      <c r="H170" s="162">
        <f>[1]AA!H62</f>
        <v>4474004</v>
      </c>
      <c r="I170" s="96">
        <f>G170/D170</f>
        <v>0</v>
      </c>
    </row>
    <row r="171" spans="1:9" ht="51" x14ac:dyDescent="0.2">
      <c r="A171" s="93">
        <f>SUBTOTAL(103,$B$10:B171)</f>
        <v>95</v>
      </c>
      <c r="B171" s="94">
        <v>504</v>
      </c>
      <c r="C171" s="127" t="s">
        <v>2442</v>
      </c>
      <c r="D171" s="95">
        <f>[1]AA!D418</f>
        <v>900000</v>
      </c>
      <c r="E171" s="95">
        <f>[1]AA!E418</f>
        <v>619249.54</v>
      </c>
      <c r="F171" s="95">
        <f>[1]AA!F418</f>
        <v>280750.46000000002</v>
      </c>
      <c r="G171" s="95">
        <f>[1]AA!G418</f>
        <v>0</v>
      </c>
      <c r="H171" s="95">
        <f>[1]AA!H418</f>
        <v>900000</v>
      </c>
      <c r="I171" s="96">
        <f t="shared" ref="I171" si="26">G171/D171</f>
        <v>0</v>
      </c>
    </row>
    <row r="172" spans="1:9" ht="63" hidden="1" x14ac:dyDescent="0.2">
      <c r="A172" s="73">
        <f>SUBTOTAL(103,$B$8:B172)</f>
        <v>95</v>
      </c>
      <c r="B172" s="64"/>
      <c r="C172" s="31" t="s">
        <v>210</v>
      </c>
      <c r="D172" s="16"/>
      <c r="E172" s="16"/>
      <c r="F172" s="16"/>
      <c r="G172" s="16"/>
      <c r="H172" s="16"/>
      <c r="I172" s="17" t="e">
        <f t="shared" ref="I172:I174" si="27">G172/D172</f>
        <v>#DIV/0!</v>
      </c>
    </row>
    <row r="173" spans="1:9" ht="78.75" hidden="1" x14ac:dyDescent="0.2">
      <c r="A173" s="73">
        <f>SUBTOTAL(103,$B$8:B173)</f>
        <v>95</v>
      </c>
      <c r="B173" s="65"/>
      <c r="C173" s="31" t="s">
        <v>301</v>
      </c>
      <c r="D173" s="16"/>
      <c r="E173" s="16"/>
      <c r="F173" s="16"/>
      <c r="G173" s="16"/>
      <c r="H173" s="16"/>
      <c r="I173" s="17" t="e">
        <f t="shared" si="27"/>
        <v>#DIV/0!</v>
      </c>
    </row>
    <row r="174" spans="1:9" ht="126" hidden="1" x14ac:dyDescent="0.2">
      <c r="A174" s="73">
        <f>SUBTOTAL(103,$B$8:B174)</f>
        <v>95</v>
      </c>
      <c r="B174" s="65"/>
      <c r="C174" s="31" t="s">
        <v>369</v>
      </c>
      <c r="D174" s="16"/>
      <c r="E174" s="16"/>
      <c r="F174" s="16"/>
      <c r="G174" s="16"/>
      <c r="H174" s="16"/>
      <c r="I174" s="17" t="e">
        <f t="shared" si="27"/>
        <v>#DIV/0!</v>
      </c>
    </row>
    <row r="175" spans="1:9" ht="16.5" x14ac:dyDescent="0.2">
      <c r="A175" s="183" t="s">
        <v>69</v>
      </c>
      <c r="B175" s="183"/>
      <c r="C175" s="183"/>
      <c r="D175" s="89">
        <f>+D186+D198+D203+D200+D176</f>
        <v>209913547</v>
      </c>
      <c r="E175" s="89">
        <f>+E186+E198+E203+E200+E176</f>
        <v>200828155.63999999</v>
      </c>
      <c r="F175" s="89">
        <f>+F186+F198+F203+F200+F176</f>
        <v>9085391.3599999994</v>
      </c>
      <c r="G175" s="89">
        <f>+G186+G198+G203+G200+G176</f>
        <v>94124188.36999999</v>
      </c>
      <c r="H175" s="89">
        <f>+H186+H198+H203+H200+H176</f>
        <v>115789358.63000001</v>
      </c>
      <c r="I175" s="90">
        <f t="shared" ref="I175:I202" si="28">G175/D175</f>
        <v>0.44839501649695812</v>
      </c>
    </row>
    <row r="176" spans="1:9" ht="16.5" x14ac:dyDescent="0.2">
      <c r="A176" s="182" t="s">
        <v>1046</v>
      </c>
      <c r="B176" s="182"/>
      <c r="C176" s="182"/>
      <c r="D176" s="91">
        <f>SUM(D177:D185)</f>
        <v>41187743</v>
      </c>
      <c r="E176" s="91">
        <f t="shared" ref="E176:H176" si="29">SUM(E177:E185)</f>
        <v>38157182.090000004</v>
      </c>
      <c r="F176" s="91">
        <f t="shared" si="29"/>
        <v>3030560.91</v>
      </c>
      <c r="G176" s="91">
        <f t="shared" si="29"/>
        <v>10960774.359999996</v>
      </c>
      <c r="H176" s="91">
        <f t="shared" si="29"/>
        <v>30226968.640000001</v>
      </c>
      <c r="I176" s="92">
        <f t="shared" si="28"/>
        <v>0.26611738254266554</v>
      </c>
    </row>
    <row r="177" spans="1:9" ht="51" x14ac:dyDescent="0.2">
      <c r="A177" s="93">
        <f>SUBTOTAL(103,$B$10:B177)</f>
        <v>96</v>
      </c>
      <c r="B177" s="103">
        <v>34</v>
      </c>
      <c r="C177" s="127" t="s">
        <v>281</v>
      </c>
      <c r="D177" s="95">
        <f>[1]AA!D23</f>
        <v>19102343</v>
      </c>
      <c r="E177" s="95">
        <f>[1]AA!E23</f>
        <v>18606427.760000002</v>
      </c>
      <c r="F177" s="95">
        <f>[1]AA!F23</f>
        <v>495915.24</v>
      </c>
      <c r="G177" s="95">
        <f>[1]AA!G23</f>
        <v>3535778.8299999996</v>
      </c>
      <c r="H177" s="95">
        <f>[1]AA!H23</f>
        <v>15566564.170000002</v>
      </c>
      <c r="I177" s="96">
        <f t="shared" ref="I177:I185" si="30">G177/D177</f>
        <v>0.18509660464164002</v>
      </c>
    </row>
    <row r="178" spans="1:9" ht="38.25" x14ac:dyDescent="0.2">
      <c r="A178" s="93">
        <f>SUBTOTAL(103,$B$10:B178)</f>
        <v>97</v>
      </c>
      <c r="B178" s="98" t="s">
        <v>1041</v>
      </c>
      <c r="C178" s="127" t="s">
        <v>1043</v>
      </c>
      <c r="D178" s="95">
        <f>[1]AA!D384</f>
        <v>4437995</v>
      </c>
      <c r="E178" s="95">
        <f>[1]AA!E384</f>
        <v>3379876.18</v>
      </c>
      <c r="F178" s="95">
        <f>[1]AA!F384</f>
        <v>1058118.82</v>
      </c>
      <c r="G178" s="95">
        <f>[1]AA!G384</f>
        <v>2129195.96</v>
      </c>
      <c r="H178" s="95">
        <f>[1]AA!H384</f>
        <v>2308799.04</v>
      </c>
      <c r="I178" s="96">
        <f t="shared" si="30"/>
        <v>0.47976529040704191</v>
      </c>
    </row>
    <row r="179" spans="1:9" ht="51" x14ac:dyDescent="0.2">
      <c r="A179" s="93">
        <f>SUBTOTAL(103,$B$10:B179)</f>
        <v>98</v>
      </c>
      <c r="B179" s="98" t="s">
        <v>1040</v>
      </c>
      <c r="C179" s="127" t="s">
        <v>1042</v>
      </c>
      <c r="D179" s="95">
        <f>[1]AA!D380</f>
        <v>4265759</v>
      </c>
      <c r="E179" s="95">
        <f>[1]AA!E380</f>
        <v>3757265.0300000003</v>
      </c>
      <c r="F179" s="95">
        <f>[1]AA!F380</f>
        <v>508493.97000000003</v>
      </c>
      <c r="G179" s="95">
        <f>[1]AA!G380</f>
        <v>2262317.61</v>
      </c>
      <c r="H179" s="95">
        <f>[1]AA!H380</f>
        <v>2003441.3900000001</v>
      </c>
      <c r="I179" s="96">
        <f t="shared" si="30"/>
        <v>0.53034351213934028</v>
      </c>
    </row>
    <row r="180" spans="1:9" ht="38.25" x14ac:dyDescent="0.2">
      <c r="A180" s="93">
        <f>SUBTOTAL(103,$B$10:B180)</f>
        <v>99</v>
      </c>
      <c r="B180" s="134">
        <v>172</v>
      </c>
      <c r="C180" s="127" t="s">
        <v>292</v>
      </c>
      <c r="D180" s="95">
        <f>[1]AA!D152</f>
        <v>2342684</v>
      </c>
      <c r="E180" s="95">
        <f>[1]AA!E152</f>
        <v>2103427</v>
      </c>
      <c r="F180" s="95">
        <f>[1]AA!F152</f>
        <v>239257</v>
      </c>
      <c r="G180" s="95">
        <f>[1]AA!G152</f>
        <v>757130.86999999988</v>
      </c>
      <c r="H180" s="95">
        <f>[1]AA!H152</f>
        <v>1585553.1300000001</v>
      </c>
      <c r="I180" s="96">
        <f t="shared" si="30"/>
        <v>0.32318949973619998</v>
      </c>
    </row>
    <row r="181" spans="1:9" ht="51" x14ac:dyDescent="0.2">
      <c r="A181" s="93">
        <f>SUBTOTAL(103,$B$10:B181)</f>
        <v>100</v>
      </c>
      <c r="B181" s="134">
        <v>28</v>
      </c>
      <c r="C181" s="161" t="s">
        <v>275</v>
      </c>
      <c r="D181" s="162">
        <f>[1]AA!D17</f>
        <v>4026127</v>
      </c>
      <c r="E181" s="162">
        <f>[1]AA!E17</f>
        <v>3873158.5</v>
      </c>
      <c r="F181" s="162">
        <f>[1]AA!F17</f>
        <v>152968.5</v>
      </c>
      <c r="G181" s="162">
        <f>[1]AA!G17</f>
        <v>1265521.6200000001</v>
      </c>
      <c r="H181" s="162">
        <f>[1]AA!H17</f>
        <v>2760605.38</v>
      </c>
      <c r="I181" s="96">
        <f>G181/D181</f>
        <v>0.31432729767342166</v>
      </c>
    </row>
    <row r="182" spans="1:9" ht="38.25" x14ac:dyDescent="0.2">
      <c r="A182" s="93">
        <f>SUBTOTAL(103,$B$10:B182)</f>
        <v>101</v>
      </c>
      <c r="B182" s="103">
        <v>32</v>
      </c>
      <c r="C182" s="127" t="s">
        <v>199</v>
      </c>
      <c r="D182" s="95">
        <f>[1]AA!D21</f>
        <v>4495134</v>
      </c>
      <c r="E182" s="95">
        <f>[1]AA!E21</f>
        <v>3925006.5900000003</v>
      </c>
      <c r="F182" s="95">
        <f>[1]AA!F21</f>
        <v>570127.4099999998</v>
      </c>
      <c r="G182" s="95">
        <f>[1]AA!G21</f>
        <v>1003412.6100000001</v>
      </c>
      <c r="H182" s="95">
        <f>[1]AA!H21</f>
        <v>3491721.39</v>
      </c>
      <c r="I182" s="96">
        <f t="shared" si="30"/>
        <v>0.22322195734320716</v>
      </c>
    </row>
    <row r="183" spans="1:9" ht="51" x14ac:dyDescent="0.2">
      <c r="A183" s="93">
        <f>SUBTOTAL(103,$B$10:B183)</f>
        <v>102</v>
      </c>
      <c r="B183" s="134">
        <v>156</v>
      </c>
      <c r="C183" s="161" t="s">
        <v>361</v>
      </c>
      <c r="D183" s="162">
        <f>[1]AA!D136</f>
        <v>1479604</v>
      </c>
      <c r="E183" s="162">
        <f>[1]AA!E136</f>
        <v>1473924.03</v>
      </c>
      <c r="F183" s="162">
        <f>[1]AA!F136</f>
        <v>5679.9700000000012</v>
      </c>
      <c r="G183" s="162">
        <f>[1]AA!G136</f>
        <v>7416.86</v>
      </c>
      <c r="H183" s="162">
        <f>[1]AA!H136</f>
        <v>1472187.14</v>
      </c>
      <c r="I183" s="96">
        <f>G183/D183</f>
        <v>5.0127331367041447E-3</v>
      </c>
    </row>
    <row r="184" spans="1:9" ht="51" x14ac:dyDescent="0.2">
      <c r="A184" s="93">
        <f>SUBTOTAL(103,$B$10:B184)</f>
        <v>103</v>
      </c>
      <c r="B184" s="134">
        <v>506</v>
      </c>
      <c r="C184" s="127" t="s">
        <v>2444</v>
      </c>
      <c r="D184" s="95">
        <f>[1]AA!D420</f>
        <v>1038097</v>
      </c>
      <c r="E184" s="95">
        <f>[1]AA!E420</f>
        <v>1038097</v>
      </c>
      <c r="F184" s="95">
        <f>[1]AA!F420</f>
        <v>0</v>
      </c>
      <c r="G184" s="95">
        <f>[1]AA!G420</f>
        <v>0</v>
      </c>
      <c r="H184" s="95">
        <f>[1]AA!H420</f>
        <v>1038097</v>
      </c>
      <c r="I184" s="96">
        <f t="shared" si="30"/>
        <v>0</v>
      </c>
    </row>
    <row r="185" spans="1:9" ht="38.25" hidden="1" x14ac:dyDescent="0.2">
      <c r="A185" s="93">
        <f>SUBTOTAL(103,$B$10:B185)</f>
        <v>103</v>
      </c>
      <c r="B185" s="94">
        <v>23</v>
      </c>
      <c r="C185" s="127" t="s">
        <v>510</v>
      </c>
      <c r="D185" s="95">
        <f>[1]AA!D12</f>
        <v>0</v>
      </c>
      <c r="E185" s="95">
        <f>[1]AA!E12</f>
        <v>0</v>
      </c>
      <c r="F185" s="95">
        <f>[1]AA!F12</f>
        <v>0</v>
      </c>
      <c r="G185" s="95">
        <f>[1]AA!G12</f>
        <v>0</v>
      </c>
      <c r="H185" s="95">
        <f>[1]AA!H12</f>
        <v>0</v>
      </c>
      <c r="I185" s="96" t="e">
        <f t="shared" si="30"/>
        <v>#DIV/0!</v>
      </c>
    </row>
    <row r="186" spans="1:9" ht="16.5" x14ac:dyDescent="0.2">
      <c r="A186" s="195" t="s">
        <v>1045</v>
      </c>
      <c r="B186" s="195"/>
      <c r="C186" s="195"/>
      <c r="D186" s="91">
        <f>SUM(D187:D197)</f>
        <v>154014282</v>
      </c>
      <c r="E186" s="91">
        <f>SUM(E187:E197)</f>
        <v>148147689.00999999</v>
      </c>
      <c r="F186" s="91">
        <f>SUM(F187:F197)</f>
        <v>5866592.9899999984</v>
      </c>
      <c r="G186" s="91">
        <f>SUM(G187:G197)</f>
        <v>77369933.739999995</v>
      </c>
      <c r="H186" s="91">
        <f>SUM(H187:H197)</f>
        <v>76644348.260000005</v>
      </c>
      <c r="I186" s="92">
        <f>G186/D186</f>
        <v>0.50235557855601987</v>
      </c>
    </row>
    <row r="187" spans="1:9" ht="63" hidden="1" x14ac:dyDescent="0.2">
      <c r="A187" s="73">
        <v>99</v>
      </c>
      <c r="B187" s="33"/>
      <c r="C187" s="31" t="s">
        <v>70</v>
      </c>
      <c r="D187" s="16"/>
      <c r="E187" s="16"/>
      <c r="F187" s="16"/>
      <c r="G187" s="16"/>
      <c r="H187" s="16"/>
      <c r="I187" s="17">
        <v>0</v>
      </c>
    </row>
    <row r="188" spans="1:9" ht="38.25" x14ac:dyDescent="0.2">
      <c r="A188" s="93">
        <f>SUBTOTAL(103,$B$10:B188)</f>
        <v>104</v>
      </c>
      <c r="B188" s="94">
        <v>219</v>
      </c>
      <c r="C188" s="127" t="s">
        <v>205</v>
      </c>
      <c r="D188" s="95">
        <f>[1]AA!D184</f>
        <v>56150305</v>
      </c>
      <c r="E188" s="95">
        <f>[1]AA!E184</f>
        <v>56070305</v>
      </c>
      <c r="F188" s="95">
        <f>[1]AA!F184</f>
        <v>80000</v>
      </c>
      <c r="G188" s="95">
        <f>[1]AA!G184</f>
        <v>25347755.030000001</v>
      </c>
      <c r="H188" s="95">
        <f>[1]AA!H184</f>
        <v>30802549.969999999</v>
      </c>
      <c r="I188" s="96">
        <f t="shared" ref="I188:I196" si="31">G188/D188</f>
        <v>0.4514268449654904</v>
      </c>
    </row>
    <row r="189" spans="1:9" ht="51" x14ac:dyDescent="0.2">
      <c r="A189" s="93">
        <f>SUBTOTAL(103,$B$10:B189)</f>
        <v>105</v>
      </c>
      <c r="B189" s="94">
        <v>240</v>
      </c>
      <c r="C189" s="127" t="s">
        <v>259</v>
      </c>
      <c r="D189" s="95">
        <f>[1]AA!D205</f>
        <v>8766661</v>
      </c>
      <c r="E189" s="95">
        <f>[1]AA!E205</f>
        <v>8493624.370000001</v>
      </c>
      <c r="F189" s="95">
        <f>[1]AA!F205</f>
        <v>273036.62999999977</v>
      </c>
      <c r="G189" s="95">
        <f>[1]AA!G205</f>
        <v>3756081.38</v>
      </c>
      <c r="H189" s="95">
        <f>[1]AA!H205</f>
        <v>5010579.62</v>
      </c>
      <c r="I189" s="96">
        <f t="shared" si="31"/>
        <v>0.42845062447378768</v>
      </c>
    </row>
    <row r="190" spans="1:9" ht="51" x14ac:dyDescent="0.2">
      <c r="A190" s="93">
        <f>SUBTOTAL(103,$B$10:B190)</f>
        <v>106</v>
      </c>
      <c r="B190" s="97">
        <v>226</v>
      </c>
      <c r="C190" s="127" t="s">
        <v>252</v>
      </c>
      <c r="D190" s="95">
        <f>[1]AA!D191</f>
        <v>18753537</v>
      </c>
      <c r="E190" s="95">
        <f>[1]AA!E191</f>
        <v>18471517.050000001</v>
      </c>
      <c r="F190" s="95">
        <f>[1]AA!F191</f>
        <v>282019.94999999925</v>
      </c>
      <c r="G190" s="95">
        <f>[1]AA!G191</f>
        <v>16212318.050000001</v>
      </c>
      <c r="H190" s="95">
        <f>[1]AA!H191</f>
        <v>2541218.9499999993</v>
      </c>
      <c r="I190" s="96">
        <f t="shared" si="31"/>
        <v>0.86449388454028697</v>
      </c>
    </row>
    <row r="191" spans="1:9" ht="46.5" customHeight="1" x14ac:dyDescent="0.2">
      <c r="A191" s="93">
        <f>SUBTOTAL(103,$B$10:B191)</f>
        <v>107</v>
      </c>
      <c r="B191" s="94">
        <v>234</v>
      </c>
      <c r="C191" s="127" t="s">
        <v>254</v>
      </c>
      <c r="D191" s="95">
        <f>[1]AA!D199</f>
        <v>17484286</v>
      </c>
      <c r="E191" s="95">
        <f>[1]AA!E199</f>
        <v>17330462.93</v>
      </c>
      <c r="F191" s="95">
        <f>[1]AA!F199</f>
        <v>153823.07000000018</v>
      </c>
      <c r="G191" s="95">
        <f>[1]AA!G199</f>
        <v>15329100.540000001</v>
      </c>
      <c r="H191" s="95">
        <f>[1]AA!H199</f>
        <v>2155185.459999999</v>
      </c>
      <c r="I191" s="96">
        <f t="shared" si="31"/>
        <v>0.87673586098969103</v>
      </c>
    </row>
    <row r="192" spans="1:9" ht="38.25" x14ac:dyDescent="0.2">
      <c r="A192" s="93">
        <f>SUBTOTAL(103,$B$10:B192)</f>
        <v>108</v>
      </c>
      <c r="B192" s="98" t="s">
        <v>1014</v>
      </c>
      <c r="C192" s="127" t="s">
        <v>197</v>
      </c>
      <c r="D192" s="95">
        <f>+[1]AA!D375</f>
        <v>41519761</v>
      </c>
      <c r="E192" s="95">
        <f>+[1]AA!E375</f>
        <v>39185248.729999997</v>
      </c>
      <c r="F192" s="95">
        <f>+[1]AA!F375</f>
        <v>2334512.2699999996</v>
      </c>
      <c r="G192" s="95">
        <f>+[1]AA!G375</f>
        <v>10203967.820000002</v>
      </c>
      <c r="H192" s="95">
        <f>+[1]AA!H375</f>
        <v>31315793.18</v>
      </c>
      <c r="I192" s="96">
        <f t="shared" si="31"/>
        <v>0.24576171861875606</v>
      </c>
    </row>
    <row r="193" spans="1:11" ht="38.25" x14ac:dyDescent="0.2">
      <c r="A193" s="93">
        <f>SUBTOTAL(103,$B$10:B193)</f>
        <v>109</v>
      </c>
      <c r="B193" s="98" t="s">
        <v>1017</v>
      </c>
      <c r="C193" s="127" t="s">
        <v>358</v>
      </c>
      <c r="D193" s="95">
        <f>+[1]AA!D198</f>
        <v>1333346</v>
      </c>
      <c r="E193" s="95">
        <f>+[1]AA!E198</f>
        <v>746819.06</v>
      </c>
      <c r="F193" s="95">
        <f>+[1]AA!F198</f>
        <v>586526.94000000006</v>
      </c>
      <c r="G193" s="95">
        <f>+[1]AA!G198</f>
        <v>3128.7</v>
      </c>
      <c r="H193" s="95">
        <f>+[1]AA!H198</f>
        <v>1330217.3</v>
      </c>
      <c r="I193" s="96">
        <f t="shared" si="31"/>
        <v>2.3465027082242716E-3</v>
      </c>
    </row>
    <row r="194" spans="1:11" ht="38.25" x14ac:dyDescent="0.2">
      <c r="A194" s="93">
        <f>SUBTOTAL(103,$B$10:B194)</f>
        <v>110</v>
      </c>
      <c r="B194" s="94">
        <v>2</v>
      </c>
      <c r="C194" s="127" t="s">
        <v>484</v>
      </c>
      <c r="D194" s="95">
        <f>[1]AA!D3</f>
        <v>4143455</v>
      </c>
      <c r="E194" s="95">
        <f>[1]AA!E3</f>
        <v>4043454.41</v>
      </c>
      <c r="F194" s="95">
        <f>[1]AA!F3</f>
        <v>100000.58999999985</v>
      </c>
      <c r="G194" s="95">
        <f>[1]AA!G3</f>
        <v>4043454.41</v>
      </c>
      <c r="H194" s="95">
        <f>[1]AA!H3</f>
        <v>100000.58999999985</v>
      </c>
      <c r="I194" s="96">
        <f t="shared" si="31"/>
        <v>0.97586540942281264</v>
      </c>
    </row>
    <row r="195" spans="1:11" ht="38.25" x14ac:dyDescent="0.2">
      <c r="A195" s="93">
        <f>SUBTOTAL(103,$B$10:B195)</f>
        <v>111</v>
      </c>
      <c r="B195" s="98" t="s">
        <v>1018</v>
      </c>
      <c r="C195" s="127" t="s">
        <v>807</v>
      </c>
      <c r="D195" s="95">
        <f>[1]AA!D247</f>
        <v>1588917</v>
      </c>
      <c r="E195" s="95">
        <f>[1]AA!E247</f>
        <v>1382455.8</v>
      </c>
      <c r="F195" s="95">
        <f>[1]AA!F247</f>
        <v>206461.19999999995</v>
      </c>
      <c r="G195" s="95">
        <f>[1]AA!G247</f>
        <v>215371.16</v>
      </c>
      <c r="H195" s="95">
        <f>[1]AA!H247</f>
        <v>1373545.8399999999</v>
      </c>
      <c r="I195" s="96">
        <f t="shared" si="31"/>
        <v>0.13554588439798931</v>
      </c>
    </row>
    <row r="196" spans="1:11" ht="51" x14ac:dyDescent="0.2">
      <c r="A196" s="93">
        <f>SUBTOTAL(103,$B$10:B196)</f>
        <v>112</v>
      </c>
      <c r="B196" s="94">
        <v>197</v>
      </c>
      <c r="C196" s="127" t="s">
        <v>256</v>
      </c>
      <c r="D196" s="95">
        <f>+[1]AA!D177</f>
        <v>3866926</v>
      </c>
      <c r="E196" s="95">
        <f>+[1]AA!E177</f>
        <v>2101121.2600000002</v>
      </c>
      <c r="F196" s="95">
        <f>+[1]AA!F177</f>
        <v>1765804.74</v>
      </c>
      <c r="G196" s="95">
        <f>+[1]AA!G177</f>
        <v>1977904.6299999997</v>
      </c>
      <c r="H196" s="95">
        <f>+[1]AA!H177</f>
        <v>1889021.37</v>
      </c>
      <c r="I196" s="96">
        <f t="shared" si="31"/>
        <v>0.51149275419286522</v>
      </c>
    </row>
    <row r="197" spans="1:11" ht="51" x14ac:dyDescent="0.2">
      <c r="A197" s="93">
        <f>SUBTOTAL(103,$B$10:B197)</f>
        <v>113</v>
      </c>
      <c r="B197" s="98" t="s">
        <v>914</v>
      </c>
      <c r="C197" s="127" t="s">
        <v>251</v>
      </c>
      <c r="D197" s="95">
        <f>[1]AA!D187</f>
        <v>407088</v>
      </c>
      <c r="E197" s="95">
        <f>[1]AA!E187</f>
        <v>322680.40000000002</v>
      </c>
      <c r="F197" s="95">
        <f>[1]AA!F187</f>
        <v>84407.599999999977</v>
      </c>
      <c r="G197" s="95">
        <f>[1]AA!G187</f>
        <v>280852.02</v>
      </c>
      <c r="H197" s="95">
        <f>[1]AA!H187</f>
        <v>126235.98</v>
      </c>
      <c r="I197" s="96">
        <f t="shared" ref="I197" si="32">G197/D197</f>
        <v>0.68990493455960389</v>
      </c>
    </row>
    <row r="198" spans="1:11" ht="16.5" x14ac:dyDescent="0.2">
      <c r="A198" s="182" t="s">
        <v>133</v>
      </c>
      <c r="B198" s="182"/>
      <c r="C198" s="182"/>
      <c r="D198" s="91">
        <f>+D199</f>
        <v>3991499</v>
      </c>
      <c r="E198" s="91">
        <f>+E199</f>
        <v>3978899</v>
      </c>
      <c r="F198" s="91">
        <f>+F199</f>
        <v>12600</v>
      </c>
      <c r="G198" s="91">
        <f>+G199</f>
        <v>0</v>
      </c>
      <c r="H198" s="91">
        <f>+H199</f>
        <v>3991499</v>
      </c>
      <c r="I198" s="92">
        <f t="shared" si="28"/>
        <v>0</v>
      </c>
    </row>
    <row r="199" spans="1:11" ht="63.75" x14ac:dyDescent="0.2">
      <c r="A199" s="93">
        <f>SUBTOTAL(103,$B$10:B199)</f>
        <v>114</v>
      </c>
      <c r="B199" s="98" t="s">
        <v>1060</v>
      </c>
      <c r="C199" s="127" t="s">
        <v>1057</v>
      </c>
      <c r="D199" s="95">
        <f>[1]AA!D89</f>
        <v>3991499</v>
      </c>
      <c r="E199" s="95">
        <f>[1]AA!E89</f>
        <v>3978899</v>
      </c>
      <c r="F199" s="95">
        <f>[1]AA!F89</f>
        <v>12600</v>
      </c>
      <c r="G199" s="95">
        <f>[1]AA!G89</f>
        <v>0</v>
      </c>
      <c r="H199" s="95">
        <f>[1]AA!H89</f>
        <v>3991499</v>
      </c>
      <c r="I199" s="96">
        <f t="shared" si="28"/>
        <v>0</v>
      </c>
    </row>
    <row r="200" spans="1:11" ht="16.5" x14ac:dyDescent="0.2">
      <c r="A200" s="182" t="s">
        <v>1054</v>
      </c>
      <c r="B200" s="182"/>
      <c r="C200" s="182"/>
      <c r="D200" s="91">
        <f>SUM(D201:D202)</f>
        <v>10709023</v>
      </c>
      <c r="E200" s="91">
        <f>SUM(E201:E202)</f>
        <v>10533385.539999999</v>
      </c>
      <c r="F200" s="91">
        <f>SUM(F201:F202)</f>
        <v>175637.46000000005</v>
      </c>
      <c r="G200" s="91">
        <f>SUM(G201:G202)</f>
        <v>5793480.2700000005</v>
      </c>
      <c r="H200" s="91">
        <f>SUM(H201:H202)</f>
        <v>4915542.7300000004</v>
      </c>
      <c r="I200" s="92">
        <f t="shared" si="28"/>
        <v>0.54099055254620332</v>
      </c>
    </row>
    <row r="201" spans="1:11" ht="38.25" x14ac:dyDescent="0.2">
      <c r="A201" s="93">
        <f>SUBTOTAL(103,$B$10:B201)</f>
        <v>115</v>
      </c>
      <c r="B201" s="94">
        <v>64</v>
      </c>
      <c r="C201" s="127" t="s">
        <v>368</v>
      </c>
      <c r="D201" s="102">
        <f>[1]AA!D53</f>
        <v>6912542</v>
      </c>
      <c r="E201" s="102">
        <f>[1]AA!E53</f>
        <v>6827594.0599999996</v>
      </c>
      <c r="F201" s="102">
        <f>[1]AA!F53</f>
        <v>84947.940000000031</v>
      </c>
      <c r="G201" s="102">
        <f>[1]AA!G53</f>
        <v>4372489.41</v>
      </c>
      <c r="H201" s="102">
        <f>[1]AA!H53</f>
        <v>2540052.5900000003</v>
      </c>
      <c r="I201" s="96">
        <f t="shared" si="28"/>
        <v>0.63254435343756321</v>
      </c>
    </row>
    <row r="202" spans="1:11" ht="63.75" x14ac:dyDescent="0.2">
      <c r="A202" s="93">
        <f>SUBTOTAL(103,$B$10:B202)</f>
        <v>116</v>
      </c>
      <c r="B202" s="94">
        <v>66</v>
      </c>
      <c r="C202" s="127" t="s">
        <v>397</v>
      </c>
      <c r="D202" s="102">
        <f>[1]AA!D55</f>
        <v>3796481</v>
      </c>
      <c r="E202" s="102">
        <f>[1]AA!E55</f>
        <v>3705791.48</v>
      </c>
      <c r="F202" s="102">
        <f>[1]AA!F55</f>
        <v>90689.520000000019</v>
      </c>
      <c r="G202" s="102">
        <f>[1]AA!G55</f>
        <v>1420990.86</v>
      </c>
      <c r="H202" s="102">
        <f>[1]AA!H55</f>
        <v>2375490.14</v>
      </c>
      <c r="I202" s="96">
        <f t="shared" si="28"/>
        <v>0.3742915768576216</v>
      </c>
      <c r="K202" s="83"/>
    </row>
    <row r="203" spans="1:11" ht="16.5" x14ac:dyDescent="0.2">
      <c r="A203" s="184" t="s">
        <v>1067</v>
      </c>
      <c r="B203" s="185"/>
      <c r="C203" s="186"/>
      <c r="D203" s="91">
        <f>+D204</f>
        <v>11000</v>
      </c>
      <c r="E203" s="91">
        <f t="shared" ref="E203:H203" si="33">+E204</f>
        <v>11000</v>
      </c>
      <c r="F203" s="91">
        <f t="shared" si="33"/>
        <v>0</v>
      </c>
      <c r="G203" s="91">
        <f t="shared" si="33"/>
        <v>0</v>
      </c>
      <c r="H203" s="91">
        <f t="shared" si="33"/>
        <v>11000</v>
      </c>
      <c r="I203" s="92">
        <f t="shared" ref="I203" si="34">G203/D203</f>
        <v>0</v>
      </c>
    </row>
    <row r="204" spans="1:11" ht="51" x14ac:dyDescent="0.2">
      <c r="A204" s="93">
        <f>SUBTOTAL(103,$B$10:B204)</f>
        <v>117</v>
      </c>
      <c r="B204" s="98" t="s">
        <v>1068</v>
      </c>
      <c r="C204" s="127" t="s">
        <v>1069</v>
      </c>
      <c r="D204" s="95">
        <f>[1]AA!D390</f>
        <v>11000</v>
      </c>
      <c r="E204" s="95">
        <f>[1]AA!E390</f>
        <v>11000</v>
      </c>
      <c r="F204" s="95">
        <f>[1]AA!F390</f>
        <v>0</v>
      </c>
      <c r="G204" s="95">
        <f>[1]AA!G390</f>
        <v>0</v>
      </c>
      <c r="H204" s="95">
        <f>[1]AA!H390</f>
        <v>11000</v>
      </c>
      <c r="I204" s="96">
        <f>G204/D204</f>
        <v>0</v>
      </c>
    </row>
    <row r="205" spans="1:11" ht="94.5" hidden="1" x14ac:dyDescent="0.2">
      <c r="A205" s="73">
        <f>SUBTOTAL(103,$B$8:B205)</f>
        <v>117</v>
      </c>
      <c r="B205" s="64"/>
      <c r="C205" s="31" t="s">
        <v>835</v>
      </c>
      <c r="D205" s="16"/>
      <c r="E205" s="16"/>
      <c r="F205" s="16"/>
      <c r="G205" s="16"/>
      <c r="H205" s="16"/>
      <c r="I205" s="17" t="e">
        <f t="shared" ref="I205:I208" si="35">G205/D205</f>
        <v>#DIV/0!</v>
      </c>
    </row>
    <row r="206" spans="1:11" ht="78.75" hidden="1" x14ac:dyDescent="0.2">
      <c r="A206" s="73">
        <f>SUBTOTAL(103,$B$8:B206)</f>
        <v>117</v>
      </c>
      <c r="B206" s="64"/>
      <c r="C206" s="31" t="s">
        <v>176</v>
      </c>
      <c r="D206" s="16"/>
      <c r="E206" s="16"/>
      <c r="F206" s="16"/>
      <c r="G206" s="16"/>
      <c r="H206" s="16"/>
      <c r="I206" s="17" t="e">
        <f t="shared" si="35"/>
        <v>#DIV/0!</v>
      </c>
    </row>
    <row r="207" spans="1:11" ht="78.75" hidden="1" x14ac:dyDescent="0.2">
      <c r="A207" s="79">
        <f>SUBTOTAL(103,$B$8:B207)</f>
        <v>117</v>
      </c>
      <c r="B207" s="74"/>
      <c r="C207" s="31" t="s">
        <v>893</v>
      </c>
      <c r="D207" s="15"/>
      <c r="E207" s="15"/>
      <c r="F207" s="15"/>
      <c r="G207" s="15"/>
      <c r="H207" s="15"/>
      <c r="I207" s="17" t="e">
        <f t="shared" si="35"/>
        <v>#DIV/0!</v>
      </c>
    </row>
    <row r="208" spans="1:11" ht="63" hidden="1" x14ac:dyDescent="0.2">
      <c r="A208" s="80">
        <f>SUBTOTAL(103,$B$8:B208)</f>
        <v>117</v>
      </c>
      <c r="B208" s="74"/>
      <c r="C208" s="31" t="s">
        <v>902</v>
      </c>
      <c r="D208" s="15"/>
      <c r="E208" s="15"/>
      <c r="F208" s="15"/>
      <c r="G208" s="15"/>
      <c r="H208" s="15"/>
      <c r="I208" s="17" t="e">
        <f t="shared" si="35"/>
        <v>#DIV/0!</v>
      </c>
    </row>
    <row r="209" spans="1:11" hidden="1" x14ac:dyDescent="0.2">
      <c r="I209" s="13"/>
    </row>
    <row r="210" spans="1:11" ht="16.5" x14ac:dyDescent="0.2">
      <c r="A210" s="183" t="s">
        <v>2</v>
      </c>
      <c r="B210" s="183"/>
      <c r="C210" s="183"/>
      <c r="D210" s="104">
        <f>+D271+D211+D299+D218+D304</f>
        <v>9811303</v>
      </c>
      <c r="E210" s="104">
        <f>+E271+E211+E299+E218+E304</f>
        <v>6855064.2800000003</v>
      </c>
      <c r="F210" s="104">
        <f>+F271+F211+F299+F218+F304</f>
        <v>2956238.7199999997</v>
      </c>
      <c r="G210" s="104">
        <f>+G271+G211+G299+G218+G304</f>
        <v>4409539.1400000006</v>
      </c>
      <c r="H210" s="104">
        <f>+H271+H211+H299+H218+H304</f>
        <v>5401763.8599999994</v>
      </c>
      <c r="I210" s="105">
        <f>G210/D210</f>
        <v>0.44943461026532366</v>
      </c>
      <c r="K210" s="35"/>
    </row>
    <row r="211" spans="1:11" ht="16.5" x14ac:dyDescent="0.2">
      <c r="A211" s="182" t="s">
        <v>1045</v>
      </c>
      <c r="B211" s="182"/>
      <c r="C211" s="182"/>
      <c r="D211" s="91">
        <f>+D212+D214+D216</f>
        <v>411099</v>
      </c>
      <c r="E211" s="91">
        <f t="shared" ref="E211:H211" si="36">+E212+E214+E216</f>
        <v>111816</v>
      </c>
      <c r="F211" s="91">
        <f t="shared" si="36"/>
        <v>299283</v>
      </c>
      <c r="G211" s="91">
        <f t="shared" si="36"/>
        <v>106621.20000000001</v>
      </c>
      <c r="H211" s="91">
        <f t="shared" si="36"/>
        <v>304477.8</v>
      </c>
      <c r="I211" s="92">
        <f>G211/D211</f>
        <v>0.2593565053673203</v>
      </c>
      <c r="K211" s="35"/>
    </row>
    <row r="212" spans="1:11" ht="51" x14ac:dyDescent="0.2">
      <c r="A212" s="180">
        <f>+SUBTOTAL(103,$B$10:B213)</f>
        <v>118</v>
      </c>
      <c r="B212" s="178">
        <v>341</v>
      </c>
      <c r="C212" s="161" t="s">
        <v>1037</v>
      </c>
      <c r="D212" s="162">
        <f>[1]AA!D285</f>
        <v>111816</v>
      </c>
      <c r="E212" s="162">
        <f>[1]AA!E285</f>
        <v>111816</v>
      </c>
      <c r="F212" s="162">
        <f>[1]AA!F285</f>
        <v>0</v>
      </c>
      <c r="G212" s="162">
        <f>[1]AA!G285</f>
        <v>106621.20000000001</v>
      </c>
      <c r="H212" s="162">
        <f>[1]AA!H285</f>
        <v>5194.7999999999884</v>
      </c>
      <c r="I212" s="96">
        <f>G212/D212</f>
        <v>0.95354153251770779</v>
      </c>
    </row>
    <row r="213" spans="1:11" x14ac:dyDescent="0.2">
      <c r="A213" s="181"/>
      <c r="B213" s="179"/>
      <c r="C213" s="161" t="str">
        <f>[3]H4!C101</f>
        <v>2.6.8.1.3 - 1.ELABORACION DE EXPEDIENTES TECNICOS</v>
      </c>
      <c r="D213" s="163">
        <f>[3]H4!D101</f>
        <v>111816</v>
      </c>
      <c r="E213" s="163">
        <f>[3]H4!E101</f>
        <v>111816</v>
      </c>
      <c r="F213" s="163">
        <f>[3]H4!F101</f>
        <v>0</v>
      </c>
      <c r="G213" s="163">
        <f>[3]H4!G101</f>
        <v>106621.20000000001</v>
      </c>
      <c r="H213" s="163">
        <f>[3]H4!H101</f>
        <v>5194.7999999999884</v>
      </c>
      <c r="I213" s="96"/>
    </row>
    <row r="214" spans="1:11" ht="51" x14ac:dyDescent="0.2">
      <c r="A214" s="180">
        <f>+SUBTOTAL(103,$B$10:B215)</f>
        <v>119</v>
      </c>
      <c r="B214" s="178">
        <v>523</v>
      </c>
      <c r="C214" s="161" t="s">
        <v>2463</v>
      </c>
      <c r="D214" s="162">
        <f>[1]AA!D437</f>
        <v>149283</v>
      </c>
      <c r="E214" s="162">
        <f>[1]AA!E437</f>
        <v>0</v>
      </c>
      <c r="F214" s="162">
        <f>[1]AA!F437</f>
        <v>149283</v>
      </c>
      <c r="G214" s="162">
        <f>[1]AA!G437</f>
        <v>0</v>
      </c>
      <c r="H214" s="162">
        <f>[1]AA!H437</f>
        <v>149283</v>
      </c>
      <c r="I214" s="96">
        <f>G214/D214</f>
        <v>0</v>
      </c>
    </row>
    <row r="215" spans="1:11" x14ac:dyDescent="0.2">
      <c r="A215" s="181"/>
      <c r="B215" s="179"/>
      <c r="C215" s="161" t="str">
        <f>[3]H4!C657</f>
        <v>2.6.8.1.3 - 1.ELABORACION DE EXPEDIENTES TECNICOS</v>
      </c>
      <c r="D215" s="163">
        <f>[3]H4!D657</f>
        <v>149283</v>
      </c>
      <c r="E215" s="163">
        <f>[3]H4!E657</f>
        <v>0</v>
      </c>
      <c r="F215" s="163">
        <f>[3]H4!F657</f>
        <v>149283</v>
      </c>
      <c r="G215" s="163">
        <f>[3]H4!G657</f>
        <v>0</v>
      </c>
      <c r="H215" s="163">
        <f>[3]H4!H657</f>
        <v>149283</v>
      </c>
      <c r="I215" s="96"/>
    </row>
    <row r="216" spans="1:11" ht="38.25" x14ac:dyDescent="0.2">
      <c r="A216" s="180">
        <f>+SUBTOTAL(103,$B$10:B217)</f>
        <v>120</v>
      </c>
      <c r="B216" s="178">
        <v>528</v>
      </c>
      <c r="C216" s="161" t="s">
        <v>2498</v>
      </c>
      <c r="D216" s="162">
        <f>[1]AA!D441</f>
        <v>150000</v>
      </c>
      <c r="E216" s="162">
        <f>[1]AA!E441</f>
        <v>0</v>
      </c>
      <c r="F216" s="162">
        <f>[1]AA!F441</f>
        <v>150000</v>
      </c>
      <c r="G216" s="162">
        <f>[1]AA!G441</f>
        <v>0</v>
      </c>
      <c r="H216" s="162">
        <f>[1]AA!H441</f>
        <v>150000</v>
      </c>
      <c r="I216" s="96">
        <f>G216/D216</f>
        <v>0</v>
      </c>
    </row>
    <row r="217" spans="1:11" x14ac:dyDescent="0.2">
      <c r="A217" s="181"/>
      <c r="B217" s="179"/>
      <c r="C217" s="161" t="str">
        <f>[3]H4!C665</f>
        <v>2.6.8.1.3 - 1.ELABORACION DE EXPEDIENTES TECNICOS</v>
      </c>
      <c r="D217" s="163">
        <f>[3]H4!D665</f>
        <v>150000</v>
      </c>
      <c r="E217" s="163">
        <f>[3]H4!E665</f>
        <v>0</v>
      </c>
      <c r="F217" s="163">
        <f>[3]H4!F665</f>
        <v>150000</v>
      </c>
      <c r="G217" s="163">
        <f>[3]H4!G665</f>
        <v>0</v>
      </c>
      <c r="H217" s="163">
        <f>[3]H4!H665</f>
        <v>150000</v>
      </c>
      <c r="I217" s="96"/>
    </row>
    <row r="218" spans="1:11" ht="16.5" x14ac:dyDescent="0.2">
      <c r="A218" s="182" t="s">
        <v>1046</v>
      </c>
      <c r="B218" s="182"/>
      <c r="C218" s="182"/>
      <c r="D218" s="91">
        <f>+D219+D222+D224+D227+D229+D231+D233+D235+D237+D239+D241+D243+D245+D247+D249+D251+D253+D255+D257+D259+D261+D263+D265+D267+D269</f>
        <v>4996638</v>
      </c>
      <c r="E218" s="91">
        <f>+E219+E222+E224+E227+E229+E231+E233+E235+E237+E239+E241+E243+E245+E247+E249+E251+E253+E255+E257+E259+E261+E263+E265+E267+E269</f>
        <v>3210162.37</v>
      </c>
      <c r="F218" s="91">
        <f>+F219+F222+F224+F227+F229+F231+F233+F235+F237+F239+F241+F243+F245+F247+F249+F251+F253+F255+F257+F259+F261+F263+F265+F267+F269</f>
        <v>1786475.63</v>
      </c>
      <c r="G218" s="91">
        <f>+G219+G222+G224+G227+G229+G231+G233+G235+G237+G239+G241+G243+G245+G247+G249+G251+G253+G255+G257+G259+G261+G263+G265+G267+G269</f>
        <v>2241703.0099999998</v>
      </c>
      <c r="H218" s="91">
        <f>+H219+H222+H224+H227+H229+H231+H233+H235+H237+H239+H241+H243+H245+H247+H249+H251+H253+H255+H257+H259+H261+H263+H265+H267+H269</f>
        <v>2754934.9899999998</v>
      </c>
      <c r="I218" s="92">
        <f>G218/D218</f>
        <v>0.44864226906171706</v>
      </c>
      <c r="K218" s="35"/>
    </row>
    <row r="219" spans="1:11" ht="51" x14ac:dyDescent="0.2">
      <c r="A219" s="180">
        <f>SUBTOTAL(103,$B$10:B221)</f>
        <v>121</v>
      </c>
      <c r="B219" s="178">
        <v>165</v>
      </c>
      <c r="C219" s="161" t="s">
        <v>743</v>
      </c>
      <c r="D219" s="162">
        <f>[1]AA!D145</f>
        <v>57442</v>
      </c>
      <c r="E219" s="162">
        <f>[1]AA!E145</f>
        <v>57136.9</v>
      </c>
      <c r="F219" s="162">
        <f>[1]AA!F145</f>
        <v>305.09999999999854</v>
      </c>
      <c r="G219" s="162">
        <f>[1]AA!G145</f>
        <v>54415.03</v>
      </c>
      <c r="H219" s="162">
        <f>[1]AA!H145</f>
        <v>3026.9700000000012</v>
      </c>
      <c r="I219" s="96">
        <f>G219/D219</f>
        <v>0.94730388914035024</v>
      </c>
    </row>
    <row r="220" spans="1:11" x14ac:dyDescent="0.2">
      <c r="A220" s="188"/>
      <c r="B220" s="187"/>
      <c r="C220" s="161" t="str">
        <f>[3]H4!C2</f>
        <v>2.6.2.2.2 - 2.COSTO DE CONSTRUCCION POR CONTRATA</v>
      </c>
      <c r="D220" s="163">
        <f>[3]H4!D2</f>
        <v>0</v>
      </c>
      <c r="E220" s="163">
        <f>[3]H4!E2</f>
        <v>0</v>
      </c>
      <c r="F220" s="163">
        <f>[3]H4!F2</f>
        <v>0</v>
      </c>
      <c r="G220" s="163">
        <f>[3]H4!G2</f>
        <v>0</v>
      </c>
      <c r="H220" s="163">
        <f>[3]H4!H2</f>
        <v>0</v>
      </c>
      <c r="I220" s="96"/>
    </row>
    <row r="221" spans="1:11" x14ac:dyDescent="0.2">
      <c r="A221" s="181"/>
      <c r="B221" s="179"/>
      <c r="C221" s="161" t="str">
        <f>[3]H4!C3</f>
        <v>2.6.8.1.3 - 1.ELABORACION DE EXPEDIENTES TECNICOS</v>
      </c>
      <c r="D221" s="163">
        <f>[3]H4!D3</f>
        <v>57442</v>
      </c>
      <c r="E221" s="163">
        <f>[3]H4!E3</f>
        <v>57136.9</v>
      </c>
      <c r="F221" s="163">
        <f>[3]H4!F3</f>
        <v>305.09999999999854</v>
      </c>
      <c r="G221" s="163">
        <f>[3]H4!G3</f>
        <v>54415.03</v>
      </c>
      <c r="H221" s="163">
        <f>[3]H4!H3</f>
        <v>3026.9700000000012</v>
      </c>
      <c r="I221" s="96"/>
    </row>
    <row r="222" spans="1:11" ht="38.25" x14ac:dyDescent="0.2">
      <c r="A222" s="180">
        <f>SUBTOTAL(103,$B$10:B223)</f>
        <v>122</v>
      </c>
      <c r="B222" s="178">
        <v>188</v>
      </c>
      <c r="C222" s="161" t="s">
        <v>787</v>
      </c>
      <c r="D222" s="162">
        <f>[1]AA!D168</f>
        <v>100000</v>
      </c>
      <c r="E222" s="162">
        <f>[1]AA!E168</f>
        <v>24506.97</v>
      </c>
      <c r="F222" s="162">
        <f>[1]AA!F168</f>
        <v>75493.03</v>
      </c>
      <c r="G222" s="162">
        <f>[1]AA!G168</f>
        <v>24506.97</v>
      </c>
      <c r="H222" s="162">
        <f>[1]AA!H168</f>
        <v>75493.03</v>
      </c>
      <c r="I222" s="96">
        <f>G222/D222</f>
        <v>0.2450697</v>
      </c>
    </row>
    <row r="223" spans="1:11" x14ac:dyDescent="0.2">
      <c r="A223" s="181"/>
      <c r="B223" s="179"/>
      <c r="C223" s="161" t="str">
        <f>[3]H4!C5</f>
        <v>2.6.8.1.3 - 1.ELABORACION DE EXPEDIENTES TECNICOS</v>
      </c>
      <c r="D223" s="163">
        <f>[3]H4!D5</f>
        <v>100000</v>
      </c>
      <c r="E223" s="163">
        <f>[3]H4!E5</f>
        <v>24506.97</v>
      </c>
      <c r="F223" s="163">
        <f>[3]H4!F5</f>
        <v>75493.03</v>
      </c>
      <c r="G223" s="163">
        <f>[3]H4!G5</f>
        <v>24506.97</v>
      </c>
      <c r="H223" s="163">
        <f>[3]H4!H5</f>
        <v>75493.03</v>
      </c>
      <c r="I223" s="96"/>
    </row>
    <row r="224" spans="1:11" ht="38.25" x14ac:dyDescent="0.2">
      <c r="A224" s="180">
        <f>SUBTOTAL(103,$B$10:B226)</f>
        <v>123</v>
      </c>
      <c r="B224" s="178">
        <v>191</v>
      </c>
      <c r="C224" s="161" t="s">
        <v>744</v>
      </c>
      <c r="D224" s="162">
        <f>[1]AA!D171</f>
        <v>40486</v>
      </c>
      <c r="E224" s="162">
        <f>[1]AA!E171</f>
        <v>27985</v>
      </c>
      <c r="F224" s="162">
        <f>[1]AA!F171</f>
        <v>12501</v>
      </c>
      <c r="G224" s="162">
        <f>[1]AA!G171</f>
        <v>15934.18</v>
      </c>
      <c r="H224" s="162">
        <f>[1]AA!H171</f>
        <v>24551.82</v>
      </c>
      <c r="I224" s="96">
        <f>G224/D224</f>
        <v>0.39357259299510944</v>
      </c>
    </row>
    <row r="225" spans="1:9" x14ac:dyDescent="0.2">
      <c r="A225" s="188"/>
      <c r="B225" s="187"/>
      <c r="C225" s="161" t="str">
        <f>[3]H4!C9</f>
        <v>2.6.2.2.2 - 2.COSTO DE CONSTRUCCION POR CONTRATA</v>
      </c>
      <c r="D225" s="163">
        <f>[3]H4!D9</f>
        <v>0</v>
      </c>
      <c r="E225" s="163">
        <f>[3]H4!E9</f>
        <v>0</v>
      </c>
      <c r="F225" s="163">
        <f>[3]H4!F9</f>
        <v>0</v>
      </c>
      <c r="G225" s="163">
        <f>[3]H4!G9</f>
        <v>0</v>
      </c>
      <c r="H225" s="163">
        <f>[3]H4!H9</f>
        <v>0</v>
      </c>
      <c r="I225" s="96"/>
    </row>
    <row r="226" spans="1:9" x14ac:dyDescent="0.2">
      <c r="A226" s="181"/>
      <c r="B226" s="179"/>
      <c r="C226" s="161" t="str">
        <f>[3]H4!C10</f>
        <v>2.6.8.1.3 - 1.ELABORACION DE EXPEDIENTES TECNICOS</v>
      </c>
      <c r="D226" s="163">
        <f>[3]H4!D10</f>
        <v>40486</v>
      </c>
      <c r="E226" s="163">
        <f>[3]H4!E10</f>
        <v>27985</v>
      </c>
      <c r="F226" s="163">
        <f>[3]H4!F10</f>
        <v>12501</v>
      </c>
      <c r="G226" s="163">
        <f>[3]H4!G10</f>
        <v>15934.18</v>
      </c>
      <c r="H226" s="163">
        <f>[3]H4!H10</f>
        <v>24551.82</v>
      </c>
      <c r="I226" s="96"/>
    </row>
    <row r="227" spans="1:9" ht="51" x14ac:dyDescent="0.2">
      <c r="A227" s="180">
        <f>SUBTOTAL(103,$B$10:B228)</f>
        <v>124</v>
      </c>
      <c r="B227" s="178">
        <v>316</v>
      </c>
      <c r="C227" s="161" t="s">
        <v>1026</v>
      </c>
      <c r="D227" s="162">
        <f>[1]AA!D265</f>
        <v>350000</v>
      </c>
      <c r="E227" s="162">
        <f>[1]AA!E265</f>
        <v>350000</v>
      </c>
      <c r="F227" s="162">
        <f>[1]AA!F265</f>
        <v>0</v>
      </c>
      <c r="G227" s="162">
        <f>[1]AA!G265</f>
        <v>101121.51999999999</v>
      </c>
      <c r="H227" s="162">
        <f>[1]AA!H265</f>
        <v>248878.48</v>
      </c>
      <c r="I227" s="96">
        <f>G227/D227</f>
        <v>0.28891862857142853</v>
      </c>
    </row>
    <row r="228" spans="1:9" x14ac:dyDescent="0.2">
      <c r="A228" s="181"/>
      <c r="B228" s="179"/>
      <c r="C228" s="161" t="str">
        <f>[3]H4!C29</f>
        <v>2.6.8.1.3 - 1.ELABORACION DE EXPEDIENTES TECNICOS</v>
      </c>
      <c r="D228" s="163">
        <f>[3]H4!D29</f>
        <v>350000</v>
      </c>
      <c r="E228" s="163">
        <f>[3]H4!E29</f>
        <v>350000</v>
      </c>
      <c r="F228" s="163">
        <f>[3]H4!F29</f>
        <v>0</v>
      </c>
      <c r="G228" s="163">
        <f>[3]H4!G29</f>
        <v>101121.51999999999</v>
      </c>
      <c r="H228" s="163">
        <f>[3]H4!H29</f>
        <v>248878.48</v>
      </c>
      <c r="I228" s="96"/>
    </row>
    <row r="229" spans="1:9" ht="38.25" x14ac:dyDescent="0.2">
      <c r="A229" s="180">
        <f>SUBTOTAL(103,$B$10:B230)</f>
        <v>125</v>
      </c>
      <c r="B229" s="178">
        <v>317</v>
      </c>
      <c r="C229" s="161" t="s">
        <v>1025</v>
      </c>
      <c r="D229" s="162">
        <f>[1]AA!D266</f>
        <v>81646</v>
      </c>
      <c r="E229" s="162">
        <f>[1]AA!E266</f>
        <v>0</v>
      </c>
      <c r="F229" s="162">
        <f>[1]AA!F266</f>
        <v>81646</v>
      </c>
      <c r="G229" s="162">
        <f>[1]AA!G266</f>
        <v>0</v>
      </c>
      <c r="H229" s="162">
        <f>[1]AA!H266</f>
        <v>81646</v>
      </c>
      <c r="I229" s="96">
        <f>G229/D229</f>
        <v>0</v>
      </c>
    </row>
    <row r="230" spans="1:9" x14ac:dyDescent="0.2">
      <c r="A230" s="181"/>
      <c r="B230" s="179"/>
      <c r="C230" s="161" t="str">
        <f>[3]H4!C33</f>
        <v>2.6.8.1.3 - 1.ELABORACION DE EXPEDIENTES TECNICOS</v>
      </c>
      <c r="D230" s="163">
        <f>[3]H4!D33</f>
        <v>81646</v>
      </c>
      <c r="E230" s="163">
        <f>[3]H4!E33</f>
        <v>0</v>
      </c>
      <c r="F230" s="163">
        <f>[3]H4!F33</f>
        <v>81646</v>
      </c>
      <c r="G230" s="163">
        <f>[3]H4!G33</f>
        <v>0</v>
      </c>
      <c r="H230" s="163">
        <f>[3]H4!H33</f>
        <v>81646</v>
      </c>
      <c r="I230" s="96"/>
    </row>
    <row r="231" spans="1:9" ht="51" x14ac:dyDescent="0.2">
      <c r="A231" s="180">
        <f>SUBTOTAL(103,$B$10:B232)</f>
        <v>126</v>
      </c>
      <c r="B231" s="178">
        <v>318</v>
      </c>
      <c r="C231" s="161" t="s">
        <v>1024</v>
      </c>
      <c r="D231" s="162">
        <f>[1]AA!D267</f>
        <v>292573</v>
      </c>
      <c r="E231" s="162">
        <f>[1]AA!E267</f>
        <v>0</v>
      </c>
      <c r="F231" s="162">
        <f>[1]AA!F267</f>
        <v>292573</v>
      </c>
      <c r="G231" s="162">
        <f>[1]AA!G267</f>
        <v>0</v>
      </c>
      <c r="H231" s="162">
        <f>[1]AA!H267</f>
        <v>292573</v>
      </c>
      <c r="I231" s="96">
        <f>G231/D231</f>
        <v>0</v>
      </c>
    </row>
    <row r="232" spans="1:9" x14ac:dyDescent="0.2">
      <c r="A232" s="181"/>
      <c r="B232" s="179"/>
      <c r="C232" s="161" t="str">
        <f>[3]H4!C37</f>
        <v>2.6.8.1.3 - 1.ELABORACION DE EXPEDIENTES TECNICOS</v>
      </c>
      <c r="D232" s="163">
        <f>[3]H4!D37</f>
        <v>292573</v>
      </c>
      <c r="E232" s="163">
        <f>[3]H4!E37</f>
        <v>0</v>
      </c>
      <c r="F232" s="163">
        <f>[3]H4!F37</f>
        <v>292573</v>
      </c>
      <c r="G232" s="163">
        <f>[3]H4!G37</f>
        <v>0</v>
      </c>
      <c r="H232" s="163">
        <f>[3]H4!H37</f>
        <v>292573</v>
      </c>
      <c r="I232" s="96"/>
    </row>
    <row r="233" spans="1:9" ht="38.25" x14ac:dyDescent="0.2">
      <c r="A233" s="180">
        <f>SUBTOTAL(103,$B$10:B234)</f>
        <v>127</v>
      </c>
      <c r="B233" s="178">
        <v>319</v>
      </c>
      <c r="C233" s="161" t="s">
        <v>967</v>
      </c>
      <c r="D233" s="162">
        <f>[1]AA!D268</f>
        <v>645412</v>
      </c>
      <c r="E233" s="162">
        <f>[1]AA!E268</f>
        <v>638599.5</v>
      </c>
      <c r="F233" s="162">
        <f>[1]AA!F268</f>
        <v>6812.5</v>
      </c>
      <c r="G233" s="162">
        <f>[1]AA!G268</f>
        <v>553137.36</v>
      </c>
      <c r="H233" s="162">
        <f>[1]AA!H268</f>
        <v>92274.640000000014</v>
      </c>
      <c r="I233" s="96">
        <f>G233/D233</f>
        <v>0.85702986619399701</v>
      </c>
    </row>
    <row r="234" spans="1:9" x14ac:dyDescent="0.2">
      <c r="A234" s="181"/>
      <c r="B234" s="179"/>
      <c r="C234" s="161" t="str">
        <f>[3]H4!C41</f>
        <v>2.6.8.1.3 - 1.ELABORACION DE EXPEDIENTES TECNICOS</v>
      </c>
      <c r="D234" s="163">
        <f>[3]H4!D41</f>
        <v>645412</v>
      </c>
      <c r="E234" s="163">
        <f>[3]H4!E41</f>
        <v>638599.5</v>
      </c>
      <c r="F234" s="163">
        <f>[3]H4!F41</f>
        <v>6812.5</v>
      </c>
      <c r="G234" s="163">
        <f>[3]H4!G41</f>
        <v>553137.36</v>
      </c>
      <c r="H234" s="163">
        <f>[3]H4!H41</f>
        <v>92274.640000000014</v>
      </c>
      <c r="I234" s="96"/>
    </row>
    <row r="235" spans="1:9" ht="63.75" x14ac:dyDescent="0.2">
      <c r="A235" s="180">
        <f>SUBTOTAL(103,$B$10:B236)</f>
        <v>128</v>
      </c>
      <c r="B235" s="178">
        <v>320</v>
      </c>
      <c r="C235" s="161" t="s">
        <v>1023</v>
      </c>
      <c r="D235" s="162">
        <f>[1]AA!D269</f>
        <v>45161</v>
      </c>
      <c r="E235" s="162">
        <f>[1]AA!E269</f>
        <v>45161</v>
      </c>
      <c r="F235" s="162">
        <f>[1]AA!F269</f>
        <v>0</v>
      </c>
      <c r="G235" s="162">
        <f>[1]AA!G269</f>
        <v>21082.560000000001</v>
      </c>
      <c r="H235" s="162">
        <f>[1]AA!H269</f>
        <v>24078.44</v>
      </c>
      <c r="I235" s="96">
        <f>G235/D235</f>
        <v>0.46683111534288435</v>
      </c>
    </row>
    <row r="236" spans="1:9" x14ac:dyDescent="0.2">
      <c r="A236" s="181"/>
      <c r="B236" s="179"/>
      <c r="C236" s="161" t="str">
        <f>[3]H4!C45</f>
        <v>2.6.8.1.3 - 1.ELABORACION DE EXPEDIENTES TECNICOS</v>
      </c>
      <c r="D236" s="163">
        <f>[3]H4!D45</f>
        <v>45161</v>
      </c>
      <c r="E236" s="163">
        <f>[3]H4!E45</f>
        <v>45161</v>
      </c>
      <c r="F236" s="163">
        <f>[3]H4!F45</f>
        <v>0</v>
      </c>
      <c r="G236" s="163">
        <f>[3]H4!G45</f>
        <v>21082.560000000001</v>
      </c>
      <c r="H236" s="163">
        <f>[3]H4!H45</f>
        <v>24078.44</v>
      </c>
      <c r="I236" s="96"/>
    </row>
    <row r="237" spans="1:9" ht="51" x14ac:dyDescent="0.2">
      <c r="A237" s="180">
        <f>SUBTOTAL(103,$B$10:B238)</f>
        <v>129</v>
      </c>
      <c r="B237" s="178">
        <v>323</v>
      </c>
      <c r="C237" s="161" t="s">
        <v>1022</v>
      </c>
      <c r="D237" s="162">
        <f>[1]AA!D271</f>
        <v>58627</v>
      </c>
      <c r="E237" s="162">
        <f>[1]AA!E271</f>
        <v>0</v>
      </c>
      <c r="F237" s="162">
        <f>[1]AA!F271</f>
        <v>58627</v>
      </c>
      <c r="G237" s="162">
        <f>[1]AA!G271</f>
        <v>0</v>
      </c>
      <c r="H237" s="162">
        <f>[1]AA!H271</f>
        <v>58627</v>
      </c>
      <c r="I237" s="96">
        <f>G237/D237</f>
        <v>0</v>
      </c>
    </row>
    <row r="238" spans="1:9" x14ac:dyDescent="0.2">
      <c r="A238" s="181"/>
      <c r="B238" s="179"/>
      <c r="C238" s="161" t="str">
        <f>[3]H4!C53</f>
        <v>2.6.8.1.3 - 1.ELABORACION DE EXPEDIENTES TECNICOS</v>
      </c>
      <c r="D238" s="163">
        <f>[3]H4!D53</f>
        <v>58627</v>
      </c>
      <c r="E238" s="163">
        <f>[3]H4!E53</f>
        <v>0</v>
      </c>
      <c r="F238" s="163">
        <f>[3]H4!F53</f>
        <v>58627</v>
      </c>
      <c r="G238" s="163">
        <f>[3]H4!G53</f>
        <v>0</v>
      </c>
      <c r="H238" s="163">
        <f>[3]H4!H53</f>
        <v>58627</v>
      </c>
      <c r="I238" s="96"/>
    </row>
    <row r="239" spans="1:9" ht="38.25" x14ac:dyDescent="0.2">
      <c r="A239" s="180">
        <f>SUBTOTAL(103,$B$10:B240)</f>
        <v>130</v>
      </c>
      <c r="B239" s="178">
        <v>330</v>
      </c>
      <c r="C239" s="161" t="s">
        <v>172</v>
      </c>
      <c r="D239" s="162">
        <f>[1]AA!D278</f>
        <v>57428</v>
      </c>
      <c r="E239" s="162">
        <f>[1]AA!E278</f>
        <v>0</v>
      </c>
      <c r="F239" s="162">
        <f>[1]AA!F278</f>
        <v>57428</v>
      </c>
      <c r="G239" s="162">
        <f>[1]AA!G278</f>
        <v>0</v>
      </c>
      <c r="H239" s="162">
        <f>[1]AA!H278</f>
        <v>57428</v>
      </c>
      <c r="I239" s="96">
        <f>G239/D239</f>
        <v>0</v>
      </c>
    </row>
    <row r="240" spans="1:9" x14ac:dyDescent="0.2">
      <c r="A240" s="181"/>
      <c r="B240" s="179"/>
      <c r="C240" s="161" t="str">
        <f>[3]H4!C81</f>
        <v>2.6.8.1.3 - 1.ELABORACION DE EXPEDIENTES TECNICOS</v>
      </c>
      <c r="D240" s="163">
        <f>[3]H4!D81</f>
        <v>57428</v>
      </c>
      <c r="E240" s="163">
        <f>[3]H4!E81</f>
        <v>0</v>
      </c>
      <c r="F240" s="163">
        <f>[3]H4!F81</f>
        <v>57428</v>
      </c>
      <c r="G240" s="163">
        <f>[3]H4!G81</f>
        <v>0</v>
      </c>
      <c r="H240" s="163">
        <f>[3]H4!H81</f>
        <v>57428</v>
      </c>
      <c r="I240" s="96"/>
    </row>
    <row r="241" spans="1:9" ht="51" x14ac:dyDescent="0.2">
      <c r="A241" s="180">
        <f>SUBTOTAL(103,$B$10:B242)</f>
        <v>131</v>
      </c>
      <c r="B241" s="178">
        <v>331</v>
      </c>
      <c r="C241" s="161" t="s">
        <v>1032</v>
      </c>
      <c r="D241" s="162">
        <f>[1]AA!D279</f>
        <v>175496</v>
      </c>
      <c r="E241" s="162">
        <f>[1]AA!E279</f>
        <v>175392</v>
      </c>
      <c r="F241" s="162">
        <f>[1]AA!F279</f>
        <v>104</v>
      </c>
      <c r="G241" s="162">
        <f>[1]AA!G279</f>
        <v>171767.41</v>
      </c>
      <c r="H241" s="162">
        <f>[1]AA!H279</f>
        <v>3728.5899999999965</v>
      </c>
      <c r="I241" s="96">
        <f>G241/D241</f>
        <v>0.97875398869489905</v>
      </c>
    </row>
    <row r="242" spans="1:9" x14ac:dyDescent="0.2">
      <c r="A242" s="181"/>
      <c r="B242" s="179"/>
      <c r="C242" s="161" t="str">
        <f>[3]H4!C85</f>
        <v>2.6.8.1.3 - 1.ELABORACION DE EXPEDIENTES TECNICOS</v>
      </c>
      <c r="D242" s="163">
        <f>[3]H4!D85</f>
        <v>175496</v>
      </c>
      <c r="E242" s="163">
        <f>[3]H4!E85</f>
        <v>175392</v>
      </c>
      <c r="F242" s="163">
        <f>[3]H4!F85</f>
        <v>104</v>
      </c>
      <c r="G242" s="163">
        <f>[3]H4!G85</f>
        <v>171767.41</v>
      </c>
      <c r="H242" s="163">
        <f>[3]H4!H85</f>
        <v>3728.5899999999965</v>
      </c>
      <c r="I242" s="96"/>
    </row>
    <row r="243" spans="1:9" ht="38.25" x14ac:dyDescent="0.2">
      <c r="A243" s="180">
        <f>SUBTOTAL(103,$B$10:B244)</f>
        <v>132</v>
      </c>
      <c r="B243" s="178">
        <v>332</v>
      </c>
      <c r="C243" s="161" t="s">
        <v>1033</v>
      </c>
      <c r="D243" s="162">
        <f>[1]AA!D280</f>
        <v>129991</v>
      </c>
      <c r="E243" s="162">
        <f>[1]AA!E280</f>
        <v>129991</v>
      </c>
      <c r="F243" s="162">
        <f>[1]AA!F280</f>
        <v>0</v>
      </c>
      <c r="G243" s="162">
        <f>[1]AA!G280</f>
        <v>129329.12</v>
      </c>
      <c r="H243" s="162">
        <f>[1]AA!H280</f>
        <v>661.88000000000466</v>
      </c>
      <c r="I243" s="96">
        <f>G243/D243</f>
        <v>0.99490826287973777</v>
      </c>
    </row>
    <row r="244" spans="1:9" x14ac:dyDescent="0.2">
      <c r="A244" s="181"/>
      <c r="B244" s="179"/>
      <c r="C244" s="161" t="str">
        <f>[3]H4!C89</f>
        <v>2.6.8.1.3 - 1.ELABORACION DE EXPEDIENTES TECNICOS</v>
      </c>
      <c r="D244" s="163">
        <f>[3]H4!D89</f>
        <v>129991</v>
      </c>
      <c r="E244" s="163">
        <f>[3]H4!E89</f>
        <v>129991</v>
      </c>
      <c r="F244" s="163">
        <f>[3]H4!F89</f>
        <v>0</v>
      </c>
      <c r="G244" s="163">
        <f>[3]H4!G89</f>
        <v>129329.12</v>
      </c>
      <c r="H244" s="163">
        <f>[3]H4!H89</f>
        <v>661.88000000000466</v>
      </c>
      <c r="I244" s="96"/>
    </row>
    <row r="245" spans="1:9" ht="38.25" x14ac:dyDescent="0.2">
      <c r="A245" s="180">
        <f>SUBTOTAL(103,$B$10:B246)</f>
        <v>133</v>
      </c>
      <c r="B245" s="178">
        <v>334</v>
      </c>
      <c r="C245" s="161" t="s">
        <v>1035</v>
      </c>
      <c r="D245" s="162">
        <f>[1]AA!D282</f>
        <v>24413</v>
      </c>
      <c r="E245" s="162">
        <f>[1]AA!E282</f>
        <v>23994.5</v>
      </c>
      <c r="F245" s="162">
        <f>[1]AA!F282</f>
        <v>418.5</v>
      </c>
      <c r="G245" s="162">
        <f>[1]AA!G282</f>
        <v>19205.73</v>
      </c>
      <c r="H245" s="162">
        <f>[1]AA!H282</f>
        <v>5207.2700000000004</v>
      </c>
      <c r="I245" s="96">
        <f>G245/D245</f>
        <v>0.78670093802482277</v>
      </c>
    </row>
    <row r="246" spans="1:9" x14ac:dyDescent="0.2">
      <c r="A246" s="181"/>
      <c r="B246" s="179"/>
      <c r="C246" s="161" t="str">
        <f>[3]H4!C93</f>
        <v>2.6.8.1.3 - 1.ELABORACION DE EXPEDIENTES TECNICOS</v>
      </c>
      <c r="D246" s="163">
        <f>[3]H4!D93</f>
        <v>24413</v>
      </c>
      <c r="E246" s="163">
        <f>[3]H4!E93</f>
        <v>23994.5</v>
      </c>
      <c r="F246" s="163">
        <f>[3]H4!F93</f>
        <v>418.5</v>
      </c>
      <c r="G246" s="163">
        <f>[3]H4!G93</f>
        <v>19205.73</v>
      </c>
      <c r="H246" s="163">
        <f>[3]H4!H93</f>
        <v>5207.2700000000004</v>
      </c>
      <c r="I246" s="96"/>
    </row>
    <row r="247" spans="1:9" ht="51" x14ac:dyDescent="0.2">
      <c r="A247" s="180">
        <f>SUBTOTAL(103,$B$10:B248)</f>
        <v>134</v>
      </c>
      <c r="B247" s="178">
        <v>335</v>
      </c>
      <c r="C247" s="161" t="s">
        <v>1036</v>
      </c>
      <c r="D247" s="162">
        <f>[1]AA!D283</f>
        <v>28407</v>
      </c>
      <c r="E247" s="162">
        <f>[1]AA!E283</f>
        <v>0</v>
      </c>
      <c r="F247" s="162">
        <f>[1]AA!F283</f>
        <v>28407</v>
      </c>
      <c r="G247" s="162">
        <f>[1]AA!G283</f>
        <v>0</v>
      </c>
      <c r="H247" s="162">
        <f>[1]AA!H283</f>
        <v>28407</v>
      </c>
      <c r="I247" s="96">
        <f>G247/D247</f>
        <v>0</v>
      </c>
    </row>
    <row r="248" spans="1:9" x14ac:dyDescent="0.2">
      <c r="A248" s="181"/>
      <c r="B248" s="179"/>
      <c r="C248" s="161" t="str">
        <f>[3]H4!C97</f>
        <v>2.6.8.1.3 - 1.ELABORACION DE EXPEDIENTES TECNICOS</v>
      </c>
      <c r="D248" s="163">
        <f>[3]H4!D97</f>
        <v>28407</v>
      </c>
      <c r="E248" s="163">
        <f>[3]H4!E97</f>
        <v>0</v>
      </c>
      <c r="F248" s="163">
        <f>[3]H4!F97</f>
        <v>28407</v>
      </c>
      <c r="G248" s="163">
        <f>[3]H4!G97</f>
        <v>0</v>
      </c>
      <c r="H248" s="163">
        <f>[3]H4!H97</f>
        <v>28407</v>
      </c>
      <c r="I248" s="96"/>
    </row>
    <row r="249" spans="1:9" ht="38.25" x14ac:dyDescent="0.2">
      <c r="A249" s="180">
        <f>SUBTOTAL(103,$B$10:B250)</f>
        <v>135</v>
      </c>
      <c r="B249" s="178">
        <v>459</v>
      </c>
      <c r="C249" s="161" t="s">
        <v>1039</v>
      </c>
      <c r="D249" s="162">
        <f>[1]AA!D383</f>
        <v>521845</v>
      </c>
      <c r="E249" s="162">
        <f>[1]AA!E383</f>
        <v>521845</v>
      </c>
      <c r="F249" s="162">
        <f>[1]AA!F383</f>
        <v>0</v>
      </c>
      <c r="G249" s="162">
        <f>[1]AA!G383</f>
        <v>282163.19</v>
      </c>
      <c r="H249" s="162">
        <f>[1]AA!H383</f>
        <v>239681.81</v>
      </c>
      <c r="I249" s="96">
        <f>G249/D249</f>
        <v>0.54070306317009842</v>
      </c>
    </row>
    <row r="250" spans="1:9" x14ac:dyDescent="0.2">
      <c r="A250" s="181"/>
      <c r="B250" s="179"/>
      <c r="C250" s="161" t="str">
        <f>[3]H4!C113</f>
        <v>2.6.8.1.3 - 1.ELABORACION DE EXPEDIENTES TECNICOS</v>
      </c>
      <c r="D250" s="163">
        <f>[3]H4!D113</f>
        <v>521845</v>
      </c>
      <c r="E250" s="163">
        <f>[3]H4!E113</f>
        <v>521845</v>
      </c>
      <c r="F250" s="163">
        <f>[3]H4!F113</f>
        <v>0</v>
      </c>
      <c r="G250" s="163">
        <f>[3]H4!G113</f>
        <v>282163.19</v>
      </c>
      <c r="H250" s="163">
        <f>[3]H4!H113</f>
        <v>239681.81</v>
      </c>
      <c r="I250" s="96"/>
    </row>
    <row r="251" spans="1:9" ht="38.25" x14ac:dyDescent="0.2">
      <c r="A251" s="180">
        <f>SUBTOTAL(103,$B$10:B252)</f>
        <v>136</v>
      </c>
      <c r="B251" s="178">
        <v>492</v>
      </c>
      <c r="C251" s="161" t="s">
        <v>2417</v>
      </c>
      <c r="D251" s="162">
        <f>[1]AA!D408</f>
        <v>634869</v>
      </c>
      <c r="E251" s="162">
        <f>[1]AA!E408</f>
        <v>634869</v>
      </c>
      <c r="F251" s="162">
        <f>[1]AA!F408</f>
        <v>0</v>
      </c>
      <c r="G251" s="162">
        <f>[1]AA!G408</f>
        <v>527095.36</v>
      </c>
      <c r="H251" s="162">
        <f>[1]AA!H408</f>
        <v>107773.64000000001</v>
      </c>
      <c r="I251" s="96">
        <f>G251/D251</f>
        <v>0.83024271148851181</v>
      </c>
    </row>
    <row r="252" spans="1:9" x14ac:dyDescent="0.2">
      <c r="A252" s="181"/>
      <c r="B252" s="179"/>
      <c r="C252" s="161" t="str">
        <f>[3]H4!C121</f>
        <v>2.6.8.1.3 - 1.ELABORACION DE EXPEDIENTES TECNICOS</v>
      </c>
      <c r="D252" s="163">
        <f>[3]H4!D121</f>
        <v>634869</v>
      </c>
      <c r="E252" s="163">
        <f>[3]H4!E121</f>
        <v>634869</v>
      </c>
      <c r="F252" s="163">
        <f>[3]H4!F121</f>
        <v>0</v>
      </c>
      <c r="G252" s="163">
        <f>[3]H4!G121</f>
        <v>527095.36</v>
      </c>
      <c r="H252" s="163">
        <f>[3]H4!H121</f>
        <v>107773.64000000001</v>
      </c>
      <c r="I252" s="96"/>
    </row>
    <row r="253" spans="1:9" ht="38.25" x14ac:dyDescent="0.2">
      <c r="A253" s="180">
        <f>SUBTOTAL(103,$B$10:B254)</f>
        <v>137</v>
      </c>
      <c r="B253" s="178">
        <v>495</v>
      </c>
      <c r="C253" s="161" t="s">
        <v>2433</v>
      </c>
      <c r="D253" s="162">
        <f>[1]AA!D411</f>
        <v>199545</v>
      </c>
      <c r="E253" s="162">
        <f>[1]AA!E411</f>
        <v>199545</v>
      </c>
      <c r="F253" s="162">
        <f>[1]AA!F411</f>
        <v>0</v>
      </c>
      <c r="G253" s="162">
        <f>[1]AA!G411</f>
        <v>127534.07</v>
      </c>
      <c r="H253" s="162">
        <f>[1]AA!H411</f>
        <v>72010.929999999993</v>
      </c>
      <c r="I253" s="96">
        <f>G253/D253</f>
        <v>0.63912435791425493</v>
      </c>
    </row>
    <row r="254" spans="1:9" x14ac:dyDescent="0.2">
      <c r="A254" s="181"/>
      <c r="B254" s="179"/>
      <c r="C254" s="161" t="str">
        <f>[3]H4!C589</f>
        <v>2.6.8.1.3 - 1.ELABORACION DE EXPEDIENTES TECNICOS</v>
      </c>
      <c r="D254" s="163">
        <f>[3]H4!D589</f>
        <v>199545</v>
      </c>
      <c r="E254" s="163">
        <f>[3]H4!E589</f>
        <v>199545</v>
      </c>
      <c r="F254" s="163">
        <f>[3]H4!F589</f>
        <v>0</v>
      </c>
      <c r="G254" s="163">
        <f>[3]H4!G589</f>
        <v>127534.07</v>
      </c>
      <c r="H254" s="163">
        <f>[3]H4!H589</f>
        <v>72010.929999999993</v>
      </c>
      <c r="I254" s="96"/>
    </row>
    <row r="255" spans="1:9" ht="38.25" x14ac:dyDescent="0.2">
      <c r="A255" s="180">
        <f>SUBTOTAL(103,$B$10:B256)</f>
        <v>138</v>
      </c>
      <c r="B255" s="178">
        <v>496</v>
      </c>
      <c r="C255" s="161" t="s">
        <v>2434</v>
      </c>
      <c r="D255" s="162">
        <f>[1]AA!D412</f>
        <v>192812</v>
      </c>
      <c r="E255" s="162">
        <f>[1]AA!E412</f>
        <v>180485</v>
      </c>
      <c r="F255" s="162">
        <f>[1]AA!F412</f>
        <v>12327</v>
      </c>
      <c r="G255" s="162">
        <f>[1]AA!G412</f>
        <v>82982.33</v>
      </c>
      <c r="H255" s="162">
        <f>[1]AA!H412</f>
        <v>109829.67</v>
      </c>
      <c r="I255" s="96">
        <f>G255/D255</f>
        <v>0.43037948882849614</v>
      </c>
    </row>
    <row r="256" spans="1:9" x14ac:dyDescent="0.2">
      <c r="A256" s="181"/>
      <c r="B256" s="179"/>
      <c r="C256" s="161" t="str">
        <f>[3]H4!C593</f>
        <v>2.6.8.1.3 - 1.ELABORACION DE EXPEDIENTES TECNICOS</v>
      </c>
      <c r="D256" s="163">
        <f>[3]H4!D593</f>
        <v>192812</v>
      </c>
      <c r="E256" s="163">
        <f>[3]H4!E593</f>
        <v>180485</v>
      </c>
      <c r="F256" s="163">
        <f>[3]H4!F593</f>
        <v>12327</v>
      </c>
      <c r="G256" s="163">
        <f>[3]H4!G593</f>
        <v>82982.33</v>
      </c>
      <c r="H256" s="163">
        <f>[3]H4!H593</f>
        <v>109829.67</v>
      </c>
      <c r="I256" s="96"/>
    </row>
    <row r="257" spans="1:11" ht="38.25" x14ac:dyDescent="0.2">
      <c r="A257" s="180">
        <f>SUBTOTAL(103,$B$10:B258)</f>
        <v>139</v>
      </c>
      <c r="B257" s="178">
        <v>501</v>
      </c>
      <c r="C257" s="161" t="s">
        <v>2439</v>
      </c>
      <c r="D257" s="162">
        <f>[1]AA!D416</f>
        <v>287709</v>
      </c>
      <c r="E257" s="162">
        <f>[1]AA!E416</f>
        <v>60651.5</v>
      </c>
      <c r="F257" s="162">
        <f>[1]AA!F416</f>
        <v>227057.5</v>
      </c>
      <c r="G257" s="162">
        <f>[1]AA!G416</f>
        <v>0</v>
      </c>
      <c r="H257" s="162">
        <f>[1]AA!H416</f>
        <v>287709</v>
      </c>
      <c r="I257" s="96">
        <f>G257/D257</f>
        <v>0</v>
      </c>
    </row>
    <row r="258" spans="1:11" x14ac:dyDescent="0.2">
      <c r="A258" s="181"/>
      <c r="B258" s="179"/>
      <c r="C258" s="161" t="str">
        <f>[3]H4!C597</f>
        <v>2.6.8.1.3 - 1.ELABORACION DE EXPEDIENTES TECNICOS</v>
      </c>
      <c r="D258" s="163">
        <f>[3]H4!D597</f>
        <v>287709</v>
      </c>
      <c r="E258" s="163">
        <f>[3]H4!E597</f>
        <v>60651.5</v>
      </c>
      <c r="F258" s="163">
        <f>[3]H4!F597</f>
        <v>227057.5</v>
      </c>
      <c r="G258" s="163">
        <f>[3]H4!G597</f>
        <v>0</v>
      </c>
      <c r="H258" s="163">
        <f>[3]H4!H597</f>
        <v>287709</v>
      </c>
      <c r="I258" s="96"/>
    </row>
    <row r="259" spans="1:11" ht="38.25" x14ac:dyDescent="0.2">
      <c r="A259" s="180">
        <f>SUBTOTAL(103,$B$10:B260)</f>
        <v>140</v>
      </c>
      <c r="B259" s="178">
        <v>502</v>
      </c>
      <c r="C259" s="161" t="s">
        <v>2440</v>
      </c>
      <c r="D259" s="162">
        <f>[1]AA!D417</f>
        <v>140000</v>
      </c>
      <c r="E259" s="162">
        <f>[1]AA!E417</f>
        <v>140000</v>
      </c>
      <c r="F259" s="162">
        <f>[1]AA!F417</f>
        <v>0</v>
      </c>
      <c r="G259" s="162">
        <f>[1]AA!G417</f>
        <v>131428.18</v>
      </c>
      <c r="H259" s="162">
        <f>[1]AA!H417</f>
        <v>8571.820000000007</v>
      </c>
      <c r="I259" s="96">
        <f>G259/D259</f>
        <v>0.93877271428571418</v>
      </c>
    </row>
    <row r="260" spans="1:11" x14ac:dyDescent="0.2">
      <c r="A260" s="181"/>
      <c r="B260" s="179"/>
      <c r="C260" s="161" t="str">
        <f>[3]H4!C601</f>
        <v>2.6.8.1.3 - 1.ELABORACION DE EXPEDIENTES TECNICOS</v>
      </c>
      <c r="D260" s="163">
        <f>[3]H4!D601</f>
        <v>140000</v>
      </c>
      <c r="E260" s="163">
        <f>[3]H4!E601</f>
        <v>140000</v>
      </c>
      <c r="F260" s="163">
        <f>[3]H4!F601</f>
        <v>0</v>
      </c>
      <c r="G260" s="163">
        <f>[3]H4!G601</f>
        <v>131428.18</v>
      </c>
      <c r="H260" s="163">
        <f>[3]H4!H601</f>
        <v>8571.820000000007</v>
      </c>
      <c r="I260" s="96"/>
    </row>
    <row r="261" spans="1:11" ht="51" x14ac:dyDescent="0.2">
      <c r="A261" s="180">
        <f>SUBTOTAL(103,$B$10:B262)</f>
        <v>141</v>
      </c>
      <c r="B261" s="178">
        <v>505</v>
      </c>
      <c r="C261" s="161" t="s">
        <v>2443</v>
      </c>
      <c r="D261" s="162">
        <f>[1]AA!D419</f>
        <v>87823</v>
      </c>
      <c r="E261" s="162">
        <f>[1]AA!E419</f>
        <v>0</v>
      </c>
      <c r="F261" s="162">
        <f>[1]AA!F419</f>
        <v>87823</v>
      </c>
      <c r="G261" s="162">
        <f>[1]AA!G419</f>
        <v>0</v>
      </c>
      <c r="H261" s="162">
        <f>[1]AA!H419</f>
        <v>87823</v>
      </c>
      <c r="I261" s="96">
        <f>G261/D261</f>
        <v>0</v>
      </c>
    </row>
    <row r="262" spans="1:11" x14ac:dyDescent="0.2">
      <c r="A262" s="181"/>
      <c r="B262" s="179"/>
      <c r="C262" s="161" t="str">
        <f>[3]H4!C613</f>
        <v>2.6.8.1.3 - 1.ELABORACION DE EXPEDIENTES TECNICOS</v>
      </c>
      <c r="D262" s="163">
        <f>[3]H4!D613</f>
        <v>87823</v>
      </c>
      <c r="E262" s="163">
        <f>[3]H4!E613</f>
        <v>0</v>
      </c>
      <c r="F262" s="163">
        <f>[3]H4!F613</f>
        <v>87823</v>
      </c>
      <c r="G262" s="163">
        <f>[3]H4!G613</f>
        <v>0</v>
      </c>
      <c r="H262" s="163">
        <f>[3]H4!H613</f>
        <v>87823</v>
      </c>
      <c r="I262" s="96"/>
    </row>
    <row r="263" spans="1:11" ht="38.25" x14ac:dyDescent="0.2">
      <c r="A263" s="180">
        <f>SUBTOTAL(103,$B$10:B264)</f>
        <v>142</v>
      </c>
      <c r="B263" s="178">
        <v>517</v>
      </c>
      <c r="C263" s="161" t="s">
        <v>2453</v>
      </c>
      <c r="D263" s="162">
        <f>[1]AA!D431</f>
        <v>200000</v>
      </c>
      <c r="E263" s="162">
        <f>[1]AA!E431</f>
        <v>0</v>
      </c>
      <c r="F263" s="162">
        <f>[1]AA!F431</f>
        <v>200000</v>
      </c>
      <c r="G263" s="162">
        <f>[1]AA!G431</f>
        <v>0</v>
      </c>
      <c r="H263" s="162">
        <f>[1]AA!H431</f>
        <v>200000</v>
      </c>
      <c r="I263" s="96">
        <f>G263/D263</f>
        <v>0</v>
      </c>
    </row>
    <row r="264" spans="1:11" x14ac:dyDescent="0.2">
      <c r="A264" s="181"/>
      <c r="B264" s="179"/>
      <c r="C264" s="161" t="str">
        <f>[3]H4!C633</f>
        <v>2.6.8.1.3 - 1.ELABORACION DE EXPEDIENTES TECNICOS</v>
      </c>
      <c r="D264" s="163">
        <f>[3]H4!D633</f>
        <v>200000</v>
      </c>
      <c r="E264" s="163">
        <f>[3]H4!E633</f>
        <v>0</v>
      </c>
      <c r="F264" s="163">
        <f>[3]H4!F633</f>
        <v>200000</v>
      </c>
      <c r="G264" s="163">
        <f>[3]H4!G633</f>
        <v>0</v>
      </c>
      <c r="H264" s="163">
        <f>[3]H4!H633</f>
        <v>200000</v>
      </c>
      <c r="I264" s="96"/>
    </row>
    <row r="265" spans="1:11" ht="51" x14ac:dyDescent="0.2">
      <c r="A265" s="180">
        <f>SUBTOTAL(103,$B$10:B266)</f>
        <v>143</v>
      </c>
      <c r="B265" s="178">
        <v>518</v>
      </c>
      <c r="C265" s="161" t="s">
        <v>2455</v>
      </c>
      <c r="D265" s="162">
        <f>[1]AA!D432</f>
        <v>200000</v>
      </c>
      <c r="E265" s="162">
        <f>[1]AA!E432</f>
        <v>0</v>
      </c>
      <c r="F265" s="162">
        <f>[1]AA!F432</f>
        <v>200000</v>
      </c>
      <c r="G265" s="162">
        <f>[1]AA!G432</f>
        <v>0</v>
      </c>
      <c r="H265" s="162">
        <f>[1]AA!H432</f>
        <v>200000</v>
      </c>
      <c r="I265" s="96">
        <f>G265/D265</f>
        <v>0</v>
      </c>
    </row>
    <row r="266" spans="1:11" x14ac:dyDescent="0.2">
      <c r="A266" s="181"/>
      <c r="B266" s="179"/>
      <c r="C266" s="161" t="str">
        <f>[3]H4!C637</f>
        <v>2.6.8.1.3 - 1.ELABORACION DE EXPEDIENTES TECNICOS</v>
      </c>
      <c r="D266" s="163">
        <f>[3]H4!D637</f>
        <v>200000</v>
      </c>
      <c r="E266" s="163">
        <f>[3]H4!E637</f>
        <v>0</v>
      </c>
      <c r="F266" s="163">
        <f>[3]H4!F637</f>
        <v>200000</v>
      </c>
      <c r="G266" s="163">
        <f>[3]H4!G637</f>
        <v>0</v>
      </c>
      <c r="H266" s="163">
        <f>[3]H4!H637</f>
        <v>200000</v>
      </c>
      <c r="I266" s="96"/>
    </row>
    <row r="267" spans="1:11" ht="63.75" x14ac:dyDescent="0.2">
      <c r="A267" s="180">
        <f>SUBTOTAL(103,$B$10:B268)</f>
        <v>144</v>
      </c>
      <c r="B267" s="178">
        <v>519</v>
      </c>
      <c r="C267" s="161" t="s">
        <v>2460</v>
      </c>
      <c r="D267" s="162">
        <f>[1]AA!D433</f>
        <v>171496</v>
      </c>
      <c r="E267" s="162">
        <f>[1]AA!E433</f>
        <v>0</v>
      </c>
      <c r="F267" s="162">
        <f>[1]AA!F433</f>
        <v>171496</v>
      </c>
      <c r="G267" s="162">
        <f>[1]AA!G433</f>
        <v>0</v>
      </c>
      <c r="H267" s="162">
        <f>[1]AA!H433</f>
        <v>171496</v>
      </c>
      <c r="I267" s="96">
        <f>G267/D267</f>
        <v>0</v>
      </c>
    </row>
    <row r="268" spans="1:11" x14ac:dyDescent="0.2">
      <c r="A268" s="181"/>
      <c r="B268" s="179"/>
      <c r="C268" s="161" t="str">
        <f>[3]H4!C641</f>
        <v>2.6.8.1.3 - 1.ELABORACION DE EXPEDIENTES TECNICOS</v>
      </c>
      <c r="D268" s="163">
        <f>[3]H4!D641</f>
        <v>171496</v>
      </c>
      <c r="E268" s="163">
        <f>[3]H4!E641</f>
        <v>0</v>
      </c>
      <c r="F268" s="163">
        <f>[3]H4!F641</f>
        <v>171496</v>
      </c>
      <c r="G268" s="163">
        <f>[3]H4!G641</f>
        <v>0</v>
      </c>
      <c r="H268" s="163">
        <f>[3]H4!H641</f>
        <v>171496</v>
      </c>
      <c r="I268" s="96"/>
    </row>
    <row r="269" spans="1:11" ht="63.75" x14ac:dyDescent="0.2">
      <c r="A269" s="180">
        <f>SUBTOTAL(103,$B$10:B270)</f>
        <v>145</v>
      </c>
      <c r="B269" s="178">
        <v>520</v>
      </c>
      <c r="C269" s="161" t="s">
        <v>2459</v>
      </c>
      <c r="D269" s="162">
        <f>[1]AA!D434</f>
        <v>273457</v>
      </c>
      <c r="E269" s="162">
        <f>[1]AA!E434</f>
        <v>0</v>
      </c>
      <c r="F269" s="162">
        <f>[1]AA!F434</f>
        <v>273457</v>
      </c>
      <c r="G269" s="162">
        <f>[1]AA!G434</f>
        <v>0</v>
      </c>
      <c r="H269" s="162">
        <f>[1]AA!H434</f>
        <v>273457</v>
      </c>
      <c r="I269" s="96">
        <f>G269/D269</f>
        <v>0</v>
      </c>
    </row>
    <row r="270" spans="1:11" x14ac:dyDescent="0.2">
      <c r="A270" s="181"/>
      <c r="B270" s="179"/>
      <c r="C270" s="161" t="str">
        <f>[3]H4!C645</f>
        <v>2.6.8.1.3 - 1.ELABORACION DE EXPEDIENTES TECNICOS</v>
      </c>
      <c r="D270" s="163">
        <f>[3]H4!D645</f>
        <v>273457</v>
      </c>
      <c r="E270" s="163">
        <f>[3]H4!E645</f>
        <v>0</v>
      </c>
      <c r="F270" s="163">
        <f>[3]H4!F645</f>
        <v>273457</v>
      </c>
      <c r="G270" s="163">
        <f>[3]H4!G645</f>
        <v>0</v>
      </c>
      <c r="H270" s="163">
        <f>[3]H4!H645</f>
        <v>273457</v>
      </c>
      <c r="I270" s="96"/>
    </row>
    <row r="271" spans="1:11" ht="16.5" x14ac:dyDescent="0.2">
      <c r="A271" s="182" t="s">
        <v>133</v>
      </c>
      <c r="B271" s="182"/>
      <c r="C271" s="182"/>
      <c r="D271" s="91">
        <f>+D272+D275+D277+D279+D281+D283+D285+D287+D289+D291+D293+D295+D297</f>
        <v>3777824</v>
      </c>
      <c r="E271" s="91">
        <f t="shared" ref="E271:H271" si="37">+E272+E275+E277+E279+E281+E283+E285+E287+E289+E291+E293+E295+E297</f>
        <v>3229979.91</v>
      </c>
      <c r="F271" s="91">
        <f t="shared" si="37"/>
        <v>547844.09000000008</v>
      </c>
      <c r="G271" s="91">
        <f t="shared" si="37"/>
        <v>1945001.0100000002</v>
      </c>
      <c r="H271" s="91">
        <f t="shared" si="37"/>
        <v>1832822.99</v>
      </c>
      <c r="I271" s="92">
        <f>G271/D271</f>
        <v>0.51484690922605192</v>
      </c>
      <c r="K271" s="35"/>
    </row>
    <row r="272" spans="1:11" ht="63.75" x14ac:dyDescent="0.2">
      <c r="A272" s="180">
        <f>SUBTOTAL(103,$B$10:B274)</f>
        <v>146</v>
      </c>
      <c r="B272" s="178">
        <v>304</v>
      </c>
      <c r="C272" s="161" t="s">
        <v>943</v>
      </c>
      <c r="D272" s="162">
        <f>[1]AA!D254</f>
        <v>350000</v>
      </c>
      <c r="E272" s="162">
        <f>[1]AA!E254</f>
        <v>349617</v>
      </c>
      <c r="F272" s="162">
        <f>[1]AA!F254</f>
        <v>383</v>
      </c>
      <c r="G272" s="162">
        <f>[1]AA!G254</f>
        <v>189727.76</v>
      </c>
      <c r="H272" s="162">
        <f>[1]AA!H254</f>
        <v>160272.24</v>
      </c>
      <c r="I272" s="96">
        <f>G272/D272</f>
        <v>0.54207931428571432</v>
      </c>
    </row>
    <row r="273" spans="1:9" ht="24.75" customHeight="1" x14ac:dyDescent="0.2">
      <c r="A273" s="188"/>
      <c r="B273" s="187"/>
      <c r="C273" s="161" t="str">
        <f>[3]H4!C13</f>
        <v>2.6.2.3.2 - 5.COSTO DE CONSTRUCCION POR ADMINISTRACION DIRECTA - BIENES</v>
      </c>
      <c r="D273" s="163">
        <f>[3]H4!D13</f>
        <v>0</v>
      </c>
      <c r="E273" s="163">
        <f>[3]H4!E13</f>
        <v>0</v>
      </c>
      <c r="F273" s="163">
        <f>[3]H4!F13</f>
        <v>0</v>
      </c>
      <c r="G273" s="163">
        <f>[3]H4!G13</f>
        <v>0</v>
      </c>
      <c r="H273" s="163">
        <f>[3]H4!H13</f>
        <v>0</v>
      </c>
      <c r="I273" s="96"/>
    </row>
    <row r="274" spans="1:9" ht="20.25" customHeight="1" x14ac:dyDescent="0.2">
      <c r="A274" s="181"/>
      <c r="B274" s="179"/>
      <c r="C274" s="161" t="str">
        <f>[3]H4!C14</f>
        <v>2.6.8.1.3 - 1.ELABORACION DE EXPEDIENTES TECNICOS</v>
      </c>
      <c r="D274" s="163">
        <f>[3]H4!D14</f>
        <v>350000</v>
      </c>
      <c r="E274" s="163">
        <f>[3]H4!E14</f>
        <v>349617</v>
      </c>
      <c r="F274" s="163">
        <f>[3]H4!F14</f>
        <v>383</v>
      </c>
      <c r="G274" s="163">
        <f>[3]H4!G14</f>
        <v>189727.76</v>
      </c>
      <c r="H274" s="163">
        <f>[3]H4!H14</f>
        <v>160272.24</v>
      </c>
      <c r="I274" s="96"/>
    </row>
    <row r="275" spans="1:9" ht="63.75" x14ac:dyDescent="0.2">
      <c r="A275" s="180">
        <f>SUBTOTAL(103,$B$10:B276)</f>
        <v>147</v>
      </c>
      <c r="B275" s="178">
        <v>308</v>
      </c>
      <c r="C275" s="161" t="s">
        <v>1020</v>
      </c>
      <c r="D275" s="162">
        <f>[1]AA!D258</f>
        <v>350000</v>
      </c>
      <c r="E275" s="162">
        <f>[1]AA!E258</f>
        <v>193545</v>
      </c>
      <c r="F275" s="162">
        <f>[1]AA!F258</f>
        <v>156455</v>
      </c>
      <c r="G275" s="162">
        <f>[1]AA!G258</f>
        <v>65074.959999999992</v>
      </c>
      <c r="H275" s="162">
        <f>[1]AA!H258</f>
        <v>284925.04000000004</v>
      </c>
      <c r="I275" s="96">
        <f>G275/D275</f>
        <v>0.18592845714285711</v>
      </c>
    </row>
    <row r="276" spans="1:9" x14ac:dyDescent="0.2">
      <c r="A276" s="181"/>
      <c r="B276" s="179"/>
      <c r="C276" s="161" t="str">
        <f>[3]H4!C17</f>
        <v>2.6.8.1.3 - 1.ELABORACION DE EXPEDIENTES TECNICOS</v>
      </c>
      <c r="D276" s="163">
        <f>[3]H4!D17</f>
        <v>350000</v>
      </c>
      <c r="E276" s="163">
        <f>[3]H4!E17</f>
        <v>193545</v>
      </c>
      <c r="F276" s="163">
        <f>[3]H4!F17</f>
        <v>156455</v>
      </c>
      <c r="G276" s="163">
        <f>[3]H4!G17</f>
        <v>65074.959999999992</v>
      </c>
      <c r="H276" s="163">
        <f>[3]H4!H17</f>
        <v>284925.04000000004</v>
      </c>
      <c r="I276" s="96"/>
    </row>
    <row r="277" spans="1:9" ht="63.75" x14ac:dyDescent="0.2">
      <c r="A277" s="180">
        <f>SUBTOTAL(103,$B$10:B278)</f>
        <v>148</v>
      </c>
      <c r="B277" s="178">
        <v>309</v>
      </c>
      <c r="C277" s="161" t="s">
        <v>1021</v>
      </c>
      <c r="D277" s="162">
        <f>[1]AA!D259</f>
        <v>400000</v>
      </c>
      <c r="E277" s="162">
        <f>[1]AA!E259</f>
        <v>353445</v>
      </c>
      <c r="F277" s="162">
        <f>[1]AA!F259</f>
        <v>46555</v>
      </c>
      <c r="G277" s="162">
        <f>[1]AA!G259</f>
        <v>206876.56</v>
      </c>
      <c r="H277" s="162">
        <f>[1]AA!H259</f>
        <v>193123.44</v>
      </c>
      <c r="I277" s="96">
        <f>G277/D277</f>
        <v>0.51719139999999997</v>
      </c>
    </row>
    <row r="278" spans="1:9" x14ac:dyDescent="0.2">
      <c r="A278" s="181"/>
      <c r="B278" s="179"/>
      <c r="C278" s="161" t="str">
        <f>[3]H4!C21</f>
        <v>2.6.8.1.3 - 1.ELABORACION DE EXPEDIENTES TECNICOS</v>
      </c>
      <c r="D278" s="163">
        <f>[3]H4!D21</f>
        <v>400000</v>
      </c>
      <c r="E278" s="163">
        <f>[3]H4!E21</f>
        <v>353445</v>
      </c>
      <c r="F278" s="163">
        <f>[3]H4!F21</f>
        <v>46555</v>
      </c>
      <c r="G278" s="163">
        <f>[3]H4!G21</f>
        <v>206876.56</v>
      </c>
      <c r="H278" s="163">
        <f>[3]H4!H21</f>
        <v>193123.44</v>
      </c>
      <c r="I278" s="96"/>
    </row>
    <row r="279" spans="1:9" ht="63.75" x14ac:dyDescent="0.2">
      <c r="A279" s="180">
        <f>SUBTOTAL(103,$B$10:B280)</f>
        <v>149</v>
      </c>
      <c r="B279" s="178">
        <v>310</v>
      </c>
      <c r="C279" s="161" t="s">
        <v>968</v>
      </c>
      <c r="D279" s="162">
        <f>[1]AA!D260</f>
        <v>386035</v>
      </c>
      <c r="E279" s="162">
        <f>[1]AA!E260</f>
        <v>365592.91</v>
      </c>
      <c r="F279" s="162">
        <f>[1]AA!F260</f>
        <v>20442.090000000026</v>
      </c>
      <c r="G279" s="162">
        <f>[1]AA!G260</f>
        <v>241402.90000000002</v>
      </c>
      <c r="H279" s="162">
        <f>[1]AA!H260</f>
        <v>144632.09999999998</v>
      </c>
      <c r="I279" s="96">
        <f>G279/D279</f>
        <v>0.6253394122294611</v>
      </c>
    </row>
    <row r="280" spans="1:9" x14ac:dyDescent="0.2">
      <c r="A280" s="181"/>
      <c r="B280" s="179"/>
      <c r="C280" s="161" t="str">
        <f>[3]H4!C25</f>
        <v>2.6.8.1.3 - 1.ELABORACION DE EXPEDIENTES TECNICOS</v>
      </c>
      <c r="D280" s="163">
        <f>[3]H4!D25</f>
        <v>386035</v>
      </c>
      <c r="E280" s="163">
        <f>[3]H4!E25</f>
        <v>365592.91</v>
      </c>
      <c r="F280" s="163">
        <f>[3]H4!F25</f>
        <v>20442.090000000026</v>
      </c>
      <c r="G280" s="163">
        <f>[3]H4!G25</f>
        <v>241402.90000000002</v>
      </c>
      <c r="H280" s="163">
        <f>[3]H4!H25</f>
        <v>144632.09999999998</v>
      </c>
      <c r="I280" s="96"/>
    </row>
    <row r="281" spans="1:9" ht="51" x14ac:dyDescent="0.2">
      <c r="A281" s="180">
        <f>SUBTOTAL(103,$B$10:B282)</f>
        <v>150</v>
      </c>
      <c r="B281" s="178">
        <v>325</v>
      </c>
      <c r="C281" s="161" t="s">
        <v>1027</v>
      </c>
      <c r="D281" s="162">
        <f>[1]AA!D273</f>
        <v>18371</v>
      </c>
      <c r="E281" s="162">
        <f>[1]AA!E273</f>
        <v>0</v>
      </c>
      <c r="F281" s="162">
        <f>[1]AA!F273</f>
        <v>18371</v>
      </c>
      <c r="G281" s="162">
        <f>[1]AA!G273</f>
        <v>0</v>
      </c>
      <c r="H281" s="162">
        <f>[1]AA!H273</f>
        <v>18371</v>
      </c>
      <c r="I281" s="96">
        <f>G281/D281</f>
        <v>0</v>
      </c>
    </row>
    <row r="282" spans="1:9" x14ac:dyDescent="0.2">
      <c r="A282" s="181"/>
      <c r="B282" s="179"/>
      <c r="C282" s="161" t="str">
        <f>[3]H4!C61</f>
        <v>2.6.8.1.3 - 1.ELABORACION DE EXPEDIENTES TECNICOS</v>
      </c>
      <c r="D282" s="163">
        <f>[3]H4!D61</f>
        <v>18371</v>
      </c>
      <c r="E282" s="163">
        <f>[3]H4!E61</f>
        <v>0</v>
      </c>
      <c r="F282" s="163">
        <f>[3]H4!F61</f>
        <v>18371</v>
      </c>
      <c r="G282" s="163">
        <f>[3]H4!G61</f>
        <v>0</v>
      </c>
      <c r="H282" s="163">
        <f>[3]H4!H61</f>
        <v>18371</v>
      </c>
      <c r="I282" s="96"/>
    </row>
    <row r="283" spans="1:9" ht="63.75" x14ac:dyDescent="0.2">
      <c r="A283" s="180">
        <f>SUBTOTAL(103,$B$10:B284)</f>
        <v>151</v>
      </c>
      <c r="B283" s="178">
        <v>326</v>
      </c>
      <c r="C283" s="161" t="s">
        <v>1028</v>
      </c>
      <c r="D283" s="162">
        <f>[1]AA!D274</f>
        <v>225183</v>
      </c>
      <c r="E283" s="162">
        <f>[1]AA!E274</f>
        <v>180000</v>
      </c>
      <c r="F283" s="162">
        <f>[1]AA!F274</f>
        <v>45183</v>
      </c>
      <c r="G283" s="162">
        <f>[1]AA!G274</f>
        <v>179898.4</v>
      </c>
      <c r="H283" s="162">
        <f>[1]AA!H274</f>
        <v>45284.600000000006</v>
      </c>
      <c r="I283" s="96">
        <f>G283/D283</f>
        <v>0.79889867352331212</v>
      </c>
    </row>
    <row r="284" spans="1:9" x14ac:dyDescent="0.2">
      <c r="A284" s="181"/>
      <c r="B284" s="179"/>
      <c r="C284" s="161" t="str">
        <f>[3]H4!C65</f>
        <v>2.6.8.1.3 - 1.ELABORACION DE EXPEDIENTES TECNICOS</v>
      </c>
      <c r="D284" s="163">
        <f>[3]H4!D65</f>
        <v>225183</v>
      </c>
      <c r="E284" s="163">
        <f>[3]H4!E65</f>
        <v>180000</v>
      </c>
      <c r="F284" s="163">
        <f>[3]H4!F65</f>
        <v>45183</v>
      </c>
      <c r="G284" s="163">
        <f>[3]H4!G65</f>
        <v>179898.4</v>
      </c>
      <c r="H284" s="163">
        <f>[3]H4!H65</f>
        <v>45284.600000000006</v>
      </c>
      <c r="I284" s="96"/>
    </row>
    <row r="285" spans="1:9" ht="63.75" x14ac:dyDescent="0.2">
      <c r="A285" s="180">
        <f>SUBTOTAL(103,$B$10:B286)</f>
        <v>152</v>
      </c>
      <c r="B285" s="178">
        <v>327</v>
      </c>
      <c r="C285" s="161" t="s">
        <v>1029</v>
      </c>
      <c r="D285" s="162">
        <f>[1]AA!D275</f>
        <v>630000</v>
      </c>
      <c r="E285" s="162">
        <f>[1]AA!E275</f>
        <v>626480</v>
      </c>
      <c r="F285" s="162">
        <f>[1]AA!F275</f>
        <v>3520</v>
      </c>
      <c r="G285" s="162">
        <f>[1]AA!G275</f>
        <v>463894.66000000003</v>
      </c>
      <c r="H285" s="162">
        <f>[1]AA!H275</f>
        <v>166105.33999999997</v>
      </c>
      <c r="I285" s="96">
        <f>G285/D285</f>
        <v>0.73634073015873025</v>
      </c>
    </row>
    <row r="286" spans="1:9" x14ac:dyDescent="0.2">
      <c r="A286" s="181"/>
      <c r="B286" s="179"/>
      <c r="C286" s="161" t="str">
        <f>[3]H4!C69</f>
        <v>2.6.8.1.3 - 1.ELABORACION DE EXPEDIENTES TECNICOS</v>
      </c>
      <c r="D286" s="163">
        <f>[3]H4!D69</f>
        <v>630000</v>
      </c>
      <c r="E286" s="163">
        <f>[3]H4!E69</f>
        <v>626480</v>
      </c>
      <c r="F286" s="163">
        <f>[3]H4!F69</f>
        <v>3520</v>
      </c>
      <c r="G286" s="163">
        <f>[3]H4!G69</f>
        <v>463894.66000000003</v>
      </c>
      <c r="H286" s="163">
        <f>[3]H4!H69</f>
        <v>166105.33999999997</v>
      </c>
      <c r="I286" s="96"/>
    </row>
    <row r="287" spans="1:9" ht="63.75" x14ac:dyDescent="0.2">
      <c r="A287" s="180">
        <f>SUBTOTAL(103,$B$10:B288)</f>
        <v>153</v>
      </c>
      <c r="B287" s="178">
        <v>328</v>
      </c>
      <c r="C287" s="161" t="s">
        <v>1030</v>
      </c>
      <c r="D287" s="162">
        <f>[1]AA!D276</f>
        <v>300000</v>
      </c>
      <c r="E287" s="162">
        <f>[1]AA!E276</f>
        <v>300000</v>
      </c>
      <c r="F287" s="162">
        <f>[1]AA!F276</f>
        <v>0</v>
      </c>
      <c r="G287" s="162">
        <f>[1]AA!G276</f>
        <v>118352.3</v>
      </c>
      <c r="H287" s="162">
        <f>[1]AA!H276</f>
        <v>181647.7</v>
      </c>
      <c r="I287" s="96">
        <f>G287/D287</f>
        <v>0.3945076666666667</v>
      </c>
    </row>
    <row r="288" spans="1:9" x14ac:dyDescent="0.2">
      <c r="A288" s="181"/>
      <c r="B288" s="179"/>
      <c r="C288" s="161" t="str">
        <f>[3]H4!C73</f>
        <v>2.6.8.1.3 - 1.ELABORACION DE EXPEDIENTES TECNICOS</v>
      </c>
      <c r="D288" s="163">
        <f>[3]H4!D73</f>
        <v>300000</v>
      </c>
      <c r="E288" s="163">
        <f>[3]H4!E73</f>
        <v>300000</v>
      </c>
      <c r="F288" s="163">
        <f>[3]H4!F73</f>
        <v>0</v>
      </c>
      <c r="G288" s="163">
        <f>[3]H4!G73</f>
        <v>118352.3</v>
      </c>
      <c r="H288" s="163">
        <f>[3]H4!H73</f>
        <v>181647.7</v>
      </c>
      <c r="I288" s="96"/>
    </row>
    <row r="289" spans="1:11" ht="63.75" x14ac:dyDescent="0.2">
      <c r="A289" s="180">
        <f>SUBTOTAL(103,$B$10:B290)</f>
        <v>154</v>
      </c>
      <c r="B289" s="178">
        <v>329</v>
      </c>
      <c r="C289" s="161" t="s">
        <v>1031</v>
      </c>
      <c r="D289" s="162">
        <f>[1]AA!D277</f>
        <v>206971</v>
      </c>
      <c r="E289" s="162">
        <f>[1]AA!E277</f>
        <v>206970.5</v>
      </c>
      <c r="F289" s="162">
        <f>[1]AA!F277</f>
        <v>0.5</v>
      </c>
      <c r="G289" s="162">
        <f>[1]AA!G277</f>
        <v>110370.29</v>
      </c>
      <c r="H289" s="162">
        <f>[1]AA!H277</f>
        <v>96600.71</v>
      </c>
      <c r="I289" s="96">
        <f>G289/D289</f>
        <v>0.53326451531857122</v>
      </c>
    </row>
    <row r="290" spans="1:11" x14ac:dyDescent="0.2">
      <c r="A290" s="181"/>
      <c r="B290" s="179"/>
      <c r="C290" s="161" t="str">
        <f>[3]H4!C77</f>
        <v>2.6.8.1.3 - 1.ELABORACION DE EXPEDIENTES TECNICOS</v>
      </c>
      <c r="D290" s="163">
        <f>[3]H4!D77</f>
        <v>206971</v>
      </c>
      <c r="E290" s="163">
        <f>[3]H4!E77</f>
        <v>206970.5</v>
      </c>
      <c r="F290" s="163">
        <f>[3]H4!F77</f>
        <v>0.5</v>
      </c>
      <c r="G290" s="163">
        <f>[3]H4!G77</f>
        <v>110370.29</v>
      </c>
      <c r="H290" s="163">
        <f>[3]H4!H77</f>
        <v>96600.71</v>
      </c>
      <c r="I290" s="96"/>
    </row>
    <row r="291" spans="1:11" ht="51" x14ac:dyDescent="0.2">
      <c r="A291" s="180">
        <f>SUBTOTAL(103,$B$10:B292)</f>
        <v>155</v>
      </c>
      <c r="B291" s="178">
        <v>342</v>
      </c>
      <c r="C291" s="161" t="s">
        <v>1038</v>
      </c>
      <c r="D291" s="162">
        <f>[1]AA!D286</f>
        <v>654463</v>
      </c>
      <c r="E291" s="162">
        <f>[1]AA!E286</f>
        <v>654329.5</v>
      </c>
      <c r="F291" s="162">
        <f>[1]AA!F286</f>
        <v>133.5</v>
      </c>
      <c r="G291" s="162">
        <f>[1]AA!G286</f>
        <v>369403.18</v>
      </c>
      <c r="H291" s="162">
        <f>[1]AA!H286</f>
        <v>285059.82</v>
      </c>
      <c r="I291" s="96">
        <f>G291/D291</f>
        <v>0.56443707283681432</v>
      </c>
    </row>
    <row r="292" spans="1:11" x14ac:dyDescent="0.2">
      <c r="A292" s="181"/>
      <c r="B292" s="179"/>
      <c r="C292" s="161" t="str">
        <f>[3]H4!C105</f>
        <v>2.6.8.1.3 - 1.ELABORACION DE EXPEDIENTES TECNICOS</v>
      </c>
      <c r="D292" s="163">
        <f>[3]H4!D105</f>
        <v>654463</v>
      </c>
      <c r="E292" s="163">
        <f>[3]H4!E105</f>
        <v>654329.5</v>
      </c>
      <c r="F292" s="163">
        <f>[3]H4!F105</f>
        <v>133.5</v>
      </c>
      <c r="G292" s="163">
        <f>[3]H4!G105</f>
        <v>369403.18</v>
      </c>
      <c r="H292" s="163">
        <f>[3]H4!H105</f>
        <v>285059.82</v>
      </c>
      <c r="I292" s="96"/>
    </row>
    <row r="293" spans="1:11" ht="25.5" x14ac:dyDescent="0.2">
      <c r="A293" s="180">
        <f>SUBTOTAL(103,$B$10:B294)</f>
        <v>156</v>
      </c>
      <c r="B293" s="178">
        <v>347</v>
      </c>
      <c r="C293" s="127" t="s">
        <v>136</v>
      </c>
      <c r="D293" s="95">
        <f>[1]AA!D291</f>
        <v>100000</v>
      </c>
      <c r="E293" s="95">
        <f>[1]AA!E291</f>
        <v>0</v>
      </c>
      <c r="F293" s="95">
        <f>[1]AA!F291</f>
        <v>100000</v>
      </c>
      <c r="G293" s="95">
        <f>[1]AA!G291</f>
        <v>0</v>
      </c>
      <c r="H293" s="95">
        <f>[1]AA!H291</f>
        <v>100000</v>
      </c>
      <c r="I293" s="96">
        <f>G293/D293</f>
        <v>0</v>
      </c>
    </row>
    <row r="294" spans="1:11" x14ac:dyDescent="0.2">
      <c r="A294" s="181"/>
      <c r="B294" s="179"/>
      <c r="C294" s="161" t="str">
        <f>[3]H4!C109</f>
        <v>2.6.8.1.3 - 1.ELABORACION DE EXPEDIENTES TECNICOS</v>
      </c>
      <c r="D294" s="163">
        <f>[3]H4!D109</f>
        <v>100000</v>
      </c>
      <c r="E294" s="163">
        <f>[3]H4!E109</f>
        <v>0</v>
      </c>
      <c r="F294" s="163">
        <f>[3]H4!F109</f>
        <v>100000</v>
      </c>
      <c r="G294" s="163">
        <f>[3]H4!G109</f>
        <v>0</v>
      </c>
      <c r="H294" s="163">
        <f>[3]H4!H109</f>
        <v>100000</v>
      </c>
      <c r="I294" s="96"/>
    </row>
    <row r="295" spans="1:11" ht="51" x14ac:dyDescent="0.2">
      <c r="A295" s="180">
        <f>SUBTOTAL(103,$B$10:B296)</f>
        <v>157</v>
      </c>
      <c r="B295" s="178">
        <v>521</v>
      </c>
      <c r="C295" s="161" t="s">
        <v>2461</v>
      </c>
      <c r="D295" s="162">
        <f>[1]AA!D435</f>
        <v>81510</v>
      </c>
      <c r="E295" s="162">
        <f>[1]AA!E435</f>
        <v>0</v>
      </c>
      <c r="F295" s="162">
        <f>[1]AA!F435</f>
        <v>81510</v>
      </c>
      <c r="G295" s="162">
        <f>[1]AA!G435</f>
        <v>0</v>
      </c>
      <c r="H295" s="162">
        <f>[1]AA!H435</f>
        <v>81510</v>
      </c>
      <c r="I295" s="96">
        <f>G295/D295</f>
        <v>0</v>
      </c>
    </row>
    <row r="296" spans="1:11" x14ac:dyDescent="0.2">
      <c r="A296" s="181"/>
      <c r="B296" s="179"/>
      <c r="C296" s="161" t="str">
        <f>[3]H4!C649</f>
        <v>2.6.8.1.3 - 1.ELABORACION DE EXPEDIENTES TECNICOS</v>
      </c>
      <c r="D296" s="163">
        <f>[3]H4!D649</f>
        <v>81510</v>
      </c>
      <c r="E296" s="163">
        <f>[3]H4!E649</f>
        <v>0</v>
      </c>
      <c r="F296" s="163">
        <f>[3]H4!F649</f>
        <v>81510</v>
      </c>
      <c r="G296" s="163">
        <f>[3]H4!G649</f>
        <v>0</v>
      </c>
      <c r="H296" s="163">
        <f>[3]H4!H649</f>
        <v>81510</v>
      </c>
      <c r="I296" s="96"/>
    </row>
    <row r="297" spans="1:11" ht="38.25" x14ac:dyDescent="0.2">
      <c r="A297" s="180">
        <f>SUBTOTAL(103,$B$10:B298)</f>
        <v>158</v>
      </c>
      <c r="B297" s="178">
        <v>522</v>
      </c>
      <c r="C297" s="161" t="s">
        <v>2462</v>
      </c>
      <c r="D297" s="162">
        <f>[1]AA!D436</f>
        <v>75291</v>
      </c>
      <c r="E297" s="162">
        <f>[1]AA!E436</f>
        <v>0</v>
      </c>
      <c r="F297" s="162">
        <f>[1]AA!F436</f>
        <v>75291</v>
      </c>
      <c r="G297" s="162">
        <f>[1]AA!G436</f>
        <v>0</v>
      </c>
      <c r="H297" s="162">
        <f>[1]AA!H436</f>
        <v>75291</v>
      </c>
      <c r="I297" s="96">
        <f>G297/D297</f>
        <v>0</v>
      </c>
    </row>
    <row r="298" spans="1:11" x14ac:dyDescent="0.2">
      <c r="A298" s="181"/>
      <c r="B298" s="179"/>
      <c r="C298" s="161" t="str">
        <f>[3]H4!C653</f>
        <v>2.6.8.1.3 - 1.ELABORACION DE EXPEDIENTES TECNICOS</v>
      </c>
      <c r="D298" s="163">
        <f>[3]H4!D653</f>
        <v>75291</v>
      </c>
      <c r="E298" s="163">
        <f>[3]H4!E653</f>
        <v>0</v>
      </c>
      <c r="F298" s="163">
        <f>[3]H4!F653</f>
        <v>75291</v>
      </c>
      <c r="G298" s="163">
        <f>[3]H4!G653</f>
        <v>0</v>
      </c>
      <c r="H298" s="163">
        <f>[3]H4!H653</f>
        <v>75291</v>
      </c>
      <c r="I298" s="96"/>
    </row>
    <row r="299" spans="1:11" ht="16.5" x14ac:dyDescent="0.2">
      <c r="A299" s="182" t="s">
        <v>1054</v>
      </c>
      <c r="B299" s="182"/>
      <c r="C299" s="182"/>
      <c r="D299" s="91">
        <f>+D300+D302</f>
        <v>425742</v>
      </c>
      <c r="E299" s="91">
        <f>+E300+E302</f>
        <v>303106</v>
      </c>
      <c r="F299" s="91">
        <f t="shared" ref="F299:H299" si="38">+F300+F302</f>
        <v>122636</v>
      </c>
      <c r="G299" s="91">
        <f t="shared" si="38"/>
        <v>116213.92</v>
      </c>
      <c r="H299" s="91">
        <f t="shared" si="38"/>
        <v>309528.08</v>
      </c>
      <c r="I299" s="92">
        <f>G299/D299</f>
        <v>0.27296794772420857</v>
      </c>
      <c r="K299" s="35"/>
    </row>
    <row r="300" spans="1:11" ht="25.5" x14ac:dyDescent="0.2">
      <c r="A300" s="180">
        <f>SUBTOTAL(103,$B$10:B301)</f>
        <v>159</v>
      </c>
      <c r="B300" s="178">
        <v>321</v>
      </c>
      <c r="C300" s="161" t="s">
        <v>969</v>
      </c>
      <c r="D300" s="162">
        <f>[1]AA!D270</f>
        <v>325721</v>
      </c>
      <c r="E300" s="162">
        <f>[1]AA!E270</f>
        <v>251714</v>
      </c>
      <c r="F300" s="162">
        <f>[1]AA!F270</f>
        <v>74007</v>
      </c>
      <c r="G300" s="162">
        <f>[1]AA!G270</f>
        <v>116213.92</v>
      </c>
      <c r="H300" s="162">
        <f>[1]AA!H270</f>
        <v>209507.08000000002</v>
      </c>
      <c r="I300" s="96">
        <f>G300/D300</f>
        <v>0.35678976793022249</v>
      </c>
    </row>
    <row r="301" spans="1:11" x14ac:dyDescent="0.2">
      <c r="A301" s="181"/>
      <c r="B301" s="179"/>
      <c r="C301" s="161" t="str">
        <f>[3]H4!C49</f>
        <v>2.6.8.1.3 - 1.ELABORACION DE EXPEDIENTES TECNICOS</v>
      </c>
      <c r="D301" s="163">
        <f>[3]H4!D49</f>
        <v>325721</v>
      </c>
      <c r="E301" s="163">
        <f>[3]H4!E49</f>
        <v>251714</v>
      </c>
      <c r="F301" s="163">
        <f>[3]H4!F49</f>
        <v>74007</v>
      </c>
      <c r="G301" s="163">
        <f>[3]H4!G49</f>
        <v>116213.92</v>
      </c>
      <c r="H301" s="163">
        <f>[3]H4!H49</f>
        <v>209507.08000000002</v>
      </c>
      <c r="I301" s="96"/>
    </row>
    <row r="302" spans="1:11" ht="38.25" x14ac:dyDescent="0.2">
      <c r="A302" s="180">
        <f>SUBTOTAL(103,$B$10:B303)</f>
        <v>160</v>
      </c>
      <c r="B302" s="178">
        <v>491</v>
      </c>
      <c r="C302" s="161" t="s">
        <v>2416</v>
      </c>
      <c r="D302" s="162">
        <f>[1]AA!D407</f>
        <v>100021</v>
      </c>
      <c r="E302" s="162">
        <f>[1]AA!E407</f>
        <v>51392</v>
      </c>
      <c r="F302" s="162">
        <f>[1]AA!F407</f>
        <v>48629</v>
      </c>
      <c r="G302" s="162">
        <f>[1]AA!G407</f>
        <v>0</v>
      </c>
      <c r="H302" s="162">
        <f>[1]AA!H407</f>
        <v>100021</v>
      </c>
      <c r="I302" s="96">
        <f>G302/D302</f>
        <v>0</v>
      </c>
    </row>
    <row r="303" spans="1:11" x14ac:dyDescent="0.2">
      <c r="A303" s="181"/>
      <c r="B303" s="179"/>
      <c r="C303" s="161" t="str">
        <f>[3]H4!C117</f>
        <v>2.6.8.1.3 - 1.ELABORACION DE EXPEDIENTES TECNICOS</v>
      </c>
      <c r="D303" s="163">
        <f>[3]H4!D117</f>
        <v>100021</v>
      </c>
      <c r="E303" s="163">
        <f>[3]H4!E117</f>
        <v>51392</v>
      </c>
      <c r="F303" s="163">
        <f>[3]H4!F117</f>
        <v>48629</v>
      </c>
      <c r="G303" s="163">
        <f>[3]H4!G117</f>
        <v>0</v>
      </c>
      <c r="H303" s="163">
        <f>[3]H4!H117</f>
        <v>100021</v>
      </c>
      <c r="I303" s="96"/>
    </row>
    <row r="304" spans="1:11" ht="16.5" x14ac:dyDescent="0.2">
      <c r="A304" s="182" t="s">
        <v>399</v>
      </c>
      <c r="B304" s="182"/>
      <c r="C304" s="182"/>
      <c r="D304" s="91">
        <f>+D305</f>
        <v>200000</v>
      </c>
      <c r="E304" s="91">
        <f t="shared" ref="E304:H304" si="39">+E305</f>
        <v>0</v>
      </c>
      <c r="F304" s="91">
        <f t="shared" si="39"/>
        <v>200000</v>
      </c>
      <c r="G304" s="91">
        <f t="shared" si="39"/>
        <v>0</v>
      </c>
      <c r="H304" s="91">
        <f t="shared" si="39"/>
        <v>200000</v>
      </c>
      <c r="I304" s="92">
        <f>G304/D304</f>
        <v>0</v>
      </c>
    </row>
    <row r="305" spans="1:11" ht="64.5" customHeight="1" x14ac:dyDescent="0.2">
      <c r="A305" s="180">
        <f>SUBTOTAL(103,$B$10:B306)</f>
        <v>161</v>
      </c>
      <c r="B305" s="178">
        <v>337</v>
      </c>
      <c r="C305" s="161" t="s">
        <v>2419</v>
      </c>
      <c r="D305" s="162">
        <f>[1]AA!D284</f>
        <v>200000</v>
      </c>
      <c r="E305" s="162">
        <f>[1]AA!E284</f>
        <v>0</v>
      </c>
      <c r="F305" s="162">
        <f>[1]AA!F284</f>
        <v>200000</v>
      </c>
      <c r="G305" s="162">
        <f>[1]AA!G284</f>
        <v>0</v>
      </c>
      <c r="H305" s="162">
        <f>[1]AA!H284</f>
        <v>200000</v>
      </c>
      <c r="I305" s="96">
        <f>G305/D305</f>
        <v>0</v>
      </c>
    </row>
    <row r="306" spans="1:11" x14ac:dyDescent="0.2">
      <c r="A306" s="181"/>
      <c r="B306" s="179"/>
      <c r="C306" s="161" t="str">
        <f>[3]H4!C585</f>
        <v>2.6.8.1.3 - 1.ELABORACION DE EXPEDIENTES TECNICOS</v>
      </c>
      <c r="D306" s="163">
        <f>[3]H4!D585</f>
        <v>200000</v>
      </c>
      <c r="E306" s="163">
        <f>[3]H4!E585</f>
        <v>0</v>
      </c>
      <c r="F306" s="163">
        <f>[3]H4!F585</f>
        <v>200000</v>
      </c>
      <c r="G306" s="163">
        <f>[3]H4!G585</f>
        <v>0</v>
      </c>
      <c r="H306" s="163">
        <f>[3]H4!H585</f>
        <v>200000</v>
      </c>
      <c r="I306" s="96"/>
    </row>
    <row r="307" spans="1:11" ht="31.5" customHeight="1" x14ac:dyDescent="0.2">
      <c r="A307" s="183" t="s">
        <v>114</v>
      </c>
      <c r="B307" s="183"/>
      <c r="C307" s="183"/>
      <c r="D307" s="104">
        <f>+D886+D893+D896+D744+D899+D902+D308+D873+D617</f>
        <v>54212973</v>
      </c>
      <c r="E307" s="104">
        <f>+E886+E893+E896+E744+E899+E902+E308+E873+E617</f>
        <v>42990745.670000002</v>
      </c>
      <c r="F307" s="104">
        <f>+F886+F893+F896+F744+F899+F902+F308+F873+F617</f>
        <v>11222227.330000002</v>
      </c>
      <c r="G307" s="104">
        <f>+G886+G893+G896+G744+G899+G902+G308+G873+G617</f>
        <v>9714626.7699999996</v>
      </c>
      <c r="H307" s="104">
        <f>+H886+H893+H896+H744+H899+H902+H308+H873+H617</f>
        <v>44498346.230000004</v>
      </c>
      <c r="I307" s="90">
        <f>G307/D307</f>
        <v>0.17919376548487756</v>
      </c>
      <c r="K307" s="23"/>
    </row>
    <row r="308" spans="1:11" ht="16.5" x14ac:dyDescent="0.2">
      <c r="A308" s="182" t="s">
        <v>1045</v>
      </c>
      <c r="B308" s="182"/>
      <c r="C308" s="182"/>
      <c r="D308" s="91">
        <f>+D309+D312+D314++D316+D319+D322+D325+D558+D561+D566+D569+D574+D577+D580+D582+D585+D588+D591+D594+D597+D600+D603+D606+D609+D611+D614</f>
        <v>21306917</v>
      </c>
      <c r="E308" s="91">
        <f>+E309+E312+E314++E316+E319+E322+E325+E558+E561+E566+E569+E574+E577+E580+E582+E585+E588+E591+E594+E597+E600+E603+E606+E609+E611+E614</f>
        <v>20058434.890000001</v>
      </c>
      <c r="F308" s="91">
        <f>+F309+F312+F314++F316+F319+F322+F325+F558+F561+F566+F569+F574+F577+F580+F582+F585+F588+F591+F594+F597+F600+F603+F606+F609+F611+F614</f>
        <v>1248482.1099999999</v>
      </c>
      <c r="G308" s="91">
        <f>+G309+G312+G314++G316+G319+G322+G325+G558+G561+G566+G569+G574+G577+G580+G582+G585+G588+G591+G594+G597+G600+G603+G606+G609+G611+G614</f>
        <v>972797.40000000014</v>
      </c>
      <c r="H308" s="91">
        <f>+H309+H312+H314++H316+H319+H322+H325+H558+H561+H566+H569+H574+H577+H580+H582+H585+H588+H591+H594+H597+H600+H603+H606+H609+H611+H614</f>
        <v>20334119.600000005</v>
      </c>
      <c r="I308" s="92">
        <f>G308/D308</f>
        <v>4.5656412891644536E-2</v>
      </c>
    </row>
    <row r="309" spans="1:11" ht="51" x14ac:dyDescent="0.2">
      <c r="A309" s="180">
        <f>SUBTOTAL(103,$B$10:B311)</f>
        <v>162</v>
      </c>
      <c r="B309" s="189">
        <v>227</v>
      </c>
      <c r="C309" s="161" t="s">
        <v>156</v>
      </c>
      <c r="D309" s="162">
        <f>[1]AA!D192</f>
        <v>10399190</v>
      </c>
      <c r="E309" s="162">
        <f>[1]AA!E192</f>
        <v>9609876</v>
      </c>
      <c r="F309" s="162">
        <f>[1]AA!F192</f>
        <v>789314</v>
      </c>
      <c r="G309" s="162">
        <f>[1]AA!G192</f>
        <v>0</v>
      </c>
      <c r="H309" s="162">
        <f>[1]AA!H192</f>
        <v>10399190</v>
      </c>
      <c r="I309" s="96">
        <f>G309/D309</f>
        <v>0</v>
      </c>
    </row>
    <row r="310" spans="1:11" x14ac:dyDescent="0.2">
      <c r="A310" s="188"/>
      <c r="B310" s="190"/>
      <c r="C310" s="161" t="str">
        <f>[3]H4!C457</f>
        <v>2.6.2.2.3 - 2.COSTO DE CONSTRUCCION POR CONTRATA</v>
      </c>
      <c r="D310" s="163">
        <f>[3]H4!D457</f>
        <v>9804514</v>
      </c>
      <c r="E310" s="163">
        <f>[3]H4!E457</f>
        <v>9609876</v>
      </c>
      <c r="F310" s="163">
        <f>[3]H4!F457</f>
        <v>194638</v>
      </c>
      <c r="G310" s="163">
        <f>[3]H4!G457</f>
        <v>0</v>
      </c>
      <c r="H310" s="163">
        <f>[3]H4!H457</f>
        <v>9804514</v>
      </c>
      <c r="I310" s="96"/>
    </row>
    <row r="311" spans="1:11" x14ac:dyDescent="0.2">
      <c r="A311" s="181"/>
      <c r="B311" s="191"/>
      <c r="C311" s="161" t="str">
        <f>[3]H4!C458</f>
        <v>2.6.8.1.4 - 3.GASTO POR LA CONTRATACION DE SERVICIOS</v>
      </c>
      <c r="D311" s="163">
        <f>[3]H4!D458</f>
        <v>594676</v>
      </c>
      <c r="E311" s="163">
        <f>[3]H4!E458</f>
        <v>0</v>
      </c>
      <c r="F311" s="163">
        <f>[3]H4!F458</f>
        <v>594676</v>
      </c>
      <c r="G311" s="163">
        <f>[3]H4!G458</f>
        <v>0</v>
      </c>
      <c r="H311" s="163">
        <f>[3]H4!H458</f>
        <v>594676</v>
      </c>
      <c r="I311" s="96"/>
    </row>
    <row r="312" spans="1:11" ht="51" x14ac:dyDescent="0.2">
      <c r="A312" s="180">
        <f>SUBTOTAL(103,$B$10:B313)</f>
        <v>163</v>
      </c>
      <c r="B312" s="178">
        <v>230</v>
      </c>
      <c r="C312" s="161" t="s">
        <v>343</v>
      </c>
      <c r="D312" s="162">
        <f>[1]AA!D195</f>
        <v>133512</v>
      </c>
      <c r="E312" s="162">
        <f>[1]AA!E195</f>
        <v>0</v>
      </c>
      <c r="F312" s="162">
        <f>[1]AA!F195</f>
        <v>133512</v>
      </c>
      <c r="G312" s="162">
        <f>[1]AA!G195</f>
        <v>0</v>
      </c>
      <c r="H312" s="162">
        <f>[1]AA!H195</f>
        <v>133512</v>
      </c>
      <c r="I312" s="96">
        <f>G312/D312</f>
        <v>0</v>
      </c>
    </row>
    <row r="313" spans="1:11" x14ac:dyDescent="0.2">
      <c r="A313" s="181"/>
      <c r="B313" s="179"/>
      <c r="C313" s="161" t="str">
        <f>[3]H4!C461</f>
        <v>2.6.2.2.3 - 2.COSTO DE CONSTRUCCION POR CONTRATA</v>
      </c>
      <c r="D313" s="163">
        <f>[3]H4!D461</f>
        <v>133512</v>
      </c>
      <c r="E313" s="163">
        <f>[3]H4!E461</f>
        <v>0</v>
      </c>
      <c r="F313" s="163">
        <f>[3]H4!F461</f>
        <v>133512</v>
      </c>
      <c r="G313" s="163">
        <f>[3]H4!G461</f>
        <v>0</v>
      </c>
      <c r="H313" s="163">
        <f>[3]H4!H461</f>
        <v>133512</v>
      </c>
      <c r="I313" s="96"/>
    </row>
    <row r="314" spans="1:11" ht="38.25" x14ac:dyDescent="0.2">
      <c r="A314" s="180">
        <f>SUBTOTAL(103,$B$10:B315)</f>
        <v>164</v>
      </c>
      <c r="B314" s="178">
        <v>238</v>
      </c>
      <c r="C314" s="161" t="s">
        <v>381</v>
      </c>
      <c r="D314" s="162">
        <f>[1]AA!D203</f>
        <v>5217703</v>
      </c>
      <c r="E314" s="162">
        <f>[1]AA!E203</f>
        <v>5217703</v>
      </c>
      <c r="F314" s="162">
        <f>[1]AA!F203</f>
        <v>0</v>
      </c>
      <c r="G314" s="162">
        <f>[1]AA!G203</f>
        <v>0</v>
      </c>
      <c r="H314" s="162">
        <f>[1]AA!H203</f>
        <v>5217703</v>
      </c>
      <c r="I314" s="96">
        <f>G314/D314</f>
        <v>0</v>
      </c>
    </row>
    <row r="315" spans="1:11" x14ac:dyDescent="0.2">
      <c r="A315" s="181"/>
      <c r="B315" s="179"/>
      <c r="C315" s="161" t="str">
        <f>[3]H4!C477</f>
        <v>2.6.2.2.3 - 2.COSTO DE CONSTRUCCION POR CONTRATA</v>
      </c>
      <c r="D315" s="163">
        <f>[3]H4!D477</f>
        <v>5033034</v>
      </c>
      <c r="E315" s="163">
        <f>[3]H4!E477</f>
        <v>5033034</v>
      </c>
      <c r="F315" s="163">
        <f>[3]H4!F477</f>
        <v>0</v>
      </c>
      <c r="G315" s="163">
        <f>[3]H4!G477</f>
        <v>0</v>
      </c>
      <c r="H315" s="163">
        <f>[3]H4!H477</f>
        <v>5033034</v>
      </c>
      <c r="I315" s="96"/>
    </row>
    <row r="316" spans="1:11" ht="38.25" x14ac:dyDescent="0.2">
      <c r="A316" s="180">
        <f>SUBTOTAL(103,$B$10:B318)</f>
        <v>165</v>
      </c>
      <c r="B316" s="178">
        <v>244</v>
      </c>
      <c r="C316" s="161" t="s">
        <v>261</v>
      </c>
      <c r="D316" s="162">
        <f>[1]AA!D209</f>
        <v>200000</v>
      </c>
      <c r="E316" s="162">
        <f>[1]AA!E209</f>
        <v>50000</v>
      </c>
      <c r="F316" s="162">
        <f>[1]AA!F209</f>
        <v>150000</v>
      </c>
      <c r="G316" s="162">
        <f>[1]AA!G209</f>
        <v>0</v>
      </c>
      <c r="H316" s="162">
        <f>[1]AA!H209</f>
        <v>200000</v>
      </c>
      <c r="I316" s="96">
        <f>G316/D316</f>
        <v>0</v>
      </c>
    </row>
    <row r="317" spans="1:11" x14ac:dyDescent="0.2">
      <c r="A317" s="188"/>
      <c r="B317" s="187"/>
      <c r="C317" s="161" t="str">
        <f>[3]H4!C485</f>
        <v>2.6.2.2.3 - 2.COSTO DE CONSTRUCCION POR CONTRATA</v>
      </c>
      <c r="D317" s="163">
        <f>[3]H4!D485</f>
        <v>500</v>
      </c>
      <c r="E317" s="163">
        <f>[3]H4!E485</f>
        <v>0</v>
      </c>
      <c r="F317" s="163">
        <f>[3]H4!F485</f>
        <v>500</v>
      </c>
      <c r="G317" s="163">
        <f>[3]H4!G485</f>
        <v>0</v>
      </c>
      <c r="H317" s="163">
        <f>[3]H4!H485</f>
        <v>500</v>
      </c>
      <c r="I317" s="96"/>
    </row>
    <row r="318" spans="1:11" x14ac:dyDescent="0.2">
      <c r="A318" s="181"/>
      <c r="B318" s="179"/>
      <c r="C318" s="161" t="str">
        <f>[3]H4!C486</f>
        <v>2.6.8.1.3 - 1.ELABORACION DE EXPEDIENTES TECNICOS</v>
      </c>
      <c r="D318" s="163">
        <f>[3]H4!D486</f>
        <v>199500</v>
      </c>
      <c r="E318" s="163">
        <f>[3]H4!E486</f>
        <v>50000</v>
      </c>
      <c r="F318" s="163">
        <f>[3]H4!F486</f>
        <v>149500</v>
      </c>
      <c r="G318" s="163">
        <f>[3]H4!G486</f>
        <v>0</v>
      </c>
      <c r="H318" s="163">
        <f>[3]H4!H486</f>
        <v>199500</v>
      </c>
      <c r="I318" s="96"/>
    </row>
    <row r="319" spans="1:11" ht="38.25" x14ac:dyDescent="0.2">
      <c r="A319" s="180">
        <f>SUBTOTAL(103,$B$10:B321)</f>
        <v>166</v>
      </c>
      <c r="B319" s="178">
        <v>251</v>
      </c>
      <c r="C319" s="161" t="s">
        <v>823</v>
      </c>
      <c r="D319" s="162">
        <f>[1]AA!D216</f>
        <v>654662</v>
      </c>
      <c r="E319" s="162">
        <f>[1]AA!E216</f>
        <v>654662</v>
      </c>
      <c r="F319" s="162">
        <f>[1]AA!F216</f>
        <v>0</v>
      </c>
      <c r="G319" s="162">
        <f>[1]AA!G216</f>
        <v>0</v>
      </c>
      <c r="H319" s="162">
        <f>[1]AA!H216</f>
        <v>654662</v>
      </c>
      <c r="I319" s="96">
        <f>G319/D319</f>
        <v>0</v>
      </c>
    </row>
    <row r="320" spans="1:11" x14ac:dyDescent="0.2">
      <c r="A320" s="188"/>
      <c r="B320" s="187"/>
      <c r="C320" s="161" t="str">
        <f>[3]H4!C493</f>
        <v>2.6.2.2.3 - 2.COSTO DE CONSTRUCCION POR CONTRATA</v>
      </c>
      <c r="D320" s="163">
        <f>[3]H4!D493</f>
        <v>0</v>
      </c>
      <c r="E320" s="163">
        <f>[3]H4!E493</f>
        <v>0</v>
      </c>
      <c r="F320" s="163">
        <f>[3]H4!F493</f>
        <v>0</v>
      </c>
      <c r="G320" s="163">
        <f>[3]H4!G493</f>
        <v>0</v>
      </c>
      <c r="H320" s="163">
        <f>[3]H4!H493</f>
        <v>0</v>
      </c>
      <c r="I320" s="96"/>
    </row>
    <row r="321" spans="1:9" x14ac:dyDescent="0.2">
      <c r="A321" s="181"/>
      <c r="B321" s="179"/>
      <c r="C321" s="161" t="str">
        <f>[3]H4!C494</f>
        <v>2.6.8.1.3 - 1.ELABORACION DE EXPEDIENTES TECNICOS</v>
      </c>
      <c r="D321" s="163">
        <f>[3]H4!D494</f>
        <v>654662</v>
      </c>
      <c r="E321" s="163">
        <f>[3]H4!E494</f>
        <v>654662</v>
      </c>
      <c r="F321" s="163">
        <f>[3]H4!F494</f>
        <v>0</v>
      </c>
      <c r="G321" s="163">
        <f>[3]H4!G494</f>
        <v>0</v>
      </c>
      <c r="H321" s="163">
        <f>[3]H4!H494</f>
        <v>654662</v>
      </c>
      <c r="I321" s="96"/>
    </row>
    <row r="322" spans="1:9" ht="38.25" x14ac:dyDescent="0.2">
      <c r="A322" s="180">
        <f>SUBTOTAL(103,$B$10:B324)</f>
        <v>167</v>
      </c>
      <c r="B322" s="178">
        <v>256</v>
      </c>
      <c r="C322" s="161" t="s">
        <v>344</v>
      </c>
      <c r="D322" s="162">
        <f>[1]AA!D221</f>
        <v>82568</v>
      </c>
      <c r="E322" s="162">
        <f>[1]AA!E221</f>
        <v>82568</v>
      </c>
      <c r="F322" s="162">
        <f>[1]AA!F221</f>
        <v>0</v>
      </c>
      <c r="G322" s="162">
        <f>[1]AA!G221</f>
        <v>57743.81</v>
      </c>
      <c r="H322" s="162">
        <f>[1]AA!H221</f>
        <v>24824.190000000002</v>
      </c>
      <c r="I322" s="96">
        <f>G322/D322</f>
        <v>0.69934853696347254</v>
      </c>
    </row>
    <row r="323" spans="1:9" x14ac:dyDescent="0.2">
      <c r="A323" s="188"/>
      <c r="B323" s="187"/>
      <c r="C323" s="161" t="str">
        <f>[3]H4!C497</f>
        <v>2.6.2.2.3 - 2.COSTO DE CONSTRUCCION POR CONTRATA</v>
      </c>
      <c r="D323" s="163">
        <f>[3]H4!D497</f>
        <v>0</v>
      </c>
      <c r="E323" s="163">
        <f>[3]H4!E497</f>
        <v>0</v>
      </c>
      <c r="F323" s="163">
        <f>[3]H4!F497</f>
        <v>0</v>
      </c>
      <c r="G323" s="163">
        <f>[3]H4!G497</f>
        <v>0</v>
      </c>
      <c r="H323" s="163">
        <f>[3]H4!H497</f>
        <v>0</v>
      </c>
      <c r="I323" s="96"/>
    </row>
    <row r="324" spans="1:9" x14ac:dyDescent="0.2">
      <c r="A324" s="181"/>
      <c r="B324" s="179"/>
      <c r="C324" s="161" t="str">
        <f>[3]H4!C498</f>
        <v>2.6.8.1.3 - 1.ELABORACION DE EXPEDIENTES TECNICOS</v>
      </c>
      <c r="D324" s="163">
        <f>[3]H4!D498</f>
        <v>82568</v>
      </c>
      <c r="E324" s="163">
        <f>[3]H4!E498</f>
        <v>82568</v>
      </c>
      <c r="F324" s="163">
        <f>[3]H4!F498</f>
        <v>0</v>
      </c>
      <c r="G324" s="163">
        <f>[3]H4!G498</f>
        <v>57743.81</v>
      </c>
      <c r="H324" s="163">
        <f>[3]H4!H498</f>
        <v>24824.190000000002</v>
      </c>
      <c r="I324" s="96"/>
    </row>
    <row r="325" spans="1:9" ht="38.25" x14ac:dyDescent="0.2">
      <c r="A325" s="180">
        <f>SUBTOTAL(103,$B$10:B327)</f>
        <v>168</v>
      </c>
      <c r="B325" s="178">
        <v>257</v>
      </c>
      <c r="C325" s="161" t="s">
        <v>500</v>
      </c>
      <c r="D325" s="162">
        <f>[1]AA!D222</f>
        <v>100000</v>
      </c>
      <c r="E325" s="162">
        <f>[1]AA!E222</f>
        <v>100000</v>
      </c>
      <c r="F325" s="162">
        <f>[1]AA!F222</f>
        <v>0</v>
      </c>
      <c r="G325" s="162">
        <f>[1]AA!G222</f>
        <v>85262.53</v>
      </c>
      <c r="H325" s="162">
        <f>[1]AA!H222</f>
        <v>14737.470000000001</v>
      </c>
      <c r="I325" s="96">
        <f>G325/D325</f>
        <v>0.85262530000000003</v>
      </c>
    </row>
    <row r="326" spans="1:9" x14ac:dyDescent="0.2">
      <c r="A326" s="188"/>
      <c r="B326" s="187"/>
      <c r="C326" s="161" t="str">
        <f>[3]H4!C501</f>
        <v>2.6.2.3.2 - 3.COSTO DE CONSTRUCCION POR CONTRATA</v>
      </c>
      <c r="D326" s="163">
        <f>[3]H4!D501</f>
        <v>0</v>
      </c>
      <c r="E326" s="163">
        <f>[3]H4!E501</f>
        <v>0</v>
      </c>
      <c r="F326" s="163">
        <f>[3]H4!F501</f>
        <v>0</v>
      </c>
      <c r="G326" s="163">
        <f>[3]H4!G501</f>
        <v>0</v>
      </c>
      <c r="H326" s="163">
        <f>[3]H4!H501</f>
        <v>0</v>
      </c>
      <c r="I326" s="96"/>
    </row>
    <row r="327" spans="1:9" x14ac:dyDescent="0.2">
      <c r="A327" s="181"/>
      <c r="B327" s="179"/>
      <c r="C327" s="161" t="str">
        <f>[3]H4!C502</f>
        <v>2.6.8.1.3 - 1.ELABORACION DE EXPEDIENTES TECNICOS</v>
      </c>
      <c r="D327" s="163">
        <f>[3]H4!D502</f>
        <v>100000</v>
      </c>
      <c r="E327" s="163">
        <f>[3]H4!E502</f>
        <v>100000</v>
      </c>
      <c r="F327" s="163">
        <f>[3]H4!F502</f>
        <v>0</v>
      </c>
      <c r="G327" s="163">
        <f>[3]H4!G502</f>
        <v>85262.53</v>
      </c>
      <c r="H327" s="163">
        <f>[3]H4!H502</f>
        <v>14737.470000000001</v>
      </c>
      <c r="I327" s="96"/>
    </row>
    <row r="328" spans="1:9" hidden="1" x14ac:dyDescent="0.2">
      <c r="A328" s="164">
        <f>SUBTOTAL(103,$B$8:B328)</f>
        <v>168</v>
      </c>
      <c r="B328" s="165"/>
      <c r="C328" s="166">
        <f>[3]H4!C503</f>
        <v>0</v>
      </c>
      <c r="D328" s="166">
        <f>[3]H4!D503</f>
        <v>0</v>
      </c>
      <c r="E328" s="166">
        <f>[3]H4!E503</f>
        <v>0</v>
      </c>
      <c r="F328" s="166">
        <f>[3]H4!F503</f>
        <v>0</v>
      </c>
      <c r="G328" s="166">
        <f>[3]H4!G503</f>
        <v>0</v>
      </c>
      <c r="H328" s="166">
        <f>[3]H4!H503</f>
        <v>0</v>
      </c>
      <c r="I328" s="96" t="e">
        <f>G328/D328</f>
        <v>#DIV/0!</v>
      </c>
    </row>
    <row r="329" spans="1:9" hidden="1" x14ac:dyDescent="0.2">
      <c r="A329" s="167"/>
      <c r="B329" s="168"/>
      <c r="C329" s="166">
        <f>[3]H4!C504</f>
        <v>0</v>
      </c>
      <c r="D329" s="166">
        <f>[3]H4!D504</f>
        <v>0</v>
      </c>
      <c r="E329" s="166">
        <f>[3]H4!E504</f>
        <v>0</v>
      </c>
      <c r="F329" s="166">
        <f>[3]H4!F504</f>
        <v>0</v>
      </c>
      <c r="G329" s="166">
        <f>[3]H4!G504</f>
        <v>0</v>
      </c>
      <c r="H329" s="166">
        <f>[3]H4!H504</f>
        <v>0</v>
      </c>
      <c r="I329" s="96"/>
    </row>
    <row r="330" spans="1:9" hidden="1" x14ac:dyDescent="0.2">
      <c r="A330" s="180">
        <f>SUBTOTAL(103,$B$8:B330)</f>
        <v>168</v>
      </c>
      <c r="B330" s="178"/>
      <c r="C330" s="166" t="str">
        <f>[3]H4!C505</f>
        <v>2.6.2.2.3 - 2.COSTO DE CONSTRUCCION POR CONTRATA</v>
      </c>
      <c r="D330" s="166">
        <f>[3]H4!D505</f>
        <v>0</v>
      </c>
      <c r="E330" s="166">
        <f>[3]H4!E505</f>
        <v>0</v>
      </c>
      <c r="F330" s="166">
        <f>[3]H4!F505</f>
        <v>0</v>
      </c>
      <c r="G330" s="166">
        <f>[3]H4!G505</f>
        <v>0</v>
      </c>
      <c r="H330" s="166">
        <f>[3]H4!H505</f>
        <v>0</v>
      </c>
      <c r="I330" s="96" t="e">
        <f>G330/D330</f>
        <v>#DIV/0!</v>
      </c>
    </row>
    <row r="331" spans="1:9" ht="32.25" hidden="1" customHeight="1" x14ac:dyDescent="0.2">
      <c r="A331" s="188"/>
      <c r="B331" s="187"/>
      <c r="C331" s="166" t="str">
        <f>[3]H4!C506</f>
        <v>2.6.8.1.3 - 1.ELABORACION DE EXPEDIENTES TECNICOS</v>
      </c>
      <c r="D331" s="166">
        <f>[3]H4!D506</f>
        <v>0</v>
      </c>
      <c r="E331" s="166">
        <f>[3]H4!E506</f>
        <v>0</v>
      </c>
      <c r="F331" s="166">
        <f>[3]H4!F506</f>
        <v>0</v>
      </c>
      <c r="G331" s="166">
        <f>[3]H4!G506</f>
        <v>0</v>
      </c>
      <c r="H331" s="166">
        <f>[3]H4!H506</f>
        <v>0</v>
      </c>
      <c r="I331" s="106"/>
    </row>
    <row r="332" spans="1:9" ht="32.25" hidden="1" customHeight="1" x14ac:dyDescent="0.2">
      <c r="A332" s="188"/>
      <c r="B332" s="187"/>
      <c r="C332" s="166">
        <f>[3]H4!C507</f>
        <v>0</v>
      </c>
      <c r="D332" s="166">
        <f>[3]H4!D507</f>
        <v>0</v>
      </c>
      <c r="E332" s="166">
        <f>[3]H4!E507</f>
        <v>0</v>
      </c>
      <c r="F332" s="166">
        <f>[3]H4!F507</f>
        <v>0</v>
      </c>
      <c r="G332" s="166">
        <f>[3]H4!G507</f>
        <v>0</v>
      </c>
      <c r="H332" s="166">
        <f>[3]H4!H507</f>
        <v>0</v>
      </c>
      <c r="I332" s="106"/>
    </row>
    <row r="333" spans="1:9" ht="103.5" hidden="1" customHeight="1" x14ac:dyDescent="0.2">
      <c r="A333" s="188"/>
      <c r="B333" s="187"/>
      <c r="C333" s="166">
        <f>[3]H4!C508</f>
        <v>0</v>
      </c>
      <c r="D333" s="166">
        <f>[3]H4!D508</f>
        <v>0</v>
      </c>
      <c r="E333" s="166">
        <f>[3]H4!E508</f>
        <v>0</v>
      </c>
      <c r="F333" s="166">
        <f>[3]H4!F508</f>
        <v>0</v>
      </c>
      <c r="G333" s="166">
        <f>[3]H4!G508</f>
        <v>0</v>
      </c>
      <c r="H333" s="166">
        <f>[3]H4!H508</f>
        <v>0</v>
      </c>
      <c r="I333" s="107" t="e">
        <f>G333/D333</f>
        <v>#DIV/0!</v>
      </c>
    </row>
    <row r="334" spans="1:9" ht="31.5" hidden="1" customHeight="1" x14ac:dyDescent="0.2">
      <c r="A334" s="188"/>
      <c r="B334" s="187"/>
      <c r="C334" s="166" t="str">
        <f>[3]H4!C509</f>
        <v>2.6.2.2.3 - 2.COSTO DE CONSTRUCCION POR CONTRATA</v>
      </c>
      <c r="D334" s="166">
        <f>[3]H4!D509</f>
        <v>0</v>
      </c>
      <c r="E334" s="166">
        <f>[3]H4!E509</f>
        <v>0</v>
      </c>
      <c r="F334" s="166">
        <f>[3]H4!F509</f>
        <v>0</v>
      </c>
      <c r="G334" s="166">
        <f>[3]H4!G509</f>
        <v>0</v>
      </c>
      <c r="H334" s="166">
        <f>[3]H4!H509</f>
        <v>0</v>
      </c>
      <c r="I334" s="107"/>
    </row>
    <row r="335" spans="1:9" ht="86.25" hidden="1" customHeight="1" x14ac:dyDescent="0.2">
      <c r="A335" s="188"/>
      <c r="B335" s="187"/>
      <c r="C335" s="166" t="str">
        <f>[3]H4!C510</f>
        <v>2.6.8.1.3 - 1.ELABORACION DE EXPEDIENTES TECNICOS</v>
      </c>
      <c r="D335" s="166">
        <f>[3]H4!D510</f>
        <v>154665</v>
      </c>
      <c r="E335" s="166">
        <f>[3]H4!E510</f>
        <v>154665</v>
      </c>
      <c r="F335" s="166">
        <f>[3]H4!F510</f>
        <v>0</v>
      </c>
      <c r="G335" s="166">
        <f>[3]H4!G510</f>
        <v>154066.76999999999</v>
      </c>
      <c r="H335" s="166">
        <f>[3]H4!H510</f>
        <v>598.23000000001048</v>
      </c>
      <c r="I335" s="107">
        <f>G335/D335</f>
        <v>0.99613209194064589</v>
      </c>
    </row>
    <row r="336" spans="1:9" ht="31.5" hidden="1" customHeight="1" x14ac:dyDescent="0.2">
      <c r="A336" s="188"/>
      <c r="B336" s="187"/>
      <c r="C336" s="166">
        <f>[3]H4!C511</f>
        <v>0</v>
      </c>
      <c r="D336" s="166">
        <f>[3]H4!D511</f>
        <v>0</v>
      </c>
      <c r="E336" s="166">
        <f>[3]H4!E511</f>
        <v>0</v>
      </c>
      <c r="F336" s="166">
        <f>[3]H4!F511</f>
        <v>0</v>
      </c>
      <c r="G336" s="166">
        <f>[3]H4!G511</f>
        <v>0</v>
      </c>
      <c r="H336" s="166">
        <f>[3]H4!H511</f>
        <v>0</v>
      </c>
      <c r="I336" s="107"/>
    </row>
    <row r="337" spans="1:9" ht="63" hidden="1" customHeight="1" x14ac:dyDescent="0.2">
      <c r="A337" s="188"/>
      <c r="B337" s="187"/>
      <c r="C337" s="166">
        <f>[3]H4!C512</f>
        <v>0</v>
      </c>
      <c r="D337" s="166">
        <f>[3]H4!D512</f>
        <v>0</v>
      </c>
      <c r="E337" s="166">
        <f>[3]H4!E512</f>
        <v>0</v>
      </c>
      <c r="F337" s="166">
        <f>[3]H4!F512</f>
        <v>0</v>
      </c>
      <c r="G337" s="166">
        <f>[3]H4!G512</f>
        <v>0</v>
      </c>
      <c r="H337" s="166">
        <f>[3]H4!H512</f>
        <v>0</v>
      </c>
      <c r="I337" s="96" t="e">
        <f>G337/D337</f>
        <v>#DIV/0!</v>
      </c>
    </row>
    <row r="338" spans="1:9" ht="31.5" hidden="1" customHeight="1" x14ac:dyDescent="0.2">
      <c r="A338" s="188"/>
      <c r="B338" s="187"/>
      <c r="C338" s="166" t="str">
        <f>[3]H4!C513</f>
        <v>2.6.2.2.3 - 2.COSTO DE CONSTRUCCION POR CONTRATA</v>
      </c>
      <c r="D338" s="166">
        <f>[3]H4!D513</f>
        <v>1371247</v>
      </c>
      <c r="E338" s="166">
        <f>[3]H4!E513</f>
        <v>1371247</v>
      </c>
      <c r="F338" s="166">
        <f>[3]H4!F513</f>
        <v>0</v>
      </c>
      <c r="G338" s="166">
        <f>[3]H4!G513</f>
        <v>0</v>
      </c>
      <c r="H338" s="166">
        <f>[3]H4!H513</f>
        <v>1371247</v>
      </c>
      <c r="I338" s="96"/>
    </row>
    <row r="339" spans="1:9" ht="47.25" hidden="1" customHeight="1" x14ac:dyDescent="0.2">
      <c r="A339" s="188"/>
      <c r="B339" s="187"/>
      <c r="C339" s="166" t="str">
        <f>[3]H4!C514</f>
        <v>2.6.8.1.4 - 3.GASTO POR LA CONTRATACION DE SERVICIOS</v>
      </c>
      <c r="D339" s="166">
        <f>[3]H4!D514</f>
        <v>379449</v>
      </c>
      <c r="E339" s="166">
        <f>[3]H4!E514</f>
        <v>379449</v>
      </c>
      <c r="F339" s="166">
        <f>[3]H4!F514</f>
        <v>0</v>
      </c>
      <c r="G339" s="166">
        <f>[3]H4!G514</f>
        <v>0</v>
      </c>
      <c r="H339" s="166">
        <f>[3]H4!H514</f>
        <v>379449</v>
      </c>
      <c r="I339" s="96">
        <f>G339/D339</f>
        <v>0</v>
      </c>
    </row>
    <row r="340" spans="1:9" ht="31.5" hidden="1" customHeight="1" x14ac:dyDescent="0.2">
      <c r="A340" s="188"/>
      <c r="B340" s="187"/>
      <c r="C340" s="166">
        <f>[3]H4!C515</f>
        <v>0</v>
      </c>
      <c r="D340" s="166">
        <f>[3]H4!D515</f>
        <v>0</v>
      </c>
      <c r="E340" s="166">
        <f>[3]H4!E515</f>
        <v>0</v>
      </c>
      <c r="F340" s="166">
        <f>[3]H4!F515</f>
        <v>0</v>
      </c>
      <c r="G340" s="166">
        <f>[3]H4!G515</f>
        <v>0</v>
      </c>
      <c r="H340" s="166">
        <f>[3]H4!H515</f>
        <v>0</v>
      </c>
      <c r="I340" s="96"/>
    </row>
    <row r="341" spans="1:9" ht="31.5" hidden="1" customHeight="1" x14ac:dyDescent="0.2">
      <c r="A341" s="188"/>
      <c r="B341" s="187"/>
      <c r="C341" s="166">
        <f>[3]H4!C516</f>
        <v>0</v>
      </c>
      <c r="D341" s="166">
        <f>[3]H4!D516</f>
        <v>0</v>
      </c>
      <c r="E341" s="166">
        <f>[3]H4!E516</f>
        <v>0</v>
      </c>
      <c r="F341" s="166">
        <f>[3]H4!F516</f>
        <v>0</v>
      </c>
      <c r="G341" s="166">
        <f>[3]H4!G516</f>
        <v>0</v>
      </c>
      <c r="H341" s="166">
        <f>[3]H4!H516</f>
        <v>0</v>
      </c>
      <c r="I341" s="96"/>
    </row>
    <row r="342" spans="1:9" ht="63" hidden="1" customHeight="1" x14ac:dyDescent="0.2">
      <c r="A342" s="188"/>
      <c r="B342" s="187"/>
      <c r="C342" s="166" t="str">
        <f>[3]H4!C517</f>
        <v>2.6.2.2.3 - 2.COSTO DE CONSTRUCCION POR CONTRATA</v>
      </c>
      <c r="D342" s="166">
        <f>[3]H4!D517</f>
        <v>0</v>
      </c>
      <c r="E342" s="166">
        <f>[3]H4!E517</f>
        <v>0</v>
      </c>
      <c r="F342" s="166">
        <f>[3]H4!F517</f>
        <v>0</v>
      </c>
      <c r="G342" s="166">
        <f>[3]H4!G517</f>
        <v>0</v>
      </c>
      <c r="H342" s="166">
        <f>[3]H4!H517</f>
        <v>0</v>
      </c>
      <c r="I342" s="96" t="e">
        <f>G342/D342</f>
        <v>#DIV/0!</v>
      </c>
    </row>
    <row r="343" spans="1:9" ht="31.5" hidden="1" customHeight="1" x14ac:dyDescent="0.2">
      <c r="A343" s="188"/>
      <c r="B343" s="187"/>
      <c r="C343" s="166" t="str">
        <f>[3]H4!C518</f>
        <v>2.6.8.1.3 - 1.ELABORACION DE EXPEDIENTES TECNICOS</v>
      </c>
      <c r="D343" s="166">
        <f>[3]H4!D518</f>
        <v>0</v>
      </c>
      <c r="E343" s="166">
        <f>[3]H4!E518</f>
        <v>0</v>
      </c>
      <c r="F343" s="166">
        <f>[3]H4!F518</f>
        <v>0</v>
      </c>
      <c r="G343" s="166">
        <f>[3]H4!G518</f>
        <v>0</v>
      </c>
      <c r="H343" s="166">
        <f>[3]H4!H518</f>
        <v>0</v>
      </c>
      <c r="I343" s="96"/>
    </row>
    <row r="344" spans="1:9" ht="31.5" hidden="1" customHeight="1" x14ac:dyDescent="0.2">
      <c r="A344" s="188"/>
      <c r="B344" s="187"/>
      <c r="C344" s="166">
        <f>[3]H4!C519</f>
        <v>0</v>
      </c>
      <c r="D344" s="166">
        <f>[3]H4!D519</f>
        <v>0</v>
      </c>
      <c r="E344" s="166">
        <f>[3]H4!E519</f>
        <v>0</v>
      </c>
      <c r="F344" s="166">
        <f>[3]H4!F519</f>
        <v>0</v>
      </c>
      <c r="G344" s="166">
        <f>[3]H4!G519</f>
        <v>0</v>
      </c>
      <c r="H344" s="166">
        <f>[3]H4!H519</f>
        <v>0</v>
      </c>
      <c r="I344" s="96"/>
    </row>
    <row r="345" spans="1:9" ht="78.75" hidden="1" customHeight="1" x14ac:dyDescent="0.2">
      <c r="A345" s="188"/>
      <c r="B345" s="187"/>
      <c r="C345" s="166">
        <f>[3]H4!C520</f>
        <v>0</v>
      </c>
      <c r="D345" s="166">
        <f>[3]H4!D520</f>
        <v>0</v>
      </c>
      <c r="E345" s="166">
        <f>[3]H4!E520</f>
        <v>0</v>
      </c>
      <c r="F345" s="166">
        <f>[3]H4!F520</f>
        <v>0</v>
      </c>
      <c r="G345" s="166">
        <f>[3]H4!G520</f>
        <v>0</v>
      </c>
      <c r="H345" s="166">
        <f>[3]H4!H520</f>
        <v>0</v>
      </c>
      <c r="I345" s="96" t="e">
        <f>G345/D345</f>
        <v>#DIV/0!</v>
      </c>
    </row>
    <row r="346" spans="1:9" ht="31.5" hidden="1" customHeight="1" x14ac:dyDescent="0.2">
      <c r="A346" s="188"/>
      <c r="B346" s="187"/>
      <c r="C346" s="166" t="str">
        <f>[3]H4!C521</f>
        <v>2.6.2.2.3 - 2.COSTO DE CONSTRUCCION POR CONTRATA</v>
      </c>
      <c r="D346" s="166">
        <f>[3]H4!D521</f>
        <v>0</v>
      </c>
      <c r="E346" s="166">
        <f>[3]H4!E521</f>
        <v>0</v>
      </c>
      <c r="F346" s="166">
        <f>[3]H4!F521</f>
        <v>0</v>
      </c>
      <c r="G346" s="166">
        <f>[3]H4!G521</f>
        <v>0</v>
      </c>
      <c r="H346" s="166">
        <f>[3]H4!H521</f>
        <v>0</v>
      </c>
      <c r="I346" s="96"/>
    </row>
    <row r="347" spans="1:9" ht="157.5" hidden="1" customHeight="1" x14ac:dyDescent="0.2">
      <c r="A347" s="188"/>
      <c r="B347" s="187"/>
      <c r="C347" s="166" t="str">
        <f>[3]H4!C522</f>
        <v>2.6.8.1.3 - 1.ELABORACION DE EXPEDIENTES TECNICOS</v>
      </c>
      <c r="D347" s="166">
        <f>[3]H4!D522</f>
        <v>656461</v>
      </c>
      <c r="E347" s="166">
        <f>[3]H4!E522</f>
        <v>656461</v>
      </c>
      <c r="F347" s="166">
        <f>[3]H4!F522</f>
        <v>0</v>
      </c>
      <c r="G347" s="166">
        <f>[3]H4!G522</f>
        <v>0</v>
      </c>
      <c r="H347" s="166">
        <f>[3]H4!H522</f>
        <v>656461</v>
      </c>
      <c r="I347" s="96">
        <f>G347/D347</f>
        <v>0</v>
      </c>
    </row>
    <row r="348" spans="1:9" ht="31.5" hidden="1" customHeight="1" x14ac:dyDescent="0.2">
      <c r="A348" s="188"/>
      <c r="B348" s="187"/>
      <c r="C348" s="166">
        <f>[3]H4!C523</f>
        <v>0</v>
      </c>
      <c r="D348" s="166">
        <f>[3]H4!D523</f>
        <v>0</v>
      </c>
      <c r="E348" s="166">
        <f>[3]H4!E523</f>
        <v>0</v>
      </c>
      <c r="F348" s="166">
        <f>[3]H4!F523</f>
        <v>0</v>
      </c>
      <c r="G348" s="166">
        <f>[3]H4!G523</f>
        <v>0</v>
      </c>
      <c r="H348" s="166">
        <f>[3]H4!H523</f>
        <v>0</v>
      </c>
      <c r="I348" s="96"/>
    </row>
    <row r="349" spans="1:9" ht="141.75" hidden="1" customHeight="1" x14ac:dyDescent="0.2">
      <c r="A349" s="188"/>
      <c r="B349" s="187"/>
      <c r="C349" s="166">
        <f>[3]H4!C524</f>
        <v>0</v>
      </c>
      <c r="D349" s="166">
        <f>[3]H4!D524</f>
        <v>0</v>
      </c>
      <c r="E349" s="166">
        <f>[3]H4!E524</f>
        <v>0</v>
      </c>
      <c r="F349" s="166">
        <f>[3]H4!F524</f>
        <v>0</v>
      </c>
      <c r="G349" s="166">
        <f>[3]H4!G524</f>
        <v>0</v>
      </c>
      <c r="H349" s="166">
        <f>[3]H4!H524</f>
        <v>0</v>
      </c>
      <c r="I349" s="96" t="e">
        <f>G349/D349</f>
        <v>#DIV/0!</v>
      </c>
    </row>
    <row r="350" spans="1:9" ht="31.5" hidden="1" customHeight="1" x14ac:dyDescent="0.2">
      <c r="A350" s="188"/>
      <c r="B350" s="187"/>
      <c r="C350" s="166" t="str">
        <f>[3]H4!C525</f>
        <v>2.6.2.2.3 - 2.COSTO DE CONSTRUCCION POR CONTRATA</v>
      </c>
      <c r="D350" s="166">
        <f>[3]H4!D525</f>
        <v>42177</v>
      </c>
      <c r="E350" s="166">
        <f>[3]H4!E525</f>
        <v>0</v>
      </c>
      <c r="F350" s="166">
        <f>[3]H4!F525</f>
        <v>42177</v>
      </c>
      <c r="G350" s="166">
        <f>[3]H4!G525</f>
        <v>0</v>
      </c>
      <c r="H350" s="166">
        <f>[3]H4!H525</f>
        <v>42177</v>
      </c>
      <c r="I350" s="96"/>
    </row>
    <row r="351" spans="1:9" ht="63" hidden="1" customHeight="1" x14ac:dyDescent="0.2">
      <c r="A351" s="188"/>
      <c r="B351" s="187"/>
      <c r="C351" s="166" t="str">
        <f>[3]H4!C526</f>
        <v>2.6.8.1.3 - 1.ELABORACION DE EXPEDIENTES TECNICOS</v>
      </c>
      <c r="D351" s="166">
        <f>[3]H4!D526</f>
        <v>664284</v>
      </c>
      <c r="E351" s="166">
        <f>[3]H4!E526</f>
        <v>606460.53</v>
      </c>
      <c r="F351" s="166">
        <f>[3]H4!F526</f>
        <v>57823.469999999972</v>
      </c>
      <c r="G351" s="166">
        <f>[3]H4!G526</f>
        <v>0</v>
      </c>
      <c r="H351" s="166">
        <f>[3]H4!H526</f>
        <v>664284</v>
      </c>
      <c r="I351" s="96">
        <f>G351/D351</f>
        <v>0</v>
      </c>
    </row>
    <row r="352" spans="1:9" ht="31.5" hidden="1" customHeight="1" x14ac:dyDescent="0.2">
      <c r="A352" s="188"/>
      <c r="B352" s="187"/>
      <c r="C352" s="166">
        <f>[3]H4!C527</f>
        <v>0</v>
      </c>
      <c r="D352" s="166">
        <f>[3]H4!D527</f>
        <v>0</v>
      </c>
      <c r="E352" s="166">
        <f>[3]H4!E527</f>
        <v>0</v>
      </c>
      <c r="F352" s="166">
        <f>[3]H4!F527</f>
        <v>0</v>
      </c>
      <c r="G352" s="166">
        <f>[3]H4!G527</f>
        <v>0</v>
      </c>
      <c r="H352" s="166">
        <f>[3]H4!H527</f>
        <v>0</v>
      </c>
      <c r="I352" s="96"/>
    </row>
    <row r="353" spans="1:9" ht="63" hidden="1" customHeight="1" x14ac:dyDescent="0.2">
      <c r="A353" s="188"/>
      <c r="B353" s="187"/>
      <c r="C353" s="166">
        <f>[3]H4!C528</f>
        <v>0</v>
      </c>
      <c r="D353" s="166">
        <f>[3]H4!D528</f>
        <v>0</v>
      </c>
      <c r="E353" s="166">
        <f>[3]H4!E528</f>
        <v>0</v>
      </c>
      <c r="F353" s="166">
        <f>[3]H4!F528</f>
        <v>0</v>
      </c>
      <c r="G353" s="166">
        <f>[3]H4!G528</f>
        <v>0</v>
      </c>
      <c r="H353" s="166">
        <f>[3]H4!H528</f>
        <v>0</v>
      </c>
      <c r="I353" s="96" t="e">
        <f>G353/D353</f>
        <v>#DIV/0!</v>
      </c>
    </row>
    <row r="354" spans="1:9" ht="31.5" hidden="1" customHeight="1" x14ac:dyDescent="0.2">
      <c r="A354" s="188"/>
      <c r="B354" s="187"/>
      <c r="C354" s="166" t="str">
        <f>[3]H4!C529</f>
        <v>2.6.2.2.3 - 2.COSTO DE CONSTRUCCION POR CONTRATA</v>
      </c>
      <c r="D354" s="166">
        <f>[3]H4!D529</f>
        <v>0</v>
      </c>
      <c r="E354" s="166">
        <f>[3]H4!E529</f>
        <v>0</v>
      </c>
      <c r="F354" s="166">
        <f>[3]H4!F529</f>
        <v>0</v>
      </c>
      <c r="G354" s="166">
        <f>[3]H4!G529</f>
        <v>0</v>
      </c>
      <c r="H354" s="166">
        <f>[3]H4!H529</f>
        <v>0</v>
      </c>
      <c r="I354" s="96"/>
    </row>
    <row r="355" spans="1:9" ht="63" hidden="1" customHeight="1" x14ac:dyDescent="0.2">
      <c r="A355" s="188"/>
      <c r="B355" s="187"/>
      <c r="C355" s="166">
        <f>[3]H4!C530</f>
        <v>0</v>
      </c>
      <c r="D355" s="166">
        <f>[3]H4!D530</f>
        <v>0</v>
      </c>
      <c r="E355" s="166">
        <f>[3]H4!E530</f>
        <v>0</v>
      </c>
      <c r="F355" s="166">
        <f>[3]H4!F530</f>
        <v>0</v>
      </c>
      <c r="G355" s="166">
        <f>[3]H4!G530</f>
        <v>0</v>
      </c>
      <c r="H355" s="166">
        <f>[3]H4!H530</f>
        <v>0</v>
      </c>
      <c r="I355" s="96">
        <v>0</v>
      </c>
    </row>
    <row r="356" spans="1:9" ht="31.5" hidden="1" customHeight="1" x14ac:dyDescent="0.2">
      <c r="A356" s="188"/>
      <c r="B356" s="187"/>
      <c r="C356" s="166">
        <f>[3]H4!C531</f>
        <v>0</v>
      </c>
      <c r="D356" s="166">
        <f>[3]H4!D531</f>
        <v>0</v>
      </c>
      <c r="E356" s="166">
        <f>[3]H4!E531</f>
        <v>0</v>
      </c>
      <c r="F356" s="166">
        <f>[3]H4!F531</f>
        <v>0</v>
      </c>
      <c r="G356" s="166">
        <f>[3]H4!G531</f>
        <v>0</v>
      </c>
      <c r="H356" s="166">
        <f>[3]H4!H531</f>
        <v>0</v>
      </c>
      <c r="I356" s="96"/>
    </row>
    <row r="357" spans="1:9" ht="47.25" hidden="1" customHeight="1" x14ac:dyDescent="0.2">
      <c r="A357" s="188"/>
      <c r="B357" s="187"/>
      <c r="C357" s="166">
        <f>[3]H4!C532</f>
        <v>0</v>
      </c>
      <c r="D357" s="166">
        <f>[3]H4!D532</f>
        <v>0</v>
      </c>
      <c r="E357" s="166">
        <f>[3]H4!E532</f>
        <v>0</v>
      </c>
      <c r="F357" s="166">
        <f>[3]H4!F532</f>
        <v>0</v>
      </c>
      <c r="G357" s="166">
        <f>[3]H4!G532</f>
        <v>0</v>
      </c>
      <c r="H357" s="166">
        <f>[3]H4!H532</f>
        <v>0</v>
      </c>
      <c r="I357" s="96">
        <v>0</v>
      </c>
    </row>
    <row r="358" spans="1:9" ht="31.5" hidden="1" customHeight="1" x14ac:dyDescent="0.2">
      <c r="A358" s="188"/>
      <c r="B358" s="187"/>
      <c r="C358" s="166" t="str">
        <f>[3]H4!C533</f>
        <v>2.6.2.3.9 - 2.COSTO DE CONSTRUCCION POR CONTRATA</v>
      </c>
      <c r="D358" s="166">
        <f>[3]H4!D533</f>
        <v>1349649</v>
      </c>
      <c r="E358" s="166">
        <f>[3]H4!E533</f>
        <v>0</v>
      </c>
      <c r="F358" s="166">
        <f>[3]H4!F533</f>
        <v>1349649</v>
      </c>
      <c r="G358" s="166">
        <f>[3]H4!G533</f>
        <v>0</v>
      </c>
      <c r="H358" s="166">
        <f>[3]H4!H533</f>
        <v>1349649</v>
      </c>
      <c r="I358" s="96"/>
    </row>
    <row r="359" spans="1:9" ht="141.75" hidden="1" customHeight="1" x14ac:dyDescent="0.2">
      <c r="A359" s="188"/>
      <c r="B359" s="187"/>
      <c r="C359" s="166">
        <f>[3]H4!C534</f>
        <v>0</v>
      </c>
      <c r="D359" s="166">
        <f>[3]H4!D534</f>
        <v>0</v>
      </c>
      <c r="E359" s="166">
        <f>[3]H4!E534</f>
        <v>0</v>
      </c>
      <c r="F359" s="166">
        <f>[3]H4!F534</f>
        <v>0</v>
      </c>
      <c r="G359" s="166">
        <f>[3]H4!G534</f>
        <v>0</v>
      </c>
      <c r="H359" s="166">
        <f>[3]H4!H534</f>
        <v>0</v>
      </c>
      <c r="I359" s="96">
        <v>0</v>
      </c>
    </row>
    <row r="360" spans="1:9" ht="189" hidden="1" customHeight="1" x14ac:dyDescent="0.2">
      <c r="A360" s="188"/>
      <c r="B360" s="187"/>
      <c r="C360" s="166">
        <f>[3]H4!C535</f>
        <v>0</v>
      </c>
      <c r="D360" s="166">
        <f>[3]H4!D535</f>
        <v>0</v>
      </c>
      <c r="E360" s="166">
        <f>[3]H4!E535</f>
        <v>0</v>
      </c>
      <c r="F360" s="166">
        <f>[3]H4!F535</f>
        <v>0</v>
      </c>
      <c r="G360" s="166">
        <f>[3]H4!G535</f>
        <v>0</v>
      </c>
      <c r="H360" s="166">
        <f>[3]H4!H535</f>
        <v>0</v>
      </c>
      <c r="I360" s="96">
        <v>0</v>
      </c>
    </row>
    <row r="361" spans="1:9" ht="31.5" hidden="1" customHeight="1" x14ac:dyDescent="0.2">
      <c r="A361" s="188"/>
      <c r="B361" s="187"/>
      <c r="C361" s="166">
        <f>[3]H4!C536</f>
        <v>0</v>
      </c>
      <c r="D361" s="166">
        <f>[3]H4!D536</f>
        <v>0</v>
      </c>
      <c r="E361" s="166">
        <f>[3]H4!E536</f>
        <v>0</v>
      </c>
      <c r="F361" s="166">
        <f>[3]H4!F536</f>
        <v>0</v>
      </c>
      <c r="G361" s="166">
        <f>[3]H4!G536</f>
        <v>0</v>
      </c>
      <c r="H361" s="166">
        <f>[3]H4!H536</f>
        <v>0</v>
      </c>
      <c r="I361" s="96"/>
    </row>
    <row r="362" spans="1:9" ht="63" hidden="1" customHeight="1" x14ac:dyDescent="0.2">
      <c r="A362" s="188"/>
      <c r="B362" s="187"/>
      <c r="C362" s="166" t="str">
        <f>[3]H4!C537</f>
        <v>2.6.2.2.3 - 2.COSTO DE CONSTRUCCION POR CONTRATA</v>
      </c>
      <c r="D362" s="166">
        <f>[3]H4!D537</f>
        <v>0</v>
      </c>
      <c r="E362" s="166">
        <f>[3]H4!E537</f>
        <v>0</v>
      </c>
      <c r="F362" s="166">
        <f>[3]H4!F537</f>
        <v>0</v>
      </c>
      <c r="G362" s="166">
        <f>[3]H4!G537</f>
        <v>0</v>
      </c>
      <c r="H362" s="166">
        <f>[3]H4!H537</f>
        <v>0</v>
      </c>
      <c r="I362" s="96">
        <v>0</v>
      </c>
    </row>
    <row r="363" spans="1:9" ht="31.5" hidden="1" customHeight="1" x14ac:dyDescent="0.2">
      <c r="A363" s="188"/>
      <c r="B363" s="187"/>
      <c r="C363" s="166" t="str">
        <f>[3]H4!C538</f>
        <v>2.6.8.1.3 - 1.ELABORACION DE EXPEDIENTES TECNICOS</v>
      </c>
      <c r="D363" s="166">
        <f>[3]H4!D538</f>
        <v>50000</v>
      </c>
      <c r="E363" s="166">
        <f>[3]H4!E538</f>
        <v>50000</v>
      </c>
      <c r="F363" s="166">
        <f>[3]H4!F538</f>
        <v>0</v>
      </c>
      <c r="G363" s="166">
        <f>[3]H4!G538</f>
        <v>43796.88</v>
      </c>
      <c r="H363" s="166">
        <f>[3]H4!H538</f>
        <v>6203.1200000000026</v>
      </c>
      <c r="I363" s="96"/>
    </row>
    <row r="364" spans="1:9" ht="47.25" hidden="1" customHeight="1" x14ac:dyDescent="0.2">
      <c r="A364" s="188"/>
      <c r="B364" s="187"/>
      <c r="C364" s="166">
        <f>[3]H4!C539</f>
        <v>0</v>
      </c>
      <c r="D364" s="166">
        <f>[3]H4!D539</f>
        <v>0</v>
      </c>
      <c r="E364" s="166">
        <f>[3]H4!E539</f>
        <v>0</v>
      </c>
      <c r="F364" s="166">
        <f>[3]H4!F539</f>
        <v>0</v>
      </c>
      <c r="G364" s="166">
        <f>[3]H4!G539</f>
        <v>0</v>
      </c>
      <c r="H364" s="166">
        <f>[3]H4!H539</f>
        <v>0</v>
      </c>
      <c r="I364" s="96">
        <v>0</v>
      </c>
    </row>
    <row r="365" spans="1:9" ht="31.5" hidden="1" customHeight="1" x14ac:dyDescent="0.2">
      <c r="A365" s="188"/>
      <c r="B365" s="187"/>
      <c r="C365" s="166">
        <f>[3]H4!C540</f>
        <v>0</v>
      </c>
      <c r="D365" s="166">
        <f>[3]H4!D540</f>
        <v>0</v>
      </c>
      <c r="E365" s="166">
        <f>[3]H4!E540</f>
        <v>0</v>
      </c>
      <c r="F365" s="166">
        <f>[3]H4!F540</f>
        <v>0</v>
      </c>
      <c r="G365" s="166">
        <f>[3]H4!G540</f>
        <v>0</v>
      </c>
      <c r="H365" s="166">
        <f>[3]H4!H540</f>
        <v>0</v>
      </c>
      <c r="I365" s="96"/>
    </row>
    <row r="366" spans="1:9" ht="78.75" hidden="1" customHeight="1" x14ac:dyDescent="0.2">
      <c r="A366" s="188"/>
      <c r="B366" s="187"/>
      <c r="C366" s="166" t="str">
        <f>[3]H4!C541</f>
        <v>2.6.2.2.3 - 2.COSTO DE CONSTRUCCION POR CONTRATA</v>
      </c>
      <c r="D366" s="166">
        <f>[3]H4!D541</f>
        <v>0</v>
      </c>
      <c r="E366" s="166">
        <f>[3]H4!E541</f>
        <v>0</v>
      </c>
      <c r="F366" s="166">
        <f>[3]H4!F541</f>
        <v>0</v>
      </c>
      <c r="G366" s="166">
        <f>[3]H4!G541</f>
        <v>0</v>
      </c>
      <c r="H366" s="166">
        <f>[3]H4!H541</f>
        <v>0</v>
      </c>
      <c r="I366" s="96">
        <v>0</v>
      </c>
    </row>
    <row r="367" spans="1:9" ht="31.5" hidden="1" customHeight="1" x14ac:dyDescent="0.2">
      <c r="A367" s="188"/>
      <c r="B367" s="187"/>
      <c r="C367" s="166" t="str">
        <f>[3]H4!C542</f>
        <v>2.6.8.1.3 - 1.ELABORACION DE EXPEDIENTES TECNICOS</v>
      </c>
      <c r="D367" s="166">
        <f>[3]H4!D542</f>
        <v>0</v>
      </c>
      <c r="E367" s="166">
        <f>[3]H4!E542</f>
        <v>0</v>
      </c>
      <c r="F367" s="166">
        <f>[3]H4!F542</f>
        <v>0</v>
      </c>
      <c r="G367" s="166">
        <f>[3]H4!G542</f>
        <v>0</v>
      </c>
      <c r="H367" s="166">
        <f>[3]H4!H542</f>
        <v>0</v>
      </c>
      <c r="I367" s="96"/>
    </row>
    <row r="368" spans="1:9" ht="78.75" hidden="1" customHeight="1" x14ac:dyDescent="0.2">
      <c r="A368" s="188"/>
      <c r="B368" s="187"/>
      <c r="C368" s="166">
        <f>[3]H4!C543</f>
        <v>0</v>
      </c>
      <c r="D368" s="166">
        <f>[3]H4!D543</f>
        <v>0</v>
      </c>
      <c r="E368" s="166">
        <f>[3]H4!E543</f>
        <v>0</v>
      </c>
      <c r="F368" s="166">
        <f>[3]H4!F543</f>
        <v>0</v>
      </c>
      <c r="G368" s="166">
        <f>[3]H4!G543</f>
        <v>0</v>
      </c>
      <c r="H368" s="166">
        <f>[3]H4!H543</f>
        <v>0</v>
      </c>
      <c r="I368" s="96" t="e">
        <f>G368/D368</f>
        <v>#DIV/0!</v>
      </c>
    </row>
    <row r="369" spans="1:9" ht="31.5" hidden="1" customHeight="1" x14ac:dyDescent="0.2">
      <c r="A369" s="188"/>
      <c r="B369" s="187"/>
      <c r="C369" s="166">
        <f>[3]H4!C544</f>
        <v>0</v>
      </c>
      <c r="D369" s="166">
        <f>[3]H4!D544</f>
        <v>0</v>
      </c>
      <c r="E369" s="166">
        <f>[3]H4!E544</f>
        <v>0</v>
      </c>
      <c r="F369" s="166">
        <f>[3]H4!F544</f>
        <v>0</v>
      </c>
      <c r="G369" s="166">
        <f>[3]H4!G544</f>
        <v>0</v>
      </c>
      <c r="H369" s="166">
        <f>[3]H4!H544</f>
        <v>0</v>
      </c>
      <c r="I369" s="96"/>
    </row>
    <row r="370" spans="1:9" ht="110.25" hidden="1" customHeight="1" x14ac:dyDescent="0.2">
      <c r="A370" s="188"/>
      <c r="B370" s="187"/>
      <c r="C370" s="166" t="str">
        <f>[3]H4!C545</f>
        <v>2.6.2.2.3 - 2.COSTO DE CONSTRUCCION POR CONTRATA</v>
      </c>
      <c r="D370" s="166">
        <f>[3]H4!D545</f>
        <v>0</v>
      </c>
      <c r="E370" s="166">
        <f>[3]H4!E545</f>
        <v>0</v>
      </c>
      <c r="F370" s="166">
        <f>[3]H4!F545</f>
        <v>0</v>
      </c>
      <c r="G370" s="166">
        <f>[3]H4!G545</f>
        <v>0</v>
      </c>
      <c r="H370" s="166">
        <f>[3]H4!H545</f>
        <v>0</v>
      </c>
      <c r="I370" s="96">
        <v>0</v>
      </c>
    </row>
    <row r="371" spans="1:9" ht="31.5" hidden="1" customHeight="1" x14ac:dyDescent="0.2">
      <c r="A371" s="188"/>
      <c r="B371" s="187"/>
      <c r="C371" s="166" t="str">
        <f>[3]H4!C546</f>
        <v>2.6.8.1.3 - 1.ELABORACION DE EXPEDIENTES TECNICOS</v>
      </c>
      <c r="D371" s="166">
        <f>[3]H4!D546</f>
        <v>82042</v>
      </c>
      <c r="E371" s="166">
        <f>[3]H4!E546</f>
        <v>73137.02</v>
      </c>
      <c r="F371" s="166">
        <f>[3]H4!F546</f>
        <v>8904.9799999999959</v>
      </c>
      <c r="G371" s="166">
        <f>[3]H4!G546</f>
        <v>48346.770000000004</v>
      </c>
      <c r="H371" s="166">
        <f>[3]H4!H546</f>
        <v>33695.229999999996</v>
      </c>
      <c r="I371" s="96"/>
    </row>
    <row r="372" spans="1:9" ht="94.5" hidden="1" customHeight="1" x14ac:dyDescent="0.2">
      <c r="A372" s="188"/>
      <c r="B372" s="187"/>
      <c r="C372" s="166">
        <f>[3]H4!C547</f>
        <v>0</v>
      </c>
      <c r="D372" s="166">
        <f>[3]H4!D547</f>
        <v>0</v>
      </c>
      <c r="E372" s="166">
        <f>[3]H4!E547</f>
        <v>0</v>
      </c>
      <c r="F372" s="166">
        <f>[3]H4!F547</f>
        <v>0</v>
      </c>
      <c r="G372" s="166">
        <f>[3]H4!G547</f>
        <v>0</v>
      </c>
      <c r="H372" s="166">
        <f>[3]H4!H547</f>
        <v>0</v>
      </c>
      <c r="I372" s="96" t="e">
        <f>G372/D372</f>
        <v>#DIV/0!</v>
      </c>
    </row>
    <row r="373" spans="1:9" ht="31.5" hidden="1" customHeight="1" x14ac:dyDescent="0.2">
      <c r="A373" s="188"/>
      <c r="B373" s="187"/>
      <c r="C373" s="166">
        <f>[3]H4!C548</f>
        <v>0</v>
      </c>
      <c r="D373" s="166">
        <f>[3]H4!D548</f>
        <v>0</v>
      </c>
      <c r="E373" s="166">
        <f>[3]H4!E548</f>
        <v>0</v>
      </c>
      <c r="F373" s="166">
        <f>[3]H4!F548</f>
        <v>0</v>
      </c>
      <c r="G373" s="166">
        <f>[3]H4!G548</f>
        <v>0</v>
      </c>
      <c r="H373" s="166">
        <f>[3]H4!H548</f>
        <v>0</v>
      </c>
      <c r="I373" s="96"/>
    </row>
    <row r="374" spans="1:9" ht="78.75" hidden="1" customHeight="1" x14ac:dyDescent="0.2">
      <c r="A374" s="188"/>
      <c r="B374" s="187"/>
      <c r="C374" s="166" t="str">
        <f>[3]H4!C549</f>
        <v>2.6.2.2.3 - 2.COSTO DE CONSTRUCCION POR CONTRATA</v>
      </c>
      <c r="D374" s="166">
        <f>[3]H4!D549</f>
        <v>0</v>
      </c>
      <c r="E374" s="166">
        <f>[3]H4!E549</f>
        <v>0</v>
      </c>
      <c r="F374" s="166">
        <f>[3]H4!F549</f>
        <v>0</v>
      </c>
      <c r="G374" s="166">
        <f>[3]H4!G549</f>
        <v>0</v>
      </c>
      <c r="H374" s="166">
        <f>[3]H4!H549</f>
        <v>0</v>
      </c>
      <c r="I374" s="96" t="e">
        <f>G374/D374</f>
        <v>#DIV/0!</v>
      </c>
    </row>
    <row r="375" spans="1:9" ht="31.5" hidden="1" customHeight="1" x14ac:dyDescent="0.2">
      <c r="A375" s="188"/>
      <c r="B375" s="187"/>
      <c r="C375" s="166" t="str">
        <f>[3]H4!C550</f>
        <v>2.6.8.1.3 - 1.ELABORACION DE EXPEDIENTES TECNICOS</v>
      </c>
      <c r="D375" s="166">
        <f>[3]H4!D550</f>
        <v>0</v>
      </c>
      <c r="E375" s="166">
        <f>[3]H4!E550</f>
        <v>0</v>
      </c>
      <c r="F375" s="166">
        <f>[3]H4!F550</f>
        <v>0</v>
      </c>
      <c r="G375" s="166">
        <f>[3]H4!G550</f>
        <v>0</v>
      </c>
      <c r="H375" s="166">
        <f>[3]H4!H550</f>
        <v>0</v>
      </c>
      <c r="I375" s="96"/>
    </row>
    <row r="376" spans="1:9" ht="126" hidden="1" customHeight="1" x14ac:dyDescent="0.2">
      <c r="A376" s="188"/>
      <c r="B376" s="187"/>
      <c r="C376" s="166">
        <f>[3]H4!C551</f>
        <v>0</v>
      </c>
      <c r="D376" s="166">
        <f>[3]H4!D551</f>
        <v>0</v>
      </c>
      <c r="E376" s="166">
        <f>[3]H4!E551</f>
        <v>0</v>
      </c>
      <c r="F376" s="166">
        <f>[3]H4!F551</f>
        <v>0</v>
      </c>
      <c r="G376" s="166">
        <f>[3]H4!G551</f>
        <v>0</v>
      </c>
      <c r="H376" s="166">
        <f>[3]H4!H551</f>
        <v>0</v>
      </c>
      <c r="I376" s="96">
        <v>0</v>
      </c>
    </row>
    <row r="377" spans="1:9" ht="31.5" hidden="1" customHeight="1" x14ac:dyDescent="0.2">
      <c r="A377" s="188"/>
      <c r="B377" s="187"/>
      <c r="C377" s="166">
        <f>[3]H4!C552</f>
        <v>0</v>
      </c>
      <c r="D377" s="166">
        <f>[3]H4!D552</f>
        <v>0</v>
      </c>
      <c r="E377" s="166">
        <f>[3]H4!E552</f>
        <v>0</v>
      </c>
      <c r="F377" s="166">
        <f>[3]H4!F552</f>
        <v>0</v>
      </c>
      <c r="G377" s="166">
        <f>[3]H4!G552</f>
        <v>0</v>
      </c>
      <c r="H377" s="166">
        <f>[3]H4!H552</f>
        <v>0</v>
      </c>
      <c r="I377" s="96"/>
    </row>
    <row r="378" spans="1:9" ht="47.25" hidden="1" customHeight="1" x14ac:dyDescent="0.2">
      <c r="A378" s="188"/>
      <c r="B378" s="187"/>
      <c r="C378" s="166" t="str">
        <f>[3]H4!C553</f>
        <v>2.6.2.2.3 - 2.COSTO DE CONSTRUCCION POR CONTRATA</v>
      </c>
      <c r="D378" s="166">
        <f>[3]H4!D553</f>
        <v>0</v>
      </c>
      <c r="E378" s="166">
        <f>[3]H4!E553</f>
        <v>0</v>
      </c>
      <c r="F378" s="166">
        <f>[3]H4!F553</f>
        <v>0</v>
      </c>
      <c r="G378" s="166">
        <f>[3]H4!G553</f>
        <v>0</v>
      </c>
      <c r="H378" s="166">
        <f>[3]H4!H553</f>
        <v>0</v>
      </c>
      <c r="I378" s="96" t="e">
        <f>G378/D378</f>
        <v>#DIV/0!</v>
      </c>
    </row>
    <row r="379" spans="1:9" ht="31.5" hidden="1" customHeight="1" x14ac:dyDescent="0.2">
      <c r="A379" s="188"/>
      <c r="B379" s="187"/>
      <c r="C379" s="166" t="str">
        <f>[3]H4!C554</f>
        <v>2.6.8.1.3 - 1.ELABORACION DE EXPEDIENTES TECNICOS</v>
      </c>
      <c r="D379" s="166">
        <f>[3]H4!D554</f>
        <v>72190</v>
      </c>
      <c r="E379" s="166">
        <f>[3]H4!E554</f>
        <v>62384.34</v>
      </c>
      <c r="F379" s="166">
        <f>[3]H4!F554</f>
        <v>9805.6600000000035</v>
      </c>
      <c r="G379" s="166">
        <f>[3]H4!G554</f>
        <v>55271.61</v>
      </c>
      <c r="H379" s="166">
        <f>[3]H4!H554</f>
        <v>16918.39</v>
      </c>
      <c r="I379" s="96"/>
    </row>
    <row r="380" spans="1:9" ht="110.25" hidden="1" customHeight="1" x14ac:dyDescent="0.2">
      <c r="A380" s="188"/>
      <c r="B380" s="187"/>
      <c r="C380" s="166">
        <f>[3]H4!C555</f>
        <v>0</v>
      </c>
      <c r="D380" s="166">
        <f>[3]H4!D555</f>
        <v>0</v>
      </c>
      <c r="E380" s="166">
        <f>[3]H4!E555</f>
        <v>0</v>
      </c>
      <c r="F380" s="166">
        <f>[3]H4!F555</f>
        <v>0</v>
      </c>
      <c r="G380" s="166">
        <f>[3]H4!G555</f>
        <v>0</v>
      </c>
      <c r="H380" s="166">
        <f>[3]H4!H555</f>
        <v>0</v>
      </c>
      <c r="I380" s="96" t="e">
        <f>G380/D380</f>
        <v>#DIV/0!</v>
      </c>
    </row>
    <row r="381" spans="1:9" ht="31.5" hidden="1" customHeight="1" x14ac:dyDescent="0.2">
      <c r="A381" s="188"/>
      <c r="B381" s="187"/>
      <c r="C381" s="166">
        <f>[3]H4!C556</f>
        <v>0</v>
      </c>
      <c r="D381" s="166">
        <f>[3]H4!D556</f>
        <v>0</v>
      </c>
      <c r="E381" s="166">
        <f>[3]H4!E556</f>
        <v>0</v>
      </c>
      <c r="F381" s="166">
        <f>[3]H4!F556</f>
        <v>0</v>
      </c>
      <c r="G381" s="166">
        <f>[3]H4!G556</f>
        <v>0</v>
      </c>
      <c r="H381" s="166">
        <f>[3]H4!H556</f>
        <v>0</v>
      </c>
      <c r="I381" s="96"/>
    </row>
    <row r="382" spans="1:9" ht="78.75" hidden="1" customHeight="1" x14ac:dyDescent="0.2">
      <c r="A382" s="188"/>
      <c r="B382" s="187"/>
      <c r="C382" s="166" t="str">
        <f>[3]H4!C557</f>
        <v>2.6.2.2.3 - 2.COSTO DE CONSTRUCCION POR CONTRATA</v>
      </c>
      <c r="D382" s="166">
        <f>[3]H4!D557</f>
        <v>0</v>
      </c>
      <c r="E382" s="166">
        <f>[3]H4!E557</f>
        <v>0</v>
      </c>
      <c r="F382" s="166">
        <f>[3]H4!F557</f>
        <v>0</v>
      </c>
      <c r="G382" s="166">
        <f>[3]H4!G557</f>
        <v>0</v>
      </c>
      <c r="H382" s="166">
        <f>[3]H4!H557</f>
        <v>0</v>
      </c>
      <c r="I382" s="96" t="e">
        <f>G382/D382</f>
        <v>#DIV/0!</v>
      </c>
    </row>
    <row r="383" spans="1:9" ht="31.5" hidden="1" customHeight="1" x14ac:dyDescent="0.2">
      <c r="A383" s="188"/>
      <c r="B383" s="187"/>
      <c r="C383" s="166" t="str">
        <f>[3]H4!C558</f>
        <v>2.6.8.1.3 - 1.ELABORACION DE EXPEDIENTES TECNICOS</v>
      </c>
      <c r="D383" s="166">
        <f>[3]H4!D558</f>
        <v>69837</v>
      </c>
      <c r="E383" s="166">
        <f>[3]H4!E558</f>
        <v>30000</v>
      </c>
      <c r="F383" s="166">
        <f>[3]H4!F558</f>
        <v>39837</v>
      </c>
      <c r="G383" s="166">
        <f>[3]H4!G558</f>
        <v>24166.33</v>
      </c>
      <c r="H383" s="166">
        <f>[3]H4!H558</f>
        <v>45670.67</v>
      </c>
      <c r="I383" s="96"/>
    </row>
    <row r="384" spans="1:9" ht="94.5" hidden="1" customHeight="1" x14ac:dyDescent="0.2">
      <c r="A384" s="188"/>
      <c r="B384" s="187"/>
      <c r="C384" s="166">
        <f>[3]H4!C559</f>
        <v>0</v>
      </c>
      <c r="D384" s="166">
        <f>[3]H4!D559</f>
        <v>0</v>
      </c>
      <c r="E384" s="166">
        <f>[3]H4!E559</f>
        <v>0</v>
      </c>
      <c r="F384" s="166">
        <f>[3]H4!F559</f>
        <v>0</v>
      </c>
      <c r="G384" s="166">
        <f>[3]H4!G559</f>
        <v>0</v>
      </c>
      <c r="H384" s="166">
        <f>[3]H4!H559</f>
        <v>0</v>
      </c>
      <c r="I384" s="96" t="e">
        <f>G384/D384</f>
        <v>#DIV/0!</v>
      </c>
    </row>
    <row r="385" spans="1:9" ht="31.5" hidden="1" customHeight="1" x14ac:dyDescent="0.2">
      <c r="A385" s="188"/>
      <c r="B385" s="187"/>
      <c r="C385" s="166">
        <f>[3]H4!C560</f>
        <v>0</v>
      </c>
      <c r="D385" s="166">
        <f>[3]H4!D560</f>
        <v>0</v>
      </c>
      <c r="E385" s="166">
        <f>[3]H4!E560</f>
        <v>0</v>
      </c>
      <c r="F385" s="166">
        <f>[3]H4!F560</f>
        <v>0</v>
      </c>
      <c r="G385" s="166">
        <f>[3]H4!G560</f>
        <v>0</v>
      </c>
      <c r="H385" s="166">
        <f>[3]H4!H560</f>
        <v>0</v>
      </c>
      <c r="I385" s="96"/>
    </row>
    <row r="386" spans="1:9" ht="94.5" hidden="1" customHeight="1" x14ac:dyDescent="0.2">
      <c r="A386" s="188"/>
      <c r="B386" s="187"/>
      <c r="C386" s="166" t="str">
        <f>[3]H4!C561</f>
        <v>2.6.2.2.3 - 2.COSTO DE CONSTRUCCION POR CONTRATA</v>
      </c>
      <c r="D386" s="166">
        <f>[3]H4!D561</f>
        <v>0</v>
      </c>
      <c r="E386" s="166">
        <f>[3]H4!E561</f>
        <v>0</v>
      </c>
      <c r="F386" s="166">
        <f>[3]H4!F561</f>
        <v>0</v>
      </c>
      <c r="G386" s="166">
        <f>[3]H4!G561</f>
        <v>0</v>
      </c>
      <c r="H386" s="166">
        <f>[3]H4!H561</f>
        <v>0</v>
      </c>
      <c r="I386" s="96" t="e">
        <f>G386/D386</f>
        <v>#DIV/0!</v>
      </c>
    </row>
    <row r="387" spans="1:9" ht="31.5" hidden="1" customHeight="1" x14ac:dyDescent="0.2">
      <c r="A387" s="188"/>
      <c r="B387" s="187"/>
      <c r="C387" s="166" t="str">
        <f>[3]H4!C562</f>
        <v>2.6.8.1.3 - 1.ELABORACION DE EXPEDIENTES TECNICOS</v>
      </c>
      <c r="D387" s="166">
        <f>[3]H4!D562</f>
        <v>50000</v>
      </c>
      <c r="E387" s="166">
        <f>[3]H4!E562</f>
        <v>50000</v>
      </c>
      <c r="F387" s="166">
        <f>[3]H4!F562</f>
        <v>0</v>
      </c>
      <c r="G387" s="166">
        <f>[3]H4!G562</f>
        <v>48541.71</v>
      </c>
      <c r="H387" s="166">
        <f>[3]H4!H562</f>
        <v>1458.2900000000009</v>
      </c>
      <c r="I387" s="96"/>
    </row>
    <row r="388" spans="1:9" ht="126" hidden="1" customHeight="1" x14ac:dyDescent="0.2">
      <c r="A388" s="188"/>
      <c r="B388" s="187"/>
      <c r="C388" s="166">
        <f>[3]H4!C563</f>
        <v>0</v>
      </c>
      <c r="D388" s="166">
        <f>[3]H4!D563</f>
        <v>0</v>
      </c>
      <c r="E388" s="166">
        <f>[3]H4!E563</f>
        <v>0</v>
      </c>
      <c r="F388" s="166">
        <f>[3]H4!F563</f>
        <v>0</v>
      </c>
      <c r="G388" s="166">
        <f>[3]H4!G563</f>
        <v>0</v>
      </c>
      <c r="H388" s="166">
        <f>[3]H4!H563</f>
        <v>0</v>
      </c>
      <c r="I388" s="96" t="e">
        <f>G388/D388</f>
        <v>#DIV/0!</v>
      </c>
    </row>
    <row r="389" spans="1:9" ht="31.5" hidden="1" customHeight="1" x14ac:dyDescent="0.2">
      <c r="A389" s="188"/>
      <c r="B389" s="187"/>
      <c r="C389" s="166">
        <f>[3]H4!C564</f>
        <v>0</v>
      </c>
      <c r="D389" s="166">
        <f>[3]H4!D564</f>
        <v>0</v>
      </c>
      <c r="E389" s="166">
        <f>[3]H4!E564</f>
        <v>0</v>
      </c>
      <c r="F389" s="166">
        <f>[3]H4!F564</f>
        <v>0</v>
      </c>
      <c r="G389" s="166">
        <f>[3]H4!G564</f>
        <v>0</v>
      </c>
      <c r="H389" s="166">
        <f>[3]H4!H564</f>
        <v>0</v>
      </c>
      <c r="I389" s="96"/>
    </row>
    <row r="390" spans="1:9" ht="78.75" hidden="1" customHeight="1" x14ac:dyDescent="0.2">
      <c r="A390" s="188"/>
      <c r="B390" s="187"/>
      <c r="C390" s="166" t="str">
        <f>[3]H4!C565</f>
        <v>2.6.2.2.3 - 2.COSTO DE CONSTRUCCION POR CONTRATA</v>
      </c>
      <c r="D390" s="166">
        <f>[3]H4!D565</f>
        <v>0</v>
      </c>
      <c r="E390" s="166">
        <f>[3]H4!E565</f>
        <v>0</v>
      </c>
      <c r="F390" s="166">
        <f>[3]H4!F565</f>
        <v>0</v>
      </c>
      <c r="G390" s="166">
        <f>[3]H4!G565</f>
        <v>0</v>
      </c>
      <c r="H390" s="166">
        <f>[3]H4!H565</f>
        <v>0</v>
      </c>
      <c r="I390" s="96" t="e">
        <f>G390/D390</f>
        <v>#DIV/0!</v>
      </c>
    </row>
    <row r="391" spans="1:9" ht="31.5" hidden="1" customHeight="1" x14ac:dyDescent="0.2">
      <c r="A391" s="188"/>
      <c r="B391" s="187"/>
      <c r="C391" s="166" t="str">
        <f>[3]H4!C566</f>
        <v>2.6.8.1.3 - 1.ELABORACION DE EXPEDIENTES TECNICOS</v>
      </c>
      <c r="D391" s="166">
        <f>[3]H4!D566</f>
        <v>304060</v>
      </c>
      <c r="E391" s="166">
        <f>[3]H4!E566</f>
        <v>291997.5</v>
      </c>
      <c r="F391" s="166">
        <f>[3]H4!F566</f>
        <v>12062.5</v>
      </c>
      <c r="G391" s="166">
        <f>[3]H4!G566</f>
        <v>226901.79</v>
      </c>
      <c r="H391" s="166">
        <f>[3]H4!H566</f>
        <v>77158.209999999992</v>
      </c>
      <c r="I391" s="96"/>
    </row>
    <row r="392" spans="1:9" ht="110.25" hidden="1" customHeight="1" x14ac:dyDescent="0.2">
      <c r="A392" s="188"/>
      <c r="B392" s="187"/>
      <c r="C392" s="166">
        <f>[3]H4!C567</f>
        <v>0</v>
      </c>
      <c r="D392" s="166">
        <f>[3]H4!D567</f>
        <v>0</v>
      </c>
      <c r="E392" s="166">
        <f>[3]H4!E567</f>
        <v>0</v>
      </c>
      <c r="F392" s="166">
        <f>[3]H4!F567</f>
        <v>0</v>
      </c>
      <c r="G392" s="166">
        <f>[3]H4!G567</f>
        <v>0</v>
      </c>
      <c r="H392" s="166">
        <f>[3]H4!H567</f>
        <v>0</v>
      </c>
      <c r="I392" s="96" t="e">
        <f>G392/D392</f>
        <v>#DIV/0!</v>
      </c>
    </row>
    <row r="393" spans="1:9" ht="31.5" hidden="1" customHeight="1" x14ac:dyDescent="0.2">
      <c r="A393" s="188"/>
      <c r="B393" s="187"/>
      <c r="C393" s="166">
        <f>[3]H4!C568</f>
        <v>0</v>
      </c>
      <c r="D393" s="166">
        <f>[3]H4!D568</f>
        <v>0</v>
      </c>
      <c r="E393" s="166">
        <f>[3]H4!E568</f>
        <v>0</v>
      </c>
      <c r="F393" s="166">
        <f>[3]H4!F568</f>
        <v>0</v>
      </c>
      <c r="G393" s="166">
        <f>[3]H4!G568</f>
        <v>0</v>
      </c>
      <c r="H393" s="166">
        <f>[3]H4!H568</f>
        <v>0</v>
      </c>
      <c r="I393" s="96"/>
    </row>
    <row r="394" spans="1:9" ht="78.75" hidden="1" customHeight="1" x14ac:dyDescent="0.2">
      <c r="A394" s="188"/>
      <c r="B394" s="187"/>
      <c r="C394" s="166" t="str">
        <f>[3]H4!C569</f>
        <v>2.6.2.2.3 - 2.COSTO DE CONSTRUCCION POR CONTRATA</v>
      </c>
      <c r="D394" s="166">
        <f>[3]H4!D569</f>
        <v>0</v>
      </c>
      <c r="E394" s="166">
        <f>[3]H4!E569</f>
        <v>0</v>
      </c>
      <c r="F394" s="166">
        <f>[3]H4!F569</f>
        <v>0</v>
      </c>
      <c r="G394" s="166">
        <f>[3]H4!G569</f>
        <v>0</v>
      </c>
      <c r="H394" s="166">
        <f>[3]H4!H569</f>
        <v>0</v>
      </c>
      <c r="I394" s="96" t="e">
        <f>G394/D394</f>
        <v>#DIV/0!</v>
      </c>
    </row>
    <row r="395" spans="1:9" ht="31.5" hidden="1" customHeight="1" x14ac:dyDescent="0.2">
      <c r="A395" s="188"/>
      <c r="B395" s="187"/>
      <c r="C395" s="166" t="str">
        <f>[3]H4!C570</f>
        <v>2.6.8.1.3 - 1.ELABORACION DE EXPEDIENTES TECNICOS</v>
      </c>
      <c r="D395" s="166">
        <f>[3]H4!D570</f>
        <v>0</v>
      </c>
      <c r="E395" s="166">
        <f>[3]H4!E570</f>
        <v>0</v>
      </c>
      <c r="F395" s="166">
        <f>[3]H4!F570</f>
        <v>0</v>
      </c>
      <c r="G395" s="166">
        <f>[3]H4!G570</f>
        <v>0</v>
      </c>
      <c r="H395" s="166">
        <f>[3]H4!H570</f>
        <v>0</v>
      </c>
      <c r="I395" s="96"/>
    </row>
    <row r="396" spans="1:9" ht="78.75" hidden="1" customHeight="1" x14ac:dyDescent="0.2">
      <c r="A396" s="188"/>
      <c r="B396" s="187"/>
      <c r="C396" s="166">
        <f>[3]H4!C571</f>
        <v>0</v>
      </c>
      <c r="D396" s="166">
        <f>[3]H4!D571</f>
        <v>0</v>
      </c>
      <c r="E396" s="166">
        <f>[3]H4!E571</f>
        <v>0</v>
      </c>
      <c r="F396" s="166">
        <f>[3]H4!F571</f>
        <v>0</v>
      </c>
      <c r="G396" s="166">
        <f>[3]H4!G571</f>
        <v>0</v>
      </c>
      <c r="H396" s="166">
        <f>[3]H4!H571</f>
        <v>0</v>
      </c>
      <c r="I396" s="96" t="e">
        <f>G396/D396</f>
        <v>#DIV/0!</v>
      </c>
    </row>
    <row r="397" spans="1:9" ht="31.5" hidden="1" customHeight="1" x14ac:dyDescent="0.2">
      <c r="A397" s="188"/>
      <c r="B397" s="187"/>
      <c r="C397" s="166">
        <f>[3]H4!C572</f>
        <v>0</v>
      </c>
      <c r="D397" s="166">
        <f>[3]H4!D572</f>
        <v>0</v>
      </c>
      <c r="E397" s="166">
        <f>[3]H4!E572</f>
        <v>0</v>
      </c>
      <c r="F397" s="166">
        <f>[3]H4!F572</f>
        <v>0</v>
      </c>
      <c r="G397" s="166">
        <f>[3]H4!G572</f>
        <v>0</v>
      </c>
      <c r="H397" s="166">
        <f>[3]H4!H572</f>
        <v>0</v>
      </c>
      <c r="I397" s="96"/>
    </row>
    <row r="398" spans="1:9" ht="78.75" hidden="1" customHeight="1" x14ac:dyDescent="0.2">
      <c r="A398" s="188"/>
      <c r="B398" s="187"/>
      <c r="C398" s="166" t="str">
        <f>[3]H4!C573</f>
        <v>2.6.2.2.2 - 2.COSTO DE CONSTRUCCION POR CONTRATA</v>
      </c>
      <c r="D398" s="166">
        <f>[3]H4!D573</f>
        <v>0</v>
      </c>
      <c r="E398" s="166">
        <f>[3]H4!E573</f>
        <v>0</v>
      </c>
      <c r="F398" s="166">
        <f>[3]H4!F573</f>
        <v>0</v>
      </c>
      <c r="G398" s="166">
        <f>[3]H4!G573</f>
        <v>0</v>
      </c>
      <c r="H398" s="166">
        <f>[3]H4!H573</f>
        <v>0</v>
      </c>
      <c r="I398" s="96" t="e">
        <f>G398/D398</f>
        <v>#DIV/0!</v>
      </c>
    </row>
    <row r="399" spans="1:9" ht="31.5" hidden="1" customHeight="1" x14ac:dyDescent="0.2">
      <c r="A399" s="188"/>
      <c r="B399" s="187"/>
      <c r="C399" s="166">
        <f>[3]H4!C574</f>
        <v>0</v>
      </c>
      <c r="D399" s="166">
        <f>[3]H4!D574</f>
        <v>0</v>
      </c>
      <c r="E399" s="166">
        <f>[3]H4!E574</f>
        <v>0</v>
      </c>
      <c r="F399" s="166">
        <f>[3]H4!F574</f>
        <v>0</v>
      </c>
      <c r="G399" s="166">
        <f>[3]H4!G574</f>
        <v>0</v>
      </c>
      <c r="H399" s="166">
        <f>[3]H4!H574</f>
        <v>0</v>
      </c>
      <c r="I399" s="96"/>
    </row>
    <row r="400" spans="1:9" ht="78.75" hidden="1" customHeight="1" x14ac:dyDescent="0.2">
      <c r="A400" s="188"/>
      <c r="B400" s="187"/>
      <c r="C400" s="166">
        <f>[3]H4!C575</f>
        <v>0</v>
      </c>
      <c r="D400" s="166">
        <f>[3]H4!D575</f>
        <v>0</v>
      </c>
      <c r="E400" s="166">
        <f>[3]H4!E575</f>
        <v>0</v>
      </c>
      <c r="F400" s="166">
        <f>[3]H4!F575</f>
        <v>0</v>
      </c>
      <c r="G400" s="166">
        <f>[3]H4!G575</f>
        <v>0</v>
      </c>
      <c r="H400" s="166">
        <f>[3]H4!H575</f>
        <v>0</v>
      </c>
      <c r="I400" s="96" t="e">
        <f>G400/D400</f>
        <v>#DIV/0!</v>
      </c>
    </row>
    <row r="401" spans="1:9" ht="31.5" hidden="1" customHeight="1" x14ac:dyDescent="0.2">
      <c r="A401" s="188"/>
      <c r="B401" s="187"/>
      <c r="C401" s="166">
        <f>[3]H4!C576</f>
        <v>0</v>
      </c>
      <c r="D401" s="166">
        <f>[3]H4!D576</f>
        <v>0</v>
      </c>
      <c r="E401" s="166">
        <f>[3]H4!E576</f>
        <v>0</v>
      </c>
      <c r="F401" s="166">
        <f>[3]H4!F576</f>
        <v>0</v>
      </c>
      <c r="G401" s="166">
        <f>[3]H4!G576</f>
        <v>0</v>
      </c>
      <c r="H401" s="166">
        <f>[3]H4!H576</f>
        <v>0</v>
      </c>
      <c r="I401" s="96"/>
    </row>
    <row r="402" spans="1:9" ht="110.25" hidden="1" customHeight="1" x14ac:dyDescent="0.2">
      <c r="A402" s="188"/>
      <c r="B402" s="187"/>
      <c r="C402" s="166" t="str">
        <f>[3]H4!C577</f>
        <v>2.6.2.2.3 - 2.COSTO DE CONSTRUCCION POR CONTRATA</v>
      </c>
      <c r="D402" s="166">
        <f>[3]H4!D577</f>
        <v>0</v>
      </c>
      <c r="E402" s="166">
        <f>[3]H4!E577</f>
        <v>0</v>
      </c>
      <c r="F402" s="166">
        <f>[3]H4!F577</f>
        <v>0</v>
      </c>
      <c r="G402" s="166">
        <f>[3]H4!G577</f>
        <v>0</v>
      </c>
      <c r="H402" s="166">
        <f>[3]H4!H577</f>
        <v>0</v>
      </c>
      <c r="I402" s="96" t="e">
        <f>G402/D402</f>
        <v>#DIV/0!</v>
      </c>
    </row>
    <row r="403" spans="1:9" ht="31.5" hidden="1" customHeight="1" x14ac:dyDescent="0.2">
      <c r="A403" s="188"/>
      <c r="B403" s="187"/>
      <c r="C403" s="166" t="str">
        <f>[3]H4!C578</f>
        <v>2.6.8.1.3 - 1.ELABORACION DE EXPEDIENTES TECNICOS</v>
      </c>
      <c r="D403" s="166">
        <f>[3]H4!D578</f>
        <v>340317</v>
      </c>
      <c r="E403" s="166">
        <f>[3]H4!E578</f>
        <v>335271.5</v>
      </c>
      <c r="F403" s="166">
        <f>[3]H4!F578</f>
        <v>5045.5</v>
      </c>
      <c r="G403" s="166">
        <f>[3]H4!G578</f>
        <v>228699.2</v>
      </c>
      <c r="H403" s="166">
        <f>[3]H4!H578</f>
        <v>111617.79999999999</v>
      </c>
      <c r="I403" s="96"/>
    </row>
    <row r="404" spans="1:9" ht="94.5" hidden="1" customHeight="1" x14ac:dyDescent="0.2">
      <c r="A404" s="188"/>
      <c r="B404" s="187"/>
      <c r="C404" s="166">
        <f>[3]H4!C579</f>
        <v>0</v>
      </c>
      <c r="D404" s="166">
        <f>[3]H4!D579</f>
        <v>0</v>
      </c>
      <c r="E404" s="166">
        <f>[3]H4!E579</f>
        <v>0</v>
      </c>
      <c r="F404" s="166">
        <f>[3]H4!F579</f>
        <v>0</v>
      </c>
      <c r="G404" s="166">
        <f>[3]H4!G579</f>
        <v>0</v>
      </c>
      <c r="H404" s="166">
        <f>[3]H4!H579</f>
        <v>0</v>
      </c>
      <c r="I404" s="96" t="e">
        <f>G404/D404</f>
        <v>#DIV/0!</v>
      </c>
    </row>
    <row r="405" spans="1:9" ht="31.5" hidden="1" customHeight="1" x14ac:dyDescent="0.2">
      <c r="A405" s="188"/>
      <c r="B405" s="187"/>
      <c r="C405" s="166">
        <f>[3]H4!C580</f>
        <v>0</v>
      </c>
      <c r="D405" s="166">
        <f>[3]H4!D580</f>
        <v>0</v>
      </c>
      <c r="E405" s="166">
        <f>[3]H4!E580</f>
        <v>0</v>
      </c>
      <c r="F405" s="166">
        <f>[3]H4!F580</f>
        <v>0</v>
      </c>
      <c r="G405" s="166">
        <f>[3]H4!G580</f>
        <v>0</v>
      </c>
      <c r="H405" s="166">
        <f>[3]H4!H580</f>
        <v>0</v>
      </c>
      <c r="I405" s="96"/>
    </row>
    <row r="406" spans="1:9" ht="78.75" hidden="1" customHeight="1" x14ac:dyDescent="0.2">
      <c r="A406" s="188"/>
      <c r="B406" s="187"/>
      <c r="C406" s="166" t="str">
        <f>[3]H4!C581</f>
        <v>2.6.2.2.3 - 2.COSTO DE CONSTRUCCION POR CONTRATA</v>
      </c>
      <c r="D406" s="166">
        <f>[3]H4!D581</f>
        <v>0</v>
      </c>
      <c r="E406" s="166">
        <f>[3]H4!E581</f>
        <v>0</v>
      </c>
      <c r="F406" s="166">
        <f>[3]H4!F581</f>
        <v>0</v>
      </c>
      <c r="G406" s="166">
        <f>[3]H4!G581</f>
        <v>0</v>
      </c>
      <c r="H406" s="166">
        <f>[3]H4!H581</f>
        <v>0</v>
      </c>
      <c r="I406" s="96" t="e">
        <f>G406/D406</f>
        <v>#DIV/0!</v>
      </c>
    </row>
    <row r="407" spans="1:9" ht="31.5" hidden="1" customHeight="1" x14ac:dyDescent="0.2">
      <c r="A407" s="188"/>
      <c r="B407" s="187"/>
      <c r="C407" s="166" t="str">
        <f>[3]H4!C582</f>
        <v>2.6.8.1.3 - 1.ELABORACION DE EXPEDIENTES TECNICOS</v>
      </c>
      <c r="D407" s="166">
        <f>[3]H4!D582</f>
        <v>282553</v>
      </c>
      <c r="E407" s="166">
        <f>[3]H4!E582</f>
        <v>282553</v>
      </c>
      <c r="F407" s="166">
        <f>[3]H4!F582</f>
        <v>0</v>
      </c>
      <c r="G407" s="166">
        <f>[3]H4!G582</f>
        <v>0</v>
      </c>
      <c r="H407" s="166">
        <f>[3]H4!H582</f>
        <v>282553</v>
      </c>
      <c r="I407" s="96"/>
    </row>
    <row r="408" spans="1:9" ht="141.75" hidden="1" customHeight="1" x14ac:dyDescent="0.2">
      <c r="A408" s="188"/>
      <c r="B408" s="187"/>
      <c r="C408" s="166">
        <f>[3]H4!C583</f>
        <v>0</v>
      </c>
      <c r="D408" s="166">
        <f>[3]H4!D583</f>
        <v>0</v>
      </c>
      <c r="E408" s="166">
        <f>[3]H4!E583</f>
        <v>0</v>
      </c>
      <c r="F408" s="166">
        <f>[3]H4!F583</f>
        <v>0</v>
      </c>
      <c r="G408" s="166">
        <f>[3]H4!G583</f>
        <v>0</v>
      </c>
      <c r="H408" s="166">
        <f>[3]H4!H583</f>
        <v>0</v>
      </c>
      <c r="I408" s="96" t="e">
        <f>G408/D408</f>
        <v>#DIV/0!</v>
      </c>
    </row>
    <row r="409" spans="1:9" ht="31.5" hidden="1" customHeight="1" x14ac:dyDescent="0.2">
      <c r="A409" s="188"/>
      <c r="B409" s="187"/>
      <c r="C409" s="166">
        <f>[3]H4!C584</f>
        <v>0</v>
      </c>
      <c r="D409" s="166">
        <f>[3]H4!D584</f>
        <v>0</v>
      </c>
      <c r="E409" s="166">
        <f>[3]H4!E584</f>
        <v>0</v>
      </c>
      <c r="F409" s="166">
        <f>[3]H4!F584</f>
        <v>0</v>
      </c>
      <c r="G409" s="166">
        <f>[3]H4!G584</f>
        <v>0</v>
      </c>
      <c r="H409" s="166">
        <f>[3]H4!H584</f>
        <v>0</v>
      </c>
      <c r="I409" s="96"/>
    </row>
    <row r="410" spans="1:9" ht="78.75" hidden="1" customHeight="1" x14ac:dyDescent="0.2">
      <c r="A410" s="188"/>
      <c r="B410" s="187"/>
      <c r="C410" s="166" t="str">
        <f>[3]H4!C585</f>
        <v>2.6.8.1.3 - 1.ELABORACION DE EXPEDIENTES TECNICOS</v>
      </c>
      <c r="D410" s="166">
        <f>[3]H4!D585</f>
        <v>200000</v>
      </c>
      <c r="E410" s="166">
        <f>[3]H4!E585</f>
        <v>0</v>
      </c>
      <c r="F410" s="166">
        <f>[3]H4!F585</f>
        <v>200000</v>
      </c>
      <c r="G410" s="166">
        <f>[3]H4!G585</f>
        <v>0</v>
      </c>
      <c r="H410" s="166">
        <f>[3]H4!H585</f>
        <v>200000</v>
      </c>
      <c r="I410" s="96">
        <f>G410/D410</f>
        <v>0</v>
      </c>
    </row>
    <row r="411" spans="1:9" ht="31.5" hidden="1" customHeight="1" x14ac:dyDescent="0.2">
      <c r="A411" s="188"/>
      <c r="B411" s="187"/>
      <c r="C411" s="166">
        <f>[3]H4!C586</f>
        <v>0</v>
      </c>
      <c r="D411" s="166">
        <f>[3]H4!D586</f>
        <v>0</v>
      </c>
      <c r="E411" s="166">
        <f>[3]H4!E586</f>
        <v>0</v>
      </c>
      <c r="F411" s="166">
        <f>[3]H4!F586</f>
        <v>0</v>
      </c>
      <c r="G411" s="166">
        <f>[3]H4!G586</f>
        <v>0</v>
      </c>
      <c r="H411" s="166">
        <f>[3]H4!H586</f>
        <v>0</v>
      </c>
      <c r="I411" s="96"/>
    </row>
    <row r="412" spans="1:9" ht="110.25" hidden="1" customHeight="1" x14ac:dyDescent="0.2">
      <c r="A412" s="188"/>
      <c r="B412" s="187"/>
      <c r="C412" s="166">
        <f>[3]H4!C587</f>
        <v>0</v>
      </c>
      <c r="D412" s="166">
        <f>[3]H4!D587</f>
        <v>0</v>
      </c>
      <c r="E412" s="166">
        <f>[3]H4!E587</f>
        <v>0</v>
      </c>
      <c r="F412" s="166">
        <f>[3]H4!F587</f>
        <v>0</v>
      </c>
      <c r="G412" s="166">
        <f>[3]H4!G587</f>
        <v>0</v>
      </c>
      <c r="H412" s="166">
        <f>[3]H4!H587</f>
        <v>0</v>
      </c>
      <c r="I412" s="96" t="e">
        <f>G412/D412</f>
        <v>#DIV/0!</v>
      </c>
    </row>
    <row r="413" spans="1:9" ht="31.5" hidden="1" customHeight="1" x14ac:dyDescent="0.2">
      <c r="A413" s="188"/>
      <c r="B413" s="187"/>
      <c r="C413" s="166">
        <f>[3]H4!C588</f>
        <v>0</v>
      </c>
      <c r="D413" s="166">
        <f>[3]H4!D588</f>
        <v>0</v>
      </c>
      <c r="E413" s="166">
        <f>[3]H4!E588</f>
        <v>0</v>
      </c>
      <c r="F413" s="166">
        <f>[3]H4!F588</f>
        <v>0</v>
      </c>
      <c r="G413" s="166">
        <f>[3]H4!G588</f>
        <v>0</v>
      </c>
      <c r="H413" s="166">
        <f>[3]H4!H588</f>
        <v>0</v>
      </c>
      <c r="I413" s="96"/>
    </row>
    <row r="414" spans="1:9" ht="78.75" hidden="1" customHeight="1" x14ac:dyDescent="0.2">
      <c r="A414" s="188"/>
      <c r="B414" s="187"/>
      <c r="C414" s="166" t="str">
        <f>[3]H4!C589</f>
        <v>2.6.8.1.3 - 1.ELABORACION DE EXPEDIENTES TECNICOS</v>
      </c>
      <c r="D414" s="166">
        <f>[3]H4!D589</f>
        <v>199545</v>
      </c>
      <c r="E414" s="166">
        <f>[3]H4!E589</f>
        <v>199545</v>
      </c>
      <c r="F414" s="166">
        <f>[3]H4!F589</f>
        <v>0</v>
      </c>
      <c r="G414" s="166">
        <f>[3]H4!G589</f>
        <v>127534.07</v>
      </c>
      <c r="H414" s="166">
        <f>[3]H4!H589</f>
        <v>72010.929999999993</v>
      </c>
      <c r="I414" s="96">
        <f>G414/D414</f>
        <v>0.63912435791425493</v>
      </c>
    </row>
    <row r="415" spans="1:9" ht="31.5" hidden="1" customHeight="1" x14ac:dyDescent="0.2">
      <c r="A415" s="188"/>
      <c r="B415" s="187"/>
      <c r="C415" s="166">
        <f>[3]H4!C590</f>
        <v>0</v>
      </c>
      <c r="D415" s="166">
        <f>[3]H4!D590</f>
        <v>0</v>
      </c>
      <c r="E415" s="166">
        <f>[3]H4!E590</f>
        <v>0</v>
      </c>
      <c r="F415" s="166">
        <f>[3]H4!F590</f>
        <v>0</v>
      </c>
      <c r="G415" s="166">
        <f>[3]H4!G590</f>
        <v>0</v>
      </c>
      <c r="H415" s="166">
        <f>[3]H4!H590</f>
        <v>0</v>
      </c>
      <c r="I415" s="96"/>
    </row>
    <row r="416" spans="1:9" ht="110.25" hidden="1" customHeight="1" x14ac:dyDescent="0.2">
      <c r="A416" s="188"/>
      <c r="B416" s="187"/>
      <c r="C416" s="166">
        <f>[3]H4!C591</f>
        <v>0</v>
      </c>
      <c r="D416" s="166">
        <f>[3]H4!D591</f>
        <v>0</v>
      </c>
      <c r="E416" s="166">
        <f>[3]H4!E591</f>
        <v>0</v>
      </c>
      <c r="F416" s="166">
        <f>[3]H4!F591</f>
        <v>0</v>
      </c>
      <c r="G416" s="166">
        <f>[3]H4!G591</f>
        <v>0</v>
      </c>
      <c r="H416" s="166">
        <f>[3]H4!H591</f>
        <v>0</v>
      </c>
      <c r="I416" s="96" t="e">
        <f>G416/D416</f>
        <v>#DIV/0!</v>
      </c>
    </row>
    <row r="417" spans="1:9" ht="31.5" hidden="1" customHeight="1" x14ac:dyDescent="0.2">
      <c r="A417" s="188"/>
      <c r="B417" s="187"/>
      <c r="C417" s="166">
        <f>[3]H4!C592</f>
        <v>0</v>
      </c>
      <c r="D417" s="166">
        <f>[3]H4!D592</f>
        <v>0</v>
      </c>
      <c r="E417" s="166">
        <f>[3]H4!E592</f>
        <v>0</v>
      </c>
      <c r="F417" s="166">
        <f>[3]H4!F592</f>
        <v>0</v>
      </c>
      <c r="G417" s="166">
        <f>[3]H4!G592</f>
        <v>0</v>
      </c>
      <c r="H417" s="166">
        <f>[3]H4!H592</f>
        <v>0</v>
      </c>
      <c r="I417" s="96"/>
    </row>
    <row r="418" spans="1:9" ht="94.5" hidden="1" customHeight="1" x14ac:dyDescent="0.2">
      <c r="A418" s="188"/>
      <c r="B418" s="187"/>
      <c r="C418" s="166" t="str">
        <f>[3]H4!C593</f>
        <v>2.6.8.1.3 - 1.ELABORACION DE EXPEDIENTES TECNICOS</v>
      </c>
      <c r="D418" s="166">
        <f>[3]H4!D593</f>
        <v>192812</v>
      </c>
      <c r="E418" s="166">
        <f>[3]H4!E593</f>
        <v>180485</v>
      </c>
      <c r="F418" s="166">
        <f>[3]H4!F593</f>
        <v>12327</v>
      </c>
      <c r="G418" s="166">
        <f>[3]H4!G593</f>
        <v>82982.33</v>
      </c>
      <c r="H418" s="166">
        <f>[3]H4!H593</f>
        <v>109829.67</v>
      </c>
      <c r="I418" s="96">
        <f>G418/D418</f>
        <v>0.43037948882849614</v>
      </c>
    </row>
    <row r="419" spans="1:9" ht="31.5" hidden="1" customHeight="1" x14ac:dyDescent="0.2">
      <c r="A419" s="188"/>
      <c r="B419" s="187"/>
      <c r="C419" s="166">
        <f>[3]H4!C594</f>
        <v>0</v>
      </c>
      <c r="D419" s="166">
        <f>[3]H4!D594</f>
        <v>0</v>
      </c>
      <c r="E419" s="166">
        <f>[3]H4!E594</f>
        <v>0</v>
      </c>
      <c r="F419" s="166">
        <f>[3]H4!F594</f>
        <v>0</v>
      </c>
      <c r="G419" s="166">
        <f>[3]H4!G594</f>
        <v>0</v>
      </c>
      <c r="H419" s="166">
        <f>[3]H4!H594</f>
        <v>0</v>
      </c>
      <c r="I419" s="96"/>
    </row>
    <row r="420" spans="1:9" ht="78.75" hidden="1" customHeight="1" x14ac:dyDescent="0.2">
      <c r="A420" s="188"/>
      <c r="B420" s="187"/>
      <c r="C420" s="166">
        <f>[3]H4!C595</f>
        <v>0</v>
      </c>
      <c r="D420" s="166">
        <f>[3]H4!D595</f>
        <v>0</v>
      </c>
      <c r="E420" s="166">
        <f>[3]H4!E595</f>
        <v>0</v>
      </c>
      <c r="F420" s="166">
        <f>[3]H4!F595</f>
        <v>0</v>
      </c>
      <c r="G420" s="166">
        <f>[3]H4!G595</f>
        <v>0</v>
      </c>
      <c r="H420" s="166">
        <f>[3]H4!H595</f>
        <v>0</v>
      </c>
      <c r="I420" s="96" t="e">
        <f>G420/D420</f>
        <v>#DIV/0!</v>
      </c>
    </row>
    <row r="421" spans="1:9" ht="31.5" hidden="1" customHeight="1" x14ac:dyDescent="0.2">
      <c r="A421" s="188"/>
      <c r="B421" s="187"/>
      <c r="C421" s="166">
        <f>[3]H4!C596</f>
        <v>0</v>
      </c>
      <c r="D421" s="166">
        <f>[3]H4!D596</f>
        <v>0</v>
      </c>
      <c r="E421" s="166">
        <f>[3]H4!E596</f>
        <v>0</v>
      </c>
      <c r="F421" s="166">
        <f>[3]H4!F596</f>
        <v>0</v>
      </c>
      <c r="G421" s="166">
        <f>[3]H4!G596</f>
        <v>0</v>
      </c>
      <c r="H421" s="166">
        <f>[3]H4!H596</f>
        <v>0</v>
      </c>
      <c r="I421" s="96"/>
    </row>
    <row r="422" spans="1:9" ht="126" hidden="1" customHeight="1" x14ac:dyDescent="0.2">
      <c r="A422" s="188"/>
      <c r="B422" s="187"/>
      <c r="C422" s="166" t="str">
        <f>[3]H4!C597</f>
        <v>2.6.8.1.3 - 1.ELABORACION DE EXPEDIENTES TECNICOS</v>
      </c>
      <c r="D422" s="166">
        <f>[3]H4!D597</f>
        <v>287709</v>
      </c>
      <c r="E422" s="166">
        <f>[3]H4!E597</f>
        <v>60651.5</v>
      </c>
      <c r="F422" s="166">
        <f>[3]H4!F597</f>
        <v>227057.5</v>
      </c>
      <c r="G422" s="166">
        <f>[3]H4!G597</f>
        <v>0</v>
      </c>
      <c r="H422" s="166">
        <f>[3]H4!H597</f>
        <v>287709</v>
      </c>
      <c r="I422" s="96">
        <f>G422/D422</f>
        <v>0</v>
      </c>
    </row>
    <row r="423" spans="1:9" ht="31.5" hidden="1" customHeight="1" x14ac:dyDescent="0.2">
      <c r="A423" s="188"/>
      <c r="B423" s="187"/>
      <c r="C423" s="166">
        <f>[3]H4!C598</f>
        <v>0</v>
      </c>
      <c r="D423" s="166">
        <f>[3]H4!D598</f>
        <v>0</v>
      </c>
      <c r="E423" s="166">
        <f>[3]H4!E598</f>
        <v>0</v>
      </c>
      <c r="F423" s="166">
        <f>[3]H4!F598</f>
        <v>0</v>
      </c>
      <c r="G423" s="166">
        <f>[3]H4!G598</f>
        <v>0</v>
      </c>
      <c r="H423" s="166">
        <f>[3]H4!H598</f>
        <v>0</v>
      </c>
      <c r="I423" s="96"/>
    </row>
    <row r="424" spans="1:9" ht="110.25" hidden="1" customHeight="1" x14ac:dyDescent="0.2">
      <c r="A424" s="188"/>
      <c r="B424" s="187"/>
      <c r="C424" s="166">
        <f>[3]H4!C599</f>
        <v>0</v>
      </c>
      <c r="D424" s="166">
        <f>[3]H4!D599</f>
        <v>0</v>
      </c>
      <c r="E424" s="166">
        <f>[3]H4!E599</f>
        <v>0</v>
      </c>
      <c r="F424" s="166">
        <f>[3]H4!F599</f>
        <v>0</v>
      </c>
      <c r="G424" s="166">
        <f>[3]H4!G599</f>
        <v>0</v>
      </c>
      <c r="H424" s="166">
        <f>[3]H4!H599</f>
        <v>0</v>
      </c>
      <c r="I424" s="96" t="e">
        <f>G424/D424</f>
        <v>#DIV/0!</v>
      </c>
    </row>
    <row r="425" spans="1:9" ht="31.5" hidden="1" customHeight="1" x14ac:dyDescent="0.2">
      <c r="A425" s="188"/>
      <c r="B425" s="187"/>
      <c r="C425" s="166">
        <f>[3]H4!C600</f>
        <v>0</v>
      </c>
      <c r="D425" s="166">
        <f>[3]H4!D600</f>
        <v>0</v>
      </c>
      <c r="E425" s="166">
        <f>[3]H4!E600</f>
        <v>0</v>
      </c>
      <c r="F425" s="166">
        <f>[3]H4!F600</f>
        <v>0</v>
      </c>
      <c r="G425" s="166">
        <f>[3]H4!G600</f>
        <v>0</v>
      </c>
      <c r="H425" s="166">
        <f>[3]H4!H600</f>
        <v>0</v>
      </c>
      <c r="I425" s="96"/>
    </row>
    <row r="426" spans="1:9" ht="94.5" hidden="1" customHeight="1" x14ac:dyDescent="0.2">
      <c r="A426" s="188"/>
      <c r="B426" s="187"/>
      <c r="C426" s="166" t="str">
        <f>[3]H4!C601</f>
        <v>2.6.8.1.3 - 1.ELABORACION DE EXPEDIENTES TECNICOS</v>
      </c>
      <c r="D426" s="166">
        <f>[3]H4!D601</f>
        <v>140000</v>
      </c>
      <c r="E426" s="166">
        <f>[3]H4!E601</f>
        <v>140000</v>
      </c>
      <c r="F426" s="166">
        <f>[3]H4!F601</f>
        <v>0</v>
      </c>
      <c r="G426" s="166">
        <f>[3]H4!G601</f>
        <v>131428.18</v>
      </c>
      <c r="H426" s="166">
        <f>[3]H4!H601</f>
        <v>8571.820000000007</v>
      </c>
      <c r="I426" s="96">
        <f>G426/D426</f>
        <v>0.93877271428571418</v>
      </c>
    </row>
    <row r="427" spans="1:9" ht="31.5" hidden="1" customHeight="1" x14ac:dyDescent="0.2">
      <c r="A427" s="188"/>
      <c r="B427" s="187"/>
      <c r="C427" s="166">
        <f>[3]H4!C602</f>
        <v>0</v>
      </c>
      <c r="D427" s="166">
        <f>[3]H4!D602</f>
        <v>0</v>
      </c>
      <c r="E427" s="166">
        <f>[3]H4!E602</f>
        <v>0</v>
      </c>
      <c r="F427" s="166">
        <f>[3]H4!F602</f>
        <v>0</v>
      </c>
      <c r="G427" s="166">
        <f>[3]H4!G602</f>
        <v>0</v>
      </c>
      <c r="H427" s="166">
        <f>[3]H4!H602</f>
        <v>0</v>
      </c>
      <c r="I427" s="96"/>
    </row>
    <row r="428" spans="1:9" ht="78.75" hidden="1" customHeight="1" x14ac:dyDescent="0.2">
      <c r="A428" s="188"/>
      <c r="B428" s="187"/>
      <c r="C428" s="166">
        <f>[3]H4!C603</f>
        <v>0</v>
      </c>
      <c r="D428" s="166">
        <f>[3]H4!D603</f>
        <v>0</v>
      </c>
      <c r="E428" s="166">
        <f>[3]H4!E603</f>
        <v>0</v>
      </c>
      <c r="F428" s="166">
        <f>[3]H4!F603</f>
        <v>0</v>
      </c>
      <c r="G428" s="166">
        <f>[3]H4!G603</f>
        <v>0</v>
      </c>
      <c r="H428" s="166">
        <f>[3]H4!H603</f>
        <v>0</v>
      </c>
      <c r="I428" s="96" t="e">
        <f>G428/D428</f>
        <v>#DIV/0!</v>
      </c>
    </row>
    <row r="429" spans="1:9" ht="31.5" hidden="1" customHeight="1" x14ac:dyDescent="0.2">
      <c r="A429" s="188"/>
      <c r="B429" s="187"/>
      <c r="C429" s="166">
        <f>[3]H4!C604</f>
        <v>0</v>
      </c>
      <c r="D429" s="166">
        <f>[3]H4!D604</f>
        <v>0</v>
      </c>
      <c r="E429" s="166">
        <f>[3]H4!E604</f>
        <v>0</v>
      </c>
      <c r="F429" s="166">
        <f>[3]H4!F604</f>
        <v>0</v>
      </c>
      <c r="G429" s="166">
        <f>[3]H4!G604</f>
        <v>0</v>
      </c>
      <c r="H429" s="166">
        <f>[3]H4!H604</f>
        <v>0</v>
      </c>
      <c r="I429" s="96"/>
    </row>
    <row r="430" spans="1:9" ht="31.5" hidden="1" customHeight="1" x14ac:dyDescent="0.2">
      <c r="A430" s="188"/>
      <c r="B430" s="187"/>
      <c r="C430" s="166" t="str">
        <f>[3]H4!C605</f>
        <v>2.6.8.1.3 - 1.ELABORACION DE EXPEDIENTES TECNICOS</v>
      </c>
      <c r="D430" s="166">
        <f>[3]H4!D605</f>
        <v>287709</v>
      </c>
      <c r="E430" s="166">
        <f>[3]H4!E605</f>
        <v>60651.5</v>
      </c>
      <c r="F430" s="166">
        <f>[3]H4!F605</f>
        <v>227057.5</v>
      </c>
      <c r="G430" s="166">
        <f>[3]H4!G605</f>
        <v>0</v>
      </c>
      <c r="H430" s="166">
        <f>[3]H4!H605</f>
        <v>287709</v>
      </c>
      <c r="I430" s="96"/>
    </row>
    <row r="431" spans="1:9" ht="31.5" hidden="1" customHeight="1" x14ac:dyDescent="0.2">
      <c r="A431" s="188"/>
      <c r="B431" s="187"/>
      <c r="C431" s="166">
        <f>[3]H4!C606</f>
        <v>0</v>
      </c>
      <c r="D431" s="166">
        <f>[3]H4!D606</f>
        <v>0</v>
      </c>
      <c r="E431" s="166">
        <f>[3]H4!E606</f>
        <v>0</v>
      </c>
      <c r="F431" s="166">
        <f>[3]H4!F606</f>
        <v>0</v>
      </c>
      <c r="G431" s="166">
        <f>[3]H4!G606</f>
        <v>0</v>
      </c>
      <c r="H431" s="166">
        <f>[3]H4!H606</f>
        <v>0</v>
      </c>
      <c r="I431" s="96"/>
    </row>
    <row r="432" spans="1:9" ht="94.5" hidden="1" customHeight="1" x14ac:dyDescent="0.2">
      <c r="A432" s="188"/>
      <c r="B432" s="187"/>
      <c r="C432" s="166">
        <f>[3]H4!C607</f>
        <v>0</v>
      </c>
      <c r="D432" s="166">
        <f>[3]H4!D607</f>
        <v>0</v>
      </c>
      <c r="E432" s="166">
        <f>[3]H4!E607</f>
        <v>0</v>
      </c>
      <c r="F432" s="166">
        <f>[3]H4!F607</f>
        <v>0</v>
      </c>
      <c r="G432" s="166">
        <f>[3]H4!G607</f>
        <v>0</v>
      </c>
      <c r="H432" s="166">
        <f>[3]H4!H607</f>
        <v>0</v>
      </c>
      <c r="I432" s="96" t="e">
        <f>G432/D432</f>
        <v>#DIV/0!</v>
      </c>
    </row>
    <row r="433" spans="1:9" ht="31.5" hidden="1" customHeight="1" x14ac:dyDescent="0.2">
      <c r="A433" s="188"/>
      <c r="B433" s="187"/>
      <c r="C433" s="166">
        <f>[3]H4!C608</f>
        <v>0</v>
      </c>
      <c r="D433" s="166">
        <f>[3]H4!D608</f>
        <v>0</v>
      </c>
      <c r="E433" s="166">
        <f>[3]H4!E608</f>
        <v>0</v>
      </c>
      <c r="F433" s="166">
        <f>[3]H4!F608</f>
        <v>0</v>
      </c>
      <c r="G433" s="166">
        <f>[3]H4!G608</f>
        <v>0</v>
      </c>
      <c r="H433" s="166">
        <f>[3]H4!H608</f>
        <v>0</v>
      </c>
      <c r="I433" s="96"/>
    </row>
    <row r="434" spans="1:9" ht="110.25" hidden="1" customHeight="1" x14ac:dyDescent="0.2">
      <c r="A434" s="188"/>
      <c r="B434" s="187"/>
      <c r="C434" s="166" t="str">
        <f>[3]H4!C609</f>
        <v>2.6.8.1.3 - 1.ELABORACION DE EXPEDIENTES TECNICOS</v>
      </c>
      <c r="D434" s="166">
        <f>[3]H4!D609</f>
        <v>140000</v>
      </c>
      <c r="E434" s="166">
        <f>[3]H4!E609</f>
        <v>140000</v>
      </c>
      <c r="F434" s="166">
        <f>[3]H4!F609</f>
        <v>0</v>
      </c>
      <c r="G434" s="166">
        <f>[3]H4!G609</f>
        <v>131428.18</v>
      </c>
      <c r="H434" s="166">
        <f>[3]H4!H609</f>
        <v>8571.820000000007</v>
      </c>
      <c r="I434" s="96">
        <f>G434/D434</f>
        <v>0.93877271428571418</v>
      </c>
    </row>
    <row r="435" spans="1:9" ht="31.5" hidden="1" customHeight="1" x14ac:dyDescent="0.2">
      <c r="A435" s="188"/>
      <c r="B435" s="187"/>
      <c r="C435" s="166">
        <f>[3]H4!C610</f>
        <v>0</v>
      </c>
      <c r="D435" s="166">
        <f>[3]H4!D610</f>
        <v>0</v>
      </c>
      <c r="E435" s="166">
        <f>[3]H4!E610</f>
        <v>0</v>
      </c>
      <c r="F435" s="166">
        <f>[3]H4!F610</f>
        <v>0</v>
      </c>
      <c r="G435" s="166">
        <f>[3]H4!G610</f>
        <v>0</v>
      </c>
      <c r="H435" s="166">
        <f>[3]H4!H610</f>
        <v>0</v>
      </c>
      <c r="I435" s="96"/>
    </row>
    <row r="436" spans="1:9" ht="78.75" hidden="1" customHeight="1" x14ac:dyDescent="0.2">
      <c r="A436" s="188"/>
      <c r="B436" s="187"/>
      <c r="C436" s="166">
        <f>[3]H4!C611</f>
        <v>0</v>
      </c>
      <c r="D436" s="166">
        <f>[3]H4!D611</f>
        <v>0</v>
      </c>
      <c r="E436" s="166">
        <f>[3]H4!E611</f>
        <v>0</v>
      </c>
      <c r="F436" s="166">
        <f>[3]H4!F611</f>
        <v>0</v>
      </c>
      <c r="G436" s="166">
        <f>[3]H4!G611</f>
        <v>0</v>
      </c>
      <c r="H436" s="166">
        <f>[3]H4!H611</f>
        <v>0</v>
      </c>
      <c r="I436" s="96" t="e">
        <f>G436/D436</f>
        <v>#DIV/0!</v>
      </c>
    </row>
    <row r="437" spans="1:9" ht="31.5" hidden="1" customHeight="1" x14ac:dyDescent="0.2">
      <c r="A437" s="188"/>
      <c r="B437" s="187"/>
      <c r="C437" s="166">
        <f>[3]H4!C612</f>
        <v>0</v>
      </c>
      <c r="D437" s="166">
        <f>[3]H4!D612</f>
        <v>0</v>
      </c>
      <c r="E437" s="166">
        <f>[3]H4!E612</f>
        <v>0</v>
      </c>
      <c r="F437" s="166">
        <f>[3]H4!F612</f>
        <v>0</v>
      </c>
      <c r="G437" s="166">
        <f>[3]H4!G612</f>
        <v>0</v>
      </c>
      <c r="H437" s="166">
        <f>[3]H4!H612</f>
        <v>0</v>
      </c>
      <c r="I437" s="96"/>
    </row>
    <row r="438" spans="1:9" ht="63" hidden="1" customHeight="1" x14ac:dyDescent="0.2">
      <c r="A438" s="188"/>
      <c r="B438" s="187"/>
      <c r="C438" s="166" t="e">
        <f>[3]H4!#REF!</f>
        <v>#REF!</v>
      </c>
      <c r="D438" s="166" t="e">
        <f>[3]H4!#REF!</f>
        <v>#REF!</v>
      </c>
      <c r="E438" s="166" t="e">
        <f>[3]H4!#REF!</f>
        <v>#REF!</v>
      </c>
      <c r="F438" s="166" t="e">
        <f>[3]H4!#REF!</f>
        <v>#REF!</v>
      </c>
      <c r="G438" s="166" t="e">
        <f>[3]H4!#REF!</f>
        <v>#REF!</v>
      </c>
      <c r="H438" s="166" t="e">
        <f>[3]H4!#REF!</f>
        <v>#REF!</v>
      </c>
      <c r="I438" s="96" t="e">
        <f>G438/D438</f>
        <v>#REF!</v>
      </c>
    </row>
    <row r="439" spans="1:9" ht="31.5" hidden="1" customHeight="1" x14ac:dyDescent="0.2">
      <c r="A439" s="188"/>
      <c r="B439" s="187"/>
      <c r="C439" s="166" t="e">
        <f>[3]H4!#REF!</f>
        <v>#REF!</v>
      </c>
      <c r="D439" s="166" t="e">
        <f>[3]H4!#REF!</f>
        <v>#REF!</v>
      </c>
      <c r="E439" s="166" t="e">
        <f>[3]H4!#REF!</f>
        <v>#REF!</v>
      </c>
      <c r="F439" s="166" t="e">
        <f>[3]H4!#REF!</f>
        <v>#REF!</v>
      </c>
      <c r="G439" s="166" t="e">
        <f>[3]H4!#REF!</f>
        <v>#REF!</v>
      </c>
      <c r="H439" s="166" t="e">
        <f>[3]H4!#REF!</f>
        <v>#REF!</v>
      </c>
      <c r="I439" s="96"/>
    </row>
    <row r="440" spans="1:9" ht="78.75" hidden="1" customHeight="1" x14ac:dyDescent="0.2">
      <c r="A440" s="188"/>
      <c r="B440" s="187"/>
      <c r="C440" s="166" t="e">
        <f>[3]H4!#REF!</f>
        <v>#REF!</v>
      </c>
      <c r="D440" s="166" t="e">
        <f>[3]H4!#REF!</f>
        <v>#REF!</v>
      </c>
      <c r="E440" s="166" t="e">
        <f>[3]H4!#REF!</f>
        <v>#REF!</v>
      </c>
      <c r="F440" s="166" t="e">
        <f>[3]H4!#REF!</f>
        <v>#REF!</v>
      </c>
      <c r="G440" s="166" t="e">
        <f>[3]H4!#REF!</f>
        <v>#REF!</v>
      </c>
      <c r="H440" s="166" t="e">
        <f>[3]H4!#REF!</f>
        <v>#REF!</v>
      </c>
      <c r="I440" s="96" t="e">
        <f>G440/D440</f>
        <v>#REF!</v>
      </c>
    </row>
    <row r="441" spans="1:9" ht="31.5" hidden="1" customHeight="1" x14ac:dyDescent="0.2">
      <c r="A441" s="188"/>
      <c r="B441" s="187"/>
      <c r="C441" s="166" t="e">
        <f>[3]H4!#REF!</f>
        <v>#REF!</v>
      </c>
      <c r="D441" s="166" t="e">
        <f>[3]H4!#REF!</f>
        <v>#REF!</v>
      </c>
      <c r="E441" s="166" t="e">
        <f>[3]H4!#REF!</f>
        <v>#REF!</v>
      </c>
      <c r="F441" s="166" t="e">
        <f>[3]H4!#REF!</f>
        <v>#REF!</v>
      </c>
      <c r="G441" s="166" t="e">
        <f>[3]H4!#REF!</f>
        <v>#REF!</v>
      </c>
      <c r="H441" s="166" t="e">
        <f>[3]H4!#REF!</f>
        <v>#REF!</v>
      </c>
      <c r="I441" s="96"/>
    </row>
    <row r="442" spans="1:9" ht="63" hidden="1" customHeight="1" x14ac:dyDescent="0.2">
      <c r="A442" s="188"/>
      <c r="B442" s="187"/>
      <c r="C442" s="166" t="str">
        <f>[3]H4!C613</f>
        <v>2.6.8.1.3 - 1.ELABORACION DE EXPEDIENTES TECNICOS</v>
      </c>
      <c r="D442" s="166">
        <f>[3]H4!D613</f>
        <v>87823</v>
      </c>
      <c r="E442" s="166">
        <f>[3]H4!E613</f>
        <v>0</v>
      </c>
      <c r="F442" s="166">
        <f>[3]H4!F613</f>
        <v>87823</v>
      </c>
      <c r="G442" s="166">
        <f>[3]H4!G613</f>
        <v>0</v>
      </c>
      <c r="H442" s="166">
        <f>[3]H4!H613</f>
        <v>87823</v>
      </c>
      <c r="I442" s="96">
        <f>G442/D442</f>
        <v>0</v>
      </c>
    </row>
    <row r="443" spans="1:9" ht="31.5" hidden="1" customHeight="1" x14ac:dyDescent="0.2">
      <c r="A443" s="188"/>
      <c r="B443" s="187"/>
      <c r="C443" s="166">
        <f>[3]H4!C614</f>
        <v>0</v>
      </c>
      <c r="D443" s="166">
        <f>[3]H4!D614</f>
        <v>0</v>
      </c>
      <c r="E443" s="166">
        <f>[3]H4!E614</f>
        <v>0</v>
      </c>
      <c r="F443" s="166">
        <f>[3]H4!F614</f>
        <v>0</v>
      </c>
      <c r="G443" s="166">
        <f>[3]H4!G614</f>
        <v>0</v>
      </c>
      <c r="H443" s="166">
        <f>[3]H4!H614</f>
        <v>0</v>
      </c>
      <c r="I443" s="96"/>
    </row>
    <row r="444" spans="1:9" ht="126" hidden="1" customHeight="1" x14ac:dyDescent="0.2">
      <c r="A444" s="188"/>
      <c r="B444" s="187"/>
      <c r="C444" s="166">
        <f>[3]H4!C615</f>
        <v>0</v>
      </c>
      <c r="D444" s="166">
        <f>[3]H4!D615</f>
        <v>0</v>
      </c>
      <c r="E444" s="166">
        <f>[3]H4!E615</f>
        <v>0</v>
      </c>
      <c r="F444" s="166">
        <f>[3]H4!F615</f>
        <v>0</v>
      </c>
      <c r="G444" s="166">
        <f>[3]H4!G615</f>
        <v>0</v>
      </c>
      <c r="H444" s="166">
        <f>[3]H4!H615</f>
        <v>0</v>
      </c>
      <c r="I444" s="96" t="e">
        <f>G444/D444</f>
        <v>#DIV/0!</v>
      </c>
    </row>
    <row r="445" spans="1:9" ht="31.5" hidden="1" customHeight="1" x14ac:dyDescent="0.2">
      <c r="A445" s="188"/>
      <c r="B445" s="187"/>
      <c r="C445" s="166">
        <f>[3]H4!C616</f>
        <v>0</v>
      </c>
      <c r="D445" s="166">
        <f>[3]H4!D616</f>
        <v>0</v>
      </c>
      <c r="E445" s="166">
        <f>[3]H4!E616</f>
        <v>0</v>
      </c>
      <c r="F445" s="166">
        <f>[3]H4!F616</f>
        <v>0</v>
      </c>
      <c r="G445" s="166">
        <f>[3]H4!G616</f>
        <v>0</v>
      </c>
      <c r="H445" s="166">
        <f>[3]H4!H616</f>
        <v>0</v>
      </c>
      <c r="I445" s="96"/>
    </row>
    <row r="446" spans="1:9" ht="110.25" hidden="1" customHeight="1" x14ac:dyDescent="0.2">
      <c r="A446" s="188"/>
      <c r="B446" s="187"/>
      <c r="C446" s="166" t="str">
        <f>[3]H4!C617</f>
        <v>2.6.2.2.2 - 2.COSTO DE CONSTRUCCION POR CONTRATA</v>
      </c>
      <c r="D446" s="166">
        <f>[3]H4!D617</f>
        <v>970838</v>
      </c>
      <c r="E446" s="166">
        <f>[3]H4!E617</f>
        <v>970838</v>
      </c>
      <c r="F446" s="166">
        <f>[3]H4!F617</f>
        <v>0</v>
      </c>
      <c r="G446" s="166">
        <f>[3]H4!G617</f>
        <v>0</v>
      </c>
      <c r="H446" s="166">
        <f>[3]H4!H617</f>
        <v>970838</v>
      </c>
      <c r="I446" s="96">
        <f>G446/D446</f>
        <v>0</v>
      </c>
    </row>
    <row r="447" spans="1:9" ht="31.5" hidden="1" customHeight="1" x14ac:dyDescent="0.2">
      <c r="A447" s="188"/>
      <c r="B447" s="187"/>
      <c r="C447" s="166" t="str">
        <f>[3]H4!C618</f>
        <v>2.6.8.1.4 - 3.GASTO POR LA CONTRATACION DE SERVICIOS</v>
      </c>
      <c r="D447" s="166">
        <f>[3]H4!D618</f>
        <v>67259</v>
      </c>
      <c r="E447" s="166">
        <f>[3]H4!E618</f>
        <v>67259</v>
      </c>
      <c r="F447" s="166">
        <f>[3]H4!F618</f>
        <v>0</v>
      </c>
      <c r="G447" s="166">
        <f>[3]H4!G618</f>
        <v>0</v>
      </c>
      <c r="H447" s="166">
        <f>[3]H4!H618</f>
        <v>67259</v>
      </c>
      <c r="I447" s="96"/>
    </row>
    <row r="448" spans="1:9" ht="63" hidden="1" customHeight="1" x14ac:dyDescent="0.2">
      <c r="A448" s="188"/>
      <c r="B448" s="187"/>
      <c r="C448" s="166">
        <f>[3]H4!C619</f>
        <v>0</v>
      </c>
      <c r="D448" s="166">
        <f>[3]H4!D619</f>
        <v>0</v>
      </c>
      <c r="E448" s="166">
        <f>[3]H4!E619</f>
        <v>0</v>
      </c>
      <c r="F448" s="166">
        <f>[3]H4!F619</f>
        <v>0</v>
      </c>
      <c r="G448" s="166">
        <f>[3]H4!G619</f>
        <v>0</v>
      </c>
      <c r="H448" s="166">
        <f>[3]H4!H619</f>
        <v>0</v>
      </c>
      <c r="I448" s="96" t="e">
        <f>G448/D448</f>
        <v>#DIV/0!</v>
      </c>
    </row>
    <row r="449" spans="1:9" ht="31.5" hidden="1" customHeight="1" x14ac:dyDescent="0.2">
      <c r="A449" s="188"/>
      <c r="B449" s="187"/>
      <c r="C449" s="166">
        <f>[3]H4!C620</f>
        <v>0</v>
      </c>
      <c r="D449" s="166">
        <f>[3]H4!D620</f>
        <v>0</v>
      </c>
      <c r="E449" s="166">
        <f>[3]H4!E620</f>
        <v>0</v>
      </c>
      <c r="F449" s="166">
        <f>[3]H4!F620</f>
        <v>0</v>
      </c>
      <c r="G449" s="166">
        <f>[3]H4!G620</f>
        <v>0</v>
      </c>
      <c r="H449" s="166">
        <f>[3]H4!H620</f>
        <v>0</v>
      </c>
      <c r="I449" s="96"/>
    </row>
    <row r="450" spans="1:9" ht="78.75" hidden="1" customHeight="1" x14ac:dyDescent="0.2">
      <c r="A450" s="188"/>
      <c r="B450" s="187"/>
      <c r="C450" s="166" t="str">
        <f>[3]H4!C621</f>
        <v>2.6.2.3.9 - 2.COSTO DE CONSTRUCCION POR CONTRATA</v>
      </c>
      <c r="D450" s="166">
        <f>[3]H4!D621</f>
        <v>2741138</v>
      </c>
      <c r="E450" s="166">
        <f>[3]H4!E621</f>
        <v>0</v>
      </c>
      <c r="F450" s="166">
        <f>[3]H4!F621</f>
        <v>2741138</v>
      </c>
      <c r="G450" s="166">
        <f>[3]H4!G621</f>
        <v>0</v>
      </c>
      <c r="H450" s="166">
        <f>[3]H4!H621</f>
        <v>2741138</v>
      </c>
      <c r="I450" s="96">
        <f>G450/D450</f>
        <v>0</v>
      </c>
    </row>
    <row r="451" spans="1:9" ht="31.5" hidden="1" customHeight="1" x14ac:dyDescent="0.2">
      <c r="A451" s="188"/>
      <c r="B451" s="187"/>
      <c r="C451" s="166">
        <f>[3]H4!C622</f>
        <v>0</v>
      </c>
      <c r="D451" s="166">
        <f>[3]H4!D622</f>
        <v>0</v>
      </c>
      <c r="E451" s="166">
        <f>[3]H4!E622</f>
        <v>0</v>
      </c>
      <c r="F451" s="166">
        <f>[3]H4!F622</f>
        <v>0</v>
      </c>
      <c r="G451" s="166">
        <f>[3]H4!G622</f>
        <v>0</v>
      </c>
      <c r="H451" s="166">
        <f>[3]H4!H622</f>
        <v>0</v>
      </c>
      <c r="I451" s="96"/>
    </row>
    <row r="452" spans="1:9" ht="78.75" hidden="1" customHeight="1" x14ac:dyDescent="0.2">
      <c r="A452" s="188"/>
      <c r="B452" s="187"/>
      <c r="C452" s="166">
        <f>[3]H4!C623</f>
        <v>0</v>
      </c>
      <c r="D452" s="166">
        <f>[3]H4!D623</f>
        <v>0</v>
      </c>
      <c r="E452" s="166">
        <f>[3]H4!E623</f>
        <v>0</v>
      </c>
      <c r="F452" s="166">
        <f>[3]H4!F623</f>
        <v>0</v>
      </c>
      <c r="G452" s="166">
        <f>[3]H4!G623</f>
        <v>0</v>
      </c>
      <c r="H452" s="166">
        <f>[3]H4!H623</f>
        <v>0</v>
      </c>
      <c r="I452" s="96" t="e">
        <f>G452/D452</f>
        <v>#DIV/0!</v>
      </c>
    </row>
    <row r="453" spans="1:9" ht="31.5" hidden="1" customHeight="1" x14ac:dyDescent="0.2">
      <c r="A453" s="188"/>
      <c r="B453" s="187"/>
      <c r="C453" s="166">
        <f>[3]H4!C624</f>
        <v>0</v>
      </c>
      <c r="D453" s="166">
        <f>[3]H4!D624</f>
        <v>0</v>
      </c>
      <c r="E453" s="166">
        <f>[3]H4!E624</f>
        <v>0</v>
      </c>
      <c r="F453" s="166">
        <f>[3]H4!F624</f>
        <v>0</v>
      </c>
      <c r="G453" s="166">
        <f>[3]H4!G624</f>
        <v>0</v>
      </c>
      <c r="H453" s="166">
        <f>[3]H4!H624</f>
        <v>0</v>
      </c>
      <c r="I453" s="96"/>
    </row>
    <row r="454" spans="1:9" ht="94.5" hidden="1" customHeight="1" x14ac:dyDescent="0.2">
      <c r="A454" s="188"/>
      <c r="B454" s="187"/>
      <c r="C454" s="166" t="str">
        <f>[3]H4!C625</f>
        <v>2.6.8.1.3 - 1.ELABORACION DE EXPEDIENTES TECNICOS</v>
      </c>
      <c r="D454" s="166">
        <f>[3]H4!D625</f>
        <v>94054</v>
      </c>
      <c r="E454" s="166">
        <f>[3]H4!E625</f>
        <v>94054</v>
      </c>
      <c r="F454" s="166">
        <f>[3]H4!F625</f>
        <v>0</v>
      </c>
      <c r="G454" s="166">
        <f>[3]H4!G625</f>
        <v>60075.86</v>
      </c>
      <c r="H454" s="166">
        <f>[3]H4!H625</f>
        <v>33978.14</v>
      </c>
      <c r="I454" s="96">
        <f>G454/D454</f>
        <v>0.63873795904480402</v>
      </c>
    </row>
    <row r="455" spans="1:9" ht="31.5" hidden="1" customHeight="1" x14ac:dyDescent="0.2">
      <c r="A455" s="188"/>
      <c r="B455" s="187"/>
      <c r="C455" s="166">
        <f>[3]H4!C626</f>
        <v>0</v>
      </c>
      <c r="D455" s="166">
        <f>[3]H4!D626</f>
        <v>0</v>
      </c>
      <c r="E455" s="166">
        <f>[3]H4!E626</f>
        <v>0</v>
      </c>
      <c r="F455" s="166">
        <f>[3]H4!F626</f>
        <v>0</v>
      </c>
      <c r="G455" s="166">
        <f>[3]H4!G626</f>
        <v>0</v>
      </c>
      <c r="H455" s="166">
        <f>[3]H4!H626</f>
        <v>0</v>
      </c>
      <c r="I455" s="96"/>
    </row>
    <row r="456" spans="1:9" ht="78.75" hidden="1" customHeight="1" x14ac:dyDescent="0.2">
      <c r="A456" s="188"/>
      <c r="B456" s="187"/>
      <c r="C456" s="166">
        <f>[3]H4!C627</f>
        <v>0</v>
      </c>
      <c r="D456" s="166">
        <f>[3]H4!D627</f>
        <v>0</v>
      </c>
      <c r="E456" s="166">
        <f>[3]H4!E627</f>
        <v>0</v>
      </c>
      <c r="F456" s="166">
        <f>[3]H4!F627</f>
        <v>0</v>
      </c>
      <c r="G456" s="166">
        <f>[3]H4!G627</f>
        <v>0</v>
      </c>
      <c r="H456" s="166">
        <f>[3]H4!H627</f>
        <v>0</v>
      </c>
      <c r="I456" s="96" t="e">
        <f>G456/D456</f>
        <v>#DIV/0!</v>
      </c>
    </row>
    <row r="457" spans="1:9" ht="31.5" hidden="1" customHeight="1" x14ac:dyDescent="0.2">
      <c r="A457" s="188"/>
      <c r="B457" s="187"/>
      <c r="C457" s="166">
        <f>[3]H4!C628</f>
        <v>0</v>
      </c>
      <c r="D457" s="166">
        <f>[3]H4!D628</f>
        <v>0</v>
      </c>
      <c r="E457" s="166">
        <f>[3]H4!E628</f>
        <v>0</v>
      </c>
      <c r="F457" s="166">
        <f>[3]H4!F628</f>
        <v>0</v>
      </c>
      <c r="G457" s="166">
        <f>[3]H4!G628</f>
        <v>0</v>
      </c>
      <c r="H457" s="166">
        <f>[3]H4!H628</f>
        <v>0</v>
      </c>
      <c r="I457" s="96"/>
    </row>
    <row r="458" spans="1:9" ht="78.75" hidden="1" customHeight="1" x14ac:dyDescent="0.2">
      <c r="A458" s="188"/>
      <c r="B458" s="187"/>
      <c r="C458" s="166" t="e">
        <f>[3]H4!#REF!</f>
        <v>#REF!</v>
      </c>
      <c r="D458" s="166" t="e">
        <f>[3]H4!#REF!</f>
        <v>#REF!</v>
      </c>
      <c r="E458" s="166" t="e">
        <f>[3]H4!#REF!</f>
        <v>#REF!</v>
      </c>
      <c r="F458" s="166" t="e">
        <f>[3]H4!#REF!</f>
        <v>#REF!</v>
      </c>
      <c r="G458" s="166" t="e">
        <f>[3]H4!#REF!</f>
        <v>#REF!</v>
      </c>
      <c r="H458" s="166" t="e">
        <f>[3]H4!#REF!</f>
        <v>#REF!</v>
      </c>
      <c r="I458" s="96" t="e">
        <f>G458/D458</f>
        <v>#REF!</v>
      </c>
    </row>
    <row r="459" spans="1:9" ht="31.5" hidden="1" customHeight="1" x14ac:dyDescent="0.2">
      <c r="A459" s="188"/>
      <c r="B459" s="187"/>
      <c r="C459" s="166" t="e">
        <f>[3]H4!#REF!</f>
        <v>#REF!</v>
      </c>
      <c r="D459" s="166" t="e">
        <f>[3]H4!#REF!</f>
        <v>#REF!</v>
      </c>
      <c r="E459" s="166" t="e">
        <f>[3]H4!#REF!</f>
        <v>#REF!</v>
      </c>
      <c r="F459" s="166" t="e">
        <f>[3]H4!#REF!</f>
        <v>#REF!</v>
      </c>
      <c r="G459" s="166" t="e">
        <f>[3]H4!#REF!</f>
        <v>#REF!</v>
      </c>
      <c r="H459" s="166" t="e">
        <f>[3]H4!#REF!</f>
        <v>#REF!</v>
      </c>
      <c r="I459" s="96"/>
    </row>
    <row r="460" spans="1:9" ht="126" hidden="1" customHeight="1" x14ac:dyDescent="0.2">
      <c r="A460" s="188"/>
      <c r="B460" s="187"/>
      <c r="C460" s="166" t="e">
        <f>[3]H4!#REF!</f>
        <v>#REF!</v>
      </c>
      <c r="D460" s="166" t="e">
        <f>[3]H4!#REF!</f>
        <v>#REF!</v>
      </c>
      <c r="E460" s="166" t="e">
        <f>[3]H4!#REF!</f>
        <v>#REF!</v>
      </c>
      <c r="F460" s="166" t="e">
        <f>[3]H4!#REF!</f>
        <v>#REF!</v>
      </c>
      <c r="G460" s="166" t="e">
        <f>[3]H4!#REF!</f>
        <v>#REF!</v>
      </c>
      <c r="H460" s="166" t="e">
        <f>[3]H4!#REF!</f>
        <v>#REF!</v>
      </c>
      <c r="I460" s="96" t="e">
        <f>G460/D460</f>
        <v>#REF!</v>
      </c>
    </row>
    <row r="461" spans="1:9" ht="31.5" hidden="1" customHeight="1" x14ac:dyDescent="0.2">
      <c r="A461" s="188"/>
      <c r="B461" s="187"/>
      <c r="C461" s="166" t="e">
        <f>[3]H4!#REF!</f>
        <v>#REF!</v>
      </c>
      <c r="D461" s="166" t="e">
        <f>[3]H4!#REF!</f>
        <v>#REF!</v>
      </c>
      <c r="E461" s="166" t="e">
        <f>[3]H4!#REF!</f>
        <v>#REF!</v>
      </c>
      <c r="F461" s="166" t="e">
        <f>[3]H4!#REF!</f>
        <v>#REF!</v>
      </c>
      <c r="G461" s="166" t="e">
        <f>[3]H4!#REF!</f>
        <v>#REF!</v>
      </c>
      <c r="H461" s="166" t="e">
        <f>[3]H4!#REF!</f>
        <v>#REF!</v>
      </c>
      <c r="I461" s="96"/>
    </row>
    <row r="462" spans="1:9" ht="94.5" hidden="1" customHeight="1" x14ac:dyDescent="0.2">
      <c r="A462" s="188"/>
      <c r="B462" s="187"/>
      <c r="C462" s="166" t="e">
        <f>[3]H4!#REF!</f>
        <v>#REF!</v>
      </c>
      <c r="D462" s="166" t="e">
        <f>[3]H4!#REF!</f>
        <v>#REF!</v>
      </c>
      <c r="E462" s="166" t="e">
        <f>[3]H4!#REF!</f>
        <v>#REF!</v>
      </c>
      <c r="F462" s="166" t="e">
        <f>[3]H4!#REF!</f>
        <v>#REF!</v>
      </c>
      <c r="G462" s="166" t="e">
        <f>[3]H4!#REF!</f>
        <v>#REF!</v>
      </c>
      <c r="H462" s="166" t="e">
        <f>[3]H4!#REF!</f>
        <v>#REF!</v>
      </c>
      <c r="I462" s="96" t="e">
        <f>G462/D462</f>
        <v>#REF!</v>
      </c>
    </row>
    <row r="463" spans="1:9" ht="31.5" hidden="1" customHeight="1" x14ac:dyDescent="0.2">
      <c r="A463" s="188"/>
      <c r="B463" s="187"/>
      <c r="C463" s="166" t="e">
        <f>[3]H4!#REF!</f>
        <v>#REF!</v>
      </c>
      <c r="D463" s="166" t="e">
        <f>[3]H4!#REF!</f>
        <v>#REF!</v>
      </c>
      <c r="E463" s="166" t="e">
        <f>[3]H4!#REF!</f>
        <v>#REF!</v>
      </c>
      <c r="F463" s="166" t="e">
        <f>[3]H4!#REF!</f>
        <v>#REF!</v>
      </c>
      <c r="G463" s="166" t="e">
        <f>[3]H4!#REF!</f>
        <v>#REF!</v>
      </c>
      <c r="H463" s="166" t="e">
        <f>[3]H4!#REF!</f>
        <v>#REF!</v>
      </c>
      <c r="I463" s="96"/>
    </row>
    <row r="464" spans="1:9" ht="94.5" hidden="1" customHeight="1" x14ac:dyDescent="0.2">
      <c r="A464" s="188"/>
      <c r="B464" s="187"/>
      <c r="C464" s="166" t="e">
        <f>[3]H4!#REF!</f>
        <v>#REF!</v>
      </c>
      <c r="D464" s="166" t="e">
        <f>[3]H4!#REF!</f>
        <v>#REF!</v>
      </c>
      <c r="E464" s="166" t="e">
        <f>[3]H4!#REF!</f>
        <v>#REF!</v>
      </c>
      <c r="F464" s="166" t="e">
        <f>[3]H4!#REF!</f>
        <v>#REF!</v>
      </c>
      <c r="G464" s="166" t="e">
        <f>[3]H4!#REF!</f>
        <v>#REF!</v>
      </c>
      <c r="H464" s="166" t="e">
        <f>[3]H4!#REF!</f>
        <v>#REF!</v>
      </c>
      <c r="I464" s="96" t="e">
        <f>G464/D464</f>
        <v>#REF!</v>
      </c>
    </row>
    <row r="465" spans="1:9" ht="31.5" hidden="1" customHeight="1" x14ac:dyDescent="0.2">
      <c r="A465" s="188"/>
      <c r="B465" s="187"/>
      <c r="C465" s="166" t="e">
        <f>[3]H4!#REF!</f>
        <v>#REF!</v>
      </c>
      <c r="D465" s="166" t="e">
        <f>[3]H4!#REF!</f>
        <v>#REF!</v>
      </c>
      <c r="E465" s="166" t="e">
        <f>[3]H4!#REF!</f>
        <v>#REF!</v>
      </c>
      <c r="F465" s="166" t="e">
        <f>[3]H4!#REF!</f>
        <v>#REF!</v>
      </c>
      <c r="G465" s="166" t="e">
        <f>[3]H4!#REF!</f>
        <v>#REF!</v>
      </c>
      <c r="H465" s="166" t="e">
        <f>[3]H4!#REF!</f>
        <v>#REF!</v>
      </c>
      <c r="I465" s="96"/>
    </row>
    <row r="466" spans="1:9" ht="110.25" hidden="1" customHeight="1" x14ac:dyDescent="0.2">
      <c r="A466" s="188"/>
      <c r="B466" s="187"/>
      <c r="C466" s="166" t="e">
        <f>[3]H4!#REF!</f>
        <v>#REF!</v>
      </c>
      <c r="D466" s="166" t="e">
        <f>[3]H4!#REF!</f>
        <v>#REF!</v>
      </c>
      <c r="E466" s="166" t="e">
        <f>[3]H4!#REF!</f>
        <v>#REF!</v>
      </c>
      <c r="F466" s="166" t="e">
        <f>[3]H4!#REF!</f>
        <v>#REF!</v>
      </c>
      <c r="G466" s="166" t="e">
        <f>[3]H4!#REF!</f>
        <v>#REF!</v>
      </c>
      <c r="H466" s="166" t="e">
        <f>[3]H4!#REF!</f>
        <v>#REF!</v>
      </c>
      <c r="I466" s="96" t="e">
        <f>G466/D466</f>
        <v>#REF!</v>
      </c>
    </row>
    <row r="467" spans="1:9" ht="31.5" hidden="1" customHeight="1" x14ac:dyDescent="0.2">
      <c r="A467" s="188"/>
      <c r="B467" s="187"/>
      <c r="C467" s="166" t="e">
        <f>[3]H4!#REF!</f>
        <v>#REF!</v>
      </c>
      <c r="D467" s="166" t="e">
        <f>[3]H4!#REF!</f>
        <v>#REF!</v>
      </c>
      <c r="E467" s="166" t="e">
        <f>[3]H4!#REF!</f>
        <v>#REF!</v>
      </c>
      <c r="F467" s="166" t="e">
        <f>[3]H4!#REF!</f>
        <v>#REF!</v>
      </c>
      <c r="G467" s="166" t="e">
        <f>[3]H4!#REF!</f>
        <v>#REF!</v>
      </c>
      <c r="H467" s="166" t="e">
        <f>[3]H4!#REF!</f>
        <v>#REF!</v>
      </c>
      <c r="I467" s="96"/>
    </row>
    <row r="468" spans="1:9" ht="47.25" hidden="1" customHeight="1" x14ac:dyDescent="0.2">
      <c r="A468" s="188"/>
      <c r="B468" s="187"/>
      <c r="C468" s="166" t="e">
        <f>[3]H4!#REF!</f>
        <v>#REF!</v>
      </c>
      <c r="D468" s="166" t="e">
        <f>[3]H4!#REF!</f>
        <v>#REF!</v>
      </c>
      <c r="E468" s="166" t="e">
        <f>[3]H4!#REF!</f>
        <v>#REF!</v>
      </c>
      <c r="F468" s="166" t="e">
        <f>[3]H4!#REF!</f>
        <v>#REF!</v>
      </c>
      <c r="G468" s="166" t="e">
        <f>[3]H4!#REF!</f>
        <v>#REF!</v>
      </c>
      <c r="H468" s="166" t="e">
        <f>[3]H4!#REF!</f>
        <v>#REF!</v>
      </c>
      <c r="I468" s="96" t="e">
        <f>G468/D468</f>
        <v>#REF!</v>
      </c>
    </row>
    <row r="469" spans="1:9" ht="31.5" hidden="1" customHeight="1" x14ac:dyDescent="0.2">
      <c r="A469" s="188"/>
      <c r="B469" s="187"/>
      <c r="C469" s="166" t="e">
        <f>[3]H4!#REF!</f>
        <v>#REF!</v>
      </c>
      <c r="D469" s="166" t="e">
        <f>[3]H4!#REF!</f>
        <v>#REF!</v>
      </c>
      <c r="E469" s="166" t="e">
        <f>[3]H4!#REF!</f>
        <v>#REF!</v>
      </c>
      <c r="F469" s="166" t="e">
        <f>[3]H4!#REF!</f>
        <v>#REF!</v>
      </c>
      <c r="G469" s="166" t="e">
        <f>[3]H4!#REF!</f>
        <v>#REF!</v>
      </c>
      <c r="H469" s="166" t="e">
        <f>[3]H4!#REF!</f>
        <v>#REF!</v>
      </c>
      <c r="I469" s="96"/>
    </row>
    <row r="470" spans="1:9" ht="78.75" hidden="1" customHeight="1" x14ac:dyDescent="0.2">
      <c r="A470" s="188"/>
      <c r="B470" s="187"/>
      <c r="C470" s="166" t="e">
        <f>[3]H4!#REF!</f>
        <v>#REF!</v>
      </c>
      <c r="D470" s="166" t="e">
        <f>[3]H4!#REF!</f>
        <v>#REF!</v>
      </c>
      <c r="E470" s="166" t="e">
        <f>[3]H4!#REF!</f>
        <v>#REF!</v>
      </c>
      <c r="F470" s="166" t="e">
        <f>[3]H4!#REF!</f>
        <v>#REF!</v>
      </c>
      <c r="G470" s="166" t="e">
        <f>[3]H4!#REF!</f>
        <v>#REF!</v>
      </c>
      <c r="H470" s="166" t="e">
        <f>[3]H4!#REF!</f>
        <v>#REF!</v>
      </c>
      <c r="I470" s="96" t="e">
        <f>G470/D470</f>
        <v>#REF!</v>
      </c>
    </row>
    <row r="471" spans="1:9" ht="31.5" hidden="1" customHeight="1" x14ac:dyDescent="0.2">
      <c r="A471" s="188"/>
      <c r="B471" s="187"/>
      <c r="C471" s="166" t="e">
        <f>[3]H4!#REF!</f>
        <v>#REF!</v>
      </c>
      <c r="D471" s="166" t="e">
        <f>[3]H4!#REF!</f>
        <v>#REF!</v>
      </c>
      <c r="E471" s="166" t="e">
        <f>[3]H4!#REF!</f>
        <v>#REF!</v>
      </c>
      <c r="F471" s="166" t="e">
        <f>[3]H4!#REF!</f>
        <v>#REF!</v>
      </c>
      <c r="G471" s="166" t="e">
        <f>[3]H4!#REF!</f>
        <v>#REF!</v>
      </c>
      <c r="H471" s="166" t="e">
        <f>[3]H4!#REF!</f>
        <v>#REF!</v>
      </c>
      <c r="I471" s="96"/>
    </row>
    <row r="472" spans="1:9" ht="63" hidden="1" customHeight="1" x14ac:dyDescent="0.2">
      <c r="A472" s="188"/>
      <c r="B472" s="187"/>
      <c r="C472" s="166" t="e">
        <f>[3]H4!#REF!</f>
        <v>#REF!</v>
      </c>
      <c r="D472" s="166" t="e">
        <f>[3]H4!#REF!</f>
        <v>#REF!</v>
      </c>
      <c r="E472" s="166" t="e">
        <f>[3]H4!#REF!</f>
        <v>#REF!</v>
      </c>
      <c r="F472" s="166" t="e">
        <f>[3]H4!#REF!</f>
        <v>#REF!</v>
      </c>
      <c r="G472" s="166" t="e">
        <f>[3]H4!#REF!</f>
        <v>#REF!</v>
      </c>
      <c r="H472" s="166" t="e">
        <f>[3]H4!#REF!</f>
        <v>#REF!</v>
      </c>
      <c r="I472" s="96" t="e">
        <f>G472/D472</f>
        <v>#REF!</v>
      </c>
    </row>
    <row r="473" spans="1:9" ht="31.5" hidden="1" customHeight="1" x14ac:dyDescent="0.2">
      <c r="A473" s="188"/>
      <c r="B473" s="187"/>
      <c r="C473" s="166" t="e">
        <f>[3]H4!#REF!</f>
        <v>#REF!</v>
      </c>
      <c r="D473" s="166" t="e">
        <f>[3]H4!#REF!</f>
        <v>#REF!</v>
      </c>
      <c r="E473" s="166" t="e">
        <f>[3]H4!#REF!</f>
        <v>#REF!</v>
      </c>
      <c r="F473" s="166" t="e">
        <f>[3]H4!#REF!</f>
        <v>#REF!</v>
      </c>
      <c r="G473" s="166" t="e">
        <f>[3]H4!#REF!</f>
        <v>#REF!</v>
      </c>
      <c r="H473" s="166" t="e">
        <f>[3]H4!#REF!</f>
        <v>#REF!</v>
      </c>
      <c r="I473" s="96"/>
    </row>
    <row r="474" spans="1:9" ht="78.75" hidden="1" customHeight="1" x14ac:dyDescent="0.2">
      <c r="A474" s="188"/>
      <c r="B474" s="187"/>
      <c r="C474" s="166" t="e">
        <f>[3]H4!#REF!</f>
        <v>#REF!</v>
      </c>
      <c r="D474" s="166" t="e">
        <f>[3]H4!#REF!</f>
        <v>#REF!</v>
      </c>
      <c r="E474" s="166" t="e">
        <f>[3]H4!#REF!</f>
        <v>#REF!</v>
      </c>
      <c r="F474" s="166" t="e">
        <f>[3]H4!#REF!</f>
        <v>#REF!</v>
      </c>
      <c r="G474" s="166" t="e">
        <f>[3]H4!#REF!</f>
        <v>#REF!</v>
      </c>
      <c r="H474" s="166" t="e">
        <f>[3]H4!#REF!</f>
        <v>#REF!</v>
      </c>
      <c r="I474" s="96" t="e">
        <f>G474/D474</f>
        <v>#REF!</v>
      </c>
    </row>
    <row r="475" spans="1:9" ht="31.5" hidden="1" customHeight="1" x14ac:dyDescent="0.2">
      <c r="A475" s="188"/>
      <c r="B475" s="187"/>
      <c r="C475" s="166" t="e">
        <f>[3]H4!#REF!</f>
        <v>#REF!</v>
      </c>
      <c r="D475" s="166" t="e">
        <f>[3]H4!#REF!</f>
        <v>#REF!</v>
      </c>
      <c r="E475" s="166" t="e">
        <f>[3]H4!#REF!</f>
        <v>#REF!</v>
      </c>
      <c r="F475" s="166" t="e">
        <f>[3]H4!#REF!</f>
        <v>#REF!</v>
      </c>
      <c r="G475" s="166" t="e">
        <f>[3]H4!#REF!</f>
        <v>#REF!</v>
      </c>
      <c r="H475" s="166" t="e">
        <f>[3]H4!#REF!</f>
        <v>#REF!</v>
      </c>
      <c r="I475" s="96"/>
    </row>
    <row r="476" spans="1:9" ht="63" hidden="1" customHeight="1" x14ac:dyDescent="0.2">
      <c r="A476" s="188"/>
      <c r="B476" s="187"/>
      <c r="C476" s="166" t="e">
        <f>[3]H4!#REF!</f>
        <v>#REF!</v>
      </c>
      <c r="D476" s="166" t="e">
        <f>[3]H4!#REF!</f>
        <v>#REF!</v>
      </c>
      <c r="E476" s="166" t="e">
        <f>[3]H4!#REF!</f>
        <v>#REF!</v>
      </c>
      <c r="F476" s="166" t="e">
        <f>[3]H4!#REF!</f>
        <v>#REF!</v>
      </c>
      <c r="G476" s="166" t="e">
        <f>[3]H4!#REF!</f>
        <v>#REF!</v>
      </c>
      <c r="H476" s="166" t="e">
        <f>[3]H4!#REF!</f>
        <v>#REF!</v>
      </c>
      <c r="I476" s="96" t="e">
        <f>G476/D476</f>
        <v>#REF!</v>
      </c>
    </row>
    <row r="477" spans="1:9" ht="31.5" hidden="1" customHeight="1" x14ac:dyDescent="0.2">
      <c r="A477" s="188"/>
      <c r="B477" s="187"/>
      <c r="C477" s="166" t="e">
        <f>[3]H4!#REF!</f>
        <v>#REF!</v>
      </c>
      <c r="D477" s="166" t="e">
        <f>[3]H4!#REF!</f>
        <v>#REF!</v>
      </c>
      <c r="E477" s="166" t="e">
        <f>[3]H4!#REF!</f>
        <v>#REF!</v>
      </c>
      <c r="F477" s="166" t="e">
        <f>[3]H4!#REF!</f>
        <v>#REF!</v>
      </c>
      <c r="G477" s="166" t="e">
        <f>[3]H4!#REF!</f>
        <v>#REF!</v>
      </c>
      <c r="H477" s="166" t="e">
        <f>[3]H4!#REF!</f>
        <v>#REF!</v>
      </c>
      <c r="I477" s="96"/>
    </row>
    <row r="478" spans="1:9" ht="63" hidden="1" customHeight="1" x14ac:dyDescent="0.2">
      <c r="A478" s="188"/>
      <c r="B478" s="187"/>
      <c r="C478" s="166" t="e">
        <f>[3]H4!#REF!</f>
        <v>#REF!</v>
      </c>
      <c r="D478" s="166" t="e">
        <f>[3]H4!#REF!</f>
        <v>#REF!</v>
      </c>
      <c r="E478" s="166" t="e">
        <f>[3]H4!#REF!</f>
        <v>#REF!</v>
      </c>
      <c r="F478" s="166" t="e">
        <f>[3]H4!#REF!</f>
        <v>#REF!</v>
      </c>
      <c r="G478" s="166" t="e">
        <f>[3]H4!#REF!</f>
        <v>#REF!</v>
      </c>
      <c r="H478" s="166" t="e">
        <f>[3]H4!#REF!</f>
        <v>#REF!</v>
      </c>
      <c r="I478" s="96" t="e">
        <f>G478/D478</f>
        <v>#REF!</v>
      </c>
    </row>
    <row r="479" spans="1:9" ht="31.5" hidden="1" customHeight="1" x14ac:dyDescent="0.2">
      <c r="A479" s="188"/>
      <c r="B479" s="187"/>
      <c r="C479" s="166" t="e">
        <f>[3]H4!#REF!</f>
        <v>#REF!</v>
      </c>
      <c r="D479" s="166" t="e">
        <f>[3]H4!#REF!</f>
        <v>#REF!</v>
      </c>
      <c r="E479" s="166" t="e">
        <f>[3]H4!#REF!</f>
        <v>#REF!</v>
      </c>
      <c r="F479" s="166" t="e">
        <f>[3]H4!#REF!</f>
        <v>#REF!</v>
      </c>
      <c r="G479" s="166" t="e">
        <f>[3]H4!#REF!</f>
        <v>#REF!</v>
      </c>
      <c r="H479" s="166" t="e">
        <f>[3]H4!#REF!</f>
        <v>#REF!</v>
      </c>
      <c r="I479" s="96"/>
    </row>
    <row r="480" spans="1:9" ht="78.75" hidden="1" customHeight="1" x14ac:dyDescent="0.2">
      <c r="A480" s="188"/>
      <c r="B480" s="187"/>
      <c r="C480" s="166" t="e">
        <f>[3]H4!#REF!</f>
        <v>#REF!</v>
      </c>
      <c r="D480" s="166" t="e">
        <f>[3]H4!#REF!</f>
        <v>#REF!</v>
      </c>
      <c r="E480" s="166" t="e">
        <f>[3]H4!#REF!</f>
        <v>#REF!</v>
      </c>
      <c r="F480" s="166" t="e">
        <f>[3]H4!#REF!</f>
        <v>#REF!</v>
      </c>
      <c r="G480" s="166" t="e">
        <f>[3]H4!#REF!</f>
        <v>#REF!</v>
      </c>
      <c r="H480" s="166" t="e">
        <f>[3]H4!#REF!</f>
        <v>#REF!</v>
      </c>
      <c r="I480" s="96" t="e">
        <f>G480/D480</f>
        <v>#REF!</v>
      </c>
    </row>
    <row r="481" spans="1:9" ht="31.5" hidden="1" customHeight="1" x14ac:dyDescent="0.2">
      <c r="A481" s="188"/>
      <c r="B481" s="187"/>
      <c r="C481" s="166" t="e">
        <f>[3]H4!#REF!</f>
        <v>#REF!</v>
      </c>
      <c r="D481" s="166" t="e">
        <f>[3]H4!#REF!</f>
        <v>#REF!</v>
      </c>
      <c r="E481" s="166" t="e">
        <f>[3]H4!#REF!</f>
        <v>#REF!</v>
      </c>
      <c r="F481" s="166" t="e">
        <f>[3]H4!#REF!</f>
        <v>#REF!</v>
      </c>
      <c r="G481" s="166" t="e">
        <f>[3]H4!#REF!</f>
        <v>#REF!</v>
      </c>
      <c r="H481" s="166" t="e">
        <f>[3]H4!#REF!</f>
        <v>#REF!</v>
      </c>
      <c r="I481" s="96"/>
    </row>
    <row r="482" spans="1:9" ht="110.25" hidden="1" customHeight="1" x14ac:dyDescent="0.2">
      <c r="A482" s="188"/>
      <c r="B482" s="187"/>
      <c r="C482" s="166" t="e">
        <f>[3]H4!#REF!</f>
        <v>#REF!</v>
      </c>
      <c r="D482" s="166" t="e">
        <f>[3]H4!#REF!</f>
        <v>#REF!</v>
      </c>
      <c r="E482" s="166" t="e">
        <f>[3]H4!#REF!</f>
        <v>#REF!</v>
      </c>
      <c r="F482" s="166" t="e">
        <f>[3]H4!#REF!</f>
        <v>#REF!</v>
      </c>
      <c r="G482" s="166" t="e">
        <f>[3]H4!#REF!</f>
        <v>#REF!</v>
      </c>
      <c r="H482" s="166" t="e">
        <f>[3]H4!#REF!</f>
        <v>#REF!</v>
      </c>
      <c r="I482" s="96" t="e">
        <f>G482/D482</f>
        <v>#REF!</v>
      </c>
    </row>
    <row r="483" spans="1:9" ht="31.5" hidden="1" customHeight="1" x14ac:dyDescent="0.2">
      <c r="A483" s="188"/>
      <c r="B483" s="187"/>
      <c r="C483" s="166" t="e">
        <f>[3]H4!#REF!</f>
        <v>#REF!</v>
      </c>
      <c r="D483" s="166" t="e">
        <f>[3]H4!#REF!</f>
        <v>#REF!</v>
      </c>
      <c r="E483" s="166" t="e">
        <f>[3]H4!#REF!</f>
        <v>#REF!</v>
      </c>
      <c r="F483" s="166" t="e">
        <f>[3]H4!#REF!</f>
        <v>#REF!</v>
      </c>
      <c r="G483" s="166" t="e">
        <f>[3]H4!#REF!</f>
        <v>#REF!</v>
      </c>
      <c r="H483" s="166" t="e">
        <f>[3]H4!#REF!</f>
        <v>#REF!</v>
      </c>
      <c r="I483" s="96"/>
    </row>
    <row r="484" spans="1:9" ht="110.25" hidden="1" customHeight="1" x14ac:dyDescent="0.2">
      <c r="A484" s="188"/>
      <c r="B484" s="187"/>
      <c r="C484" s="166" t="e">
        <f>[3]H4!#REF!</f>
        <v>#REF!</v>
      </c>
      <c r="D484" s="166" t="e">
        <f>[3]H4!#REF!</f>
        <v>#REF!</v>
      </c>
      <c r="E484" s="166" t="e">
        <f>[3]H4!#REF!</f>
        <v>#REF!</v>
      </c>
      <c r="F484" s="166" t="e">
        <f>[3]H4!#REF!</f>
        <v>#REF!</v>
      </c>
      <c r="G484" s="166" t="e">
        <f>[3]H4!#REF!</f>
        <v>#REF!</v>
      </c>
      <c r="H484" s="166" t="e">
        <f>[3]H4!#REF!</f>
        <v>#REF!</v>
      </c>
      <c r="I484" s="96" t="e">
        <f>G484/D484</f>
        <v>#REF!</v>
      </c>
    </row>
    <row r="485" spans="1:9" ht="31.5" hidden="1" customHeight="1" x14ac:dyDescent="0.2">
      <c r="A485" s="188"/>
      <c r="B485" s="187"/>
      <c r="C485" s="166" t="e">
        <f>[3]H4!#REF!</f>
        <v>#REF!</v>
      </c>
      <c r="D485" s="166" t="e">
        <f>[3]H4!#REF!</f>
        <v>#REF!</v>
      </c>
      <c r="E485" s="166" t="e">
        <f>[3]H4!#REF!</f>
        <v>#REF!</v>
      </c>
      <c r="F485" s="166" t="e">
        <f>[3]H4!#REF!</f>
        <v>#REF!</v>
      </c>
      <c r="G485" s="166" t="e">
        <f>[3]H4!#REF!</f>
        <v>#REF!</v>
      </c>
      <c r="H485" s="166" t="e">
        <f>[3]H4!#REF!</f>
        <v>#REF!</v>
      </c>
      <c r="I485" s="96"/>
    </row>
    <row r="486" spans="1:9" ht="94.5" hidden="1" customHeight="1" x14ac:dyDescent="0.2">
      <c r="A486" s="188"/>
      <c r="B486" s="187"/>
      <c r="C486" s="166" t="str">
        <f>[3]H4!C629</f>
        <v>2.6.2.2.2 - 2.COSTO DE CONSTRUCCION POR CONTRATA</v>
      </c>
      <c r="D486" s="166">
        <f>[3]H4!D629</f>
        <v>814519</v>
      </c>
      <c r="E486" s="166">
        <f>[3]H4!E629</f>
        <v>0</v>
      </c>
      <c r="F486" s="166">
        <f>[3]H4!F629</f>
        <v>814519</v>
      </c>
      <c r="G486" s="166">
        <f>[3]H4!G629</f>
        <v>0</v>
      </c>
      <c r="H486" s="166">
        <f>[3]H4!H629</f>
        <v>814519</v>
      </c>
      <c r="I486" s="96">
        <f>G486/D486</f>
        <v>0</v>
      </c>
    </row>
    <row r="487" spans="1:9" ht="31.5" hidden="1" customHeight="1" x14ac:dyDescent="0.2">
      <c r="A487" s="188"/>
      <c r="B487" s="187"/>
      <c r="C487" s="166" t="str">
        <f>[3]H4!C630</f>
        <v>2.6.8.1.3 - 1.ELABORACION DE EXPEDIENTES TECNICOS</v>
      </c>
      <c r="D487" s="166">
        <f>[3]H4!D630</f>
        <v>41798</v>
      </c>
      <c r="E487" s="166">
        <f>[3]H4!E630</f>
        <v>0</v>
      </c>
      <c r="F487" s="166">
        <f>[3]H4!F630</f>
        <v>41798</v>
      </c>
      <c r="G487" s="166">
        <f>[3]H4!G630</f>
        <v>0</v>
      </c>
      <c r="H487" s="166">
        <f>[3]H4!H630</f>
        <v>41798</v>
      </c>
      <c r="I487" s="96"/>
    </row>
    <row r="488" spans="1:9" ht="110.25" hidden="1" customHeight="1" x14ac:dyDescent="0.2">
      <c r="A488" s="188"/>
      <c r="B488" s="187"/>
      <c r="C488" s="166" t="str">
        <f>[3]H4!C631</f>
        <v>2.6.8.1.4 - 1.GASTO POR LA CONTRATACION DE PERSONAL</v>
      </c>
      <c r="D488" s="166">
        <f>[3]H4!D631</f>
        <v>0</v>
      </c>
      <c r="E488" s="166">
        <f>[3]H4!E631</f>
        <v>0</v>
      </c>
      <c r="F488" s="166">
        <f>[3]H4!F631</f>
        <v>0</v>
      </c>
      <c r="G488" s="166">
        <f>[3]H4!G631</f>
        <v>0</v>
      </c>
      <c r="H488" s="166">
        <f>[3]H4!H631</f>
        <v>0</v>
      </c>
      <c r="I488" s="96" t="e">
        <f>G488/D488</f>
        <v>#DIV/0!</v>
      </c>
    </row>
    <row r="489" spans="1:9" ht="31.5" hidden="1" customHeight="1" x14ac:dyDescent="0.2">
      <c r="A489" s="188"/>
      <c r="B489" s="187"/>
      <c r="C489" s="166" t="str">
        <f>[3]H4!C632</f>
        <v>2.6.8.1.4 - 2.GASTO POR LA COMPRA DE BIENES</v>
      </c>
      <c r="D489" s="166">
        <f>[3]H4!D632</f>
        <v>0</v>
      </c>
      <c r="E489" s="166">
        <f>[3]H4!E632</f>
        <v>0</v>
      </c>
      <c r="F489" s="166">
        <f>[3]H4!F632</f>
        <v>0</v>
      </c>
      <c r="G489" s="166">
        <f>[3]H4!G632</f>
        <v>0</v>
      </c>
      <c r="H489" s="166">
        <f>[3]H4!H632</f>
        <v>0</v>
      </c>
      <c r="I489" s="96"/>
    </row>
    <row r="490" spans="1:9" ht="94.5" hidden="1" customHeight="1" x14ac:dyDescent="0.2">
      <c r="A490" s="188"/>
      <c r="B490" s="187"/>
      <c r="C490" s="166" t="str">
        <f>[3]H4!C633</f>
        <v>2.6.8.1.3 - 1.ELABORACION DE EXPEDIENTES TECNICOS</v>
      </c>
      <c r="D490" s="166">
        <f>[3]H4!D633</f>
        <v>200000</v>
      </c>
      <c r="E490" s="166">
        <f>[3]H4!E633</f>
        <v>0</v>
      </c>
      <c r="F490" s="166">
        <f>[3]H4!F633</f>
        <v>200000</v>
      </c>
      <c r="G490" s="166">
        <f>[3]H4!G633</f>
        <v>0</v>
      </c>
      <c r="H490" s="166">
        <f>[3]H4!H633</f>
        <v>200000</v>
      </c>
      <c r="I490" s="96">
        <f>G490/D490</f>
        <v>0</v>
      </c>
    </row>
    <row r="491" spans="1:9" ht="31.5" hidden="1" customHeight="1" x14ac:dyDescent="0.2">
      <c r="A491" s="188"/>
      <c r="B491" s="187"/>
      <c r="C491" s="166">
        <f>[3]H4!C634</f>
        <v>0</v>
      </c>
      <c r="D491" s="166">
        <f>[3]H4!D634</f>
        <v>0</v>
      </c>
      <c r="E491" s="166">
        <f>[3]H4!E634</f>
        <v>0</v>
      </c>
      <c r="F491" s="166">
        <f>[3]H4!F634</f>
        <v>0</v>
      </c>
      <c r="G491" s="166">
        <f>[3]H4!G634</f>
        <v>0</v>
      </c>
      <c r="H491" s="166">
        <f>[3]H4!H634</f>
        <v>0</v>
      </c>
      <c r="I491" s="96"/>
    </row>
    <row r="492" spans="1:9" ht="173.25" hidden="1" customHeight="1" x14ac:dyDescent="0.2">
      <c r="A492" s="188"/>
      <c r="B492" s="187"/>
      <c r="C492" s="166">
        <f>[3]H4!C635</f>
        <v>0</v>
      </c>
      <c r="D492" s="166">
        <f>[3]H4!D635</f>
        <v>0</v>
      </c>
      <c r="E492" s="166">
        <f>[3]H4!E635</f>
        <v>0</v>
      </c>
      <c r="F492" s="166">
        <f>[3]H4!F635</f>
        <v>0</v>
      </c>
      <c r="G492" s="166">
        <f>[3]H4!G635</f>
        <v>0</v>
      </c>
      <c r="H492" s="166">
        <f>[3]H4!H635</f>
        <v>0</v>
      </c>
      <c r="I492" s="96" t="e">
        <f>G492/D492</f>
        <v>#DIV/0!</v>
      </c>
    </row>
    <row r="493" spans="1:9" ht="31.5" hidden="1" customHeight="1" x14ac:dyDescent="0.2">
      <c r="A493" s="188"/>
      <c r="B493" s="187"/>
      <c r="C493" s="166">
        <f>[3]H4!C636</f>
        <v>0</v>
      </c>
      <c r="D493" s="166">
        <f>[3]H4!D636</f>
        <v>0</v>
      </c>
      <c r="E493" s="166">
        <f>[3]H4!E636</f>
        <v>0</v>
      </c>
      <c r="F493" s="166">
        <f>[3]H4!F636</f>
        <v>0</v>
      </c>
      <c r="G493" s="166">
        <f>[3]H4!G636</f>
        <v>0</v>
      </c>
      <c r="H493" s="166">
        <f>[3]H4!H636</f>
        <v>0</v>
      </c>
      <c r="I493" s="96"/>
    </row>
    <row r="494" spans="1:9" hidden="1" x14ac:dyDescent="0.2">
      <c r="A494" s="181"/>
      <c r="B494" s="179"/>
      <c r="C494" s="166" t="str">
        <f>[3]H4!C637</f>
        <v>2.6.8.1.3 - 1.ELABORACION DE EXPEDIENTES TECNICOS</v>
      </c>
      <c r="D494" s="166">
        <f>[3]H4!D637</f>
        <v>200000</v>
      </c>
      <c r="E494" s="166">
        <f>[3]H4!E637</f>
        <v>0</v>
      </c>
      <c r="F494" s="166">
        <f>[3]H4!F637</f>
        <v>200000</v>
      </c>
      <c r="G494" s="166">
        <f>[3]H4!G637</f>
        <v>0</v>
      </c>
      <c r="H494" s="166">
        <f>[3]H4!H637</f>
        <v>200000</v>
      </c>
      <c r="I494" s="96"/>
    </row>
    <row r="495" spans="1:9" hidden="1" x14ac:dyDescent="0.2">
      <c r="A495" s="180">
        <f>SUBTOTAL(103,$B$8:B495)</f>
        <v>168</v>
      </c>
      <c r="B495" s="178"/>
      <c r="C495" s="166">
        <f>[3]H4!C638</f>
        <v>0</v>
      </c>
      <c r="D495" s="166">
        <f>[3]H4!D638</f>
        <v>0</v>
      </c>
      <c r="E495" s="166">
        <f>[3]H4!E638</f>
        <v>0</v>
      </c>
      <c r="F495" s="166">
        <f>[3]H4!F638</f>
        <v>0</v>
      </c>
      <c r="G495" s="166">
        <f>[3]H4!G638</f>
        <v>0</v>
      </c>
      <c r="H495" s="166">
        <f>[3]H4!H638</f>
        <v>0</v>
      </c>
      <c r="I495" s="96" t="e">
        <f>G495/D495</f>
        <v>#DIV/0!</v>
      </c>
    </row>
    <row r="496" spans="1:9" hidden="1" x14ac:dyDescent="0.2">
      <c r="A496" s="181"/>
      <c r="B496" s="179"/>
      <c r="C496" s="166">
        <f>[3]H4!C639</f>
        <v>0</v>
      </c>
      <c r="D496" s="166">
        <f>[3]H4!D639</f>
        <v>0</v>
      </c>
      <c r="E496" s="166">
        <f>[3]H4!E639</f>
        <v>0</v>
      </c>
      <c r="F496" s="166">
        <f>[3]H4!F639</f>
        <v>0</v>
      </c>
      <c r="G496" s="166">
        <f>[3]H4!G639</f>
        <v>0</v>
      </c>
      <c r="H496" s="166">
        <f>[3]H4!H639</f>
        <v>0</v>
      </c>
      <c r="I496" s="96"/>
    </row>
    <row r="497" spans="1:9" hidden="1" x14ac:dyDescent="0.2">
      <c r="A497" s="180">
        <f>SUBTOTAL(103,$B$8:B497)</f>
        <v>168</v>
      </c>
      <c r="B497" s="178"/>
      <c r="C497" s="166">
        <f>[3]H4!C640</f>
        <v>0</v>
      </c>
      <c r="D497" s="166">
        <f>[3]H4!D640</f>
        <v>0</v>
      </c>
      <c r="E497" s="166">
        <f>[3]H4!E640</f>
        <v>0</v>
      </c>
      <c r="F497" s="166">
        <f>[3]H4!F640</f>
        <v>0</v>
      </c>
      <c r="G497" s="166">
        <f>[3]H4!G640</f>
        <v>0</v>
      </c>
      <c r="H497" s="166">
        <f>[3]H4!H640</f>
        <v>0</v>
      </c>
      <c r="I497" s="96" t="e">
        <f>G497/D497</f>
        <v>#DIV/0!</v>
      </c>
    </row>
    <row r="498" spans="1:9" hidden="1" x14ac:dyDescent="0.2">
      <c r="A498" s="181"/>
      <c r="B498" s="179"/>
      <c r="C498" s="166" t="str">
        <f>[3]H4!C641</f>
        <v>2.6.8.1.3 - 1.ELABORACION DE EXPEDIENTES TECNICOS</v>
      </c>
      <c r="D498" s="166">
        <f>[3]H4!D641</f>
        <v>171496</v>
      </c>
      <c r="E498" s="166">
        <f>[3]H4!E641</f>
        <v>0</v>
      </c>
      <c r="F498" s="166">
        <f>[3]H4!F641</f>
        <v>171496</v>
      </c>
      <c r="G498" s="166">
        <f>[3]H4!G641</f>
        <v>0</v>
      </c>
      <c r="H498" s="166">
        <f>[3]H4!H641</f>
        <v>171496</v>
      </c>
      <c r="I498" s="96"/>
    </row>
    <row r="499" spans="1:9" hidden="1" x14ac:dyDescent="0.2">
      <c r="A499" s="180">
        <f>SUBTOTAL(103,$B$8:B499)</f>
        <v>168</v>
      </c>
      <c r="B499" s="178"/>
      <c r="C499" s="166">
        <f>[3]H4!C642</f>
        <v>0</v>
      </c>
      <c r="D499" s="166">
        <f>[3]H4!D642</f>
        <v>0</v>
      </c>
      <c r="E499" s="166">
        <f>[3]H4!E642</f>
        <v>0</v>
      </c>
      <c r="F499" s="166">
        <f>[3]H4!F642</f>
        <v>0</v>
      </c>
      <c r="G499" s="166">
        <f>[3]H4!G642</f>
        <v>0</v>
      </c>
      <c r="H499" s="166">
        <f>[3]H4!H642</f>
        <v>0</v>
      </c>
      <c r="I499" s="96" t="e">
        <f>G499/D499</f>
        <v>#DIV/0!</v>
      </c>
    </row>
    <row r="500" spans="1:9" hidden="1" x14ac:dyDescent="0.2">
      <c r="A500" s="181"/>
      <c r="B500" s="179"/>
      <c r="C500" s="166">
        <f>[3]H4!C643</f>
        <v>0</v>
      </c>
      <c r="D500" s="166">
        <f>[3]H4!D643</f>
        <v>0</v>
      </c>
      <c r="E500" s="166">
        <f>[3]H4!E643</f>
        <v>0</v>
      </c>
      <c r="F500" s="166">
        <f>[3]H4!F643</f>
        <v>0</v>
      </c>
      <c r="G500" s="166">
        <f>[3]H4!G643</f>
        <v>0</v>
      </c>
      <c r="H500" s="166">
        <f>[3]H4!H643</f>
        <v>0</v>
      </c>
      <c r="I500" s="96"/>
    </row>
    <row r="501" spans="1:9" hidden="1" x14ac:dyDescent="0.2">
      <c r="A501" s="180">
        <f>SUBTOTAL(103,$B$8:B501)</f>
        <v>168</v>
      </c>
      <c r="B501" s="178"/>
      <c r="C501" s="166">
        <f>[3]H4!C644</f>
        <v>0</v>
      </c>
      <c r="D501" s="166">
        <f>[3]H4!D644</f>
        <v>0</v>
      </c>
      <c r="E501" s="166">
        <f>[3]H4!E644</f>
        <v>0</v>
      </c>
      <c r="F501" s="166">
        <f>[3]H4!F644</f>
        <v>0</v>
      </c>
      <c r="G501" s="166">
        <f>[3]H4!G644</f>
        <v>0</v>
      </c>
      <c r="H501" s="166">
        <f>[3]H4!H644</f>
        <v>0</v>
      </c>
      <c r="I501" s="96" t="e">
        <f>G501/D501</f>
        <v>#DIV/0!</v>
      </c>
    </row>
    <row r="502" spans="1:9" hidden="1" x14ac:dyDescent="0.2">
      <c r="A502" s="181"/>
      <c r="B502" s="179"/>
      <c r="C502" s="166" t="str">
        <f>[3]H4!C645</f>
        <v>2.6.8.1.3 - 1.ELABORACION DE EXPEDIENTES TECNICOS</v>
      </c>
      <c r="D502" s="166">
        <f>[3]H4!D645</f>
        <v>273457</v>
      </c>
      <c r="E502" s="166">
        <f>[3]H4!E645</f>
        <v>0</v>
      </c>
      <c r="F502" s="166">
        <f>[3]H4!F645</f>
        <v>273457</v>
      </c>
      <c r="G502" s="166">
        <f>[3]H4!G645</f>
        <v>0</v>
      </c>
      <c r="H502" s="166">
        <f>[3]H4!H645</f>
        <v>273457</v>
      </c>
      <c r="I502" s="96"/>
    </row>
    <row r="503" spans="1:9" hidden="1" x14ac:dyDescent="0.2">
      <c r="A503" s="180">
        <f>SUBTOTAL(103,$B$8:B503)</f>
        <v>168</v>
      </c>
      <c r="B503" s="178"/>
      <c r="C503" s="166">
        <f>[3]H4!C646</f>
        <v>0</v>
      </c>
      <c r="D503" s="166">
        <f>[3]H4!D646</f>
        <v>0</v>
      </c>
      <c r="E503" s="166">
        <f>[3]H4!E646</f>
        <v>0</v>
      </c>
      <c r="F503" s="166">
        <f>[3]H4!F646</f>
        <v>0</v>
      </c>
      <c r="G503" s="166">
        <f>[3]H4!G646</f>
        <v>0</v>
      </c>
      <c r="H503" s="166">
        <f>[3]H4!H646</f>
        <v>0</v>
      </c>
      <c r="I503" s="96" t="e">
        <f>G503/D503</f>
        <v>#DIV/0!</v>
      </c>
    </row>
    <row r="504" spans="1:9" hidden="1" x14ac:dyDescent="0.2">
      <c r="A504" s="181"/>
      <c r="B504" s="179"/>
      <c r="C504" s="166">
        <f>[3]H4!C647</f>
        <v>0</v>
      </c>
      <c r="D504" s="166">
        <f>[3]H4!D647</f>
        <v>0</v>
      </c>
      <c r="E504" s="166">
        <f>[3]H4!E647</f>
        <v>0</v>
      </c>
      <c r="F504" s="166">
        <f>[3]H4!F647</f>
        <v>0</v>
      </c>
      <c r="G504" s="166">
        <f>[3]H4!G647</f>
        <v>0</v>
      </c>
      <c r="H504" s="166">
        <f>[3]H4!H647</f>
        <v>0</v>
      </c>
      <c r="I504" s="96"/>
    </row>
    <row r="505" spans="1:9" hidden="1" x14ac:dyDescent="0.2">
      <c r="A505" s="180">
        <f>SUBTOTAL(103,$B$8:B505)</f>
        <v>168</v>
      </c>
      <c r="B505" s="178"/>
      <c r="C505" s="166">
        <f>[3]H4!C648</f>
        <v>0</v>
      </c>
      <c r="D505" s="166">
        <f>[3]H4!D648</f>
        <v>0</v>
      </c>
      <c r="E505" s="166">
        <f>[3]H4!E648</f>
        <v>0</v>
      </c>
      <c r="F505" s="166">
        <f>[3]H4!F648</f>
        <v>0</v>
      </c>
      <c r="G505" s="166">
        <f>[3]H4!G648</f>
        <v>0</v>
      </c>
      <c r="H505" s="166">
        <f>[3]H4!H648</f>
        <v>0</v>
      </c>
      <c r="I505" s="96" t="e">
        <f>G505/D505</f>
        <v>#DIV/0!</v>
      </c>
    </row>
    <row r="506" spans="1:9" hidden="1" x14ac:dyDescent="0.2">
      <c r="A506" s="181"/>
      <c r="B506" s="179"/>
      <c r="C506" s="166" t="str">
        <f>[3]H4!C649</f>
        <v>2.6.8.1.3 - 1.ELABORACION DE EXPEDIENTES TECNICOS</v>
      </c>
      <c r="D506" s="166">
        <f>[3]H4!D649</f>
        <v>81510</v>
      </c>
      <c r="E506" s="166">
        <f>[3]H4!E649</f>
        <v>0</v>
      </c>
      <c r="F506" s="166">
        <f>[3]H4!F649</f>
        <v>81510</v>
      </c>
      <c r="G506" s="166">
        <f>[3]H4!G649</f>
        <v>0</v>
      </c>
      <c r="H506" s="166">
        <f>[3]H4!H649</f>
        <v>81510</v>
      </c>
      <c r="I506" s="96"/>
    </row>
    <row r="507" spans="1:9" hidden="1" x14ac:dyDescent="0.2">
      <c r="A507" s="180">
        <f>SUBTOTAL(103,$B$8:B507)</f>
        <v>168</v>
      </c>
      <c r="B507" s="178"/>
      <c r="C507" s="166">
        <f>[3]H4!C650</f>
        <v>0</v>
      </c>
      <c r="D507" s="166">
        <f>[3]H4!D650</f>
        <v>0</v>
      </c>
      <c r="E507" s="166">
        <f>[3]H4!E650</f>
        <v>0</v>
      </c>
      <c r="F507" s="166">
        <f>[3]H4!F650</f>
        <v>0</v>
      </c>
      <c r="G507" s="166">
        <f>[3]H4!G650</f>
        <v>0</v>
      </c>
      <c r="H507" s="166">
        <f>[3]H4!H650</f>
        <v>0</v>
      </c>
      <c r="I507" s="96" t="e">
        <f>G507/D507</f>
        <v>#DIV/0!</v>
      </c>
    </row>
    <row r="508" spans="1:9" hidden="1" x14ac:dyDescent="0.2">
      <c r="A508" s="181"/>
      <c r="B508" s="179"/>
      <c r="C508" s="166">
        <f>[3]H4!C651</f>
        <v>0</v>
      </c>
      <c r="D508" s="166">
        <f>[3]H4!D651</f>
        <v>0</v>
      </c>
      <c r="E508" s="166">
        <f>[3]H4!E651</f>
        <v>0</v>
      </c>
      <c r="F508" s="166">
        <f>[3]H4!F651</f>
        <v>0</v>
      </c>
      <c r="G508" s="166">
        <f>[3]H4!G651</f>
        <v>0</v>
      </c>
      <c r="H508" s="166">
        <f>[3]H4!H651</f>
        <v>0</v>
      </c>
      <c r="I508" s="96"/>
    </row>
    <row r="509" spans="1:9" hidden="1" x14ac:dyDescent="0.2">
      <c r="A509" s="180">
        <f>SUBTOTAL(103,$B$8:B509)</f>
        <v>168</v>
      </c>
      <c r="B509" s="178"/>
      <c r="C509" s="166">
        <f>[3]H4!C652</f>
        <v>0</v>
      </c>
      <c r="D509" s="166">
        <f>[3]H4!D652</f>
        <v>0</v>
      </c>
      <c r="E509" s="166">
        <f>[3]H4!E652</f>
        <v>0</v>
      </c>
      <c r="F509" s="166">
        <f>[3]H4!F652</f>
        <v>0</v>
      </c>
      <c r="G509" s="166">
        <f>[3]H4!G652</f>
        <v>0</v>
      </c>
      <c r="H509" s="166">
        <f>[3]H4!H652</f>
        <v>0</v>
      </c>
      <c r="I509" s="96" t="e">
        <f>G509/D509</f>
        <v>#DIV/0!</v>
      </c>
    </row>
    <row r="510" spans="1:9" hidden="1" x14ac:dyDescent="0.2">
      <c r="A510" s="181"/>
      <c r="B510" s="179"/>
      <c r="C510" s="166" t="str">
        <f>[3]H4!C653</f>
        <v>2.6.8.1.3 - 1.ELABORACION DE EXPEDIENTES TECNICOS</v>
      </c>
      <c r="D510" s="166">
        <f>[3]H4!D653</f>
        <v>75291</v>
      </c>
      <c r="E510" s="166">
        <f>[3]H4!E653</f>
        <v>0</v>
      </c>
      <c r="F510" s="166">
        <f>[3]H4!F653</f>
        <v>75291</v>
      </c>
      <c r="G510" s="166">
        <f>[3]H4!G653</f>
        <v>0</v>
      </c>
      <c r="H510" s="166">
        <f>[3]H4!H653</f>
        <v>75291</v>
      </c>
      <c r="I510" s="96"/>
    </row>
    <row r="511" spans="1:9" hidden="1" x14ac:dyDescent="0.2">
      <c r="A511" s="180">
        <f>SUBTOTAL(103,$B$8:B511)</f>
        <v>168</v>
      </c>
      <c r="B511" s="178"/>
      <c r="C511" s="166">
        <f>[3]H4!C654</f>
        <v>0</v>
      </c>
      <c r="D511" s="166">
        <f>[3]H4!D654</f>
        <v>0</v>
      </c>
      <c r="E511" s="166">
        <f>[3]H4!E654</f>
        <v>0</v>
      </c>
      <c r="F511" s="166">
        <f>[3]H4!F654</f>
        <v>0</v>
      </c>
      <c r="G511" s="166">
        <f>[3]H4!G654</f>
        <v>0</v>
      </c>
      <c r="H511" s="166">
        <f>[3]H4!H654</f>
        <v>0</v>
      </c>
      <c r="I511" s="96" t="e">
        <f>G511/D511</f>
        <v>#DIV/0!</v>
      </c>
    </row>
    <row r="512" spans="1:9" hidden="1" x14ac:dyDescent="0.2">
      <c r="A512" s="181"/>
      <c r="B512" s="179"/>
      <c r="C512" s="166">
        <f>[3]H4!C655</f>
        <v>0</v>
      </c>
      <c r="D512" s="166">
        <f>[3]H4!D655</f>
        <v>0</v>
      </c>
      <c r="E512" s="166">
        <f>[3]H4!E655</f>
        <v>0</v>
      </c>
      <c r="F512" s="166">
        <f>[3]H4!F655</f>
        <v>0</v>
      </c>
      <c r="G512" s="166">
        <f>[3]H4!G655</f>
        <v>0</v>
      </c>
      <c r="H512" s="166">
        <f>[3]H4!H655</f>
        <v>0</v>
      </c>
      <c r="I512" s="96"/>
    </row>
    <row r="513" spans="1:9" hidden="1" x14ac:dyDescent="0.2">
      <c r="A513" s="180">
        <f>SUBTOTAL(103,$B$8:B513)</f>
        <v>168</v>
      </c>
      <c r="B513" s="178"/>
      <c r="C513" s="166">
        <f>[3]H4!C656</f>
        <v>0</v>
      </c>
      <c r="D513" s="166">
        <f>[3]H4!D656</f>
        <v>0</v>
      </c>
      <c r="E513" s="166">
        <f>[3]H4!E656</f>
        <v>0</v>
      </c>
      <c r="F513" s="166">
        <f>[3]H4!F656</f>
        <v>0</v>
      </c>
      <c r="G513" s="166">
        <f>[3]H4!G656</f>
        <v>0</v>
      </c>
      <c r="H513" s="166">
        <f>[3]H4!H656</f>
        <v>0</v>
      </c>
      <c r="I513" s="96" t="e">
        <f>G513/D513</f>
        <v>#DIV/0!</v>
      </c>
    </row>
    <row r="514" spans="1:9" hidden="1" x14ac:dyDescent="0.2">
      <c r="A514" s="181"/>
      <c r="B514" s="179"/>
      <c r="C514" s="166" t="str">
        <f>[3]H4!C657</f>
        <v>2.6.8.1.3 - 1.ELABORACION DE EXPEDIENTES TECNICOS</v>
      </c>
      <c r="D514" s="166">
        <f>[3]H4!D657</f>
        <v>149283</v>
      </c>
      <c r="E514" s="166">
        <f>[3]H4!E657</f>
        <v>0</v>
      </c>
      <c r="F514" s="166">
        <f>[3]H4!F657</f>
        <v>149283</v>
      </c>
      <c r="G514" s="166">
        <f>[3]H4!G657</f>
        <v>0</v>
      </c>
      <c r="H514" s="166">
        <f>[3]H4!H657</f>
        <v>149283</v>
      </c>
      <c r="I514" s="96"/>
    </row>
    <row r="515" spans="1:9" hidden="1" x14ac:dyDescent="0.2">
      <c r="A515" s="180">
        <f>SUBTOTAL(103,$B$8:B515)</f>
        <v>168</v>
      </c>
      <c r="B515" s="178"/>
      <c r="C515" s="166">
        <f>[3]H4!C658</f>
        <v>0</v>
      </c>
      <c r="D515" s="166">
        <f>[3]H4!D658</f>
        <v>0</v>
      </c>
      <c r="E515" s="166">
        <f>[3]H4!E658</f>
        <v>0</v>
      </c>
      <c r="F515" s="166">
        <f>[3]H4!F658</f>
        <v>0</v>
      </c>
      <c r="G515" s="166">
        <f>[3]H4!G658</f>
        <v>0</v>
      </c>
      <c r="H515" s="166">
        <f>[3]H4!H658</f>
        <v>0</v>
      </c>
      <c r="I515" s="96" t="e">
        <f>G515/D515</f>
        <v>#DIV/0!</v>
      </c>
    </row>
    <row r="516" spans="1:9" hidden="1" x14ac:dyDescent="0.2">
      <c r="A516" s="181"/>
      <c r="B516" s="179"/>
      <c r="C516" s="166">
        <f>[3]H4!C659</f>
        <v>0</v>
      </c>
      <c r="D516" s="166">
        <f>[3]H4!D659</f>
        <v>0</v>
      </c>
      <c r="E516" s="166">
        <f>[3]H4!E659</f>
        <v>0</v>
      </c>
      <c r="F516" s="166">
        <f>[3]H4!F659</f>
        <v>0</v>
      </c>
      <c r="G516" s="166">
        <f>[3]H4!G659</f>
        <v>0</v>
      </c>
      <c r="H516" s="166">
        <f>[3]H4!H659</f>
        <v>0</v>
      </c>
      <c r="I516" s="96"/>
    </row>
    <row r="517" spans="1:9" hidden="1" x14ac:dyDescent="0.2">
      <c r="A517" s="180">
        <f>SUBTOTAL(103,$B$8:B517)</f>
        <v>168</v>
      </c>
      <c r="B517" s="178"/>
      <c r="C517" s="166">
        <f>[3]H4!C660</f>
        <v>0</v>
      </c>
      <c r="D517" s="166">
        <f>[3]H4!D660</f>
        <v>0</v>
      </c>
      <c r="E517" s="166">
        <f>[3]H4!E660</f>
        <v>0</v>
      </c>
      <c r="F517" s="166">
        <f>[3]H4!F660</f>
        <v>0</v>
      </c>
      <c r="G517" s="166">
        <f>[3]H4!G660</f>
        <v>0</v>
      </c>
      <c r="H517" s="166">
        <f>[3]H4!H660</f>
        <v>0</v>
      </c>
      <c r="I517" s="96" t="e">
        <f>G517/D517</f>
        <v>#DIV/0!</v>
      </c>
    </row>
    <row r="518" spans="1:9" hidden="1" x14ac:dyDescent="0.2">
      <c r="A518" s="181"/>
      <c r="B518" s="179"/>
      <c r="C518" s="166" t="str">
        <f>[3]H4!C661</f>
        <v>2.6.2.2.2 - 2.COSTO DE CONSTRUCCION POR CONTRATA</v>
      </c>
      <c r="D518" s="166">
        <f>[3]H4!D661</f>
        <v>2394005</v>
      </c>
      <c r="E518" s="166">
        <f>[3]H4!E661</f>
        <v>0</v>
      </c>
      <c r="F518" s="166">
        <f>[3]H4!F661</f>
        <v>2394005</v>
      </c>
      <c r="G518" s="166">
        <f>[3]H4!G661</f>
        <v>0</v>
      </c>
      <c r="H518" s="166">
        <f>[3]H4!H661</f>
        <v>2394005</v>
      </c>
      <c r="I518" s="96"/>
    </row>
    <row r="519" spans="1:9" hidden="1" x14ac:dyDescent="0.2">
      <c r="A519" s="180">
        <f>SUBTOTAL(103,$B$8:B519)</f>
        <v>168</v>
      </c>
      <c r="B519" s="178"/>
      <c r="C519" s="166">
        <f>[3]H4!C662</f>
        <v>0</v>
      </c>
      <c r="D519" s="166">
        <f>[3]H4!D662</f>
        <v>0</v>
      </c>
      <c r="E519" s="166">
        <f>[3]H4!E662</f>
        <v>0</v>
      </c>
      <c r="F519" s="166">
        <f>[3]H4!F662</f>
        <v>0</v>
      </c>
      <c r="G519" s="166">
        <f>[3]H4!G662</f>
        <v>0</v>
      </c>
      <c r="H519" s="166">
        <f>[3]H4!H662</f>
        <v>0</v>
      </c>
      <c r="I519" s="96" t="e">
        <f>G519/D519</f>
        <v>#DIV/0!</v>
      </c>
    </row>
    <row r="520" spans="1:9" hidden="1" x14ac:dyDescent="0.2">
      <c r="A520" s="181"/>
      <c r="B520" s="179"/>
      <c r="C520" s="166">
        <f>[3]H4!C663</f>
        <v>0</v>
      </c>
      <c r="D520" s="166">
        <f>[3]H4!D663</f>
        <v>0</v>
      </c>
      <c r="E520" s="166">
        <f>[3]H4!E663</f>
        <v>0</v>
      </c>
      <c r="F520" s="166">
        <f>[3]H4!F663</f>
        <v>0</v>
      </c>
      <c r="G520" s="166">
        <f>[3]H4!G663</f>
        <v>0</v>
      </c>
      <c r="H520" s="166">
        <f>[3]H4!H663</f>
        <v>0</v>
      </c>
      <c r="I520" s="96"/>
    </row>
    <row r="521" spans="1:9" hidden="1" x14ac:dyDescent="0.2">
      <c r="A521" s="180">
        <f>SUBTOTAL(103,$B$8:B521)</f>
        <v>168</v>
      </c>
      <c r="B521" s="178"/>
      <c r="C521" s="166">
        <f>[3]H4!C664</f>
        <v>0</v>
      </c>
      <c r="D521" s="166">
        <f>[3]H4!D664</f>
        <v>0</v>
      </c>
      <c r="E521" s="166">
        <f>[3]H4!E664</f>
        <v>0</v>
      </c>
      <c r="F521" s="166">
        <f>[3]H4!F664</f>
        <v>0</v>
      </c>
      <c r="G521" s="166">
        <f>[3]H4!G664</f>
        <v>0</v>
      </c>
      <c r="H521" s="166">
        <f>[3]H4!H664</f>
        <v>0</v>
      </c>
      <c r="I521" s="96" t="e">
        <f>G521/D521</f>
        <v>#DIV/0!</v>
      </c>
    </row>
    <row r="522" spans="1:9" hidden="1" x14ac:dyDescent="0.2">
      <c r="A522" s="181"/>
      <c r="B522" s="179"/>
      <c r="C522" s="166" t="str">
        <f>[3]H4!C665</f>
        <v>2.6.8.1.3 - 1.ELABORACION DE EXPEDIENTES TECNICOS</v>
      </c>
      <c r="D522" s="166">
        <f>[3]H4!D665</f>
        <v>150000</v>
      </c>
      <c r="E522" s="166">
        <f>[3]H4!E665</f>
        <v>0</v>
      </c>
      <c r="F522" s="166">
        <f>[3]H4!F665</f>
        <v>150000</v>
      </c>
      <c r="G522" s="166">
        <f>[3]H4!G665</f>
        <v>0</v>
      </c>
      <c r="H522" s="166">
        <f>[3]H4!H665</f>
        <v>150000</v>
      </c>
      <c r="I522" s="96"/>
    </row>
    <row r="523" spans="1:9" hidden="1" x14ac:dyDescent="0.2">
      <c r="A523" s="180">
        <f>SUBTOTAL(103,$B$8:B523)</f>
        <v>168</v>
      </c>
      <c r="B523" s="178"/>
      <c r="C523" s="166">
        <f>[3]H4!C666</f>
        <v>0</v>
      </c>
      <c r="D523" s="166">
        <f>[3]H4!D666</f>
        <v>0</v>
      </c>
      <c r="E523" s="166">
        <f>[3]H4!E666</f>
        <v>0</v>
      </c>
      <c r="F523" s="166">
        <f>[3]H4!F666</f>
        <v>0</v>
      </c>
      <c r="G523" s="166">
        <f>[3]H4!G666</f>
        <v>0</v>
      </c>
      <c r="H523" s="166">
        <f>[3]H4!H666</f>
        <v>0</v>
      </c>
      <c r="I523" s="96" t="e">
        <f>G523/D523</f>
        <v>#DIV/0!</v>
      </c>
    </row>
    <row r="524" spans="1:9" hidden="1" x14ac:dyDescent="0.2">
      <c r="A524" s="188"/>
      <c r="B524" s="179"/>
      <c r="C524" s="166">
        <f>[3]H4!C667</f>
        <v>0</v>
      </c>
      <c r="D524" s="166">
        <f>[3]H4!D667</f>
        <v>0</v>
      </c>
      <c r="E524" s="166">
        <f>[3]H4!E667</f>
        <v>0</v>
      </c>
      <c r="F524" s="166">
        <f>[3]H4!F667</f>
        <v>0</v>
      </c>
      <c r="G524" s="166">
        <f>[3]H4!G667</f>
        <v>0</v>
      </c>
      <c r="H524" s="166">
        <f>[3]H4!H667</f>
        <v>0</v>
      </c>
      <c r="I524" s="96"/>
    </row>
    <row r="525" spans="1:9" ht="49.5" hidden="1" customHeight="1" x14ac:dyDescent="0.2">
      <c r="A525" s="180">
        <f>SUBTOTAL(103,$B$8:B525)</f>
        <v>168</v>
      </c>
      <c r="B525" s="178"/>
      <c r="C525" s="166">
        <f>[3]H4!C668</f>
        <v>0</v>
      </c>
      <c r="D525" s="166">
        <f>[3]H4!D668</f>
        <v>0</v>
      </c>
      <c r="E525" s="166">
        <f>[3]H4!E668</f>
        <v>0</v>
      </c>
      <c r="F525" s="166">
        <f>[3]H4!F668</f>
        <v>0</v>
      </c>
      <c r="G525" s="166">
        <f>[3]H4!G668</f>
        <v>0</v>
      </c>
      <c r="H525" s="166">
        <f>[3]H4!H668</f>
        <v>0</v>
      </c>
      <c r="I525" s="96" t="e">
        <f>G525/D525</f>
        <v>#DIV/0!</v>
      </c>
    </row>
    <row r="526" spans="1:9" hidden="1" x14ac:dyDescent="0.2">
      <c r="A526" s="188"/>
      <c r="B526" s="187"/>
      <c r="C526" s="166" t="str">
        <f>[3]H4!C669</f>
        <v>2.6.8.1.3 - 1.ELABORACION DE EXPEDIENTES TECNICOS</v>
      </c>
      <c r="D526" s="166">
        <f>[3]H4!D669</f>
        <v>100000</v>
      </c>
      <c r="E526" s="166">
        <f>[3]H4!E669</f>
        <v>0</v>
      </c>
      <c r="F526" s="166">
        <f>[3]H4!F669</f>
        <v>100000</v>
      </c>
      <c r="G526" s="166">
        <f>[3]H4!G669</f>
        <v>0</v>
      </c>
      <c r="H526" s="166">
        <f>[3]H4!H669</f>
        <v>100000</v>
      </c>
      <c r="I526" s="96"/>
    </row>
    <row r="527" spans="1:9" hidden="1" x14ac:dyDescent="0.2">
      <c r="A527" s="181"/>
      <c r="B527" s="179"/>
      <c r="C527" s="166">
        <f>[3]H4!C670</f>
        <v>0</v>
      </c>
      <c r="D527" s="166">
        <f>[3]H4!D670</f>
        <v>0</v>
      </c>
      <c r="E527" s="166">
        <f>[3]H4!E670</f>
        <v>0</v>
      </c>
      <c r="F527" s="166">
        <f>[3]H4!F670</f>
        <v>0</v>
      </c>
      <c r="G527" s="166">
        <f>[3]H4!G670</f>
        <v>0</v>
      </c>
      <c r="H527" s="166">
        <f>[3]H4!H670</f>
        <v>0</v>
      </c>
      <c r="I527" s="96"/>
    </row>
    <row r="528" spans="1:9" ht="31.5" hidden="1" customHeight="1" x14ac:dyDescent="0.2">
      <c r="A528" s="188"/>
      <c r="B528" s="187"/>
      <c r="C528" s="166">
        <f>[3]H4!C671</f>
        <v>0</v>
      </c>
      <c r="D528" s="166">
        <f>[3]H4!D671</f>
        <v>0</v>
      </c>
      <c r="E528" s="166">
        <f>[3]H4!E671</f>
        <v>0</v>
      </c>
      <c r="F528" s="166">
        <f>[3]H4!F671</f>
        <v>0</v>
      </c>
      <c r="G528" s="166">
        <f>[3]H4!G671</f>
        <v>0</v>
      </c>
      <c r="H528" s="166">
        <f>[3]H4!H671</f>
        <v>0</v>
      </c>
      <c r="I528" s="96"/>
    </row>
    <row r="529" spans="1:11" ht="31.5" hidden="1" customHeight="1" x14ac:dyDescent="0.2">
      <c r="A529" s="188"/>
      <c r="B529" s="187"/>
      <c r="C529" s="166">
        <f>[3]H4!C672</f>
        <v>0</v>
      </c>
      <c r="D529" s="166">
        <f>[3]H4!D672</f>
        <v>0</v>
      </c>
      <c r="E529" s="166">
        <f>[3]H4!E672</f>
        <v>0</v>
      </c>
      <c r="F529" s="166">
        <f>[3]H4!F672</f>
        <v>0</v>
      </c>
      <c r="G529" s="166">
        <f>[3]H4!G672</f>
        <v>0</v>
      </c>
      <c r="H529" s="166">
        <f>[3]H4!H672</f>
        <v>0</v>
      </c>
      <c r="I529" s="96"/>
    </row>
    <row r="530" spans="1:11" ht="31.5" hidden="1" customHeight="1" x14ac:dyDescent="0.2">
      <c r="A530" s="188"/>
      <c r="B530" s="187"/>
      <c r="C530" s="166">
        <f>[3]H4!C673</f>
        <v>0</v>
      </c>
      <c r="D530" s="166">
        <f>[3]H4!D673</f>
        <v>0</v>
      </c>
      <c r="E530" s="166">
        <f>[3]H4!E673</f>
        <v>0</v>
      </c>
      <c r="F530" s="166">
        <f>[3]H4!F673</f>
        <v>0</v>
      </c>
      <c r="G530" s="166">
        <f>[3]H4!G673</f>
        <v>0</v>
      </c>
      <c r="H530" s="166">
        <f>[3]H4!H673</f>
        <v>0</v>
      </c>
      <c r="I530" s="96"/>
    </row>
    <row r="531" spans="1:11" ht="31.5" hidden="1" customHeight="1" x14ac:dyDescent="0.2">
      <c r="A531" s="188"/>
      <c r="B531" s="187"/>
      <c r="C531" s="166">
        <f>[3]H4!C674</f>
        <v>0</v>
      </c>
      <c r="D531" s="166">
        <f>[3]H4!D674</f>
        <v>0</v>
      </c>
      <c r="E531" s="166">
        <f>[3]H4!E674</f>
        <v>0</v>
      </c>
      <c r="F531" s="166">
        <f>[3]H4!F674</f>
        <v>0</v>
      </c>
      <c r="G531" s="166">
        <f>[3]H4!G674</f>
        <v>0</v>
      </c>
      <c r="H531" s="166">
        <f>[3]H4!H674</f>
        <v>0</v>
      </c>
      <c r="I531" s="96"/>
    </row>
    <row r="532" spans="1:11" ht="31.5" hidden="1" customHeight="1" x14ac:dyDescent="0.2">
      <c r="A532" s="188"/>
      <c r="B532" s="187"/>
      <c r="C532" s="166">
        <f>[3]H4!C675</f>
        <v>0</v>
      </c>
      <c r="D532" s="166">
        <f>[3]H4!D675</f>
        <v>0</v>
      </c>
      <c r="E532" s="166">
        <f>[3]H4!E675</f>
        <v>0</v>
      </c>
      <c r="F532" s="166">
        <f>[3]H4!F675</f>
        <v>0</v>
      </c>
      <c r="G532" s="166">
        <f>[3]H4!G675</f>
        <v>0</v>
      </c>
      <c r="H532" s="166">
        <f>[3]H4!H675</f>
        <v>0</v>
      </c>
      <c r="I532" s="96"/>
    </row>
    <row r="533" spans="1:11" ht="18" hidden="1" customHeight="1" x14ac:dyDescent="0.2">
      <c r="A533" s="188"/>
      <c r="B533" s="187"/>
      <c r="C533" s="166">
        <f>[3]H4!C676</f>
        <v>0</v>
      </c>
      <c r="D533" s="166">
        <f>[3]H4!D676</f>
        <v>0</v>
      </c>
      <c r="E533" s="166">
        <f>[3]H4!E676</f>
        <v>0</v>
      </c>
      <c r="F533" s="166">
        <f>[3]H4!F676</f>
        <v>0</v>
      </c>
      <c r="G533" s="166">
        <f>[3]H4!G676</f>
        <v>0</v>
      </c>
      <c r="H533" s="166">
        <f>[3]H4!H676</f>
        <v>0</v>
      </c>
      <c r="I533" s="96"/>
    </row>
    <row r="534" spans="1:11" ht="31.5" hidden="1" customHeight="1" x14ac:dyDescent="0.2">
      <c r="A534" s="188"/>
      <c r="B534" s="187"/>
      <c r="C534" s="166">
        <f>[3]H4!C677</f>
        <v>0</v>
      </c>
      <c r="D534" s="166">
        <f>[3]H4!D677</f>
        <v>0</v>
      </c>
      <c r="E534" s="166">
        <f>[3]H4!E677</f>
        <v>0</v>
      </c>
      <c r="F534" s="166">
        <f>[3]H4!F677</f>
        <v>0</v>
      </c>
      <c r="G534" s="166">
        <f>[3]H4!G677</f>
        <v>0</v>
      </c>
      <c r="H534" s="166">
        <f>[3]H4!H677</f>
        <v>0</v>
      </c>
      <c r="I534" s="96"/>
    </row>
    <row r="535" spans="1:11" ht="63" hidden="1" customHeight="1" x14ac:dyDescent="0.2">
      <c r="A535" s="188"/>
      <c r="B535" s="187"/>
      <c r="C535" s="166">
        <f>[3]H4!C678</f>
        <v>0</v>
      </c>
      <c r="D535" s="166">
        <f>[3]H4!D678</f>
        <v>0</v>
      </c>
      <c r="E535" s="166">
        <f>[3]H4!E678</f>
        <v>0</v>
      </c>
      <c r="F535" s="166">
        <f>[3]H4!F678</f>
        <v>0</v>
      </c>
      <c r="G535" s="166">
        <f>[3]H4!G678</f>
        <v>0</v>
      </c>
      <c r="H535" s="166">
        <f>[3]H4!H678</f>
        <v>0</v>
      </c>
      <c r="I535" s="96">
        <v>0</v>
      </c>
    </row>
    <row r="536" spans="1:11" ht="31.5" hidden="1" customHeight="1" x14ac:dyDescent="0.2">
      <c r="A536" s="188"/>
      <c r="B536" s="187"/>
      <c r="C536" s="166">
        <f>[3]H4!C679</f>
        <v>0</v>
      </c>
      <c r="D536" s="166">
        <f>[3]H4!D679</f>
        <v>0</v>
      </c>
      <c r="E536" s="166">
        <f>[3]H4!E679</f>
        <v>0</v>
      </c>
      <c r="F536" s="166">
        <f>[3]H4!F679</f>
        <v>0</v>
      </c>
      <c r="G536" s="166">
        <f>[3]H4!G679</f>
        <v>0</v>
      </c>
      <c r="H536" s="166">
        <f>[3]H4!H679</f>
        <v>0</v>
      </c>
      <c r="I536" s="96"/>
    </row>
    <row r="537" spans="1:11" ht="63" hidden="1" customHeight="1" x14ac:dyDescent="0.2">
      <c r="A537" s="188"/>
      <c r="B537" s="187"/>
      <c r="C537" s="166">
        <f>[3]H4!C680</f>
        <v>0</v>
      </c>
      <c r="D537" s="166">
        <f>[3]H4!D680</f>
        <v>0</v>
      </c>
      <c r="E537" s="166">
        <f>[3]H4!E680</f>
        <v>0</v>
      </c>
      <c r="F537" s="166">
        <f>[3]H4!F680</f>
        <v>0</v>
      </c>
      <c r="G537" s="166">
        <f>[3]H4!G680</f>
        <v>0</v>
      </c>
      <c r="H537" s="166">
        <f>[3]H4!H680</f>
        <v>0</v>
      </c>
      <c r="I537" s="96" t="e">
        <f>G537/D537</f>
        <v>#DIV/0!</v>
      </c>
    </row>
    <row r="538" spans="1:11" ht="31.5" hidden="1" customHeight="1" x14ac:dyDescent="0.2">
      <c r="A538" s="188"/>
      <c r="B538" s="187"/>
      <c r="C538" s="166">
        <f>[3]H4!C681</f>
        <v>0</v>
      </c>
      <c r="D538" s="166">
        <f>[3]H4!D681</f>
        <v>0</v>
      </c>
      <c r="E538" s="166">
        <f>[3]H4!E681</f>
        <v>0</v>
      </c>
      <c r="F538" s="166">
        <f>[3]H4!F681</f>
        <v>0</v>
      </c>
      <c r="G538" s="166">
        <f>[3]H4!G681</f>
        <v>0</v>
      </c>
      <c r="H538" s="166">
        <f>[3]H4!H681</f>
        <v>0</v>
      </c>
      <c r="I538" s="96"/>
    </row>
    <row r="539" spans="1:11" ht="63" hidden="1" customHeight="1" x14ac:dyDescent="0.2">
      <c r="A539" s="188"/>
      <c r="B539" s="187"/>
      <c r="C539" s="166">
        <f>[3]H4!C682</f>
        <v>0</v>
      </c>
      <c r="D539" s="166">
        <f>[3]H4!D682</f>
        <v>0</v>
      </c>
      <c r="E539" s="166">
        <f>[3]H4!E682</f>
        <v>0</v>
      </c>
      <c r="F539" s="166">
        <f>[3]H4!F682</f>
        <v>0</v>
      </c>
      <c r="G539" s="166">
        <f>[3]H4!G682</f>
        <v>0</v>
      </c>
      <c r="H539" s="166">
        <f>[3]H4!H682</f>
        <v>0</v>
      </c>
      <c r="I539" s="96" t="e">
        <f>G539/D539</f>
        <v>#DIV/0!</v>
      </c>
    </row>
    <row r="540" spans="1:11" ht="31.5" hidden="1" customHeight="1" x14ac:dyDescent="0.2">
      <c r="A540" s="188"/>
      <c r="B540" s="187"/>
      <c r="C540" s="166">
        <f>[3]H4!C683</f>
        <v>0</v>
      </c>
      <c r="D540" s="166">
        <f>[3]H4!D683</f>
        <v>0</v>
      </c>
      <c r="E540" s="166">
        <f>[3]H4!E683</f>
        <v>0</v>
      </c>
      <c r="F540" s="166">
        <f>[3]H4!F683</f>
        <v>0</v>
      </c>
      <c r="G540" s="166">
        <f>[3]H4!G683</f>
        <v>0</v>
      </c>
      <c r="H540" s="166">
        <f>[3]H4!H683</f>
        <v>0</v>
      </c>
      <c r="I540" s="96"/>
    </row>
    <row r="541" spans="1:11" ht="31.5" hidden="1" customHeight="1" x14ac:dyDescent="0.2">
      <c r="A541" s="188"/>
      <c r="B541" s="187"/>
      <c r="C541" s="166">
        <f>[3]H4!C684</f>
        <v>0</v>
      </c>
      <c r="D541" s="166">
        <f>[3]H4!D684</f>
        <v>0</v>
      </c>
      <c r="E541" s="166">
        <f>[3]H4!E684</f>
        <v>0</v>
      </c>
      <c r="F541" s="166">
        <f>[3]H4!F684</f>
        <v>0</v>
      </c>
      <c r="G541" s="166">
        <f>[3]H4!G684</f>
        <v>0</v>
      </c>
      <c r="H541" s="166">
        <f>[3]H4!H684</f>
        <v>0</v>
      </c>
      <c r="I541" s="96"/>
      <c r="K541" s="23"/>
    </row>
    <row r="542" spans="1:11" ht="31.5" hidden="1" customHeight="1" x14ac:dyDescent="0.2">
      <c r="A542" s="188"/>
      <c r="B542" s="187"/>
      <c r="C542" s="166">
        <f>[3]H4!C685</f>
        <v>0</v>
      </c>
      <c r="D542" s="166">
        <f>[3]H4!D685</f>
        <v>0</v>
      </c>
      <c r="E542" s="166">
        <f>[3]H4!E685</f>
        <v>0</v>
      </c>
      <c r="F542" s="166">
        <f>[3]H4!F685</f>
        <v>0</v>
      </c>
      <c r="G542" s="166">
        <f>[3]H4!G685</f>
        <v>0</v>
      </c>
      <c r="H542" s="166">
        <f>[3]H4!H685</f>
        <v>0</v>
      </c>
      <c r="I542" s="96"/>
    </row>
    <row r="543" spans="1:11" ht="31.5" hidden="1" customHeight="1" x14ac:dyDescent="0.2">
      <c r="A543" s="188"/>
      <c r="B543" s="187"/>
      <c r="C543" s="166">
        <f>[3]H4!C686</f>
        <v>0</v>
      </c>
      <c r="D543" s="166">
        <f>[3]H4!D686</f>
        <v>0</v>
      </c>
      <c r="E543" s="166">
        <f>[3]H4!E686</f>
        <v>0</v>
      </c>
      <c r="F543" s="166">
        <f>[3]H4!F686</f>
        <v>0</v>
      </c>
      <c r="G543" s="166">
        <f>[3]H4!G686</f>
        <v>0</v>
      </c>
      <c r="H543" s="166">
        <f>[3]H4!H686</f>
        <v>0</v>
      </c>
      <c r="I543" s="96"/>
      <c r="K543" s="23"/>
    </row>
    <row r="544" spans="1:11" ht="31.5" hidden="1" customHeight="1" x14ac:dyDescent="0.2">
      <c r="A544" s="188"/>
      <c r="B544" s="187"/>
      <c r="C544" s="166">
        <f>[3]H4!C687</f>
        <v>0</v>
      </c>
      <c r="D544" s="166">
        <f>[3]H4!D687</f>
        <v>0</v>
      </c>
      <c r="E544" s="166">
        <f>[3]H4!E687</f>
        <v>0</v>
      </c>
      <c r="F544" s="166">
        <f>[3]H4!F687</f>
        <v>0</v>
      </c>
      <c r="G544" s="166">
        <f>[3]H4!G687</f>
        <v>0</v>
      </c>
      <c r="H544" s="166">
        <f>[3]H4!H687</f>
        <v>0</v>
      </c>
      <c r="I544" s="96"/>
      <c r="K544" s="23"/>
    </row>
    <row r="545" spans="1:11" ht="31.5" hidden="1" customHeight="1" x14ac:dyDescent="0.2">
      <c r="A545" s="188"/>
      <c r="B545" s="187"/>
      <c r="C545" s="166">
        <f>[3]H4!C688</f>
        <v>0</v>
      </c>
      <c r="D545" s="166">
        <f>[3]H4!D688</f>
        <v>0</v>
      </c>
      <c r="E545" s="166">
        <f>[3]H4!E688</f>
        <v>0</v>
      </c>
      <c r="F545" s="166">
        <f>[3]H4!F688</f>
        <v>0</v>
      </c>
      <c r="G545" s="166">
        <f>[3]H4!G688</f>
        <v>0</v>
      </c>
      <c r="H545" s="166">
        <f>[3]H4!H688</f>
        <v>0</v>
      </c>
      <c r="I545" s="96"/>
      <c r="K545" s="23"/>
    </row>
    <row r="546" spans="1:11" ht="31.5" hidden="1" customHeight="1" x14ac:dyDescent="0.2">
      <c r="A546" s="188"/>
      <c r="B546" s="187"/>
      <c r="C546" s="166">
        <f>[3]H4!C689</f>
        <v>0</v>
      </c>
      <c r="D546" s="166">
        <f>[3]H4!D689</f>
        <v>0</v>
      </c>
      <c r="E546" s="166">
        <f>[3]H4!E689</f>
        <v>0</v>
      </c>
      <c r="F546" s="166">
        <f>[3]H4!F689</f>
        <v>0</v>
      </c>
      <c r="G546" s="166">
        <f>[3]H4!G689</f>
        <v>0</v>
      </c>
      <c r="H546" s="166">
        <f>[3]H4!H689</f>
        <v>0</v>
      </c>
      <c r="I546" s="96"/>
      <c r="K546" s="23"/>
    </row>
    <row r="547" spans="1:11" ht="18" hidden="1" customHeight="1" x14ac:dyDescent="0.2">
      <c r="A547" s="188"/>
      <c r="B547" s="187"/>
      <c r="C547" s="166">
        <f>[3]H4!C690</f>
        <v>0</v>
      </c>
      <c r="D547" s="166">
        <f>[3]H4!D690</f>
        <v>0</v>
      </c>
      <c r="E547" s="166">
        <f>[3]H4!E690</f>
        <v>0</v>
      </c>
      <c r="F547" s="166">
        <f>[3]H4!F690</f>
        <v>0</v>
      </c>
      <c r="G547" s="166">
        <f>[3]H4!G690</f>
        <v>0</v>
      </c>
      <c r="H547" s="166">
        <f>[3]H4!H690</f>
        <v>0</v>
      </c>
      <c r="I547" s="96"/>
      <c r="K547" s="23"/>
    </row>
    <row r="548" spans="1:11" ht="31.5" hidden="1" customHeight="1" x14ac:dyDescent="0.2">
      <c r="A548" s="188"/>
      <c r="B548" s="187"/>
      <c r="C548" s="166">
        <f>[3]H4!C691</f>
        <v>0</v>
      </c>
      <c r="D548" s="166">
        <f>[3]H4!D691</f>
        <v>0</v>
      </c>
      <c r="E548" s="166">
        <f>[3]H4!E691</f>
        <v>0</v>
      </c>
      <c r="F548" s="166">
        <f>[3]H4!F691</f>
        <v>0</v>
      </c>
      <c r="G548" s="166">
        <f>[3]H4!G691</f>
        <v>0</v>
      </c>
      <c r="H548" s="166">
        <f>[3]H4!H691</f>
        <v>0</v>
      </c>
      <c r="I548" s="96"/>
      <c r="K548" s="23"/>
    </row>
    <row r="549" spans="1:11" ht="31.5" hidden="1" customHeight="1" x14ac:dyDescent="0.2">
      <c r="A549" s="188"/>
      <c r="B549" s="187"/>
      <c r="C549" s="166">
        <f>[3]H4!C692</f>
        <v>0</v>
      </c>
      <c r="D549" s="166">
        <f>[3]H4!D692</f>
        <v>0</v>
      </c>
      <c r="E549" s="166">
        <f>[3]H4!E692</f>
        <v>0</v>
      </c>
      <c r="F549" s="166">
        <f>[3]H4!F692</f>
        <v>0</v>
      </c>
      <c r="G549" s="166">
        <f>[3]H4!G692</f>
        <v>0</v>
      </c>
      <c r="H549" s="166">
        <f>[3]H4!H692</f>
        <v>0</v>
      </c>
      <c r="I549" s="96"/>
      <c r="K549" s="23"/>
    </row>
    <row r="550" spans="1:11" ht="31.5" hidden="1" customHeight="1" x14ac:dyDescent="0.2">
      <c r="A550" s="188"/>
      <c r="B550" s="187"/>
      <c r="C550" s="166">
        <f>[3]H4!C693</f>
        <v>0</v>
      </c>
      <c r="D550" s="166">
        <f>[3]H4!D693</f>
        <v>0</v>
      </c>
      <c r="E550" s="166">
        <f>[3]H4!E693</f>
        <v>0</v>
      </c>
      <c r="F550" s="166">
        <f>[3]H4!F693</f>
        <v>0</v>
      </c>
      <c r="G550" s="166">
        <f>[3]H4!G693</f>
        <v>0</v>
      </c>
      <c r="H550" s="166">
        <f>[3]H4!H693</f>
        <v>0</v>
      </c>
      <c r="I550" s="96"/>
      <c r="K550" s="23"/>
    </row>
    <row r="551" spans="1:11" ht="31.5" hidden="1" customHeight="1" x14ac:dyDescent="0.2">
      <c r="A551" s="188"/>
      <c r="B551" s="187"/>
      <c r="C551" s="166">
        <f>[3]H4!C694</f>
        <v>0</v>
      </c>
      <c r="D551" s="166">
        <f>[3]H4!D694</f>
        <v>0</v>
      </c>
      <c r="E551" s="166">
        <f>[3]H4!E694</f>
        <v>0</v>
      </c>
      <c r="F551" s="166">
        <f>[3]H4!F694</f>
        <v>0</v>
      </c>
      <c r="G551" s="166">
        <f>[3]H4!G694</f>
        <v>0</v>
      </c>
      <c r="H551" s="166">
        <f>[3]H4!H694</f>
        <v>0</v>
      </c>
      <c r="I551" s="96"/>
    </row>
    <row r="552" spans="1:11" ht="31.5" hidden="1" customHeight="1" x14ac:dyDescent="0.2">
      <c r="A552" s="169"/>
      <c r="B552" s="170"/>
      <c r="C552" s="166">
        <f>[3]H4!C695</f>
        <v>0</v>
      </c>
      <c r="D552" s="166">
        <f>[3]H4!D695</f>
        <v>0</v>
      </c>
      <c r="E552" s="166">
        <f>[3]H4!E695</f>
        <v>0</v>
      </c>
      <c r="F552" s="166">
        <f>[3]H4!F695</f>
        <v>0</v>
      </c>
      <c r="G552" s="166">
        <f>[3]H4!G695</f>
        <v>0</v>
      </c>
      <c r="H552" s="166">
        <f>[3]H4!H695</f>
        <v>0</v>
      </c>
      <c r="I552" s="96"/>
    </row>
    <row r="553" spans="1:11" hidden="1" x14ac:dyDescent="0.2">
      <c r="A553" s="164">
        <f>SUBTOTAL(103,$B$8:B553)</f>
        <v>168</v>
      </c>
      <c r="B553" s="171"/>
      <c r="C553" s="166">
        <f>[3]H4!C696</f>
        <v>0</v>
      </c>
      <c r="D553" s="166">
        <f>[3]H4!D696</f>
        <v>0</v>
      </c>
      <c r="E553" s="166">
        <f>[3]H4!E696</f>
        <v>0</v>
      </c>
      <c r="F553" s="166">
        <f>[3]H4!F696</f>
        <v>0</v>
      </c>
      <c r="G553" s="166">
        <f>[3]H4!G696</f>
        <v>0</v>
      </c>
      <c r="H553" s="166">
        <f>[3]H4!H696</f>
        <v>0</v>
      </c>
      <c r="I553" s="96" t="e">
        <f>G553/D553</f>
        <v>#DIV/0!</v>
      </c>
    </row>
    <row r="554" spans="1:11" hidden="1" x14ac:dyDescent="0.2">
      <c r="A554" s="180">
        <f>SUBTOTAL(103,$B$8:B554)</f>
        <v>168</v>
      </c>
      <c r="B554" s="178"/>
      <c r="C554" s="166">
        <f>[3]H4!C697</f>
        <v>0</v>
      </c>
      <c r="D554" s="166">
        <f>[3]H4!D697</f>
        <v>0</v>
      </c>
      <c r="E554" s="166">
        <f>[3]H4!E697</f>
        <v>0</v>
      </c>
      <c r="F554" s="166">
        <f>[3]H4!F697</f>
        <v>0</v>
      </c>
      <c r="G554" s="166">
        <f>[3]H4!G697</f>
        <v>0</v>
      </c>
      <c r="H554" s="166">
        <f>[3]H4!H697</f>
        <v>0</v>
      </c>
      <c r="I554" s="96" t="e">
        <f>G554/D554</f>
        <v>#DIV/0!</v>
      </c>
    </row>
    <row r="555" spans="1:11" hidden="1" x14ac:dyDescent="0.2">
      <c r="A555" s="181"/>
      <c r="B555" s="179"/>
      <c r="C555" s="166">
        <f>[3]H4!C698</f>
        <v>0</v>
      </c>
      <c r="D555" s="166">
        <f>[3]H4!D698</f>
        <v>0</v>
      </c>
      <c r="E555" s="166">
        <f>[3]H4!E698</f>
        <v>0</v>
      </c>
      <c r="F555" s="166">
        <f>[3]H4!F698</f>
        <v>0</v>
      </c>
      <c r="G555" s="166">
        <f>[3]H4!G698</f>
        <v>0</v>
      </c>
      <c r="H555" s="166">
        <f>[3]H4!H698</f>
        <v>0</v>
      </c>
      <c r="I555" s="96"/>
    </row>
    <row r="556" spans="1:11" hidden="1" x14ac:dyDescent="0.2">
      <c r="A556" s="180">
        <f>SUBTOTAL(103,$B$8:B556)</f>
        <v>168</v>
      </c>
      <c r="B556" s="178"/>
      <c r="C556" s="166">
        <f>[3]H4!C699</f>
        <v>0</v>
      </c>
      <c r="D556" s="166">
        <f>[3]H4!D699</f>
        <v>0</v>
      </c>
      <c r="E556" s="166">
        <f>[3]H4!E699</f>
        <v>0</v>
      </c>
      <c r="F556" s="166">
        <f>[3]H4!F699</f>
        <v>0</v>
      </c>
      <c r="G556" s="166">
        <f>[3]H4!G699</f>
        <v>0</v>
      </c>
      <c r="H556" s="166">
        <f>[3]H4!H699</f>
        <v>0</v>
      </c>
      <c r="I556" s="96" t="e">
        <f>G556/D556</f>
        <v>#DIV/0!</v>
      </c>
    </row>
    <row r="557" spans="1:11" hidden="1" x14ac:dyDescent="0.2">
      <c r="A557" s="181"/>
      <c r="B557" s="179"/>
      <c r="C557" s="166">
        <f>[3]H4!C700</f>
        <v>0</v>
      </c>
      <c r="D557" s="166">
        <f>[3]H4!D700</f>
        <v>0</v>
      </c>
      <c r="E557" s="166">
        <f>[3]H4!E700</f>
        <v>0</v>
      </c>
      <c r="F557" s="166">
        <f>[3]H4!F700</f>
        <v>0</v>
      </c>
      <c r="G557" s="166">
        <f>[3]H4!G700</f>
        <v>0</v>
      </c>
      <c r="H557" s="166">
        <f>[3]H4!H700</f>
        <v>0</v>
      </c>
      <c r="I557" s="96"/>
    </row>
    <row r="558" spans="1:11" ht="38.25" hidden="1" x14ac:dyDescent="0.2">
      <c r="A558" s="180">
        <f>SUBTOTAL(103,$B$10:B560)</f>
        <v>168</v>
      </c>
      <c r="B558" s="178">
        <v>258</v>
      </c>
      <c r="C558" s="161" t="s">
        <v>501</v>
      </c>
      <c r="D558" s="162">
        <f>[1]AA!D223</f>
        <v>0</v>
      </c>
      <c r="E558" s="162">
        <f>[1]AA!E223</f>
        <v>0</v>
      </c>
      <c r="F558" s="162">
        <f>[1]AA!F223</f>
        <v>0</v>
      </c>
      <c r="G558" s="162">
        <f>[1]AA!G223</f>
        <v>0</v>
      </c>
      <c r="H558" s="162">
        <f>[1]AA!H223</f>
        <v>0</v>
      </c>
      <c r="I558" s="96" t="e">
        <f>G558/D558</f>
        <v>#DIV/0!</v>
      </c>
    </row>
    <row r="559" spans="1:11" hidden="1" x14ac:dyDescent="0.2">
      <c r="A559" s="188"/>
      <c r="B559" s="187"/>
      <c r="C559" s="161" t="str">
        <f>[3]H4!C505</f>
        <v>2.6.2.2.3 - 2.COSTO DE CONSTRUCCION POR CONTRATA</v>
      </c>
      <c r="D559" s="163">
        <f>[3]H4!D505</f>
        <v>0</v>
      </c>
      <c r="E559" s="163">
        <f>[3]H4!E505</f>
        <v>0</v>
      </c>
      <c r="F559" s="163">
        <f>[3]H4!F505</f>
        <v>0</v>
      </c>
      <c r="G559" s="163">
        <f>[3]H4!G505</f>
        <v>0</v>
      </c>
      <c r="H559" s="163">
        <f>[3]H4!H505</f>
        <v>0</v>
      </c>
      <c r="I559" s="96"/>
    </row>
    <row r="560" spans="1:11" hidden="1" x14ac:dyDescent="0.2">
      <c r="A560" s="181"/>
      <c r="B560" s="179"/>
      <c r="C560" s="161" t="str">
        <f>[3]H4!C506</f>
        <v>2.6.8.1.3 - 1.ELABORACION DE EXPEDIENTES TECNICOS</v>
      </c>
      <c r="D560" s="163">
        <f>[3]H4!D506</f>
        <v>0</v>
      </c>
      <c r="E560" s="163">
        <f>[3]H4!E506</f>
        <v>0</v>
      </c>
      <c r="F560" s="163">
        <f>[3]H4!F506</f>
        <v>0</v>
      </c>
      <c r="G560" s="163">
        <f>[3]H4!G506</f>
        <v>0</v>
      </c>
      <c r="H560" s="163">
        <f>[3]H4!H506</f>
        <v>0</v>
      </c>
      <c r="I560" s="96"/>
    </row>
    <row r="561" spans="1:9" ht="38.25" x14ac:dyDescent="0.2">
      <c r="A561" s="180">
        <f>SUBTOTAL(103,$B$10:B563)</f>
        <v>169</v>
      </c>
      <c r="B561" s="178">
        <v>261</v>
      </c>
      <c r="C561" s="161" t="s">
        <v>502</v>
      </c>
      <c r="D561" s="162">
        <f>[1]AA!D226</f>
        <v>154665</v>
      </c>
      <c r="E561" s="162">
        <f>[1]AA!E226</f>
        <v>154665</v>
      </c>
      <c r="F561" s="162">
        <f>[1]AA!F226</f>
        <v>0</v>
      </c>
      <c r="G561" s="162">
        <f>[1]AA!G226</f>
        <v>154066.76999999999</v>
      </c>
      <c r="H561" s="162">
        <f>[1]AA!H226</f>
        <v>598.23000000001048</v>
      </c>
      <c r="I561" s="96">
        <f>G561/D561</f>
        <v>0.99613209194064589</v>
      </c>
    </row>
    <row r="562" spans="1:9" x14ac:dyDescent="0.2">
      <c r="A562" s="188"/>
      <c r="B562" s="187"/>
      <c r="C562" s="161" t="str">
        <f>[3]H4!C509</f>
        <v>2.6.2.2.3 - 2.COSTO DE CONSTRUCCION POR CONTRATA</v>
      </c>
      <c r="D562" s="163">
        <f>[3]H4!D509</f>
        <v>0</v>
      </c>
      <c r="E562" s="163">
        <f>[3]H4!E509</f>
        <v>0</v>
      </c>
      <c r="F562" s="163">
        <f>[3]H4!F509</f>
        <v>0</v>
      </c>
      <c r="G562" s="163">
        <f>[3]H4!G509</f>
        <v>0</v>
      </c>
      <c r="H562" s="163">
        <f>[3]H4!H509</f>
        <v>0</v>
      </c>
      <c r="I562" s="96"/>
    </row>
    <row r="563" spans="1:9" x14ac:dyDescent="0.2">
      <c r="A563" s="181"/>
      <c r="B563" s="179"/>
      <c r="C563" s="161" t="str">
        <f>[3]H4!C510</f>
        <v>2.6.8.1.3 - 1.ELABORACION DE EXPEDIENTES TECNICOS</v>
      </c>
      <c r="D563" s="163">
        <f>[3]H4!D510</f>
        <v>154665</v>
      </c>
      <c r="E563" s="163">
        <f>[3]H4!E510</f>
        <v>154665</v>
      </c>
      <c r="F563" s="163">
        <f>[3]H4!F510</f>
        <v>0</v>
      </c>
      <c r="G563" s="163">
        <f>[3]H4!G510</f>
        <v>154066.76999999999</v>
      </c>
      <c r="H563" s="163">
        <f>[3]H4!H510</f>
        <v>598.23000000001048</v>
      </c>
      <c r="I563" s="96"/>
    </row>
    <row r="564" spans="1:9" ht="38.25" hidden="1" x14ac:dyDescent="0.2">
      <c r="A564" s="180">
        <f>SUBTOTAL(103,$B$8:B564)</f>
        <v>169</v>
      </c>
      <c r="B564" s="178"/>
      <c r="C564" s="161" t="s">
        <v>503</v>
      </c>
      <c r="D564" s="162"/>
      <c r="E564" s="162"/>
      <c r="F564" s="162"/>
      <c r="G564" s="162"/>
      <c r="H564" s="162"/>
      <c r="I564" s="96" t="e">
        <f>G564/D564</f>
        <v>#DIV/0!</v>
      </c>
    </row>
    <row r="565" spans="1:9" hidden="1" x14ac:dyDescent="0.2">
      <c r="A565" s="181"/>
      <c r="B565" s="179"/>
      <c r="C565" s="166" t="s">
        <v>861</v>
      </c>
      <c r="D565" s="162"/>
      <c r="E565" s="162"/>
      <c r="F565" s="162"/>
      <c r="G565" s="162"/>
      <c r="H565" s="162"/>
      <c r="I565" s="96"/>
    </row>
    <row r="566" spans="1:9" ht="51" x14ac:dyDescent="0.2">
      <c r="A566" s="180">
        <f>SUBTOTAL(103,$B$10:B568)</f>
        <v>170</v>
      </c>
      <c r="B566" s="178">
        <v>262</v>
      </c>
      <c r="C566" s="161" t="s">
        <v>468</v>
      </c>
      <c r="D566" s="162">
        <f>[1]AA!D227</f>
        <v>1750696</v>
      </c>
      <c r="E566" s="162">
        <f>[1]AA!E227</f>
        <v>1750696</v>
      </c>
      <c r="F566" s="162">
        <f>[1]AA!F227</f>
        <v>0</v>
      </c>
      <c r="G566" s="162">
        <f>[1]AA!G227</f>
        <v>0</v>
      </c>
      <c r="H566" s="162">
        <f>[1]AA!H227</f>
        <v>1750696</v>
      </c>
      <c r="I566" s="96">
        <f>G566/D566</f>
        <v>0</v>
      </c>
    </row>
    <row r="567" spans="1:9" x14ac:dyDescent="0.2">
      <c r="A567" s="188"/>
      <c r="B567" s="187"/>
      <c r="C567" s="161" t="str">
        <f>[3]H4!C513</f>
        <v>2.6.2.2.3 - 2.COSTO DE CONSTRUCCION POR CONTRATA</v>
      </c>
      <c r="D567" s="163">
        <f>[3]H4!D513</f>
        <v>1371247</v>
      </c>
      <c r="E567" s="163">
        <f>[3]H4!E513</f>
        <v>1371247</v>
      </c>
      <c r="F567" s="163">
        <f>[3]H4!F513</f>
        <v>0</v>
      </c>
      <c r="G567" s="163">
        <f>[3]H4!G513</f>
        <v>0</v>
      </c>
      <c r="H567" s="163">
        <f>[3]H4!H513</f>
        <v>1371247</v>
      </c>
      <c r="I567" s="96"/>
    </row>
    <row r="568" spans="1:9" x14ac:dyDescent="0.2">
      <c r="A568" s="181"/>
      <c r="B568" s="179"/>
      <c r="C568" s="161" t="str">
        <f>[3]H4!C514</f>
        <v>2.6.8.1.4 - 3.GASTO POR LA CONTRATACION DE SERVICIOS</v>
      </c>
      <c r="D568" s="163">
        <f>[3]H4!D514</f>
        <v>379449</v>
      </c>
      <c r="E568" s="163">
        <f>[3]H4!E514</f>
        <v>379449</v>
      </c>
      <c r="F568" s="163">
        <f>[3]H4!F514</f>
        <v>0</v>
      </c>
      <c r="G568" s="163">
        <f>[3]H4!G514</f>
        <v>0</v>
      </c>
      <c r="H568" s="163">
        <f>[3]H4!H514</f>
        <v>379449</v>
      </c>
      <c r="I568" s="96"/>
    </row>
    <row r="569" spans="1:9" ht="38.25" hidden="1" x14ac:dyDescent="0.2">
      <c r="A569" s="180">
        <f>SUBTOTAL(103,$B$10:B571)</f>
        <v>170</v>
      </c>
      <c r="B569" s="178">
        <v>265</v>
      </c>
      <c r="C569" s="161" t="s">
        <v>504</v>
      </c>
      <c r="D569" s="162">
        <f>[1]AA!D230</f>
        <v>0</v>
      </c>
      <c r="E569" s="162">
        <f>[1]AA!E230</f>
        <v>0</v>
      </c>
      <c r="F569" s="162">
        <f>[1]AA!F230</f>
        <v>0</v>
      </c>
      <c r="G569" s="162">
        <f>[1]AA!G230</f>
        <v>0</v>
      </c>
      <c r="H569" s="162">
        <f>[1]AA!H230</f>
        <v>0</v>
      </c>
      <c r="I569" s="96" t="e">
        <f>G569/D569</f>
        <v>#DIV/0!</v>
      </c>
    </row>
    <row r="570" spans="1:9" hidden="1" x14ac:dyDescent="0.2">
      <c r="A570" s="188"/>
      <c r="B570" s="187"/>
      <c r="C570" s="161" t="str">
        <f>[3]H4!C517</f>
        <v>2.6.2.2.3 - 2.COSTO DE CONSTRUCCION POR CONTRATA</v>
      </c>
      <c r="D570" s="163">
        <f>[3]H4!D517</f>
        <v>0</v>
      </c>
      <c r="E570" s="163">
        <f>[3]H4!E517</f>
        <v>0</v>
      </c>
      <c r="F570" s="163">
        <f>[3]H4!F517</f>
        <v>0</v>
      </c>
      <c r="G570" s="163">
        <f>[3]H4!G517</f>
        <v>0</v>
      </c>
      <c r="H570" s="163">
        <f>[3]H4!H517</f>
        <v>0</v>
      </c>
      <c r="I570" s="96"/>
    </row>
    <row r="571" spans="1:9" hidden="1" x14ac:dyDescent="0.2">
      <c r="A571" s="181"/>
      <c r="B571" s="179"/>
      <c r="C571" s="161" t="str">
        <f>[3]H4!C518</f>
        <v>2.6.8.1.3 - 1.ELABORACION DE EXPEDIENTES TECNICOS</v>
      </c>
      <c r="D571" s="163">
        <f>[3]H4!D518</f>
        <v>0</v>
      </c>
      <c r="E571" s="163">
        <f>[3]H4!E518</f>
        <v>0</v>
      </c>
      <c r="F571" s="163">
        <f>[3]H4!F518</f>
        <v>0</v>
      </c>
      <c r="G571" s="163">
        <f>[3]H4!G518</f>
        <v>0</v>
      </c>
      <c r="H571" s="163">
        <f>[3]H4!H518</f>
        <v>0</v>
      </c>
      <c r="I571" s="96"/>
    </row>
    <row r="572" spans="1:9" hidden="1" x14ac:dyDescent="0.2">
      <c r="A572" s="180">
        <f>SUBTOTAL(103,$B$8:B572)</f>
        <v>170</v>
      </c>
      <c r="B572" s="178"/>
      <c r="C572" s="166">
        <f>[3]H4!C519</f>
        <v>0</v>
      </c>
      <c r="D572" s="162">
        <f>[3]H4!D519</f>
        <v>0</v>
      </c>
      <c r="E572" s="162">
        <f>[3]H4!E519</f>
        <v>0</v>
      </c>
      <c r="F572" s="162">
        <f>[3]H4!F519</f>
        <v>0</v>
      </c>
      <c r="G572" s="162">
        <f>[3]H4!G519</f>
        <v>0</v>
      </c>
      <c r="H572" s="162">
        <f>[3]H4!H519</f>
        <v>0</v>
      </c>
      <c r="I572" s="96" t="e">
        <f>G572/D572</f>
        <v>#DIV/0!</v>
      </c>
    </row>
    <row r="573" spans="1:9" hidden="1" x14ac:dyDescent="0.2">
      <c r="A573" s="181"/>
      <c r="B573" s="179"/>
      <c r="C573" s="166">
        <f>[3]H4!C520</f>
        <v>0</v>
      </c>
      <c r="D573" s="162">
        <f>[3]H4!D520</f>
        <v>0</v>
      </c>
      <c r="E573" s="162">
        <f>[3]H4!E520</f>
        <v>0</v>
      </c>
      <c r="F573" s="162">
        <f>[3]H4!F520</f>
        <v>0</v>
      </c>
      <c r="G573" s="162">
        <f>[3]H4!G520</f>
        <v>0</v>
      </c>
      <c r="H573" s="162">
        <f>[3]H4!H520</f>
        <v>0</v>
      </c>
      <c r="I573" s="96"/>
    </row>
    <row r="574" spans="1:9" ht="38.25" x14ac:dyDescent="0.2">
      <c r="A574" s="180">
        <f>SUBTOTAL(103,$B$10:B576)</f>
        <v>171</v>
      </c>
      <c r="B574" s="178">
        <v>267</v>
      </c>
      <c r="C574" s="161" t="s">
        <v>505</v>
      </c>
      <c r="D574" s="162">
        <f>[1]AA!D232</f>
        <v>656461</v>
      </c>
      <c r="E574" s="162">
        <f>[1]AA!E232</f>
        <v>656461</v>
      </c>
      <c r="F574" s="162">
        <f>[1]AA!F232</f>
        <v>0</v>
      </c>
      <c r="G574" s="162">
        <f>[1]AA!G232</f>
        <v>0</v>
      </c>
      <c r="H574" s="162">
        <f>[1]AA!H232</f>
        <v>656461</v>
      </c>
      <c r="I574" s="96">
        <f>G574/D574</f>
        <v>0</v>
      </c>
    </row>
    <row r="575" spans="1:9" x14ac:dyDescent="0.2">
      <c r="A575" s="188"/>
      <c r="B575" s="187"/>
      <c r="C575" s="161" t="str">
        <f>[3]H4!C521</f>
        <v>2.6.2.2.3 - 2.COSTO DE CONSTRUCCION POR CONTRATA</v>
      </c>
      <c r="D575" s="163">
        <f>[3]H4!D521</f>
        <v>0</v>
      </c>
      <c r="E575" s="163">
        <f>[3]H4!E521</f>
        <v>0</v>
      </c>
      <c r="F575" s="163">
        <f>[3]H4!F521</f>
        <v>0</v>
      </c>
      <c r="G575" s="163">
        <f>[3]H4!G521</f>
        <v>0</v>
      </c>
      <c r="H575" s="163">
        <f>[3]H4!H521</f>
        <v>0</v>
      </c>
      <c r="I575" s="96"/>
    </row>
    <row r="576" spans="1:9" x14ac:dyDescent="0.2">
      <c r="A576" s="181"/>
      <c r="B576" s="179"/>
      <c r="C576" s="161" t="str">
        <f>[3]H4!C522</f>
        <v>2.6.8.1.3 - 1.ELABORACION DE EXPEDIENTES TECNICOS</v>
      </c>
      <c r="D576" s="163">
        <f>[3]H4!D522</f>
        <v>656461</v>
      </c>
      <c r="E576" s="163">
        <f>[3]H4!E522</f>
        <v>656461</v>
      </c>
      <c r="F576" s="163">
        <f>[3]H4!F522</f>
        <v>0</v>
      </c>
      <c r="G576" s="163">
        <f>[3]H4!G522</f>
        <v>0</v>
      </c>
      <c r="H576" s="163">
        <f>[3]H4!H522</f>
        <v>656461</v>
      </c>
      <c r="I576" s="96"/>
    </row>
    <row r="577" spans="1:9" ht="38.25" x14ac:dyDescent="0.2">
      <c r="A577" s="180">
        <f>SUBTOTAL(103,$B$10:B579)</f>
        <v>172</v>
      </c>
      <c r="B577" s="178">
        <v>268</v>
      </c>
      <c r="C577" s="161" t="s">
        <v>506</v>
      </c>
      <c r="D577" s="162">
        <f>[1]AA!D233</f>
        <v>706461</v>
      </c>
      <c r="E577" s="162">
        <f>[1]AA!E233</f>
        <v>606460.53</v>
      </c>
      <c r="F577" s="162">
        <f>[1]AA!F233</f>
        <v>100000.46999999997</v>
      </c>
      <c r="G577" s="162">
        <f>[1]AA!G233</f>
        <v>0</v>
      </c>
      <c r="H577" s="162">
        <f>[1]AA!H233</f>
        <v>706461</v>
      </c>
      <c r="I577" s="96">
        <f>G577/D577</f>
        <v>0</v>
      </c>
    </row>
    <row r="578" spans="1:9" x14ac:dyDescent="0.2">
      <c r="A578" s="188"/>
      <c r="B578" s="187"/>
      <c r="C578" s="161" t="str">
        <f>[3]H4!C525</f>
        <v>2.6.2.2.3 - 2.COSTO DE CONSTRUCCION POR CONTRATA</v>
      </c>
      <c r="D578" s="163">
        <f>[3]H4!D525</f>
        <v>42177</v>
      </c>
      <c r="E578" s="163">
        <f>[3]H4!E525</f>
        <v>0</v>
      </c>
      <c r="F578" s="163">
        <f>[3]H4!F525</f>
        <v>42177</v>
      </c>
      <c r="G578" s="163">
        <f>[3]H4!G525</f>
        <v>0</v>
      </c>
      <c r="H578" s="163">
        <f>[3]H4!H525</f>
        <v>42177</v>
      </c>
      <c r="I578" s="96"/>
    </row>
    <row r="579" spans="1:9" x14ac:dyDescent="0.2">
      <c r="A579" s="181"/>
      <c r="B579" s="179"/>
      <c r="C579" s="161" t="str">
        <f>[3]H4!C526</f>
        <v>2.6.8.1.3 - 1.ELABORACION DE EXPEDIENTES TECNICOS</v>
      </c>
      <c r="D579" s="163">
        <f>[3]H4!D526</f>
        <v>664284</v>
      </c>
      <c r="E579" s="163">
        <f>[3]H4!E526</f>
        <v>606460.53</v>
      </c>
      <c r="F579" s="163">
        <f>[3]H4!F526</f>
        <v>57823.469999999972</v>
      </c>
      <c r="G579" s="163">
        <f>[3]H4!G526</f>
        <v>0</v>
      </c>
      <c r="H579" s="163">
        <f>[3]H4!H526</f>
        <v>664284</v>
      </c>
      <c r="I579" s="96"/>
    </row>
    <row r="580" spans="1:9" ht="38.25" hidden="1" x14ac:dyDescent="0.2">
      <c r="A580" s="180">
        <f>SUBTOTAL(103,$B$10:B581)</f>
        <v>172</v>
      </c>
      <c r="B580" s="178">
        <v>269</v>
      </c>
      <c r="C580" s="161" t="s">
        <v>507</v>
      </c>
      <c r="D580" s="162">
        <f>[1]AA!D234</f>
        <v>0</v>
      </c>
      <c r="E580" s="162">
        <f>[1]AA!E234</f>
        <v>0</v>
      </c>
      <c r="F580" s="162">
        <f>[1]AA!F234</f>
        <v>0</v>
      </c>
      <c r="G580" s="162">
        <f>[1]AA!G234</f>
        <v>0</v>
      </c>
      <c r="H580" s="162">
        <f>[1]AA!H234</f>
        <v>0</v>
      </c>
      <c r="I580" s="96" t="e">
        <f>G580/D580</f>
        <v>#DIV/0!</v>
      </c>
    </row>
    <row r="581" spans="1:9" hidden="1" x14ac:dyDescent="0.2">
      <c r="A581" s="181"/>
      <c r="B581" s="179"/>
      <c r="C581" s="161" t="str">
        <f>[3]H4!C529</f>
        <v>2.6.2.2.3 - 2.COSTO DE CONSTRUCCION POR CONTRATA</v>
      </c>
      <c r="D581" s="163">
        <f>[3]H4!D529</f>
        <v>0</v>
      </c>
      <c r="E581" s="163">
        <f>[3]H4!E529</f>
        <v>0</v>
      </c>
      <c r="F581" s="163">
        <f>[3]H4!F529</f>
        <v>0</v>
      </c>
      <c r="G581" s="163">
        <f>[3]H4!G529</f>
        <v>0</v>
      </c>
      <c r="H581" s="163">
        <f>[3]H4!H529</f>
        <v>0</v>
      </c>
      <c r="I581" s="96"/>
    </row>
    <row r="582" spans="1:9" ht="38.25" x14ac:dyDescent="0.2">
      <c r="A582" s="180">
        <f>SUBTOTAL(103,$B$10:B584)</f>
        <v>173</v>
      </c>
      <c r="B582" s="178">
        <v>271</v>
      </c>
      <c r="C582" s="161" t="s">
        <v>853</v>
      </c>
      <c r="D582" s="162">
        <f>[1]AA!D236</f>
        <v>50000</v>
      </c>
      <c r="E582" s="162">
        <f>[1]AA!E236</f>
        <v>50000</v>
      </c>
      <c r="F582" s="162">
        <f>[1]AA!F236</f>
        <v>0</v>
      </c>
      <c r="G582" s="162">
        <f>[1]AA!G236</f>
        <v>43796.88</v>
      </c>
      <c r="H582" s="162">
        <f>[1]AA!H236</f>
        <v>6203.1200000000026</v>
      </c>
      <c r="I582" s="96">
        <f>G582/D582</f>
        <v>0.87593759999999998</v>
      </c>
    </row>
    <row r="583" spans="1:9" x14ac:dyDescent="0.2">
      <c r="A583" s="188"/>
      <c r="B583" s="187"/>
      <c r="C583" s="161" t="str">
        <f>[3]H4!C537</f>
        <v>2.6.2.2.3 - 2.COSTO DE CONSTRUCCION POR CONTRATA</v>
      </c>
      <c r="D583" s="163">
        <f>[3]H4!D537</f>
        <v>0</v>
      </c>
      <c r="E583" s="163">
        <f>[3]H4!E537</f>
        <v>0</v>
      </c>
      <c r="F583" s="163">
        <f>[3]H4!F537</f>
        <v>0</v>
      </c>
      <c r="G583" s="163">
        <f>[3]H4!G537</f>
        <v>0</v>
      </c>
      <c r="H583" s="163">
        <f>[3]H4!H537</f>
        <v>0</v>
      </c>
      <c r="I583" s="96"/>
    </row>
    <row r="584" spans="1:9" x14ac:dyDescent="0.2">
      <c r="A584" s="181"/>
      <c r="B584" s="179"/>
      <c r="C584" s="161" t="str">
        <f>[3]H4!C538</f>
        <v>2.6.8.1.3 - 1.ELABORACION DE EXPEDIENTES TECNICOS</v>
      </c>
      <c r="D584" s="163">
        <f>[3]H4!D538</f>
        <v>50000</v>
      </c>
      <c r="E584" s="163">
        <f>[3]H4!E538</f>
        <v>50000</v>
      </c>
      <c r="F584" s="163">
        <f>[3]H4!F538</f>
        <v>0</v>
      </c>
      <c r="G584" s="163">
        <f>[3]H4!G538</f>
        <v>43796.88</v>
      </c>
      <c r="H584" s="163">
        <f>[3]H4!H538</f>
        <v>6203.1200000000026</v>
      </c>
      <c r="I584" s="96"/>
    </row>
    <row r="585" spans="1:9" ht="38.25" hidden="1" x14ac:dyDescent="0.2">
      <c r="A585" s="180">
        <f>SUBTOTAL(103,$B$10:B587)</f>
        <v>173</v>
      </c>
      <c r="B585" s="178">
        <v>272</v>
      </c>
      <c r="C585" s="161" t="s">
        <v>935</v>
      </c>
      <c r="D585" s="162">
        <f>[1]AA!D237</f>
        <v>0</v>
      </c>
      <c r="E585" s="162">
        <f>[1]AA!E237</f>
        <v>0</v>
      </c>
      <c r="F585" s="162">
        <f>[1]AA!F237</f>
        <v>0</v>
      </c>
      <c r="G585" s="162">
        <f>[1]AA!G237</f>
        <v>0</v>
      </c>
      <c r="H585" s="162">
        <f>[1]AA!H237</f>
        <v>0</v>
      </c>
      <c r="I585" s="96" t="e">
        <f>G585/D585</f>
        <v>#DIV/0!</v>
      </c>
    </row>
    <row r="586" spans="1:9" hidden="1" x14ac:dyDescent="0.2">
      <c r="A586" s="188"/>
      <c r="B586" s="187"/>
      <c r="C586" s="161" t="str">
        <f>[3]H4!C541</f>
        <v>2.6.2.2.3 - 2.COSTO DE CONSTRUCCION POR CONTRATA</v>
      </c>
      <c r="D586" s="163">
        <f>[3]H4!D541</f>
        <v>0</v>
      </c>
      <c r="E586" s="163">
        <f>[3]H4!E541</f>
        <v>0</v>
      </c>
      <c r="F586" s="163">
        <f>[3]H4!F541</f>
        <v>0</v>
      </c>
      <c r="G586" s="163">
        <f>[3]H4!G541</f>
        <v>0</v>
      </c>
      <c r="H586" s="163">
        <f>[3]H4!H541</f>
        <v>0</v>
      </c>
      <c r="I586" s="96"/>
    </row>
    <row r="587" spans="1:9" hidden="1" x14ac:dyDescent="0.2">
      <c r="A587" s="181"/>
      <c r="B587" s="179"/>
      <c r="C587" s="161" t="str">
        <f>[3]H4!C542</f>
        <v>2.6.8.1.3 - 1.ELABORACION DE EXPEDIENTES TECNICOS</v>
      </c>
      <c r="D587" s="163">
        <f>[3]H4!D542</f>
        <v>0</v>
      </c>
      <c r="E587" s="163">
        <f>[3]H4!E542</f>
        <v>0</v>
      </c>
      <c r="F587" s="163">
        <f>[3]H4!F542</f>
        <v>0</v>
      </c>
      <c r="G587" s="163">
        <f>[3]H4!G542</f>
        <v>0</v>
      </c>
      <c r="H587" s="163">
        <f>[3]H4!H542</f>
        <v>0</v>
      </c>
      <c r="I587" s="96"/>
    </row>
    <row r="588" spans="1:9" ht="38.25" x14ac:dyDescent="0.2">
      <c r="A588" s="180">
        <f>SUBTOTAL(103,$B$10:B590)</f>
        <v>174</v>
      </c>
      <c r="B588" s="178">
        <v>273</v>
      </c>
      <c r="C588" s="161" t="s">
        <v>850</v>
      </c>
      <c r="D588" s="162">
        <f>[1]AA!D238</f>
        <v>82042</v>
      </c>
      <c r="E588" s="162">
        <f>[1]AA!E238</f>
        <v>73137.02</v>
      </c>
      <c r="F588" s="162">
        <f>[1]AA!F238</f>
        <v>8904.9799999999959</v>
      </c>
      <c r="G588" s="162">
        <f>[1]AA!G238</f>
        <v>48346.770000000004</v>
      </c>
      <c r="H588" s="162">
        <f>[1]AA!H238</f>
        <v>33695.229999999996</v>
      </c>
      <c r="I588" s="96">
        <f>G588/D588</f>
        <v>0.58929292313692994</v>
      </c>
    </row>
    <row r="589" spans="1:9" x14ac:dyDescent="0.2">
      <c r="A589" s="188"/>
      <c r="B589" s="187"/>
      <c r="C589" s="161" t="str">
        <f>[3]H4!C545</f>
        <v>2.6.2.2.3 - 2.COSTO DE CONSTRUCCION POR CONTRATA</v>
      </c>
      <c r="D589" s="163">
        <f>[3]H4!D545</f>
        <v>0</v>
      </c>
      <c r="E589" s="163">
        <f>[3]H4!E545</f>
        <v>0</v>
      </c>
      <c r="F589" s="163">
        <f>[3]H4!F545</f>
        <v>0</v>
      </c>
      <c r="G589" s="163">
        <f>[3]H4!G545</f>
        <v>0</v>
      </c>
      <c r="H589" s="163">
        <f>[3]H4!H545</f>
        <v>0</v>
      </c>
      <c r="I589" s="96"/>
    </row>
    <row r="590" spans="1:9" x14ac:dyDescent="0.2">
      <c r="A590" s="181"/>
      <c r="B590" s="179"/>
      <c r="C590" s="161" t="str">
        <f>[3]H4!C546</f>
        <v>2.6.8.1.3 - 1.ELABORACION DE EXPEDIENTES TECNICOS</v>
      </c>
      <c r="D590" s="163">
        <f>[3]H4!D546</f>
        <v>82042</v>
      </c>
      <c r="E590" s="163">
        <f>[3]H4!E546</f>
        <v>73137.02</v>
      </c>
      <c r="F590" s="163">
        <f>[3]H4!F546</f>
        <v>8904.9799999999959</v>
      </c>
      <c r="G590" s="163">
        <f>[3]H4!G546</f>
        <v>48346.770000000004</v>
      </c>
      <c r="H590" s="163">
        <f>[3]H4!H546</f>
        <v>33695.229999999996</v>
      </c>
      <c r="I590" s="96"/>
    </row>
    <row r="591" spans="1:9" ht="38.25" hidden="1" x14ac:dyDescent="0.2">
      <c r="A591" s="180">
        <f>SUBTOTAL(103,$B$10:B593)</f>
        <v>174</v>
      </c>
      <c r="B591" s="178">
        <v>274</v>
      </c>
      <c r="C591" s="161" t="s">
        <v>936</v>
      </c>
      <c r="D591" s="162">
        <f>[1]AA!D239</f>
        <v>0</v>
      </c>
      <c r="E591" s="162">
        <f>[1]AA!E239</f>
        <v>0</v>
      </c>
      <c r="F591" s="162">
        <f>[1]AA!F239</f>
        <v>0</v>
      </c>
      <c r="G591" s="162">
        <f>[1]AA!G239</f>
        <v>0</v>
      </c>
      <c r="H591" s="162">
        <f>[1]AA!H239</f>
        <v>0</v>
      </c>
      <c r="I591" s="96" t="e">
        <f>G591/D591</f>
        <v>#DIV/0!</v>
      </c>
    </row>
    <row r="592" spans="1:9" hidden="1" x14ac:dyDescent="0.2">
      <c r="A592" s="188"/>
      <c r="B592" s="187"/>
      <c r="C592" s="161" t="str">
        <f>[3]H4!C549</f>
        <v>2.6.2.2.3 - 2.COSTO DE CONSTRUCCION POR CONTRATA</v>
      </c>
      <c r="D592" s="163">
        <f>[3]H4!D549</f>
        <v>0</v>
      </c>
      <c r="E592" s="163">
        <f>[3]H4!E549</f>
        <v>0</v>
      </c>
      <c r="F592" s="163">
        <f>[3]H4!F549</f>
        <v>0</v>
      </c>
      <c r="G592" s="163">
        <f>[3]H4!G549</f>
        <v>0</v>
      </c>
      <c r="H592" s="163">
        <f>[3]H4!H549</f>
        <v>0</v>
      </c>
      <c r="I592" s="96"/>
    </row>
    <row r="593" spans="1:9" hidden="1" x14ac:dyDescent="0.2">
      <c r="A593" s="181"/>
      <c r="B593" s="179"/>
      <c r="C593" s="161" t="str">
        <f>[3]H4!C550</f>
        <v>2.6.8.1.3 - 1.ELABORACION DE EXPEDIENTES TECNICOS</v>
      </c>
      <c r="D593" s="163">
        <f>[3]H4!D550</f>
        <v>0</v>
      </c>
      <c r="E593" s="163">
        <f>[3]H4!E550</f>
        <v>0</v>
      </c>
      <c r="F593" s="163">
        <f>[3]H4!F550</f>
        <v>0</v>
      </c>
      <c r="G593" s="163">
        <f>[3]H4!G550</f>
        <v>0</v>
      </c>
      <c r="H593" s="163">
        <f>[3]H4!H550</f>
        <v>0</v>
      </c>
      <c r="I593" s="96"/>
    </row>
    <row r="594" spans="1:9" ht="38.25" x14ac:dyDescent="0.2">
      <c r="A594" s="180">
        <f>SUBTOTAL(103,$B$10:B596)</f>
        <v>175</v>
      </c>
      <c r="B594" s="178">
        <v>275</v>
      </c>
      <c r="C594" s="161" t="s">
        <v>852</v>
      </c>
      <c r="D594" s="162">
        <f>[1]AA!D240</f>
        <v>72190</v>
      </c>
      <c r="E594" s="162">
        <f>[1]AA!E240</f>
        <v>62384.34</v>
      </c>
      <c r="F594" s="162">
        <f>[1]AA!F240</f>
        <v>9805.6600000000035</v>
      </c>
      <c r="G594" s="162">
        <f>[1]AA!G240</f>
        <v>55271.61</v>
      </c>
      <c r="H594" s="162">
        <f>[1]AA!H240</f>
        <v>16918.39</v>
      </c>
      <c r="I594" s="96">
        <f>G594/D594</f>
        <v>0.76564080897631248</v>
      </c>
    </row>
    <row r="595" spans="1:9" x14ac:dyDescent="0.2">
      <c r="A595" s="188"/>
      <c r="B595" s="187"/>
      <c r="C595" s="161" t="str">
        <f>[3]H4!C553</f>
        <v>2.6.2.2.3 - 2.COSTO DE CONSTRUCCION POR CONTRATA</v>
      </c>
      <c r="D595" s="163">
        <f>[3]H4!D553</f>
        <v>0</v>
      </c>
      <c r="E595" s="163">
        <f>[3]H4!E553</f>
        <v>0</v>
      </c>
      <c r="F595" s="163">
        <f>[3]H4!F553</f>
        <v>0</v>
      </c>
      <c r="G595" s="163">
        <f>[3]H4!G553</f>
        <v>0</v>
      </c>
      <c r="H595" s="163">
        <f>[3]H4!H553</f>
        <v>0</v>
      </c>
      <c r="I595" s="96"/>
    </row>
    <row r="596" spans="1:9" x14ac:dyDescent="0.2">
      <c r="A596" s="181"/>
      <c r="B596" s="179"/>
      <c r="C596" s="161" t="str">
        <f>[3]H4!C554</f>
        <v>2.6.8.1.3 - 1.ELABORACION DE EXPEDIENTES TECNICOS</v>
      </c>
      <c r="D596" s="163">
        <f>[3]H4!D554</f>
        <v>72190</v>
      </c>
      <c r="E596" s="163">
        <f>[3]H4!E554</f>
        <v>62384.34</v>
      </c>
      <c r="F596" s="163">
        <f>[3]H4!F554</f>
        <v>9805.6600000000035</v>
      </c>
      <c r="G596" s="163">
        <f>[3]H4!G554</f>
        <v>55271.61</v>
      </c>
      <c r="H596" s="163">
        <f>[3]H4!H554</f>
        <v>16918.39</v>
      </c>
      <c r="I596" s="96"/>
    </row>
    <row r="597" spans="1:9" ht="38.25" x14ac:dyDescent="0.2">
      <c r="A597" s="180">
        <f>SUBTOTAL(103,$B$10:B599)</f>
        <v>176</v>
      </c>
      <c r="B597" s="178">
        <v>276</v>
      </c>
      <c r="C597" s="161" t="s">
        <v>851</v>
      </c>
      <c r="D597" s="162">
        <f>[1]AA!D241</f>
        <v>69837</v>
      </c>
      <c r="E597" s="162">
        <f>[1]AA!E241</f>
        <v>30000</v>
      </c>
      <c r="F597" s="162">
        <f>[1]AA!F241</f>
        <v>39837</v>
      </c>
      <c r="G597" s="162">
        <f>[1]AA!G241</f>
        <v>24166.33</v>
      </c>
      <c r="H597" s="162">
        <f>[1]AA!H241</f>
        <v>45670.67</v>
      </c>
      <c r="I597" s="96">
        <f>G597/D597</f>
        <v>0.34603906238813237</v>
      </c>
    </row>
    <row r="598" spans="1:9" x14ac:dyDescent="0.2">
      <c r="A598" s="188"/>
      <c r="B598" s="187"/>
      <c r="C598" s="161" t="str">
        <f>[3]H4!C557</f>
        <v>2.6.2.2.3 - 2.COSTO DE CONSTRUCCION POR CONTRATA</v>
      </c>
      <c r="D598" s="163">
        <f>[3]H4!D557</f>
        <v>0</v>
      </c>
      <c r="E598" s="163">
        <f>[3]H4!E557</f>
        <v>0</v>
      </c>
      <c r="F598" s="163">
        <f>[3]H4!F557</f>
        <v>0</v>
      </c>
      <c r="G598" s="163">
        <f>[3]H4!G557</f>
        <v>0</v>
      </c>
      <c r="H598" s="163">
        <f>[3]H4!H557</f>
        <v>0</v>
      </c>
      <c r="I598" s="96"/>
    </row>
    <row r="599" spans="1:9" x14ac:dyDescent="0.2">
      <c r="A599" s="181"/>
      <c r="B599" s="179"/>
      <c r="C599" s="161" t="str">
        <f>[3]H4!C558</f>
        <v>2.6.8.1.3 - 1.ELABORACION DE EXPEDIENTES TECNICOS</v>
      </c>
      <c r="D599" s="163">
        <f>[3]H4!D558</f>
        <v>69837</v>
      </c>
      <c r="E599" s="163">
        <f>[3]H4!E558</f>
        <v>30000</v>
      </c>
      <c r="F599" s="163">
        <f>[3]H4!F558</f>
        <v>39837</v>
      </c>
      <c r="G599" s="163">
        <f>[3]H4!G558</f>
        <v>24166.33</v>
      </c>
      <c r="H599" s="163">
        <f>[3]H4!H558</f>
        <v>45670.67</v>
      </c>
      <c r="I599" s="96"/>
    </row>
    <row r="600" spans="1:9" ht="38.25" x14ac:dyDescent="0.2">
      <c r="A600" s="180">
        <f>SUBTOTAL(103,$B$10:B602)</f>
        <v>177</v>
      </c>
      <c r="B600" s="178">
        <v>277</v>
      </c>
      <c r="C600" s="161" t="s">
        <v>849</v>
      </c>
      <c r="D600" s="162">
        <f>[1]AA!D242</f>
        <v>50000</v>
      </c>
      <c r="E600" s="162">
        <f>[1]AA!E242</f>
        <v>50000</v>
      </c>
      <c r="F600" s="162">
        <f>[1]AA!F242</f>
        <v>0</v>
      </c>
      <c r="G600" s="162">
        <f>[1]AA!G242</f>
        <v>48541.71</v>
      </c>
      <c r="H600" s="162">
        <f>[1]AA!H242</f>
        <v>1458.2900000000009</v>
      </c>
      <c r="I600" s="96">
        <f>G600/D600</f>
        <v>0.97083419999999998</v>
      </c>
    </row>
    <row r="601" spans="1:9" x14ac:dyDescent="0.2">
      <c r="A601" s="188"/>
      <c r="B601" s="187"/>
      <c r="C601" s="161" t="str">
        <f>[3]H4!C561</f>
        <v>2.6.2.2.3 - 2.COSTO DE CONSTRUCCION POR CONTRATA</v>
      </c>
      <c r="D601" s="163">
        <f>[3]H4!D561</f>
        <v>0</v>
      </c>
      <c r="E601" s="163">
        <f>[3]H4!E561</f>
        <v>0</v>
      </c>
      <c r="F601" s="163">
        <f>[3]H4!F561</f>
        <v>0</v>
      </c>
      <c r="G601" s="163">
        <f>[3]H4!G561</f>
        <v>0</v>
      </c>
      <c r="H601" s="163">
        <f>[3]H4!H561</f>
        <v>0</v>
      </c>
      <c r="I601" s="96"/>
    </row>
    <row r="602" spans="1:9" x14ac:dyDescent="0.2">
      <c r="A602" s="181"/>
      <c r="B602" s="179"/>
      <c r="C602" s="161" t="str">
        <f>[3]H4!C562</f>
        <v>2.6.8.1.3 - 1.ELABORACION DE EXPEDIENTES TECNICOS</v>
      </c>
      <c r="D602" s="163">
        <f>[3]H4!D562</f>
        <v>50000</v>
      </c>
      <c r="E602" s="163">
        <f>[3]H4!E562</f>
        <v>50000</v>
      </c>
      <c r="F602" s="163">
        <f>[3]H4!F562</f>
        <v>0</v>
      </c>
      <c r="G602" s="163">
        <f>[3]H4!G562</f>
        <v>48541.71</v>
      </c>
      <c r="H602" s="163">
        <f>[3]H4!H562</f>
        <v>1458.2900000000009</v>
      </c>
      <c r="I602" s="96"/>
    </row>
    <row r="603" spans="1:9" ht="38.25" x14ac:dyDescent="0.2">
      <c r="A603" s="180">
        <f>SUBTOTAL(103,$B$10:B605)</f>
        <v>178</v>
      </c>
      <c r="B603" s="178">
        <v>278</v>
      </c>
      <c r="C603" s="161" t="s">
        <v>910</v>
      </c>
      <c r="D603" s="162">
        <f>[1]AA!D243</f>
        <v>304060</v>
      </c>
      <c r="E603" s="162">
        <f>[1]AA!E243</f>
        <v>291997.5</v>
      </c>
      <c r="F603" s="162">
        <f>[1]AA!F243</f>
        <v>12062.5</v>
      </c>
      <c r="G603" s="162">
        <f>[1]AA!G243</f>
        <v>226901.79</v>
      </c>
      <c r="H603" s="162">
        <f>[1]AA!H243</f>
        <v>77158.209999999992</v>
      </c>
      <c r="I603" s="96">
        <f>G603/D603</f>
        <v>0.74624018285864635</v>
      </c>
    </row>
    <row r="604" spans="1:9" x14ac:dyDescent="0.2">
      <c r="A604" s="188"/>
      <c r="B604" s="187"/>
      <c r="C604" s="161" t="str">
        <f>[3]H4!C565</f>
        <v>2.6.2.2.3 - 2.COSTO DE CONSTRUCCION POR CONTRATA</v>
      </c>
      <c r="D604" s="163">
        <f>[3]H4!D565</f>
        <v>0</v>
      </c>
      <c r="E604" s="163">
        <f>[3]H4!E565</f>
        <v>0</v>
      </c>
      <c r="F604" s="163">
        <f>[3]H4!F565</f>
        <v>0</v>
      </c>
      <c r="G604" s="163">
        <f>[3]H4!G565</f>
        <v>0</v>
      </c>
      <c r="H604" s="163">
        <f>[3]H4!H565</f>
        <v>0</v>
      </c>
      <c r="I604" s="96"/>
    </row>
    <row r="605" spans="1:9" x14ac:dyDescent="0.2">
      <c r="A605" s="181"/>
      <c r="B605" s="179"/>
      <c r="C605" s="161" t="str">
        <f>[3]H4!C566</f>
        <v>2.6.8.1.3 - 1.ELABORACION DE EXPEDIENTES TECNICOS</v>
      </c>
      <c r="D605" s="163">
        <f>[3]H4!D566</f>
        <v>304060</v>
      </c>
      <c r="E605" s="163">
        <f>[3]H4!E566</f>
        <v>291997.5</v>
      </c>
      <c r="F605" s="163">
        <f>[3]H4!F566</f>
        <v>12062.5</v>
      </c>
      <c r="G605" s="163">
        <f>[3]H4!G566</f>
        <v>226901.79</v>
      </c>
      <c r="H605" s="163">
        <f>[3]H4!H566</f>
        <v>77158.209999999992</v>
      </c>
      <c r="I605" s="96"/>
    </row>
    <row r="606" spans="1:9" ht="38.25" hidden="1" x14ac:dyDescent="0.2">
      <c r="A606" s="180">
        <f>SUBTOTAL(103,$B$10:B608)</f>
        <v>178</v>
      </c>
      <c r="B606" s="178">
        <v>279</v>
      </c>
      <c r="C606" s="161" t="s">
        <v>937</v>
      </c>
      <c r="D606" s="162">
        <f>[1]AA!D244</f>
        <v>0</v>
      </c>
      <c r="E606" s="162">
        <f>[1]AA!E244</f>
        <v>0</v>
      </c>
      <c r="F606" s="162">
        <f>[1]AA!F244</f>
        <v>0</v>
      </c>
      <c r="G606" s="162">
        <f>[1]AA!G244</f>
        <v>0</v>
      </c>
      <c r="H606" s="162">
        <f>[1]AA!H244</f>
        <v>0</v>
      </c>
      <c r="I606" s="96" t="e">
        <f>G606/D606</f>
        <v>#DIV/0!</v>
      </c>
    </row>
    <row r="607" spans="1:9" hidden="1" x14ac:dyDescent="0.2">
      <c r="A607" s="188"/>
      <c r="B607" s="187"/>
      <c r="C607" s="161" t="str">
        <f>[3]H4!C569</f>
        <v>2.6.2.2.3 - 2.COSTO DE CONSTRUCCION POR CONTRATA</v>
      </c>
      <c r="D607" s="163">
        <f>[3]H4!D569</f>
        <v>0</v>
      </c>
      <c r="E607" s="163">
        <f>[3]H4!E569</f>
        <v>0</v>
      </c>
      <c r="F607" s="163">
        <f>[3]H4!F569</f>
        <v>0</v>
      </c>
      <c r="G607" s="163">
        <f>[3]H4!G569</f>
        <v>0</v>
      </c>
      <c r="H607" s="163">
        <f>[3]H4!H569</f>
        <v>0</v>
      </c>
      <c r="I607" s="96"/>
    </row>
    <row r="608" spans="1:9" hidden="1" x14ac:dyDescent="0.2">
      <c r="A608" s="181"/>
      <c r="B608" s="179"/>
      <c r="C608" s="161" t="str">
        <f>[3]H4!C570</f>
        <v>2.6.8.1.3 - 1.ELABORACION DE EXPEDIENTES TECNICOS</v>
      </c>
      <c r="D608" s="163">
        <f>[3]H4!D570</f>
        <v>0</v>
      </c>
      <c r="E608" s="163">
        <f>[3]H4!E570</f>
        <v>0</v>
      </c>
      <c r="F608" s="163">
        <f>[3]H4!F570</f>
        <v>0</v>
      </c>
      <c r="G608" s="163">
        <f>[3]H4!G570</f>
        <v>0</v>
      </c>
      <c r="H608" s="163">
        <f>[3]H4!H570</f>
        <v>0</v>
      </c>
      <c r="I608" s="96"/>
    </row>
    <row r="609" spans="1:11" ht="38.25" hidden="1" x14ac:dyDescent="0.2">
      <c r="A609" s="180">
        <f>SUBTOTAL(103,$B$10:B610)</f>
        <v>178</v>
      </c>
      <c r="B609" s="178">
        <v>280</v>
      </c>
      <c r="C609" s="161" t="s">
        <v>938</v>
      </c>
      <c r="D609" s="162">
        <f>[1]AA!D245</f>
        <v>0</v>
      </c>
      <c r="E609" s="162">
        <f>[1]AA!E245</f>
        <v>0</v>
      </c>
      <c r="F609" s="162">
        <f>[1]AA!F245</f>
        <v>0</v>
      </c>
      <c r="G609" s="162">
        <f>[1]AA!G245</f>
        <v>0</v>
      </c>
      <c r="H609" s="162">
        <f>[1]AA!H245</f>
        <v>0</v>
      </c>
      <c r="I609" s="96" t="e">
        <f>G609/D609</f>
        <v>#DIV/0!</v>
      </c>
    </row>
    <row r="610" spans="1:11" hidden="1" x14ac:dyDescent="0.2">
      <c r="A610" s="188"/>
      <c r="B610" s="187"/>
      <c r="C610" s="161" t="str">
        <f>[3]H4!C573</f>
        <v>2.6.2.2.2 - 2.COSTO DE CONSTRUCCION POR CONTRATA</v>
      </c>
      <c r="D610" s="163">
        <f>[3]H4!D573</f>
        <v>0</v>
      </c>
      <c r="E610" s="163">
        <f>[3]H4!E573</f>
        <v>0</v>
      </c>
      <c r="F610" s="163">
        <f>[3]H4!F573</f>
        <v>0</v>
      </c>
      <c r="G610" s="163">
        <f>[3]H4!G573</f>
        <v>0</v>
      </c>
      <c r="H610" s="163">
        <f>[3]H4!H573</f>
        <v>0</v>
      </c>
      <c r="I610" s="96"/>
    </row>
    <row r="611" spans="1:11" ht="38.25" x14ac:dyDescent="0.2">
      <c r="A611" s="180">
        <f>SUBTOTAL(103,$B$10:B613)</f>
        <v>179</v>
      </c>
      <c r="B611" s="178">
        <v>283</v>
      </c>
      <c r="C611" s="161" t="s">
        <v>909</v>
      </c>
      <c r="D611" s="162">
        <f>[1]AA!D248</f>
        <v>340317</v>
      </c>
      <c r="E611" s="162">
        <f>[1]AA!E248</f>
        <v>335271.5</v>
      </c>
      <c r="F611" s="162">
        <f>[1]AA!F248</f>
        <v>5045.5</v>
      </c>
      <c r="G611" s="162">
        <f>[1]AA!G248</f>
        <v>228699.2</v>
      </c>
      <c r="H611" s="162">
        <f>[1]AA!H248</f>
        <v>111617.79999999999</v>
      </c>
      <c r="I611" s="96">
        <f>G611/D611</f>
        <v>0.67201814778574098</v>
      </c>
    </row>
    <row r="612" spans="1:11" x14ac:dyDescent="0.2">
      <c r="A612" s="188"/>
      <c r="B612" s="187"/>
      <c r="C612" s="161" t="str">
        <f>[3]H4!C577</f>
        <v>2.6.2.2.3 - 2.COSTO DE CONSTRUCCION POR CONTRATA</v>
      </c>
      <c r="D612" s="163">
        <f>[3]H4!D577</f>
        <v>0</v>
      </c>
      <c r="E612" s="163">
        <f>[3]H4!E577</f>
        <v>0</v>
      </c>
      <c r="F612" s="163">
        <f>[3]H4!F577</f>
        <v>0</v>
      </c>
      <c r="G612" s="163">
        <f>[3]H4!G577</f>
        <v>0</v>
      </c>
      <c r="H612" s="163">
        <f>[3]H4!H577</f>
        <v>0</v>
      </c>
      <c r="I612" s="96"/>
    </row>
    <row r="613" spans="1:11" x14ac:dyDescent="0.2">
      <c r="A613" s="181"/>
      <c r="B613" s="179"/>
      <c r="C613" s="161" t="str">
        <f>[3]H4!C578</f>
        <v>2.6.8.1.3 - 1.ELABORACION DE EXPEDIENTES TECNICOS</v>
      </c>
      <c r="D613" s="163">
        <f>[3]H4!D578</f>
        <v>340317</v>
      </c>
      <c r="E613" s="163">
        <f>[3]H4!E578</f>
        <v>335271.5</v>
      </c>
      <c r="F613" s="163">
        <f>[3]H4!F578</f>
        <v>5045.5</v>
      </c>
      <c r="G613" s="163">
        <f>[3]H4!G578</f>
        <v>228699.2</v>
      </c>
      <c r="H613" s="163">
        <f>[3]H4!H578</f>
        <v>111617.79999999999</v>
      </c>
      <c r="I613" s="96"/>
    </row>
    <row r="614" spans="1:11" ht="38.25" x14ac:dyDescent="0.2">
      <c r="A614" s="180">
        <f>SUBTOTAL(103,$B$10:B616)</f>
        <v>180</v>
      </c>
      <c r="B614" s="178">
        <v>284</v>
      </c>
      <c r="C614" s="161" t="s">
        <v>909</v>
      </c>
      <c r="D614" s="162">
        <f>[1]AA!D249</f>
        <v>282553</v>
      </c>
      <c r="E614" s="162">
        <f>[1]AA!E249</f>
        <v>282553</v>
      </c>
      <c r="F614" s="162">
        <f>[1]AA!F249</f>
        <v>0</v>
      </c>
      <c r="G614" s="162">
        <f>[1]AA!G249</f>
        <v>0</v>
      </c>
      <c r="H614" s="162">
        <f>[1]AA!H249</f>
        <v>282553</v>
      </c>
      <c r="I614" s="96">
        <f>G614/D614</f>
        <v>0</v>
      </c>
    </row>
    <row r="615" spans="1:11" x14ac:dyDescent="0.2">
      <c r="A615" s="188"/>
      <c r="B615" s="187"/>
      <c r="C615" s="161" t="str">
        <f>[3]H4!C581</f>
        <v>2.6.2.2.3 - 2.COSTO DE CONSTRUCCION POR CONTRATA</v>
      </c>
      <c r="D615" s="163">
        <f>[3]H4!D581</f>
        <v>0</v>
      </c>
      <c r="E615" s="163">
        <f>[3]H4!E581</f>
        <v>0</v>
      </c>
      <c r="F615" s="163">
        <f>[3]H4!F581</f>
        <v>0</v>
      </c>
      <c r="G615" s="163">
        <f>[3]H4!G581</f>
        <v>0</v>
      </c>
      <c r="H615" s="163">
        <f>[3]H4!H581</f>
        <v>0</v>
      </c>
      <c r="I615" s="96"/>
    </row>
    <row r="616" spans="1:11" x14ac:dyDescent="0.2">
      <c r="A616" s="181"/>
      <c r="B616" s="179"/>
      <c r="C616" s="161" t="str">
        <f>[3]H4!C582</f>
        <v>2.6.8.1.3 - 1.ELABORACION DE EXPEDIENTES TECNICOS</v>
      </c>
      <c r="D616" s="163">
        <f>[3]H4!D582</f>
        <v>282553</v>
      </c>
      <c r="E616" s="163">
        <f>[3]H4!E582</f>
        <v>282553</v>
      </c>
      <c r="F616" s="163">
        <f>[3]H4!F582</f>
        <v>0</v>
      </c>
      <c r="G616" s="163">
        <f>[3]H4!G582</f>
        <v>0</v>
      </c>
      <c r="H616" s="163">
        <f>[3]H4!H582</f>
        <v>282553</v>
      </c>
      <c r="I616" s="96"/>
    </row>
    <row r="617" spans="1:11" ht="16.5" x14ac:dyDescent="0.2">
      <c r="A617" s="182" t="s">
        <v>1046</v>
      </c>
      <c r="B617" s="182"/>
      <c r="C617" s="182"/>
      <c r="D617" s="91">
        <f>+D620+D622+D625+D627+D630+D633+D636+D638+D641+D644+D647+D650+D653+D656+D661+D664+D667+D670+D673+D676+D680+D683+D686+D689+D692+D695+D698+D700+D702+D705+D708+D711+D714+D716+D719+D721+D724+D726+D728+D731+D734+D737+D740+D742</f>
        <v>17712579</v>
      </c>
      <c r="E617" s="91">
        <f>+E620+E622+E625+E627+E630+E633+E636+E638+E641+E644+E647+E650+E653+E656+E661+E664+E667+E670+E673+E676+E680+E683+E686+E689+E692+E695+E698+E700+E702+E705+E708+E711+E714+E716+E719+E721+E724+E726+E728+E731+E734+E737+E740+E742</f>
        <v>14252001.209999999</v>
      </c>
      <c r="F617" s="91">
        <f>+F620+F622+F625+F627+F630+F633+F636+F638+F641+F644+F647+F650+F653+F656+F661+F664+F667+F670+F673+F676+F680+F683+F686+F689+F692+F695+F698+F700+F702+F705+F708+F711+F714+F716+F719+F721+F724+F726+F728+F731+F734+F737+F740+F742</f>
        <v>3460577.79</v>
      </c>
      <c r="G617" s="91">
        <f>+G620+G622+G625+G627+G630+G633+G636+G638+G641+G644+G647+G650+G653+G656+G661+G664+G667+G670+G673+G676+G680+G683+G686+G689+G692+G695+G698+G700+G702+G705+G708+G711+G714+G716+G719+G721+G724+G726+G728+G731+G734+G737+G740+G742</f>
        <v>3789569.959999999</v>
      </c>
      <c r="H617" s="91">
        <f>+H620+H622+H625+H627+H630+H633+H636+H638+H641+H644+H647+H650+H653+H656+H661+H664+H667+H670+H673+H676+H680+H683+H686+H689+H692+H695+H698+H700+H702+H705+H708+H711+H714+H716+H719+H721+H724+H726+H728+H731+H734+H737+H740+H742</f>
        <v>13923009.040000003</v>
      </c>
      <c r="I617" s="92">
        <f>G617/D617</f>
        <v>0.21394794964640659</v>
      </c>
    </row>
    <row r="618" spans="1:11" ht="78.75" hidden="1" x14ac:dyDescent="0.2">
      <c r="A618" s="206">
        <f>SUBTOTAL(103,$B$8:B618)</f>
        <v>180</v>
      </c>
      <c r="B618" s="208"/>
      <c r="C618" s="61" t="s">
        <v>526</v>
      </c>
      <c r="D618" s="62"/>
      <c r="E618" s="62"/>
      <c r="F618" s="62"/>
      <c r="G618" s="62"/>
      <c r="H618" s="62"/>
      <c r="I618" s="17" t="e">
        <f>G618/D618</f>
        <v>#DIV/0!</v>
      </c>
      <c r="K618" s="23"/>
    </row>
    <row r="619" spans="1:11" ht="31.5" hidden="1" x14ac:dyDescent="0.2">
      <c r="A619" s="207"/>
      <c r="B619" s="209"/>
      <c r="C619" s="32" t="s">
        <v>118</v>
      </c>
      <c r="D619" s="62"/>
      <c r="E619" s="62"/>
      <c r="F619" s="62"/>
      <c r="G619" s="62"/>
      <c r="H619" s="62"/>
      <c r="I619" s="17"/>
      <c r="K619" s="23"/>
    </row>
    <row r="620" spans="1:11" ht="38.25" hidden="1" x14ac:dyDescent="0.2">
      <c r="A620" s="180">
        <f>SUBTOTAL(103,$B$10:B621)</f>
        <v>180</v>
      </c>
      <c r="B620" s="178">
        <v>21</v>
      </c>
      <c r="C620" s="161" t="s">
        <v>265</v>
      </c>
      <c r="D620" s="162">
        <f>[1]AA!D10</f>
        <v>0</v>
      </c>
      <c r="E620" s="162">
        <f>[1]AA!E10</f>
        <v>0</v>
      </c>
      <c r="F620" s="162">
        <f>[1]AA!F10</f>
        <v>0</v>
      </c>
      <c r="G620" s="162">
        <f>[1]AA!G10</f>
        <v>0</v>
      </c>
      <c r="H620" s="162">
        <f>[1]AA!H10</f>
        <v>0</v>
      </c>
      <c r="I620" s="96" t="e">
        <f>G620/D620</f>
        <v>#DIV/0!</v>
      </c>
    </row>
    <row r="621" spans="1:11" hidden="1" x14ac:dyDescent="0.2">
      <c r="A621" s="181"/>
      <c r="B621" s="179"/>
      <c r="C621" s="161" t="str">
        <f>[3]H4!C125</f>
        <v>2.6.2.2.2 - 2.COSTO DE CONSTRUCCION POR CONTRATA</v>
      </c>
      <c r="D621" s="163">
        <f>[3]H4!D125</f>
        <v>0</v>
      </c>
      <c r="E621" s="163">
        <f>[3]H4!E125</f>
        <v>0</v>
      </c>
      <c r="F621" s="163">
        <f>[3]H4!F125</f>
        <v>0</v>
      </c>
      <c r="G621" s="163">
        <f>[3]H4!G125</f>
        <v>0</v>
      </c>
      <c r="H621" s="163">
        <f>[3]H4!H125</f>
        <v>0</v>
      </c>
      <c r="I621" s="96"/>
    </row>
    <row r="622" spans="1:11" ht="51" x14ac:dyDescent="0.2">
      <c r="A622" s="180">
        <f>SUBTOTAL(103,$B$10:B624)</f>
        <v>181</v>
      </c>
      <c r="B622" s="178">
        <v>31</v>
      </c>
      <c r="C622" s="161" t="s">
        <v>279</v>
      </c>
      <c r="D622" s="162">
        <f>[1]AA!D20</f>
        <v>100000</v>
      </c>
      <c r="E622" s="162">
        <f>[1]AA!E20</f>
        <v>85000</v>
      </c>
      <c r="F622" s="162">
        <f>[1]AA!F20</f>
        <v>15000</v>
      </c>
      <c r="G622" s="162">
        <f>[1]AA!G20</f>
        <v>53585.48</v>
      </c>
      <c r="H622" s="162">
        <f>[1]AA!H20</f>
        <v>46414.52</v>
      </c>
      <c r="I622" s="96">
        <f>G622/D622</f>
        <v>0.53585480000000008</v>
      </c>
    </row>
    <row r="623" spans="1:11" x14ac:dyDescent="0.2">
      <c r="A623" s="188"/>
      <c r="B623" s="187"/>
      <c r="C623" s="161" t="str">
        <f>[3]H4!C129</f>
        <v>2.6.2.2.2 - 2.COSTO DE CONSTRUCCION POR CONTRATA</v>
      </c>
      <c r="D623" s="163">
        <f>[3]H4!D129</f>
        <v>0</v>
      </c>
      <c r="E623" s="163">
        <f>[3]H4!E129</f>
        <v>0</v>
      </c>
      <c r="F623" s="163">
        <f>[3]H4!F129</f>
        <v>0</v>
      </c>
      <c r="G623" s="163">
        <f>[3]H4!G129</f>
        <v>0</v>
      </c>
      <c r="H623" s="163">
        <f>[3]H4!H129</f>
        <v>0</v>
      </c>
      <c r="I623" s="96"/>
    </row>
    <row r="624" spans="1:11" x14ac:dyDescent="0.2">
      <c r="A624" s="181"/>
      <c r="B624" s="179"/>
      <c r="C624" s="161" t="str">
        <f>[3]H4!C130</f>
        <v>2.6.8.1.3 - 1.ELABORACION DE EXPEDIENTES TECNICOS</v>
      </c>
      <c r="D624" s="163">
        <f>[3]H4!D130</f>
        <v>100000</v>
      </c>
      <c r="E624" s="163">
        <f>[3]H4!E130</f>
        <v>85000</v>
      </c>
      <c r="F624" s="163">
        <f>[3]H4!F130</f>
        <v>15000</v>
      </c>
      <c r="G624" s="163">
        <f>[3]H4!G130</f>
        <v>53585.48</v>
      </c>
      <c r="H624" s="163">
        <f>[3]H4!H130</f>
        <v>46414.52</v>
      </c>
      <c r="I624" s="96"/>
    </row>
    <row r="625" spans="1:9" ht="51" hidden="1" x14ac:dyDescent="0.2">
      <c r="A625" s="180">
        <f>SUBTOTAL(103,$B$10:B626)</f>
        <v>181</v>
      </c>
      <c r="B625" s="210">
        <v>38</v>
      </c>
      <c r="C625" s="161" t="s">
        <v>286</v>
      </c>
      <c r="D625" s="162">
        <f>[1]AA!D27</f>
        <v>0</v>
      </c>
      <c r="E625" s="162">
        <f>[1]AA!E27</f>
        <v>0</v>
      </c>
      <c r="F625" s="162">
        <f>[1]AA!F27</f>
        <v>0</v>
      </c>
      <c r="G625" s="162">
        <f>[1]AA!G27</f>
        <v>0</v>
      </c>
      <c r="H625" s="162">
        <f>[1]AA!H27</f>
        <v>0</v>
      </c>
      <c r="I625" s="96" t="e">
        <f>G625/D625</f>
        <v>#DIV/0!</v>
      </c>
    </row>
    <row r="626" spans="1:9" hidden="1" x14ac:dyDescent="0.2">
      <c r="A626" s="181"/>
      <c r="B626" s="211"/>
      <c r="C626" s="161" t="str">
        <f>[3]H4!C133</f>
        <v>2.6.2.2.2 - 2.COSTO DE CONSTRUCCION POR CONTRATA</v>
      </c>
      <c r="D626" s="163">
        <f>[3]H4!D133</f>
        <v>0</v>
      </c>
      <c r="E626" s="163">
        <f>[3]H4!E133</f>
        <v>0</v>
      </c>
      <c r="F626" s="163">
        <f>[3]H4!F133</f>
        <v>0</v>
      </c>
      <c r="G626" s="163">
        <f>[3]H4!G133</f>
        <v>0</v>
      </c>
      <c r="H626" s="163">
        <f>[3]H4!H133</f>
        <v>0</v>
      </c>
      <c r="I626" s="96"/>
    </row>
    <row r="627" spans="1:9" ht="38.25" x14ac:dyDescent="0.2">
      <c r="A627" s="180">
        <f>SUBTOTAL(103,$B$10:B629)</f>
        <v>182</v>
      </c>
      <c r="B627" s="178">
        <v>40</v>
      </c>
      <c r="C627" s="161" t="s">
        <v>471</v>
      </c>
      <c r="D627" s="162">
        <f>[1]AA!D29</f>
        <v>58259</v>
      </c>
      <c r="E627" s="162">
        <f>[1]AA!E29</f>
        <v>58259</v>
      </c>
      <c r="F627" s="162">
        <f>[1]AA!F29</f>
        <v>0</v>
      </c>
      <c r="G627" s="162">
        <f>[1]AA!G29</f>
        <v>50730.47</v>
      </c>
      <c r="H627" s="162">
        <f>[1]AA!H29</f>
        <v>7528.5299999999988</v>
      </c>
      <c r="I627" s="96">
        <f>G627/D627</f>
        <v>0.87077481590827166</v>
      </c>
    </row>
    <row r="628" spans="1:9" x14ac:dyDescent="0.2">
      <c r="A628" s="188"/>
      <c r="B628" s="187"/>
      <c r="C628" s="161" t="str">
        <f>[3]H4!C137</f>
        <v>2.6.2.2.2 - 2.COSTO DE CONSTRUCCION POR CONTRATA</v>
      </c>
      <c r="D628" s="163">
        <f>[3]H4!D137</f>
        <v>0</v>
      </c>
      <c r="E628" s="163">
        <f>[3]H4!E137</f>
        <v>0</v>
      </c>
      <c r="F628" s="163">
        <f>[3]H4!F137</f>
        <v>0</v>
      </c>
      <c r="G628" s="163">
        <f>[3]H4!G137</f>
        <v>0</v>
      </c>
      <c r="H628" s="163">
        <f>[3]H4!H137</f>
        <v>0</v>
      </c>
      <c r="I628" s="96"/>
    </row>
    <row r="629" spans="1:9" x14ac:dyDescent="0.2">
      <c r="A629" s="181"/>
      <c r="B629" s="179"/>
      <c r="C629" s="161" t="str">
        <f>[3]H4!C138</f>
        <v>2.6.8.1.3 - 1.ELABORACION DE EXPEDIENTES TECNICOS</v>
      </c>
      <c r="D629" s="163">
        <f>[3]H4!D138</f>
        <v>58259</v>
      </c>
      <c r="E629" s="163">
        <f>[3]H4!E138</f>
        <v>58259</v>
      </c>
      <c r="F629" s="163">
        <f>[3]H4!F138</f>
        <v>0</v>
      </c>
      <c r="G629" s="163">
        <f>[3]H4!G138</f>
        <v>50730.47</v>
      </c>
      <c r="H629" s="163">
        <f>[3]H4!H138</f>
        <v>7528.5299999999988</v>
      </c>
      <c r="I629" s="96"/>
    </row>
    <row r="630" spans="1:9" ht="38.25" x14ac:dyDescent="0.2">
      <c r="A630" s="180">
        <f>SUBTOTAL(103,$B$10:B632)</f>
        <v>183</v>
      </c>
      <c r="B630" s="178">
        <v>42</v>
      </c>
      <c r="C630" s="161" t="s">
        <v>469</v>
      </c>
      <c r="D630" s="162">
        <f>[1]AA!D31</f>
        <v>100000</v>
      </c>
      <c r="E630" s="162">
        <f>[1]AA!E31</f>
        <v>100000</v>
      </c>
      <c r="F630" s="162">
        <f>[1]AA!F31</f>
        <v>0</v>
      </c>
      <c r="G630" s="162">
        <f>[1]AA!G31</f>
        <v>45460.229999999996</v>
      </c>
      <c r="H630" s="162">
        <f>[1]AA!H31</f>
        <v>54539.770000000004</v>
      </c>
      <c r="I630" s="96">
        <f>G630/D630</f>
        <v>0.45460229999999996</v>
      </c>
    </row>
    <row r="631" spans="1:9" x14ac:dyDescent="0.2">
      <c r="A631" s="188"/>
      <c r="B631" s="187"/>
      <c r="C631" s="161" t="str">
        <f>[3]H4!C141</f>
        <v>2.6.2.2.2 - 2.COSTO DE CONSTRUCCION POR CONTRATA</v>
      </c>
      <c r="D631" s="163">
        <f>[3]H4!D141</f>
        <v>0</v>
      </c>
      <c r="E631" s="163">
        <f>[3]H4!E141</f>
        <v>0</v>
      </c>
      <c r="F631" s="163">
        <f>[3]H4!F141</f>
        <v>0</v>
      </c>
      <c r="G631" s="163">
        <f>[3]H4!G141</f>
        <v>0</v>
      </c>
      <c r="H631" s="163">
        <f>[3]H4!H141</f>
        <v>0</v>
      </c>
      <c r="I631" s="96"/>
    </row>
    <row r="632" spans="1:9" x14ac:dyDescent="0.2">
      <c r="A632" s="181"/>
      <c r="B632" s="179"/>
      <c r="C632" s="161" t="str">
        <f>[3]H4!C142</f>
        <v>2.6.8.1.3 - 1.ELABORACION DE EXPEDIENTES TECNICOS</v>
      </c>
      <c r="D632" s="163">
        <f>[3]H4!D142</f>
        <v>100000</v>
      </c>
      <c r="E632" s="163">
        <f>[3]H4!E142</f>
        <v>100000</v>
      </c>
      <c r="F632" s="163">
        <f>[3]H4!F142</f>
        <v>0</v>
      </c>
      <c r="G632" s="163">
        <f>[3]H4!G142</f>
        <v>45460.229999999996</v>
      </c>
      <c r="H632" s="163">
        <f>[3]H4!H142</f>
        <v>54539.770000000004</v>
      </c>
      <c r="I632" s="96"/>
    </row>
    <row r="633" spans="1:9" ht="38.25" x14ac:dyDescent="0.2">
      <c r="A633" s="180">
        <f>SUBTOTAL(103,$B$10:B635)</f>
        <v>184</v>
      </c>
      <c r="B633" s="178">
        <v>43</v>
      </c>
      <c r="C633" s="161" t="s">
        <v>836</v>
      </c>
      <c r="D633" s="162">
        <f>[1]AA!D32</f>
        <v>100000</v>
      </c>
      <c r="E633" s="162">
        <f>[1]AA!E32</f>
        <v>98580</v>
      </c>
      <c r="F633" s="162">
        <f>[1]AA!F32</f>
        <v>1420</v>
      </c>
      <c r="G633" s="162">
        <f>[1]AA!G32</f>
        <v>78118.170000000013</v>
      </c>
      <c r="H633" s="162">
        <f>[1]AA!H32</f>
        <v>21881.829999999987</v>
      </c>
      <c r="I633" s="96">
        <f>G633/D633</f>
        <v>0.78118170000000009</v>
      </c>
    </row>
    <row r="634" spans="1:9" x14ac:dyDescent="0.2">
      <c r="A634" s="188"/>
      <c r="B634" s="187"/>
      <c r="C634" s="161" t="str">
        <f>[3]H4!C145</f>
        <v>2.6.2.2.2 - 2.COSTO DE CONSTRUCCION POR CONTRATA</v>
      </c>
      <c r="D634" s="163">
        <f>[3]H4!D145</f>
        <v>1420</v>
      </c>
      <c r="E634" s="163">
        <f>[3]H4!E145</f>
        <v>0</v>
      </c>
      <c r="F634" s="163">
        <f>[3]H4!F145</f>
        <v>1420</v>
      </c>
      <c r="G634" s="163">
        <f>[3]H4!G145</f>
        <v>0</v>
      </c>
      <c r="H634" s="163">
        <f>[3]H4!H145</f>
        <v>1420</v>
      </c>
      <c r="I634" s="96"/>
    </row>
    <row r="635" spans="1:9" x14ac:dyDescent="0.2">
      <c r="A635" s="181"/>
      <c r="B635" s="179"/>
      <c r="C635" s="161" t="str">
        <f>[3]H4!C146</f>
        <v>2.6.8.1.3 - 1.ELABORACION DE EXPEDIENTES TECNICOS</v>
      </c>
      <c r="D635" s="163">
        <f>[3]H4!D146</f>
        <v>98580</v>
      </c>
      <c r="E635" s="163">
        <f>[3]H4!E146</f>
        <v>98580</v>
      </c>
      <c r="F635" s="163">
        <f>[3]H4!F146</f>
        <v>0</v>
      </c>
      <c r="G635" s="163">
        <f>[3]H4!G146</f>
        <v>78118.170000000013</v>
      </c>
      <c r="H635" s="163">
        <f>[3]H4!H146</f>
        <v>20461.829999999987</v>
      </c>
      <c r="I635" s="96"/>
    </row>
    <row r="636" spans="1:9" ht="51" hidden="1" x14ac:dyDescent="0.2">
      <c r="A636" s="180">
        <f>SUBTOTAL(103,$B$10:B637)</f>
        <v>184</v>
      </c>
      <c r="B636" s="178">
        <v>47</v>
      </c>
      <c r="C636" s="161" t="s">
        <v>477</v>
      </c>
      <c r="D636" s="162">
        <f>[1]AA!D36</f>
        <v>0</v>
      </c>
      <c r="E636" s="162">
        <f>[1]AA!E36</f>
        <v>0</v>
      </c>
      <c r="F636" s="162">
        <f>[1]AA!F36</f>
        <v>0</v>
      </c>
      <c r="G636" s="162">
        <f>[1]AA!G36</f>
        <v>0</v>
      </c>
      <c r="H636" s="162">
        <f>[1]AA!H36</f>
        <v>0</v>
      </c>
      <c r="I636" s="96" t="e">
        <f>G636/D636</f>
        <v>#DIV/0!</v>
      </c>
    </row>
    <row r="637" spans="1:9" hidden="1" x14ac:dyDescent="0.2">
      <c r="A637" s="181"/>
      <c r="B637" s="179"/>
      <c r="C637" s="161" t="str">
        <f>[3]H4!C149</f>
        <v>2.6.2.2.2 - 2.COSTO DE CONSTRUCCION POR CONTRATA</v>
      </c>
      <c r="D637" s="163">
        <f>[3]H4!D149</f>
        <v>0</v>
      </c>
      <c r="E637" s="163">
        <f>[3]H4!E149</f>
        <v>0</v>
      </c>
      <c r="F637" s="163">
        <f>[3]H4!F149</f>
        <v>0</v>
      </c>
      <c r="G637" s="163">
        <f>[3]H4!G149</f>
        <v>0</v>
      </c>
      <c r="H637" s="163">
        <f>[3]H4!H149</f>
        <v>0</v>
      </c>
      <c r="I637" s="96"/>
    </row>
    <row r="638" spans="1:9" ht="38.25" x14ac:dyDescent="0.2">
      <c r="A638" s="180">
        <f>SUBTOTAL(103,$B$10:B640)</f>
        <v>185</v>
      </c>
      <c r="B638" s="178">
        <v>48</v>
      </c>
      <c r="C638" s="161" t="s">
        <v>920</v>
      </c>
      <c r="D638" s="162">
        <f>[1]AA!D37</f>
        <v>250000</v>
      </c>
      <c r="E638" s="162">
        <f>[1]AA!E37</f>
        <v>250000</v>
      </c>
      <c r="F638" s="162">
        <f>[1]AA!F37</f>
        <v>0</v>
      </c>
      <c r="G638" s="162">
        <f>[1]AA!G37</f>
        <v>240998.16</v>
      </c>
      <c r="H638" s="162">
        <f>[1]AA!H37</f>
        <v>9001.8399999999965</v>
      </c>
      <c r="I638" s="96">
        <f>G638/D638</f>
        <v>0.96399264000000007</v>
      </c>
    </row>
    <row r="639" spans="1:9" x14ac:dyDescent="0.2">
      <c r="A639" s="188"/>
      <c r="B639" s="187"/>
      <c r="C639" s="161" t="str">
        <f>[3]H4!C153</f>
        <v>2.6.2.2.2 - 2.COSTO DE CONSTRUCCION POR CONTRATA</v>
      </c>
      <c r="D639" s="163">
        <f>[3]H4!D153</f>
        <v>0</v>
      </c>
      <c r="E639" s="163">
        <f>[3]H4!E153</f>
        <v>0</v>
      </c>
      <c r="F639" s="163">
        <f>[3]H4!F153</f>
        <v>0</v>
      </c>
      <c r="G639" s="163">
        <f>[3]H4!G153</f>
        <v>0</v>
      </c>
      <c r="H639" s="163">
        <f>[3]H4!H153</f>
        <v>0</v>
      </c>
      <c r="I639" s="96"/>
    </row>
    <row r="640" spans="1:9" x14ac:dyDescent="0.2">
      <c r="A640" s="181"/>
      <c r="B640" s="179"/>
      <c r="C640" s="161" t="str">
        <f>[3]H4!C154</f>
        <v>2.6.8.1.3 - 1.ELABORACION DE EXPEDIENTES TECNICOS</v>
      </c>
      <c r="D640" s="163">
        <f>[3]H4!D154</f>
        <v>250000</v>
      </c>
      <c r="E640" s="163">
        <f>[3]H4!E154</f>
        <v>250000</v>
      </c>
      <c r="F640" s="163">
        <f>[3]H4!F154</f>
        <v>0</v>
      </c>
      <c r="G640" s="163">
        <f>[3]H4!G154</f>
        <v>240998.16</v>
      </c>
      <c r="H640" s="163">
        <f>[3]H4!H154</f>
        <v>9001.8399999999965</v>
      </c>
      <c r="I640" s="96"/>
    </row>
    <row r="641" spans="1:9" ht="38.25" x14ac:dyDescent="0.2">
      <c r="A641" s="180">
        <f>SUBTOTAL(103,$B$10:B643)</f>
        <v>186</v>
      </c>
      <c r="B641" s="178">
        <v>49</v>
      </c>
      <c r="C641" s="161" t="s">
        <v>838</v>
      </c>
      <c r="D641" s="162">
        <f>[1]AA!D38</f>
        <v>100000</v>
      </c>
      <c r="E641" s="162">
        <f>[1]AA!E38</f>
        <v>98287</v>
      </c>
      <c r="F641" s="162">
        <f>[1]AA!F38</f>
        <v>1713</v>
      </c>
      <c r="G641" s="162">
        <f>[1]AA!G38</f>
        <v>0</v>
      </c>
      <c r="H641" s="162">
        <f>[1]AA!H38</f>
        <v>100000</v>
      </c>
      <c r="I641" s="96">
        <f>G641/D641</f>
        <v>0</v>
      </c>
    </row>
    <row r="642" spans="1:9" x14ac:dyDescent="0.2">
      <c r="A642" s="188"/>
      <c r="B642" s="187"/>
      <c r="C642" s="161" t="str">
        <f>[3]H4!C157</f>
        <v>2.6.2.2.2 - 2.COSTO DE CONSTRUCCION POR CONTRATA</v>
      </c>
      <c r="D642" s="163">
        <f>[3]H4!D157</f>
        <v>0</v>
      </c>
      <c r="E642" s="163">
        <f>[3]H4!E157</f>
        <v>0</v>
      </c>
      <c r="F642" s="163">
        <f>[3]H4!F157</f>
        <v>0</v>
      </c>
      <c r="G642" s="163">
        <f>[3]H4!G157</f>
        <v>0</v>
      </c>
      <c r="H642" s="163">
        <f>[3]H4!H157</f>
        <v>0</v>
      </c>
      <c r="I642" s="96"/>
    </row>
    <row r="643" spans="1:9" x14ac:dyDescent="0.2">
      <c r="A643" s="181"/>
      <c r="B643" s="179"/>
      <c r="C643" s="161" t="str">
        <f>[3]H4!C158</f>
        <v>2.6.8.1.3 - 1.ELABORACION DE EXPEDIENTES TECNICOS</v>
      </c>
      <c r="D643" s="163">
        <f>[3]H4!D158</f>
        <v>100000</v>
      </c>
      <c r="E643" s="163">
        <f>[3]H4!E158</f>
        <v>98287</v>
      </c>
      <c r="F643" s="163">
        <f>[3]H4!F158</f>
        <v>1713</v>
      </c>
      <c r="G643" s="163">
        <f>[3]H4!G158</f>
        <v>0</v>
      </c>
      <c r="H643" s="163">
        <f>[3]H4!H158</f>
        <v>100000</v>
      </c>
      <c r="I643" s="96"/>
    </row>
    <row r="644" spans="1:9" ht="38.25" x14ac:dyDescent="0.2">
      <c r="A644" s="180">
        <f>SUBTOTAL(103,$B$10:B646)</f>
        <v>187</v>
      </c>
      <c r="B644" s="178">
        <v>50</v>
      </c>
      <c r="C644" s="161" t="s">
        <v>921</v>
      </c>
      <c r="D644" s="162">
        <f>[1]AA!D39</f>
        <v>350214</v>
      </c>
      <c r="E644" s="162">
        <f>[1]AA!E39</f>
        <v>350214</v>
      </c>
      <c r="F644" s="162">
        <f>[1]AA!F39</f>
        <v>0</v>
      </c>
      <c r="G644" s="162">
        <f>[1]AA!G39</f>
        <v>244639.06</v>
      </c>
      <c r="H644" s="162">
        <f>[1]AA!H39</f>
        <v>105574.94</v>
      </c>
      <c r="I644" s="96">
        <f>G644/D644</f>
        <v>0.69854163454345053</v>
      </c>
    </row>
    <row r="645" spans="1:9" x14ac:dyDescent="0.2">
      <c r="A645" s="188"/>
      <c r="B645" s="187"/>
      <c r="C645" s="161" t="str">
        <f>[3]H4!C161</f>
        <v>2.6.2.2.2 - 2.COSTO DE CONSTRUCCION POR CONTRATA</v>
      </c>
      <c r="D645" s="163">
        <f>[3]H4!D161</f>
        <v>0</v>
      </c>
      <c r="E645" s="163">
        <f>[3]H4!E161</f>
        <v>0</v>
      </c>
      <c r="F645" s="163">
        <f>[3]H4!F161</f>
        <v>0</v>
      </c>
      <c r="G645" s="163">
        <f>[3]H4!G161</f>
        <v>0</v>
      </c>
      <c r="H645" s="163">
        <f>[3]H4!H161</f>
        <v>0</v>
      </c>
      <c r="I645" s="96"/>
    </row>
    <row r="646" spans="1:9" x14ac:dyDescent="0.2">
      <c r="A646" s="181"/>
      <c r="B646" s="179"/>
      <c r="C646" s="161" t="str">
        <f>[3]H4!C162</f>
        <v>2.6.8.1.3 - 1.ELABORACION DE EXPEDIENTES TECNICOS</v>
      </c>
      <c r="D646" s="163">
        <f>[3]H4!D162</f>
        <v>350214</v>
      </c>
      <c r="E646" s="163">
        <f>[3]H4!E162</f>
        <v>350214</v>
      </c>
      <c r="F646" s="163">
        <f>[3]H4!F162</f>
        <v>0</v>
      </c>
      <c r="G646" s="163">
        <f>[3]H4!G162</f>
        <v>244639.06</v>
      </c>
      <c r="H646" s="163">
        <f>[3]H4!H162</f>
        <v>105574.94</v>
      </c>
      <c r="I646" s="96"/>
    </row>
    <row r="647" spans="1:9" ht="51" hidden="1" x14ac:dyDescent="0.2">
      <c r="A647" s="180">
        <f>SUBTOTAL(103,$B$10:B649)</f>
        <v>187</v>
      </c>
      <c r="B647" s="178">
        <v>51</v>
      </c>
      <c r="C647" s="161" t="s">
        <v>922</v>
      </c>
      <c r="D647" s="162">
        <f>[1]AA!D40</f>
        <v>0</v>
      </c>
      <c r="E647" s="162">
        <f>[1]AA!E40</f>
        <v>0</v>
      </c>
      <c r="F647" s="162">
        <f>[1]AA!F40</f>
        <v>0</v>
      </c>
      <c r="G647" s="162">
        <f>[1]AA!G40</f>
        <v>0</v>
      </c>
      <c r="H647" s="162">
        <f>[1]AA!H40</f>
        <v>0</v>
      </c>
      <c r="I647" s="96" t="e">
        <f>G647/D647</f>
        <v>#DIV/0!</v>
      </c>
    </row>
    <row r="648" spans="1:9" hidden="1" x14ac:dyDescent="0.2">
      <c r="A648" s="188"/>
      <c r="B648" s="187"/>
      <c r="C648" s="161" t="str">
        <f>[3]H4!C165</f>
        <v>2.6.2.2.2 - 2.COSTO DE CONSTRUCCION POR CONTRATA</v>
      </c>
      <c r="D648" s="163">
        <f>[3]H4!D165</f>
        <v>0</v>
      </c>
      <c r="E648" s="163">
        <f>[3]H4!E165</f>
        <v>0</v>
      </c>
      <c r="F648" s="163">
        <f>[3]H4!F165</f>
        <v>0</v>
      </c>
      <c r="G648" s="163">
        <f>[3]H4!G165</f>
        <v>0</v>
      </c>
      <c r="H648" s="163">
        <f>[3]H4!H165</f>
        <v>0</v>
      </c>
      <c r="I648" s="96"/>
    </row>
    <row r="649" spans="1:9" hidden="1" x14ac:dyDescent="0.2">
      <c r="A649" s="181"/>
      <c r="B649" s="179"/>
      <c r="C649" s="161" t="str">
        <f>[3]H4!C166</f>
        <v>2.6.8.1.3 - 1.ELABORACION DE EXPEDIENTES TECNICOS</v>
      </c>
      <c r="D649" s="163">
        <f>[3]H4!D166</f>
        <v>0</v>
      </c>
      <c r="E649" s="163">
        <f>[3]H4!E166</f>
        <v>0</v>
      </c>
      <c r="F649" s="163">
        <f>[3]H4!F166</f>
        <v>0</v>
      </c>
      <c r="G649" s="163">
        <f>[3]H4!G166</f>
        <v>0</v>
      </c>
      <c r="H649" s="163">
        <f>[3]H4!H166</f>
        <v>0</v>
      </c>
      <c r="I649" s="96"/>
    </row>
    <row r="650" spans="1:9" ht="63.75" x14ac:dyDescent="0.2">
      <c r="A650" s="180">
        <f>SUBTOTAL(103,$B$10:B652)</f>
        <v>188</v>
      </c>
      <c r="B650" s="178">
        <v>52</v>
      </c>
      <c r="C650" s="161" t="s">
        <v>874</v>
      </c>
      <c r="D650" s="162">
        <f>[1]AA!D41</f>
        <v>126982</v>
      </c>
      <c r="E650" s="162">
        <f>[1]AA!E41</f>
        <v>126982</v>
      </c>
      <c r="F650" s="162">
        <f>[1]AA!F41</f>
        <v>0</v>
      </c>
      <c r="G650" s="162">
        <f>[1]AA!G41</f>
        <v>120317.20999999999</v>
      </c>
      <c r="H650" s="162">
        <f>[1]AA!H41</f>
        <v>6664.7900000000081</v>
      </c>
      <c r="I650" s="96">
        <f>G650/D650</f>
        <v>0.9475138996078184</v>
      </c>
    </row>
    <row r="651" spans="1:9" x14ac:dyDescent="0.2">
      <c r="A651" s="188"/>
      <c r="B651" s="187"/>
      <c r="C651" s="161" t="str">
        <f>[3]H4!C169</f>
        <v>2.6.2.2.2 - 2.COSTO DE CONSTRUCCION POR CONTRATA</v>
      </c>
      <c r="D651" s="163">
        <f>[3]H4!D169</f>
        <v>0</v>
      </c>
      <c r="E651" s="163">
        <f>[3]H4!E169</f>
        <v>0</v>
      </c>
      <c r="F651" s="163">
        <f>[3]H4!F169</f>
        <v>0</v>
      </c>
      <c r="G651" s="163">
        <f>[3]H4!G169</f>
        <v>0</v>
      </c>
      <c r="H651" s="163">
        <f>[3]H4!H169</f>
        <v>0</v>
      </c>
      <c r="I651" s="96"/>
    </row>
    <row r="652" spans="1:9" x14ac:dyDescent="0.2">
      <c r="A652" s="181"/>
      <c r="B652" s="179"/>
      <c r="C652" s="161" t="str">
        <f>[3]H4!C170</f>
        <v>2.6.8.1.3 - 1.ELABORACION DE EXPEDIENTES TECNICOS</v>
      </c>
      <c r="D652" s="163">
        <f>[3]H4!D170</f>
        <v>126982</v>
      </c>
      <c r="E652" s="163">
        <f>[3]H4!E170</f>
        <v>126982</v>
      </c>
      <c r="F652" s="163">
        <f>[3]H4!F170</f>
        <v>0</v>
      </c>
      <c r="G652" s="163">
        <f>[3]H4!G170</f>
        <v>120317.20999999999</v>
      </c>
      <c r="H652" s="163">
        <f>[3]H4!H170</f>
        <v>6664.7900000000081</v>
      </c>
      <c r="I652" s="96"/>
    </row>
    <row r="653" spans="1:9" ht="51" hidden="1" x14ac:dyDescent="0.2">
      <c r="A653" s="180">
        <f>SUBTOTAL(103,$B$10:B655)</f>
        <v>188</v>
      </c>
      <c r="B653" s="178">
        <v>53</v>
      </c>
      <c r="C653" s="161" t="s">
        <v>942</v>
      </c>
      <c r="D653" s="162">
        <f>[1]AA!D42</f>
        <v>0</v>
      </c>
      <c r="E653" s="162">
        <f>[1]AA!E42</f>
        <v>0</v>
      </c>
      <c r="F653" s="162">
        <f>[1]AA!F42</f>
        <v>0</v>
      </c>
      <c r="G653" s="162">
        <f>[1]AA!G42</f>
        <v>0</v>
      </c>
      <c r="H653" s="162">
        <f>[1]AA!H42</f>
        <v>0</v>
      </c>
      <c r="I653" s="96" t="e">
        <f>G653/D653</f>
        <v>#DIV/0!</v>
      </c>
    </row>
    <row r="654" spans="1:9" hidden="1" x14ac:dyDescent="0.2">
      <c r="A654" s="188"/>
      <c r="B654" s="187"/>
      <c r="C654" s="161" t="str">
        <f>[3]H4!C173</f>
        <v>2.6.2.2.2 - 2.COSTO DE CONSTRUCCION POR CONTRATA</v>
      </c>
      <c r="D654" s="163">
        <f>[3]H4!D173</f>
        <v>0</v>
      </c>
      <c r="E654" s="163">
        <f>[3]H4!E173</f>
        <v>0</v>
      </c>
      <c r="F654" s="163">
        <f>[3]H4!F173</f>
        <v>0</v>
      </c>
      <c r="G654" s="163">
        <f>[3]H4!G173</f>
        <v>0</v>
      </c>
      <c r="H654" s="163">
        <f>[3]H4!H173</f>
        <v>0</v>
      </c>
      <c r="I654" s="96"/>
    </row>
    <row r="655" spans="1:9" hidden="1" x14ac:dyDescent="0.2">
      <c r="A655" s="181"/>
      <c r="B655" s="179"/>
      <c r="C655" s="161" t="str">
        <f>[3]H4!C174</f>
        <v>2.6.8.1.3 - 1.ELABORACION DE EXPEDIENTES TECNICOS</v>
      </c>
      <c r="D655" s="163">
        <f>[3]H4!D174</f>
        <v>0</v>
      </c>
      <c r="E655" s="163">
        <f>[3]H4!E174</f>
        <v>0</v>
      </c>
      <c r="F655" s="163">
        <f>[3]H4!F174</f>
        <v>0</v>
      </c>
      <c r="G655" s="163">
        <f>[3]H4!G174</f>
        <v>0</v>
      </c>
      <c r="H655" s="163">
        <f>[3]H4!H174</f>
        <v>0</v>
      </c>
      <c r="I655" s="96"/>
    </row>
    <row r="656" spans="1:9" ht="38.25" x14ac:dyDescent="0.2">
      <c r="A656" s="180">
        <f>SUBTOTAL(103,$B$10:B658)</f>
        <v>189</v>
      </c>
      <c r="B656" s="178">
        <v>54</v>
      </c>
      <c r="C656" s="161" t="s">
        <v>886</v>
      </c>
      <c r="D656" s="162">
        <f>[1]AA!D43</f>
        <v>112244</v>
      </c>
      <c r="E656" s="162">
        <f>[1]AA!E43</f>
        <v>112243.56</v>
      </c>
      <c r="F656" s="162">
        <f>[1]AA!F43</f>
        <v>0.44000000000232831</v>
      </c>
      <c r="G656" s="162">
        <f>[1]AA!G43</f>
        <v>58311.839999999997</v>
      </c>
      <c r="H656" s="162">
        <f>[1]AA!H43</f>
        <v>53932.160000000003</v>
      </c>
      <c r="I656" s="96">
        <f>G656/D656</f>
        <v>0.5195096397134813</v>
      </c>
    </row>
    <row r="657" spans="1:9" x14ac:dyDescent="0.2">
      <c r="A657" s="188"/>
      <c r="B657" s="187"/>
      <c r="C657" s="161" t="str">
        <f>[3]H4!C177</f>
        <v>2.6.2.2.2 - 2.COSTO DE CONSTRUCCION POR CONTRATA</v>
      </c>
      <c r="D657" s="163">
        <f>[3]H4!D177</f>
        <v>0</v>
      </c>
      <c r="E657" s="163">
        <f>[3]H4!E177</f>
        <v>0</v>
      </c>
      <c r="F657" s="163">
        <f>[3]H4!F177</f>
        <v>0</v>
      </c>
      <c r="G657" s="163">
        <f>[3]H4!G177</f>
        <v>0</v>
      </c>
      <c r="H657" s="163">
        <f>[3]H4!H177</f>
        <v>0</v>
      </c>
      <c r="I657" s="96"/>
    </row>
    <row r="658" spans="1:9" x14ac:dyDescent="0.2">
      <c r="A658" s="181"/>
      <c r="B658" s="179"/>
      <c r="C658" s="161" t="str">
        <f>[3]H4!C178</f>
        <v>2.6.8.1.3 - 1.ELABORACION DE EXPEDIENTES TECNICOS</v>
      </c>
      <c r="D658" s="163">
        <f>[3]H4!D178</f>
        <v>112244</v>
      </c>
      <c r="E658" s="163">
        <f>[3]H4!E178</f>
        <v>112243.56</v>
      </c>
      <c r="F658" s="163">
        <f>[3]H4!F178</f>
        <v>0.44000000000232831</v>
      </c>
      <c r="G658" s="163">
        <f>[3]H4!G178</f>
        <v>58311.839999999997</v>
      </c>
      <c r="H658" s="163">
        <f>[3]H4!H178</f>
        <v>53932.160000000003</v>
      </c>
      <c r="I658" s="96"/>
    </row>
    <row r="659" spans="1:9" ht="63.75" hidden="1" x14ac:dyDescent="0.2">
      <c r="A659" s="180">
        <f>SUBTOTAL(103,$B$8:B659)</f>
        <v>189</v>
      </c>
      <c r="B659" s="178"/>
      <c r="C659" s="166" t="s">
        <v>888</v>
      </c>
      <c r="D659" s="162"/>
      <c r="E659" s="162"/>
      <c r="F659" s="162"/>
      <c r="G659" s="162"/>
      <c r="H659" s="162"/>
      <c r="I659" s="96" t="e">
        <f>G659/D659</f>
        <v>#DIV/0!</v>
      </c>
    </row>
    <row r="660" spans="1:9" hidden="1" x14ac:dyDescent="0.2">
      <c r="A660" s="181"/>
      <c r="B660" s="179"/>
      <c r="C660" s="166" t="s">
        <v>117</v>
      </c>
      <c r="D660" s="162"/>
      <c r="E660" s="162"/>
      <c r="F660" s="162"/>
      <c r="G660" s="162"/>
      <c r="H660" s="162"/>
      <c r="I660" s="96"/>
    </row>
    <row r="661" spans="1:9" ht="51" x14ac:dyDescent="0.2">
      <c r="A661" s="180">
        <f>SUBTOTAL(103,$B$10:B663)</f>
        <v>190</v>
      </c>
      <c r="B661" s="178">
        <v>55</v>
      </c>
      <c r="C661" s="161" t="s">
        <v>891</v>
      </c>
      <c r="D661" s="162">
        <f>[1]AA!D44</f>
        <v>164979</v>
      </c>
      <c r="E661" s="162">
        <f>[1]AA!E44</f>
        <v>164373</v>
      </c>
      <c r="F661" s="162">
        <f>[1]AA!F44</f>
        <v>606</v>
      </c>
      <c r="G661" s="162">
        <f>[1]AA!G44</f>
        <v>152477.03999999998</v>
      </c>
      <c r="H661" s="162">
        <f>[1]AA!H44</f>
        <v>12501.960000000021</v>
      </c>
      <c r="I661" s="96">
        <f>G661/D661</f>
        <v>0.92422090084192521</v>
      </c>
    </row>
    <row r="662" spans="1:9" x14ac:dyDescent="0.2">
      <c r="A662" s="188"/>
      <c r="B662" s="187"/>
      <c r="C662" s="161" t="str">
        <f>[3]H4!C181</f>
        <v>2.6.2.2.2 - 2.COSTO DE CONSTRUCCION POR CONTRATA</v>
      </c>
      <c r="D662" s="163">
        <f>[3]H4!D181</f>
        <v>0</v>
      </c>
      <c r="E662" s="163">
        <f>[3]H4!E181</f>
        <v>0</v>
      </c>
      <c r="F662" s="163">
        <f>[3]H4!F181</f>
        <v>0</v>
      </c>
      <c r="G662" s="163">
        <f>[3]H4!G181</f>
        <v>0</v>
      </c>
      <c r="H662" s="163">
        <f>[3]H4!H181</f>
        <v>0</v>
      </c>
      <c r="I662" s="96"/>
    </row>
    <row r="663" spans="1:9" x14ac:dyDescent="0.2">
      <c r="A663" s="181"/>
      <c r="B663" s="179"/>
      <c r="C663" s="161" t="str">
        <f>[3]H4!C182</f>
        <v>2.6.8.1.3 - 1.ELABORACION DE EXPEDIENTES TECNICOS</v>
      </c>
      <c r="D663" s="163">
        <f>[3]H4!D182</f>
        <v>164979</v>
      </c>
      <c r="E663" s="163">
        <f>[3]H4!E182</f>
        <v>164373</v>
      </c>
      <c r="F663" s="163">
        <f>[3]H4!F182</f>
        <v>606</v>
      </c>
      <c r="G663" s="163">
        <f>[3]H4!G182</f>
        <v>152477.03999999998</v>
      </c>
      <c r="H663" s="163">
        <f>[3]H4!H182</f>
        <v>12501.960000000021</v>
      </c>
      <c r="I663" s="96"/>
    </row>
    <row r="664" spans="1:9" ht="51" x14ac:dyDescent="0.2">
      <c r="A664" s="180">
        <f>SUBTOTAL(103,$B$10:B666)</f>
        <v>191</v>
      </c>
      <c r="B664" s="178">
        <v>56</v>
      </c>
      <c r="C664" s="161" t="s">
        <v>869</v>
      </c>
      <c r="D664" s="162">
        <f>[1]AA!D45</f>
        <v>99897</v>
      </c>
      <c r="E664" s="162">
        <f>[1]AA!E45</f>
        <v>99879.63</v>
      </c>
      <c r="F664" s="162">
        <f>[1]AA!F45</f>
        <v>17.369999999995343</v>
      </c>
      <c r="G664" s="162">
        <f>[1]AA!G45</f>
        <v>91645.049999999988</v>
      </c>
      <c r="H664" s="162">
        <f>[1]AA!H45</f>
        <v>8251.9500000000116</v>
      </c>
      <c r="I664" s="96">
        <f>G664/D664</f>
        <v>0.91739541727979812</v>
      </c>
    </row>
    <row r="665" spans="1:9" x14ac:dyDescent="0.2">
      <c r="A665" s="188"/>
      <c r="B665" s="187"/>
      <c r="C665" s="161" t="str">
        <f>[3]H4!C185</f>
        <v>2.6.2.2.2 - 2.COSTO DE CONSTRUCCION POR CONTRATA</v>
      </c>
      <c r="D665" s="163">
        <f>[3]H4!D185</f>
        <v>0</v>
      </c>
      <c r="E665" s="163">
        <f>[3]H4!E185</f>
        <v>0</v>
      </c>
      <c r="F665" s="163">
        <f>[3]H4!F185</f>
        <v>0</v>
      </c>
      <c r="G665" s="163">
        <f>[3]H4!G185</f>
        <v>0</v>
      </c>
      <c r="H665" s="163">
        <f>[3]H4!H185</f>
        <v>0</v>
      </c>
      <c r="I665" s="96"/>
    </row>
    <row r="666" spans="1:9" x14ac:dyDescent="0.2">
      <c r="A666" s="181"/>
      <c r="B666" s="179"/>
      <c r="C666" s="161" t="str">
        <f>[3]H4!C186</f>
        <v>2.6.8.1.3 - 1.ELABORACION DE EXPEDIENTES TECNICOS</v>
      </c>
      <c r="D666" s="163">
        <f>[3]H4!D186</f>
        <v>99897</v>
      </c>
      <c r="E666" s="163">
        <f>[3]H4!E186</f>
        <v>99879.63</v>
      </c>
      <c r="F666" s="163">
        <f>[3]H4!F186</f>
        <v>17.369999999995343</v>
      </c>
      <c r="G666" s="163">
        <f>[3]H4!G186</f>
        <v>91645.049999999988</v>
      </c>
      <c r="H666" s="163">
        <f>[3]H4!H186</f>
        <v>8251.9500000000116</v>
      </c>
      <c r="I666" s="96"/>
    </row>
    <row r="667" spans="1:9" ht="51" x14ac:dyDescent="0.2">
      <c r="A667" s="180">
        <f>SUBTOTAL(103,$B$10:B669)</f>
        <v>192</v>
      </c>
      <c r="B667" s="178">
        <v>57</v>
      </c>
      <c r="C667" s="161" t="s">
        <v>923</v>
      </c>
      <c r="D667" s="162">
        <f>[1]AA!D46</f>
        <v>250000</v>
      </c>
      <c r="E667" s="162">
        <f>[1]AA!E46</f>
        <v>250000</v>
      </c>
      <c r="F667" s="162">
        <f>[1]AA!F46</f>
        <v>0</v>
      </c>
      <c r="G667" s="162">
        <f>[1]AA!G46</f>
        <v>165235.16999999998</v>
      </c>
      <c r="H667" s="162">
        <f>[1]AA!H46</f>
        <v>84764.830000000016</v>
      </c>
      <c r="I667" s="96">
        <f>G667/D667</f>
        <v>0.66094067999999995</v>
      </c>
    </row>
    <row r="668" spans="1:9" x14ac:dyDescent="0.2">
      <c r="A668" s="188"/>
      <c r="B668" s="187"/>
      <c r="C668" s="161" t="str">
        <f>[3]H4!C189</f>
        <v>2.6.2.2.2 - 2.COSTO DE CONSTRUCCION POR CONTRATA</v>
      </c>
      <c r="D668" s="163">
        <f>[3]H4!D189</f>
        <v>0</v>
      </c>
      <c r="E668" s="163">
        <f>[3]H4!E189</f>
        <v>0</v>
      </c>
      <c r="F668" s="163">
        <f>[3]H4!F189</f>
        <v>0</v>
      </c>
      <c r="G668" s="163">
        <f>[3]H4!G189</f>
        <v>0</v>
      </c>
      <c r="H668" s="163">
        <f>[3]H4!H189</f>
        <v>0</v>
      </c>
      <c r="I668" s="96"/>
    </row>
    <row r="669" spans="1:9" x14ac:dyDescent="0.2">
      <c r="A669" s="181"/>
      <c r="B669" s="179"/>
      <c r="C669" s="161" t="str">
        <f>[3]H4!C190</f>
        <v>2.6.8.1.3 - 1.ELABORACION DE EXPEDIENTES TECNICOS</v>
      </c>
      <c r="D669" s="163">
        <f>[3]H4!D190</f>
        <v>250000</v>
      </c>
      <c r="E669" s="163">
        <f>[3]H4!E190</f>
        <v>250000</v>
      </c>
      <c r="F669" s="163">
        <f>[3]H4!F190</f>
        <v>0</v>
      </c>
      <c r="G669" s="163">
        <f>[3]H4!G190</f>
        <v>165235.16999999998</v>
      </c>
      <c r="H669" s="163">
        <f>[3]H4!H190</f>
        <v>84764.830000000016</v>
      </c>
      <c r="I669" s="96"/>
    </row>
    <row r="670" spans="1:9" ht="51" hidden="1" x14ac:dyDescent="0.2">
      <c r="A670" s="180">
        <f>SUBTOTAL(103,$B$10:B672)</f>
        <v>192</v>
      </c>
      <c r="B670" s="178">
        <v>58</v>
      </c>
      <c r="C670" s="161" t="s">
        <v>924</v>
      </c>
      <c r="D670" s="162">
        <f>[1]AA!D47</f>
        <v>0</v>
      </c>
      <c r="E670" s="162">
        <f>[1]AA!E47</f>
        <v>0</v>
      </c>
      <c r="F670" s="162">
        <f>[1]AA!F47</f>
        <v>0</v>
      </c>
      <c r="G670" s="162">
        <f>[1]AA!G47</f>
        <v>0</v>
      </c>
      <c r="H670" s="162">
        <f>[1]AA!H47</f>
        <v>0</v>
      </c>
      <c r="I670" s="96" t="e">
        <f>G670/D670</f>
        <v>#DIV/0!</v>
      </c>
    </row>
    <row r="671" spans="1:9" hidden="1" x14ac:dyDescent="0.2">
      <c r="A671" s="188"/>
      <c r="B671" s="187"/>
      <c r="C671" s="161" t="str">
        <f>[3]H4!C193</f>
        <v>2.6.2.2.2 - 2.COSTO DE CONSTRUCCION POR CONTRATA</v>
      </c>
      <c r="D671" s="163">
        <f>[3]H4!D193</f>
        <v>0</v>
      </c>
      <c r="E671" s="163">
        <f>[3]H4!E193</f>
        <v>0</v>
      </c>
      <c r="F671" s="163">
        <f>[3]H4!F193</f>
        <v>0</v>
      </c>
      <c r="G671" s="163">
        <f>[3]H4!G193</f>
        <v>0</v>
      </c>
      <c r="H671" s="163">
        <f>[3]H4!H193</f>
        <v>0</v>
      </c>
      <c r="I671" s="96"/>
    </row>
    <row r="672" spans="1:9" hidden="1" x14ac:dyDescent="0.2">
      <c r="A672" s="181"/>
      <c r="B672" s="179"/>
      <c r="C672" s="161" t="str">
        <f>[3]H4!C194</f>
        <v>2.6.8.1.3 - 1.ELABORACION DE EXPEDIENTES TECNICOS</v>
      </c>
      <c r="D672" s="163">
        <f>[3]H4!D194</f>
        <v>0</v>
      </c>
      <c r="E672" s="163">
        <f>[3]H4!E194</f>
        <v>0</v>
      </c>
      <c r="F672" s="163">
        <f>[3]H4!F194</f>
        <v>0</v>
      </c>
      <c r="G672" s="163">
        <f>[3]H4!G194</f>
        <v>0</v>
      </c>
      <c r="H672" s="163">
        <f>[3]H4!H194</f>
        <v>0</v>
      </c>
      <c r="I672" s="96"/>
    </row>
    <row r="673" spans="1:9" ht="51" x14ac:dyDescent="0.2">
      <c r="A673" s="180">
        <f>SUBTOTAL(103,$B$10:B675)</f>
        <v>193</v>
      </c>
      <c r="B673" s="178">
        <v>81</v>
      </c>
      <c r="C673" s="161" t="s">
        <v>278</v>
      </c>
      <c r="D673" s="162">
        <f>[1]AA!D64</f>
        <v>100000</v>
      </c>
      <c r="E673" s="162">
        <f>[1]AA!E64</f>
        <v>50000</v>
      </c>
      <c r="F673" s="162">
        <f>[1]AA!F64</f>
        <v>50000</v>
      </c>
      <c r="G673" s="162">
        <f>[1]AA!G64</f>
        <v>0</v>
      </c>
      <c r="H673" s="162">
        <f>[1]AA!H64</f>
        <v>100000</v>
      </c>
      <c r="I673" s="96">
        <f>G673/D673</f>
        <v>0</v>
      </c>
    </row>
    <row r="674" spans="1:9" x14ac:dyDescent="0.2">
      <c r="A674" s="188"/>
      <c r="B674" s="187"/>
      <c r="C674" s="161" t="str">
        <f>[3]H4!C209</f>
        <v>2.6.2.2.2 - 2.COSTO DE CONSTRUCCION POR CONTRATA</v>
      </c>
      <c r="D674" s="163">
        <f>[3]H4!D209</f>
        <v>0</v>
      </c>
      <c r="E674" s="163">
        <f>[3]H4!E209</f>
        <v>0</v>
      </c>
      <c r="F674" s="163">
        <f>[3]H4!F209</f>
        <v>0</v>
      </c>
      <c r="G674" s="163">
        <f>[3]H4!G209</f>
        <v>0</v>
      </c>
      <c r="H674" s="163">
        <f>[3]H4!H209</f>
        <v>0</v>
      </c>
      <c r="I674" s="96"/>
    </row>
    <row r="675" spans="1:9" x14ac:dyDescent="0.2">
      <c r="A675" s="181"/>
      <c r="B675" s="179"/>
      <c r="C675" s="161" t="str">
        <f>[3]H4!C210</f>
        <v>2.6.8.1.3 - 1.ELABORACION DE EXPEDIENTES TECNICOS</v>
      </c>
      <c r="D675" s="163">
        <f>[3]H4!D210</f>
        <v>100000</v>
      </c>
      <c r="E675" s="163">
        <f>[3]H4!E210</f>
        <v>50000</v>
      </c>
      <c r="F675" s="163">
        <f>[3]H4!F210</f>
        <v>50000</v>
      </c>
      <c r="G675" s="163">
        <f>[3]H4!G210</f>
        <v>0</v>
      </c>
      <c r="H675" s="163">
        <f>[3]H4!H210</f>
        <v>100000</v>
      </c>
      <c r="I675" s="96"/>
    </row>
    <row r="676" spans="1:9" ht="51" x14ac:dyDescent="0.2">
      <c r="A676" s="180">
        <f>SUBTOTAL(103,$B$10:B679)</f>
        <v>194</v>
      </c>
      <c r="B676" s="178">
        <v>82</v>
      </c>
      <c r="C676" s="161" t="s">
        <v>487</v>
      </c>
      <c r="D676" s="162">
        <f>[1]AA!D65</f>
        <v>408761</v>
      </c>
      <c r="E676" s="162">
        <f>[1]AA!E65</f>
        <v>356083</v>
      </c>
      <c r="F676" s="162">
        <f>[1]AA!F65</f>
        <v>52678</v>
      </c>
      <c r="G676" s="162">
        <f>[1]AA!G65</f>
        <v>191885.63</v>
      </c>
      <c r="H676" s="162">
        <f>[1]AA!H65</f>
        <v>216875.37</v>
      </c>
      <c r="I676" s="96">
        <f>G676/D676</f>
        <v>0.46943233331947032</v>
      </c>
    </row>
    <row r="677" spans="1:9" ht="31.5" hidden="1" customHeight="1" x14ac:dyDescent="0.2">
      <c r="A677" s="188"/>
      <c r="B677" s="187"/>
      <c r="C677" s="166" t="s">
        <v>117</v>
      </c>
      <c r="D677" s="162"/>
      <c r="E677" s="162"/>
      <c r="F677" s="162"/>
      <c r="G677" s="162"/>
      <c r="H677" s="162"/>
      <c r="I677" s="96"/>
    </row>
    <row r="678" spans="1:9" x14ac:dyDescent="0.2">
      <c r="A678" s="188"/>
      <c r="B678" s="187"/>
      <c r="C678" s="161" t="str">
        <f>[3]H4!C213</f>
        <v>2.6.2.2.2 - 2.COSTO DE CONSTRUCCION POR CONTRATA</v>
      </c>
      <c r="D678" s="163">
        <f>[3]H4!D213</f>
        <v>0</v>
      </c>
      <c r="E678" s="163">
        <f>[3]H4!E213</f>
        <v>0</v>
      </c>
      <c r="F678" s="163">
        <f>[3]H4!F213</f>
        <v>0</v>
      </c>
      <c r="G678" s="163">
        <f>[3]H4!G213</f>
        <v>0</v>
      </c>
      <c r="H678" s="163">
        <f>[3]H4!H213</f>
        <v>0</v>
      </c>
      <c r="I678" s="96"/>
    </row>
    <row r="679" spans="1:9" x14ac:dyDescent="0.2">
      <c r="A679" s="181"/>
      <c r="B679" s="179"/>
      <c r="C679" s="161" t="str">
        <f>[3]H4!C214</f>
        <v>2.6.8.1.3 - 1.ELABORACION DE EXPEDIENTES TECNICOS</v>
      </c>
      <c r="D679" s="163">
        <f>[3]H4!D214</f>
        <v>408761</v>
      </c>
      <c r="E679" s="163">
        <f>[3]H4!E214</f>
        <v>356083</v>
      </c>
      <c r="F679" s="163">
        <f>[3]H4!F214</f>
        <v>52678</v>
      </c>
      <c r="G679" s="163">
        <f>[3]H4!G214</f>
        <v>191885.63</v>
      </c>
      <c r="H679" s="163">
        <f>[3]H4!H214</f>
        <v>216875.37</v>
      </c>
      <c r="I679" s="96"/>
    </row>
    <row r="680" spans="1:9" ht="51" x14ac:dyDescent="0.2">
      <c r="A680" s="180">
        <f>SUBTOTAL(103,$B$10:B682)</f>
        <v>195</v>
      </c>
      <c r="B680" s="178">
        <v>155</v>
      </c>
      <c r="C680" s="161" t="s">
        <v>376</v>
      </c>
      <c r="D680" s="162">
        <f>[1]AA!D135</f>
        <v>84111</v>
      </c>
      <c r="E680" s="162">
        <f>[1]AA!E135</f>
        <v>84111</v>
      </c>
      <c r="F680" s="162">
        <f>[1]AA!F135</f>
        <v>0</v>
      </c>
      <c r="G680" s="162">
        <f>[1]AA!G135</f>
        <v>81079.12999999999</v>
      </c>
      <c r="H680" s="162">
        <f>[1]AA!H135</f>
        <v>3031.8700000000099</v>
      </c>
      <c r="I680" s="96">
        <f>G680/D680</f>
        <v>0.96395394181498251</v>
      </c>
    </row>
    <row r="681" spans="1:9" x14ac:dyDescent="0.2">
      <c r="A681" s="188"/>
      <c r="B681" s="187"/>
      <c r="C681" s="161" t="str">
        <f>[3]H4!C365</f>
        <v>2.6.2.2.3 - 2.COSTO DE CONSTRUCCION POR CONTRATA</v>
      </c>
      <c r="D681" s="163">
        <f>[3]H4!D365</f>
        <v>0</v>
      </c>
      <c r="E681" s="163">
        <f>[3]H4!E365</f>
        <v>0</v>
      </c>
      <c r="F681" s="163">
        <f>[3]H4!F365</f>
        <v>0</v>
      </c>
      <c r="G681" s="163">
        <f>[3]H4!G365</f>
        <v>0</v>
      </c>
      <c r="H681" s="163">
        <f>[3]H4!H365</f>
        <v>0</v>
      </c>
      <c r="I681" s="96"/>
    </row>
    <row r="682" spans="1:9" x14ac:dyDescent="0.2">
      <c r="A682" s="181"/>
      <c r="B682" s="179"/>
      <c r="C682" s="161" t="str">
        <f>[3]H4!C366</f>
        <v>2.6.8.1.3 - 1.ELABORACION DE EXPEDIENTES TECNICOS</v>
      </c>
      <c r="D682" s="163">
        <f>[3]H4!D366</f>
        <v>84111</v>
      </c>
      <c r="E682" s="163">
        <f>[3]H4!E366</f>
        <v>84111</v>
      </c>
      <c r="F682" s="163">
        <f>[3]H4!F366</f>
        <v>0</v>
      </c>
      <c r="G682" s="163">
        <f>[3]H4!G366</f>
        <v>81079.12999999999</v>
      </c>
      <c r="H682" s="163">
        <f>[3]H4!H366</f>
        <v>3031.8700000000099</v>
      </c>
      <c r="I682" s="96"/>
    </row>
    <row r="683" spans="1:9" ht="51" x14ac:dyDescent="0.2">
      <c r="A683" s="180">
        <f>SUBTOTAL(103,$B$10:B685)</f>
        <v>196</v>
      </c>
      <c r="B683" s="178">
        <v>157</v>
      </c>
      <c r="C683" s="161" t="s">
        <v>370</v>
      </c>
      <c r="D683" s="162">
        <f>[1]AA!D137</f>
        <v>5089845</v>
      </c>
      <c r="E683" s="162">
        <f>[1]AA!E137</f>
        <v>5064673</v>
      </c>
      <c r="F683" s="162">
        <f>[1]AA!F137</f>
        <v>25172</v>
      </c>
      <c r="G683" s="162">
        <f>[1]AA!G137</f>
        <v>0</v>
      </c>
      <c r="H683" s="162">
        <f>[1]AA!H137</f>
        <v>5089845</v>
      </c>
      <c r="I683" s="96">
        <f>G683/D683</f>
        <v>0</v>
      </c>
    </row>
    <row r="684" spans="1:9" x14ac:dyDescent="0.2">
      <c r="A684" s="188"/>
      <c r="B684" s="187"/>
      <c r="C684" s="161" t="str">
        <f>[3]H4!C369</f>
        <v>2.6.2.2.2 - 2.COSTO DE CONSTRUCCION POR CONTRATA</v>
      </c>
      <c r="D684" s="163">
        <f>[3]H4!D369</f>
        <v>5064673</v>
      </c>
      <c r="E684" s="163">
        <f>[3]H4!E369</f>
        <v>5064673</v>
      </c>
      <c r="F684" s="163">
        <f>[3]H4!F369</f>
        <v>0</v>
      </c>
      <c r="G684" s="163">
        <f>[3]H4!G369</f>
        <v>0</v>
      </c>
      <c r="H684" s="163">
        <f>[3]H4!H369</f>
        <v>5064673</v>
      </c>
      <c r="I684" s="96"/>
    </row>
    <row r="685" spans="1:9" x14ac:dyDescent="0.2">
      <c r="A685" s="181"/>
      <c r="B685" s="179"/>
      <c r="C685" s="161" t="str">
        <f>[3]H4!C370</f>
        <v>2.6.8.1.4 - 3.GASTO POR LA CONTRATACION DE SERVICIOS</v>
      </c>
      <c r="D685" s="163">
        <f>[3]H4!D370</f>
        <v>25172</v>
      </c>
      <c r="E685" s="163">
        <f>[3]H4!E370</f>
        <v>0</v>
      </c>
      <c r="F685" s="163">
        <f>[3]H4!F370</f>
        <v>25172</v>
      </c>
      <c r="G685" s="163">
        <f>[3]H4!G370</f>
        <v>0</v>
      </c>
      <c r="H685" s="163">
        <f>[3]H4!H370</f>
        <v>25172</v>
      </c>
      <c r="I685" s="96"/>
    </row>
    <row r="686" spans="1:9" ht="38.25" x14ac:dyDescent="0.2">
      <c r="A686" s="180">
        <f>SUBTOTAL(103,$B$10:B688)</f>
        <v>197</v>
      </c>
      <c r="B686" s="178">
        <v>158</v>
      </c>
      <c r="C686" s="161" t="s">
        <v>388</v>
      </c>
      <c r="D686" s="162">
        <f>[1]AA!D138</f>
        <v>4863</v>
      </c>
      <c r="E686" s="162">
        <f>[1]AA!E138</f>
        <v>4863</v>
      </c>
      <c r="F686" s="162">
        <f>[1]AA!F138</f>
        <v>0</v>
      </c>
      <c r="G686" s="162">
        <f>[1]AA!G138</f>
        <v>0</v>
      </c>
      <c r="H686" s="162">
        <f>[1]AA!H138</f>
        <v>4863</v>
      </c>
      <c r="I686" s="96">
        <f>G686/D686</f>
        <v>0</v>
      </c>
    </row>
    <row r="687" spans="1:9" x14ac:dyDescent="0.2">
      <c r="A687" s="188"/>
      <c r="B687" s="187"/>
      <c r="C687" s="161" t="str">
        <f>[3]H4!C373</f>
        <v>2.6.2.2.2 - 2.COSTO DE CONSTRUCCION POR CONTRATA</v>
      </c>
      <c r="D687" s="163">
        <f>[3]H4!D373</f>
        <v>0</v>
      </c>
      <c r="E687" s="163">
        <f>[3]H4!E373</f>
        <v>0</v>
      </c>
      <c r="F687" s="163">
        <f>[3]H4!F373</f>
        <v>0</v>
      </c>
      <c r="G687" s="163">
        <f>[3]H4!G373</f>
        <v>0</v>
      </c>
      <c r="H687" s="163">
        <f>[3]H4!H373</f>
        <v>0</v>
      </c>
      <c r="I687" s="96"/>
    </row>
    <row r="688" spans="1:9" x14ac:dyDescent="0.2">
      <c r="A688" s="181"/>
      <c r="B688" s="179"/>
      <c r="C688" s="161" t="str">
        <f>[3]H4!C374</f>
        <v>2.6.8.1.3 - 1.ELABORACION DE EXPEDIENTES TECNICOS</v>
      </c>
      <c r="D688" s="163">
        <f>[3]H4!D374</f>
        <v>4863</v>
      </c>
      <c r="E688" s="163">
        <f>[3]H4!E374</f>
        <v>4863</v>
      </c>
      <c r="F688" s="163">
        <f>[3]H4!F374</f>
        <v>0</v>
      </c>
      <c r="G688" s="163">
        <f>[3]H4!G374</f>
        <v>0</v>
      </c>
      <c r="H688" s="163">
        <f>[3]H4!H374</f>
        <v>4863</v>
      </c>
      <c r="I688" s="96"/>
    </row>
    <row r="689" spans="1:9" ht="51" x14ac:dyDescent="0.2">
      <c r="A689" s="180">
        <f>SUBTOTAL(103,$B$10:B691)</f>
        <v>198</v>
      </c>
      <c r="B689" s="178">
        <v>159</v>
      </c>
      <c r="C689" s="161" t="s">
        <v>527</v>
      </c>
      <c r="D689" s="162">
        <f>[1]AA!D139</f>
        <v>5931027</v>
      </c>
      <c r="E689" s="162">
        <f>[1]AA!E139</f>
        <v>5660459</v>
      </c>
      <c r="F689" s="162">
        <f>[1]AA!F139</f>
        <v>270568</v>
      </c>
      <c r="G689" s="162">
        <f>[1]AA!G139</f>
        <v>1327663.78</v>
      </c>
      <c r="H689" s="162">
        <f>[1]AA!H139</f>
        <v>4603363.22</v>
      </c>
      <c r="I689" s="96">
        <f>G689/D689</f>
        <v>0.22385057090449934</v>
      </c>
    </row>
    <row r="690" spans="1:9" x14ac:dyDescent="0.2">
      <c r="A690" s="188"/>
      <c r="B690" s="187"/>
      <c r="C690" s="161" t="str">
        <f>[3]H4!C377</f>
        <v>2.6.2.2.2 - 2.COSTO DE CONSTRUCCION POR CONTRATA</v>
      </c>
      <c r="D690" s="163">
        <f>[3]H4!D377</f>
        <v>5660459</v>
      </c>
      <c r="E690" s="163">
        <f>[3]H4!E377</f>
        <v>5660459</v>
      </c>
      <c r="F690" s="163">
        <f>[3]H4!F377</f>
        <v>0</v>
      </c>
      <c r="G690" s="163">
        <f>[3]H4!G377</f>
        <v>1327663.78</v>
      </c>
      <c r="H690" s="163">
        <f>[3]H4!H377</f>
        <v>4332795.22</v>
      </c>
      <c r="I690" s="96"/>
    </row>
    <row r="691" spans="1:9" x14ac:dyDescent="0.2">
      <c r="A691" s="181"/>
      <c r="B691" s="179"/>
      <c r="C691" s="161" t="str">
        <f>[3]H4!C378</f>
        <v>2.6.8.1.4 - 3.GASTO POR LA CONTRATACION DE SERVICIOS</v>
      </c>
      <c r="D691" s="163">
        <f>[3]H4!D378</f>
        <v>270568</v>
      </c>
      <c r="E691" s="163">
        <f>[3]H4!E378</f>
        <v>0</v>
      </c>
      <c r="F691" s="163">
        <f>[3]H4!F378</f>
        <v>270568</v>
      </c>
      <c r="G691" s="163">
        <f>[3]H4!G378</f>
        <v>0</v>
      </c>
      <c r="H691" s="163">
        <f>[3]H4!H378</f>
        <v>270568</v>
      </c>
      <c r="I691" s="96"/>
    </row>
    <row r="692" spans="1:9" ht="63.75" x14ac:dyDescent="0.2">
      <c r="A692" s="180">
        <f>SUBTOTAL(103,$B$10:B694)</f>
        <v>199</v>
      </c>
      <c r="B692" s="178">
        <v>163</v>
      </c>
      <c r="C692" s="161" t="s">
        <v>488</v>
      </c>
      <c r="D692" s="162">
        <f>[1]AA!D143</f>
        <v>178134</v>
      </c>
      <c r="E692" s="162">
        <f>[1]AA!E143</f>
        <v>129803.29</v>
      </c>
      <c r="F692" s="162">
        <f>[1]AA!F143</f>
        <v>48330.710000000006</v>
      </c>
      <c r="G692" s="162">
        <f>[1]AA!G143</f>
        <v>122423.54</v>
      </c>
      <c r="H692" s="162">
        <f>[1]AA!H143</f>
        <v>55710.460000000006</v>
      </c>
      <c r="I692" s="96">
        <f>G692/D692</f>
        <v>0.68725532464324601</v>
      </c>
    </row>
    <row r="693" spans="1:9" x14ac:dyDescent="0.2">
      <c r="A693" s="188"/>
      <c r="B693" s="187"/>
      <c r="C693" s="161" t="str">
        <f>[3]H4!C381</f>
        <v>2.6.2.2.2 - 2.COSTO DE CONSTRUCCION POR CONTRATA</v>
      </c>
      <c r="D693" s="163">
        <f>[3]H4!D381</f>
        <v>0</v>
      </c>
      <c r="E693" s="163">
        <f>[3]H4!E381</f>
        <v>0</v>
      </c>
      <c r="F693" s="163">
        <f>[3]H4!F381</f>
        <v>0</v>
      </c>
      <c r="G693" s="163">
        <f>[3]H4!G381</f>
        <v>0</v>
      </c>
      <c r="H693" s="163">
        <f>[3]H4!H381</f>
        <v>0</v>
      </c>
      <c r="I693" s="96"/>
    </row>
    <row r="694" spans="1:9" x14ac:dyDescent="0.2">
      <c r="A694" s="181"/>
      <c r="B694" s="179"/>
      <c r="C694" s="161" t="str">
        <f>[3]H4!C382</f>
        <v>2.6.8.1.3 - 1.ELABORACION DE EXPEDIENTES TECNICOS</v>
      </c>
      <c r="D694" s="163">
        <f>[3]H4!D382</f>
        <v>178134</v>
      </c>
      <c r="E694" s="163">
        <f>[3]H4!E382</f>
        <v>129803.29</v>
      </c>
      <c r="F694" s="163">
        <f>[3]H4!F382</f>
        <v>48330.710000000006</v>
      </c>
      <c r="G694" s="163">
        <f>[3]H4!G382</f>
        <v>122423.54</v>
      </c>
      <c r="H694" s="163">
        <f>[3]H4!H382</f>
        <v>55710.460000000006</v>
      </c>
      <c r="I694" s="96"/>
    </row>
    <row r="695" spans="1:9" ht="51" x14ac:dyDescent="0.2">
      <c r="A695" s="180">
        <f>SUBTOTAL(103,$B$10:B697)</f>
        <v>200</v>
      </c>
      <c r="B695" s="178">
        <v>164</v>
      </c>
      <c r="C695" s="161" t="s">
        <v>475</v>
      </c>
      <c r="D695" s="162">
        <f>[1]AA!D144</f>
        <v>220481</v>
      </c>
      <c r="E695" s="162">
        <f>[1]AA!E144</f>
        <v>81593.5</v>
      </c>
      <c r="F695" s="162">
        <f>[1]AA!F144</f>
        <v>138887.5</v>
      </c>
      <c r="G695" s="162">
        <f>[1]AA!G144</f>
        <v>69050.51999999999</v>
      </c>
      <c r="H695" s="162">
        <f>[1]AA!H144</f>
        <v>151430.48000000001</v>
      </c>
      <c r="I695" s="96">
        <f>G695/D695</f>
        <v>0.31318127185562472</v>
      </c>
    </row>
    <row r="696" spans="1:9" x14ac:dyDescent="0.2">
      <c r="A696" s="188"/>
      <c r="B696" s="187"/>
      <c r="C696" s="161" t="str">
        <f>[3]H4!C385</f>
        <v>2.6.2.2.2 - 2.COSTO DE CONSTRUCCION POR CONTRATA</v>
      </c>
      <c r="D696" s="163">
        <f>[3]H4!D385</f>
        <v>0</v>
      </c>
      <c r="E696" s="163">
        <f>[3]H4!E385</f>
        <v>0</v>
      </c>
      <c r="F696" s="163">
        <f>[3]H4!F385</f>
        <v>0</v>
      </c>
      <c r="G696" s="163">
        <f>[3]H4!G385</f>
        <v>0</v>
      </c>
      <c r="H696" s="163">
        <f>[3]H4!H385</f>
        <v>0</v>
      </c>
      <c r="I696" s="96"/>
    </row>
    <row r="697" spans="1:9" x14ac:dyDescent="0.2">
      <c r="A697" s="181"/>
      <c r="B697" s="179"/>
      <c r="C697" s="161" t="str">
        <f>[3]H4!C386</f>
        <v>2.6.8.1.3 - 1.ELABORACION DE EXPEDIENTES TECNICOS</v>
      </c>
      <c r="D697" s="163">
        <f>[3]H4!D386</f>
        <v>220481</v>
      </c>
      <c r="E697" s="163">
        <f>[3]H4!E386</f>
        <v>81593.5</v>
      </c>
      <c r="F697" s="163">
        <f>[3]H4!F386</f>
        <v>138887.5</v>
      </c>
      <c r="G697" s="163">
        <f>[3]H4!G386</f>
        <v>69050.51999999999</v>
      </c>
      <c r="H697" s="163">
        <f>[3]H4!H386</f>
        <v>151430.48000000001</v>
      </c>
      <c r="I697" s="96"/>
    </row>
    <row r="698" spans="1:9" ht="38.25" hidden="1" x14ac:dyDescent="0.2">
      <c r="A698" s="180">
        <f>SUBTOTAL(103,$B$10:B699)</f>
        <v>200</v>
      </c>
      <c r="B698" s="189">
        <v>171</v>
      </c>
      <c r="C698" s="161" t="s">
        <v>268</v>
      </c>
      <c r="D698" s="162">
        <f>[1]AA!D151</f>
        <v>0</v>
      </c>
      <c r="E698" s="162">
        <f>[1]AA!E151</f>
        <v>0</v>
      </c>
      <c r="F698" s="162">
        <f>[1]AA!F151</f>
        <v>0</v>
      </c>
      <c r="G698" s="162">
        <f>[1]AA!G151</f>
        <v>0</v>
      </c>
      <c r="H698" s="162">
        <f>[1]AA!H151</f>
        <v>0</v>
      </c>
      <c r="I698" s="96" t="e">
        <f>G698/D698</f>
        <v>#DIV/0!</v>
      </c>
    </row>
    <row r="699" spans="1:9" hidden="1" x14ac:dyDescent="0.2">
      <c r="A699" s="181"/>
      <c r="B699" s="191"/>
      <c r="C699" s="161" t="str">
        <f>[3]H4!C389</f>
        <v>2.6.2.2.2 - 2.COSTO DE CONSTRUCCION POR CONTRATA</v>
      </c>
      <c r="D699" s="163">
        <f>[3]H4!D389</f>
        <v>0</v>
      </c>
      <c r="E699" s="163">
        <f>[3]H4!E389</f>
        <v>0</v>
      </c>
      <c r="F699" s="163">
        <f>[3]H4!F389</f>
        <v>0</v>
      </c>
      <c r="G699" s="163">
        <f>[3]H4!G389</f>
        <v>0</v>
      </c>
      <c r="H699" s="163">
        <f>[3]H4!H389</f>
        <v>0</v>
      </c>
      <c r="I699" s="96"/>
    </row>
    <row r="700" spans="1:9" ht="38.25" hidden="1" x14ac:dyDescent="0.2">
      <c r="A700" s="180">
        <f>SUBTOTAL(103,$B$10:B701)</f>
        <v>200</v>
      </c>
      <c r="B700" s="178">
        <v>174</v>
      </c>
      <c r="C700" s="161" t="s">
        <v>270</v>
      </c>
      <c r="D700" s="162">
        <f>[1]AA!D154</f>
        <v>0</v>
      </c>
      <c r="E700" s="162">
        <f>[1]AA!E154</f>
        <v>0</v>
      </c>
      <c r="F700" s="162">
        <f>[1]AA!F154</f>
        <v>0</v>
      </c>
      <c r="G700" s="162">
        <f>[1]AA!G154</f>
        <v>0</v>
      </c>
      <c r="H700" s="162">
        <f>[1]AA!H154</f>
        <v>0</v>
      </c>
      <c r="I700" s="96" t="e">
        <f>G700/D700</f>
        <v>#DIV/0!</v>
      </c>
    </row>
    <row r="701" spans="1:9" hidden="1" x14ac:dyDescent="0.2">
      <c r="A701" s="181"/>
      <c r="B701" s="179"/>
      <c r="C701" s="161" t="str">
        <f>[3]H4!C393</f>
        <v>2.6.2.2.2 - 2.COSTO DE CONSTRUCCION POR CONTRATA</v>
      </c>
      <c r="D701" s="163">
        <f>[3]H4!D393</f>
        <v>0</v>
      </c>
      <c r="E701" s="163">
        <f>[3]H4!E393</f>
        <v>0</v>
      </c>
      <c r="F701" s="163">
        <f>[3]H4!F393</f>
        <v>0</v>
      </c>
      <c r="G701" s="163">
        <f>[3]H4!G393</f>
        <v>0</v>
      </c>
      <c r="H701" s="163">
        <f>[3]H4!H393</f>
        <v>0</v>
      </c>
      <c r="I701" s="96"/>
    </row>
    <row r="702" spans="1:9" ht="38.25" x14ac:dyDescent="0.2">
      <c r="A702" s="180">
        <f>SUBTOTAL(103,$B$10:B704)</f>
        <v>201</v>
      </c>
      <c r="B702" s="178">
        <v>175</v>
      </c>
      <c r="C702" s="161" t="s">
        <v>830</v>
      </c>
      <c r="D702" s="162">
        <f>[1]AA!D155</f>
        <v>29298</v>
      </c>
      <c r="E702" s="162">
        <f>[1]AA!E155</f>
        <v>29298</v>
      </c>
      <c r="F702" s="162">
        <f>[1]AA!F155</f>
        <v>0</v>
      </c>
      <c r="G702" s="162">
        <f>[1]AA!G155</f>
        <v>0</v>
      </c>
      <c r="H702" s="162">
        <f>[1]AA!H155</f>
        <v>29298</v>
      </c>
      <c r="I702" s="96">
        <f>G702/D702</f>
        <v>0</v>
      </c>
    </row>
    <row r="703" spans="1:9" x14ac:dyDescent="0.2">
      <c r="A703" s="188"/>
      <c r="B703" s="187"/>
      <c r="C703" s="161" t="str">
        <f>[3]H4!C397</f>
        <v>2.6.2.2.2 - 2.COSTO DE CONSTRUCCION POR CONTRATA</v>
      </c>
      <c r="D703" s="163">
        <f>[3]H4!D397</f>
        <v>0</v>
      </c>
      <c r="E703" s="163">
        <f>[3]H4!E397</f>
        <v>0</v>
      </c>
      <c r="F703" s="163">
        <f>[3]H4!F397</f>
        <v>0</v>
      </c>
      <c r="G703" s="163">
        <f>[3]H4!G397</f>
        <v>0</v>
      </c>
      <c r="H703" s="163">
        <f>[3]H4!H397</f>
        <v>0</v>
      </c>
      <c r="I703" s="96"/>
    </row>
    <row r="704" spans="1:9" x14ac:dyDescent="0.2">
      <c r="A704" s="181"/>
      <c r="B704" s="179"/>
      <c r="C704" s="161" t="str">
        <f>[3]H4!C398</f>
        <v>2.6.8.1.3 - 1.ELABORACION DE EXPEDIENTES TECNICOS</v>
      </c>
      <c r="D704" s="163">
        <f>[3]H4!D398</f>
        <v>29298</v>
      </c>
      <c r="E704" s="163">
        <f>[3]H4!E398</f>
        <v>29298</v>
      </c>
      <c r="F704" s="163">
        <f>[3]H4!F398</f>
        <v>0</v>
      </c>
      <c r="G704" s="163">
        <f>[3]H4!G398</f>
        <v>0</v>
      </c>
      <c r="H704" s="163">
        <f>[3]H4!H398</f>
        <v>29298</v>
      </c>
      <c r="I704" s="96"/>
    </row>
    <row r="705" spans="1:9" ht="38.25" x14ac:dyDescent="0.2">
      <c r="A705" s="180">
        <f>SUBTOTAL(103,$B$10:B707)</f>
        <v>202</v>
      </c>
      <c r="B705" s="178">
        <v>176</v>
      </c>
      <c r="C705" s="161" t="s">
        <v>825</v>
      </c>
      <c r="D705" s="162">
        <f>[1]AA!D156</f>
        <v>80000</v>
      </c>
      <c r="E705" s="162">
        <f>[1]AA!E156</f>
        <v>55480</v>
      </c>
      <c r="F705" s="162">
        <f>[1]AA!F156</f>
        <v>24520</v>
      </c>
      <c r="G705" s="162">
        <f>[1]AA!G156</f>
        <v>33156.76</v>
      </c>
      <c r="H705" s="162">
        <f>[1]AA!H156</f>
        <v>46843.24</v>
      </c>
      <c r="I705" s="96">
        <f>G705/D705</f>
        <v>0.41445950000000004</v>
      </c>
    </row>
    <row r="706" spans="1:9" x14ac:dyDescent="0.2">
      <c r="A706" s="188"/>
      <c r="B706" s="187"/>
      <c r="C706" s="161" t="str">
        <f>[3]H4!C401</f>
        <v>2.6.2.2.2 - 2.COSTO DE CONSTRUCCION POR CONTRATA</v>
      </c>
      <c r="D706" s="163">
        <f>[3]H4!D401</f>
        <v>24520</v>
      </c>
      <c r="E706" s="163">
        <f>[3]H4!E401</f>
        <v>0</v>
      </c>
      <c r="F706" s="163">
        <f>[3]H4!F401</f>
        <v>24520</v>
      </c>
      <c r="G706" s="163">
        <f>[3]H4!G401</f>
        <v>0</v>
      </c>
      <c r="H706" s="163">
        <f>[3]H4!H401</f>
        <v>24520</v>
      </c>
      <c r="I706" s="96"/>
    </row>
    <row r="707" spans="1:9" x14ac:dyDescent="0.2">
      <c r="A707" s="181"/>
      <c r="B707" s="179"/>
      <c r="C707" s="161" t="str">
        <f>[3]H4!C402</f>
        <v>2.6.8.1.3 - 1.ELABORACION DE EXPEDIENTES TECNICOS</v>
      </c>
      <c r="D707" s="163">
        <f>[3]H4!D402</f>
        <v>55480</v>
      </c>
      <c r="E707" s="163">
        <f>[3]H4!E402</f>
        <v>55480</v>
      </c>
      <c r="F707" s="163">
        <f>[3]H4!F402</f>
        <v>0</v>
      </c>
      <c r="G707" s="163">
        <f>[3]H4!G402</f>
        <v>33156.76</v>
      </c>
      <c r="H707" s="163">
        <f>[3]H4!H402</f>
        <v>22323.239999999998</v>
      </c>
      <c r="I707" s="96"/>
    </row>
    <row r="708" spans="1:9" ht="38.25" hidden="1" x14ac:dyDescent="0.2">
      <c r="A708" s="180">
        <f>SUBTOTAL(103,$B$10:B710)</f>
        <v>202</v>
      </c>
      <c r="B708" s="178">
        <v>177</v>
      </c>
      <c r="C708" s="161" t="s">
        <v>930</v>
      </c>
      <c r="D708" s="162">
        <f>[1]AA!D157</f>
        <v>0</v>
      </c>
      <c r="E708" s="162">
        <f>[1]AA!E157</f>
        <v>0</v>
      </c>
      <c r="F708" s="162">
        <f>[1]AA!F157</f>
        <v>0</v>
      </c>
      <c r="G708" s="162">
        <f>[1]AA!G157</f>
        <v>0</v>
      </c>
      <c r="H708" s="162">
        <f>[1]AA!H157</f>
        <v>0</v>
      </c>
      <c r="I708" s="96" t="e">
        <f>G708/D708</f>
        <v>#DIV/0!</v>
      </c>
    </row>
    <row r="709" spans="1:9" hidden="1" x14ac:dyDescent="0.2">
      <c r="A709" s="188"/>
      <c r="B709" s="187"/>
      <c r="C709" s="161" t="str">
        <f>[3]H4!C405</f>
        <v>2.6.2.2.2 - 2.COSTO DE CONSTRUCCION POR CONTRATA</v>
      </c>
      <c r="D709" s="163">
        <f>[3]H4!D405</f>
        <v>0</v>
      </c>
      <c r="E709" s="163">
        <f>[3]H4!E405</f>
        <v>0</v>
      </c>
      <c r="F709" s="163">
        <f>[3]H4!F405</f>
        <v>0</v>
      </c>
      <c r="G709" s="163">
        <f>[3]H4!G405</f>
        <v>0</v>
      </c>
      <c r="H709" s="163">
        <f>[3]H4!H405</f>
        <v>0</v>
      </c>
      <c r="I709" s="96"/>
    </row>
    <row r="710" spans="1:9" hidden="1" x14ac:dyDescent="0.2">
      <c r="A710" s="181"/>
      <c r="B710" s="179"/>
      <c r="C710" s="161" t="str">
        <f>[3]H4!C406</f>
        <v>2.6.8.1.3 - 1.ELABORACION DE EXPEDIENTES TECNICOS</v>
      </c>
      <c r="D710" s="163">
        <f>[3]H4!D406</f>
        <v>0</v>
      </c>
      <c r="E710" s="163">
        <f>[3]H4!E406</f>
        <v>0</v>
      </c>
      <c r="F710" s="163">
        <f>[3]H4!F406</f>
        <v>0</v>
      </c>
      <c r="G710" s="163">
        <f>[3]H4!G406</f>
        <v>0</v>
      </c>
      <c r="H710" s="163">
        <f>[3]H4!H406</f>
        <v>0</v>
      </c>
      <c r="I710" s="96"/>
    </row>
    <row r="711" spans="1:9" ht="38.25" x14ac:dyDescent="0.2">
      <c r="A711" s="180">
        <f>SUBTOTAL(103,$B$10:B713)</f>
        <v>203</v>
      </c>
      <c r="B711" s="178">
        <v>178</v>
      </c>
      <c r="C711" s="161" t="s">
        <v>931</v>
      </c>
      <c r="D711" s="162">
        <f>[1]AA!D158</f>
        <v>171495</v>
      </c>
      <c r="E711" s="162">
        <f>[1]AA!E158</f>
        <v>171495</v>
      </c>
      <c r="F711" s="162">
        <f>[1]AA!F158</f>
        <v>0</v>
      </c>
      <c r="G711" s="162">
        <f>[1]AA!G158</f>
        <v>98043.32</v>
      </c>
      <c r="H711" s="162">
        <f>[1]AA!H158</f>
        <v>73451.679999999993</v>
      </c>
      <c r="I711" s="96">
        <f>G711/D711</f>
        <v>0.57169783375608618</v>
      </c>
    </row>
    <row r="712" spans="1:9" x14ac:dyDescent="0.2">
      <c r="A712" s="188"/>
      <c r="B712" s="187"/>
      <c r="C712" s="161" t="str">
        <f>[3]H4!C409</f>
        <v>2.6.2.2.2 - 2.COSTO DE CONSTRUCCION POR CONTRATA</v>
      </c>
      <c r="D712" s="163">
        <f>[3]H4!D409</f>
        <v>0</v>
      </c>
      <c r="E712" s="163">
        <f>[3]H4!E409</f>
        <v>0</v>
      </c>
      <c r="F712" s="163">
        <f>[3]H4!F409</f>
        <v>0</v>
      </c>
      <c r="G712" s="163">
        <f>[3]H4!G409</f>
        <v>0</v>
      </c>
      <c r="H712" s="163">
        <f>[3]H4!H409</f>
        <v>0</v>
      </c>
      <c r="I712" s="96"/>
    </row>
    <row r="713" spans="1:9" x14ac:dyDescent="0.2">
      <c r="A713" s="181"/>
      <c r="B713" s="179"/>
      <c r="C713" s="161" t="str">
        <f>[3]H4!C410</f>
        <v>2.6.8.1.3 - 1.ELABORACION DE EXPEDIENTES TECNICOS</v>
      </c>
      <c r="D713" s="163">
        <f>[3]H4!D410</f>
        <v>171495</v>
      </c>
      <c r="E713" s="163">
        <f>[3]H4!E410</f>
        <v>171495</v>
      </c>
      <c r="F713" s="163">
        <f>[3]H4!F410</f>
        <v>0</v>
      </c>
      <c r="G713" s="163">
        <f>[3]H4!G410</f>
        <v>98043.32</v>
      </c>
      <c r="H713" s="163">
        <f>[3]H4!H410</f>
        <v>73451.679999999993</v>
      </c>
      <c r="I713" s="96"/>
    </row>
    <row r="714" spans="1:9" ht="38.25" hidden="1" x14ac:dyDescent="0.2">
      <c r="A714" s="180">
        <f>SUBTOTAL(103,$B$10:B715)</f>
        <v>203</v>
      </c>
      <c r="B714" s="178">
        <v>179</v>
      </c>
      <c r="C714" s="161" t="s">
        <v>826</v>
      </c>
      <c r="D714" s="162">
        <f>[1]AA!D159</f>
        <v>400000</v>
      </c>
      <c r="E714" s="162">
        <f>[1]AA!E159</f>
        <v>0</v>
      </c>
      <c r="F714" s="162">
        <f>[1]AA!F159</f>
        <v>400000</v>
      </c>
      <c r="G714" s="162">
        <f>[1]AA!G159</f>
        <v>0</v>
      </c>
      <c r="H714" s="162">
        <f>[1]AA!H159</f>
        <v>400000</v>
      </c>
      <c r="I714" s="96">
        <f>G714/D714</f>
        <v>0</v>
      </c>
    </row>
    <row r="715" spans="1:9" hidden="1" x14ac:dyDescent="0.2">
      <c r="A715" s="181"/>
      <c r="B715" s="179"/>
      <c r="C715" s="161" t="str">
        <f>[3]H4!C413</f>
        <v>2.6.2.2.2 - 2.COSTO DE CONSTRUCCION POR CONTRATA</v>
      </c>
      <c r="D715" s="163">
        <f>[3]H4!D413</f>
        <v>400000</v>
      </c>
      <c r="E715" s="163">
        <f>[3]H4!E413</f>
        <v>0</v>
      </c>
      <c r="F715" s="163">
        <f>[3]H4!F413</f>
        <v>400000</v>
      </c>
      <c r="G715" s="163">
        <f>[3]H4!G413</f>
        <v>0</v>
      </c>
      <c r="H715" s="163">
        <f>[3]H4!H413</f>
        <v>400000</v>
      </c>
      <c r="I715" s="96"/>
    </row>
    <row r="716" spans="1:9" ht="38.25" x14ac:dyDescent="0.2">
      <c r="A716" s="180">
        <f>SUBTOTAL(103,$B$10:B718)</f>
        <v>204</v>
      </c>
      <c r="B716" s="178">
        <v>182</v>
      </c>
      <c r="C716" s="161" t="s">
        <v>932</v>
      </c>
      <c r="D716" s="162">
        <f>[1]AA!D162</f>
        <v>151569</v>
      </c>
      <c r="E716" s="162">
        <f>[1]AA!E162</f>
        <v>148381</v>
      </c>
      <c r="F716" s="162">
        <f>[1]AA!F162</f>
        <v>3188</v>
      </c>
      <c r="G716" s="162">
        <f>[1]AA!G162</f>
        <v>136766.03</v>
      </c>
      <c r="H716" s="162">
        <f>[1]AA!H162</f>
        <v>14802.970000000001</v>
      </c>
      <c r="I716" s="96">
        <f>G716/D716</f>
        <v>0.90233510810258033</v>
      </c>
    </row>
    <row r="717" spans="1:9" x14ac:dyDescent="0.2">
      <c r="A717" s="188"/>
      <c r="B717" s="187"/>
      <c r="C717" s="161" t="str">
        <f>[3]H4!C417</f>
        <v>2.6.2.2.2 - 2.COSTO DE CONSTRUCCION POR CONTRATA</v>
      </c>
      <c r="D717" s="163">
        <f>[3]H4!D417</f>
        <v>0</v>
      </c>
      <c r="E717" s="163">
        <f>[3]H4!E417</f>
        <v>0</v>
      </c>
      <c r="F717" s="163">
        <f>[3]H4!F417</f>
        <v>0</v>
      </c>
      <c r="G717" s="163">
        <f>[3]H4!G417</f>
        <v>0</v>
      </c>
      <c r="H717" s="163">
        <f>[3]H4!H417</f>
        <v>0</v>
      </c>
      <c r="I717" s="96"/>
    </row>
    <row r="718" spans="1:9" x14ac:dyDescent="0.2">
      <c r="A718" s="181"/>
      <c r="B718" s="179"/>
      <c r="C718" s="161" t="str">
        <f>[3]H4!C418</f>
        <v>2.6.8.1.3 - 1.ELABORACION DE EXPEDIENTES TECNICOS</v>
      </c>
      <c r="D718" s="163">
        <f>[3]H4!D418</f>
        <v>151569</v>
      </c>
      <c r="E718" s="163">
        <f>[3]H4!E418</f>
        <v>148381</v>
      </c>
      <c r="F718" s="163">
        <f>[3]H4!F418</f>
        <v>3188</v>
      </c>
      <c r="G718" s="163">
        <f>[3]H4!G418</f>
        <v>136766.03</v>
      </c>
      <c r="H718" s="163">
        <f>[3]H4!H418</f>
        <v>14802.970000000001</v>
      </c>
      <c r="I718" s="96"/>
    </row>
    <row r="719" spans="1:9" ht="38.25" hidden="1" x14ac:dyDescent="0.2">
      <c r="A719" s="180">
        <f>SUBTOTAL(103,$B$10:B720)</f>
        <v>204</v>
      </c>
      <c r="B719" s="178">
        <v>183</v>
      </c>
      <c r="C719" s="161" t="s">
        <v>827</v>
      </c>
      <c r="D719" s="162">
        <f>[1]AA!D163</f>
        <v>0</v>
      </c>
      <c r="E719" s="162">
        <f>[1]AA!E163</f>
        <v>0</v>
      </c>
      <c r="F719" s="162">
        <f>[1]AA!F163</f>
        <v>0</v>
      </c>
      <c r="G719" s="162">
        <f>[1]AA!G163</f>
        <v>0</v>
      </c>
      <c r="H719" s="162">
        <f>[1]AA!H163</f>
        <v>0</v>
      </c>
      <c r="I719" s="96" t="e">
        <f>G719/D719</f>
        <v>#DIV/0!</v>
      </c>
    </row>
    <row r="720" spans="1:9" hidden="1" x14ac:dyDescent="0.2">
      <c r="A720" s="181"/>
      <c r="B720" s="179"/>
      <c r="C720" s="161" t="str">
        <f>[3]H4!C421</f>
        <v>2.6.2.2.2 - 2.COSTO DE CONSTRUCCION POR CONTRATA</v>
      </c>
      <c r="D720" s="163">
        <f>[3]H4!D421</f>
        <v>0</v>
      </c>
      <c r="E720" s="163">
        <f>[3]H4!E421</f>
        <v>0</v>
      </c>
      <c r="F720" s="163">
        <f>[3]H4!F421</f>
        <v>0</v>
      </c>
      <c r="G720" s="163">
        <f>[3]H4!G421</f>
        <v>0</v>
      </c>
      <c r="H720" s="163">
        <f>[3]H4!H421</f>
        <v>0</v>
      </c>
      <c r="I720" s="96"/>
    </row>
    <row r="721" spans="1:9" ht="38.25" x14ac:dyDescent="0.2">
      <c r="A721" s="180">
        <f>SUBTOTAL(103,$B$10:B723)</f>
        <v>205</v>
      </c>
      <c r="B721" s="178">
        <v>184</v>
      </c>
      <c r="C721" s="161" t="s">
        <v>829</v>
      </c>
      <c r="D721" s="162">
        <f>[1]AA!D164</f>
        <v>33556</v>
      </c>
      <c r="E721" s="162">
        <f>[1]AA!E164</f>
        <v>33489.5</v>
      </c>
      <c r="F721" s="162">
        <f>[1]AA!F164</f>
        <v>66.5</v>
      </c>
      <c r="G721" s="162">
        <f>[1]AA!G164</f>
        <v>28428.44</v>
      </c>
      <c r="H721" s="162">
        <f>[1]AA!H164</f>
        <v>5127.5600000000013</v>
      </c>
      <c r="I721" s="96">
        <f>G721/D721</f>
        <v>0.84719394445106688</v>
      </c>
    </row>
    <row r="722" spans="1:9" x14ac:dyDescent="0.2">
      <c r="A722" s="188"/>
      <c r="B722" s="187"/>
      <c r="C722" s="161" t="str">
        <f>[3]H4!C425</f>
        <v>2.6.2.2.2 - 2.COSTO DE CONSTRUCCION POR CONTRATA</v>
      </c>
      <c r="D722" s="163">
        <f>[3]H4!D425</f>
        <v>0</v>
      </c>
      <c r="E722" s="163">
        <f>[3]H4!E425</f>
        <v>0</v>
      </c>
      <c r="F722" s="163">
        <f>[3]H4!F425</f>
        <v>0</v>
      </c>
      <c r="G722" s="163">
        <f>[3]H4!G425</f>
        <v>0</v>
      </c>
      <c r="H722" s="163">
        <f>[3]H4!H425</f>
        <v>0</v>
      </c>
      <c r="I722" s="96"/>
    </row>
    <row r="723" spans="1:9" x14ac:dyDescent="0.2">
      <c r="A723" s="181"/>
      <c r="B723" s="179"/>
      <c r="C723" s="161" t="str">
        <f>[3]H4!C426</f>
        <v>2.6.8.1.3 - 1.ELABORACION DE EXPEDIENTES TECNICOS</v>
      </c>
      <c r="D723" s="163">
        <f>[3]H4!D426</f>
        <v>33556</v>
      </c>
      <c r="E723" s="163">
        <f>[3]H4!E426</f>
        <v>33489.5</v>
      </c>
      <c r="F723" s="163">
        <f>[3]H4!F426</f>
        <v>66.5</v>
      </c>
      <c r="G723" s="163">
        <f>[3]H4!G426</f>
        <v>28428.44</v>
      </c>
      <c r="H723" s="163">
        <f>[3]H4!H426</f>
        <v>5127.5600000000013</v>
      </c>
      <c r="I723" s="96"/>
    </row>
    <row r="724" spans="1:9" ht="38.25" hidden="1" x14ac:dyDescent="0.2">
      <c r="A724" s="180">
        <f>SUBTOTAL(103,$B$10:B725)</f>
        <v>205</v>
      </c>
      <c r="B724" s="178">
        <v>185</v>
      </c>
      <c r="C724" s="161" t="s">
        <v>824</v>
      </c>
      <c r="D724" s="162">
        <f>[1]AA!D165</f>
        <v>0</v>
      </c>
      <c r="E724" s="162">
        <f>[1]AA!E165</f>
        <v>0</v>
      </c>
      <c r="F724" s="162">
        <f>[1]AA!F165</f>
        <v>0</v>
      </c>
      <c r="G724" s="162">
        <f>[1]AA!G165</f>
        <v>0</v>
      </c>
      <c r="H724" s="162">
        <f>[1]AA!H165</f>
        <v>0</v>
      </c>
      <c r="I724" s="96" t="e">
        <f>G724/D724</f>
        <v>#DIV/0!</v>
      </c>
    </row>
    <row r="725" spans="1:9" hidden="1" x14ac:dyDescent="0.2">
      <c r="A725" s="181"/>
      <c r="B725" s="179"/>
      <c r="C725" s="161" t="str">
        <f>[3]H4!C429</f>
        <v>2.6.2.2.2 - 2.COSTO DE CONSTRUCCION POR CONTRATA</v>
      </c>
      <c r="D725" s="163">
        <f>[3]H4!D429</f>
        <v>0</v>
      </c>
      <c r="E725" s="163">
        <f>[3]H4!E429</f>
        <v>0</v>
      </c>
      <c r="F725" s="163">
        <f>[3]H4!F429</f>
        <v>0</v>
      </c>
      <c r="G725" s="163">
        <f>[3]H4!G429</f>
        <v>0</v>
      </c>
      <c r="H725" s="163">
        <f>[3]H4!H429</f>
        <v>0</v>
      </c>
      <c r="I725" s="96"/>
    </row>
    <row r="726" spans="1:9" ht="38.25" hidden="1" x14ac:dyDescent="0.2">
      <c r="A726" s="180">
        <f>SUBTOTAL(103,$B$10:B727)</f>
        <v>205</v>
      </c>
      <c r="B726" s="178">
        <v>186</v>
      </c>
      <c r="C726" s="161" t="s">
        <v>933</v>
      </c>
      <c r="D726" s="162">
        <f>[1]AA!D166</f>
        <v>0</v>
      </c>
      <c r="E726" s="162">
        <f>[1]AA!E166</f>
        <v>0</v>
      </c>
      <c r="F726" s="162">
        <f>[1]AA!F166</f>
        <v>0</v>
      </c>
      <c r="G726" s="162">
        <f>[1]AA!G166</f>
        <v>0</v>
      </c>
      <c r="H726" s="162">
        <f>[1]AA!H166</f>
        <v>0</v>
      </c>
      <c r="I726" s="96" t="e">
        <f>G726/D726</f>
        <v>#DIV/0!</v>
      </c>
    </row>
    <row r="727" spans="1:9" hidden="1" x14ac:dyDescent="0.2">
      <c r="A727" s="181"/>
      <c r="B727" s="179"/>
      <c r="C727" s="161" t="str">
        <f>[3]H4!C433</f>
        <v>2.6.2.2.2 - 2.COSTO DE CONSTRUCCION POR CONTRATA</v>
      </c>
      <c r="D727" s="163">
        <f>[3]H4!D433</f>
        <v>0</v>
      </c>
      <c r="E727" s="163">
        <f>[3]H4!E433</f>
        <v>0</v>
      </c>
      <c r="F727" s="163">
        <f>[3]H4!F433</f>
        <v>0</v>
      </c>
      <c r="G727" s="163">
        <f>[3]H4!G433</f>
        <v>0</v>
      </c>
      <c r="H727" s="163">
        <f>[3]H4!H433</f>
        <v>0</v>
      </c>
      <c r="I727" s="96"/>
    </row>
    <row r="728" spans="1:9" ht="38.25" x14ac:dyDescent="0.2">
      <c r="A728" s="180">
        <f>SUBTOTAL(103,$B$10:B730)</f>
        <v>206</v>
      </c>
      <c r="B728" s="178">
        <v>189</v>
      </c>
      <c r="C728" s="161" t="s">
        <v>868</v>
      </c>
      <c r="D728" s="162">
        <f>[1]AA!D169</f>
        <v>106670</v>
      </c>
      <c r="E728" s="162">
        <f>[1]AA!E169</f>
        <v>106670</v>
      </c>
      <c r="F728" s="162">
        <f>[1]AA!F169</f>
        <v>0</v>
      </c>
      <c r="G728" s="162">
        <f>[1]AA!G169</f>
        <v>96622.29</v>
      </c>
      <c r="H728" s="162">
        <f>[1]AA!H169</f>
        <v>10047.710000000006</v>
      </c>
      <c r="I728" s="96">
        <f>G728/D728</f>
        <v>0.90580566232305237</v>
      </c>
    </row>
    <row r="729" spans="1:9" x14ac:dyDescent="0.2">
      <c r="A729" s="188"/>
      <c r="B729" s="187"/>
      <c r="C729" s="161" t="str">
        <f>[3]H4!C437</f>
        <v>2.6.2.2.2 - 2.COSTO DE CONSTRUCCION POR CONTRATA</v>
      </c>
      <c r="D729" s="163">
        <f>[3]H4!D437</f>
        <v>0</v>
      </c>
      <c r="E729" s="163">
        <f>[3]H4!E437</f>
        <v>0</v>
      </c>
      <c r="F729" s="163">
        <f>[3]H4!F437</f>
        <v>0</v>
      </c>
      <c r="G729" s="163">
        <f>[3]H4!G437</f>
        <v>0</v>
      </c>
      <c r="H729" s="163">
        <f>[3]H4!H437</f>
        <v>0</v>
      </c>
      <c r="I729" s="96"/>
    </row>
    <row r="730" spans="1:9" x14ac:dyDescent="0.2">
      <c r="A730" s="181"/>
      <c r="B730" s="179"/>
      <c r="C730" s="161" t="str">
        <f>[3]H4!C438</f>
        <v>2.6.8.1.3 - 1.ELABORACION DE EXPEDIENTES TECNICOS</v>
      </c>
      <c r="D730" s="163">
        <f>[3]H4!D438</f>
        <v>106670</v>
      </c>
      <c r="E730" s="163">
        <f>[3]H4!E438</f>
        <v>106670</v>
      </c>
      <c r="F730" s="163">
        <f>[3]H4!F438</f>
        <v>0</v>
      </c>
      <c r="G730" s="163">
        <f>[3]H4!G438</f>
        <v>96622.29</v>
      </c>
      <c r="H730" s="163">
        <f>[3]H4!H438</f>
        <v>10047.710000000006</v>
      </c>
      <c r="I730" s="96"/>
    </row>
    <row r="731" spans="1:9" ht="38.25" x14ac:dyDescent="0.2">
      <c r="A731" s="180">
        <f>SUBTOTAL(103,$B$10:B733)</f>
        <v>207</v>
      </c>
      <c r="B731" s="178">
        <v>190</v>
      </c>
      <c r="C731" s="161" t="s">
        <v>934</v>
      </c>
      <c r="D731" s="162">
        <f>[1]AA!D170</f>
        <v>306148</v>
      </c>
      <c r="E731" s="162">
        <f>[1]AA!E170</f>
        <v>306148</v>
      </c>
      <c r="F731" s="162">
        <f>[1]AA!F170</f>
        <v>0</v>
      </c>
      <c r="G731" s="162">
        <f>[1]AA!G170</f>
        <v>173568.25</v>
      </c>
      <c r="H731" s="162">
        <f>[1]AA!H170</f>
        <v>132579.75</v>
      </c>
      <c r="I731" s="96">
        <f>G731/D731</f>
        <v>0.56694229588303702</v>
      </c>
    </row>
    <row r="732" spans="1:9" x14ac:dyDescent="0.2">
      <c r="A732" s="188"/>
      <c r="B732" s="187"/>
      <c r="C732" s="161" t="str">
        <f>[3]H4!C441</f>
        <v>2.6.2.2.2 - 2.COSTO DE CONSTRUCCION POR CONTRATA</v>
      </c>
      <c r="D732" s="163">
        <f>[3]H4!D441</f>
        <v>0</v>
      </c>
      <c r="E732" s="163">
        <f>[3]H4!E441</f>
        <v>0</v>
      </c>
      <c r="F732" s="163">
        <f>[3]H4!F441</f>
        <v>0</v>
      </c>
      <c r="G732" s="163">
        <f>[3]H4!G441</f>
        <v>0</v>
      </c>
      <c r="H732" s="163">
        <f>[3]H4!H441</f>
        <v>0</v>
      </c>
      <c r="I732" s="96"/>
    </row>
    <row r="733" spans="1:9" x14ac:dyDescent="0.2">
      <c r="A733" s="181"/>
      <c r="B733" s="179"/>
      <c r="C733" s="161" t="str">
        <f>[3]H4!C442</f>
        <v>2.6.8.1.3 - 1.ELABORACION DE EXPEDIENTES TECNICOS</v>
      </c>
      <c r="D733" s="163">
        <f>[3]H4!D442</f>
        <v>306148</v>
      </c>
      <c r="E733" s="163">
        <f>[3]H4!E442</f>
        <v>306148</v>
      </c>
      <c r="F733" s="163">
        <f>[3]H4!F442</f>
        <v>0</v>
      </c>
      <c r="G733" s="163">
        <f>[3]H4!G442</f>
        <v>173568.25</v>
      </c>
      <c r="H733" s="163">
        <f>[3]H4!H442</f>
        <v>132579.75</v>
      </c>
      <c r="I733" s="96"/>
    </row>
    <row r="734" spans="1:9" ht="38.25" x14ac:dyDescent="0.2">
      <c r="A734" s="180">
        <f>SUBTOTAL(103,$B$10:B736)</f>
        <v>208</v>
      </c>
      <c r="B734" s="178">
        <v>192</v>
      </c>
      <c r="C734" s="161" t="s">
        <v>882</v>
      </c>
      <c r="D734" s="162">
        <f>[1]AA!D172</f>
        <v>159574</v>
      </c>
      <c r="E734" s="162">
        <f>[1]AA!E172</f>
        <v>125168.92</v>
      </c>
      <c r="F734" s="162">
        <f>[1]AA!F172</f>
        <v>34405.08</v>
      </c>
      <c r="G734" s="162">
        <f>[1]AA!G172</f>
        <v>80461.59</v>
      </c>
      <c r="H734" s="162">
        <f>[1]AA!H172</f>
        <v>79112.41</v>
      </c>
      <c r="I734" s="96">
        <f>G734/D734</f>
        <v>0.50422744306716627</v>
      </c>
    </row>
    <row r="735" spans="1:9" x14ac:dyDescent="0.2">
      <c r="A735" s="188"/>
      <c r="B735" s="187"/>
      <c r="C735" s="161" t="str">
        <f>[3]H4!C445</f>
        <v>2.6.2.2.2 - 2.COSTO DE CONSTRUCCION POR CONTRATA</v>
      </c>
      <c r="D735" s="163">
        <f>[3]H4!D445</f>
        <v>0</v>
      </c>
      <c r="E735" s="163">
        <f>[3]H4!E445</f>
        <v>0</v>
      </c>
      <c r="F735" s="163">
        <f>[3]H4!F445</f>
        <v>0</v>
      </c>
      <c r="G735" s="163">
        <f>[3]H4!G445</f>
        <v>0</v>
      </c>
      <c r="H735" s="163">
        <f>[3]H4!H445</f>
        <v>0</v>
      </c>
      <c r="I735" s="96"/>
    </row>
    <row r="736" spans="1:9" x14ac:dyDescent="0.2">
      <c r="A736" s="181"/>
      <c r="B736" s="179"/>
      <c r="C736" s="161" t="str">
        <f>[3]H4!C446</f>
        <v>2.6.8.1.3 - 1.ELABORACION DE EXPEDIENTES TECNICOS</v>
      </c>
      <c r="D736" s="163">
        <f>[3]H4!D446</f>
        <v>159574</v>
      </c>
      <c r="E736" s="163">
        <f>[3]H4!E446</f>
        <v>125168.92</v>
      </c>
      <c r="F736" s="163">
        <f>[3]H4!F446</f>
        <v>34405.08</v>
      </c>
      <c r="G736" s="163">
        <f>[3]H4!G446</f>
        <v>80461.59</v>
      </c>
      <c r="H736" s="163">
        <f>[3]H4!H446</f>
        <v>79112.41</v>
      </c>
      <c r="I736" s="96"/>
    </row>
    <row r="737" spans="1:11" ht="51" x14ac:dyDescent="0.2">
      <c r="A737" s="180">
        <f>SUBTOTAL(103,$B$10:B739)</f>
        <v>209</v>
      </c>
      <c r="B737" s="178">
        <v>194</v>
      </c>
      <c r="C737" s="161" t="s">
        <v>844</v>
      </c>
      <c r="D737" s="162">
        <f>[1]AA!D174</f>
        <v>50467</v>
      </c>
      <c r="E737" s="162">
        <f>[1]AA!E174</f>
        <v>50466.81</v>
      </c>
      <c r="F737" s="162">
        <f>[1]AA!F174</f>
        <v>0.19000000000232831</v>
      </c>
      <c r="G737" s="162">
        <f>[1]AA!G174</f>
        <v>48902.8</v>
      </c>
      <c r="H737" s="162">
        <f>[1]AA!H174</f>
        <v>1564.1999999999971</v>
      </c>
      <c r="I737" s="96">
        <f>G737/D737</f>
        <v>0.96900548873521319</v>
      </c>
    </row>
    <row r="738" spans="1:11" x14ac:dyDescent="0.2">
      <c r="A738" s="188"/>
      <c r="B738" s="187"/>
      <c r="C738" s="161" t="str">
        <f>[3]H4!C449</f>
        <v>2.6.2.2.2 - 2.COSTO DE CONSTRUCCION POR CONTRATA</v>
      </c>
      <c r="D738" s="163">
        <f>[3]H4!D449</f>
        <v>0</v>
      </c>
      <c r="E738" s="163">
        <f>[3]H4!E449</f>
        <v>0</v>
      </c>
      <c r="F738" s="163">
        <f>[3]H4!F449</f>
        <v>0</v>
      </c>
      <c r="G738" s="163">
        <f>[3]H4!G449</f>
        <v>0</v>
      </c>
      <c r="H738" s="163">
        <f>[3]H4!H449</f>
        <v>0</v>
      </c>
      <c r="I738" s="96"/>
    </row>
    <row r="739" spans="1:11" x14ac:dyDescent="0.2">
      <c r="A739" s="181"/>
      <c r="B739" s="179"/>
      <c r="C739" s="161" t="str">
        <f>[3]H4!C450</f>
        <v>2.6.8.1.3 - 1.ELABORACION DE EXPEDIENTES TECNICOS</v>
      </c>
      <c r="D739" s="163">
        <f>[3]H4!D450</f>
        <v>50467</v>
      </c>
      <c r="E739" s="163">
        <f>[3]H4!E450</f>
        <v>50466.81</v>
      </c>
      <c r="F739" s="163">
        <f>[3]H4!F450</f>
        <v>0.19000000000232831</v>
      </c>
      <c r="G739" s="163">
        <f>[3]H4!G450</f>
        <v>48902.8</v>
      </c>
      <c r="H739" s="163">
        <f>[3]H4!H450</f>
        <v>1564.1999999999971</v>
      </c>
      <c r="I739" s="96"/>
    </row>
    <row r="740" spans="1:11" ht="51" hidden="1" x14ac:dyDescent="0.2">
      <c r="A740" s="180">
        <f>SUBTOTAL(103,$B$10:B741)</f>
        <v>209</v>
      </c>
      <c r="B740" s="178">
        <v>243</v>
      </c>
      <c r="C740" s="161" t="s">
        <v>337</v>
      </c>
      <c r="D740" s="162">
        <f>[1]AA!D208</f>
        <v>0</v>
      </c>
      <c r="E740" s="162">
        <f>[1]AA!E208</f>
        <v>0</v>
      </c>
      <c r="F740" s="162">
        <f>[1]AA!F208</f>
        <v>0</v>
      </c>
      <c r="G740" s="162">
        <f>[1]AA!G208</f>
        <v>0</v>
      </c>
      <c r="H740" s="162">
        <f>[1]AA!H208</f>
        <v>0</v>
      </c>
      <c r="I740" s="96" t="e">
        <f>G740/D740</f>
        <v>#DIV/0!</v>
      </c>
    </row>
    <row r="741" spans="1:11" hidden="1" x14ac:dyDescent="0.2">
      <c r="A741" s="181"/>
      <c r="B741" s="179"/>
      <c r="C741" s="161" t="str">
        <f>[3]H4!C481</f>
        <v>2.6.2.2.2 - 2.COSTO DE CONSTRUCCION POR CONTRATA</v>
      </c>
      <c r="D741" s="163">
        <f>[3]H4!D481</f>
        <v>0</v>
      </c>
      <c r="E741" s="163">
        <f>[3]H4!E481</f>
        <v>0</v>
      </c>
      <c r="F741" s="163">
        <f>[3]H4!F481</f>
        <v>0</v>
      </c>
      <c r="G741" s="163">
        <f>[3]H4!G481</f>
        <v>0</v>
      </c>
      <c r="H741" s="163">
        <f>[3]H4!H481</f>
        <v>0</v>
      </c>
      <c r="I741" s="96"/>
    </row>
    <row r="742" spans="1:11" ht="63.75" x14ac:dyDescent="0.2">
      <c r="A742" s="180">
        <f>SUBTOTAL(103,$B$10:B743)</f>
        <v>210</v>
      </c>
      <c r="B742" s="178">
        <v>525</v>
      </c>
      <c r="C742" s="161" t="s">
        <v>2495</v>
      </c>
      <c r="D742" s="162">
        <f>[1]AA!D439</f>
        <v>2394005</v>
      </c>
      <c r="E742" s="162">
        <f>[1]AA!E439</f>
        <v>0</v>
      </c>
      <c r="F742" s="162">
        <f>[1]AA!F439</f>
        <v>2394005</v>
      </c>
      <c r="G742" s="162">
        <f>[1]AA!G439</f>
        <v>0</v>
      </c>
      <c r="H742" s="162">
        <f>[1]AA!H439</f>
        <v>2394005</v>
      </c>
      <c r="I742" s="96">
        <f>G742/D742</f>
        <v>0</v>
      </c>
    </row>
    <row r="743" spans="1:11" x14ac:dyDescent="0.2">
      <c r="A743" s="181"/>
      <c r="B743" s="179"/>
      <c r="C743" s="161" t="str">
        <f>[3]H4!C661</f>
        <v>2.6.2.2.2 - 2.COSTO DE CONSTRUCCION POR CONTRATA</v>
      </c>
      <c r="D743" s="163">
        <f>[3]H4!D661</f>
        <v>2394005</v>
      </c>
      <c r="E743" s="163">
        <f>[3]H4!E661</f>
        <v>0</v>
      </c>
      <c r="F743" s="163">
        <f>[3]H4!F661</f>
        <v>2394005</v>
      </c>
      <c r="G743" s="163">
        <f>[3]H4!G661</f>
        <v>0</v>
      </c>
      <c r="H743" s="163">
        <f>[3]H4!H661</f>
        <v>2394005</v>
      </c>
      <c r="I743" s="96"/>
    </row>
    <row r="744" spans="1:11" ht="16.5" x14ac:dyDescent="0.2">
      <c r="A744" s="182" t="s">
        <v>133</v>
      </c>
      <c r="B744" s="182"/>
      <c r="C744" s="182"/>
      <c r="D744" s="91">
        <f>+D745+D767+D752+D754+D770+D773+D776+D779+D781+D787+D790+D793+D796+D800+D803+D806+D809+D812+D815+D818+D821+D824+D827+D830+D833+D836+D839+D843+D846+D849+D852+D855+D858+D861+D864+D867+D870</f>
        <v>10249361</v>
      </c>
      <c r="E744" s="91">
        <f t="shared" ref="E744:H744" si="40">+E745+E767+E752+E754+E770+E773+E776+E779+E781+E787+E790+E793+E796+E800+E803+E806+E809+E812+E815+E818+E821+E824+E827+E830+E833+E836+E839+E843+E846+E849+E852+E855+E858+E861+E864+E867+E870</f>
        <v>8460309.5700000003</v>
      </c>
      <c r="F744" s="91">
        <f t="shared" si="40"/>
        <v>1789051.4300000004</v>
      </c>
      <c r="G744" s="91">
        <f t="shared" si="40"/>
        <v>4764292.25</v>
      </c>
      <c r="H744" s="91">
        <f t="shared" si="40"/>
        <v>5485068.75</v>
      </c>
      <c r="I744" s="92">
        <f>G744/D744</f>
        <v>0.46483797867984161</v>
      </c>
    </row>
    <row r="745" spans="1:11" ht="25.5" x14ac:dyDescent="0.2">
      <c r="A745" s="180">
        <f>+SUBTOTAL(103,$B$10:B751)</f>
        <v>211</v>
      </c>
      <c r="B745" s="178">
        <v>91</v>
      </c>
      <c r="C745" s="161" t="s">
        <v>230</v>
      </c>
      <c r="D745" s="162">
        <f>[1]AA!D71</f>
        <v>350198</v>
      </c>
      <c r="E745" s="162">
        <f>[1]AA!E71</f>
        <v>287570</v>
      </c>
      <c r="F745" s="162">
        <f>[1]AA!F71</f>
        <v>62628</v>
      </c>
      <c r="G745" s="162">
        <f>[1]AA!G71</f>
        <v>225625.48</v>
      </c>
      <c r="H745" s="162">
        <f>[1]AA!H71</f>
        <v>124572.51999999999</v>
      </c>
      <c r="I745" s="96">
        <f>G745/D745</f>
        <v>0.64427975031268025</v>
      </c>
      <c r="K745" s="23"/>
    </row>
    <row r="746" spans="1:11" ht="31.5" hidden="1" customHeight="1" x14ac:dyDescent="0.2">
      <c r="A746" s="188"/>
      <c r="B746" s="187"/>
      <c r="C746" s="166" t="s">
        <v>116</v>
      </c>
      <c r="D746" s="162"/>
      <c r="E746" s="162"/>
      <c r="F746" s="162"/>
      <c r="G746" s="162"/>
      <c r="H746" s="162"/>
      <c r="I746" s="96"/>
      <c r="K746" s="23"/>
    </row>
    <row r="747" spans="1:11" ht="31.5" hidden="1" customHeight="1" x14ac:dyDescent="0.2">
      <c r="A747" s="188"/>
      <c r="B747" s="187"/>
      <c r="C747" s="166" t="s">
        <v>117</v>
      </c>
      <c r="D747" s="162"/>
      <c r="E747" s="162"/>
      <c r="F747" s="162"/>
      <c r="G747" s="162"/>
      <c r="H747" s="162"/>
      <c r="I747" s="96"/>
    </row>
    <row r="748" spans="1:11" ht="78.75" hidden="1" customHeight="1" x14ac:dyDescent="0.2">
      <c r="A748" s="188"/>
      <c r="B748" s="187"/>
      <c r="C748" s="161" t="s">
        <v>71</v>
      </c>
      <c r="D748" s="162"/>
      <c r="E748" s="162"/>
      <c r="F748" s="162"/>
      <c r="G748" s="162"/>
      <c r="H748" s="162"/>
      <c r="I748" s="96">
        <v>0</v>
      </c>
      <c r="K748" s="23"/>
    </row>
    <row r="749" spans="1:11" ht="31.5" hidden="1" customHeight="1" x14ac:dyDescent="0.2">
      <c r="A749" s="188"/>
      <c r="B749" s="187"/>
      <c r="C749" s="166" t="s">
        <v>117</v>
      </c>
      <c r="D749" s="162"/>
      <c r="E749" s="162"/>
      <c r="F749" s="162"/>
      <c r="G749" s="162"/>
      <c r="H749" s="162"/>
      <c r="I749" s="96"/>
    </row>
    <row r="750" spans="1:11" x14ac:dyDescent="0.2">
      <c r="A750" s="188"/>
      <c r="B750" s="187"/>
      <c r="C750" s="161" t="str">
        <f>[3]H4!C217</f>
        <v>2.6.2.3.2 - 3.COSTO DE CONSTRUCCION POR CONTRATA</v>
      </c>
      <c r="D750" s="163">
        <f>[3]H4!D217</f>
        <v>0</v>
      </c>
      <c r="E750" s="163">
        <f>[3]H4!E217</f>
        <v>0</v>
      </c>
      <c r="F750" s="163">
        <f>[3]H4!F217</f>
        <v>0</v>
      </c>
      <c r="G750" s="163">
        <f>[3]H4!G217</f>
        <v>0</v>
      </c>
      <c r="H750" s="163">
        <f>[3]H4!H217</f>
        <v>0</v>
      </c>
      <c r="I750" s="96"/>
    </row>
    <row r="751" spans="1:11" x14ac:dyDescent="0.2">
      <c r="A751" s="181"/>
      <c r="B751" s="179"/>
      <c r="C751" s="161" t="str">
        <f>[3]H4!C218</f>
        <v>2.6.8.1.3 - 1.ELABORACION DE EXPEDIENTES TECNICOS</v>
      </c>
      <c r="D751" s="163">
        <f>[3]H4!D218</f>
        <v>350198</v>
      </c>
      <c r="E751" s="163">
        <f>[3]H4!E218</f>
        <v>287570</v>
      </c>
      <c r="F751" s="163">
        <f>[3]H4!F218</f>
        <v>62628</v>
      </c>
      <c r="G751" s="163">
        <f>[3]H4!G218</f>
        <v>225625.48</v>
      </c>
      <c r="H751" s="163">
        <f>[3]H4!H218</f>
        <v>124572.51999999999</v>
      </c>
      <c r="I751" s="96"/>
    </row>
    <row r="752" spans="1:11" ht="38.25" hidden="1" x14ac:dyDescent="0.2">
      <c r="A752" s="180">
        <f>SUBTOTAL(103,$B$8:B753)</f>
        <v>211</v>
      </c>
      <c r="B752" s="178">
        <v>93</v>
      </c>
      <c r="C752" s="161" t="s">
        <v>636</v>
      </c>
      <c r="D752" s="162">
        <f>[1]AA!D73</f>
        <v>0</v>
      </c>
      <c r="E752" s="162">
        <f>[1]AA!E73</f>
        <v>0</v>
      </c>
      <c r="F752" s="162">
        <f>[1]AA!F73</f>
        <v>0</v>
      </c>
      <c r="G752" s="162">
        <f>[1]AA!G73</f>
        <v>0</v>
      </c>
      <c r="H752" s="162">
        <f>[1]AA!H73</f>
        <v>0</v>
      </c>
      <c r="I752" s="96" t="e">
        <f>G752/D752</f>
        <v>#DIV/0!</v>
      </c>
    </row>
    <row r="753" spans="1:9" hidden="1" x14ac:dyDescent="0.2">
      <c r="A753" s="181"/>
      <c r="B753" s="179"/>
      <c r="C753" s="161" t="str">
        <f>[3]H4!C221</f>
        <v>2.6.2.3.2 - 3.COSTO DE CONSTRUCCION POR CONTRATA</v>
      </c>
      <c r="D753" s="163">
        <f>[3]H4!D221</f>
        <v>0</v>
      </c>
      <c r="E753" s="163">
        <f>[3]H4!E221</f>
        <v>0</v>
      </c>
      <c r="F753" s="163">
        <f>[3]H4!F221</f>
        <v>0</v>
      </c>
      <c r="G753" s="163">
        <f>[3]H4!G221</f>
        <v>0</v>
      </c>
      <c r="H753" s="163">
        <f>[3]H4!H221</f>
        <v>0</v>
      </c>
      <c r="I753" s="96"/>
    </row>
    <row r="754" spans="1:9" ht="76.5" hidden="1" x14ac:dyDescent="0.2">
      <c r="A754" s="180">
        <f>+SUBTOTAL(103,$B$10:B766)</f>
        <v>211</v>
      </c>
      <c r="B754" s="178">
        <v>102</v>
      </c>
      <c r="C754" s="161" t="s">
        <v>239</v>
      </c>
      <c r="D754" s="162">
        <f>[1]AA!D82</f>
        <v>0</v>
      </c>
      <c r="E754" s="162">
        <f>[1]AA!E82</f>
        <v>0</v>
      </c>
      <c r="F754" s="162">
        <f>[1]AA!F82</f>
        <v>0</v>
      </c>
      <c r="G754" s="162">
        <f>[1]AA!G82</f>
        <v>0</v>
      </c>
      <c r="H754" s="162">
        <f>[1]AA!H82</f>
        <v>0</v>
      </c>
      <c r="I754" s="96" t="e">
        <f>G754/D754</f>
        <v>#DIV/0!</v>
      </c>
    </row>
    <row r="755" spans="1:9" ht="31.5" hidden="1" customHeight="1" x14ac:dyDescent="0.2">
      <c r="A755" s="188"/>
      <c r="B755" s="187"/>
      <c r="C755" s="161" t="s">
        <v>348</v>
      </c>
      <c r="D755" s="162"/>
      <c r="E755" s="162"/>
      <c r="F755" s="162"/>
      <c r="G755" s="162"/>
      <c r="H755" s="162"/>
      <c r="I755" s="96"/>
    </row>
    <row r="756" spans="1:9" ht="31.5" hidden="1" customHeight="1" x14ac:dyDescent="0.2">
      <c r="A756" s="188"/>
      <c r="B756" s="187"/>
      <c r="C756" s="161" t="s">
        <v>378</v>
      </c>
      <c r="D756" s="162"/>
      <c r="E756" s="162"/>
      <c r="F756" s="162"/>
      <c r="G756" s="162"/>
      <c r="H756" s="162"/>
      <c r="I756" s="96"/>
    </row>
    <row r="757" spans="1:9" ht="31.5" hidden="1" customHeight="1" x14ac:dyDescent="0.2">
      <c r="A757" s="188"/>
      <c r="B757" s="187"/>
      <c r="C757" s="161" t="s">
        <v>349</v>
      </c>
      <c r="D757" s="162"/>
      <c r="E757" s="162"/>
      <c r="F757" s="162"/>
      <c r="G757" s="162"/>
      <c r="H757" s="162"/>
      <c r="I757" s="96"/>
    </row>
    <row r="758" spans="1:9" ht="18" hidden="1" customHeight="1" x14ac:dyDescent="0.2">
      <c r="A758" s="188"/>
      <c r="B758" s="187"/>
      <c r="C758" s="166" t="s">
        <v>352</v>
      </c>
      <c r="D758" s="162"/>
      <c r="E758" s="162"/>
      <c r="F758" s="162"/>
      <c r="G758" s="162"/>
      <c r="H758" s="162"/>
      <c r="I758" s="96"/>
    </row>
    <row r="759" spans="1:9" ht="31.5" hidden="1" customHeight="1" x14ac:dyDescent="0.2">
      <c r="A759" s="188"/>
      <c r="B759" s="187"/>
      <c r="C759" s="166" t="s">
        <v>353</v>
      </c>
      <c r="D759" s="162"/>
      <c r="E759" s="162"/>
      <c r="F759" s="162"/>
      <c r="G759" s="162"/>
      <c r="H759" s="162"/>
      <c r="I759" s="96"/>
    </row>
    <row r="760" spans="1:9" ht="31.5" hidden="1" customHeight="1" x14ac:dyDescent="0.2">
      <c r="A760" s="188"/>
      <c r="B760" s="187"/>
      <c r="C760" s="166" t="s">
        <v>351</v>
      </c>
      <c r="D760" s="162"/>
      <c r="E760" s="162"/>
      <c r="F760" s="162"/>
      <c r="G760" s="162"/>
      <c r="H760" s="162"/>
      <c r="I760" s="96"/>
    </row>
    <row r="761" spans="1:9" ht="31.5" hidden="1" customHeight="1" x14ac:dyDescent="0.2">
      <c r="A761" s="188"/>
      <c r="B761" s="187"/>
      <c r="C761" s="166" t="s">
        <v>346</v>
      </c>
      <c r="D761" s="162"/>
      <c r="E761" s="162"/>
      <c r="F761" s="162"/>
      <c r="G761" s="162"/>
      <c r="H761" s="162"/>
      <c r="I761" s="96"/>
    </row>
    <row r="762" spans="1:9" ht="18" hidden="1" customHeight="1" x14ac:dyDescent="0.2">
      <c r="A762" s="188"/>
      <c r="B762" s="187"/>
      <c r="C762" s="166" t="s">
        <v>347</v>
      </c>
      <c r="D762" s="162"/>
      <c r="E762" s="162"/>
      <c r="F762" s="162"/>
      <c r="G762" s="162"/>
      <c r="H762" s="162"/>
      <c r="I762" s="96"/>
    </row>
    <row r="763" spans="1:9" ht="31.5" hidden="1" customHeight="1" x14ac:dyDescent="0.2">
      <c r="A763" s="188"/>
      <c r="B763" s="187"/>
      <c r="C763" s="166" t="s">
        <v>350</v>
      </c>
      <c r="D763" s="162"/>
      <c r="E763" s="162"/>
      <c r="F763" s="162"/>
      <c r="G763" s="162"/>
      <c r="H763" s="162"/>
      <c r="I763" s="96"/>
    </row>
    <row r="764" spans="1:9" ht="63" hidden="1" customHeight="1" x14ac:dyDescent="0.2">
      <c r="A764" s="188"/>
      <c r="B764" s="187"/>
      <c r="C764" s="161" t="s">
        <v>194</v>
      </c>
      <c r="D764" s="162"/>
      <c r="E764" s="162"/>
      <c r="F764" s="162"/>
      <c r="G764" s="162"/>
      <c r="H764" s="162"/>
      <c r="I764" s="96" t="e">
        <f>G764/D764</f>
        <v>#DIV/0!</v>
      </c>
    </row>
    <row r="765" spans="1:9" ht="31.5" hidden="1" customHeight="1" x14ac:dyDescent="0.2">
      <c r="A765" s="188"/>
      <c r="B765" s="187"/>
      <c r="C765" s="166" t="s">
        <v>117</v>
      </c>
      <c r="D765" s="162"/>
      <c r="E765" s="162"/>
      <c r="F765" s="162"/>
      <c r="G765" s="162"/>
      <c r="H765" s="162"/>
      <c r="I765" s="96"/>
    </row>
    <row r="766" spans="1:9" hidden="1" x14ac:dyDescent="0.2">
      <c r="A766" s="181"/>
      <c r="B766" s="179"/>
      <c r="C766" s="161" t="str">
        <f>[3]H4!C229</f>
        <v>2.6.2.3.2 - 3.COSTO DE CONSTRUCCION POR CONTRATA</v>
      </c>
      <c r="D766" s="163">
        <f>[3]H4!D229</f>
        <v>0</v>
      </c>
      <c r="E766" s="163">
        <f>[3]H4!E229</f>
        <v>0</v>
      </c>
      <c r="F766" s="163">
        <f>[3]H4!F229</f>
        <v>0</v>
      </c>
      <c r="G766" s="163">
        <f>[3]H4!G229</f>
        <v>0</v>
      </c>
      <c r="H766" s="163">
        <f>[3]H4!H229</f>
        <v>0</v>
      </c>
      <c r="I766" s="96"/>
    </row>
    <row r="767" spans="1:9" ht="38.25" x14ac:dyDescent="0.2">
      <c r="A767" s="180"/>
      <c r="B767" s="178">
        <v>100</v>
      </c>
      <c r="C767" s="161" t="s">
        <v>237</v>
      </c>
      <c r="D767" s="162">
        <f>[1]AA!D80</f>
        <v>262341</v>
      </c>
      <c r="E767" s="162">
        <f>[1]AA!E80</f>
        <v>0</v>
      </c>
      <c r="F767" s="162">
        <f>[1]AA!F80</f>
        <v>262341</v>
      </c>
      <c r="G767" s="162">
        <f>[1]AA!G80</f>
        <v>0</v>
      </c>
      <c r="H767" s="162">
        <f>[1]AA!H80</f>
        <v>262341</v>
      </c>
      <c r="I767" s="96">
        <f>G767/D767</f>
        <v>0</v>
      </c>
    </row>
    <row r="768" spans="1:9" x14ac:dyDescent="0.2">
      <c r="A768" s="188"/>
      <c r="B768" s="187"/>
      <c r="C768" s="161"/>
      <c r="D768" s="163"/>
      <c r="E768" s="163"/>
      <c r="F768" s="163"/>
      <c r="G768" s="163"/>
      <c r="H768" s="163"/>
      <c r="I768" s="96"/>
    </row>
    <row r="769" spans="1:9" ht="25.5" x14ac:dyDescent="0.2">
      <c r="A769" s="181"/>
      <c r="B769" s="179"/>
      <c r="C769" s="161" t="str">
        <f>[3]H4!C227</f>
        <v>2.6.2.3.2 - 5.COSTO DE CONSTRUCCION POR ADMINISTRACION DIRECTA - BIENES</v>
      </c>
      <c r="D769" s="163">
        <f>[3]H4!D227</f>
        <v>262341</v>
      </c>
      <c r="E769" s="163">
        <f>[3]H4!E227</f>
        <v>0</v>
      </c>
      <c r="F769" s="163">
        <f>[3]H4!F227</f>
        <v>262341</v>
      </c>
      <c r="G769" s="163">
        <f>[3]H4!G227</f>
        <v>0</v>
      </c>
      <c r="H769" s="163">
        <f>[3]H4!H227</f>
        <v>262341</v>
      </c>
      <c r="I769" s="96"/>
    </row>
    <row r="770" spans="1:9" ht="38.25" x14ac:dyDescent="0.2">
      <c r="A770" s="180">
        <f>SUBTOTAL(103,$B$8:B772)</f>
        <v>213</v>
      </c>
      <c r="B770" s="178">
        <v>111</v>
      </c>
      <c r="C770" s="161" t="s">
        <v>245</v>
      </c>
      <c r="D770" s="162">
        <f>[1]AA!D91</f>
        <v>0</v>
      </c>
      <c r="E770" s="162">
        <f>[1]AA!E91</f>
        <v>0</v>
      </c>
      <c r="F770" s="162">
        <f>[1]AA!F91</f>
        <v>0</v>
      </c>
      <c r="G770" s="162">
        <f>[1]AA!G91</f>
        <v>0</v>
      </c>
      <c r="H770" s="162">
        <f>[1]AA!H91</f>
        <v>0</v>
      </c>
      <c r="I770" s="96" t="e">
        <f>G770/D770</f>
        <v>#DIV/0!</v>
      </c>
    </row>
    <row r="771" spans="1:9" x14ac:dyDescent="0.2">
      <c r="A771" s="188"/>
      <c r="B771" s="187"/>
      <c r="C771" s="161" t="str">
        <f>[3]H4!C233</f>
        <v>2.6.2.3.2 - 3.COSTO DE CONSTRUCCION POR CONTRATA</v>
      </c>
      <c r="D771" s="163">
        <f>[3]H4!D233</f>
        <v>45608</v>
      </c>
      <c r="E771" s="163">
        <f>[3]H4!E233</f>
        <v>0</v>
      </c>
      <c r="F771" s="163">
        <f>[3]H4!F233</f>
        <v>45608</v>
      </c>
      <c r="G771" s="163">
        <f>[3]H4!G233</f>
        <v>0</v>
      </c>
      <c r="H771" s="163">
        <f>[3]H4!H233</f>
        <v>45608</v>
      </c>
      <c r="I771" s="96"/>
    </row>
    <row r="772" spans="1:9" x14ac:dyDescent="0.2">
      <c r="A772" s="181"/>
      <c r="B772" s="179"/>
      <c r="C772" s="161" t="str">
        <f>[3]H4!C234</f>
        <v>2.6.8.1.3 - 1.ELABORACION DE EXPEDIENTES TECNICOS</v>
      </c>
      <c r="D772" s="163">
        <f>[3]H4!D234</f>
        <v>151216</v>
      </c>
      <c r="E772" s="163">
        <f>[3]H4!E234</f>
        <v>0</v>
      </c>
      <c r="F772" s="163">
        <f>[3]H4!F234</f>
        <v>151216</v>
      </c>
      <c r="G772" s="163">
        <f>[3]H4!G234</f>
        <v>0</v>
      </c>
      <c r="H772" s="163">
        <f>[3]H4!H234</f>
        <v>151216</v>
      </c>
      <c r="I772" s="96"/>
    </row>
    <row r="773" spans="1:9" ht="63.75" x14ac:dyDescent="0.2">
      <c r="A773" s="180">
        <f>SUBTOTAL(103,$B$8:B775)</f>
        <v>214</v>
      </c>
      <c r="B773" s="178">
        <v>115</v>
      </c>
      <c r="C773" s="161" t="s">
        <v>496</v>
      </c>
      <c r="D773" s="162">
        <f>[1]AA!D95</f>
        <v>100000</v>
      </c>
      <c r="E773" s="162">
        <f>[1]AA!E95</f>
        <v>20000</v>
      </c>
      <c r="F773" s="162">
        <f>[1]AA!F95</f>
        <v>80000</v>
      </c>
      <c r="G773" s="162">
        <f>[1]AA!G95</f>
        <v>13772.3</v>
      </c>
      <c r="H773" s="162">
        <f>[1]AA!H95</f>
        <v>86227.7</v>
      </c>
      <c r="I773" s="96">
        <f>G773/D773</f>
        <v>0.13772299999999998</v>
      </c>
    </row>
    <row r="774" spans="1:9" x14ac:dyDescent="0.2">
      <c r="A774" s="188"/>
      <c r="B774" s="187"/>
      <c r="C774" s="161" t="str">
        <f>[3]H4!C237</f>
        <v>2.6.2.3.2 - 3.COSTO DE CONSTRUCCION POR CONTRATA</v>
      </c>
      <c r="D774" s="163">
        <f>[3]H4!D237</f>
        <v>0</v>
      </c>
      <c r="E774" s="163">
        <f>[3]H4!E237</f>
        <v>0</v>
      </c>
      <c r="F774" s="163">
        <f>[3]H4!F237</f>
        <v>0</v>
      </c>
      <c r="G774" s="163">
        <f>[3]H4!G237</f>
        <v>0</v>
      </c>
      <c r="H774" s="163">
        <f>[3]H4!H237</f>
        <v>0</v>
      </c>
      <c r="I774" s="96"/>
    </row>
    <row r="775" spans="1:9" x14ac:dyDescent="0.2">
      <c r="A775" s="181"/>
      <c r="B775" s="179"/>
      <c r="C775" s="161" t="str">
        <f>[3]H4!C238</f>
        <v>2.6.8.1.3 - 1.ELABORACION DE EXPEDIENTES TECNICOS</v>
      </c>
      <c r="D775" s="163">
        <f>[3]H4!D238</f>
        <v>100000</v>
      </c>
      <c r="E775" s="163">
        <f>[3]H4!E238</f>
        <v>20000</v>
      </c>
      <c r="F775" s="163">
        <f>[3]H4!F238</f>
        <v>80000</v>
      </c>
      <c r="G775" s="163">
        <f>[3]H4!G238</f>
        <v>13772.3</v>
      </c>
      <c r="H775" s="163">
        <f>[3]H4!H238</f>
        <v>86227.7</v>
      </c>
      <c r="I775" s="96"/>
    </row>
    <row r="776" spans="1:9" ht="63.75" x14ac:dyDescent="0.2">
      <c r="A776" s="180">
        <f>SUBTOTAL(103,$B$8:B778)</f>
        <v>215</v>
      </c>
      <c r="B776" s="178">
        <v>117</v>
      </c>
      <c r="C776" s="161" t="s">
        <v>497</v>
      </c>
      <c r="D776" s="162">
        <f>[1]AA!D97</f>
        <v>391951</v>
      </c>
      <c r="E776" s="162">
        <f>[1]AA!E97</f>
        <v>130000</v>
      </c>
      <c r="F776" s="162">
        <f>[1]AA!F97</f>
        <v>261951</v>
      </c>
      <c r="G776" s="162">
        <f>[1]AA!G97</f>
        <v>0</v>
      </c>
      <c r="H776" s="162">
        <f>[1]AA!H97</f>
        <v>391951</v>
      </c>
      <c r="I776" s="96">
        <f>G776/D776</f>
        <v>0</v>
      </c>
    </row>
    <row r="777" spans="1:9" x14ac:dyDescent="0.2">
      <c r="A777" s="188"/>
      <c r="B777" s="187"/>
      <c r="C777" s="161" t="str">
        <f>[3]H4!C241</f>
        <v>2.6.2.3.2 - 3.COSTO DE CONSTRUCCION POR CONTRATA</v>
      </c>
      <c r="D777" s="163">
        <f>[3]H4!D241</f>
        <v>0</v>
      </c>
      <c r="E777" s="163">
        <f>[3]H4!E241</f>
        <v>0</v>
      </c>
      <c r="F777" s="163">
        <f>[3]H4!F241</f>
        <v>0</v>
      </c>
      <c r="G777" s="163">
        <f>[3]H4!G241</f>
        <v>0</v>
      </c>
      <c r="H777" s="163">
        <f>[3]H4!H241</f>
        <v>0</v>
      </c>
      <c r="I777" s="96"/>
    </row>
    <row r="778" spans="1:9" x14ac:dyDescent="0.2">
      <c r="A778" s="181"/>
      <c r="B778" s="179"/>
      <c r="C778" s="161" t="str">
        <f>[3]H4!C242</f>
        <v>2.6.8.1.3 - 1.ELABORACION DE EXPEDIENTES TECNICOS</v>
      </c>
      <c r="D778" s="163">
        <f>[3]H4!D242</f>
        <v>391951</v>
      </c>
      <c r="E778" s="163">
        <f>[3]H4!E242</f>
        <v>130000</v>
      </c>
      <c r="F778" s="163">
        <f>[3]H4!F242</f>
        <v>261951</v>
      </c>
      <c r="G778" s="163">
        <f>[3]H4!G242</f>
        <v>0</v>
      </c>
      <c r="H778" s="163">
        <f>[3]H4!H242</f>
        <v>391951</v>
      </c>
      <c r="I778" s="96"/>
    </row>
    <row r="779" spans="1:9" ht="63.75" hidden="1" x14ac:dyDescent="0.2">
      <c r="A779" s="180">
        <f>SUBTOTAL(103,$B$8:B780)</f>
        <v>215</v>
      </c>
      <c r="B779" s="178">
        <v>118</v>
      </c>
      <c r="C779" s="161" t="s">
        <v>474</v>
      </c>
      <c r="D779" s="162">
        <f>[1]AA!D98</f>
        <v>0</v>
      </c>
      <c r="E779" s="162">
        <f>[1]AA!E98</f>
        <v>0</v>
      </c>
      <c r="F779" s="162">
        <f>[1]AA!F98</f>
        <v>0</v>
      </c>
      <c r="G779" s="162">
        <f>[1]AA!G98</f>
        <v>0</v>
      </c>
      <c r="H779" s="162">
        <f>[1]AA!H98</f>
        <v>0</v>
      </c>
      <c r="I779" s="96" t="e">
        <f>G779/D779</f>
        <v>#DIV/0!</v>
      </c>
    </row>
    <row r="780" spans="1:9" hidden="1" x14ac:dyDescent="0.2">
      <c r="A780" s="181"/>
      <c r="B780" s="187"/>
      <c r="C780" s="161" t="str">
        <f>[3]H4!C245</f>
        <v>2.6.2.3.2 - 3.COSTO DE CONSTRUCCION POR CONTRATA</v>
      </c>
      <c r="D780" s="163">
        <f>[3]H4!D245</f>
        <v>0</v>
      </c>
      <c r="E780" s="163">
        <f>[3]H4!E245</f>
        <v>0</v>
      </c>
      <c r="F780" s="163">
        <f>[3]H4!F245</f>
        <v>0</v>
      </c>
      <c r="G780" s="163">
        <f>[3]H4!G245</f>
        <v>0</v>
      </c>
      <c r="H780" s="163">
        <f>[3]H4!H245</f>
        <v>0</v>
      </c>
      <c r="I780" s="96"/>
    </row>
    <row r="781" spans="1:9" ht="63.75" x14ac:dyDescent="0.2">
      <c r="A781" s="180">
        <f>SUBTOTAL(103,$B$8:B783)</f>
        <v>216</v>
      </c>
      <c r="B781" s="178">
        <v>120</v>
      </c>
      <c r="C781" s="161" t="s">
        <v>490</v>
      </c>
      <c r="D781" s="162">
        <f>[1]AA!D100</f>
        <v>171047</v>
      </c>
      <c r="E781" s="162">
        <f>[1]AA!E100</f>
        <v>170547</v>
      </c>
      <c r="F781" s="162">
        <f>[1]AA!F100</f>
        <v>500</v>
      </c>
      <c r="G781" s="162">
        <f>[1]AA!G100</f>
        <v>104642.82</v>
      </c>
      <c r="H781" s="162">
        <f>[1]AA!H100</f>
        <v>66404.179999999993</v>
      </c>
      <c r="I781" s="96">
        <f>G781/D781</f>
        <v>0.61177816623501147</v>
      </c>
    </row>
    <row r="782" spans="1:9" x14ac:dyDescent="0.2">
      <c r="A782" s="188"/>
      <c r="B782" s="187"/>
      <c r="C782" s="161" t="str">
        <f>[3]H4!C249</f>
        <v>2.6.2.3.2 - 3.COSTO DE CONSTRUCCION POR CONTRATA</v>
      </c>
      <c r="D782" s="163">
        <f>[3]H4!D249</f>
        <v>0</v>
      </c>
      <c r="E782" s="163">
        <f>[3]H4!E249</f>
        <v>0</v>
      </c>
      <c r="F782" s="163">
        <f>[3]H4!F249</f>
        <v>0</v>
      </c>
      <c r="G782" s="163">
        <f>[3]H4!G249</f>
        <v>0</v>
      </c>
      <c r="H782" s="163">
        <f>[3]H4!H249</f>
        <v>0</v>
      </c>
      <c r="I782" s="96"/>
    </row>
    <row r="783" spans="1:9" x14ac:dyDescent="0.2">
      <c r="A783" s="181"/>
      <c r="B783" s="179"/>
      <c r="C783" s="161" t="str">
        <f>[3]H4!C250</f>
        <v>2.6.8.1.3 - 1.ELABORACION DE EXPEDIENTES TECNICOS</v>
      </c>
      <c r="D783" s="163">
        <f>[3]H4!D250</f>
        <v>171047</v>
      </c>
      <c r="E783" s="163">
        <f>[3]H4!E250</f>
        <v>170547</v>
      </c>
      <c r="F783" s="163">
        <f>[3]H4!F250</f>
        <v>500</v>
      </c>
      <c r="G783" s="163">
        <f>[3]H4!G250</f>
        <v>104642.82</v>
      </c>
      <c r="H783" s="163">
        <f>[3]H4!H250</f>
        <v>66404.179999999993</v>
      </c>
      <c r="I783" s="96"/>
    </row>
    <row r="784" spans="1:9" ht="51" hidden="1" x14ac:dyDescent="0.2">
      <c r="A784" s="180">
        <f>SUBTOTAL(103,$B$8:B784)</f>
        <v>216</v>
      </c>
      <c r="B784" s="178"/>
      <c r="C784" s="161" t="s">
        <v>409</v>
      </c>
      <c r="D784" s="162"/>
      <c r="E784" s="162"/>
      <c r="F784" s="162"/>
      <c r="G784" s="162"/>
      <c r="H784" s="162"/>
      <c r="I784" s="96" t="e">
        <f>G784/D784</f>
        <v>#DIV/0!</v>
      </c>
    </row>
    <row r="785" spans="1:9" hidden="1" x14ac:dyDescent="0.2">
      <c r="A785" s="188"/>
      <c r="B785" s="187"/>
      <c r="C785" s="166" t="s">
        <v>860</v>
      </c>
      <c r="D785" s="162"/>
      <c r="E785" s="162"/>
      <c r="F785" s="162"/>
      <c r="G785" s="162"/>
      <c r="H785" s="162"/>
      <c r="I785" s="96"/>
    </row>
    <row r="786" spans="1:9" hidden="1" x14ac:dyDescent="0.2">
      <c r="A786" s="181"/>
      <c r="B786" s="179"/>
      <c r="C786" s="166" t="s">
        <v>117</v>
      </c>
      <c r="D786" s="162"/>
      <c r="E786" s="162"/>
      <c r="F786" s="162"/>
      <c r="G786" s="162"/>
      <c r="H786" s="162"/>
      <c r="I786" s="96"/>
    </row>
    <row r="787" spans="1:9" ht="102" x14ac:dyDescent="0.2">
      <c r="A787" s="180">
        <f>SUBTOTAL(103,$B$8:B789)</f>
        <v>217</v>
      </c>
      <c r="B787" s="178">
        <v>122</v>
      </c>
      <c r="C787" s="161" t="s">
        <v>491</v>
      </c>
      <c r="D787" s="162">
        <f>[1]AA!D102</f>
        <v>840279</v>
      </c>
      <c r="E787" s="162">
        <f>[1]AA!E102</f>
        <v>588334</v>
      </c>
      <c r="F787" s="162">
        <f>[1]AA!F102</f>
        <v>251945</v>
      </c>
      <c r="G787" s="162">
        <f>[1]AA!G102</f>
        <v>459222.51</v>
      </c>
      <c r="H787" s="162">
        <f>[1]AA!H102</f>
        <v>381056.49</v>
      </c>
      <c r="I787" s="96">
        <f>G787/D787</f>
        <v>0.54651194424708938</v>
      </c>
    </row>
    <row r="788" spans="1:9" x14ac:dyDescent="0.2">
      <c r="A788" s="188"/>
      <c r="B788" s="187"/>
      <c r="C788" s="161" t="str">
        <f>[3]H4!C253</f>
        <v>2.6.2.3.2 - 3.COSTO DE CONSTRUCCION POR CONTRATA</v>
      </c>
      <c r="D788" s="163">
        <f>[3]H4!D253</f>
        <v>0</v>
      </c>
      <c r="E788" s="163">
        <f>[3]H4!E253</f>
        <v>0</v>
      </c>
      <c r="F788" s="163">
        <f>[3]H4!F253</f>
        <v>0</v>
      </c>
      <c r="G788" s="163">
        <f>[3]H4!G253</f>
        <v>0</v>
      </c>
      <c r="H788" s="163">
        <f>[3]H4!H253</f>
        <v>0</v>
      </c>
      <c r="I788" s="96"/>
    </row>
    <row r="789" spans="1:9" x14ac:dyDescent="0.2">
      <c r="A789" s="181"/>
      <c r="B789" s="179"/>
      <c r="C789" s="161" t="str">
        <f>[3]H4!C254</f>
        <v>2.6.8.1.3 - 1.ELABORACION DE EXPEDIENTES TECNICOS</v>
      </c>
      <c r="D789" s="163">
        <f>[3]H4!D254</f>
        <v>840279</v>
      </c>
      <c r="E789" s="163">
        <f>[3]H4!E254</f>
        <v>588334</v>
      </c>
      <c r="F789" s="163">
        <f>[3]H4!F254</f>
        <v>251945</v>
      </c>
      <c r="G789" s="163">
        <f>[3]H4!G254</f>
        <v>459222.51</v>
      </c>
      <c r="H789" s="163">
        <f>[3]H4!H254</f>
        <v>381056.49</v>
      </c>
      <c r="I789" s="96"/>
    </row>
    <row r="790" spans="1:9" ht="76.5" x14ac:dyDescent="0.2">
      <c r="A790" s="180">
        <f>SUBTOTAL(103,$B$8:B792)</f>
        <v>218</v>
      </c>
      <c r="B790" s="178">
        <v>125</v>
      </c>
      <c r="C790" s="161" t="s">
        <v>473</v>
      </c>
      <c r="D790" s="162">
        <f>[1]AA!D105</f>
        <v>674368</v>
      </c>
      <c r="E790" s="162">
        <f>[1]AA!E105</f>
        <v>173868</v>
      </c>
      <c r="F790" s="162">
        <f>[1]AA!F105</f>
        <v>500500</v>
      </c>
      <c r="G790" s="162">
        <f>[1]AA!G105</f>
        <v>97687.86</v>
      </c>
      <c r="H790" s="162">
        <f>[1]AA!H105</f>
        <v>576680.14</v>
      </c>
      <c r="I790" s="96">
        <f>G790/D790</f>
        <v>0.14485838592578532</v>
      </c>
    </row>
    <row r="791" spans="1:9" x14ac:dyDescent="0.2">
      <c r="A791" s="188"/>
      <c r="B791" s="187"/>
      <c r="C791" s="161" t="str">
        <f>[3]H4!C257</f>
        <v>2.6.2.3.2 - 3.COSTO DE CONSTRUCCION POR CONTRATA</v>
      </c>
      <c r="D791" s="163">
        <f>[3]H4!D257</f>
        <v>500000</v>
      </c>
      <c r="E791" s="163">
        <f>[3]H4!E257</f>
        <v>0</v>
      </c>
      <c r="F791" s="163">
        <f>[3]H4!F257</f>
        <v>500000</v>
      </c>
      <c r="G791" s="163">
        <f>[3]H4!G257</f>
        <v>0</v>
      </c>
      <c r="H791" s="163">
        <f>[3]H4!H257</f>
        <v>500000</v>
      </c>
      <c r="I791" s="96"/>
    </row>
    <row r="792" spans="1:9" x14ac:dyDescent="0.2">
      <c r="A792" s="181"/>
      <c r="B792" s="179"/>
      <c r="C792" s="161" t="str">
        <f>[3]H4!C258</f>
        <v>2.6.8.1.3 - 1.ELABORACION DE EXPEDIENTES TECNICOS</v>
      </c>
      <c r="D792" s="163">
        <f>[3]H4!D258</f>
        <v>174368</v>
      </c>
      <c r="E792" s="163">
        <f>[3]H4!E258</f>
        <v>173868</v>
      </c>
      <c r="F792" s="163">
        <f>[3]H4!F258</f>
        <v>500</v>
      </c>
      <c r="G792" s="163">
        <f>[3]H4!G258</f>
        <v>97687.86</v>
      </c>
      <c r="H792" s="163">
        <f>[3]H4!H258</f>
        <v>76680.14</v>
      </c>
      <c r="I792" s="96"/>
    </row>
    <row r="793" spans="1:9" ht="63.75" x14ac:dyDescent="0.2">
      <c r="A793" s="180">
        <f>SUBTOTAL(103,$B$8:B795)</f>
        <v>219</v>
      </c>
      <c r="B793" s="178">
        <v>126</v>
      </c>
      <c r="C793" s="161" t="s">
        <v>498</v>
      </c>
      <c r="D793" s="162">
        <f>[1]AA!D106</f>
        <v>520686</v>
      </c>
      <c r="E793" s="162">
        <f>[1]AA!E106</f>
        <v>519936</v>
      </c>
      <c r="F793" s="162">
        <f>[1]AA!F106</f>
        <v>750</v>
      </c>
      <c r="G793" s="162">
        <f>[1]AA!G106</f>
        <v>435290.95000000007</v>
      </c>
      <c r="H793" s="162">
        <f>[1]AA!H106</f>
        <v>85395.04999999993</v>
      </c>
      <c r="I793" s="96">
        <f>G793/D793</f>
        <v>0.83599511029680085</v>
      </c>
    </row>
    <row r="794" spans="1:9" x14ac:dyDescent="0.2">
      <c r="A794" s="188"/>
      <c r="B794" s="187"/>
      <c r="C794" s="161" t="str">
        <f>[3]H4!C261</f>
        <v>2.6.2.3.2 - 3.COSTO DE CONSTRUCCION POR CONTRATA</v>
      </c>
      <c r="D794" s="163">
        <f>[3]H4!D261</f>
        <v>0</v>
      </c>
      <c r="E794" s="163">
        <f>[3]H4!E261</f>
        <v>0</v>
      </c>
      <c r="F794" s="163">
        <f>[3]H4!F261</f>
        <v>0</v>
      </c>
      <c r="G794" s="163">
        <f>[3]H4!G261</f>
        <v>0</v>
      </c>
      <c r="H794" s="163">
        <f>[3]H4!H261</f>
        <v>0</v>
      </c>
      <c r="I794" s="96"/>
    </row>
    <row r="795" spans="1:9" x14ac:dyDescent="0.2">
      <c r="A795" s="181"/>
      <c r="B795" s="179"/>
      <c r="C795" s="161" t="str">
        <f>[3]H4!C262</f>
        <v>2.6.8.1.3 - 1.ELABORACION DE EXPEDIENTES TECNICOS</v>
      </c>
      <c r="D795" s="163">
        <f>[3]H4!D262</f>
        <v>520686</v>
      </c>
      <c r="E795" s="163">
        <f>[3]H4!E262</f>
        <v>519936</v>
      </c>
      <c r="F795" s="163">
        <f>[3]H4!F262</f>
        <v>750</v>
      </c>
      <c r="G795" s="163">
        <f>[3]H4!G262</f>
        <v>435290.95000000007</v>
      </c>
      <c r="H795" s="163">
        <f>[3]H4!H262</f>
        <v>85395.04999999993</v>
      </c>
      <c r="I795" s="96"/>
    </row>
    <row r="796" spans="1:9" ht="63.75" x14ac:dyDescent="0.2">
      <c r="A796" s="180">
        <f>+SUBTOTAL(103,$B$10:B799)</f>
        <v>220</v>
      </c>
      <c r="B796" s="178">
        <v>127</v>
      </c>
      <c r="C796" s="161" t="s">
        <v>380</v>
      </c>
      <c r="D796" s="162">
        <f>[1]AA!D107</f>
        <v>321536</v>
      </c>
      <c r="E796" s="162">
        <f>[1]AA!E107</f>
        <v>319536</v>
      </c>
      <c r="F796" s="162">
        <f>[1]AA!F107</f>
        <v>2000</v>
      </c>
      <c r="G796" s="162">
        <f>[1]AA!G107</f>
        <v>219666.12</v>
      </c>
      <c r="H796" s="162">
        <f>[1]AA!H107</f>
        <v>101869.88</v>
      </c>
      <c r="I796" s="96">
        <f>G796/D796</f>
        <v>0.68317737360668784</v>
      </c>
    </row>
    <row r="797" spans="1:9" x14ac:dyDescent="0.2">
      <c r="A797" s="188"/>
      <c r="B797" s="187"/>
      <c r="C797" s="161" t="str">
        <f>[3]H4!C265</f>
        <v>2.6.2.2.3 - 2.COSTO DE CONSTRUCCION POR CONTRATA</v>
      </c>
      <c r="D797" s="163">
        <f>[3]H4!D265</f>
        <v>0</v>
      </c>
      <c r="E797" s="163">
        <f>[3]H4!E265</f>
        <v>0</v>
      </c>
      <c r="F797" s="163">
        <f>[3]H4!F265</f>
        <v>0</v>
      </c>
      <c r="G797" s="163">
        <f>[3]H4!G265</f>
        <v>0</v>
      </c>
      <c r="H797" s="163">
        <f>[3]H4!H265</f>
        <v>0</v>
      </c>
      <c r="I797" s="96"/>
    </row>
    <row r="798" spans="1:9" x14ac:dyDescent="0.2">
      <c r="A798" s="188"/>
      <c r="B798" s="187"/>
      <c r="C798" s="161" t="str">
        <f>[3]H4!C266</f>
        <v>2.6.2.3.2 - 3.COSTO DE CONSTRUCCION POR CONTRATA</v>
      </c>
      <c r="D798" s="163">
        <f>[3]H4!D266</f>
        <v>0</v>
      </c>
      <c r="E798" s="163">
        <f>[3]H4!E266</f>
        <v>0</v>
      </c>
      <c r="F798" s="163">
        <f>[3]H4!F266</f>
        <v>0</v>
      </c>
      <c r="G798" s="163">
        <f>[3]H4!G266</f>
        <v>0</v>
      </c>
      <c r="H798" s="163">
        <f>[3]H4!H266</f>
        <v>0</v>
      </c>
      <c r="I798" s="96"/>
    </row>
    <row r="799" spans="1:9" x14ac:dyDescent="0.2">
      <c r="A799" s="181"/>
      <c r="B799" s="179"/>
      <c r="C799" s="161" t="str">
        <f>[3]H4!C267</f>
        <v>2.6.8.1.3 - 1.ELABORACION DE EXPEDIENTES TECNICOS</v>
      </c>
      <c r="D799" s="163">
        <f>[3]H4!D267</f>
        <v>321536</v>
      </c>
      <c r="E799" s="163">
        <f>[3]H4!E267</f>
        <v>319536</v>
      </c>
      <c r="F799" s="163">
        <f>[3]H4!F267</f>
        <v>2000</v>
      </c>
      <c r="G799" s="163">
        <f>[3]H4!G267</f>
        <v>219666.12</v>
      </c>
      <c r="H799" s="163">
        <f>[3]H4!H267</f>
        <v>101869.88</v>
      </c>
      <c r="I799" s="96"/>
    </row>
    <row r="800" spans="1:9" ht="63.75" x14ac:dyDescent="0.2">
      <c r="A800" s="180">
        <f>SUBTOTAL(103,$B$8:B802)</f>
        <v>221</v>
      </c>
      <c r="B800" s="178">
        <v>129</v>
      </c>
      <c r="C800" s="161" t="s">
        <v>486</v>
      </c>
      <c r="D800" s="162">
        <f>[1]AA!D109</f>
        <v>230847</v>
      </c>
      <c r="E800" s="162">
        <f>[1]AA!E109</f>
        <v>230597</v>
      </c>
      <c r="F800" s="162">
        <f>[1]AA!F109</f>
        <v>250</v>
      </c>
      <c r="G800" s="162">
        <f>[1]AA!G109</f>
        <v>149795.84000000003</v>
      </c>
      <c r="H800" s="162">
        <f>[1]AA!H109</f>
        <v>81051.159999999974</v>
      </c>
      <c r="I800" s="96">
        <f>G800/D800</f>
        <v>0.64889662850286134</v>
      </c>
    </row>
    <row r="801" spans="1:9" x14ac:dyDescent="0.2">
      <c r="A801" s="188"/>
      <c r="B801" s="187"/>
      <c r="C801" s="161" t="str">
        <f>[3]H4!C269</f>
        <v>2.6.2.3.2 - 3.COSTO DE CONSTRUCCION POR CONTRATA</v>
      </c>
      <c r="D801" s="163">
        <f>[3]H4!D269</f>
        <v>0</v>
      </c>
      <c r="E801" s="163">
        <f>[3]H4!E269</f>
        <v>0</v>
      </c>
      <c r="F801" s="163">
        <f>[3]H4!F269</f>
        <v>0</v>
      </c>
      <c r="G801" s="163">
        <f>[3]H4!G269</f>
        <v>0</v>
      </c>
      <c r="H801" s="163">
        <f>[3]H4!H269</f>
        <v>0</v>
      </c>
      <c r="I801" s="96"/>
    </row>
    <row r="802" spans="1:9" x14ac:dyDescent="0.2">
      <c r="A802" s="181"/>
      <c r="B802" s="179"/>
      <c r="C802" s="161" t="str">
        <f>[3]H4!C270</f>
        <v>2.6.8.1.3 - 1.ELABORACION DE EXPEDIENTES TECNICOS</v>
      </c>
      <c r="D802" s="163">
        <f>[3]H4!D270</f>
        <v>230847</v>
      </c>
      <c r="E802" s="163">
        <f>[3]H4!E270</f>
        <v>230597</v>
      </c>
      <c r="F802" s="163">
        <f>[3]H4!F270</f>
        <v>250</v>
      </c>
      <c r="G802" s="163">
        <f>[3]H4!G270</f>
        <v>149795.84000000003</v>
      </c>
      <c r="H802" s="163">
        <f>[3]H4!H270</f>
        <v>81051.159999999974</v>
      </c>
      <c r="I802" s="96"/>
    </row>
    <row r="803" spans="1:9" ht="51" x14ac:dyDescent="0.2">
      <c r="A803" s="180">
        <f>SUBTOTAL(103,$B$8:B805)</f>
        <v>222</v>
      </c>
      <c r="B803" s="178">
        <v>130</v>
      </c>
      <c r="C803" s="161" t="s">
        <v>840</v>
      </c>
      <c r="D803" s="162">
        <f>[1]AA!D110</f>
        <v>349206</v>
      </c>
      <c r="E803" s="162">
        <f>[1]AA!E110</f>
        <v>243147.4</v>
      </c>
      <c r="F803" s="162">
        <f>[1]AA!F110</f>
        <v>106058.6</v>
      </c>
      <c r="G803" s="162">
        <f>[1]AA!G110</f>
        <v>203537.66999999998</v>
      </c>
      <c r="H803" s="162">
        <f>[1]AA!H110</f>
        <v>145668.33000000002</v>
      </c>
      <c r="I803" s="96">
        <f>G803/D803</f>
        <v>0.5828584560402742</v>
      </c>
    </row>
    <row r="804" spans="1:9" x14ac:dyDescent="0.2">
      <c r="A804" s="188"/>
      <c r="B804" s="187"/>
      <c r="C804" s="161" t="str">
        <f>[3]H4!C273</f>
        <v>2.6.2.3.2 - 3.COSTO DE CONSTRUCCION POR CONTRATA</v>
      </c>
      <c r="D804" s="163">
        <f>[3]H4!D273</f>
        <v>0</v>
      </c>
      <c r="E804" s="163">
        <f>[3]H4!E273</f>
        <v>0</v>
      </c>
      <c r="F804" s="163">
        <f>[3]H4!F273</f>
        <v>0</v>
      </c>
      <c r="G804" s="163">
        <f>[3]H4!G273</f>
        <v>0</v>
      </c>
      <c r="H804" s="163">
        <f>[3]H4!H273</f>
        <v>0</v>
      </c>
      <c r="I804" s="96"/>
    </row>
    <row r="805" spans="1:9" x14ac:dyDescent="0.2">
      <c r="A805" s="181"/>
      <c r="B805" s="179"/>
      <c r="C805" s="161" t="str">
        <f>[3]H4!C274</f>
        <v>2.6.8.1.3 - 1.ELABORACION DE EXPEDIENTES TECNICOS</v>
      </c>
      <c r="D805" s="163">
        <f>[3]H4!D274</f>
        <v>349206</v>
      </c>
      <c r="E805" s="163">
        <f>[3]H4!E274</f>
        <v>243147.4</v>
      </c>
      <c r="F805" s="163">
        <f>[3]H4!F274</f>
        <v>106058.6</v>
      </c>
      <c r="G805" s="163">
        <f>[3]H4!G274</f>
        <v>203537.66999999998</v>
      </c>
      <c r="H805" s="163">
        <f>[3]H4!H274</f>
        <v>145668.33000000002</v>
      </c>
      <c r="I805" s="96"/>
    </row>
    <row r="806" spans="1:9" ht="51" x14ac:dyDescent="0.2">
      <c r="A806" s="180">
        <f>SUBTOTAL(103,$B$8:B808)</f>
        <v>223</v>
      </c>
      <c r="B806" s="178">
        <v>131</v>
      </c>
      <c r="C806" s="161" t="s">
        <v>485</v>
      </c>
      <c r="D806" s="162">
        <f>[1]AA!D111</f>
        <v>239379</v>
      </c>
      <c r="E806" s="162">
        <f>[1]AA!E111</f>
        <v>206500</v>
      </c>
      <c r="F806" s="162">
        <f>[1]AA!F111</f>
        <v>32879</v>
      </c>
      <c r="G806" s="162">
        <f>[1]AA!G111</f>
        <v>87235.37</v>
      </c>
      <c r="H806" s="162">
        <f>[1]AA!H111</f>
        <v>152143.63</v>
      </c>
      <c r="I806" s="96">
        <f>G806/D806</f>
        <v>0.36442365453945413</v>
      </c>
    </row>
    <row r="807" spans="1:9" x14ac:dyDescent="0.2">
      <c r="A807" s="188"/>
      <c r="B807" s="187"/>
      <c r="C807" s="161" t="str">
        <f>[3]H4!C277</f>
        <v>2.6.2.3.2 - 3.COSTO DE CONSTRUCCION POR CONTRATA</v>
      </c>
      <c r="D807" s="163">
        <f>[3]H4!D277</f>
        <v>0</v>
      </c>
      <c r="E807" s="163">
        <f>[3]H4!E277</f>
        <v>0</v>
      </c>
      <c r="F807" s="163">
        <f>[3]H4!F277</f>
        <v>0</v>
      </c>
      <c r="G807" s="163">
        <f>[3]H4!G277</f>
        <v>0</v>
      </c>
      <c r="H807" s="163">
        <f>[3]H4!H277</f>
        <v>0</v>
      </c>
      <c r="I807" s="96"/>
    </row>
    <row r="808" spans="1:9" x14ac:dyDescent="0.2">
      <c r="A808" s="181"/>
      <c r="B808" s="179"/>
      <c r="C808" s="161" t="str">
        <f>[3]H4!C278</f>
        <v>2.6.8.1.3 - 1.ELABORACION DE EXPEDIENTES TECNICOS</v>
      </c>
      <c r="D808" s="163">
        <f>[3]H4!D278</f>
        <v>239379</v>
      </c>
      <c r="E808" s="163">
        <f>[3]H4!E278</f>
        <v>206500</v>
      </c>
      <c r="F808" s="163">
        <f>[3]H4!F278</f>
        <v>32879</v>
      </c>
      <c r="G808" s="163">
        <f>[3]H4!G278</f>
        <v>87235.37</v>
      </c>
      <c r="H808" s="163">
        <f>[3]H4!H278</f>
        <v>152143.63</v>
      </c>
      <c r="I808" s="96"/>
    </row>
    <row r="809" spans="1:9" ht="63.75" x14ac:dyDescent="0.2">
      <c r="A809" s="180">
        <f>SUBTOTAL(103,$B$8:B811)</f>
        <v>224</v>
      </c>
      <c r="B809" s="178">
        <v>132</v>
      </c>
      <c r="C809" s="161" t="s">
        <v>476</v>
      </c>
      <c r="D809" s="162">
        <f>[1]AA!D112</f>
        <v>118786</v>
      </c>
      <c r="E809" s="162">
        <f>[1]AA!E112</f>
        <v>112400</v>
      </c>
      <c r="F809" s="162">
        <f>[1]AA!F112</f>
        <v>6386</v>
      </c>
      <c r="G809" s="162">
        <f>[1]AA!G112</f>
        <v>73781.179999999993</v>
      </c>
      <c r="H809" s="162">
        <f>[1]AA!H112</f>
        <v>45004.820000000007</v>
      </c>
      <c r="I809" s="96">
        <f>G809/D809</f>
        <v>0.62112690047648711</v>
      </c>
    </row>
    <row r="810" spans="1:9" x14ac:dyDescent="0.2">
      <c r="A810" s="188"/>
      <c r="B810" s="187"/>
      <c r="C810" s="161" t="str">
        <f>[3]H4!C281</f>
        <v>2.6.2.3.2 - 3.COSTO DE CONSTRUCCION POR CONTRATA</v>
      </c>
      <c r="D810" s="163">
        <f>[3]H4!D281</f>
        <v>0</v>
      </c>
      <c r="E810" s="163">
        <f>[3]H4!E281</f>
        <v>0</v>
      </c>
      <c r="F810" s="163">
        <f>[3]H4!F281</f>
        <v>0</v>
      </c>
      <c r="G810" s="163">
        <f>[3]H4!G281</f>
        <v>0</v>
      </c>
      <c r="H810" s="163">
        <f>[3]H4!H281</f>
        <v>0</v>
      </c>
      <c r="I810" s="96"/>
    </row>
    <row r="811" spans="1:9" x14ac:dyDescent="0.2">
      <c r="A811" s="181"/>
      <c r="B811" s="179"/>
      <c r="C811" s="161" t="str">
        <f>[3]H4!C282</f>
        <v>2.6.8.1.3 - 1.ELABORACION DE EXPEDIENTES TECNICOS</v>
      </c>
      <c r="D811" s="163">
        <f>[3]H4!D282</f>
        <v>118786</v>
      </c>
      <c r="E811" s="163">
        <f>[3]H4!E282</f>
        <v>112400</v>
      </c>
      <c r="F811" s="163">
        <f>[3]H4!F282</f>
        <v>6386</v>
      </c>
      <c r="G811" s="163">
        <f>[3]H4!G282</f>
        <v>73781.179999999993</v>
      </c>
      <c r="H811" s="163">
        <f>[3]H4!H282</f>
        <v>45004.820000000007</v>
      </c>
      <c r="I811" s="96"/>
    </row>
    <row r="812" spans="1:9" ht="63.75" x14ac:dyDescent="0.2">
      <c r="A812" s="180">
        <f>SUBTOTAL(103,$B$8:B814)</f>
        <v>225</v>
      </c>
      <c r="B812" s="178">
        <v>133</v>
      </c>
      <c r="C812" s="161" t="s">
        <v>746</v>
      </c>
      <c r="D812" s="162">
        <f>[1]AA!D113</f>
        <v>141416</v>
      </c>
      <c r="E812" s="162">
        <f>[1]AA!E113</f>
        <v>130450</v>
      </c>
      <c r="F812" s="162">
        <f>[1]AA!F113</f>
        <v>10966</v>
      </c>
      <c r="G812" s="162">
        <f>[1]AA!G113</f>
        <v>91615.61</v>
      </c>
      <c r="H812" s="162">
        <f>[1]AA!H113</f>
        <v>49800.39</v>
      </c>
      <c r="I812" s="96">
        <f>G812/D812</f>
        <v>0.64784472761215139</v>
      </c>
    </row>
    <row r="813" spans="1:9" x14ac:dyDescent="0.2">
      <c r="A813" s="188"/>
      <c r="B813" s="187"/>
      <c r="C813" s="161" t="str">
        <f>[3]H4!C285</f>
        <v>2.6.2.3.2 - 3.COSTO DE CONSTRUCCION POR CONTRATA</v>
      </c>
      <c r="D813" s="163">
        <f>[3]H4!D285</f>
        <v>0</v>
      </c>
      <c r="E813" s="163">
        <f>[3]H4!E285</f>
        <v>0</v>
      </c>
      <c r="F813" s="163">
        <f>[3]H4!F285</f>
        <v>0</v>
      </c>
      <c r="G813" s="163">
        <f>[3]H4!G285</f>
        <v>0</v>
      </c>
      <c r="H813" s="163">
        <f>[3]H4!H285</f>
        <v>0</v>
      </c>
      <c r="I813" s="96"/>
    </row>
    <row r="814" spans="1:9" x14ac:dyDescent="0.2">
      <c r="A814" s="181"/>
      <c r="B814" s="179"/>
      <c r="C814" s="161" t="str">
        <f>[3]H4!C286</f>
        <v>2.6.8.1.3 - 1.ELABORACION DE EXPEDIENTES TECNICOS</v>
      </c>
      <c r="D814" s="163">
        <f>[3]H4!D286</f>
        <v>141416</v>
      </c>
      <c r="E814" s="163">
        <f>[3]H4!E286</f>
        <v>130450</v>
      </c>
      <c r="F814" s="163">
        <f>[3]H4!F286</f>
        <v>10966</v>
      </c>
      <c r="G814" s="163">
        <f>[3]H4!G286</f>
        <v>91615.61</v>
      </c>
      <c r="H814" s="163">
        <f>[3]H4!H286</f>
        <v>49800.39</v>
      </c>
      <c r="I814" s="96"/>
    </row>
    <row r="815" spans="1:9" ht="51" x14ac:dyDescent="0.2">
      <c r="A815" s="180">
        <f>SUBTOTAL(103,$B$8:B817)</f>
        <v>226</v>
      </c>
      <c r="B815" s="178">
        <v>134</v>
      </c>
      <c r="C815" s="161" t="s">
        <v>470</v>
      </c>
      <c r="D815" s="162">
        <f>[1]AA!D114</f>
        <v>230550</v>
      </c>
      <c r="E815" s="162">
        <f>[1]AA!E114</f>
        <v>189499</v>
      </c>
      <c r="F815" s="162">
        <f>[1]AA!F114</f>
        <v>41051</v>
      </c>
      <c r="G815" s="162">
        <f>[1]AA!G114</f>
        <v>133985.88</v>
      </c>
      <c r="H815" s="162">
        <f>[1]AA!H114</f>
        <v>96564.12</v>
      </c>
      <c r="I815" s="96">
        <f>G815/D815</f>
        <v>0.58115757970071569</v>
      </c>
    </row>
    <row r="816" spans="1:9" x14ac:dyDescent="0.2">
      <c r="A816" s="188"/>
      <c r="B816" s="187"/>
      <c r="C816" s="161" t="str">
        <f>[3]H4!C289</f>
        <v>2.6.2.3.2 - 3.COSTO DE CONSTRUCCION POR CONTRATA</v>
      </c>
      <c r="D816" s="163">
        <f>[3]H4!D289</f>
        <v>0</v>
      </c>
      <c r="E816" s="163">
        <f>[3]H4!E289</f>
        <v>0</v>
      </c>
      <c r="F816" s="163">
        <f>[3]H4!F289</f>
        <v>0</v>
      </c>
      <c r="G816" s="163">
        <f>[3]H4!G289</f>
        <v>0</v>
      </c>
      <c r="H816" s="163">
        <f>[3]H4!H289</f>
        <v>0</v>
      </c>
      <c r="I816" s="96"/>
    </row>
    <row r="817" spans="1:9" x14ac:dyDescent="0.2">
      <c r="A817" s="181"/>
      <c r="B817" s="179"/>
      <c r="C817" s="161" t="str">
        <f>[3]H4!C290</f>
        <v>2.6.8.1.3 - 1.ELABORACION DE EXPEDIENTES TECNICOS</v>
      </c>
      <c r="D817" s="163">
        <f>[3]H4!D290</f>
        <v>230550</v>
      </c>
      <c r="E817" s="163">
        <f>[3]H4!E290</f>
        <v>189499</v>
      </c>
      <c r="F817" s="163">
        <f>[3]H4!F290</f>
        <v>41051</v>
      </c>
      <c r="G817" s="163">
        <f>[3]H4!G290</f>
        <v>133985.88</v>
      </c>
      <c r="H817" s="163">
        <f>[3]H4!H290</f>
        <v>96564.12</v>
      </c>
      <c r="I817" s="96"/>
    </row>
    <row r="818" spans="1:9" ht="63.75" x14ac:dyDescent="0.2">
      <c r="A818" s="180">
        <f>SUBTOTAL(103,$B$8:B820)</f>
        <v>227</v>
      </c>
      <c r="B818" s="178">
        <v>135</v>
      </c>
      <c r="C818" s="161" t="s">
        <v>878</v>
      </c>
      <c r="D818" s="162">
        <f>[1]AA!D115</f>
        <v>490000</v>
      </c>
      <c r="E818" s="162">
        <f>[1]AA!E115</f>
        <v>490000</v>
      </c>
      <c r="F818" s="162">
        <f>[1]AA!F115</f>
        <v>0</v>
      </c>
      <c r="G818" s="162">
        <f>[1]AA!G115</f>
        <v>334344.42000000004</v>
      </c>
      <c r="H818" s="162">
        <f>[1]AA!H115</f>
        <v>155655.57999999996</v>
      </c>
      <c r="I818" s="96">
        <f>G818/D818</f>
        <v>0.68233555102040822</v>
      </c>
    </row>
    <row r="819" spans="1:9" x14ac:dyDescent="0.2">
      <c r="A819" s="188"/>
      <c r="B819" s="187"/>
      <c r="C819" s="161" t="str">
        <f>[3]H4!C293</f>
        <v>2.6.2.3.2 - 3.COSTO DE CONSTRUCCION POR CONTRATA</v>
      </c>
      <c r="D819" s="163">
        <f>[3]H4!D293</f>
        <v>0</v>
      </c>
      <c r="E819" s="163">
        <f>[3]H4!E293</f>
        <v>0</v>
      </c>
      <c r="F819" s="163">
        <f>[3]H4!F293</f>
        <v>0</v>
      </c>
      <c r="G819" s="163">
        <f>[3]H4!G293</f>
        <v>0</v>
      </c>
      <c r="H819" s="163">
        <f>[3]H4!H293</f>
        <v>0</v>
      </c>
      <c r="I819" s="96"/>
    </row>
    <row r="820" spans="1:9" x14ac:dyDescent="0.2">
      <c r="A820" s="181"/>
      <c r="B820" s="179"/>
      <c r="C820" s="161" t="str">
        <f>[3]H4!C294</f>
        <v>2.6.8.1.3 - 1.ELABORACION DE EXPEDIENTES TECNICOS</v>
      </c>
      <c r="D820" s="163">
        <f>[3]H4!D294</f>
        <v>490000</v>
      </c>
      <c r="E820" s="163">
        <f>[3]H4!E294</f>
        <v>490000</v>
      </c>
      <c r="F820" s="163">
        <f>[3]H4!F294</f>
        <v>0</v>
      </c>
      <c r="G820" s="163">
        <f>[3]H4!G294</f>
        <v>334344.42000000004</v>
      </c>
      <c r="H820" s="163">
        <f>[3]H4!H294</f>
        <v>155655.57999999996</v>
      </c>
      <c r="I820" s="96"/>
    </row>
    <row r="821" spans="1:9" ht="63.75" hidden="1" x14ac:dyDescent="0.2">
      <c r="A821" s="180">
        <f>SUBTOTAL(103,$B$8:B823)</f>
        <v>227</v>
      </c>
      <c r="B821" s="178">
        <v>136</v>
      </c>
      <c r="C821" s="161" t="s">
        <v>925</v>
      </c>
      <c r="D821" s="162">
        <f>[1]AA!D116</f>
        <v>0</v>
      </c>
      <c r="E821" s="162">
        <f>[1]AA!E116</f>
        <v>0</v>
      </c>
      <c r="F821" s="162">
        <f>[1]AA!F116</f>
        <v>0</v>
      </c>
      <c r="G821" s="162">
        <f>[1]AA!G116</f>
        <v>0</v>
      </c>
      <c r="H821" s="162">
        <f>[1]AA!H116</f>
        <v>0</v>
      </c>
      <c r="I821" s="96" t="e">
        <f>G821/D821</f>
        <v>#DIV/0!</v>
      </c>
    </row>
    <row r="822" spans="1:9" hidden="1" x14ac:dyDescent="0.2">
      <c r="A822" s="188"/>
      <c r="B822" s="187"/>
      <c r="C822" s="161" t="str">
        <f>[3]H4!C297</f>
        <v>2.6.2.3.2 - 3.COSTO DE CONSTRUCCION POR CONTRATA</v>
      </c>
      <c r="D822" s="163">
        <f>[3]H4!D297</f>
        <v>0</v>
      </c>
      <c r="E822" s="163">
        <f>[3]H4!E297</f>
        <v>0</v>
      </c>
      <c r="F822" s="163">
        <f>[3]H4!F297</f>
        <v>0</v>
      </c>
      <c r="G822" s="163">
        <f>[3]H4!G297</f>
        <v>0</v>
      </c>
      <c r="H822" s="163">
        <f>[3]H4!H297</f>
        <v>0</v>
      </c>
      <c r="I822" s="96"/>
    </row>
    <row r="823" spans="1:9" hidden="1" x14ac:dyDescent="0.2">
      <c r="A823" s="181"/>
      <c r="B823" s="179"/>
      <c r="C823" s="161" t="str">
        <f>[3]H4!C298</f>
        <v>2.6.8.1.3 - 1.ELABORACION DE EXPEDIENTES TECNICOS</v>
      </c>
      <c r="D823" s="163">
        <f>[3]H4!D298</f>
        <v>0</v>
      </c>
      <c r="E823" s="163">
        <f>[3]H4!E298</f>
        <v>0</v>
      </c>
      <c r="F823" s="163">
        <f>[3]H4!F298</f>
        <v>0</v>
      </c>
      <c r="G823" s="163">
        <f>[3]H4!G298</f>
        <v>0</v>
      </c>
      <c r="H823" s="163">
        <f>[3]H4!H298</f>
        <v>0</v>
      </c>
      <c r="I823" s="96"/>
    </row>
    <row r="824" spans="1:9" ht="63.75" x14ac:dyDescent="0.2">
      <c r="A824" s="180">
        <f>SUBTOTAL(103,$B$8:B826)</f>
        <v>228</v>
      </c>
      <c r="B824" s="178">
        <v>137</v>
      </c>
      <c r="C824" s="161" t="s">
        <v>898</v>
      </c>
      <c r="D824" s="162">
        <f>[1]AA!D117</f>
        <v>350000</v>
      </c>
      <c r="E824" s="162">
        <f>[1]AA!E117</f>
        <v>350000</v>
      </c>
      <c r="F824" s="162">
        <f>[1]AA!F117</f>
        <v>0</v>
      </c>
      <c r="G824" s="162">
        <f>[1]AA!G117</f>
        <v>145642.76999999999</v>
      </c>
      <c r="H824" s="162">
        <f>[1]AA!H117</f>
        <v>204357.23</v>
      </c>
      <c r="I824" s="96">
        <f>G824/D824</f>
        <v>0.4161222</v>
      </c>
    </row>
    <row r="825" spans="1:9" x14ac:dyDescent="0.2">
      <c r="A825" s="188"/>
      <c r="B825" s="187"/>
      <c r="C825" s="161" t="str">
        <f>[3]H4!C301</f>
        <v>2.6.2.3.2 - 3.COSTO DE CONSTRUCCION POR CONTRATA</v>
      </c>
      <c r="D825" s="163">
        <f>[3]H4!D301</f>
        <v>0</v>
      </c>
      <c r="E825" s="163">
        <f>[3]H4!E301</f>
        <v>0</v>
      </c>
      <c r="F825" s="163">
        <f>[3]H4!F301</f>
        <v>0</v>
      </c>
      <c r="G825" s="163">
        <f>[3]H4!G301</f>
        <v>0</v>
      </c>
      <c r="H825" s="163">
        <f>[3]H4!H301</f>
        <v>0</v>
      </c>
      <c r="I825" s="96"/>
    </row>
    <row r="826" spans="1:9" x14ac:dyDescent="0.2">
      <c r="A826" s="181"/>
      <c r="B826" s="179"/>
      <c r="C826" s="161" t="str">
        <f>[3]H4!C302</f>
        <v>2.6.8.1.3 - 1.ELABORACION DE EXPEDIENTES TECNICOS</v>
      </c>
      <c r="D826" s="163">
        <f>[3]H4!D302</f>
        <v>350000</v>
      </c>
      <c r="E826" s="163">
        <f>[3]H4!E302</f>
        <v>350000</v>
      </c>
      <c r="F826" s="163">
        <f>[3]H4!F302</f>
        <v>0</v>
      </c>
      <c r="G826" s="163">
        <f>[3]H4!G302</f>
        <v>145642.76999999999</v>
      </c>
      <c r="H826" s="163">
        <f>[3]H4!H302</f>
        <v>204357.23</v>
      </c>
      <c r="I826" s="96"/>
    </row>
    <row r="827" spans="1:9" ht="63.75" x14ac:dyDescent="0.2">
      <c r="A827" s="180">
        <f>SUBTOTAL(103,$B$8:B829)</f>
        <v>229</v>
      </c>
      <c r="B827" s="178">
        <v>138</v>
      </c>
      <c r="C827" s="161" t="s">
        <v>926</v>
      </c>
      <c r="D827" s="162">
        <f>[1]AA!D118</f>
        <v>550000</v>
      </c>
      <c r="E827" s="162">
        <f>[1]AA!E118</f>
        <v>547400</v>
      </c>
      <c r="F827" s="162">
        <f>[1]AA!F118</f>
        <v>2600</v>
      </c>
      <c r="G827" s="162">
        <f>[1]AA!G118</f>
        <v>231637.81</v>
      </c>
      <c r="H827" s="162">
        <f>[1]AA!H118</f>
        <v>318362.19</v>
      </c>
      <c r="I827" s="96">
        <f>G827/D827</f>
        <v>0.42115965454545456</v>
      </c>
    </row>
    <row r="828" spans="1:9" x14ac:dyDescent="0.2">
      <c r="A828" s="188"/>
      <c r="B828" s="187"/>
      <c r="C828" s="161" t="str">
        <f>[3]H4!C305</f>
        <v>2.6.2.3.2 - 3.COSTO DE CONSTRUCCION POR CONTRATA</v>
      </c>
      <c r="D828" s="163">
        <f>[3]H4!D305</f>
        <v>0</v>
      </c>
      <c r="E828" s="163">
        <f>[3]H4!E305</f>
        <v>0</v>
      </c>
      <c r="F828" s="163">
        <f>[3]H4!F305</f>
        <v>0</v>
      </c>
      <c r="G828" s="163">
        <f>[3]H4!G305</f>
        <v>0</v>
      </c>
      <c r="H828" s="163">
        <f>[3]H4!H305</f>
        <v>0</v>
      </c>
      <c r="I828" s="96"/>
    </row>
    <row r="829" spans="1:9" x14ac:dyDescent="0.2">
      <c r="A829" s="181"/>
      <c r="B829" s="179"/>
      <c r="C829" s="161" t="str">
        <f>[3]H4!C306</f>
        <v>2.6.8.1.3 - 1.ELABORACION DE EXPEDIENTES TECNICOS</v>
      </c>
      <c r="D829" s="163">
        <f>[3]H4!D306</f>
        <v>550000</v>
      </c>
      <c r="E829" s="163">
        <f>[3]H4!E306</f>
        <v>547400</v>
      </c>
      <c r="F829" s="163">
        <f>[3]H4!F306</f>
        <v>2600</v>
      </c>
      <c r="G829" s="163">
        <f>[3]H4!G306</f>
        <v>231637.81</v>
      </c>
      <c r="H829" s="163">
        <f>[3]H4!H306</f>
        <v>318362.19</v>
      </c>
      <c r="I829" s="96"/>
    </row>
    <row r="830" spans="1:9" ht="51" x14ac:dyDescent="0.2">
      <c r="A830" s="180">
        <f>SUBTOTAL(103,$B$8:B832)</f>
        <v>230</v>
      </c>
      <c r="B830" s="178">
        <v>139</v>
      </c>
      <c r="C830" s="161" t="s">
        <v>877</v>
      </c>
      <c r="D830" s="162">
        <f>[1]AA!D119</f>
        <v>75173</v>
      </c>
      <c r="E830" s="162">
        <f>[1]AA!E119</f>
        <v>75173</v>
      </c>
      <c r="F830" s="162">
        <f>[1]AA!F119</f>
        <v>0</v>
      </c>
      <c r="G830" s="162">
        <f>[1]AA!G119</f>
        <v>59170.239999999998</v>
      </c>
      <c r="H830" s="162">
        <f>[1]AA!H119</f>
        <v>16002.760000000002</v>
      </c>
      <c r="I830" s="96">
        <f>G830/D830</f>
        <v>0.78712090777273758</v>
      </c>
    </row>
    <row r="831" spans="1:9" x14ac:dyDescent="0.2">
      <c r="A831" s="188"/>
      <c r="B831" s="187"/>
      <c r="C831" s="161" t="str">
        <f>[3]H4!C309</f>
        <v>2.6.2.3.2 - 3.COSTO DE CONSTRUCCION POR CONTRATA</v>
      </c>
      <c r="D831" s="163">
        <f>[3]H4!D309</f>
        <v>0</v>
      </c>
      <c r="E831" s="163">
        <f>[3]H4!E309</f>
        <v>0</v>
      </c>
      <c r="F831" s="163">
        <f>[3]H4!F309</f>
        <v>0</v>
      </c>
      <c r="G831" s="163">
        <f>[3]H4!G309</f>
        <v>0</v>
      </c>
      <c r="H831" s="163">
        <f>[3]H4!H309</f>
        <v>0</v>
      </c>
      <c r="I831" s="96"/>
    </row>
    <row r="832" spans="1:9" x14ac:dyDescent="0.2">
      <c r="A832" s="181"/>
      <c r="B832" s="179"/>
      <c r="C832" s="161" t="str">
        <f>[3]H4!C310</f>
        <v>2.6.8.1.3 - 1.ELABORACION DE EXPEDIENTES TECNICOS</v>
      </c>
      <c r="D832" s="163">
        <f>[3]H4!D310</f>
        <v>75173</v>
      </c>
      <c r="E832" s="163">
        <f>[3]H4!E310</f>
        <v>75173</v>
      </c>
      <c r="F832" s="163">
        <f>[3]H4!F310</f>
        <v>0</v>
      </c>
      <c r="G832" s="163">
        <f>[3]H4!G310</f>
        <v>59170.239999999998</v>
      </c>
      <c r="H832" s="163">
        <f>[3]H4!H310</f>
        <v>16002.760000000002</v>
      </c>
      <c r="I832" s="96"/>
    </row>
    <row r="833" spans="1:9" ht="76.5" hidden="1" x14ac:dyDescent="0.2">
      <c r="A833" s="180">
        <f>SUBTOTAL(103,$B$8:B835)</f>
        <v>230</v>
      </c>
      <c r="B833" s="178">
        <v>140</v>
      </c>
      <c r="C833" s="161" t="s">
        <v>805</v>
      </c>
      <c r="D833" s="162">
        <f>[1]AA!D120</f>
        <v>0</v>
      </c>
      <c r="E833" s="162">
        <f>[1]AA!E120</f>
        <v>0</v>
      </c>
      <c r="F833" s="162">
        <f>[1]AA!F120</f>
        <v>0</v>
      </c>
      <c r="G833" s="162">
        <f>[1]AA!G120</f>
        <v>0</v>
      </c>
      <c r="H833" s="162">
        <f>[1]AA!H120</f>
        <v>0</v>
      </c>
      <c r="I833" s="96" t="e">
        <f>G833/D833</f>
        <v>#DIV/0!</v>
      </c>
    </row>
    <row r="834" spans="1:9" hidden="1" x14ac:dyDescent="0.2">
      <c r="A834" s="188"/>
      <c r="B834" s="187"/>
      <c r="C834" s="161" t="str">
        <f>[3]H4!C313</f>
        <v>2.6.2.3.2 - 3.COSTO DE CONSTRUCCION POR CONTRATA</v>
      </c>
      <c r="D834" s="163">
        <f>[3]H4!D313</f>
        <v>0</v>
      </c>
      <c r="E834" s="163">
        <f>[3]H4!E313</f>
        <v>0</v>
      </c>
      <c r="F834" s="163">
        <f>[3]H4!F313</f>
        <v>0</v>
      </c>
      <c r="G834" s="163">
        <f>[3]H4!G313</f>
        <v>0</v>
      </c>
      <c r="H834" s="163">
        <f>[3]H4!H313</f>
        <v>0</v>
      </c>
      <c r="I834" s="96"/>
    </row>
    <row r="835" spans="1:9" hidden="1" x14ac:dyDescent="0.2">
      <c r="A835" s="181"/>
      <c r="B835" s="179"/>
      <c r="C835" s="161" t="str">
        <f>[3]H4!C314</f>
        <v>2.6.8.1.3 - 1.ELABORACION DE EXPEDIENTES TECNICOS</v>
      </c>
      <c r="D835" s="163">
        <f>[3]H4!D314</f>
        <v>0</v>
      </c>
      <c r="E835" s="163">
        <f>[3]H4!E314</f>
        <v>0</v>
      </c>
      <c r="F835" s="163">
        <f>[3]H4!F314</f>
        <v>0</v>
      </c>
      <c r="G835" s="163">
        <f>[3]H4!G314</f>
        <v>0</v>
      </c>
      <c r="H835" s="163">
        <f>[3]H4!H314</f>
        <v>0</v>
      </c>
      <c r="I835" s="96"/>
    </row>
    <row r="836" spans="1:9" ht="63.75" hidden="1" x14ac:dyDescent="0.2">
      <c r="A836" s="180">
        <f>SUBTOTAL(103,$B$8:B838)</f>
        <v>230</v>
      </c>
      <c r="B836" s="178">
        <v>141</v>
      </c>
      <c r="C836" s="161" t="s">
        <v>927</v>
      </c>
      <c r="D836" s="162">
        <f>[1]AA!D121</f>
        <v>0</v>
      </c>
      <c r="E836" s="162">
        <f>[1]AA!E121</f>
        <v>0</v>
      </c>
      <c r="F836" s="162">
        <f>[1]AA!F121</f>
        <v>0</v>
      </c>
      <c r="G836" s="162">
        <f>[1]AA!G121</f>
        <v>0</v>
      </c>
      <c r="H836" s="162">
        <f>[1]AA!H121</f>
        <v>0</v>
      </c>
      <c r="I836" s="96" t="e">
        <f>G836/D836</f>
        <v>#DIV/0!</v>
      </c>
    </row>
    <row r="837" spans="1:9" hidden="1" x14ac:dyDescent="0.2">
      <c r="A837" s="188"/>
      <c r="B837" s="187"/>
      <c r="C837" s="161" t="str">
        <f>[3]H4!C317</f>
        <v>2.6.2.3.2 - 3.COSTO DE CONSTRUCCION POR CONTRATA</v>
      </c>
      <c r="D837" s="163">
        <f>[3]H4!D317</f>
        <v>0</v>
      </c>
      <c r="E837" s="163">
        <f>[3]H4!E317</f>
        <v>0</v>
      </c>
      <c r="F837" s="163">
        <f>[3]H4!F317</f>
        <v>0</v>
      </c>
      <c r="G837" s="163">
        <f>[3]H4!G317</f>
        <v>0</v>
      </c>
      <c r="H837" s="163">
        <f>[3]H4!H317</f>
        <v>0</v>
      </c>
      <c r="I837" s="96"/>
    </row>
    <row r="838" spans="1:9" hidden="1" x14ac:dyDescent="0.2">
      <c r="A838" s="181"/>
      <c r="B838" s="179"/>
      <c r="C838" s="161" t="str">
        <f>[3]H4!C318</f>
        <v>2.6.8.1.3 - 1.ELABORACION DE EXPEDIENTES TECNICOS</v>
      </c>
      <c r="D838" s="163">
        <f>[3]H4!D318</f>
        <v>0</v>
      </c>
      <c r="E838" s="163">
        <f>[3]H4!E318</f>
        <v>0</v>
      </c>
      <c r="F838" s="163">
        <f>[3]H4!F318</f>
        <v>0</v>
      </c>
      <c r="G838" s="163">
        <f>[3]H4!G318</f>
        <v>0</v>
      </c>
      <c r="H838" s="163">
        <f>[3]H4!H318</f>
        <v>0</v>
      </c>
      <c r="I838" s="96"/>
    </row>
    <row r="839" spans="1:9" ht="89.25" x14ac:dyDescent="0.2">
      <c r="A839" s="180">
        <f>+SUBTOTAL(103,$B$10:B842)</f>
        <v>231</v>
      </c>
      <c r="B839" s="178">
        <v>142</v>
      </c>
      <c r="C839" s="161" t="s">
        <v>883</v>
      </c>
      <c r="D839" s="162">
        <f>[1]AA!D122</f>
        <v>330710</v>
      </c>
      <c r="E839" s="162">
        <f>[1]AA!E122</f>
        <v>275398.95</v>
      </c>
      <c r="F839" s="162">
        <f>[1]AA!F122</f>
        <v>55311.049999999988</v>
      </c>
      <c r="G839" s="162">
        <f>[1]AA!G122</f>
        <v>184886.54</v>
      </c>
      <c r="H839" s="162">
        <f>[1]AA!H122</f>
        <v>145823.46</v>
      </c>
      <c r="I839" s="96">
        <f>G839/D839</f>
        <v>0.55905941761664302</v>
      </c>
    </row>
    <row r="840" spans="1:9" x14ac:dyDescent="0.2">
      <c r="A840" s="188"/>
      <c r="B840" s="187"/>
      <c r="C840" s="161" t="str">
        <f>[3]H4!C321</f>
        <v>2.6.2.3.2 - 3.COSTO DE CONSTRUCCION POR CONTRATA</v>
      </c>
      <c r="D840" s="163">
        <f>[3]H4!D321</f>
        <v>0</v>
      </c>
      <c r="E840" s="163">
        <f>[3]H4!E321</f>
        <v>0</v>
      </c>
      <c r="F840" s="163">
        <f>[3]H4!F321</f>
        <v>0</v>
      </c>
      <c r="G840" s="163">
        <f>[3]H4!G321</f>
        <v>0</v>
      </c>
      <c r="H840" s="163">
        <f>[3]H4!H321</f>
        <v>0</v>
      </c>
      <c r="I840" s="96"/>
    </row>
    <row r="841" spans="1:9" x14ac:dyDescent="0.2">
      <c r="A841" s="188"/>
      <c r="B841" s="187"/>
      <c r="C841" s="161" t="str">
        <f>[3]H4!C322</f>
        <v>2.6.8.1.3 - 1.ELABORACION DE EXPEDIENTES TECNICOS</v>
      </c>
      <c r="D841" s="163">
        <f>[3]H4!D322</f>
        <v>330710</v>
      </c>
      <c r="E841" s="163">
        <f>[3]H4!E322</f>
        <v>275398.95</v>
      </c>
      <c r="F841" s="163">
        <f>[3]H4!F322</f>
        <v>55311.049999999988</v>
      </c>
      <c r="G841" s="163">
        <f>[3]H4!G322</f>
        <v>182886.54</v>
      </c>
      <c r="H841" s="163">
        <f>[3]H4!H322</f>
        <v>147823.46</v>
      </c>
      <c r="I841" s="96"/>
    </row>
    <row r="842" spans="1:9" x14ac:dyDescent="0.2">
      <c r="A842" s="181"/>
      <c r="B842" s="179"/>
      <c r="C842" s="161" t="str">
        <f>[3]H4!C323</f>
        <v>2.6.8.1.4 - 1.GASTO POR LA CONTRATACION DE PERSONAL</v>
      </c>
      <c r="D842" s="163">
        <f>[3]H4!D323</f>
        <v>0</v>
      </c>
      <c r="E842" s="163">
        <f>[3]H4!E323</f>
        <v>0</v>
      </c>
      <c r="F842" s="163">
        <f>[3]H4!F323</f>
        <v>0</v>
      </c>
      <c r="G842" s="163">
        <f>[3]H4!G323</f>
        <v>0</v>
      </c>
      <c r="H842" s="163">
        <f>[3]H4!H323</f>
        <v>0</v>
      </c>
      <c r="I842" s="96"/>
    </row>
    <row r="843" spans="1:9" ht="38.25" x14ac:dyDescent="0.2">
      <c r="A843" s="180">
        <f>SUBTOTAL(103,$B$8:B845)</f>
        <v>232</v>
      </c>
      <c r="B843" s="178">
        <v>143</v>
      </c>
      <c r="C843" s="161" t="s">
        <v>884</v>
      </c>
      <c r="D843" s="162">
        <f>[1]AA!D123</f>
        <v>50000</v>
      </c>
      <c r="E843" s="162">
        <f>[1]AA!E123</f>
        <v>49980</v>
      </c>
      <c r="F843" s="162">
        <f>[1]AA!F123</f>
        <v>20</v>
      </c>
      <c r="G843" s="162">
        <f>[1]AA!G123</f>
        <v>49974.770000000004</v>
      </c>
      <c r="H843" s="162">
        <f>[1]AA!H123</f>
        <v>25.229999999995925</v>
      </c>
      <c r="I843" s="96">
        <f>G843/D843</f>
        <v>0.99949540000000003</v>
      </c>
    </row>
    <row r="844" spans="1:9" x14ac:dyDescent="0.2">
      <c r="A844" s="188"/>
      <c r="B844" s="187"/>
      <c r="C844" s="161" t="str">
        <f>[3]H4!C325</f>
        <v>2.6.2.3.9 - 2.COSTO DE CONSTRUCCION POR CONTRATA</v>
      </c>
      <c r="D844" s="163">
        <f>[3]H4!D325</f>
        <v>0</v>
      </c>
      <c r="E844" s="163">
        <f>[3]H4!E325</f>
        <v>0</v>
      </c>
      <c r="F844" s="163">
        <f>[3]H4!F325</f>
        <v>0</v>
      </c>
      <c r="G844" s="163">
        <f>[3]H4!G325</f>
        <v>0</v>
      </c>
      <c r="H844" s="163">
        <f>[3]H4!H325</f>
        <v>0</v>
      </c>
      <c r="I844" s="96"/>
    </row>
    <row r="845" spans="1:9" x14ac:dyDescent="0.2">
      <c r="A845" s="181"/>
      <c r="B845" s="179"/>
      <c r="C845" s="161" t="str">
        <f>[3]H4!C326</f>
        <v>2.6.8.1.3 - 1.ELABORACION DE EXPEDIENTES TECNICOS</v>
      </c>
      <c r="D845" s="163">
        <f>[3]H4!D326</f>
        <v>50000</v>
      </c>
      <c r="E845" s="163">
        <f>[3]H4!E326</f>
        <v>49980</v>
      </c>
      <c r="F845" s="163">
        <f>[3]H4!F326</f>
        <v>20</v>
      </c>
      <c r="G845" s="163">
        <f>[3]H4!G326</f>
        <v>49974.770000000004</v>
      </c>
      <c r="H845" s="163">
        <f>[3]H4!H326</f>
        <v>25.229999999995925</v>
      </c>
      <c r="I845" s="96"/>
    </row>
    <row r="846" spans="1:9" ht="76.5" x14ac:dyDescent="0.2">
      <c r="A846" s="180">
        <f>SUBTOTAL(103,$B$8:B848)</f>
        <v>233</v>
      </c>
      <c r="B846" s="178">
        <v>144</v>
      </c>
      <c r="C846" s="161" t="s">
        <v>872</v>
      </c>
      <c r="D846" s="162">
        <f>[1]AA!D124</f>
        <v>278409</v>
      </c>
      <c r="E846" s="162">
        <f>[1]AA!E124</f>
        <v>278409</v>
      </c>
      <c r="F846" s="162">
        <f>[1]AA!F124</f>
        <v>0</v>
      </c>
      <c r="G846" s="162">
        <f>[1]AA!G124</f>
        <v>202805.9</v>
      </c>
      <c r="H846" s="162">
        <f>[1]AA!H124</f>
        <v>75603.100000000006</v>
      </c>
      <c r="I846" s="96">
        <f>G846/D846</f>
        <v>0.72844591949254511</v>
      </c>
    </row>
    <row r="847" spans="1:9" x14ac:dyDescent="0.2">
      <c r="A847" s="188"/>
      <c r="B847" s="187"/>
      <c r="C847" s="161" t="str">
        <f>[3]H4!C329</f>
        <v>2.6.2.3.2 - 3.COSTO DE CONSTRUCCION POR CONTRATA</v>
      </c>
      <c r="D847" s="163">
        <f>[3]H4!D329</f>
        <v>0</v>
      </c>
      <c r="E847" s="163">
        <f>[3]H4!E329</f>
        <v>0</v>
      </c>
      <c r="F847" s="163">
        <f>[3]H4!F329</f>
        <v>0</v>
      </c>
      <c r="G847" s="163">
        <f>[3]H4!G329</f>
        <v>0</v>
      </c>
      <c r="H847" s="163">
        <f>[3]H4!H329</f>
        <v>0</v>
      </c>
      <c r="I847" s="96"/>
    </row>
    <row r="848" spans="1:9" x14ac:dyDescent="0.2">
      <c r="A848" s="181"/>
      <c r="B848" s="179"/>
      <c r="C848" s="161" t="str">
        <f>[3]H4!C330</f>
        <v>2.6.8.1.3 - 1.ELABORACION DE EXPEDIENTES TECNICOS</v>
      </c>
      <c r="D848" s="163">
        <f>[3]H4!D330</f>
        <v>278409</v>
      </c>
      <c r="E848" s="163">
        <f>[3]H4!E330</f>
        <v>278409</v>
      </c>
      <c r="F848" s="163">
        <f>[3]H4!F330</f>
        <v>0</v>
      </c>
      <c r="G848" s="163">
        <f>[3]H4!G330</f>
        <v>202805.9</v>
      </c>
      <c r="H848" s="163">
        <f>[3]H4!H330</f>
        <v>75603.100000000006</v>
      </c>
      <c r="I848" s="96"/>
    </row>
    <row r="849" spans="1:9" ht="89.25" x14ac:dyDescent="0.2">
      <c r="A849" s="180">
        <f>SUBTOTAL(103,$B$8:B851)</f>
        <v>234</v>
      </c>
      <c r="B849" s="178">
        <v>145</v>
      </c>
      <c r="C849" s="161" t="s">
        <v>928</v>
      </c>
      <c r="D849" s="162">
        <f>[1]AA!D125</f>
        <v>347083</v>
      </c>
      <c r="E849" s="162">
        <f>[1]AA!E125</f>
        <v>346214.6</v>
      </c>
      <c r="F849" s="162">
        <f>[1]AA!F125</f>
        <v>868.40000000002328</v>
      </c>
      <c r="G849" s="162">
        <f>[1]AA!G125</f>
        <v>229284.11000000002</v>
      </c>
      <c r="H849" s="162">
        <f>[1]AA!H125</f>
        <v>117798.88999999998</v>
      </c>
      <c r="I849" s="96">
        <f>G849/D849</f>
        <v>0.66060311222387735</v>
      </c>
    </row>
    <row r="850" spans="1:9" x14ac:dyDescent="0.2">
      <c r="A850" s="188"/>
      <c r="B850" s="187"/>
      <c r="C850" s="161" t="str">
        <f>[3]H4!C333</f>
        <v>2.6.2.3.2 - 3.COSTO DE CONSTRUCCION POR CONTRATA</v>
      </c>
      <c r="D850" s="163">
        <f>[3]H4!D333</f>
        <v>0</v>
      </c>
      <c r="E850" s="163">
        <f>[3]H4!E333</f>
        <v>0</v>
      </c>
      <c r="F850" s="163">
        <f>[3]H4!F333</f>
        <v>0</v>
      </c>
      <c r="G850" s="163">
        <f>[3]H4!G333</f>
        <v>0</v>
      </c>
      <c r="H850" s="163">
        <f>[3]H4!H333</f>
        <v>0</v>
      </c>
      <c r="I850" s="96"/>
    </row>
    <row r="851" spans="1:9" x14ac:dyDescent="0.2">
      <c r="A851" s="181"/>
      <c r="B851" s="179"/>
      <c r="C851" s="161" t="str">
        <f>[3]H4!C334</f>
        <v>2.6.8.1.3 - 1.ELABORACION DE EXPEDIENTES TECNICOS</v>
      </c>
      <c r="D851" s="163">
        <f>[3]H4!D334</f>
        <v>347083</v>
      </c>
      <c r="E851" s="163">
        <f>[3]H4!E334</f>
        <v>346214.6</v>
      </c>
      <c r="F851" s="163">
        <f>[3]H4!F334</f>
        <v>868.40000000002328</v>
      </c>
      <c r="G851" s="163">
        <f>[3]H4!G334</f>
        <v>229284.11000000002</v>
      </c>
      <c r="H851" s="163">
        <f>[3]H4!H334</f>
        <v>117798.88999999998</v>
      </c>
      <c r="I851" s="96"/>
    </row>
    <row r="852" spans="1:9" ht="51" x14ac:dyDescent="0.2">
      <c r="A852" s="180">
        <f>SUBTOTAL(103,$B$8:B854)</f>
        <v>235</v>
      </c>
      <c r="B852" s="178">
        <v>146</v>
      </c>
      <c r="C852" s="161" t="s">
        <v>875</v>
      </c>
      <c r="D852" s="162">
        <f>[1]AA!D126</f>
        <v>159651</v>
      </c>
      <c r="E852" s="162">
        <f>[1]AA!E126</f>
        <v>151653</v>
      </c>
      <c r="F852" s="162">
        <f>[1]AA!F126</f>
        <v>7998</v>
      </c>
      <c r="G852" s="162">
        <f>[1]AA!G126</f>
        <v>12000</v>
      </c>
      <c r="H852" s="162">
        <f>[1]AA!H126</f>
        <v>147651</v>
      </c>
      <c r="I852" s="96">
        <f>G852/D852</f>
        <v>7.5163951368923468E-2</v>
      </c>
    </row>
    <row r="853" spans="1:9" x14ac:dyDescent="0.2">
      <c r="A853" s="188"/>
      <c r="B853" s="187"/>
      <c r="C853" s="161" t="str">
        <f>[3]H4!C337</f>
        <v>2.6.2.3.2 - 3.COSTO DE CONSTRUCCION POR CONTRATA</v>
      </c>
      <c r="D853" s="163">
        <f>[3]H4!D337</f>
        <v>0</v>
      </c>
      <c r="E853" s="163">
        <f>[3]H4!E337</f>
        <v>0</v>
      </c>
      <c r="F853" s="163">
        <f>[3]H4!F337</f>
        <v>0</v>
      </c>
      <c r="G853" s="163">
        <f>[3]H4!G337</f>
        <v>0</v>
      </c>
      <c r="H853" s="163">
        <f>[3]H4!H337</f>
        <v>0</v>
      </c>
      <c r="I853" s="96"/>
    </row>
    <row r="854" spans="1:9" x14ac:dyDescent="0.2">
      <c r="A854" s="181"/>
      <c r="B854" s="179"/>
      <c r="C854" s="161" t="str">
        <f>[3]H4!C338</f>
        <v>2.6.8.1.3 - 1.ELABORACION DE EXPEDIENTES TECNICOS</v>
      </c>
      <c r="D854" s="163">
        <f>[3]H4!D338</f>
        <v>159651</v>
      </c>
      <c r="E854" s="163">
        <f>[3]H4!E338</f>
        <v>151653</v>
      </c>
      <c r="F854" s="163">
        <f>[3]H4!F338</f>
        <v>7998</v>
      </c>
      <c r="G854" s="163">
        <f>[3]H4!G338</f>
        <v>12000</v>
      </c>
      <c r="H854" s="163">
        <f>[3]H4!H338</f>
        <v>147651</v>
      </c>
      <c r="I854" s="96"/>
    </row>
    <row r="855" spans="1:9" ht="63.75" x14ac:dyDescent="0.2">
      <c r="A855" s="180">
        <f>SUBTOTAL(103,$B$8:B857)</f>
        <v>236</v>
      </c>
      <c r="B855" s="178">
        <v>147</v>
      </c>
      <c r="C855" s="161" t="s">
        <v>897</v>
      </c>
      <c r="D855" s="162">
        <f>[1]AA!D127</f>
        <v>612293</v>
      </c>
      <c r="E855" s="162">
        <f>[1]AA!E127</f>
        <v>612293</v>
      </c>
      <c r="F855" s="162">
        <f>[1]AA!F127</f>
        <v>0</v>
      </c>
      <c r="G855" s="162">
        <f>[1]AA!G127</f>
        <v>544921.63</v>
      </c>
      <c r="H855" s="162">
        <f>[1]AA!H127</f>
        <v>67371.37</v>
      </c>
      <c r="I855" s="96">
        <f>G855/D855</f>
        <v>0.8899687404559582</v>
      </c>
    </row>
    <row r="856" spans="1:9" x14ac:dyDescent="0.2">
      <c r="A856" s="188"/>
      <c r="B856" s="187"/>
      <c r="C856" s="161" t="str">
        <f>[3]H4!C341</f>
        <v>2.6.2.3.2 - 3.COSTO DE CONSTRUCCION POR CONTRATA</v>
      </c>
      <c r="D856" s="163">
        <f>[3]H4!D341</f>
        <v>0</v>
      </c>
      <c r="E856" s="163">
        <f>[3]H4!E341</f>
        <v>0</v>
      </c>
      <c r="F856" s="163">
        <f>[3]H4!F341</f>
        <v>0</v>
      </c>
      <c r="G856" s="163">
        <f>[3]H4!G341</f>
        <v>0</v>
      </c>
      <c r="H856" s="163">
        <f>[3]H4!H341</f>
        <v>0</v>
      </c>
      <c r="I856" s="96"/>
    </row>
    <row r="857" spans="1:9" x14ac:dyDescent="0.2">
      <c r="A857" s="181"/>
      <c r="B857" s="179"/>
      <c r="C857" s="161" t="str">
        <f>[3]H4!C342</f>
        <v>2.6.8.1.3 - 1.ELABORACION DE EXPEDIENTES TECNICOS</v>
      </c>
      <c r="D857" s="163">
        <f>[3]H4!D342</f>
        <v>612293</v>
      </c>
      <c r="E857" s="163">
        <f>[3]H4!E342</f>
        <v>612293</v>
      </c>
      <c r="F857" s="163">
        <f>[3]H4!F342</f>
        <v>0</v>
      </c>
      <c r="G857" s="163">
        <f>[3]H4!G342</f>
        <v>544921.63</v>
      </c>
      <c r="H857" s="163">
        <f>[3]H4!H342</f>
        <v>67371.37</v>
      </c>
      <c r="I857" s="96"/>
    </row>
    <row r="858" spans="1:9" ht="76.5" hidden="1" x14ac:dyDescent="0.2">
      <c r="A858" s="180">
        <f>SUBTOTAL(103,$B$8:B860)</f>
        <v>236</v>
      </c>
      <c r="B858" s="178">
        <v>148</v>
      </c>
      <c r="C858" s="161" t="s">
        <v>929</v>
      </c>
      <c r="D858" s="162">
        <f>[1]AA!D128</f>
        <v>0</v>
      </c>
      <c r="E858" s="162">
        <f>[1]AA!E128</f>
        <v>0</v>
      </c>
      <c r="F858" s="162">
        <f>[1]AA!F128</f>
        <v>0</v>
      </c>
      <c r="G858" s="162">
        <f>[1]AA!G128</f>
        <v>0</v>
      </c>
      <c r="H858" s="162">
        <f>[1]AA!H128</f>
        <v>0</v>
      </c>
      <c r="I858" s="96" t="e">
        <f>G858/D858</f>
        <v>#DIV/0!</v>
      </c>
    </row>
    <row r="859" spans="1:9" hidden="1" x14ac:dyDescent="0.2">
      <c r="A859" s="188"/>
      <c r="B859" s="187"/>
      <c r="C859" s="161" t="str">
        <f>[3]H4!C345</f>
        <v>2.6.2.3.2 - 3.COSTO DE CONSTRUCCION POR CONTRATA</v>
      </c>
      <c r="D859" s="163">
        <f>[3]H4!D345</f>
        <v>0</v>
      </c>
      <c r="E859" s="163">
        <f>[3]H4!E345</f>
        <v>0</v>
      </c>
      <c r="F859" s="163">
        <f>[3]H4!F345</f>
        <v>0</v>
      </c>
      <c r="G859" s="163">
        <f>[3]H4!G345</f>
        <v>0</v>
      </c>
      <c r="H859" s="163">
        <f>[3]H4!H345</f>
        <v>0</v>
      </c>
      <c r="I859" s="96"/>
    </row>
    <row r="860" spans="1:9" hidden="1" x14ac:dyDescent="0.2">
      <c r="A860" s="181"/>
      <c r="B860" s="179"/>
      <c r="C860" s="161" t="str">
        <f>[3]H4!C346</f>
        <v>2.6.8.1.3 - 1.ELABORACION DE EXPEDIENTES TECNICOS</v>
      </c>
      <c r="D860" s="163">
        <f>[3]H4!D346</f>
        <v>0</v>
      </c>
      <c r="E860" s="163">
        <f>[3]H4!E346</f>
        <v>0</v>
      </c>
      <c r="F860" s="163">
        <f>[3]H4!F346</f>
        <v>0</v>
      </c>
      <c r="G860" s="163">
        <f>[3]H4!G346</f>
        <v>0</v>
      </c>
      <c r="H860" s="163">
        <f>[3]H4!H346</f>
        <v>0</v>
      </c>
      <c r="I860" s="96"/>
    </row>
    <row r="861" spans="1:9" ht="63.75" x14ac:dyDescent="0.2">
      <c r="A861" s="180">
        <f>SUBTOTAL(103,$B$8:B863)</f>
        <v>237</v>
      </c>
      <c r="B861" s="178">
        <v>149</v>
      </c>
      <c r="C861" s="161" t="s">
        <v>881</v>
      </c>
      <c r="D861" s="162">
        <f>[1]AA!D129</f>
        <v>275790</v>
      </c>
      <c r="E861" s="162">
        <f>[1]AA!E129</f>
        <v>274002.40000000002</v>
      </c>
      <c r="F861" s="162">
        <f>[1]AA!F129</f>
        <v>1787.5999999999767</v>
      </c>
      <c r="G861" s="162">
        <f>[1]AA!G129</f>
        <v>141484.27000000002</v>
      </c>
      <c r="H861" s="162">
        <f>[1]AA!H129</f>
        <v>134305.72999999998</v>
      </c>
      <c r="I861" s="96">
        <f>G861/D861</f>
        <v>0.51301450378911495</v>
      </c>
    </row>
    <row r="862" spans="1:9" x14ac:dyDescent="0.2">
      <c r="A862" s="188"/>
      <c r="B862" s="187"/>
      <c r="C862" s="161" t="str">
        <f>[3]H4!C349</f>
        <v>2.6.2.3.2 - 3.COSTO DE CONSTRUCCION POR CONTRATA</v>
      </c>
      <c r="D862" s="163">
        <f>[3]H4!D349</f>
        <v>0</v>
      </c>
      <c r="E862" s="163">
        <f>[3]H4!E349</f>
        <v>0</v>
      </c>
      <c r="F862" s="163">
        <f>[3]H4!F349</f>
        <v>0</v>
      </c>
      <c r="G862" s="163">
        <f>[3]H4!G349</f>
        <v>0</v>
      </c>
      <c r="H862" s="163">
        <f>[3]H4!H349</f>
        <v>0</v>
      </c>
      <c r="I862" s="96"/>
    </row>
    <row r="863" spans="1:9" x14ac:dyDescent="0.2">
      <c r="A863" s="181"/>
      <c r="B863" s="179"/>
      <c r="C863" s="161" t="str">
        <f>[3]H4!C350</f>
        <v>2.6.8.1.3 - 1.ELABORACION DE EXPEDIENTES TECNICOS</v>
      </c>
      <c r="D863" s="163">
        <f>[3]H4!D350</f>
        <v>275790</v>
      </c>
      <c r="E863" s="163">
        <f>[3]H4!E350</f>
        <v>274002.40000000002</v>
      </c>
      <c r="F863" s="163">
        <f>[3]H4!F350</f>
        <v>1787.5999999999767</v>
      </c>
      <c r="G863" s="163">
        <f>[3]H4!G350</f>
        <v>141484.27000000002</v>
      </c>
      <c r="H863" s="163">
        <f>[3]H4!H350</f>
        <v>134305.72999999998</v>
      </c>
      <c r="I863" s="96"/>
    </row>
    <row r="864" spans="1:9" ht="63.75" x14ac:dyDescent="0.2">
      <c r="A864" s="180">
        <f>SUBTOTAL(103,$B$8:B866)</f>
        <v>238</v>
      </c>
      <c r="B864" s="178">
        <v>150</v>
      </c>
      <c r="C864" s="161" t="s">
        <v>806</v>
      </c>
      <c r="D864" s="162">
        <f>[1]AA!D130</f>
        <v>255799</v>
      </c>
      <c r="E864" s="162">
        <f>[1]AA!E130</f>
        <v>195378.5</v>
      </c>
      <c r="F864" s="162">
        <f>[1]AA!F130</f>
        <v>60420.5</v>
      </c>
      <c r="G864" s="162">
        <f>[1]AA!G130</f>
        <v>130926.67000000001</v>
      </c>
      <c r="H864" s="162">
        <f>[1]AA!H130</f>
        <v>124872.32999999999</v>
      </c>
      <c r="I864" s="96">
        <f>G864/D864</f>
        <v>0.51183417448856339</v>
      </c>
    </row>
    <row r="865" spans="1:11" x14ac:dyDescent="0.2">
      <c r="A865" s="188"/>
      <c r="B865" s="187"/>
      <c r="C865" s="161" t="str">
        <f>[3]H4!C353</f>
        <v>2.6.2.3.2 - 3.COSTO DE CONSTRUCCION POR CONTRATA</v>
      </c>
      <c r="D865" s="163">
        <f>[3]H4!D353</f>
        <v>0</v>
      </c>
      <c r="E865" s="163">
        <f>[3]H4!E353</f>
        <v>0</v>
      </c>
      <c r="F865" s="163">
        <f>[3]H4!F353</f>
        <v>0</v>
      </c>
      <c r="G865" s="163">
        <f>[3]H4!G353</f>
        <v>0</v>
      </c>
      <c r="H865" s="163">
        <f>[3]H4!H353</f>
        <v>0</v>
      </c>
      <c r="I865" s="96"/>
    </row>
    <row r="866" spans="1:11" x14ac:dyDescent="0.2">
      <c r="A866" s="181"/>
      <c r="B866" s="179"/>
      <c r="C866" s="161" t="str">
        <f>[3]H4!C354</f>
        <v>2.6.8.1.3 - 1.ELABORACION DE EXPEDIENTES TECNICOS</v>
      </c>
      <c r="D866" s="163">
        <f>[3]H4!D354</f>
        <v>255799</v>
      </c>
      <c r="E866" s="163">
        <f>[3]H4!E354</f>
        <v>195378.5</v>
      </c>
      <c r="F866" s="163">
        <f>[3]H4!F354</f>
        <v>60420.5</v>
      </c>
      <c r="G866" s="163">
        <f>[3]H4!G354</f>
        <v>130926.67000000001</v>
      </c>
      <c r="H866" s="163">
        <f>[3]H4!H354</f>
        <v>124872.32999999999</v>
      </c>
      <c r="I866" s="96"/>
    </row>
    <row r="867" spans="1:11" ht="51" x14ac:dyDescent="0.2">
      <c r="A867" s="180">
        <f>SUBTOTAL(103,$B$8:B869)</f>
        <v>239</v>
      </c>
      <c r="B867" s="178">
        <v>151</v>
      </c>
      <c r="C867" s="161" t="s">
        <v>896</v>
      </c>
      <c r="D867" s="162">
        <f>[1]AA!D131</f>
        <v>222962</v>
      </c>
      <c r="E867" s="162">
        <f>[1]AA!E131</f>
        <v>193349.5</v>
      </c>
      <c r="F867" s="162">
        <f>[1]AA!F131</f>
        <v>29612.5</v>
      </c>
      <c r="G867" s="162">
        <f>[1]AA!G131</f>
        <v>193266.31</v>
      </c>
      <c r="H867" s="162">
        <f>[1]AA!H131</f>
        <v>29695.690000000002</v>
      </c>
      <c r="I867" s="96">
        <f>G867/D867</f>
        <v>0.86681277527112244</v>
      </c>
    </row>
    <row r="868" spans="1:11" x14ac:dyDescent="0.2">
      <c r="A868" s="188"/>
      <c r="B868" s="187"/>
      <c r="C868" s="161" t="str">
        <f>[3]H4!C357</f>
        <v>2.6.2.3.2 - 3.COSTO DE CONSTRUCCION POR CONTRATA</v>
      </c>
      <c r="D868" s="163">
        <f>[3]H4!D357</f>
        <v>0</v>
      </c>
      <c r="E868" s="163">
        <f>[3]H4!E357</f>
        <v>0</v>
      </c>
      <c r="F868" s="163">
        <f>[3]H4!F357</f>
        <v>0</v>
      </c>
      <c r="G868" s="163">
        <f>[3]H4!G357</f>
        <v>0</v>
      </c>
      <c r="H868" s="163">
        <f>[3]H4!H357</f>
        <v>0</v>
      </c>
      <c r="I868" s="96"/>
    </row>
    <row r="869" spans="1:11" x14ac:dyDescent="0.2">
      <c r="A869" s="181"/>
      <c r="B869" s="179"/>
      <c r="C869" s="161" t="str">
        <f>[3]H4!C358</f>
        <v>2.6.8.1.3 - 1.ELABORACION DE EXPEDIENTES TECNICOS</v>
      </c>
      <c r="D869" s="163">
        <f>[3]H4!D358</f>
        <v>222962</v>
      </c>
      <c r="E869" s="163">
        <f>[3]H4!E358</f>
        <v>193349.5</v>
      </c>
      <c r="F869" s="163">
        <f>[3]H4!F358</f>
        <v>29612.5</v>
      </c>
      <c r="G869" s="163">
        <f>[3]H4!G358</f>
        <v>193266.31</v>
      </c>
      <c r="H869" s="163">
        <f>[3]H4!H358</f>
        <v>29695.690000000002</v>
      </c>
      <c r="I869" s="96"/>
    </row>
    <row r="870" spans="1:11" ht="25.5" x14ac:dyDescent="0.2">
      <c r="A870" s="180">
        <f>SUBTOTAL(103,$B$8:B872)</f>
        <v>240</v>
      </c>
      <c r="B870" s="178">
        <v>324</v>
      </c>
      <c r="C870" s="161" t="s">
        <v>136</v>
      </c>
      <c r="D870" s="162">
        <f>[1]AA!D272</f>
        <v>1308901</v>
      </c>
      <c r="E870" s="162">
        <f>[1]AA!E272</f>
        <v>1298673.22</v>
      </c>
      <c r="F870" s="162">
        <f>[1]AA!F272</f>
        <v>10227.780000000001</v>
      </c>
      <c r="G870" s="162">
        <f>[1]AA!G272</f>
        <v>8087.22</v>
      </c>
      <c r="H870" s="162">
        <f>[1]AA!H272</f>
        <v>1300813.78</v>
      </c>
      <c r="I870" s="96">
        <f>G870/D870</f>
        <v>6.1786338309772855E-3</v>
      </c>
    </row>
    <row r="871" spans="1:11" x14ac:dyDescent="0.2">
      <c r="A871" s="188"/>
      <c r="B871" s="187"/>
      <c r="C871" s="161" t="str">
        <f>[3]H4!C57</f>
        <v>2.6.2.3.2 - 3.COSTO DE CONSTRUCCION POR CONTRATA</v>
      </c>
      <c r="D871" s="163">
        <f>[3]H4!D57</f>
        <v>1289186</v>
      </c>
      <c r="E871" s="163">
        <f>[3]H4!E57</f>
        <v>1289186</v>
      </c>
      <c r="F871" s="163">
        <f>[3]H4!F57</f>
        <v>0</v>
      </c>
      <c r="G871" s="163">
        <f>[3]H4!G57</f>
        <v>0</v>
      </c>
      <c r="H871" s="163">
        <f>[3]H4!H57</f>
        <v>1289186</v>
      </c>
      <c r="I871" s="96"/>
    </row>
    <row r="872" spans="1:11" x14ac:dyDescent="0.2">
      <c r="A872" s="181"/>
      <c r="B872" s="179"/>
      <c r="C872" s="161" t="str">
        <f>[3]H4!C58</f>
        <v>2.6.8.1.3 - 1.ELABORACION DE EXPEDIENTES TECNICOS</v>
      </c>
      <c r="D872" s="163">
        <f>[3]H4!D58</f>
        <v>19715</v>
      </c>
      <c r="E872" s="163">
        <f>[3]H4!E58</f>
        <v>9487.2199999999993</v>
      </c>
      <c r="F872" s="163">
        <f>[3]H4!F58</f>
        <v>10227.780000000001</v>
      </c>
      <c r="G872" s="163">
        <f>[3]H4!G58</f>
        <v>8087.22</v>
      </c>
      <c r="H872" s="163">
        <f>[3]H4!H58</f>
        <v>11627.779999999999</v>
      </c>
      <c r="I872" s="96"/>
    </row>
    <row r="873" spans="1:11" ht="16.5" x14ac:dyDescent="0.2">
      <c r="A873" s="182" t="s">
        <v>1054</v>
      </c>
      <c r="B873" s="182"/>
      <c r="C873" s="182"/>
      <c r="D873" s="91">
        <f>D874+D877+D880+D883</f>
        <v>706900</v>
      </c>
      <c r="E873" s="91">
        <f>E874+E877+E880+E883</f>
        <v>220000</v>
      </c>
      <c r="F873" s="91">
        <f>F874+F877+F880+F883</f>
        <v>486900</v>
      </c>
      <c r="G873" s="91">
        <f>G874+G877+G880+G883</f>
        <v>187967.16</v>
      </c>
      <c r="H873" s="91">
        <f>H874+H877+H880+H883</f>
        <v>518932.83999999997</v>
      </c>
      <c r="I873" s="92">
        <f>G873/D873</f>
        <v>0.26590346583675201</v>
      </c>
    </row>
    <row r="874" spans="1:11" ht="51" x14ac:dyDescent="0.2">
      <c r="A874" s="180">
        <f>SUBTOTAL(103,$B$8:B876)</f>
        <v>241</v>
      </c>
      <c r="B874" s="178">
        <v>68</v>
      </c>
      <c r="C874" s="161" t="s">
        <v>395</v>
      </c>
      <c r="D874" s="162">
        <f>[1]AA!D57</f>
        <v>48882</v>
      </c>
      <c r="E874" s="162">
        <f>[1]AA!E57</f>
        <v>30000</v>
      </c>
      <c r="F874" s="162">
        <f>[1]AA!F57</f>
        <v>18882</v>
      </c>
      <c r="G874" s="162">
        <f>[1]AA!G57</f>
        <v>0</v>
      </c>
      <c r="H874" s="162">
        <f>[1]AA!H57</f>
        <v>48882</v>
      </c>
      <c r="I874" s="96">
        <f>G874/D874</f>
        <v>0</v>
      </c>
    </row>
    <row r="875" spans="1:11" x14ac:dyDescent="0.2">
      <c r="A875" s="188"/>
      <c r="B875" s="187"/>
      <c r="C875" s="161" t="str">
        <f>[3]H4!C197</f>
        <v>2.6.2.3.9 - 2.COSTO DE CONSTRUCCION POR CONTRATA</v>
      </c>
      <c r="D875" s="163">
        <f>[3]H4!D197</f>
        <v>0</v>
      </c>
      <c r="E875" s="163">
        <f>[3]H4!E197</f>
        <v>0</v>
      </c>
      <c r="F875" s="163">
        <f>[3]H4!F197</f>
        <v>0</v>
      </c>
      <c r="G875" s="163">
        <f>[3]H4!G197</f>
        <v>0</v>
      </c>
      <c r="H875" s="163">
        <f>[3]H4!H197</f>
        <v>0</v>
      </c>
      <c r="I875" s="96"/>
    </row>
    <row r="876" spans="1:11" x14ac:dyDescent="0.2">
      <c r="A876" s="181"/>
      <c r="B876" s="179"/>
      <c r="C876" s="161" t="str">
        <f>[3]H4!C198</f>
        <v>2.6.8.1.3 - 1.ELABORACION DE EXPEDIENTES TECNICOS</v>
      </c>
      <c r="D876" s="163">
        <f>[3]H4!D198</f>
        <v>48882</v>
      </c>
      <c r="E876" s="163">
        <f>[3]H4!E198</f>
        <v>30000</v>
      </c>
      <c r="F876" s="163">
        <f>[3]H4!F198</f>
        <v>18882</v>
      </c>
      <c r="G876" s="163">
        <f>[3]H4!G198</f>
        <v>0</v>
      </c>
      <c r="H876" s="163">
        <f>[3]H4!H198</f>
        <v>48882</v>
      </c>
      <c r="I876" s="96"/>
    </row>
    <row r="877" spans="1:11" ht="63.75" x14ac:dyDescent="0.2">
      <c r="A877" s="180">
        <f>SUBTOTAL(103,$B$8:B879)</f>
        <v>242</v>
      </c>
      <c r="B877" s="178">
        <v>70</v>
      </c>
      <c r="C877" s="161" t="s">
        <v>392</v>
      </c>
      <c r="D877" s="162">
        <f>[1]AA!D59</f>
        <v>25425</v>
      </c>
      <c r="E877" s="162">
        <f>[1]AA!E59</f>
        <v>0</v>
      </c>
      <c r="F877" s="162">
        <f>[1]AA!F59</f>
        <v>25425</v>
      </c>
      <c r="G877" s="162">
        <f>[1]AA!G59</f>
        <v>0</v>
      </c>
      <c r="H877" s="162">
        <f>[1]AA!H59</f>
        <v>25425</v>
      </c>
      <c r="I877" s="96">
        <f>G877/D877</f>
        <v>0</v>
      </c>
      <c r="K877" s="83"/>
    </row>
    <row r="878" spans="1:11" x14ac:dyDescent="0.2">
      <c r="A878" s="188"/>
      <c r="B878" s="187"/>
      <c r="C878" s="161" t="str">
        <f>[3]H4!C201</f>
        <v>2.6.2.3.9 - 2.COSTO DE CONSTRUCCION POR CONTRATA</v>
      </c>
      <c r="D878" s="163">
        <f>[3]H4!D201</f>
        <v>0</v>
      </c>
      <c r="E878" s="163">
        <f>[3]H4!E201</f>
        <v>0</v>
      </c>
      <c r="F878" s="163">
        <f>[3]H4!F201</f>
        <v>0</v>
      </c>
      <c r="G878" s="163">
        <f>[3]H4!G201</f>
        <v>0</v>
      </c>
      <c r="H878" s="163">
        <f>[3]H4!H201</f>
        <v>0</v>
      </c>
      <c r="I878" s="96"/>
      <c r="K878" s="83"/>
    </row>
    <row r="879" spans="1:11" x14ac:dyDescent="0.2">
      <c r="A879" s="181"/>
      <c r="B879" s="179"/>
      <c r="C879" s="161" t="str">
        <f>[3]H4!C202</f>
        <v>2.6.8.1.3 - 1.ELABORACION DE EXPEDIENTES TECNICOS</v>
      </c>
      <c r="D879" s="163">
        <f>[3]H4!D202</f>
        <v>25425</v>
      </c>
      <c r="E879" s="163">
        <f>[3]H4!E202</f>
        <v>0</v>
      </c>
      <c r="F879" s="163">
        <f>[3]H4!F202</f>
        <v>25425</v>
      </c>
      <c r="G879" s="163">
        <f>[3]H4!G202</f>
        <v>0</v>
      </c>
      <c r="H879" s="163">
        <f>[3]H4!H202</f>
        <v>25425</v>
      </c>
      <c r="I879" s="96"/>
    </row>
    <row r="880" spans="1:11" ht="38.25" x14ac:dyDescent="0.2">
      <c r="A880" s="180">
        <f>SUBTOTAL(103,$B$8:B882)</f>
        <v>243</v>
      </c>
      <c r="B880" s="178">
        <v>74</v>
      </c>
      <c r="C880" s="161" t="s">
        <v>873</v>
      </c>
      <c r="D880" s="162">
        <f>[1]AA!D63</f>
        <v>50000</v>
      </c>
      <c r="E880" s="162">
        <f>[1]AA!E63</f>
        <v>50000</v>
      </c>
      <c r="F880" s="162">
        <f>[1]AA!F63</f>
        <v>0</v>
      </c>
      <c r="G880" s="162">
        <f>[1]AA!G63</f>
        <v>47967.16</v>
      </c>
      <c r="H880" s="162">
        <f>[1]AA!H63</f>
        <v>2032.8399999999965</v>
      </c>
      <c r="I880" s="96">
        <f>G880/D880</f>
        <v>0.95934320000000006</v>
      </c>
    </row>
    <row r="881" spans="1:11" x14ac:dyDescent="0.2">
      <c r="A881" s="188"/>
      <c r="B881" s="187"/>
      <c r="C881" s="161" t="str">
        <f>[3]H4!C205</f>
        <v>2.6.2.3.9 - 2.COSTO DE CONSTRUCCION POR CONTRATA</v>
      </c>
      <c r="D881" s="163">
        <f>[3]H4!D205</f>
        <v>0</v>
      </c>
      <c r="E881" s="163">
        <f>[3]H4!E205</f>
        <v>0</v>
      </c>
      <c r="F881" s="163">
        <f>[3]H4!F205</f>
        <v>0</v>
      </c>
      <c r="G881" s="163">
        <f>[3]H4!G205</f>
        <v>0</v>
      </c>
      <c r="H881" s="163">
        <f>[3]H4!H205</f>
        <v>0</v>
      </c>
      <c r="I881" s="96"/>
    </row>
    <row r="882" spans="1:11" x14ac:dyDescent="0.2">
      <c r="A882" s="181"/>
      <c r="B882" s="179"/>
      <c r="C882" s="161" t="str">
        <f>[3]H4!C206</f>
        <v>2.6.8.1.3 - 1.ELABORACION DE EXPEDIENTES TECNICOS</v>
      </c>
      <c r="D882" s="163">
        <f>[3]H4!D206</f>
        <v>50000</v>
      </c>
      <c r="E882" s="163">
        <f>[3]H4!E206</f>
        <v>50000</v>
      </c>
      <c r="F882" s="163">
        <f>[3]H4!F206</f>
        <v>0</v>
      </c>
      <c r="G882" s="163">
        <f>[3]H4!G206</f>
        <v>47967.16</v>
      </c>
      <c r="H882" s="163">
        <f>[3]H4!H206</f>
        <v>2032.8399999999965</v>
      </c>
      <c r="I882" s="96"/>
    </row>
    <row r="883" spans="1:11" ht="38.25" x14ac:dyDescent="0.2">
      <c r="A883" s="180">
        <f>SUBTOTAL(103,$B$8:B885)</f>
        <v>244</v>
      </c>
      <c r="B883" s="178">
        <v>246</v>
      </c>
      <c r="C883" s="161" t="s">
        <v>363</v>
      </c>
      <c r="D883" s="162">
        <f>[1]AA!D211</f>
        <v>582593</v>
      </c>
      <c r="E883" s="162">
        <f>[1]AA!E211</f>
        <v>140000</v>
      </c>
      <c r="F883" s="162">
        <f>[1]AA!F211</f>
        <v>442593</v>
      </c>
      <c r="G883" s="162">
        <f>[1]AA!G211</f>
        <v>140000</v>
      </c>
      <c r="H883" s="162">
        <f>[1]AA!H211</f>
        <v>442593</v>
      </c>
      <c r="I883" s="96">
        <f>G883/D883</f>
        <v>0.24030498135061698</v>
      </c>
    </row>
    <row r="884" spans="1:11" x14ac:dyDescent="0.2">
      <c r="A884" s="188"/>
      <c r="B884" s="187"/>
      <c r="C884" s="161" t="str">
        <f>[3]H4!C489</f>
        <v>2.6.2.3.2 - 3.COSTO DE CONSTRUCCION POR CONTRATA</v>
      </c>
      <c r="D884" s="163">
        <f>[3]H4!D489</f>
        <v>232593</v>
      </c>
      <c r="E884" s="163">
        <f>[3]H4!E489</f>
        <v>0</v>
      </c>
      <c r="F884" s="163">
        <f>[3]H4!F489</f>
        <v>232593</v>
      </c>
      <c r="G884" s="163">
        <f>[3]H4!G489</f>
        <v>0</v>
      </c>
      <c r="H884" s="163">
        <f>[3]H4!H489</f>
        <v>232593</v>
      </c>
      <c r="I884" s="96"/>
    </row>
    <row r="885" spans="1:11" x14ac:dyDescent="0.2">
      <c r="A885" s="181"/>
      <c r="B885" s="179"/>
      <c r="C885" s="161" t="str">
        <f>[3]H4!C490</f>
        <v>2.6.8.1.3 - 1.ELABORACION DE EXPEDIENTES TECNICOS</v>
      </c>
      <c r="D885" s="163">
        <f>[3]H4!D490</f>
        <v>350000</v>
      </c>
      <c r="E885" s="163">
        <f>[3]H4!E490</f>
        <v>140000</v>
      </c>
      <c r="F885" s="163">
        <f>[3]H4!F490</f>
        <v>210000</v>
      </c>
      <c r="G885" s="163">
        <f>[3]H4!G490</f>
        <v>140000</v>
      </c>
      <c r="H885" s="163">
        <f>[3]H4!H490</f>
        <v>210000</v>
      </c>
      <c r="I885" s="96"/>
    </row>
    <row r="886" spans="1:11" ht="16.5" x14ac:dyDescent="0.2">
      <c r="A886" s="195" t="s">
        <v>1048</v>
      </c>
      <c r="B886" s="195"/>
      <c r="C886" s="195"/>
      <c r="D886" s="91">
        <f>+D887+D889+D891</f>
        <v>2741138</v>
      </c>
      <c r="E886" s="91">
        <f t="shared" ref="E886:H886" si="41">+E887+E889+E891</f>
        <v>0</v>
      </c>
      <c r="F886" s="91">
        <f t="shared" si="41"/>
        <v>2741138</v>
      </c>
      <c r="G886" s="91">
        <f t="shared" si="41"/>
        <v>0</v>
      </c>
      <c r="H886" s="91">
        <f t="shared" si="41"/>
        <v>2741138</v>
      </c>
      <c r="I886" s="92">
        <f>G886/D886</f>
        <v>0</v>
      </c>
      <c r="K886" s="23"/>
    </row>
    <row r="887" spans="1:11" ht="51" hidden="1" x14ac:dyDescent="0.2">
      <c r="A887" s="180">
        <f>SUBTOTAL(103,$B$8:B888)</f>
        <v>244</v>
      </c>
      <c r="B887" s="178">
        <v>231</v>
      </c>
      <c r="C887" s="161" t="s">
        <v>196</v>
      </c>
      <c r="D887" s="162">
        <f>[1]AA!D196</f>
        <v>0</v>
      </c>
      <c r="E887" s="162">
        <f>[1]AA!E196</f>
        <v>0</v>
      </c>
      <c r="F887" s="162">
        <f>[1]AA!F196</f>
        <v>0</v>
      </c>
      <c r="G887" s="162">
        <f>[1]AA!G196</f>
        <v>0</v>
      </c>
      <c r="H887" s="162">
        <f>[1]AA!H196</f>
        <v>0</v>
      </c>
      <c r="I887" s="96" t="e">
        <f>G887/D887</f>
        <v>#DIV/0!</v>
      </c>
    </row>
    <row r="888" spans="1:11" hidden="1" x14ac:dyDescent="0.2">
      <c r="A888" s="181"/>
      <c r="B888" s="179"/>
      <c r="C888" s="161" t="str">
        <f>[3]H4!C465</f>
        <v>2.6.2.2.1 - 2.COSTO DE CONSTRUCCION POR CONTRATA</v>
      </c>
      <c r="D888" s="163">
        <f>[3]H4!D465</f>
        <v>0</v>
      </c>
      <c r="E888" s="163">
        <f>[3]H4!E465</f>
        <v>0</v>
      </c>
      <c r="F888" s="163">
        <f>[3]H4!F465</f>
        <v>0</v>
      </c>
      <c r="G888" s="163">
        <f>[3]H4!G465</f>
        <v>0</v>
      </c>
      <c r="H888" s="163">
        <f>[3]H4!H465</f>
        <v>0</v>
      </c>
      <c r="I888" s="96"/>
    </row>
    <row r="889" spans="1:11" ht="38.25" hidden="1" x14ac:dyDescent="0.2">
      <c r="A889" s="180">
        <f>SUBTOTAL(103,$B$8:B890)</f>
        <v>244</v>
      </c>
      <c r="B889" s="178">
        <v>232</v>
      </c>
      <c r="C889" s="161" t="s">
        <v>219</v>
      </c>
      <c r="D889" s="162">
        <f>[1]AA!D197</f>
        <v>0</v>
      </c>
      <c r="E889" s="162">
        <f>[1]AA!E197</f>
        <v>0</v>
      </c>
      <c r="F889" s="162">
        <f>[1]AA!F197</f>
        <v>0</v>
      </c>
      <c r="G889" s="162">
        <f>[1]AA!G197</f>
        <v>0</v>
      </c>
      <c r="H889" s="162">
        <f>[1]AA!H197</f>
        <v>0</v>
      </c>
      <c r="I889" s="96" t="e">
        <f>G889/D889</f>
        <v>#DIV/0!</v>
      </c>
    </row>
    <row r="890" spans="1:11" hidden="1" x14ac:dyDescent="0.2">
      <c r="A890" s="181"/>
      <c r="B890" s="179"/>
      <c r="C890" s="161" t="str">
        <f>[3]H4!C469</f>
        <v>2.6.2.2.1 - 2.COSTO DE CONSTRUCCION POR CONTRATA</v>
      </c>
      <c r="D890" s="163">
        <f>[3]H4!D469</f>
        <v>0</v>
      </c>
      <c r="E890" s="163">
        <f>[3]H4!E469</f>
        <v>0</v>
      </c>
      <c r="F890" s="163">
        <f>[3]H4!F469</f>
        <v>0</v>
      </c>
      <c r="G890" s="163">
        <f>[3]H4!G469</f>
        <v>0</v>
      </c>
      <c r="H890" s="163">
        <f>[3]H4!H469</f>
        <v>0</v>
      </c>
      <c r="I890" s="96"/>
    </row>
    <row r="891" spans="1:11" x14ac:dyDescent="0.2">
      <c r="A891" s="180">
        <f>SUBTOTAL(103,$B$8:B892)</f>
        <v>245</v>
      </c>
      <c r="B891" s="178">
        <v>507</v>
      </c>
      <c r="C891" s="161" t="s">
        <v>2454</v>
      </c>
      <c r="D891" s="162">
        <f>[1]AA!D421</f>
        <v>2741138</v>
      </c>
      <c r="E891" s="162">
        <f>[1]AA!E421</f>
        <v>0</v>
      </c>
      <c r="F891" s="162">
        <f>[1]AA!F421</f>
        <v>2741138</v>
      </c>
      <c r="G891" s="162">
        <f>[1]AA!G421</f>
        <v>0</v>
      </c>
      <c r="H891" s="162">
        <f>[1]AA!H421</f>
        <v>2741138</v>
      </c>
      <c r="I891" s="96">
        <f>G891/D891</f>
        <v>0</v>
      </c>
    </row>
    <row r="892" spans="1:11" x14ac:dyDescent="0.2">
      <c r="A892" s="181"/>
      <c r="B892" s="179"/>
      <c r="C892" s="161" t="str">
        <f>[3]H4!C621</f>
        <v>2.6.2.3.9 - 2.COSTO DE CONSTRUCCION POR CONTRATA</v>
      </c>
      <c r="D892" s="163">
        <f>[3]H4!D621</f>
        <v>2741138</v>
      </c>
      <c r="E892" s="163">
        <f>[3]H4!E621</f>
        <v>0</v>
      </c>
      <c r="F892" s="163">
        <f>[3]H4!F621</f>
        <v>2741138</v>
      </c>
      <c r="G892" s="163">
        <f>[3]H4!G621</f>
        <v>0</v>
      </c>
      <c r="H892" s="163">
        <f>[3]H4!H621</f>
        <v>2741138</v>
      </c>
      <c r="I892" s="96"/>
    </row>
    <row r="893" spans="1:11" ht="16.5" x14ac:dyDescent="0.2">
      <c r="A893" s="182" t="s">
        <v>1051</v>
      </c>
      <c r="B893" s="182"/>
      <c r="C893" s="182"/>
      <c r="D893" s="91">
        <f>+D894</f>
        <v>46429</v>
      </c>
      <c r="E893" s="91">
        <f t="shared" ref="E893:H893" si="42">+E894</f>
        <v>0</v>
      </c>
      <c r="F893" s="91">
        <f t="shared" si="42"/>
        <v>46429</v>
      </c>
      <c r="G893" s="91">
        <f t="shared" si="42"/>
        <v>0</v>
      </c>
      <c r="H893" s="91">
        <f t="shared" si="42"/>
        <v>46429</v>
      </c>
      <c r="I893" s="92">
        <f>G893/D893</f>
        <v>0</v>
      </c>
    </row>
    <row r="894" spans="1:11" ht="25.5" x14ac:dyDescent="0.2">
      <c r="A894" s="180">
        <f>SUBTOTAL(103,$B$8:B895)</f>
        <v>246</v>
      </c>
      <c r="B894" s="178">
        <v>225</v>
      </c>
      <c r="C894" s="161" t="s">
        <v>223</v>
      </c>
      <c r="D894" s="162">
        <f>[1]AA!D190</f>
        <v>46429</v>
      </c>
      <c r="E894" s="162">
        <f>[1]AA!E190</f>
        <v>0</v>
      </c>
      <c r="F894" s="162">
        <f>[1]AA!F190</f>
        <v>46429</v>
      </c>
      <c r="G894" s="162">
        <f>[1]AA!G190</f>
        <v>0</v>
      </c>
      <c r="H894" s="162">
        <f>[1]AA!H190</f>
        <v>46429</v>
      </c>
      <c r="I894" s="96">
        <f>G894/D894</f>
        <v>0</v>
      </c>
    </row>
    <row r="895" spans="1:11" x14ac:dyDescent="0.2">
      <c r="A895" s="181"/>
      <c r="B895" s="179"/>
      <c r="C895" s="161" t="str">
        <f>[3]H4!C453</f>
        <v>2.6.2.2.1 - 2.COSTO DE CONSTRUCCION POR CONTRATA</v>
      </c>
      <c r="D895" s="163">
        <f>[3]H4!D453</f>
        <v>46429</v>
      </c>
      <c r="E895" s="163">
        <f>[3]H4!E453</f>
        <v>0</v>
      </c>
      <c r="F895" s="163">
        <f>[3]H4!F453</f>
        <v>46429</v>
      </c>
      <c r="G895" s="163">
        <f>[3]H4!G453</f>
        <v>0</v>
      </c>
      <c r="H895" s="163">
        <f>[3]H4!H453</f>
        <v>46429</v>
      </c>
      <c r="I895" s="96"/>
    </row>
    <row r="896" spans="1:11" ht="16.5" x14ac:dyDescent="0.2">
      <c r="A896" s="182" t="s">
        <v>1052</v>
      </c>
      <c r="B896" s="182"/>
      <c r="C896" s="182"/>
      <c r="D896" s="91">
        <f>+D897</f>
        <v>1349649</v>
      </c>
      <c r="E896" s="91">
        <f t="shared" ref="E896:H896" si="43">+E897</f>
        <v>0</v>
      </c>
      <c r="F896" s="91">
        <f t="shared" si="43"/>
        <v>1349649</v>
      </c>
      <c r="G896" s="91">
        <f t="shared" si="43"/>
        <v>0</v>
      </c>
      <c r="H896" s="91">
        <f t="shared" si="43"/>
        <v>1349649</v>
      </c>
      <c r="I896" s="92">
        <f>G896/D896</f>
        <v>0</v>
      </c>
    </row>
    <row r="897" spans="1:9" ht="38.25" x14ac:dyDescent="0.2">
      <c r="A897" s="180">
        <f>SUBTOTAL(103,$B$8:B898)</f>
        <v>247</v>
      </c>
      <c r="B897" s="178">
        <v>270</v>
      </c>
      <c r="C897" s="161" t="s">
        <v>494</v>
      </c>
      <c r="D897" s="162">
        <f>[1]AA!D235</f>
        <v>1349649</v>
      </c>
      <c r="E897" s="162">
        <f>[1]AA!E235</f>
        <v>0</v>
      </c>
      <c r="F897" s="162">
        <f>[1]AA!F235</f>
        <v>1349649</v>
      </c>
      <c r="G897" s="162">
        <f>[1]AA!G235</f>
        <v>0</v>
      </c>
      <c r="H897" s="162">
        <f>[1]AA!H235</f>
        <v>1349649</v>
      </c>
      <c r="I897" s="96">
        <f>G897/D897</f>
        <v>0</v>
      </c>
    </row>
    <row r="898" spans="1:9" x14ac:dyDescent="0.2">
      <c r="A898" s="181"/>
      <c r="B898" s="179"/>
      <c r="C898" s="161" t="str">
        <f>[3]H4!C533</f>
        <v>2.6.2.3.9 - 2.COSTO DE CONSTRUCCION POR CONTRATA</v>
      </c>
      <c r="D898" s="163">
        <f>[3]H4!D533</f>
        <v>1349649</v>
      </c>
      <c r="E898" s="163">
        <f>[3]H4!E533</f>
        <v>0</v>
      </c>
      <c r="F898" s="163">
        <f>[3]H4!F533</f>
        <v>1349649</v>
      </c>
      <c r="G898" s="163">
        <f>[3]H4!G533</f>
        <v>0</v>
      </c>
      <c r="H898" s="163">
        <f>[3]H4!H533</f>
        <v>1349649</v>
      </c>
      <c r="I898" s="96"/>
    </row>
    <row r="899" spans="1:9" ht="16.5" x14ac:dyDescent="0.2">
      <c r="A899" s="182" t="s">
        <v>1050</v>
      </c>
      <c r="B899" s="182"/>
      <c r="C899" s="182"/>
      <c r="D899" s="91">
        <f>+D900</f>
        <v>100000</v>
      </c>
      <c r="E899" s="91">
        <f t="shared" ref="E899:H899" si="44">+E900</f>
        <v>0</v>
      </c>
      <c r="F899" s="91">
        <f t="shared" si="44"/>
        <v>100000</v>
      </c>
      <c r="G899" s="91">
        <f t="shared" si="44"/>
        <v>0</v>
      </c>
      <c r="H899" s="91">
        <f t="shared" si="44"/>
        <v>100000</v>
      </c>
      <c r="I899" s="92">
        <f>G899/D899</f>
        <v>0</v>
      </c>
    </row>
    <row r="900" spans="1:9" ht="48" customHeight="1" x14ac:dyDescent="0.2">
      <c r="A900" s="180">
        <f>SUBTOTAL(103,$B$8:B901)</f>
        <v>248</v>
      </c>
      <c r="B900" s="178">
        <v>153</v>
      </c>
      <c r="C900" s="161" t="s">
        <v>499</v>
      </c>
      <c r="D900" s="162">
        <f>[1]AA!D133</f>
        <v>100000</v>
      </c>
      <c r="E900" s="162">
        <f>[1]AA!E133</f>
        <v>0</v>
      </c>
      <c r="F900" s="162">
        <f>[1]AA!F133</f>
        <v>100000</v>
      </c>
      <c r="G900" s="162">
        <f>[1]AA!G133</f>
        <v>0</v>
      </c>
      <c r="H900" s="162">
        <f>[1]AA!H133</f>
        <v>100000</v>
      </c>
      <c r="I900" s="96">
        <f>G900/D900</f>
        <v>0</v>
      </c>
    </row>
    <row r="901" spans="1:9" x14ac:dyDescent="0.2">
      <c r="A901" s="181"/>
      <c r="B901" s="179"/>
      <c r="C901" s="161" t="str">
        <f>[3]H4!C361</f>
        <v>2.6.2.3.9 - 2.COSTO DE CONSTRUCCION POR CONTRATA</v>
      </c>
      <c r="D901" s="163">
        <f>[3]H4!D361</f>
        <v>100000</v>
      </c>
      <c r="E901" s="163">
        <f>[3]H4!E361</f>
        <v>0</v>
      </c>
      <c r="F901" s="163">
        <f>[3]H4!F361</f>
        <v>100000</v>
      </c>
      <c r="G901" s="163">
        <f>[3]H4!G361</f>
        <v>0</v>
      </c>
      <c r="H901" s="163">
        <f>[3]H4!H361</f>
        <v>100000</v>
      </c>
      <c r="I901" s="96"/>
    </row>
    <row r="902" spans="1:9" ht="16.5" hidden="1" x14ac:dyDescent="0.2">
      <c r="A902" s="182" t="s">
        <v>1055</v>
      </c>
      <c r="B902" s="182"/>
      <c r="C902" s="182"/>
      <c r="D902" s="91">
        <f>+D903</f>
        <v>0</v>
      </c>
      <c r="E902" s="91">
        <f t="shared" ref="E902:H902" si="45">+E903</f>
        <v>0</v>
      </c>
      <c r="F902" s="91">
        <f t="shared" si="45"/>
        <v>0</v>
      </c>
      <c r="G902" s="91">
        <f t="shared" si="45"/>
        <v>0</v>
      </c>
      <c r="H902" s="91">
        <f t="shared" si="45"/>
        <v>0</v>
      </c>
      <c r="I902" s="92" t="e">
        <f>G902/D902</f>
        <v>#DIV/0!</v>
      </c>
    </row>
    <row r="903" spans="1:9" ht="38.25" hidden="1" x14ac:dyDescent="0.2">
      <c r="A903" s="180">
        <f>SUBTOTAL(103,$B$8:B904)</f>
        <v>248</v>
      </c>
      <c r="B903" s="178">
        <v>236</v>
      </c>
      <c r="C903" s="161" t="s">
        <v>249</v>
      </c>
      <c r="D903" s="162">
        <f>[1]AA!D201</f>
        <v>0</v>
      </c>
      <c r="E903" s="162">
        <f>[1]AA!E201</f>
        <v>0</v>
      </c>
      <c r="F903" s="162">
        <f>[1]AA!F201</f>
        <v>0</v>
      </c>
      <c r="G903" s="162">
        <f>[1]AA!G201</f>
        <v>0</v>
      </c>
      <c r="H903" s="162">
        <f>[1]AA!H201</f>
        <v>0</v>
      </c>
      <c r="I903" s="96" t="e">
        <f>G903/D903</f>
        <v>#DIV/0!</v>
      </c>
    </row>
    <row r="904" spans="1:9" hidden="1" x14ac:dyDescent="0.2">
      <c r="A904" s="181"/>
      <c r="B904" s="179"/>
      <c r="C904" s="161" t="str">
        <f>[3]H4!C473</f>
        <v>2.6.2.3.2 - 3.COSTO DE CONSTRUCCION POR CONTRATA</v>
      </c>
      <c r="D904" s="163">
        <f>[3]H4!D473</f>
        <v>0</v>
      </c>
      <c r="E904" s="163">
        <f>[3]H4!E473</f>
        <v>0</v>
      </c>
      <c r="F904" s="163">
        <f>[3]H4!F473</f>
        <v>0</v>
      </c>
      <c r="G904" s="163">
        <f>[3]H4!G473</f>
        <v>0</v>
      </c>
      <c r="H904" s="163">
        <f>[3]H4!H473</f>
        <v>0</v>
      </c>
      <c r="I904" s="96"/>
    </row>
    <row r="905" spans="1:9" customFormat="1" ht="16.5" x14ac:dyDescent="0.2">
      <c r="A905" s="192" t="s">
        <v>191</v>
      </c>
      <c r="B905" s="193"/>
      <c r="C905" s="194"/>
      <c r="D905" s="140">
        <f>D7+D175+D307+D210</f>
        <v>771428028</v>
      </c>
      <c r="E905" s="140">
        <f>E7+E175+E307+E210</f>
        <v>711583943.99999988</v>
      </c>
      <c r="F905" s="140">
        <f>F7+F175+F307+F210</f>
        <v>59844084</v>
      </c>
      <c r="G905" s="140">
        <f>G7+G175+G307+G210</f>
        <v>332452578.20999998</v>
      </c>
      <c r="H905" s="142">
        <f>H7+H175+H307+H210</f>
        <v>438975449.79000002</v>
      </c>
      <c r="I905" s="145">
        <f>G905/D905</f>
        <v>0.43095734941328834</v>
      </c>
    </row>
  </sheetData>
  <mergeCells count="425">
    <mergeCell ref="A168:C168"/>
    <mergeCell ref="A870:A872"/>
    <mergeCell ref="B870:B872"/>
    <mergeCell ref="A582:A584"/>
    <mergeCell ref="B582:B584"/>
    <mergeCell ref="A600:A602"/>
    <mergeCell ref="B600:B602"/>
    <mergeCell ref="A614:A616"/>
    <mergeCell ref="B614:B616"/>
    <mergeCell ref="A721:A723"/>
    <mergeCell ref="B721:B723"/>
    <mergeCell ref="B796:B799"/>
    <mergeCell ref="B790:B792"/>
    <mergeCell ref="A793:A795"/>
    <mergeCell ref="B793:B795"/>
    <mergeCell ref="B705:B707"/>
    <mergeCell ref="A705:A707"/>
    <mergeCell ref="B670:B672"/>
    <mergeCell ref="A659:A660"/>
    <mergeCell ref="A773:A775"/>
    <mergeCell ref="B773:B775"/>
    <mergeCell ref="A796:A799"/>
    <mergeCell ref="A790:A792"/>
    <mergeCell ref="A561:A563"/>
    <mergeCell ref="A521:A522"/>
    <mergeCell ref="A543:A551"/>
    <mergeCell ref="A767:A769"/>
    <mergeCell ref="B630:B632"/>
    <mergeCell ref="B702:B704"/>
    <mergeCell ref="A702:A704"/>
    <mergeCell ref="A683:A685"/>
    <mergeCell ref="B683:B685"/>
    <mergeCell ref="A689:A691"/>
    <mergeCell ref="B603:B605"/>
    <mergeCell ref="B680:B682"/>
    <mergeCell ref="A686:A688"/>
    <mergeCell ref="B638:B640"/>
    <mergeCell ref="A752:A753"/>
    <mergeCell ref="A644:A646"/>
    <mergeCell ref="A656:A658"/>
    <mergeCell ref="B653:B655"/>
    <mergeCell ref="A653:A655"/>
    <mergeCell ref="B650:B652"/>
    <mergeCell ref="A650:A652"/>
    <mergeCell ref="B647:B649"/>
    <mergeCell ref="B737:B739"/>
    <mergeCell ref="B734:B736"/>
    <mergeCell ref="A734:A736"/>
    <mergeCell ref="A528:A542"/>
    <mergeCell ref="B528:B542"/>
    <mergeCell ref="B633:B635"/>
    <mergeCell ref="A622:A624"/>
    <mergeCell ref="B622:B624"/>
    <mergeCell ref="B667:B669"/>
    <mergeCell ref="A667:A669"/>
    <mergeCell ref="B664:B666"/>
    <mergeCell ref="A664:A666"/>
    <mergeCell ref="B558:B560"/>
    <mergeCell ref="A558:A560"/>
    <mergeCell ref="B656:B658"/>
    <mergeCell ref="A630:A632"/>
    <mergeCell ref="B561:B563"/>
    <mergeCell ref="B556:B557"/>
    <mergeCell ref="A641:A643"/>
    <mergeCell ref="B543:B551"/>
    <mergeCell ref="A597:A599"/>
    <mergeCell ref="A633:A635"/>
    <mergeCell ref="B625:B626"/>
    <mergeCell ref="B728:B730"/>
    <mergeCell ref="B554:B555"/>
    <mergeCell ref="A569:A571"/>
    <mergeCell ref="B577:B579"/>
    <mergeCell ref="A577:A579"/>
    <mergeCell ref="A603:A605"/>
    <mergeCell ref="B606:B608"/>
    <mergeCell ref="A625:A626"/>
    <mergeCell ref="A647:A649"/>
    <mergeCell ref="B644:B646"/>
    <mergeCell ref="B661:B663"/>
    <mergeCell ref="B716:B718"/>
    <mergeCell ref="A716:A718"/>
    <mergeCell ref="B521:B522"/>
    <mergeCell ref="B700:B701"/>
    <mergeCell ref="B708:B710"/>
    <mergeCell ref="A698:A699"/>
    <mergeCell ref="A673:A675"/>
    <mergeCell ref="B620:B621"/>
    <mergeCell ref="A711:A713"/>
    <mergeCell ref="B636:B637"/>
    <mergeCell ref="A638:A640"/>
    <mergeCell ref="A692:A694"/>
    <mergeCell ref="A700:A701"/>
    <mergeCell ref="B641:B643"/>
    <mergeCell ref="A708:A710"/>
    <mergeCell ref="B523:B524"/>
    <mergeCell ref="B569:B571"/>
    <mergeCell ref="B525:B527"/>
    <mergeCell ref="A618:A619"/>
    <mergeCell ref="B618:B619"/>
    <mergeCell ref="A617:C617"/>
    <mergeCell ref="A606:A608"/>
    <mergeCell ref="A525:A527"/>
    <mergeCell ref="A523:A524"/>
    <mergeCell ref="A554:A555"/>
    <mergeCell ref="B711:B713"/>
    <mergeCell ref="A839:A842"/>
    <mergeCell ref="B770:B772"/>
    <mergeCell ref="B714:B715"/>
    <mergeCell ref="A714:A715"/>
    <mergeCell ref="A745:A751"/>
    <mergeCell ref="A754:A766"/>
    <mergeCell ref="B754:B766"/>
    <mergeCell ref="B731:B733"/>
    <mergeCell ref="A731:A733"/>
    <mergeCell ref="A818:A820"/>
    <mergeCell ref="B781:B783"/>
    <mergeCell ref="A800:A802"/>
    <mergeCell ref="B809:B811"/>
    <mergeCell ref="B800:B802"/>
    <mergeCell ref="A809:A811"/>
    <mergeCell ref="B803:B805"/>
    <mergeCell ref="A803:A805"/>
    <mergeCell ref="A787:A789"/>
    <mergeCell ref="B740:B741"/>
    <mergeCell ref="B724:B725"/>
    <mergeCell ref="B719:B720"/>
    <mergeCell ref="B752:B753"/>
    <mergeCell ref="A726:A727"/>
    <mergeCell ref="A827:A829"/>
    <mergeCell ref="A277:A278"/>
    <mergeCell ref="A3:A4"/>
    <mergeCell ref="B3:B4"/>
    <mergeCell ref="C1:I1"/>
    <mergeCell ref="B2:I2"/>
    <mergeCell ref="D3:D4"/>
    <mergeCell ref="G3:G4"/>
    <mergeCell ref="I3:I4"/>
    <mergeCell ref="A695:A697"/>
    <mergeCell ref="A8:C8"/>
    <mergeCell ref="E3:E4"/>
    <mergeCell ref="F3:F4"/>
    <mergeCell ref="H3:H4"/>
    <mergeCell ref="A210:C210"/>
    <mergeCell ref="A627:A629"/>
    <mergeCell ref="B627:B629"/>
    <mergeCell ref="A636:A637"/>
    <mergeCell ref="B686:B688"/>
    <mergeCell ref="B692:B694"/>
    <mergeCell ref="B695:B697"/>
    <mergeCell ref="A304:C304"/>
    <mergeCell ref="B319:B321"/>
    <mergeCell ref="A316:A318"/>
    <mergeCell ref="B316:B318"/>
    <mergeCell ref="B839:B842"/>
    <mergeCell ref="C3:C4"/>
    <mergeCell ref="A279:A280"/>
    <mergeCell ref="B279:B280"/>
    <mergeCell ref="A300:A301"/>
    <mergeCell ref="B300:B301"/>
    <mergeCell ref="A5:C5"/>
    <mergeCell ref="A6:C6"/>
    <mergeCell ref="A7:C7"/>
    <mergeCell ref="A175:C175"/>
    <mergeCell ref="A157:C157"/>
    <mergeCell ref="A129:C129"/>
    <mergeCell ref="A136:C136"/>
    <mergeCell ref="A212:A213"/>
    <mergeCell ref="B212:B213"/>
    <mergeCell ref="A211:C211"/>
    <mergeCell ref="B289:B290"/>
    <mergeCell ref="A291:A292"/>
    <mergeCell ref="A75:C75"/>
    <mergeCell ref="A263:A264"/>
    <mergeCell ref="A269:A270"/>
    <mergeCell ref="B269:B270"/>
    <mergeCell ref="A186:C186"/>
    <mergeCell ref="A176:C176"/>
    <mergeCell ref="B609:B610"/>
    <mergeCell ref="A609:A610"/>
    <mergeCell ref="B611:B613"/>
    <mergeCell ref="A611:A613"/>
    <mergeCell ref="B597:B599"/>
    <mergeCell ref="B830:B832"/>
    <mergeCell ref="A806:A808"/>
    <mergeCell ref="B779:B780"/>
    <mergeCell ref="B745:B751"/>
    <mergeCell ref="B806:B808"/>
    <mergeCell ref="A781:A783"/>
    <mergeCell ref="A620:A621"/>
    <mergeCell ref="A661:A663"/>
    <mergeCell ref="B824:B826"/>
    <mergeCell ref="A824:A826"/>
    <mergeCell ref="B821:B823"/>
    <mergeCell ref="A821:A823"/>
    <mergeCell ref="B818:B820"/>
    <mergeCell ref="B812:B814"/>
    <mergeCell ref="B827:B829"/>
    <mergeCell ref="A812:A814"/>
    <mergeCell ref="A815:A817"/>
    <mergeCell ref="B815:B817"/>
    <mergeCell ref="B726:B727"/>
    <mergeCell ref="B574:B576"/>
    <mergeCell ref="A574:A576"/>
    <mergeCell ref="B585:B587"/>
    <mergeCell ref="A585:A587"/>
    <mergeCell ref="B588:B590"/>
    <mergeCell ref="A588:A590"/>
    <mergeCell ref="B591:B593"/>
    <mergeCell ref="A591:A593"/>
    <mergeCell ref="B594:B596"/>
    <mergeCell ref="A594:A596"/>
    <mergeCell ref="A903:A904"/>
    <mergeCell ref="B903:B904"/>
    <mergeCell ref="A899:C899"/>
    <mergeCell ref="A830:A832"/>
    <mergeCell ref="A861:A863"/>
    <mergeCell ref="B864:B866"/>
    <mergeCell ref="A864:A866"/>
    <mergeCell ref="A849:A851"/>
    <mergeCell ref="B852:B854"/>
    <mergeCell ref="A852:A854"/>
    <mergeCell ref="B855:B857"/>
    <mergeCell ref="A855:A857"/>
    <mergeCell ref="B858:B860"/>
    <mergeCell ref="A858:A860"/>
    <mergeCell ref="B861:B863"/>
    <mergeCell ref="A902:C902"/>
    <mergeCell ref="B900:B901"/>
    <mergeCell ref="A900:A901"/>
    <mergeCell ref="A877:A879"/>
    <mergeCell ref="A887:A888"/>
    <mergeCell ref="A896:C896"/>
    <mergeCell ref="A894:A895"/>
    <mergeCell ref="B894:B895"/>
    <mergeCell ref="A893:C893"/>
    <mergeCell ref="A719:A720"/>
    <mergeCell ref="B877:B879"/>
    <mergeCell ref="B887:B888"/>
    <mergeCell ref="B880:B882"/>
    <mergeCell ref="A880:A882"/>
    <mergeCell ref="B833:B835"/>
    <mergeCell ref="A833:A835"/>
    <mergeCell ref="A891:A892"/>
    <mergeCell ref="B891:B892"/>
    <mergeCell ref="A836:A838"/>
    <mergeCell ref="B867:B869"/>
    <mergeCell ref="A867:A869"/>
    <mergeCell ref="A886:C886"/>
    <mergeCell ref="B883:B885"/>
    <mergeCell ref="A883:A885"/>
    <mergeCell ref="B849:B851"/>
    <mergeCell ref="A874:A876"/>
    <mergeCell ref="A873:C873"/>
    <mergeCell ref="A843:A845"/>
    <mergeCell ref="B846:B848"/>
    <mergeCell ref="B843:B845"/>
    <mergeCell ref="A846:A848"/>
    <mergeCell ref="B836:B838"/>
    <mergeCell ref="B874:B876"/>
    <mergeCell ref="A307:C307"/>
    <mergeCell ref="B509:B510"/>
    <mergeCell ref="A501:A502"/>
    <mergeCell ref="B659:B660"/>
    <mergeCell ref="A580:A581"/>
    <mergeCell ref="B580:B581"/>
    <mergeCell ref="A897:A898"/>
    <mergeCell ref="B897:B898"/>
    <mergeCell ref="A572:A573"/>
    <mergeCell ref="B572:B573"/>
    <mergeCell ref="A564:A565"/>
    <mergeCell ref="B564:B565"/>
    <mergeCell ref="B566:B568"/>
    <mergeCell ref="A566:A568"/>
    <mergeCell ref="A889:A890"/>
    <mergeCell ref="B889:B890"/>
    <mergeCell ref="A680:A682"/>
    <mergeCell ref="B673:B675"/>
    <mergeCell ref="A670:A672"/>
    <mergeCell ref="A770:A772"/>
    <mergeCell ref="B689:B691"/>
    <mergeCell ref="A556:A557"/>
    <mergeCell ref="A779:A780"/>
    <mergeCell ref="B787:B789"/>
    <mergeCell ref="A322:A324"/>
    <mergeCell ref="B330:B494"/>
    <mergeCell ref="B497:B498"/>
    <mergeCell ref="A319:A321"/>
    <mergeCell ref="B325:B327"/>
    <mergeCell ref="A325:A327"/>
    <mergeCell ref="B499:B500"/>
    <mergeCell ref="B511:B512"/>
    <mergeCell ref="A905:C905"/>
    <mergeCell ref="A728:A730"/>
    <mergeCell ref="A676:A679"/>
    <mergeCell ref="A724:A725"/>
    <mergeCell ref="B776:B778"/>
    <mergeCell ref="A744:C744"/>
    <mergeCell ref="A740:A741"/>
    <mergeCell ref="B698:B699"/>
    <mergeCell ref="A776:A778"/>
    <mergeCell ref="A784:A786"/>
    <mergeCell ref="B784:B786"/>
    <mergeCell ref="A737:A739"/>
    <mergeCell ref="B767:B769"/>
    <mergeCell ref="A742:A743"/>
    <mergeCell ref="B742:B743"/>
    <mergeCell ref="B676:B679"/>
    <mergeCell ref="B519:B520"/>
    <mergeCell ref="A505:A506"/>
    <mergeCell ref="A511:A512"/>
    <mergeCell ref="A513:A514"/>
    <mergeCell ref="A515:A516"/>
    <mergeCell ref="B515:B516"/>
    <mergeCell ref="B505:B506"/>
    <mergeCell ref="B513:B514"/>
    <mergeCell ref="A519:A520"/>
    <mergeCell ref="A507:A508"/>
    <mergeCell ref="B507:B508"/>
    <mergeCell ref="A509:A510"/>
    <mergeCell ref="A299:C299"/>
    <mergeCell ref="A305:A306"/>
    <mergeCell ref="B305:B306"/>
    <mergeCell ref="A295:A296"/>
    <mergeCell ref="B291:B292"/>
    <mergeCell ref="A314:A315"/>
    <mergeCell ref="A289:A290"/>
    <mergeCell ref="A517:A518"/>
    <mergeCell ref="B517:B518"/>
    <mergeCell ref="A308:C308"/>
    <mergeCell ref="B314:B315"/>
    <mergeCell ref="B503:B504"/>
    <mergeCell ref="A499:A500"/>
    <mergeCell ref="A309:A311"/>
    <mergeCell ref="B322:B324"/>
    <mergeCell ref="B309:B311"/>
    <mergeCell ref="A312:A313"/>
    <mergeCell ref="B312:B313"/>
    <mergeCell ref="A495:A496"/>
    <mergeCell ref="A503:A504"/>
    <mergeCell ref="B495:B496"/>
    <mergeCell ref="B501:B502"/>
    <mergeCell ref="A497:A498"/>
    <mergeCell ref="A330:A494"/>
    <mergeCell ref="A247:A248"/>
    <mergeCell ref="A275:A276"/>
    <mergeCell ref="B275:B276"/>
    <mergeCell ref="B247:B248"/>
    <mergeCell ref="A302:A303"/>
    <mergeCell ref="B302:B303"/>
    <mergeCell ref="B295:B296"/>
    <mergeCell ref="A297:A298"/>
    <mergeCell ref="B297:B298"/>
    <mergeCell ref="B281:B282"/>
    <mergeCell ref="A265:A266"/>
    <mergeCell ref="B265:B266"/>
    <mergeCell ref="A267:A268"/>
    <mergeCell ref="B267:B268"/>
    <mergeCell ref="A283:A284"/>
    <mergeCell ref="B283:B284"/>
    <mergeCell ref="A281:A282"/>
    <mergeCell ref="B277:B278"/>
    <mergeCell ref="A249:A250"/>
    <mergeCell ref="A272:A274"/>
    <mergeCell ref="B272:B274"/>
    <mergeCell ref="B287:B288"/>
    <mergeCell ref="A285:A286"/>
    <mergeCell ref="B285:B286"/>
    <mergeCell ref="A219:A221"/>
    <mergeCell ref="A227:A228"/>
    <mergeCell ref="A198:C198"/>
    <mergeCell ref="A200:C200"/>
    <mergeCell ref="A203:C203"/>
    <mergeCell ref="A231:A232"/>
    <mergeCell ref="B231:B232"/>
    <mergeCell ref="B214:B215"/>
    <mergeCell ref="A216:A217"/>
    <mergeCell ref="B216:B217"/>
    <mergeCell ref="A128:C128"/>
    <mergeCell ref="A40:C40"/>
    <mergeCell ref="A9:C9"/>
    <mergeCell ref="A12:C12"/>
    <mergeCell ref="A218:C218"/>
    <mergeCell ref="A229:A230"/>
    <mergeCell ref="A241:A242"/>
    <mergeCell ref="B241:B242"/>
    <mergeCell ref="A78:C78"/>
    <mergeCell ref="B222:B223"/>
    <mergeCell ref="B224:B226"/>
    <mergeCell ref="A65:C65"/>
    <mergeCell ref="A233:A234"/>
    <mergeCell ref="B233:B234"/>
    <mergeCell ref="A235:A236"/>
    <mergeCell ref="B235:B236"/>
    <mergeCell ref="A237:A238"/>
    <mergeCell ref="B237:B238"/>
    <mergeCell ref="B229:B230"/>
    <mergeCell ref="A214:A215"/>
    <mergeCell ref="B219:B221"/>
    <mergeCell ref="A222:A223"/>
    <mergeCell ref="B227:B228"/>
    <mergeCell ref="A224:A226"/>
    <mergeCell ref="B249:B250"/>
    <mergeCell ref="A293:A294"/>
    <mergeCell ref="B293:B294"/>
    <mergeCell ref="A251:A252"/>
    <mergeCell ref="B251:B252"/>
    <mergeCell ref="B239:B240"/>
    <mergeCell ref="A287:A288"/>
    <mergeCell ref="A257:A258"/>
    <mergeCell ref="B257:B258"/>
    <mergeCell ref="A259:A260"/>
    <mergeCell ref="B259:B260"/>
    <mergeCell ref="A271:C271"/>
    <mergeCell ref="A243:A244"/>
    <mergeCell ref="B243:B244"/>
    <mergeCell ref="B255:B256"/>
    <mergeCell ref="A261:A262"/>
    <mergeCell ref="B261:B262"/>
    <mergeCell ref="B263:B264"/>
    <mergeCell ref="A239:A240"/>
    <mergeCell ref="B245:B246"/>
    <mergeCell ref="A245:A246"/>
    <mergeCell ref="A253:A254"/>
    <mergeCell ref="B253:B254"/>
    <mergeCell ref="A255:A256"/>
  </mergeCells>
  <pageMargins left="0.74803149606299213" right="0.74803149606299213" top="0.74803149606299213" bottom="0.74803149606299213" header="0.31496062992125984" footer="0.31496062992125984"/>
  <pageSetup paperSize="9" scale="57" orientation="portrait" r:id="rId1"/>
  <headerFooter>
    <oddFooter>Página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L431"/>
  <sheetViews>
    <sheetView showGridLines="0" zoomScale="85" zoomScaleNormal="85" zoomScaleSheetLayoutView="75" workbookViewId="0">
      <pane ySplit="5" topLeftCell="A6" activePane="bottomLeft" state="frozen"/>
      <selection activeCell="D356" sqref="D356"/>
      <selection pane="bottomLeft" activeCell="L19" sqref="L19"/>
    </sheetView>
  </sheetViews>
  <sheetFormatPr baseColWidth="10" defaultRowHeight="16.5" x14ac:dyDescent="0.2"/>
  <cols>
    <col min="1" max="1" width="6.28515625" style="1" customWidth="1"/>
    <col min="2" max="2" width="5.42578125" style="4" customWidth="1"/>
    <col min="3" max="3" width="45.5703125" style="13" customWidth="1"/>
    <col min="4" max="4" width="16.5703125" customWidth="1"/>
    <col min="5" max="5" width="17.7109375" bestFit="1" customWidth="1"/>
    <col min="6" max="6" width="16.5703125" customWidth="1"/>
    <col min="7" max="7" width="17.140625" customWidth="1"/>
    <col min="8" max="8" width="16.42578125" customWidth="1"/>
    <col min="9" max="9" width="10.28515625" style="22" customWidth="1"/>
    <col min="10" max="10" width="27.28515625" customWidth="1"/>
  </cols>
  <sheetData>
    <row r="1" spans="1:9" ht="19.5" customHeight="1" x14ac:dyDescent="0.2">
      <c r="B1" s="84"/>
      <c r="C1" s="203" t="s">
        <v>2438</v>
      </c>
      <c r="D1" s="203"/>
      <c r="E1" s="203"/>
      <c r="F1" s="203"/>
      <c r="G1" s="203"/>
      <c r="H1" s="203"/>
      <c r="I1" s="203"/>
    </row>
    <row r="2" spans="1:9" ht="41.25" customHeight="1" x14ac:dyDescent="0.25">
      <c r="B2" s="204" t="s">
        <v>2499</v>
      </c>
      <c r="C2" s="204"/>
      <c r="D2" s="204"/>
      <c r="E2" s="204"/>
      <c r="F2" s="204"/>
      <c r="G2" s="204"/>
      <c r="H2" s="204"/>
      <c r="I2" s="204"/>
    </row>
    <row r="3" spans="1:9" ht="18" x14ac:dyDescent="0.25">
      <c r="D3" s="2"/>
      <c r="E3" s="2"/>
      <c r="F3" s="2"/>
      <c r="I3" s="25"/>
    </row>
    <row r="4" spans="1:9" ht="12.6" customHeight="1" x14ac:dyDescent="0.2">
      <c r="A4" s="215" t="s">
        <v>3</v>
      </c>
      <c r="B4" s="215" t="s">
        <v>1</v>
      </c>
      <c r="C4" s="215" t="s">
        <v>0</v>
      </c>
      <c r="D4" s="215" t="s">
        <v>1076</v>
      </c>
      <c r="E4" s="215" t="s">
        <v>1080</v>
      </c>
      <c r="F4" s="215" t="s">
        <v>1081</v>
      </c>
      <c r="G4" s="215" t="s">
        <v>1078</v>
      </c>
      <c r="H4" s="215" t="s">
        <v>1082</v>
      </c>
      <c r="I4" s="225" t="s">
        <v>218</v>
      </c>
    </row>
    <row r="5" spans="1:9" ht="24" customHeight="1" x14ac:dyDescent="0.2">
      <c r="A5" s="215"/>
      <c r="B5" s="215"/>
      <c r="C5" s="215"/>
      <c r="D5" s="215"/>
      <c r="E5" s="215"/>
      <c r="F5" s="215"/>
      <c r="G5" s="215"/>
      <c r="H5" s="215"/>
      <c r="I5" s="225"/>
    </row>
    <row r="6" spans="1:9" x14ac:dyDescent="0.2">
      <c r="A6" s="183" t="s">
        <v>5</v>
      </c>
      <c r="B6" s="183"/>
      <c r="C6" s="183"/>
      <c r="D6" s="89">
        <f>+D12+D15+D7+D18+D83+D88</f>
        <v>15438088</v>
      </c>
      <c r="E6" s="89">
        <f>+E12+E15+E7+E18+E83+E88</f>
        <v>12241263.369999999</v>
      </c>
      <c r="F6" s="89">
        <f>+F12+F15+F7+F18+F83+F88</f>
        <v>3196824.63</v>
      </c>
      <c r="G6" s="89">
        <f>+G12+G15+G7+G18+G83+G88</f>
        <v>5642216.7599999998</v>
      </c>
      <c r="H6" s="89">
        <f>+H12+H15+H7+H18+H83+H88</f>
        <v>9795871.2400000002</v>
      </c>
      <c r="I6" s="90">
        <f t="shared" ref="I6:I18" si="0">G6/D6</f>
        <v>0.36547380478722491</v>
      </c>
    </row>
    <row r="7" spans="1:9" x14ac:dyDescent="0.2">
      <c r="A7" s="195" t="s">
        <v>1052</v>
      </c>
      <c r="B7" s="195"/>
      <c r="C7" s="195"/>
      <c r="D7" s="91">
        <f>SUM(D8:D11)</f>
        <v>3137774</v>
      </c>
      <c r="E7" s="91">
        <f>SUM(E8:E11)</f>
        <v>2116365.52</v>
      </c>
      <c r="F7" s="91">
        <f>SUM(F8:F11)</f>
        <v>1021408.48</v>
      </c>
      <c r="G7" s="91">
        <f>SUM(G8:G11)</f>
        <v>1384234.53</v>
      </c>
      <c r="H7" s="91">
        <f>SUM(H8:H11)</f>
        <v>1753539.47</v>
      </c>
      <c r="I7" s="92">
        <f t="shared" si="0"/>
        <v>0.44115176236401987</v>
      </c>
    </row>
    <row r="8" spans="1:9" ht="38.25" x14ac:dyDescent="0.2">
      <c r="A8" s="93">
        <f>SUBTOTAL(103,$B$8:B8)+287</f>
        <v>288</v>
      </c>
      <c r="B8" s="110">
        <v>20</v>
      </c>
      <c r="C8" s="128" t="s">
        <v>224</v>
      </c>
      <c r="D8" s="101">
        <f>[1]AA!D9</f>
        <v>2659376</v>
      </c>
      <c r="E8" s="101">
        <f>[1]AA!E9</f>
        <v>1816152.02</v>
      </c>
      <c r="F8" s="101">
        <f>[1]AA!F9</f>
        <v>843223.98</v>
      </c>
      <c r="G8" s="101">
        <f>[1]AA!G9</f>
        <v>1265261.03</v>
      </c>
      <c r="H8" s="101">
        <f>[1]AA!H9</f>
        <v>1394114.97</v>
      </c>
      <c r="I8" s="107">
        <f t="shared" si="0"/>
        <v>0.47577365141296307</v>
      </c>
    </row>
    <row r="9" spans="1:9" ht="51" x14ac:dyDescent="0.2">
      <c r="A9" s="93">
        <f>SUBTOTAL(103,$B$8:B9)+287</f>
        <v>289</v>
      </c>
      <c r="B9" s="110">
        <v>383</v>
      </c>
      <c r="C9" s="128" t="s">
        <v>970</v>
      </c>
      <c r="D9" s="95">
        <f>[1]AA!D325</f>
        <v>159946</v>
      </c>
      <c r="E9" s="95">
        <f>[1]AA!E325</f>
        <v>123441</v>
      </c>
      <c r="F9" s="95">
        <f>[1]AA!F325</f>
        <v>36505</v>
      </c>
      <c r="G9" s="95">
        <f>[1]AA!G325</f>
        <v>60441</v>
      </c>
      <c r="H9" s="95">
        <f>[1]AA!H325</f>
        <v>99505</v>
      </c>
      <c r="I9" s="107">
        <f t="shared" si="0"/>
        <v>0.37788378577769999</v>
      </c>
    </row>
    <row r="10" spans="1:9" ht="63.75" x14ac:dyDescent="0.2">
      <c r="A10" s="93">
        <f>SUBTOTAL(103,$B$8:B10)+287</f>
        <v>290</v>
      </c>
      <c r="B10" s="110">
        <v>475</v>
      </c>
      <c r="C10" s="128" t="s">
        <v>1061</v>
      </c>
      <c r="D10" s="95">
        <f>[1]AA!D394</f>
        <v>159560</v>
      </c>
      <c r="E10" s="95">
        <f>[1]AA!E394</f>
        <v>97390</v>
      </c>
      <c r="F10" s="95">
        <f>[1]AA!F394</f>
        <v>62170</v>
      </c>
      <c r="G10" s="95">
        <f>[1]AA!G394</f>
        <v>13950</v>
      </c>
      <c r="H10" s="95">
        <f>[1]AA!H394</f>
        <v>145610</v>
      </c>
      <c r="I10" s="107">
        <f>G10/D10</f>
        <v>8.7427926798696418E-2</v>
      </c>
    </row>
    <row r="11" spans="1:9" ht="63.75" x14ac:dyDescent="0.2">
      <c r="A11" s="93">
        <f>SUBTOTAL(103,$B$8:B11)+287</f>
        <v>291</v>
      </c>
      <c r="B11" s="110">
        <v>410</v>
      </c>
      <c r="C11" s="128" t="s">
        <v>997</v>
      </c>
      <c r="D11" s="95">
        <f>[1]AA!D352</f>
        <v>158892</v>
      </c>
      <c r="E11" s="95">
        <f>[1]AA!E352</f>
        <v>79382.5</v>
      </c>
      <c r="F11" s="95">
        <f>[1]AA!F352</f>
        <v>79509.5</v>
      </c>
      <c r="G11" s="95">
        <f>[1]AA!G352</f>
        <v>44582.5</v>
      </c>
      <c r="H11" s="95">
        <f>[1]AA!H352</f>
        <v>114309.5</v>
      </c>
      <c r="I11" s="107">
        <f t="shared" si="0"/>
        <v>0.28058366689323566</v>
      </c>
    </row>
    <row r="12" spans="1:9" x14ac:dyDescent="0.2">
      <c r="A12" s="195" t="s">
        <v>1048</v>
      </c>
      <c r="B12" s="195"/>
      <c r="C12" s="195"/>
      <c r="D12" s="91">
        <f>SUM(D13:D14)</f>
        <v>243160</v>
      </c>
      <c r="E12" s="91">
        <f t="shared" ref="E12:H12" si="1">SUM(E13:E14)</f>
        <v>83160</v>
      </c>
      <c r="F12" s="91">
        <f t="shared" si="1"/>
        <v>160000</v>
      </c>
      <c r="G12" s="91">
        <f t="shared" si="1"/>
        <v>83100.399999999994</v>
      </c>
      <c r="H12" s="91">
        <f t="shared" si="1"/>
        <v>160059.6</v>
      </c>
      <c r="I12" s="92">
        <f t="shared" ref="I12:I17" si="2">G12/D12</f>
        <v>0.34175193288369793</v>
      </c>
    </row>
    <row r="13" spans="1:9" ht="63.75" x14ac:dyDescent="0.2">
      <c r="A13" s="93">
        <f>SUBTOTAL(103,$B$8:B13)+287</f>
        <v>292</v>
      </c>
      <c r="B13" s="110">
        <v>399</v>
      </c>
      <c r="C13" s="128" t="s">
        <v>986</v>
      </c>
      <c r="D13" s="95">
        <f>[1]AA!D341</f>
        <v>160000</v>
      </c>
      <c r="E13" s="95">
        <f>[1]AA!E341</f>
        <v>0</v>
      </c>
      <c r="F13" s="95">
        <f>[1]AA!F341</f>
        <v>160000</v>
      </c>
      <c r="G13" s="95">
        <f>[1]AA!G341</f>
        <v>0</v>
      </c>
      <c r="H13" s="95">
        <f>[1]AA!H341</f>
        <v>160000</v>
      </c>
      <c r="I13" s="107">
        <f t="shared" si="2"/>
        <v>0</v>
      </c>
    </row>
    <row r="14" spans="1:9" ht="51" x14ac:dyDescent="0.2">
      <c r="A14" s="93">
        <f>SUBTOTAL(103,$B$8:B14)+287</f>
        <v>293</v>
      </c>
      <c r="B14" s="110">
        <v>373</v>
      </c>
      <c r="C14" s="128" t="s">
        <v>783</v>
      </c>
      <c r="D14" s="95">
        <f>[1]AA!D316</f>
        <v>83160</v>
      </c>
      <c r="E14" s="95">
        <f>[1]AA!E316</f>
        <v>83160</v>
      </c>
      <c r="F14" s="95">
        <f>[1]AA!F316</f>
        <v>0</v>
      </c>
      <c r="G14" s="95">
        <f>[1]AA!G316</f>
        <v>83100.399999999994</v>
      </c>
      <c r="H14" s="95">
        <f>[1]AA!H316</f>
        <v>59.600000000005821</v>
      </c>
      <c r="I14" s="107">
        <f t="shared" si="2"/>
        <v>0.99928330928330922</v>
      </c>
    </row>
    <row r="15" spans="1:9" x14ac:dyDescent="0.2">
      <c r="A15" s="195" t="s">
        <v>1051</v>
      </c>
      <c r="B15" s="195"/>
      <c r="C15" s="195"/>
      <c r="D15" s="91">
        <f>SUM(D16:D17)</f>
        <v>1098209</v>
      </c>
      <c r="E15" s="91">
        <f>SUM(E16:E17)</f>
        <v>942251.03</v>
      </c>
      <c r="F15" s="91">
        <f>SUM(F16:F17)</f>
        <v>155957.96999999997</v>
      </c>
      <c r="G15" s="91">
        <f>SUM(G16:G17)</f>
        <v>584139.09</v>
      </c>
      <c r="H15" s="91">
        <f>SUM(H16:H17)</f>
        <v>514069.91000000003</v>
      </c>
      <c r="I15" s="92">
        <f t="shared" si="2"/>
        <v>0.53190156882706296</v>
      </c>
    </row>
    <row r="16" spans="1:9" ht="12.75" x14ac:dyDescent="0.2">
      <c r="A16" s="93">
        <f>SUBTOTAL(103,$B$8:B16)+287</f>
        <v>294</v>
      </c>
      <c r="B16" s="110">
        <v>216</v>
      </c>
      <c r="C16" s="128" t="s">
        <v>222</v>
      </c>
      <c r="D16" s="101">
        <f>[1]AA!D181</f>
        <v>928209</v>
      </c>
      <c r="E16" s="101">
        <f>[1]AA!E181</f>
        <v>899241.03</v>
      </c>
      <c r="F16" s="101">
        <f>[1]AA!F181</f>
        <v>28967.969999999972</v>
      </c>
      <c r="G16" s="101">
        <f>[1]AA!G181</f>
        <v>562739.85</v>
      </c>
      <c r="H16" s="101">
        <f>[1]AA!H181</f>
        <v>365469.15</v>
      </c>
      <c r="I16" s="107">
        <f t="shared" si="2"/>
        <v>0.60626416033457975</v>
      </c>
    </row>
    <row r="17" spans="1:12" ht="12.75" x14ac:dyDescent="0.2">
      <c r="A17" s="93">
        <f>SUBTOTAL(103,$B$8:B17)+287</f>
        <v>295</v>
      </c>
      <c r="B17" s="110">
        <v>493</v>
      </c>
      <c r="C17" s="128" t="s">
        <v>222</v>
      </c>
      <c r="D17" s="101">
        <f>[1]AA!D409</f>
        <v>170000</v>
      </c>
      <c r="E17" s="101">
        <f>[1]AA!E409</f>
        <v>43010</v>
      </c>
      <c r="F17" s="101">
        <f>[1]AA!F409</f>
        <v>126990</v>
      </c>
      <c r="G17" s="101">
        <f>[1]AA!G409</f>
        <v>21399.239999999998</v>
      </c>
      <c r="H17" s="101">
        <f>[1]AA!H409</f>
        <v>148600.76</v>
      </c>
      <c r="I17" s="107">
        <f t="shared" si="2"/>
        <v>0.12587788235294117</v>
      </c>
    </row>
    <row r="18" spans="1:12" x14ac:dyDescent="0.2">
      <c r="A18" s="195" t="s">
        <v>1049</v>
      </c>
      <c r="B18" s="195"/>
      <c r="C18" s="195"/>
      <c r="D18" s="91">
        <f>SUM(D19:D82)</f>
        <v>8596003</v>
      </c>
      <c r="E18" s="91">
        <f t="shared" ref="E18:H18" si="3">SUM(E19:E82)</f>
        <v>7286858.1499999994</v>
      </c>
      <c r="F18" s="91">
        <f t="shared" si="3"/>
        <v>1309144.8500000001</v>
      </c>
      <c r="G18" s="91">
        <f t="shared" si="3"/>
        <v>3150430.74</v>
      </c>
      <c r="H18" s="91">
        <f t="shared" si="3"/>
        <v>5445572.2599999998</v>
      </c>
      <c r="I18" s="92">
        <f t="shared" si="0"/>
        <v>0.36649949284568656</v>
      </c>
      <c r="L18">
        <v>0</v>
      </c>
    </row>
    <row r="19" spans="1:12" ht="38.25" x14ac:dyDescent="0.2">
      <c r="A19" s="93">
        <f>SUBTOTAL(103,$B$8:B19)+287</f>
        <v>296</v>
      </c>
      <c r="B19" s="110">
        <v>418</v>
      </c>
      <c r="C19" s="128" t="s">
        <v>1005</v>
      </c>
      <c r="D19" s="95">
        <f>[1]AA!D360</f>
        <v>350000</v>
      </c>
      <c r="E19" s="95">
        <f>[1]AA!E360</f>
        <v>324160</v>
      </c>
      <c r="F19" s="95">
        <f>[1]AA!F360</f>
        <v>25840</v>
      </c>
      <c r="G19" s="95">
        <f>[1]AA!G360</f>
        <v>62360</v>
      </c>
      <c r="H19" s="95">
        <f>[1]AA!H360</f>
        <v>287640</v>
      </c>
      <c r="I19" s="107">
        <f t="shared" ref="I19:I35" si="4">G19/D19</f>
        <v>0.17817142857142856</v>
      </c>
    </row>
    <row r="20" spans="1:12" ht="38.25" x14ac:dyDescent="0.2">
      <c r="A20" s="93">
        <f>SUBTOTAL(103,$B$8:B20)+287</f>
        <v>297</v>
      </c>
      <c r="B20" s="110">
        <v>424</v>
      </c>
      <c r="C20" s="128" t="s">
        <v>1011</v>
      </c>
      <c r="D20" s="95">
        <f>[1]AA!D366</f>
        <v>349950</v>
      </c>
      <c r="E20" s="95">
        <f>[1]AA!E366</f>
        <v>287705</v>
      </c>
      <c r="F20" s="95">
        <f>[1]AA!F366</f>
        <v>62245</v>
      </c>
      <c r="G20" s="95">
        <f>[1]AA!G366</f>
        <v>129470</v>
      </c>
      <c r="H20" s="95">
        <f>[1]AA!H366</f>
        <v>220480</v>
      </c>
      <c r="I20" s="107">
        <f t="shared" si="4"/>
        <v>0.36996713816259463</v>
      </c>
    </row>
    <row r="21" spans="1:12" ht="38.25" x14ac:dyDescent="0.2">
      <c r="A21" s="93">
        <f>SUBTOTAL(103,$B$8:B21)+287</f>
        <v>298</v>
      </c>
      <c r="B21" s="110">
        <v>413</v>
      </c>
      <c r="C21" s="128" t="s">
        <v>1000</v>
      </c>
      <c r="D21" s="95">
        <f>[1]AA!D355</f>
        <v>349899</v>
      </c>
      <c r="E21" s="95">
        <f>[1]AA!E355</f>
        <v>307070</v>
      </c>
      <c r="F21" s="95">
        <f>[1]AA!F355</f>
        <v>42829</v>
      </c>
      <c r="G21" s="95">
        <f>[1]AA!G355</f>
        <v>7000</v>
      </c>
      <c r="H21" s="95">
        <f>[1]AA!H355</f>
        <v>342899</v>
      </c>
      <c r="I21" s="107">
        <f t="shared" si="4"/>
        <v>2.0005773094521562E-2</v>
      </c>
    </row>
    <row r="22" spans="1:12" ht="51" x14ac:dyDescent="0.2">
      <c r="A22" s="93">
        <f>SUBTOTAL(103,$B$8:B22)+287</f>
        <v>299</v>
      </c>
      <c r="B22" s="110">
        <v>394</v>
      </c>
      <c r="C22" s="128" t="s">
        <v>981</v>
      </c>
      <c r="D22" s="95">
        <f>[1]AA!D336</f>
        <v>349792</v>
      </c>
      <c r="E22" s="95">
        <f>[1]AA!E336</f>
        <v>321500</v>
      </c>
      <c r="F22" s="95">
        <f>[1]AA!F336</f>
        <v>28292</v>
      </c>
      <c r="G22" s="95">
        <f>[1]AA!G336</f>
        <v>0</v>
      </c>
      <c r="H22" s="95">
        <f>[1]AA!H336</f>
        <v>349792</v>
      </c>
      <c r="I22" s="107">
        <f t="shared" si="4"/>
        <v>0</v>
      </c>
    </row>
    <row r="23" spans="1:12" ht="51" x14ac:dyDescent="0.2">
      <c r="A23" s="93">
        <f>SUBTOTAL(103,$B$8:B23)+287</f>
        <v>300</v>
      </c>
      <c r="B23" s="110">
        <v>408</v>
      </c>
      <c r="C23" s="128" t="s">
        <v>995</v>
      </c>
      <c r="D23" s="95">
        <f>[1]AA!D350</f>
        <v>349792</v>
      </c>
      <c r="E23" s="95">
        <f>[1]AA!E350</f>
        <v>329100</v>
      </c>
      <c r="F23" s="95">
        <f>[1]AA!F350</f>
        <v>20692</v>
      </c>
      <c r="G23" s="95">
        <f>[1]AA!G350</f>
        <v>0</v>
      </c>
      <c r="H23" s="95">
        <f>[1]AA!H350</f>
        <v>349792</v>
      </c>
      <c r="I23" s="107">
        <f t="shared" si="4"/>
        <v>0</v>
      </c>
    </row>
    <row r="24" spans="1:12" ht="38.25" x14ac:dyDescent="0.2">
      <c r="A24" s="93">
        <f>SUBTOTAL(103,$B$8:B24)+287</f>
        <v>301</v>
      </c>
      <c r="B24" s="110">
        <v>421</v>
      </c>
      <c r="C24" s="128" t="s">
        <v>1008</v>
      </c>
      <c r="D24" s="95">
        <f>[1]AA!D363</f>
        <v>346711</v>
      </c>
      <c r="E24" s="95">
        <f>[1]AA!E363</f>
        <v>318955</v>
      </c>
      <c r="F24" s="95">
        <f>[1]AA!F363</f>
        <v>27756</v>
      </c>
      <c r="G24" s="95">
        <f>[1]AA!G363</f>
        <v>40200</v>
      </c>
      <c r="H24" s="95">
        <f>[1]AA!H363</f>
        <v>306511</v>
      </c>
      <c r="I24" s="107">
        <f t="shared" si="4"/>
        <v>0.11594671066104047</v>
      </c>
    </row>
    <row r="25" spans="1:12" ht="51" x14ac:dyDescent="0.2">
      <c r="A25" s="93">
        <f>SUBTOTAL(103,$B$8:B25)+287</f>
        <v>302</v>
      </c>
      <c r="B25" s="110">
        <v>387</v>
      </c>
      <c r="C25" s="128" t="s">
        <v>974</v>
      </c>
      <c r="D25" s="95">
        <f>[1]AA!D329</f>
        <v>269980</v>
      </c>
      <c r="E25" s="95">
        <f>[1]AA!E329</f>
        <v>259749</v>
      </c>
      <c r="F25" s="95">
        <f>[1]AA!F329</f>
        <v>10231</v>
      </c>
      <c r="G25" s="95">
        <f>[1]AA!G329</f>
        <v>251883</v>
      </c>
      <c r="H25" s="95">
        <f>[1]AA!H329</f>
        <v>18097</v>
      </c>
      <c r="I25" s="107">
        <f t="shared" si="4"/>
        <v>0.93296910882287576</v>
      </c>
    </row>
    <row r="26" spans="1:12" ht="63.75" x14ac:dyDescent="0.2">
      <c r="A26" s="93">
        <f>SUBTOTAL(103,$B$8:B26)+287</f>
        <v>303</v>
      </c>
      <c r="B26" s="110">
        <v>378</v>
      </c>
      <c r="C26" s="128" t="s">
        <v>803</v>
      </c>
      <c r="D26" s="95">
        <f>[1]AA!D321</f>
        <v>209400</v>
      </c>
      <c r="E26" s="95">
        <f>[1]AA!E321</f>
        <v>136550</v>
      </c>
      <c r="F26" s="95">
        <f>[1]AA!F321</f>
        <v>72850</v>
      </c>
      <c r="G26" s="95">
        <f>[1]AA!G321</f>
        <v>136550</v>
      </c>
      <c r="H26" s="95">
        <f>[1]AA!H321</f>
        <v>72850</v>
      </c>
      <c r="I26" s="107">
        <f t="shared" si="4"/>
        <v>0.65210124164278893</v>
      </c>
    </row>
    <row r="27" spans="1:12" ht="51" x14ac:dyDescent="0.2">
      <c r="A27" s="93">
        <f>SUBTOTAL(103,$B$8:B27)+287</f>
        <v>304</v>
      </c>
      <c r="B27" s="110">
        <v>392</v>
      </c>
      <c r="C27" s="128" t="s">
        <v>979</v>
      </c>
      <c r="D27" s="95">
        <f>[1]AA!D334</f>
        <v>160000</v>
      </c>
      <c r="E27" s="95">
        <f>[1]AA!E334</f>
        <v>143401</v>
      </c>
      <c r="F27" s="95">
        <f>[1]AA!F334</f>
        <v>16599</v>
      </c>
      <c r="G27" s="95">
        <f>[1]AA!G334</f>
        <v>118401</v>
      </c>
      <c r="H27" s="95">
        <f>[1]AA!H334</f>
        <v>41599</v>
      </c>
      <c r="I27" s="107">
        <f t="shared" si="4"/>
        <v>0.74000624999999998</v>
      </c>
    </row>
    <row r="28" spans="1:12" ht="76.5" x14ac:dyDescent="0.2">
      <c r="A28" s="93">
        <f>SUBTOTAL(103,$B$8:B28)+287</f>
        <v>305</v>
      </c>
      <c r="B28" s="110">
        <v>393</v>
      </c>
      <c r="C28" s="128" t="s">
        <v>980</v>
      </c>
      <c r="D28" s="95">
        <f>[1]AA!D335</f>
        <v>160000</v>
      </c>
      <c r="E28" s="95">
        <f>[1]AA!E335</f>
        <v>149840</v>
      </c>
      <c r="F28" s="95">
        <f>[1]AA!F335</f>
        <v>10160</v>
      </c>
      <c r="G28" s="95">
        <f>[1]AA!G335</f>
        <v>15740</v>
      </c>
      <c r="H28" s="95">
        <f>[1]AA!H335</f>
        <v>144260</v>
      </c>
      <c r="I28" s="107">
        <f t="shared" si="4"/>
        <v>9.8375000000000004E-2</v>
      </c>
    </row>
    <row r="29" spans="1:12" ht="63.75" x14ac:dyDescent="0.2">
      <c r="A29" s="93">
        <f>SUBTOTAL(103,$B$8:B29)+287</f>
        <v>306</v>
      </c>
      <c r="B29" s="110">
        <v>397</v>
      </c>
      <c r="C29" s="128" t="s">
        <v>984</v>
      </c>
      <c r="D29" s="95">
        <f>[1]AA!D339</f>
        <v>160000</v>
      </c>
      <c r="E29" s="95">
        <f>[1]AA!E339</f>
        <v>148960</v>
      </c>
      <c r="F29" s="95">
        <f>[1]AA!F339</f>
        <v>11040</v>
      </c>
      <c r="G29" s="95">
        <f>[1]AA!G339</f>
        <v>26000</v>
      </c>
      <c r="H29" s="95">
        <f>[1]AA!H339</f>
        <v>134000</v>
      </c>
      <c r="I29" s="107">
        <f t="shared" si="4"/>
        <v>0.16250000000000001</v>
      </c>
    </row>
    <row r="30" spans="1:12" ht="51" x14ac:dyDescent="0.2">
      <c r="A30" s="93">
        <f>SUBTOTAL(103,$B$8:B30)+287</f>
        <v>307</v>
      </c>
      <c r="B30" s="110">
        <v>404</v>
      </c>
      <c r="C30" s="128" t="s">
        <v>991</v>
      </c>
      <c r="D30" s="95">
        <f>[1]AA!D346</f>
        <v>160000</v>
      </c>
      <c r="E30" s="95">
        <f>[1]AA!E346</f>
        <v>150870</v>
      </c>
      <c r="F30" s="95">
        <f>[1]AA!F346</f>
        <v>9130</v>
      </c>
      <c r="G30" s="95">
        <f>[1]AA!G346</f>
        <v>45270</v>
      </c>
      <c r="H30" s="95">
        <f>[1]AA!H346</f>
        <v>114730</v>
      </c>
      <c r="I30" s="107">
        <f t="shared" si="4"/>
        <v>0.28293750000000001</v>
      </c>
    </row>
    <row r="31" spans="1:12" ht="63.75" x14ac:dyDescent="0.2">
      <c r="A31" s="93">
        <f>SUBTOTAL(103,$B$8:B31)+287</f>
        <v>308</v>
      </c>
      <c r="B31" s="110">
        <v>407</v>
      </c>
      <c r="C31" s="128" t="s">
        <v>994</v>
      </c>
      <c r="D31" s="95">
        <f>[1]AA!D349</f>
        <v>160000</v>
      </c>
      <c r="E31" s="95">
        <f>[1]AA!E349</f>
        <v>151322</v>
      </c>
      <c r="F31" s="95">
        <f>[1]AA!F349</f>
        <v>8678</v>
      </c>
      <c r="G31" s="95">
        <f>[1]AA!G349</f>
        <v>96322</v>
      </c>
      <c r="H31" s="95">
        <f>[1]AA!H349</f>
        <v>63678</v>
      </c>
      <c r="I31" s="107">
        <f t="shared" si="4"/>
        <v>0.60201249999999995</v>
      </c>
    </row>
    <row r="32" spans="1:12" ht="63.75" x14ac:dyDescent="0.2">
      <c r="A32" s="93">
        <f>SUBTOTAL(103,$B$8:B32)+287</f>
        <v>309</v>
      </c>
      <c r="B32" s="110">
        <v>412</v>
      </c>
      <c r="C32" s="128" t="s">
        <v>999</v>
      </c>
      <c r="D32" s="95">
        <f>[1]AA!D354</f>
        <v>160000</v>
      </c>
      <c r="E32" s="95">
        <f>[1]AA!E354</f>
        <v>145570.62</v>
      </c>
      <c r="F32" s="95">
        <f>[1]AA!F354</f>
        <v>14429.380000000005</v>
      </c>
      <c r="G32" s="95">
        <f>[1]AA!G354</f>
        <v>10545</v>
      </c>
      <c r="H32" s="95">
        <f>[1]AA!H354</f>
        <v>149455</v>
      </c>
      <c r="I32" s="107">
        <f t="shared" si="4"/>
        <v>6.590625E-2</v>
      </c>
    </row>
    <row r="33" spans="1:9" ht="63.75" x14ac:dyDescent="0.2">
      <c r="A33" s="93">
        <f>SUBTOTAL(103,$B$8:B33)+287</f>
        <v>310</v>
      </c>
      <c r="B33" s="110">
        <v>420</v>
      </c>
      <c r="C33" s="128" t="s">
        <v>1007</v>
      </c>
      <c r="D33" s="95">
        <f>[1]AA!D362</f>
        <v>160000</v>
      </c>
      <c r="E33" s="95">
        <f>[1]AA!E362</f>
        <v>152470</v>
      </c>
      <c r="F33" s="95">
        <f>[1]AA!F362</f>
        <v>7530</v>
      </c>
      <c r="G33" s="95">
        <f>[1]AA!G362</f>
        <v>126270</v>
      </c>
      <c r="H33" s="95">
        <f>[1]AA!H362</f>
        <v>33730</v>
      </c>
      <c r="I33" s="107">
        <f t="shared" si="4"/>
        <v>0.78918750000000004</v>
      </c>
    </row>
    <row r="34" spans="1:9" ht="63.75" x14ac:dyDescent="0.2">
      <c r="A34" s="93">
        <f>SUBTOTAL(103,$B$8:B34)+287</f>
        <v>311</v>
      </c>
      <c r="B34" s="110">
        <v>423</v>
      </c>
      <c r="C34" s="128" t="s">
        <v>1010</v>
      </c>
      <c r="D34" s="95">
        <f>[1]AA!D365</f>
        <v>160000</v>
      </c>
      <c r="E34" s="95">
        <f>[1]AA!E365</f>
        <v>146000</v>
      </c>
      <c r="F34" s="95">
        <f>[1]AA!F365</f>
        <v>14000</v>
      </c>
      <c r="G34" s="95">
        <f>[1]AA!G365</f>
        <v>0</v>
      </c>
      <c r="H34" s="95">
        <f>[1]AA!H365</f>
        <v>160000</v>
      </c>
      <c r="I34" s="107">
        <f t="shared" si="4"/>
        <v>0</v>
      </c>
    </row>
    <row r="35" spans="1:9" ht="51" x14ac:dyDescent="0.2">
      <c r="A35" s="93">
        <f>SUBTOTAL(103,$B$8:B35)+287</f>
        <v>312</v>
      </c>
      <c r="B35" s="110">
        <v>425</v>
      </c>
      <c r="C35" s="128" t="s">
        <v>1012</v>
      </c>
      <c r="D35" s="95">
        <f>[1]AA!D367</f>
        <v>160000</v>
      </c>
      <c r="E35" s="95">
        <f>[1]AA!E367</f>
        <v>89310</v>
      </c>
      <c r="F35" s="95">
        <f>[1]AA!F367</f>
        <v>70690</v>
      </c>
      <c r="G35" s="95">
        <f>[1]AA!G367</f>
        <v>75340</v>
      </c>
      <c r="H35" s="95">
        <f>[1]AA!H367</f>
        <v>84660</v>
      </c>
      <c r="I35" s="107">
        <f t="shared" si="4"/>
        <v>0.47087499999999999</v>
      </c>
    </row>
    <row r="36" spans="1:9" s="13" customFormat="1" ht="51" x14ac:dyDescent="0.2">
      <c r="A36" s="93">
        <f>SUBTOTAL(103,$B$8:B36)+287</f>
        <v>313</v>
      </c>
      <c r="B36" s="97">
        <v>351</v>
      </c>
      <c r="C36" s="127" t="s">
        <v>327</v>
      </c>
      <c r="D36" s="95">
        <f>[1]AA!D294</f>
        <v>61500</v>
      </c>
      <c r="E36" s="95">
        <f>[1]AA!E294</f>
        <v>59000</v>
      </c>
      <c r="F36" s="95">
        <f>[1]AA!F294</f>
        <v>2500</v>
      </c>
      <c r="G36" s="95">
        <f>[1]AA!G294</f>
        <v>0</v>
      </c>
      <c r="H36" s="95">
        <f>[1]AA!H294</f>
        <v>61500</v>
      </c>
      <c r="I36" s="96">
        <f t="shared" ref="I36:I75" si="5">G36/D36</f>
        <v>0</v>
      </c>
    </row>
    <row r="37" spans="1:9" ht="63.75" x14ac:dyDescent="0.2">
      <c r="A37" s="93">
        <f>SUBTOTAL(103,$B$8:B37)+287</f>
        <v>314</v>
      </c>
      <c r="B37" s="110">
        <v>352</v>
      </c>
      <c r="C37" s="128" t="s">
        <v>328</v>
      </c>
      <c r="D37" s="95">
        <f>[1]AA!D295</f>
        <v>62000</v>
      </c>
      <c r="E37" s="95">
        <f>[1]AA!E295</f>
        <v>61766.67</v>
      </c>
      <c r="F37" s="95">
        <f>[1]AA!F295</f>
        <v>233.33000000000175</v>
      </c>
      <c r="G37" s="95">
        <f>[1]AA!G295</f>
        <v>0</v>
      </c>
      <c r="H37" s="95">
        <f>[1]AA!H295</f>
        <v>62000</v>
      </c>
      <c r="I37" s="107">
        <f t="shared" si="5"/>
        <v>0</v>
      </c>
    </row>
    <row r="38" spans="1:9" ht="51" x14ac:dyDescent="0.2">
      <c r="A38" s="93">
        <f>SUBTOTAL(103,$B$8:B38)+287</f>
        <v>315</v>
      </c>
      <c r="B38" s="110">
        <v>353</v>
      </c>
      <c r="C38" s="128" t="s">
        <v>749</v>
      </c>
      <c r="D38" s="95">
        <f>[1]AA!D296</f>
        <v>63755</v>
      </c>
      <c r="E38" s="95">
        <f>[1]AA!E296</f>
        <v>60139.48</v>
      </c>
      <c r="F38" s="95">
        <f>[1]AA!F296</f>
        <v>3615.52</v>
      </c>
      <c r="G38" s="95">
        <f>[1]AA!G296</f>
        <v>2139.48</v>
      </c>
      <c r="H38" s="95">
        <f>[1]AA!H296</f>
        <v>61615.519999999997</v>
      </c>
      <c r="I38" s="107">
        <f t="shared" si="5"/>
        <v>3.3557838600894049E-2</v>
      </c>
    </row>
    <row r="39" spans="1:9" ht="63.75" x14ac:dyDescent="0.2">
      <c r="A39" s="93">
        <f>SUBTOTAL(103,$B$8:B39)+287</f>
        <v>316</v>
      </c>
      <c r="B39" s="110">
        <v>354</v>
      </c>
      <c r="C39" s="128" t="s">
        <v>753</v>
      </c>
      <c r="D39" s="95">
        <f>[1]AA!D297</f>
        <v>65438</v>
      </c>
      <c r="E39" s="95">
        <f>[1]AA!E297</f>
        <v>0</v>
      </c>
      <c r="F39" s="95">
        <f>[1]AA!F297</f>
        <v>65438</v>
      </c>
      <c r="G39" s="95">
        <f>[1]AA!G297</f>
        <v>0</v>
      </c>
      <c r="H39" s="95">
        <f>[1]AA!H297</f>
        <v>65438</v>
      </c>
      <c r="I39" s="107">
        <f t="shared" si="5"/>
        <v>0</v>
      </c>
    </row>
    <row r="40" spans="1:9" ht="51" x14ac:dyDescent="0.2">
      <c r="A40" s="93">
        <f>SUBTOTAL(103,$B$8:B40)+287</f>
        <v>317</v>
      </c>
      <c r="B40" s="110">
        <v>355</v>
      </c>
      <c r="C40" s="128" t="s">
        <v>757</v>
      </c>
      <c r="D40" s="95">
        <f>[1]AA!D298</f>
        <v>61200</v>
      </c>
      <c r="E40" s="95">
        <f>[1]AA!E298</f>
        <v>59150</v>
      </c>
      <c r="F40" s="95">
        <f>[1]AA!F298</f>
        <v>2050</v>
      </c>
      <c r="G40" s="95">
        <f>[1]AA!G298</f>
        <v>59150</v>
      </c>
      <c r="H40" s="95">
        <f>[1]AA!H298</f>
        <v>2050</v>
      </c>
      <c r="I40" s="107">
        <f t="shared" si="5"/>
        <v>0.96650326797385622</v>
      </c>
    </row>
    <row r="41" spans="1:9" ht="51" x14ac:dyDescent="0.2">
      <c r="A41" s="93">
        <f>SUBTOTAL(103,$B$8:B41)+287</f>
        <v>318</v>
      </c>
      <c r="B41" s="110">
        <v>357</v>
      </c>
      <c r="C41" s="128" t="s">
        <v>760</v>
      </c>
      <c r="D41" s="95">
        <f>[1]AA!D300</f>
        <v>2936</v>
      </c>
      <c r="E41" s="95">
        <f>[1]AA!E300</f>
        <v>2936</v>
      </c>
      <c r="F41" s="95">
        <f>[1]AA!F300</f>
        <v>0</v>
      </c>
      <c r="G41" s="95">
        <f>[1]AA!G300</f>
        <v>2936</v>
      </c>
      <c r="H41" s="95">
        <f>[1]AA!H300</f>
        <v>0</v>
      </c>
      <c r="I41" s="107">
        <f t="shared" si="5"/>
        <v>1</v>
      </c>
    </row>
    <row r="42" spans="1:9" ht="63.75" x14ac:dyDescent="0.2">
      <c r="A42" s="93">
        <f>SUBTOTAL(103,$B$8:B42)+287</f>
        <v>319</v>
      </c>
      <c r="B42" s="110">
        <v>358</v>
      </c>
      <c r="C42" s="128" t="s">
        <v>761</v>
      </c>
      <c r="D42" s="95">
        <f>[1]AA!D301</f>
        <v>10692</v>
      </c>
      <c r="E42" s="95">
        <f>[1]AA!E301</f>
        <v>10691.76</v>
      </c>
      <c r="F42" s="95">
        <f>[1]AA!F301</f>
        <v>0.23999999999978172</v>
      </c>
      <c r="G42" s="95">
        <f>[1]AA!G301</f>
        <v>10691.76</v>
      </c>
      <c r="H42" s="95">
        <f>[1]AA!H301</f>
        <v>0.23999999999978172</v>
      </c>
      <c r="I42" s="107">
        <f t="shared" si="5"/>
        <v>0.99997755331088667</v>
      </c>
    </row>
    <row r="43" spans="1:9" ht="51" x14ac:dyDescent="0.2">
      <c r="A43" s="93">
        <f>SUBTOTAL(103,$B$8:B43)+287</f>
        <v>320</v>
      </c>
      <c r="B43" s="110">
        <v>359</v>
      </c>
      <c r="C43" s="128" t="s">
        <v>762</v>
      </c>
      <c r="D43" s="95">
        <f>[1]AA!D302</f>
        <v>7816</v>
      </c>
      <c r="E43" s="95">
        <f>[1]AA!E302</f>
        <v>4500</v>
      </c>
      <c r="F43" s="95">
        <f>[1]AA!F302</f>
        <v>3316</v>
      </c>
      <c r="G43" s="95">
        <f>[1]AA!G302</f>
        <v>0</v>
      </c>
      <c r="H43" s="95">
        <f>[1]AA!H302</f>
        <v>7816</v>
      </c>
      <c r="I43" s="107">
        <f t="shared" si="5"/>
        <v>0</v>
      </c>
    </row>
    <row r="44" spans="1:9" ht="63.75" x14ac:dyDescent="0.2">
      <c r="A44" s="93">
        <f>SUBTOTAL(103,$B$8:B44)+287</f>
        <v>321</v>
      </c>
      <c r="B44" s="110">
        <v>360</v>
      </c>
      <c r="C44" s="128" t="s">
        <v>764</v>
      </c>
      <c r="D44" s="95">
        <f>[1]AA!D303</f>
        <v>3546</v>
      </c>
      <c r="E44" s="95">
        <f>[1]AA!E303</f>
        <v>3546</v>
      </c>
      <c r="F44" s="95">
        <f>[1]AA!F303</f>
        <v>0</v>
      </c>
      <c r="G44" s="95">
        <f>[1]AA!G303</f>
        <v>3546</v>
      </c>
      <c r="H44" s="95">
        <f>[1]AA!H303</f>
        <v>0</v>
      </c>
      <c r="I44" s="107">
        <f t="shared" si="5"/>
        <v>1</v>
      </c>
    </row>
    <row r="45" spans="1:9" ht="63.75" x14ac:dyDescent="0.2">
      <c r="A45" s="93">
        <f>SUBTOTAL(103,$B$8:B45)+287</f>
        <v>322</v>
      </c>
      <c r="B45" s="110">
        <v>361</v>
      </c>
      <c r="C45" s="128" t="s">
        <v>765</v>
      </c>
      <c r="D45" s="95">
        <f>[1]AA!D304</f>
        <v>2555</v>
      </c>
      <c r="E45" s="95">
        <f>[1]AA!E304</f>
        <v>2550</v>
      </c>
      <c r="F45" s="95">
        <f>[1]AA!F304</f>
        <v>5</v>
      </c>
      <c r="G45" s="95">
        <f>[1]AA!G304</f>
        <v>2550</v>
      </c>
      <c r="H45" s="95">
        <f>[1]AA!H304</f>
        <v>5</v>
      </c>
      <c r="I45" s="107">
        <f t="shared" si="5"/>
        <v>0.99804305283757333</v>
      </c>
    </row>
    <row r="46" spans="1:9" ht="63.75" x14ac:dyDescent="0.2">
      <c r="A46" s="93">
        <f>SUBTOTAL(103,$B$8:B46)+287</f>
        <v>323</v>
      </c>
      <c r="B46" s="110">
        <v>362</v>
      </c>
      <c r="C46" s="128" t="s">
        <v>768</v>
      </c>
      <c r="D46" s="95">
        <f>[1]AA!D305</f>
        <v>73376</v>
      </c>
      <c r="E46" s="95">
        <f>[1]AA!E305</f>
        <v>69875.75</v>
      </c>
      <c r="F46" s="95">
        <f>[1]AA!F305</f>
        <v>3500.25</v>
      </c>
      <c r="G46" s="95">
        <f>[1]AA!G305</f>
        <v>69875.75</v>
      </c>
      <c r="H46" s="95">
        <f>[1]AA!H305</f>
        <v>3500.25</v>
      </c>
      <c r="I46" s="107">
        <f t="shared" si="5"/>
        <v>0.95229707261229835</v>
      </c>
    </row>
    <row r="47" spans="1:9" ht="51" x14ac:dyDescent="0.2">
      <c r="A47" s="93">
        <f>SUBTOTAL(103,$B$8:B47)+287</f>
        <v>324</v>
      </c>
      <c r="B47" s="110">
        <v>363</v>
      </c>
      <c r="C47" s="128" t="s">
        <v>769</v>
      </c>
      <c r="D47" s="95">
        <f>[1]AA!D306</f>
        <v>54964</v>
      </c>
      <c r="E47" s="95">
        <f>[1]AA!E306</f>
        <v>1977.5</v>
      </c>
      <c r="F47" s="95">
        <f>[1]AA!F306</f>
        <v>52986.5</v>
      </c>
      <c r="G47" s="95">
        <f>[1]AA!G306</f>
        <v>1977.5</v>
      </c>
      <c r="H47" s="95">
        <f>[1]AA!H306</f>
        <v>52986.5</v>
      </c>
      <c r="I47" s="107">
        <f t="shared" si="5"/>
        <v>3.5978094752929193E-2</v>
      </c>
    </row>
    <row r="48" spans="1:9" ht="63.75" x14ac:dyDescent="0.2">
      <c r="A48" s="93">
        <f>SUBTOTAL(103,$B$8:B48)+287</f>
        <v>325</v>
      </c>
      <c r="B48" s="110">
        <v>364</v>
      </c>
      <c r="C48" s="128" t="s">
        <v>771</v>
      </c>
      <c r="D48" s="95">
        <f>[1]AA!D307</f>
        <v>73915</v>
      </c>
      <c r="E48" s="95">
        <f>[1]AA!E307</f>
        <v>71560</v>
      </c>
      <c r="F48" s="95">
        <f>[1]AA!F307</f>
        <v>2355</v>
      </c>
      <c r="G48" s="95">
        <f>[1]AA!G307</f>
        <v>69710</v>
      </c>
      <c r="H48" s="95">
        <f>[1]AA!H307</f>
        <v>4205</v>
      </c>
      <c r="I48" s="107">
        <f t="shared" si="5"/>
        <v>0.94311032943245621</v>
      </c>
    </row>
    <row r="49" spans="1:9" ht="63.75" x14ac:dyDescent="0.2">
      <c r="A49" s="93">
        <f>SUBTOTAL(103,$B$8:B49)+287</f>
        <v>326</v>
      </c>
      <c r="B49" s="110">
        <v>365</v>
      </c>
      <c r="C49" s="128" t="s">
        <v>772</v>
      </c>
      <c r="D49" s="95">
        <f>[1]AA!D308</f>
        <v>5098</v>
      </c>
      <c r="E49" s="95">
        <f>[1]AA!E308</f>
        <v>5097</v>
      </c>
      <c r="F49" s="95">
        <f>[1]AA!F308</f>
        <v>1</v>
      </c>
      <c r="G49" s="95">
        <f>[1]AA!G308</f>
        <v>5097</v>
      </c>
      <c r="H49" s="95">
        <f>[1]AA!H308</f>
        <v>1</v>
      </c>
      <c r="I49" s="107">
        <f t="shared" si="5"/>
        <v>0.99980384464495886</v>
      </c>
    </row>
    <row r="50" spans="1:9" ht="51" x14ac:dyDescent="0.2">
      <c r="A50" s="93">
        <f>SUBTOTAL(103,$B$8:B50)+287</f>
        <v>327</v>
      </c>
      <c r="B50" s="110">
        <v>366</v>
      </c>
      <c r="C50" s="128" t="s">
        <v>774</v>
      </c>
      <c r="D50" s="95">
        <f>[1]AA!D309</f>
        <v>4800</v>
      </c>
      <c r="E50" s="95">
        <f>[1]AA!E309</f>
        <v>4800</v>
      </c>
      <c r="F50" s="95">
        <f>[1]AA!F309</f>
        <v>0</v>
      </c>
      <c r="G50" s="95">
        <f>[1]AA!G309</f>
        <v>4800</v>
      </c>
      <c r="H50" s="95">
        <f>[1]AA!H309</f>
        <v>0</v>
      </c>
      <c r="I50" s="107">
        <f t="shared" si="5"/>
        <v>1</v>
      </c>
    </row>
    <row r="51" spans="1:9" ht="51" x14ac:dyDescent="0.2">
      <c r="A51" s="93">
        <f>SUBTOTAL(103,$B$8:B51)+287</f>
        <v>328</v>
      </c>
      <c r="B51" s="110">
        <v>367</v>
      </c>
      <c r="C51" s="128" t="s">
        <v>775</v>
      </c>
      <c r="D51" s="95">
        <f>[1]AA!D310</f>
        <v>12800</v>
      </c>
      <c r="E51" s="95">
        <f>[1]AA!E310</f>
        <v>12800</v>
      </c>
      <c r="F51" s="95">
        <f>[1]AA!F310</f>
        <v>0</v>
      </c>
      <c r="G51" s="95">
        <f>[1]AA!G310</f>
        <v>12800</v>
      </c>
      <c r="H51" s="95">
        <f>[1]AA!H310</f>
        <v>0</v>
      </c>
      <c r="I51" s="107">
        <f t="shared" si="5"/>
        <v>1</v>
      </c>
    </row>
    <row r="52" spans="1:9" ht="63.75" x14ac:dyDescent="0.2">
      <c r="A52" s="93">
        <f>SUBTOTAL(103,$B$8:B52)+287</f>
        <v>329</v>
      </c>
      <c r="B52" s="110">
        <v>369</v>
      </c>
      <c r="C52" s="128" t="s">
        <v>778</v>
      </c>
      <c r="D52" s="95">
        <f>[1]AA!D312</f>
        <v>57400</v>
      </c>
      <c r="E52" s="95">
        <f>[1]AA!E312</f>
        <v>57400</v>
      </c>
      <c r="F52" s="95">
        <f>[1]AA!F312</f>
        <v>0</v>
      </c>
      <c r="G52" s="95">
        <f>[1]AA!G312</f>
        <v>57400</v>
      </c>
      <c r="H52" s="95">
        <f>[1]AA!H312</f>
        <v>0</v>
      </c>
      <c r="I52" s="107">
        <f t="shared" si="5"/>
        <v>1</v>
      </c>
    </row>
    <row r="53" spans="1:9" ht="63.75" x14ac:dyDescent="0.2">
      <c r="A53" s="93">
        <f>SUBTOTAL(103,$B$8:B53)+287</f>
        <v>330</v>
      </c>
      <c r="B53" s="110">
        <v>370</v>
      </c>
      <c r="C53" s="128" t="s">
        <v>779</v>
      </c>
      <c r="D53" s="95">
        <f>[1]AA!D313</f>
        <v>5898</v>
      </c>
      <c r="E53" s="95">
        <f>[1]AA!E313</f>
        <v>5898</v>
      </c>
      <c r="F53" s="95">
        <f>[1]AA!F313</f>
        <v>0</v>
      </c>
      <c r="G53" s="95">
        <f>[1]AA!G313</f>
        <v>5898</v>
      </c>
      <c r="H53" s="95">
        <f>[1]AA!H313</f>
        <v>0</v>
      </c>
      <c r="I53" s="107">
        <f t="shared" si="5"/>
        <v>1</v>
      </c>
    </row>
    <row r="54" spans="1:9" ht="63.75" x14ac:dyDescent="0.2">
      <c r="A54" s="93">
        <f>SUBTOTAL(103,$B$8:B54)+287</f>
        <v>331</v>
      </c>
      <c r="B54" s="110">
        <v>371</v>
      </c>
      <c r="C54" s="128" t="s">
        <v>780</v>
      </c>
      <c r="D54" s="95">
        <f>[1]AA!D314</f>
        <v>3000</v>
      </c>
      <c r="E54" s="95">
        <f>[1]AA!E314</f>
        <v>3000</v>
      </c>
      <c r="F54" s="95">
        <f>[1]AA!F314</f>
        <v>0</v>
      </c>
      <c r="G54" s="95">
        <f>[1]AA!G314</f>
        <v>3000</v>
      </c>
      <c r="H54" s="95">
        <f>[1]AA!H314</f>
        <v>0</v>
      </c>
      <c r="I54" s="107">
        <f t="shared" si="5"/>
        <v>1</v>
      </c>
    </row>
    <row r="55" spans="1:9" ht="63.75" x14ac:dyDescent="0.2">
      <c r="A55" s="93">
        <f>SUBTOTAL(103,$B$8:B55)+287</f>
        <v>332</v>
      </c>
      <c r="B55" s="110">
        <v>372</v>
      </c>
      <c r="C55" s="128" t="s">
        <v>782</v>
      </c>
      <c r="D55" s="95">
        <f>[1]AA!D315</f>
        <v>87790</v>
      </c>
      <c r="E55" s="95">
        <f>[1]AA!E315</f>
        <v>83112</v>
      </c>
      <c r="F55" s="95">
        <f>[1]AA!F315</f>
        <v>4678</v>
      </c>
      <c r="G55" s="95">
        <f>[1]AA!G315</f>
        <v>77990</v>
      </c>
      <c r="H55" s="95">
        <f>[1]AA!H315</f>
        <v>9800</v>
      </c>
      <c r="I55" s="107">
        <f t="shared" si="5"/>
        <v>0.88836997380111626</v>
      </c>
    </row>
    <row r="56" spans="1:9" ht="38.25" x14ac:dyDescent="0.2">
      <c r="A56" s="93">
        <f>SUBTOTAL(103,$B$8:B56)+287</f>
        <v>333</v>
      </c>
      <c r="B56" s="110">
        <v>376</v>
      </c>
      <c r="C56" s="128" t="s">
        <v>801</v>
      </c>
      <c r="D56" s="95">
        <f>[1]AA!D319</f>
        <v>14715</v>
      </c>
      <c r="E56" s="95">
        <f>[1]AA!E319</f>
        <v>14714</v>
      </c>
      <c r="F56" s="95">
        <f>[1]AA!F319</f>
        <v>1</v>
      </c>
      <c r="G56" s="95">
        <f>[1]AA!G319</f>
        <v>14714</v>
      </c>
      <c r="H56" s="95">
        <f>[1]AA!H319</f>
        <v>1</v>
      </c>
      <c r="I56" s="107">
        <f t="shared" si="5"/>
        <v>0.99993204213387699</v>
      </c>
    </row>
    <row r="57" spans="1:9" ht="51" x14ac:dyDescent="0.2">
      <c r="A57" s="93">
        <f>SUBTOTAL(103,$B$8:B57)+287</f>
        <v>334</v>
      </c>
      <c r="B57" s="110">
        <v>384</v>
      </c>
      <c r="C57" s="128" t="s">
        <v>971</v>
      </c>
      <c r="D57" s="95">
        <f>[1]AA!D326</f>
        <v>159547</v>
      </c>
      <c r="E57" s="95">
        <f>[1]AA!E326</f>
        <v>154167</v>
      </c>
      <c r="F57" s="95">
        <f>[1]AA!F326</f>
        <v>5380</v>
      </c>
      <c r="G57" s="95">
        <f>[1]AA!G326</f>
        <v>110933.5</v>
      </c>
      <c r="H57" s="95">
        <f>[1]AA!H326</f>
        <v>48613.5</v>
      </c>
      <c r="I57" s="107">
        <f t="shared" si="5"/>
        <v>0.69530295148138166</v>
      </c>
    </row>
    <row r="58" spans="1:9" ht="63.75" x14ac:dyDescent="0.2">
      <c r="A58" s="93">
        <f>SUBTOTAL(103,$B$8:B58)+287</f>
        <v>335</v>
      </c>
      <c r="B58" s="110">
        <v>385</v>
      </c>
      <c r="C58" s="128" t="s">
        <v>972</v>
      </c>
      <c r="D58" s="95">
        <f>[1]AA!D327</f>
        <v>158642</v>
      </c>
      <c r="E58" s="95">
        <f>[1]AA!E327</f>
        <v>65482.62</v>
      </c>
      <c r="F58" s="95">
        <f>[1]AA!F327</f>
        <v>93159.38</v>
      </c>
      <c r="G58" s="95">
        <f>[1]AA!G327</f>
        <v>0</v>
      </c>
      <c r="H58" s="95">
        <f>[1]AA!H327</f>
        <v>158642</v>
      </c>
      <c r="I58" s="107">
        <f t="shared" si="5"/>
        <v>0</v>
      </c>
    </row>
    <row r="59" spans="1:9" ht="51" x14ac:dyDescent="0.2">
      <c r="A59" s="93">
        <f>SUBTOTAL(103,$B$8:B59)+287</f>
        <v>336</v>
      </c>
      <c r="B59" s="110">
        <v>388</v>
      </c>
      <c r="C59" s="128" t="s">
        <v>975</v>
      </c>
      <c r="D59" s="95">
        <f>[1]AA!D330</f>
        <v>159352</v>
      </c>
      <c r="E59" s="95">
        <f>[1]AA!E330</f>
        <v>154000</v>
      </c>
      <c r="F59" s="95">
        <f>[1]AA!F330</f>
        <v>5352</v>
      </c>
      <c r="G59" s="95">
        <f>[1]AA!G330</f>
        <v>144970</v>
      </c>
      <c r="H59" s="95">
        <f>[1]AA!H330</f>
        <v>14382</v>
      </c>
      <c r="I59" s="107">
        <f t="shared" si="5"/>
        <v>0.90974697524976156</v>
      </c>
    </row>
    <row r="60" spans="1:9" ht="63.75" x14ac:dyDescent="0.2">
      <c r="A60" s="93">
        <f>SUBTOTAL(103,$B$8:B60)+287</f>
        <v>337</v>
      </c>
      <c r="B60" s="110">
        <v>389</v>
      </c>
      <c r="C60" s="128" t="s">
        <v>976</v>
      </c>
      <c r="D60" s="95">
        <f>[1]AA!D331</f>
        <v>159613</v>
      </c>
      <c r="E60" s="95">
        <f>[1]AA!E331</f>
        <v>149133.25</v>
      </c>
      <c r="F60" s="95">
        <f>[1]AA!F331</f>
        <v>10479.75</v>
      </c>
      <c r="G60" s="95">
        <f>[1]AA!G331</f>
        <v>7133.25</v>
      </c>
      <c r="H60" s="95">
        <f>[1]AA!H331</f>
        <v>152479.75</v>
      </c>
      <c r="I60" s="107">
        <f t="shared" si="5"/>
        <v>4.4690908635261539E-2</v>
      </c>
    </row>
    <row r="61" spans="1:9" ht="63.75" x14ac:dyDescent="0.2">
      <c r="A61" s="93">
        <f>SUBTOTAL(103,$B$8:B61)+287</f>
        <v>338</v>
      </c>
      <c r="B61" s="110">
        <v>390</v>
      </c>
      <c r="C61" s="128" t="s">
        <v>977</v>
      </c>
      <c r="D61" s="95">
        <f>[1]AA!D332</f>
        <v>159555</v>
      </c>
      <c r="E61" s="95">
        <f>[1]AA!E332</f>
        <v>132645</v>
      </c>
      <c r="F61" s="95">
        <f>[1]AA!F332</f>
        <v>26910</v>
      </c>
      <c r="G61" s="95">
        <f>[1]AA!G332</f>
        <v>74845</v>
      </c>
      <c r="H61" s="95">
        <f>[1]AA!H332</f>
        <v>84710</v>
      </c>
      <c r="I61" s="107">
        <f t="shared" si="5"/>
        <v>0.46908589514587445</v>
      </c>
    </row>
    <row r="62" spans="1:9" ht="63.75" x14ac:dyDescent="0.2">
      <c r="A62" s="93">
        <f>SUBTOTAL(103,$B$8:B62)+287</f>
        <v>339</v>
      </c>
      <c r="B62" s="110">
        <v>391</v>
      </c>
      <c r="C62" s="128" t="s">
        <v>978</v>
      </c>
      <c r="D62" s="95">
        <f>[1]AA!D333</f>
        <v>154799</v>
      </c>
      <c r="E62" s="95">
        <f>[1]AA!E333</f>
        <v>147492</v>
      </c>
      <c r="F62" s="95">
        <f>[1]AA!F333</f>
        <v>7307</v>
      </c>
      <c r="G62" s="95">
        <f>[1]AA!G333</f>
        <v>143262</v>
      </c>
      <c r="H62" s="95">
        <f>[1]AA!H333</f>
        <v>11537</v>
      </c>
      <c r="I62" s="107">
        <f t="shared" si="5"/>
        <v>0.92547109477451406</v>
      </c>
    </row>
    <row r="63" spans="1:9" ht="63.75" x14ac:dyDescent="0.2">
      <c r="A63" s="93">
        <f>SUBTOTAL(103,$B$8:B63)+287</f>
        <v>340</v>
      </c>
      <c r="B63" s="110">
        <v>395</v>
      </c>
      <c r="C63" s="128" t="s">
        <v>982</v>
      </c>
      <c r="D63" s="95">
        <f>[1]AA!D337</f>
        <v>155278</v>
      </c>
      <c r="E63" s="95">
        <f>[1]AA!E337</f>
        <v>149496</v>
      </c>
      <c r="F63" s="95">
        <f>[1]AA!F337</f>
        <v>5782</v>
      </c>
      <c r="G63" s="95">
        <f>[1]AA!G337</f>
        <v>110040</v>
      </c>
      <c r="H63" s="95">
        <f>[1]AA!H337</f>
        <v>45238</v>
      </c>
      <c r="I63" s="107">
        <f t="shared" si="5"/>
        <v>0.70866445987197157</v>
      </c>
    </row>
    <row r="64" spans="1:9" ht="51" x14ac:dyDescent="0.2">
      <c r="A64" s="93">
        <f>SUBTOTAL(103,$B$8:B64)+287</f>
        <v>341</v>
      </c>
      <c r="B64" s="110">
        <v>396</v>
      </c>
      <c r="C64" s="128" t="s">
        <v>983</v>
      </c>
      <c r="D64" s="95">
        <f>[1]AA!D338</f>
        <v>159890</v>
      </c>
      <c r="E64" s="95">
        <f>[1]AA!E338</f>
        <v>5349</v>
      </c>
      <c r="F64" s="95">
        <f>[1]AA!F338</f>
        <v>154541</v>
      </c>
      <c r="G64" s="95">
        <f>[1]AA!G338</f>
        <v>5349</v>
      </c>
      <c r="H64" s="95">
        <f>[1]AA!H338</f>
        <v>154541</v>
      </c>
      <c r="I64" s="107">
        <f t="shared" si="5"/>
        <v>3.3454249796735253E-2</v>
      </c>
    </row>
    <row r="65" spans="1:9" ht="38.25" x14ac:dyDescent="0.2">
      <c r="A65" s="93">
        <f>SUBTOTAL(103,$B$8:B65)+287</f>
        <v>342</v>
      </c>
      <c r="B65" s="110">
        <v>398</v>
      </c>
      <c r="C65" s="128" t="s">
        <v>985</v>
      </c>
      <c r="D65" s="95">
        <f>[1]AA!D340</f>
        <v>159321</v>
      </c>
      <c r="E65" s="95">
        <f>[1]AA!E340</f>
        <v>152810</v>
      </c>
      <c r="F65" s="95">
        <f>[1]AA!F340</f>
        <v>6511</v>
      </c>
      <c r="G65" s="95">
        <f>[1]AA!G340</f>
        <v>130010</v>
      </c>
      <c r="H65" s="95">
        <f>[1]AA!H340</f>
        <v>29311</v>
      </c>
      <c r="I65" s="107">
        <f t="shared" si="5"/>
        <v>0.81602550825063869</v>
      </c>
    </row>
    <row r="66" spans="1:9" ht="51" x14ac:dyDescent="0.2">
      <c r="A66" s="93">
        <f>SUBTOTAL(103,$B$8:B66)+287</f>
        <v>343</v>
      </c>
      <c r="B66" s="110">
        <v>400</v>
      </c>
      <c r="C66" s="128" t="s">
        <v>987</v>
      </c>
      <c r="D66" s="95">
        <f>[1]AA!D342</f>
        <v>146532</v>
      </c>
      <c r="E66" s="95">
        <f>[1]AA!E342</f>
        <v>140645</v>
      </c>
      <c r="F66" s="95">
        <f>[1]AA!F342</f>
        <v>5887</v>
      </c>
      <c r="G66" s="95">
        <f>[1]AA!G342</f>
        <v>109445</v>
      </c>
      <c r="H66" s="95">
        <f>[1]AA!H342</f>
        <v>37087</v>
      </c>
      <c r="I66" s="107">
        <f t="shared" si="5"/>
        <v>0.74690170065241723</v>
      </c>
    </row>
    <row r="67" spans="1:9" ht="76.5" x14ac:dyDescent="0.2">
      <c r="A67" s="93">
        <f>SUBTOTAL(103,$B$8:B67)+287</f>
        <v>344</v>
      </c>
      <c r="B67" s="110">
        <v>401</v>
      </c>
      <c r="C67" s="128" t="s">
        <v>988</v>
      </c>
      <c r="D67" s="95">
        <f>[1]AA!D343</f>
        <v>155656</v>
      </c>
      <c r="E67" s="95">
        <f>[1]AA!E343</f>
        <v>151053</v>
      </c>
      <c r="F67" s="95">
        <f>[1]AA!F343</f>
        <v>4603</v>
      </c>
      <c r="G67" s="95">
        <f>[1]AA!G343</f>
        <v>0</v>
      </c>
      <c r="H67" s="95">
        <f>[1]AA!H343</f>
        <v>155656</v>
      </c>
      <c r="I67" s="107">
        <f t="shared" si="5"/>
        <v>0</v>
      </c>
    </row>
    <row r="68" spans="1:9" ht="51" x14ac:dyDescent="0.2">
      <c r="A68" s="93">
        <f>SUBTOTAL(103,$B$8:B68)+287</f>
        <v>345</v>
      </c>
      <c r="B68" s="110">
        <v>402</v>
      </c>
      <c r="C68" s="128" t="s">
        <v>989</v>
      </c>
      <c r="D68" s="95">
        <f>[1]AA!D344</f>
        <v>159060</v>
      </c>
      <c r="E68" s="95">
        <f>[1]AA!E344</f>
        <v>151725</v>
      </c>
      <c r="F68" s="95">
        <f>[1]AA!F344</f>
        <v>7335</v>
      </c>
      <c r="G68" s="95">
        <f>[1]AA!G344</f>
        <v>0</v>
      </c>
      <c r="H68" s="95">
        <f>[1]AA!H344</f>
        <v>159060</v>
      </c>
      <c r="I68" s="107">
        <f t="shared" si="5"/>
        <v>0</v>
      </c>
    </row>
    <row r="69" spans="1:9" ht="51" x14ac:dyDescent="0.2">
      <c r="A69" s="93">
        <f>SUBTOTAL(103,$B$8:B69)+287</f>
        <v>346</v>
      </c>
      <c r="B69" s="110">
        <v>403</v>
      </c>
      <c r="C69" s="128" t="s">
        <v>990</v>
      </c>
      <c r="D69" s="95">
        <f>[1]AA!D345</f>
        <v>159862</v>
      </c>
      <c r="E69" s="95">
        <f>[1]AA!E345</f>
        <v>86882.5</v>
      </c>
      <c r="F69" s="95">
        <f>[1]AA!F345</f>
        <v>72979.5</v>
      </c>
      <c r="G69" s="95">
        <f>[1]AA!G345</f>
        <v>86872.5</v>
      </c>
      <c r="H69" s="95">
        <f>[1]AA!H345</f>
        <v>72989.5</v>
      </c>
      <c r="I69" s="107">
        <f t="shared" si="5"/>
        <v>0.54342182632520553</v>
      </c>
    </row>
    <row r="70" spans="1:9" ht="51" x14ac:dyDescent="0.2">
      <c r="A70" s="93">
        <f>SUBTOTAL(103,$B$8:B70)+287</f>
        <v>347</v>
      </c>
      <c r="B70" s="110">
        <v>405</v>
      </c>
      <c r="C70" s="128" t="s">
        <v>992</v>
      </c>
      <c r="D70" s="95">
        <f>[1]AA!D347</f>
        <v>157300</v>
      </c>
      <c r="E70" s="95">
        <f>[1]AA!E347</f>
        <v>149830</v>
      </c>
      <c r="F70" s="95">
        <f>[1]AA!F347</f>
        <v>7470</v>
      </c>
      <c r="G70" s="95">
        <f>[1]AA!G347</f>
        <v>149790</v>
      </c>
      <c r="H70" s="95">
        <f>[1]AA!H347</f>
        <v>7510</v>
      </c>
      <c r="I70" s="107">
        <f t="shared" si="5"/>
        <v>0.95225683407501593</v>
      </c>
    </row>
    <row r="71" spans="1:9" ht="51" x14ac:dyDescent="0.2">
      <c r="A71" s="93">
        <f>SUBTOTAL(103,$B$8:B71)+287</f>
        <v>348</v>
      </c>
      <c r="B71" s="110">
        <v>406</v>
      </c>
      <c r="C71" s="128" t="s">
        <v>993</v>
      </c>
      <c r="D71" s="95">
        <f>[1]AA!D348</f>
        <v>159720</v>
      </c>
      <c r="E71" s="95">
        <f>[1]AA!E348</f>
        <v>150040</v>
      </c>
      <c r="F71" s="95">
        <f>[1]AA!F348</f>
        <v>9680</v>
      </c>
      <c r="G71" s="95">
        <f>[1]AA!G348</f>
        <v>146395</v>
      </c>
      <c r="H71" s="95">
        <f>[1]AA!H348</f>
        <v>13325</v>
      </c>
      <c r="I71" s="107">
        <f t="shared" si="5"/>
        <v>0.916572752316554</v>
      </c>
    </row>
    <row r="72" spans="1:9" ht="51" x14ac:dyDescent="0.2">
      <c r="A72" s="93">
        <f>SUBTOTAL(103,$B$8:B72)+287</f>
        <v>349</v>
      </c>
      <c r="B72" s="110">
        <v>409</v>
      </c>
      <c r="C72" s="128" t="s">
        <v>996</v>
      </c>
      <c r="D72" s="95">
        <f>[1]AA!D351</f>
        <v>159007</v>
      </c>
      <c r="E72" s="95">
        <f>[1]AA!E351</f>
        <v>49260</v>
      </c>
      <c r="F72" s="95">
        <f>[1]AA!F351</f>
        <v>109747</v>
      </c>
      <c r="G72" s="95">
        <f>[1]AA!G351</f>
        <v>49260</v>
      </c>
      <c r="H72" s="95">
        <f>[1]AA!H351</f>
        <v>109747</v>
      </c>
      <c r="I72" s="107">
        <f t="shared" si="5"/>
        <v>0.30979768186306261</v>
      </c>
    </row>
    <row r="73" spans="1:9" ht="51" x14ac:dyDescent="0.2">
      <c r="A73" s="93">
        <f>SUBTOTAL(103,$B$8:B73)+287</f>
        <v>350</v>
      </c>
      <c r="B73" s="110">
        <v>411</v>
      </c>
      <c r="C73" s="128" t="s">
        <v>998</v>
      </c>
      <c r="D73" s="95">
        <f>[1]AA!D353</f>
        <v>159876</v>
      </c>
      <c r="E73" s="95">
        <f>[1]AA!E353</f>
        <v>122810</v>
      </c>
      <c r="F73" s="95">
        <f>[1]AA!F353</f>
        <v>37066</v>
      </c>
      <c r="G73" s="95">
        <f>[1]AA!G353</f>
        <v>113200</v>
      </c>
      <c r="H73" s="95">
        <f>[1]AA!H353</f>
        <v>46676</v>
      </c>
      <c r="I73" s="107">
        <f>G73/D73</f>
        <v>0.70804873777177313</v>
      </c>
    </row>
    <row r="74" spans="1:9" ht="51" x14ac:dyDescent="0.2">
      <c r="A74" s="93">
        <f>SUBTOTAL(103,$B$8:B74)+287</f>
        <v>351</v>
      </c>
      <c r="B74" s="110">
        <v>414</v>
      </c>
      <c r="C74" s="128" t="s">
        <v>1001</v>
      </c>
      <c r="D74" s="95">
        <f>[1]AA!D356</f>
        <v>158527</v>
      </c>
      <c r="E74" s="95">
        <f>[1]AA!E356</f>
        <v>149776</v>
      </c>
      <c r="F74" s="95">
        <f>[1]AA!F356</f>
        <v>8751</v>
      </c>
      <c r="G74" s="95">
        <f>[1]AA!G356</f>
        <v>52174</v>
      </c>
      <c r="H74" s="95">
        <f>[1]AA!H356</f>
        <v>106353</v>
      </c>
      <c r="I74" s="107">
        <f t="shared" si="5"/>
        <v>0.3291174374081387</v>
      </c>
    </row>
    <row r="75" spans="1:9" ht="51" x14ac:dyDescent="0.2">
      <c r="A75" s="93">
        <f>SUBTOTAL(103,$B$8:B75)+287</f>
        <v>352</v>
      </c>
      <c r="B75" s="110">
        <v>415</v>
      </c>
      <c r="C75" s="128" t="s">
        <v>1002</v>
      </c>
      <c r="D75" s="95">
        <f>[1]AA!D357</f>
        <v>158640</v>
      </c>
      <c r="E75" s="95">
        <f>[1]AA!E357</f>
        <v>133515</v>
      </c>
      <c r="F75" s="95">
        <f>[1]AA!F357</f>
        <v>25125</v>
      </c>
      <c r="G75" s="95">
        <f>[1]AA!G357</f>
        <v>0</v>
      </c>
      <c r="H75" s="95">
        <f>[1]AA!H357</f>
        <v>158640</v>
      </c>
      <c r="I75" s="107">
        <f t="shared" si="5"/>
        <v>0</v>
      </c>
    </row>
    <row r="76" spans="1:9" ht="51" x14ac:dyDescent="0.2">
      <c r="A76" s="93">
        <f>SUBTOTAL(103,$B$8:B76)+287</f>
        <v>353</v>
      </c>
      <c r="B76" s="110">
        <v>416</v>
      </c>
      <c r="C76" s="128" t="s">
        <v>1003</v>
      </c>
      <c r="D76" s="95">
        <f>[1]AA!D358</f>
        <v>159041</v>
      </c>
      <c r="E76" s="95">
        <f>[1]AA!E358</f>
        <v>139000</v>
      </c>
      <c r="F76" s="95">
        <f>[1]AA!F358</f>
        <v>20041</v>
      </c>
      <c r="G76" s="95">
        <f>[1]AA!G358</f>
        <v>0</v>
      </c>
      <c r="H76" s="95">
        <f>[1]AA!H358</f>
        <v>159041</v>
      </c>
      <c r="I76" s="107">
        <f t="shared" ref="I76" si="6">G76/D76</f>
        <v>0</v>
      </c>
    </row>
    <row r="77" spans="1:9" ht="63.75" x14ac:dyDescent="0.2">
      <c r="A77" s="93">
        <f>SUBTOTAL(103,$B$8:B77)+287</f>
        <v>354</v>
      </c>
      <c r="B77" s="110">
        <v>419</v>
      </c>
      <c r="C77" s="128" t="s">
        <v>1006</v>
      </c>
      <c r="D77" s="95">
        <f>[1]AA!D361</f>
        <v>159584</v>
      </c>
      <c r="E77" s="95">
        <f>[1]AA!E361</f>
        <v>152800</v>
      </c>
      <c r="F77" s="95">
        <f>[1]AA!F361</f>
        <v>6784</v>
      </c>
      <c r="G77" s="95">
        <f>[1]AA!G361</f>
        <v>5800</v>
      </c>
      <c r="H77" s="95">
        <f>[1]AA!H361</f>
        <v>153784</v>
      </c>
      <c r="I77" s="107">
        <f t="shared" ref="I77:I95" si="7">G77/D77</f>
        <v>3.6344495688790855E-2</v>
      </c>
    </row>
    <row r="78" spans="1:9" ht="51" x14ac:dyDescent="0.2">
      <c r="A78" s="93">
        <f>SUBTOTAL(103,$B$8:B78)+287</f>
        <v>355</v>
      </c>
      <c r="B78" s="110">
        <v>422</v>
      </c>
      <c r="C78" s="128" t="s">
        <v>1009</v>
      </c>
      <c r="D78" s="95">
        <f>[1]AA!D364</f>
        <v>159830</v>
      </c>
      <c r="E78" s="95">
        <f>[1]AA!E364</f>
        <v>97085</v>
      </c>
      <c r="F78" s="95">
        <f>[1]AA!F364</f>
        <v>62745</v>
      </c>
      <c r="G78" s="95">
        <f>[1]AA!G364</f>
        <v>97085</v>
      </c>
      <c r="H78" s="95">
        <f>[1]AA!H364</f>
        <v>62745</v>
      </c>
      <c r="I78" s="107">
        <f t="shared" si="7"/>
        <v>0.60742664080585618</v>
      </c>
    </row>
    <row r="79" spans="1:9" ht="51" x14ac:dyDescent="0.2">
      <c r="A79" s="93">
        <f>SUBTOTAL(103,$B$8:B79)+287</f>
        <v>356</v>
      </c>
      <c r="B79" s="110">
        <v>426</v>
      </c>
      <c r="C79" s="128" t="s">
        <v>1013</v>
      </c>
      <c r="D79" s="95">
        <f>[1]AA!D368</f>
        <v>159880</v>
      </c>
      <c r="E79" s="95">
        <f>[1]AA!E368</f>
        <v>152030</v>
      </c>
      <c r="F79" s="95">
        <f>[1]AA!F368</f>
        <v>7850</v>
      </c>
      <c r="G79" s="95">
        <f>[1]AA!G368</f>
        <v>50840</v>
      </c>
      <c r="H79" s="95">
        <f>[1]AA!H368</f>
        <v>109040</v>
      </c>
      <c r="I79" s="107">
        <f t="shared" si="7"/>
        <v>0.31798849136852642</v>
      </c>
    </row>
    <row r="80" spans="1:9" ht="51" x14ac:dyDescent="0.2">
      <c r="A80" s="93">
        <f>SUBTOTAL(103,$B$8:B80)+287</f>
        <v>357</v>
      </c>
      <c r="B80" s="110">
        <v>478</v>
      </c>
      <c r="C80" s="128" t="s">
        <v>1062</v>
      </c>
      <c r="D80" s="95">
        <f>[1]AA!D397</f>
        <v>159978</v>
      </c>
      <c r="E80" s="95">
        <f>[1]AA!E397</f>
        <v>146490</v>
      </c>
      <c r="F80" s="95">
        <f>[1]AA!F397</f>
        <v>13488</v>
      </c>
      <c r="G80" s="95">
        <f>[1]AA!G397</f>
        <v>0</v>
      </c>
      <c r="H80" s="95">
        <f>[1]AA!H397</f>
        <v>159978</v>
      </c>
      <c r="I80" s="107">
        <f>G80/D80</f>
        <v>0</v>
      </c>
    </row>
    <row r="81" spans="1:9" ht="54" customHeight="1" x14ac:dyDescent="0.2">
      <c r="A81" s="93">
        <f>SUBTOTAL(103,$B$8:B81)+287</f>
        <v>358</v>
      </c>
      <c r="B81" s="110">
        <v>487</v>
      </c>
      <c r="C81" s="128" t="s">
        <v>129</v>
      </c>
      <c r="D81" s="95">
        <f>[1]AA!D404</f>
        <v>44000</v>
      </c>
      <c r="E81" s="95">
        <f>[1]AA!E404</f>
        <v>43500</v>
      </c>
      <c r="F81" s="95">
        <f>[1]AA!F404</f>
        <v>500</v>
      </c>
      <c r="G81" s="95">
        <f>[1]AA!G404</f>
        <v>17400</v>
      </c>
      <c r="H81" s="95">
        <f>[1]AA!H404</f>
        <v>26600</v>
      </c>
      <c r="I81" s="107">
        <f>G81/D81</f>
        <v>0.39545454545454545</v>
      </c>
    </row>
    <row r="82" spans="1:9" ht="54" customHeight="1" x14ac:dyDescent="0.2">
      <c r="A82" s="93">
        <f>SUBTOTAL(103,$B$8:B82)+287</f>
        <v>359</v>
      </c>
      <c r="B82" s="110">
        <v>526</v>
      </c>
      <c r="C82" s="128" t="s">
        <v>2497</v>
      </c>
      <c r="D82" s="95">
        <f>[1]AA!D440</f>
        <v>2795</v>
      </c>
      <c r="E82" s="95">
        <f>[1]AA!E440</f>
        <v>2795</v>
      </c>
      <c r="F82" s="95">
        <f>[1]AA!F440</f>
        <v>0</v>
      </c>
      <c r="G82" s="95">
        <f>[1]AA!G440</f>
        <v>0</v>
      </c>
      <c r="H82" s="95">
        <f>[1]AA!H440</f>
        <v>2795</v>
      </c>
      <c r="I82" s="107">
        <f>G82/D82</f>
        <v>0</v>
      </c>
    </row>
    <row r="83" spans="1:9" x14ac:dyDescent="0.2">
      <c r="A83" s="195" t="s">
        <v>1053</v>
      </c>
      <c r="B83" s="195"/>
      <c r="C83" s="195"/>
      <c r="D83" s="91">
        <f>SUM(D84:D87)</f>
        <v>1054126</v>
      </c>
      <c r="E83" s="91">
        <f t="shared" ref="E83:H83" si="8">SUM(E84:E87)</f>
        <v>887438.67</v>
      </c>
      <c r="F83" s="91">
        <f t="shared" si="8"/>
        <v>166687.32999999999</v>
      </c>
      <c r="G83" s="91">
        <f t="shared" si="8"/>
        <v>30322</v>
      </c>
      <c r="H83" s="91">
        <f t="shared" si="8"/>
        <v>1023804</v>
      </c>
      <c r="I83" s="92">
        <f t="shared" ref="I83:I89" si="9">G83/D83</f>
        <v>2.8765062241136258E-2</v>
      </c>
    </row>
    <row r="84" spans="1:9" ht="63.75" x14ac:dyDescent="0.2">
      <c r="A84" s="93">
        <f>SUBTOTAL(103,$B$8:B84)+287</f>
        <v>360</v>
      </c>
      <c r="B84" s="110">
        <v>368</v>
      </c>
      <c r="C84" s="128" t="s">
        <v>777</v>
      </c>
      <c r="D84" s="95">
        <f>[1]AA!D311</f>
        <v>179500</v>
      </c>
      <c r="E84" s="95">
        <f>[1]AA!E311</f>
        <v>163750</v>
      </c>
      <c r="F84" s="95">
        <f>[1]AA!F311</f>
        <v>15750</v>
      </c>
      <c r="G84" s="95">
        <f>[1]AA!G311</f>
        <v>3750</v>
      </c>
      <c r="H84" s="95">
        <f>[1]AA!H311</f>
        <v>175750</v>
      </c>
      <c r="I84" s="107">
        <f t="shared" si="9"/>
        <v>2.0891364902506964E-2</v>
      </c>
    </row>
    <row r="85" spans="1:9" ht="51" x14ac:dyDescent="0.2">
      <c r="A85" s="93">
        <f>SUBTOTAL(103,$B$8:B85)+287</f>
        <v>361</v>
      </c>
      <c r="B85" s="110">
        <v>375</v>
      </c>
      <c r="C85" s="128" t="s">
        <v>800</v>
      </c>
      <c r="D85" s="95">
        <f>[1]AA!D318</f>
        <v>175166</v>
      </c>
      <c r="E85" s="95">
        <f>[1]AA!E318</f>
        <v>166872</v>
      </c>
      <c r="F85" s="95">
        <f>[1]AA!F318</f>
        <v>8294</v>
      </c>
      <c r="G85" s="95">
        <f>[1]AA!G318</f>
        <v>5872</v>
      </c>
      <c r="H85" s="95">
        <f>[1]AA!H318</f>
        <v>169294</v>
      </c>
      <c r="I85" s="107">
        <f t="shared" si="9"/>
        <v>3.352248724067456E-2</v>
      </c>
    </row>
    <row r="86" spans="1:9" ht="51" x14ac:dyDescent="0.2">
      <c r="A86" s="93">
        <f>SUBTOTAL(103,$B$8:B86)+287</f>
        <v>362</v>
      </c>
      <c r="B86" s="110">
        <v>417</v>
      </c>
      <c r="C86" s="128" t="s">
        <v>1004</v>
      </c>
      <c r="D86" s="95">
        <f>[1]AA!D359</f>
        <v>349792</v>
      </c>
      <c r="E86" s="95">
        <f>[1]AA!E359</f>
        <v>308833.33</v>
      </c>
      <c r="F86" s="95">
        <f>[1]AA!F359</f>
        <v>40958.669999999984</v>
      </c>
      <c r="G86" s="95">
        <f>[1]AA!G359</f>
        <v>0</v>
      </c>
      <c r="H86" s="95">
        <f>[1]AA!H359</f>
        <v>349792</v>
      </c>
      <c r="I86" s="107">
        <f t="shared" si="9"/>
        <v>0</v>
      </c>
    </row>
    <row r="87" spans="1:9" ht="63.75" x14ac:dyDescent="0.2">
      <c r="A87" s="93">
        <f>SUBTOTAL(103,$B$8:B87)+287</f>
        <v>363</v>
      </c>
      <c r="B87" s="110">
        <v>474</v>
      </c>
      <c r="C87" s="128" t="s">
        <v>1063</v>
      </c>
      <c r="D87" s="95">
        <f>[1]AA!D393</f>
        <v>349668</v>
      </c>
      <c r="E87" s="95">
        <f>[1]AA!E393</f>
        <v>247983.34</v>
      </c>
      <c r="F87" s="95">
        <f>[1]AA!F393</f>
        <v>101684.66</v>
      </c>
      <c r="G87" s="95">
        <f>[1]AA!G393</f>
        <v>20700</v>
      </c>
      <c r="H87" s="95">
        <f>[1]AA!H393</f>
        <v>328968</v>
      </c>
      <c r="I87" s="107">
        <f>G87/D87</f>
        <v>5.9199011633892719E-2</v>
      </c>
    </row>
    <row r="88" spans="1:9" x14ac:dyDescent="0.2">
      <c r="A88" s="195" t="s">
        <v>132</v>
      </c>
      <c r="B88" s="195"/>
      <c r="C88" s="195"/>
      <c r="D88" s="91">
        <f>SUM(D89:D95)</f>
        <v>1308816</v>
      </c>
      <c r="E88" s="91">
        <f t="shared" ref="E88:H88" si="10">SUM(E89:E95)</f>
        <v>925190</v>
      </c>
      <c r="F88" s="91">
        <f t="shared" si="10"/>
        <v>383626</v>
      </c>
      <c r="G88" s="91">
        <f t="shared" si="10"/>
        <v>409990</v>
      </c>
      <c r="H88" s="91">
        <f t="shared" si="10"/>
        <v>898826</v>
      </c>
      <c r="I88" s="92">
        <f t="shared" si="9"/>
        <v>0.31325258859916139</v>
      </c>
    </row>
    <row r="89" spans="1:9" ht="63.75" x14ac:dyDescent="0.2">
      <c r="A89" s="93">
        <f>SUBTOTAL(103,$B$8:B89)+287</f>
        <v>364</v>
      </c>
      <c r="B89" s="110">
        <v>356</v>
      </c>
      <c r="C89" s="128" t="s">
        <v>759</v>
      </c>
      <c r="D89" s="95">
        <f>[1]AA!D299</f>
        <v>5365</v>
      </c>
      <c r="E89" s="95">
        <f>[1]AA!E299</f>
        <v>5364</v>
      </c>
      <c r="F89" s="95">
        <f>[1]AA!F299</f>
        <v>1</v>
      </c>
      <c r="G89" s="95">
        <f>[1]AA!G299</f>
        <v>5364</v>
      </c>
      <c r="H89" s="95">
        <f>[1]AA!H299</f>
        <v>1</v>
      </c>
      <c r="I89" s="107">
        <f t="shared" si="9"/>
        <v>0.9998136067101584</v>
      </c>
    </row>
    <row r="90" spans="1:9" ht="38.25" x14ac:dyDescent="0.2">
      <c r="A90" s="93">
        <f>SUBTOTAL(103,$B$8:B90)+287</f>
        <v>365</v>
      </c>
      <c r="B90" s="110">
        <v>374</v>
      </c>
      <c r="C90" s="128" t="s">
        <v>799</v>
      </c>
      <c r="D90" s="95">
        <f>[1]AA!D317</f>
        <v>335890</v>
      </c>
      <c r="E90" s="95">
        <f>[1]AA!E317</f>
        <v>314900</v>
      </c>
      <c r="F90" s="95">
        <f>[1]AA!F317</f>
        <v>20990</v>
      </c>
      <c r="G90" s="95">
        <f>[1]AA!G317</f>
        <v>0</v>
      </c>
      <c r="H90" s="95">
        <f>[1]AA!H317</f>
        <v>335890</v>
      </c>
      <c r="I90" s="107">
        <f t="shared" si="7"/>
        <v>0</v>
      </c>
    </row>
    <row r="91" spans="1:9" ht="51" x14ac:dyDescent="0.2">
      <c r="A91" s="93">
        <f>SUBTOTAL(103,$B$8:B91)+287</f>
        <v>366</v>
      </c>
      <c r="B91" s="110">
        <v>377</v>
      </c>
      <c r="C91" s="128" t="s">
        <v>802</v>
      </c>
      <c r="D91" s="95">
        <f>[1]AA!D320</f>
        <v>157066</v>
      </c>
      <c r="E91" s="95">
        <f>[1]AA!E320</f>
        <v>157066</v>
      </c>
      <c r="F91" s="95">
        <f>[1]AA!F320</f>
        <v>0</v>
      </c>
      <c r="G91" s="95">
        <f>[1]AA!G320</f>
        <v>157066</v>
      </c>
      <c r="H91" s="95">
        <f>[1]AA!H320</f>
        <v>0</v>
      </c>
      <c r="I91" s="107">
        <f t="shared" si="7"/>
        <v>1</v>
      </c>
    </row>
    <row r="92" spans="1:9" ht="63.75" x14ac:dyDescent="0.2">
      <c r="A92" s="93">
        <f>SUBTOTAL(103,$B$8:B92)+287</f>
        <v>367</v>
      </c>
      <c r="B92" s="110">
        <v>386</v>
      </c>
      <c r="C92" s="128" t="s">
        <v>973</v>
      </c>
      <c r="D92" s="95">
        <f>[1]AA!D328</f>
        <v>159345</v>
      </c>
      <c r="E92" s="95">
        <f>[1]AA!E328</f>
        <v>150543</v>
      </c>
      <c r="F92" s="95">
        <f>[1]AA!F328</f>
        <v>8802</v>
      </c>
      <c r="G92" s="95">
        <f>[1]AA!G328</f>
        <v>148210</v>
      </c>
      <c r="H92" s="95">
        <f>[1]AA!H328</f>
        <v>11135</v>
      </c>
      <c r="I92" s="107">
        <f t="shared" si="7"/>
        <v>0.93012017948476577</v>
      </c>
    </row>
    <row r="93" spans="1:9" ht="63.75" x14ac:dyDescent="0.2">
      <c r="A93" s="93">
        <f>SUBTOTAL(103,$B$8:B93)+287</f>
        <v>368</v>
      </c>
      <c r="B93" s="110">
        <v>473</v>
      </c>
      <c r="C93" s="128" t="s">
        <v>1064</v>
      </c>
      <c r="D93" s="95">
        <f>[1]AA!D392</f>
        <v>160000</v>
      </c>
      <c r="E93" s="95">
        <f>[1]AA!E392</f>
        <v>145797</v>
      </c>
      <c r="F93" s="95">
        <f>[1]AA!F392</f>
        <v>14203</v>
      </c>
      <c r="G93" s="95">
        <f>[1]AA!G392</f>
        <v>41950</v>
      </c>
      <c r="H93" s="95">
        <f>[1]AA!H392</f>
        <v>118050</v>
      </c>
      <c r="I93" s="107">
        <f t="shared" si="7"/>
        <v>0.26218750000000002</v>
      </c>
    </row>
    <row r="94" spans="1:9" ht="63.75" x14ac:dyDescent="0.2">
      <c r="A94" s="93">
        <f>SUBTOTAL(103,$B$8:B94)+287</f>
        <v>369</v>
      </c>
      <c r="B94" s="110">
        <v>476</v>
      </c>
      <c r="C94" s="128" t="s">
        <v>1065</v>
      </c>
      <c r="D94" s="95">
        <f>[1]AA!D395</f>
        <v>141150</v>
      </c>
      <c r="E94" s="95">
        <f>[1]AA!E395</f>
        <v>0</v>
      </c>
      <c r="F94" s="95">
        <f>[1]AA!F395</f>
        <v>141150</v>
      </c>
      <c r="G94" s="95">
        <f>[1]AA!G395</f>
        <v>0</v>
      </c>
      <c r="H94" s="95">
        <f>[1]AA!H395</f>
        <v>141150</v>
      </c>
      <c r="I94" s="107">
        <f t="shared" si="7"/>
        <v>0</v>
      </c>
    </row>
    <row r="95" spans="1:9" ht="63.75" x14ac:dyDescent="0.2">
      <c r="A95" s="93">
        <f>SUBTOTAL(103,$B$8:B95)+287</f>
        <v>370</v>
      </c>
      <c r="B95" s="110">
        <v>477</v>
      </c>
      <c r="C95" s="128" t="s">
        <v>1066</v>
      </c>
      <c r="D95" s="95">
        <f>[1]AA!D396</f>
        <v>350000</v>
      </c>
      <c r="E95" s="95">
        <f>[1]AA!E396</f>
        <v>151520</v>
      </c>
      <c r="F95" s="95">
        <f>[1]AA!F396</f>
        <v>198480</v>
      </c>
      <c r="G95" s="95">
        <f>[1]AA!G396</f>
        <v>57400</v>
      </c>
      <c r="H95" s="95">
        <f>[1]AA!H396</f>
        <v>292600</v>
      </c>
      <c r="I95" s="107">
        <f t="shared" si="7"/>
        <v>0.16400000000000001</v>
      </c>
    </row>
    <row r="96" spans="1:9" ht="69" hidden="1" x14ac:dyDescent="0.2">
      <c r="A96" s="14"/>
      <c r="B96" s="69"/>
      <c r="C96" s="8" t="s">
        <v>40</v>
      </c>
      <c r="D96" s="15"/>
      <c r="E96" s="15"/>
      <c r="F96" s="15">
        <f t="shared" ref="F96:F139" si="11">D96-E96</f>
        <v>0</v>
      </c>
      <c r="G96" s="15"/>
      <c r="H96" s="15">
        <f t="shared" ref="H96:H139" si="12">D96-G96</f>
        <v>0</v>
      </c>
      <c r="I96" s="29">
        <v>0</v>
      </c>
    </row>
    <row r="97" spans="1:9" ht="118.5" hidden="1" customHeight="1" x14ac:dyDescent="0.2">
      <c r="A97" s="14"/>
      <c r="B97" s="69"/>
      <c r="C97" s="8" t="s">
        <v>72</v>
      </c>
      <c r="D97" s="15"/>
      <c r="E97" s="15"/>
      <c r="F97" s="15">
        <f t="shared" si="11"/>
        <v>0</v>
      </c>
      <c r="G97" s="15"/>
      <c r="H97" s="15">
        <f t="shared" si="12"/>
        <v>0</v>
      </c>
      <c r="I97" s="28">
        <v>0</v>
      </c>
    </row>
    <row r="98" spans="1:9" ht="86.25" hidden="1" x14ac:dyDescent="0.2">
      <c r="A98" s="14"/>
      <c r="B98" s="69"/>
      <c r="C98" s="8" t="s">
        <v>73</v>
      </c>
      <c r="D98" s="15"/>
      <c r="E98" s="15"/>
      <c r="F98" s="15">
        <f t="shared" si="11"/>
        <v>0</v>
      </c>
      <c r="G98" s="15"/>
      <c r="H98" s="15">
        <f t="shared" si="12"/>
        <v>0</v>
      </c>
      <c r="I98" s="28">
        <v>0</v>
      </c>
    </row>
    <row r="99" spans="1:9" ht="101.25" hidden="1" customHeight="1" x14ac:dyDescent="0.2">
      <c r="A99" s="14"/>
      <c r="B99" s="69"/>
      <c r="C99" s="8" t="s">
        <v>74</v>
      </c>
      <c r="D99" s="15"/>
      <c r="E99" s="15"/>
      <c r="F99" s="15">
        <f t="shared" si="11"/>
        <v>0</v>
      </c>
      <c r="G99" s="15"/>
      <c r="H99" s="15">
        <f t="shared" si="12"/>
        <v>0</v>
      </c>
      <c r="I99" s="28">
        <v>0</v>
      </c>
    </row>
    <row r="100" spans="1:9" ht="86.25" hidden="1" x14ac:dyDescent="0.2">
      <c r="A100" s="14"/>
      <c r="B100" s="69"/>
      <c r="C100" s="8" t="s">
        <v>75</v>
      </c>
      <c r="D100" s="15"/>
      <c r="E100" s="15"/>
      <c r="F100" s="15">
        <f t="shared" si="11"/>
        <v>0</v>
      </c>
      <c r="G100" s="15"/>
      <c r="H100" s="15">
        <f t="shared" si="12"/>
        <v>0</v>
      </c>
      <c r="I100" s="28">
        <v>0</v>
      </c>
    </row>
    <row r="101" spans="1:9" ht="103.5" hidden="1" x14ac:dyDescent="0.2">
      <c r="A101" s="14"/>
      <c r="B101" s="69"/>
      <c r="C101" s="8" t="s">
        <v>76</v>
      </c>
      <c r="D101" s="15"/>
      <c r="E101" s="15"/>
      <c r="F101" s="15">
        <f t="shared" si="11"/>
        <v>0</v>
      </c>
      <c r="G101" s="15"/>
      <c r="H101" s="15">
        <f t="shared" si="12"/>
        <v>0</v>
      </c>
      <c r="I101" s="28">
        <v>0</v>
      </c>
    </row>
    <row r="102" spans="1:9" ht="86.25" hidden="1" x14ac:dyDescent="0.2">
      <c r="A102" s="14"/>
      <c r="B102" s="69"/>
      <c r="C102" s="8" t="s">
        <v>41</v>
      </c>
      <c r="D102" s="15"/>
      <c r="E102" s="15"/>
      <c r="F102" s="15">
        <f t="shared" si="11"/>
        <v>0</v>
      </c>
      <c r="G102" s="15"/>
      <c r="H102" s="15">
        <f t="shared" si="12"/>
        <v>0</v>
      </c>
      <c r="I102" s="28">
        <v>0</v>
      </c>
    </row>
    <row r="103" spans="1:9" ht="86.25" hidden="1" x14ac:dyDescent="0.2">
      <c r="A103" s="14"/>
      <c r="B103" s="69"/>
      <c r="C103" s="8" t="s">
        <v>77</v>
      </c>
      <c r="D103" s="15"/>
      <c r="E103" s="15"/>
      <c r="F103" s="15">
        <f t="shared" si="11"/>
        <v>0</v>
      </c>
      <c r="G103" s="15"/>
      <c r="H103" s="15">
        <f t="shared" si="12"/>
        <v>0</v>
      </c>
      <c r="I103" s="28">
        <v>0</v>
      </c>
    </row>
    <row r="104" spans="1:9" ht="103.5" hidden="1" x14ac:dyDescent="0.2">
      <c r="A104" s="14"/>
      <c r="B104" s="69"/>
      <c r="C104" s="8" t="s">
        <v>78</v>
      </c>
      <c r="D104" s="15"/>
      <c r="E104" s="15"/>
      <c r="F104" s="15">
        <f t="shared" si="11"/>
        <v>0</v>
      </c>
      <c r="G104" s="15"/>
      <c r="H104" s="15">
        <f t="shared" si="12"/>
        <v>0</v>
      </c>
      <c r="I104" s="28">
        <v>0</v>
      </c>
    </row>
    <row r="105" spans="1:9" ht="86.25" hidden="1" x14ac:dyDescent="0.2">
      <c r="A105" s="14"/>
      <c r="B105" s="69"/>
      <c r="C105" s="8" t="s">
        <v>27</v>
      </c>
      <c r="D105" s="15"/>
      <c r="E105" s="15"/>
      <c r="F105" s="15">
        <f t="shared" si="11"/>
        <v>0</v>
      </c>
      <c r="G105" s="15"/>
      <c r="H105" s="15">
        <f t="shared" si="12"/>
        <v>0</v>
      </c>
      <c r="I105" s="28">
        <v>0</v>
      </c>
    </row>
    <row r="106" spans="1:9" ht="103.5" hidden="1" x14ac:dyDescent="0.2">
      <c r="A106" s="14"/>
      <c r="B106" s="69"/>
      <c r="C106" s="8" t="s">
        <v>79</v>
      </c>
      <c r="D106" s="15"/>
      <c r="E106" s="15"/>
      <c r="F106" s="15">
        <f t="shared" si="11"/>
        <v>0</v>
      </c>
      <c r="G106" s="15"/>
      <c r="H106" s="15">
        <f t="shared" si="12"/>
        <v>0</v>
      </c>
      <c r="I106" s="28">
        <v>0</v>
      </c>
    </row>
    <row r="107" spans="1:9" ht="138" hidden="1" x14ac:dyDescent="0.2">
      <c r="A107" s="14"/>
      <c r="B107" s="69"/>
      <c r="C107" s="8" t="s">
        <v>80</v>
      </c>
      <c r="D107" s="15"/>
      <c r="E107" s="15"/>
      <c r="F107" s="15">
        <f t="shared" si="11"/>
        <v>0</v>
      </c>
      <c r="G107" s="15"/>
      <c r="H107" s="15">
        <f t="shared" si="12"/>
        <v>0</v>
      </c>
      <c r="I107" s="28">
        <v>0</v>
      </c>
    </row>
    <row r="108" spans="1:9" ht="120.75" hidden="1" x14ac:dyDescent="0.2">
      <c r="A108" s="14"/>
      <c r="B108" s="69"/>
      <c r="C108" s="8" t="s">
        <v>81</v>
      </c>
      <c r="D108" s="15"/>
      <c r="E108" s="15"/>
      <c r="F108" s="15">
        <f t="shared" si="11"/>
        <v>0</v>
      </c>
      <c r="G108" s="15"/>
      <c r="H108" s="15">
        <f t="shared" si="12"/>
        <v>0</v>
      </c>
      <c r="I108" s="28">
        <v>0</v>
      </c>
    </row>
    <row r="109" spans="1:9" ht="119.25" hidden="1" customHeight="1" x14ac:dyDescent="0.2">
      <c r="A109" s="14"/>
      <c r="B109" s="69"/>
      <c r="C109" s="8" t="s">
        <v>82</v>
      </c>
      <c r="D109" s="15"/>
      <c r="E109" s="15"/>
      <c r="F109" s="15">
        <f t="shared" si="11"/>
        <v>0</v>
      </c>
      <c r="G109" s="15"/>
      <c r="H109" s="15">
        <f t="shared" si="12"/>
        <v>0</v>
      </c>
      <c r="I109" s="28">
        <v>0</v>
      </c>
    </row>
    <row r="110" spans="1:9" ht="103.5" hidden="1" x14ac:dyDescent="0.2">
      <c r="A110" s="14"/>
      <c r="B110" s="69"/>
      <c r="C110" s="8" t="s">
        <v>83</v>
      </c>
      <c r="D110" s="15"/>
      <c r="E110" s="15"/>
      <c r="F110" s="15">
        <f t="shared" si="11"/>
        <v>0</v>
      </c>
      <c r="G110" s="15"/>
      <c r="H110" s="15">
        <f t="shared" si="12"/>
        <v>0</v>
      </c>
      <c r="I110" s="28">
        <v>0</v>
      </c>
    </row>
    <row r="111" spans="1:9" ht="103.5" hidden="1" x14ac:dyDescent="0.2">
      <c r="A111" s="14"/>
      <c r="B111" s="69"/>
      <c r="C111" s="8" t="s">
        <v>84</v>
      </c>
      <c r="D111" s="15"/>
      <c r="E111" s="15"/>
      <c r="F111" s="15">
        <f t="shared" si="11"/>
        <v>0</v>
      </c>
      <c r="G111" s="15"/>
      <c r="H111" s="15">
        <f t="shared" si="12"/>
        <v>0</v>
      </c>
      <c r="I111" s="28">
        <v>0</v>
      </c>
    </row>
    <row r="112" spans="1:9" ht="120.75" hidden="1" x14ac:dyDescent="0.2">
      <c r="A112" s="14"/>
      <c r="B112" s="69"/>
      <c r="C112" s="8" t="s">
        <v>85</v>
      </c>
      <c r="D112" s="15"/>
      <c r="E112" s="15"/>
      <c r="F112" s="15">
        <f t="shared" si="11"/>
        <v>0</v>
      </c>
      <c r="G112" s="15"/>
      <c r="H112" s="15">
        <f t="shared" si="12"/>
        <v>0</v>
      </c>
      <c r="I112" s="28">
        <v>0</v>
      </c>
    </row>
    <row r="113" spans="1:9" ht="103.5" hidden="1" x14ac:dyDescent="0.2">
      <c r="A113" s="14"/>
      <c r="B113" s="69"/>
      <c r="C113" s="8" t="s">
        <v>86</v>
      </c>
      <c r="D113" s="15"/>
      <c r="E113" s="15"/>
      <c r="F113" s="15">
        <f t="shared" si="11"/>
        <v>0</v>
      </c>
      <c r="G113" s="15"/>
      <c r="H113" s="15">
        <f t="shared" si="12"/>
        <v>0</v>
      </c>
      <c r="I113" s="28">
        <v>0</v>
      </c>
    </row>
    <row r="114" spans="1:9" ht="86.25" hidden="1" x14ac:dyDescent="0.2">
      <c r="A114" s="14"/>
      <c r="B114" s="69"/>
      <c r="C114" s="8" t="s">
        <v>28</v>
      </c>
      <c r="D114" s="15"/>
      <c r="E114" s="15"/>
      <c r="F114" s="15">
        <f t="shared" si="11"/>
        <v>0</v>
      </c>
      <c r="G114" s="15"/>
      <c r="H114" s="15">
        <f t="shared" si="12"/>
        <v>0</v>
      </c>
      <c r="I114" s="28">
        <v>0</v>
      </c>
    </row>
    <row r="115" spans="1:9" ht="86.25" hidden="1" x14ac:dyDescent="0.2">
      <c r="A115" s="14"/>
      <c r="B115" s="69"/>
      <c r="C115" s="8" t="s">
        <v>29</v>
      </c>
      <c r="D115" s="15"/>
      <c r="E115" s="15"/>
      <c r="F115" s="15">
        <f t="shared" si="11"/>
        <v>0</v>
      </c>
      <c r="G115" s="15"/>
      <c r="H115" s="15">
        <f t="shared" si="12"/>
        <v>0</v>
      </c>
      <c r="I115" s="28">
        <v>0</v>
      </c>
    </row>
    <row r="116" spans="1:9" ht="86.25" hidden="1" x14ac:dyDescent="0.2">
      <c r="A116" s="14"/>
      <c r="B116" s="69"/>
      <c r="C116" s="8" t="s">
        <v>87</v>
      </c>
      <c r="D116" s="15"/>
      <c r="E116" s="15"/>
      <c r="F116" s="15">
        <f t="shared" si="11"/>
        <v>0</v>
      </c>
      <c r="G116" s="15"/>
      <c r="H116" s="15">
        <f t="shared" si="12"/>
        <v>0</v>
      </c>
      <c r="I116" s="28">
        <v>0</v>
      </c>
    </row>
    <row r="117" spans="1:9" ht="86.25" hidden="1" x14ac:dyDescent="0.2">
      <c r="A117" s="14"/>
      <c r="B117" s="69"/>
      <c r="C117" s="8" t="s">
        <v>30</v>
      </c>
      <c r="D117" s="15"/>
      <c r="E117" s="15"/>
      <c r="F117" s="15">
        <f t="shared" si="11"/>
        <v>0</v>
      </c>
      <c r="G117" s="15"/>
      <c r="H117" s="15">
        <f t="shared" si="12"/>
        <v>0</v>
      </c>
      <c r="I117" s="28">
        <v>0</v>
      </c>
    </row>
    <row r="118" spans="1:9" ht="86.25" hidden="1" x14ac:dyDescent="0.2">
      <c r="A118" s="14"/>
      <c r="B118" s="69"/>
      <c r="C118" s="8" t="s">
        <v>89</v>
      </c>
      <c r="D118" s="15"/>
      <c r="E118" s="15"/>
      <c r="F118" s="15">
        <f t="shared" si="11"/>
        <v>0</v>
      </c>
      <c r="G118" s="15"/>
      <c r="H118" s="15">
        <f t="shared" si="12"/>
        <v>0</v>
      </c>
      <c r="I118" s="28">
        <v>0</v>
      </c>
    </row>
    <row r="119" spans="1:9" ht="103.5" hidden="1" x14ac:dyDescent="0.2">
      <c r="A119" s="14"/>
      <c r="B119" s="69"/>
      <c r="C119" s="8" t="s">
        <v>90</v>
      </c>
      <c r="D119" s="15"/>
      <c r="E119" s="15"/>
      <c r="F119" s="15">
        <f t="shared" si="11"/>
        <v>0</v>
      </c>
      <c r="G119" s="15"/>
      <c r="H119" s="15">
        <f t="shared" si="12"/>
        <v>0</v>
      </c>
      <c r="I119" s="28">
        <v>0</v>
      </c>
    </row>
    <row r="120" spans="1:9" ht="103.5" hidden="1" x14ac:dyDescent="0.2">
      <c r="A120" s="14"/>
      <c r="B120" s="69"/>
      <c r="C120" s="8" t="s">
        <v>91</v>
      </c>
      <c r="D120" s="15"/>
      <c r="E120" s="15"/>
      <c r="F120" s="15">
        <f t="shared" si="11"/>
        <v>0</v>
      </c>
      <c r="G120" s="15"/>
      <c r="H120" s="15">
        <f t="shared" si="12"/>
        <v>0</v>
      </c>
      <c r="I120" s="28">
        <v>0</v>
      </c>
    </row>
    <row r="121" spans="1:9" ht="155.25" hidden="1" x14ac:dyDescent="0.2">
      <c r="A121" s="14"/>
      <c r="B121" s="69"/>
      <c r="C121" s="8" t="s">
        <v>92</v>
      </c>
      <c r="D121" s="15"/>
      <c r="E121" s="15"/>
      <c r="F121" s="15">
        <f t="shared" si="11"/>
        <v>0</v>
      </c>
      <c r="G121" s="15"/>
      <c r="H121" s="15">
        <f t="shared" si="12"/>
        <v>0</v>
      </c>
      <c r="I121" s="28">
        <v>0</v>
      </c>
    </row>
    <row r="122" spans="1:9" ht="120.75" hidden="1" x14ac:dyDescent="0.2">
      <c r="A122" s="14"/>
      <c r="B122" s="69"/>
      <c r="C122" s="8" t="s">
        <v>93</v>
      </c>
      <c r="D122" s="15"/>
      <c r="E122" s="15"/>
      <c r="F122" s="15">
        <f t="shared" si="11"/>
        <v>0</v>
      </c>
      <c r="G122" s="15"/>
      <c r="H122" s="15">
        <f t="shared" si="12"/>
        <v>0</v>
      </c>
      <c r="I122" s="28">
        <v>0</v>
      </c>
    </row>
    <row r="123" spans="1:9" ht="86.25" hidden="1" x14ac:dyDescent="0.2">
      <c r="A123" s="14"/>
      <c r="B123" s="69"/>
      <c r="C123" s="8" t="s">
        <v>94</v>
      </c>
      <c r="D123" s="15"/>
      <c r="E123" s="15"/>
      <c r="F123" s="15">
        <f t="shared" si="11"/>
        <v>0</v>
      </c>
      <c r="G123" s="15"/>
      <c r="H123" s="15">
        <f t="shared" si="12"/>
        <v>0</v>
      </c>
      <c r="I123" s="28">
        <v>0</v>
      </c>
    </row>
    <row r="124" spans="1:9" ht="103.5" hidden="1" x14ac:dyDescent="0.2">
      <c r="A124" s="14"/>
      <c r="B124" s="69"/>
      <c r="C124" s="8" t="s">
        <v>95</v>
      </c>
      <c r="D124" s="15"/>
      <c r="E124" s="15"/>
      <c r="F124" s="15">
        <f t="shared" si="11"/>
        <v>0</v>
      </c>
      <c r="G124" s="15"/>
      <c r="H124" s="15">
        <f t="shared" si="12"/>
        <v>0</v>
      </c>
      <c r="I124" s="28">
        <v>0</v>
      </c>
    </row>
    <row r="125" spans="1:9" ht="103.5" hidden="1" x14ac:dyDescent="0.2">
      <c r="A125" s="14"/>
      <c r="B125" s="69"/>
      <c r="C125" s="8" t="s">
        <v>96</v>
      </c>
      <c r="D125" s="15"/>
      <c r="E125" s="15"/>
      <c r="F125" s="15">
        <f t="shared" si="11"/>
        <v>0</v>
      </c>
      <c r="G125" s="15"/>
      <c r="H125" s="15">
        <f t="shared" si="12"/>
        <v>0</v>
      </c>
      <c r="I125" s="28">
        <v>0</v>
      </c>
    </row>
    <row r="126" spans="1:9" ht="103.5" hidden="1" x14ac:dyDescent="0.2">
      <c r="A126" s="14"/>
      <c r="B126" s="69"/>
      <c r="C126" s="8" t="s">
        <v>97</v>
      </c>
      <c r="D126" s="15"/>
      <c r="E126" s="15"/>
      <c r="F126" s="15">
        <f t="shared" si="11"/>
        <v>0</v>
      </c>
      <c r="G126" s="15"/>
      <c r="H126" s="15">
        <f t="shared" si="12"/>
        <v>0</v>
      </c>
      <c r="I126" s="28">
        <v>0</v>
      </c>
    </row>
    <row r="127" spans="1:9" ht="86.25" hidden="1" x14ac:dyDescent="0.2">
      <c r="A127" s="14"/>
      <c r="B127" s="69"/>
      <c r="C127" s="8" t="s">
        <v>99</v>
      </c>
      <c r="D127" s="15"/>
      <c r="E127" s="15"/>
      <c r="F127" s="15">
        <f t="shared" si="11"/>
        <v>0</v>
      </c>
      <c r="G127" s="15"/>
      <c r="H127" s="15">
        <f t="shared" si="12"/>
        <v>0</v>
      </c>
      <c r="I127" s="28">
        <v>0</v>
      </c>
    </row>
    <row r="128" spans="1:9" ht="86.25" hidden="1" x14ac:dyDescent="0.2">
      <c r="A128" s="14"/>
      <c r="B128" s="69"/>
      <c r="C128" s="8" t="s">
        <v>42</v>
      </c>
      <c r="D128" s="15"/>
      <c r="E128" s="15"/>
      <c r="F128" s="15">
        <f t="shared" si="11"/>
        <v>0</v>
      </c>
      <c r="G128" s="15"/>
      <c r="H128" s="15">
        <f t="shared" si="12"/>
        <v>0</v>
      </c>
      <c r="I128" s="28">
        <v>0</v>
      </c>
    </row>
    <row r="129" spans="1:9" ht="103.5" hidden="1" x14ac:dyDescent="0.2">
      <c r="A129" s="14"/>
      <c r="B129" s="69"/>
      <c r="C129" s="8" t="s">
        <v>100</v>
      </c>
      <c r="D129" s="15"/>
      <c r="E129" s="15"/>
      <c r="F129" s="15">
        <f t="shared" si="11"/>
        <v>0</v>
      </c>
      <c r="G129" s="15"/>
      <c r="H129" s="15">
        <f t="shared" si="12"/>
        <v>0</v>
      </c>
      <c r="I129" s="28">
        <v>0</v>
      </c>
    </row>
    <row r="130" spans="1:9" ht="86.25" hidden="1" x14ac:dyDescent="0.2">
      <c r="A130" s="14"/>
      <c r="B130" s="69"/>
      <c r="C130" s="8" t="s">
        <v>101</v>
      </c>
      <c r="D130" s="15"/>
      <c r="E130" s="15"/>
      <c r="F130" s="15">
        <f t="shared" si="11"/>
        <v>0</v>
      </c>
      <c r="G130" s="15"/>
      <c r="H130" s="15">
        <f t="shared" si="12"/>
        <v>0</v>
      </c>
      <c r="I130" s="28">
        <v>0</v>
      </c>
    </row>
    <row r="131" spans="1:9" ht="120.75" hidden="1" x14ac:dyDescent="0.2">
      <c r="A131" s="14"/>
      <c r="B131" s="69"/>
      <c r="C131" s="8" t="s">
        <v>102</v>
      </c>
      <c r="D131" s="15"/>
      <c r="E131" s="15"/>
      <c r="F131" s="15">
        <f t="shared" si="11"/>
        <v>0</v>
      </c>
      <c r="G131" s="15"/>
      <c r="H131" s="15">
        <f t="shared" si="12"/>
        <v>0</v>
      </c>
      <c r="I131" s="28">
        <v>0</v>
      </c>
    </row>
    <row r="132" spans="1:9" ht="69" hidden="1" x14ac:dyDescent="0.2">
      <c r="A132" s="14"/>
      <c r="B132" s="69"/>
      <c r="C132" s="8" t="s">
        <v>32</v>
      </c>
      <c r="D132" s="15"/>
      <c r="E132" s="15"/>
      <c r="F132" s="15">
        <f t="shared" si="11"/>
        <v>0</v>
      </c>
      <c r="G132" s="15"/>
      <c r="H132" s="15">
        <f t="shared" si="12"/>
        <v>0</v>
      </c>
      <c r="I132" s="28">
        <v>0</v>
      </c>
    </row>
    <row r="133" spans="1:9" ht="86.25" hidden="1" x14ac:dyDescent="0.2">
      <c r="A133" s="14"/>
      <c r="B133" s="69"/>
      <c r="C133" s="8" t="s">
        <v>103</v>
      </c>
      <c r="D133" s="15"/>
      <c r="E133" s="15"/>
      <c r="F133" s="15">
        <f t="shared" si="11"/>
        <v>0</v>
      </c>
      <c r="G133" s="15"/>
      <c r="H133" s="15">
        <f t="shared" si="12"/>
        <v>0</v>
      </c>
      <c r="I133" s="28">
        <v>0</v>
      </c>
    </row>
    <row r="134" spans="1:9" ht="103.5" hidden="1" x14ac:dyDescent="0.2">
      <c r="A134" s="14"/>
      <c r="B134" s="69"/>
      <c r="C134" s="8" t="s">
        <v>105</v>
      </c>
      <c r="D134" s="15"/>
      <c r="E134" s="15"/>
      <c r="F134" s="15">
        <f t="shared" si="11"/>
        <v>0</v>
      </c>
      <c r="G134" s="15"/>
      <c r="H134" s="15">
        <f t="shared" si="12"/>
        <v>0</v>
      </c>
      <c r="I134" s="28">
        <v>0</v>
      </c>
    </row>
    <row r="135" spans="1:9" ht="103.5" hidden="1" x14ac:dyDescent="0.2">
      <c r="A135" s="14"/>
      <c r="B135" s="69"/>
      <c r="C135" s="8" t="s">
        <v>107</v>
      </c>
      <c r="D135" s="15"/>
      <c r="E135" s="15"/>
      <c r="F135" s="15">
        <f t="shared" si="11"/>
        <v>0</v>
      </c>
      <c r="G135" s="15"/>
      <c r="H135" s="15">
        <f t="shared" si="12"/>
        <v>0</v>
      </c>
      <c r="I135" s="28">
        <v>0</v>
      </c>
    </row>
    <row r="136" spans="1:9" ht="86.25" hidden="1" x14ac:dyDescent="0.2">
      <c r="A136" s="14"/>
      <c r="B136" s="69"/>
      <c r="C136" s="8" t="s">
        <v>108</v>
      </c>
      <c r="D136" s="15"/>
      <c r="E136" s="15"/>
      <c r="F136" s="15">
        <f t="shared" si="11"/>
        <v>0</v>
      </c>
      <c r="G136" s="15"/>
      <c r="H136" s="15">
        <f t="shared" si="12"/>
        <v>0</v>
      </c>
      <c r="I136" s="28">
        <v>0</v>
      </c>
    </row>
    <row r="137" spans="1:9" ht="86.25" hidden="1" x14ac:dyDescent="0.2">
      <c r="A137" s="14"/>
      <c r="B137" s="69"/>
      <c r="C137" s="8" t="s">
        <v>109</v>
      </c>
      <c r="D137" s="15"/>
      <c r="E137" s="15"/>
      <c r="F137" s="15">
        <f t="shared" si="11"/>
        <v>0</v>
      </c>
      <c r="G137" s="15"/>
      <c r="H137" s="15">
        <f t="shared" si="12"/>
        <v>0</v>
      </c>
      <c r="I137" s="28">
        <v>0</v>
      </c>
    </row>
    <row r="138" spans="1:9" ht="103.5" hidden="1" x14ac:dyDescent="0.2">
      <c r="A138" s="14"/>
      <c r="B138" s="69"/>
      <c r="C138" s="8" t="s">
        <v>110</v>
      </c>
      <c r="D138" s="15"/>
      <c r="E138" s="15"/>
      <c r="F138" s="15">
        <f t="shared" si="11"/>
        <v>0</v>
      </c>
      <c r="G138" s="15"/>
      <c r="H138" s="15">
        <f t="shared" si="12"/>
        <v>0</v>
      </c>
      <c r="I138" s="28">
        <v>0</v>
      </c>
    </row>
    <row r="139" spans="1:9" ht="86.25" hidden="1" x14ac:dyDescent="0.2">
      <c r="A139" s="14"/>
      <c r="B139" s="69"/>
      <c r="C139" s="8" t="s">
        <v>33</v>
      </c>
      <c r="D139" s="15"/>
      <c r="E139" s="15"/>
      <c r="F139" s="15">
        <f t="shared" si="11"/>
        <v>0</v>
      </c>
      <c r="G139" s="15"/>
      <c r="H139" s="15">
        <f t="shared" si="12"/>
        <v>0</v>
      </c>
      <c r="I139" s="28">
        <v>0</v>
      </c>
    </row>
    <row r="140" spans="1:9" ht="135.75" hidden="1" customHeight="1" x14ac:dyDescent="0.2">
      <c r="A140" s="14"/>
      <c r="B140" s="9"/>
      <c r="C140" s="8" t="s">
        <v>532</v>
      </c>
      <c r="D140" s="15"/>
      <c r="E140" s="15"/>
      <c r="F140" s="15"/>
      <c r="G140" s="15"/>
      <c r="H140" s="15"/>
      <c r="I140" s="28" t="e">
        <f t="shared" ref="I140:I167" si="13">G140/D140</f>
        <v>#DIV/0!</v>
      </c>
    </row>
    <row r="141" spans="1:9" ht="103.5" hidden="1" x14ac:dyDescent="0.2">
      <c r="A141" s="14"/>
      <c r="B141" s="9"/>
      <c r="C141" s="8" t="s">
        <v>303</v>
      </c>
      <c r="D141" s="15"/>
      <c r="E141" s="15"/>
      <c r="F141" s="15"/>
      <c r="G141" s="15"/>
      <c r="H141" s="15"/>
      <c r="I141" s="28" t="e">
        <f t="shared" si="13"/>
        <v>#DIV/0!</v>
      </c>
    </row>
    <row r="142" spans="1:9" ht="120.75" hidden="1" x14ac:dyDescent="0.2">
      <c r="A142" s="14"/>
      <c r="B142" s="9"/>
      <c r="C142" s="8" t="s">
        <v>304</v>
      </c>
      <c r="D142" s="15"/>
      <c r="E142" s="15"/>
      <c r="F142" s="15"/>
      <c r="G142" s="15"/>
      <c r="H142" s="15"/>
      <c r="I142" s="28" t="e">
        <f t="shared" si="13"/>
        <v>#DIV/0!</v>
      </c>
    </row>
    <row r="143" spans="1:9" ht="103.5" hidden="1" x14ac:dyDescent="0.2">
      <c r="A143" s="14"/>
      <c r="B143" s="9"/>
      <c r="C143" s="8" t="s">
        <v>305</v>
      </c>
      <c r="D143" s="15"/>
      <c r="E143" s="15"/>
      <c r="F143" s="15"/>
      <c r="G143" s="15"/>
      <c r="H143" s="15"/>
      <c r="I143" s="28" t="e">
        <f t="shared" si="13"/>
        <v>#DIV/0!</v>
      </c>
    </row>
    <row r="144" spans="1:9" ht="86.25" hidden="1" x14ac:dyDescent="0.2">
      <c r="A144" s="14"/>
      <c r="B144" s="9"/>
      <c r="C144" s="8" t="s">
        <v>306</v>
      </c>
      <c r="D144" s="15"/>
      <c r="E144" s="15"/>
      <c r="F144" s="15"/>
      <c r="G144" s="15"/>
      <c r="H144" s="15"/>
      <c r="I144" s="28" t="e">
        <f t="shared" si="13"/>
        <v>#DIV/0!</v>
      </c>
    </row>
    <row r="145" spans="1:9" ht="120.75" hidden="1" x14ac:dyDescent="0.2">
      <c r="A145" s="14"/>
      <c r="B145" s="9"/>
      <c r="C145" s="8" t="s">
        <v>461</v>
      </c>
      <c r="D145" s="15"/>
      <c r="E145" s="15"/>
      <c r="F145" s="15"/>
      <c r="G145" s="15"/>
      <c r="H145" s="15"/>
      <c r="I145" s="28" t="e">
        <f t="shared" si="13"/>
        <v>#DIV/0!</v>
      </c>
    </row>
    <row r="146" spans="1:9" ht="103.5" hidden="1" x14ac:dyDescent="0.2">
      <c r="A146" s="14"/>
      <c r="B146" s="9"/>
      <c r="C146" s="8" t="s">
        <v>307</v>
      </c>
      <c r="D146" s="15"/>
      <c r="E146" s="15"/>
      <c r="F146" s="15"/>
      <c r="G146" s="15"/>
      <c r="H146" s="15"/>
      <c r="I146" s="28" t="e">
        <f t="shared" si="13"/>
        <v>#DIV/0!</v>
      </c>
    </row>
    <row r="147" spans="1:9" ht="120.75" hidden="1" x14ac:dyDescent="0.2">
      <c r="A147" s="14"/>
      <c r="B147" s="9"/>
      <c r="C147" s="8" t="s">
        <v>462</v>
      </c>
      <c r="D147" s="15"/>
      <c r="E147" s="15"/>
      <c r="F147" s="15"/>
      <c r="G147" s="15"/>
      <c r="H147" s="15"/>
      <c r="I147" s="28" t="e">
        <f t="shared" si="13"/>
        <v>#DIV/0!</v>
      </c>
    </row>
    <row r="148" spans="1:9" ht="103.5" hidden="1" x14ac:dyDescent="0.2">
      <c r="A148" s="14"/>
      <c r="B148" s="9"/>
      <c r="C148" s="8" t="s">
        <v>308</v>
      </c>
      <c r="D148" s="15"/>
      <c r="E148" s="15"/>
      <c r="F148" s="15"/>
      <c r="G148" s="15"/>
      <c r="H148" s="15"/>
      <c r="I148" s="28" t="e">
        <f t="shared" si="13"/>
        <v>#DIV/0!</v>
      </c>
    </row>
    <row r="149" spans="1:9" ht="103.5" hidden="1" x14ac:dyDescent="0.2">
      <c r="A149" s="14"/>
      <c r="B149" s="9"/>
      <c r="C149" s="8" t="s">
        <v>309</v>
      </c>
      <c r="D149" s="15"/>
      <c r="E149" s="15"/>
      <c r="F149" s="15"/>
      <c r="G149" s="15"/>
      <c r="H149" s="15"/>
      <c r="I149" s="28" t="e">
        <f t="shared" si="13"/>
        <v>#DIV/0!</v>
      </c>
    </row>
    <row r="150" spans="1:9" ht="103.5" hidden="1" x14ac:dyDescent="0.2">
      <c r="A150" s="14"/>
      <c r="B150" s="9"/>
      <c r="C150" s="8" t="s">
        <v>310</v>
      </c>
      <c r="D150" s="15"/>
      <c r="E150" s="15"/>
      <c r="F150" s="15"/>
      <c r="G150" s="15"/>
      <c r="H150" s="15"/>
      <c r="I150" s="28" t="e">
        <f t="shared" si="13"/>
        <v>#DIV/0!</v>
      </c>
    </row>
    <row r="151" spans="1:9" ht="120.75" hidden="1" x14ac:dyDescent="0.2">
      <c r="A151" s="14"/>
      <c r="B151" s="9"/>
      <c r="C151" s="8" t="s">
        <v>311</v>
      </c>
      <c r="D151" s="15"/>
      <c r="E151" s="15"/>
      <c r="F151" s="15"/>
      <c r="G151" s="15"/>
      <c r="H151" s="15"/>
      <c r="I151" s="28" t="e">
        <f t="shared" si="13"/>
        <v>#DIV/0!</v>
      </c>
    </row>
    <row r="152" spans="1:9" ht="103.5" hidden="1" x14ac:dyDescent="0.2">
      <c r="A152" s="14"/>
      <c r="B152" s="9"/>
      <c r="C152" s="8" t="s">
        <v>312</v>
      </c>
      <c r="D152" s="15"/>
      <c r="E152" s="15"/>
      <c r="F152" s="15"/>
      <c r="G152" s="15"/>
      <c r="H152" s="15"/>
      <c r="I152" s="28" t="e">
        <f t="shared" si="13"/>
        <v>#DIV/0!</v>
      </c>
    </row>
    <row r="153" spans="1:9" ht="86.25" hidden="1" x14ac:dyDescent="0.2">
      <c r="A153" s="14"/>
      <c r="B153" s="9"/>
      <c r="C153" s="8" t="s">
        <v>313</v>
      </c>
      <c r="D153" s="15"/>
      <c r="E153" s="15"/>
      <c r="F153" s="15"/>
      <c r="G153" s="15"/>
      <c r="H153" s="15"/>
      <c r="I153" s="28" t="e">
        <f t="shared" si="13"/>
        <v>#DIV/0!</v>
      </c>
    </row>
    <row r="154" spans="1:9" ht="103.5" hidden="1" x14ac:dyDescent="0.2">
      <c r="A154" s="14"/>
      <c r="B154" s="9"/>
      <c r="C154" s="8" t="s">
        <v>314</v>
      </c>
      <c r="D154" s="15"/>
      <c r="E154" s="15"/>
      <c r="F154" s="15"/>
      <c r="G154" s="15"/>
      <c r="H154" s="15"/>
      <c r="I154" s="28" t="e">
        <f t="shared" si="13"/>
        <v>#DIV/0!</v>
      </c>
    </row>
    <row r="155" spans="1:9" ht="103.5" hidden="1" x14ac:dyDescent="0.2">
      <c r="A155" s="14"/>
      <c r="B155" s="9"/>
      <c r="C155" s="8" t="s">
        <v>315</v>
      </c>
      <c r="D155" s="15"/>
      <c r="E155" s="15"/>
      <c r="F155" s="15"/>
      <c r="G155" s="15"/>
      <c r="H155" s="15"/>
      <c r="I155" s="28" t="e">
        <f t="shared" si="13"/>
        <v>#DIV/0!</v>
      </c>
    </row>
    <row r="156" spans="1:9" ht="86.25" hidden="1" x14ac:dyDescent="0.2">
      <c r="A156" s="14"/>
      <c r="B156" s="9"/>
      <c r="C156" s="8" t="s">
        <v>316</v>
      </c>
      <c r="D156" s="15"/>
      <c r="E156" s="15"/>
      <c r="F156" s="15"/>
      <c r="G156" s="15"/>
      <c r="H156" s="15"/>
      <c r="I156" s="28" t="e">
        <f t="shared" si="13"/>
        <v>#DIV/0!</v>
      </c>
    </row>
    <row r="157" spans="1:9" ht="120.75" hidden="1" x14ac:dyDescent="0.2">
      <c r="A157" s="14"/>
      <c r="B157" s="9"/>
      <c r="C157" s="8" t="s">
        <v>317</v>
      </c>
      <c r="D157" s="15"/>
      <c r="E157" s="15"/>
      <c r="F157" s="15"/>
      <c r="G157" s="15"/>
      <c r="H157" s="15"/>
      <c r="I157" s="28" t="e">
        <f t="shared" si="13"/>
        <v>#DIV/0!</v>
      </c>
    </row>
    <row r="158" spans="1:9" ht="120.75" hidden="1" x14ac:dyDescent="0.2">
      <c r="A158" s="14"/>
      <c r="B158" s="9"/>
      <c r="C158" s="8" t="s">
        <v>318</v>
      </c>
      <c r="D158" s="15"/>
      <c r="E158" s="15"/>
      <c r="F158" s="15"/>
      <c r="G158" s="15"/>
      <c r="H158" s="15"/>
      <c r="I158" s="28" t="e">
        <f t="shared" si="13"/>
        <v>#DIV/0!</v>
      </c>
    </row>
    <row r="159" spans="1:9" ht="120.75" hidden="1" x14ac:dyDescent="0.2">
      <c r="A159" s="14"/>
      <c r="B159" s="9"/>
      <c r="C159" s="8" t="s">
        <v>463</v>
      </c>
      <c r="D159" s="15"/>
      <c r="E159" s="15"/>
      <c r="F159" s="15"/>
      <c r="G159" s="15"/>
      <c r="H159" s="15"/>
      <c r="I159" s="28" t="e">
        <f t="shared" si="13"/>
        <v>#DIV/0!</v>
      </c>
    </row>
    <row r="160" spans="1:9" ht="103.5" hidden="1" x14ac:dyDescent="0.2">
      <c r="A160" s="14"/>
      <c r="B160" s="9"/>
      <c r="C160" s="8" t="s">
        <v>319</v>
      </c>
      <c r="D160" s="15"/>
      <c r="E160" s="15"/>
      <c r="F160" s="15"/>
      <c r="G160" s="15"/>
      <c r="H160" s="15"/>
      <c r="I160" s="28" t="e">
        <f t="shared" si="13"/>
        <v>#DIV/0!</v>
      </c>
    </row>
    <row r="161" spans="1:9" ht="120.75" hidden="1" x14ac:dyDescent="0.2">
      <c r="A161" s="14"/>
      <c r="B161" s="9"/>
      <c r="C161" s="8" t="s">
        <v>321</v>
      </c>
      <c r="D161" s="15"/>
      <c r="E161" s="15"/>
      <c r="F161" s="15"/>
      <c r="G161" s="15"/>
      <c r="H161" s="15"/>
      <c r="I161" s="28" t="e">
        <f t="shared" si="13"/>
        <v>#DIV/0!</v>
      </c>
    </row>
    <row r="162" spans="1:9" ht="86.25" hidden="1" x14ac:dyDescent="0.2">
      <c r="A162" s="14"/>
      <c r="B162" s="9"/>
      <c r="C162" s="8" t="s">
        <v>320</v>
      </c>
      <c r="D162" s="15"/>
      <c r="E162" s="15"/>
      <c r="F162" s="15"/>
      <c r="G162" s="15"/>
      <c r="H162" s="15"/>
      <c r="I162" s="28" t="e">
        <f t="shared" si="13"/>
        <v>#DIV/0!</v>
      </c>
    </row>
    <row r="163" spans="1:9" ht="103.5" hidden="1" x14ac:dyDescent="0.2">
      <c r="A163" s="14"/>
      <c r="B163" s="9"/>
      <c r="C163" s="8" t="s">
        <v>464</v>
      </c>
      <c r="D163" s="15"/>
      <c r="E163" s="15"/>
      <c r="F163" s="15"/>
      <c r="G163" s="15"/>
      <c r="H163" s="15"/>
      <c r="I163" s="28" t="e">
        <f t="shared" si="13"/>
        <v>#DIV/0!</v>
      </c>
    </row>
    <row r="164" spans="1:9" ht="103.5" hidden="1" x14ac:dyDescent="0.2">
      <c r="A164" s="14"/>
      <c r="B164" s="9"/>
      <c r="C164" s="8" t="s">
        <v>322</v>
      </c>
      <c r="D164" s="15"/>
      <c r="E164" s="15"/>
      <c r="F164" s="15"/>
      <c r="G164" s="15"/>
      <c r="H164" s="15"/>
      <c r="I164" s="28" t="e">
        <f t="shared" si="13"/>
        <v>#DIV/0!</v>
      </c>
    </row>
    <row r="165" spans="1:9" ht="103.5" hidden="1" x14ac:dyDescent="0.2">
      <c r="A165" s="14"/>
      <c r="B165" s="9"/>
      <c r="C165" s="8" t="s">
        <v>323</v>
      </c>
      <c r="D165" s="15"/>
      <c r="E165" s="15"/>
      <c r="F165" s="15"/>
      <c r="G165" s="15"/>
      <c r="H165" s="15"/>
      <c r="I165" s="28" t="e">
        <f t="shared" si="13"/>
        <v>#DIV/0!</v>
      </c>
    </row>
    <row r="166" spans="1:9" ht="103.5" hidden="1" x14ac:dyDescent="0.2">
      <c r="A166" s="14"/>
      <c r="B166" s="9"/>
      <c r="C166" s="8" t="s">
        <v>324</v>
      </c>
      <c r="D166" s="15"/>
      <c r="E166" s="15"/>
      <c r="F166" s="15"/>
      <c r="G166" s="15"/>
      <c r="H166" s="15"/>
      <c r="I166" s="28" t="e">
        <f t="shared" si="13"/>
        <v>#DIV/0!</v>
      </c>
    </row>
    <row r="167" spans="1:9" ht="120.75" hidden="1" x14ac:dyDescent="0.2">
      <c r="A167" s="14"/>
      <c r="B167" s="9"/>
      <c r="C167" s="8" t="s">
        <v>104</v>
      </c>
      <c r="D167" s="15"/>
      <c r="E167" s="15"/>
      <c r="F167" s="15"/>
      <c r="G167" s="15"/>
      <c r="H167" s="15"/>
      <c r="I167" s="28" t="e">
        <f t="shared" si="13"/>
        <v>#DIV/0!</v>
      </c>
    </row>
    <row r="168" spans="1:9" ht="120.75" hidden="1" x14ac:dyDescent="0.2">
      <c r="A168" s="14"/>
      <c r="B168" s="9"/>
      <c r="C168" s="8" t="s">
        <v>88</v>
      </c>
      <c r="D168" s="15"/>
      <c r="E168" s="15"/>
      <c r="F168" s="15"/>
      <c r="G168" s="15"/>
      <c r="H168" s="15"/>
      <c r="I168" s="28" t="e">
        <f>D168/G168</f>
        <v>#DIV/0!</v>
      </c>
    </row>
    <row r="169" spans="1:9" ht="86.25" hidden="1" x14ac:dyDescent="0.2">
      <c r="A169" s="14"/>
      <c r="B169" s="9"/>
      <c r="C169" s="8" t="s">
        <v>31</v>
      </c>
      <c r="D169" s="15"/>
      <c r="E169" s="15"/>
      <c r="F169" s="15"/>
      <c r="G169" s="15"/>
      <c r="H169" s="15"/>
      <c r="I169" s="28" t="e">
        <f t="shared" ref="I169:I186" si="14">G169/D169</f>
        <v>#DIV/0!</v>
      </c>
    </row>
    <row r="170" spans="1:9" ht="86.25" hidden="1" x14ac:dyDescent="0.2">
      <c r="A170" s="14"/>
      <c r="B170" s="9"/>
      <c r="C170" s="8" t="s">
        <v>98</v>
      </c>
      <c r="D170" s="15"/>
      <c r="E170" s="15"/>
      <c r="F170" s="15"/>
      <c r="G170" s="15"/>
      <c r="H170" s="15"/>
      <c r="I170" s="28" t="e">
        <f t="shared" si="14"/>
        <v>#DIV/0!</v>
      </c>
    </row>
    <row r="171" spans="1:9" ht="138" hidden="1" x14ac:dyDescent="0.2">
      <c r="A171" s="14"/>
      <c r="B171" s="9"/>
      <c r="C171" s="8" t="s">
        <v>106</v>
      </c>
      <c r="D171" s="15"/>
      <c r="E171" s="15"/>
      <c r="F171" s="15"/>
      <c r="G171" s="15"/>
      <c r="H171" s="15"/>
      <c r="I171" s="28" t="e">
        <f t="shared" si="14"/>
        <v>#DIV/0!</v>
      </c>
    </row>
    <row r="172" spans="1:9" ht="34.5" hidden="1" x14ac:dyDescent="0.2">
      <c r="A172" s="14"/>
      <c r="B172" s="9"/>
      <c r="C172" s="8" t="s">
        <v>39</v>
      </c>
      <c r="D172" s="15"/>
      <c r="E172" s="15"/>
      <c r="F172" s="15"/>
      <c r="G172" s="15"/>
      <c r="H172" s="15"/>
      <c r="I172" s="28" t="e">
        <f t="shared" si="14"/>
        <v>#DIV/0!</v>
      </c>
    </row>
    <row r="173" spans="1:9" ht="126.75" hidden="1" customHeight="1" x14ac:dyDescent="0.2">
      <c r="A173" s="14"/>
      <c r="B173" s="9"/>
      <c r="C173" s="8" t="s">
        <v>748</v>
      </c>
      <c r="D173" s="15"/>
      <c r="E173" s="15"/>
      <c r="F173" s="15"/>
      <c r="G173" s="15"/>
      <c r="H173" s="15"/>
      <c r="I173" s="28" t="e">
        <f t="shared" si="14"/>
        <v>#DIV/0!</v>
      </c>
    </row>
    <row r="174" spans="1:9" ht="103.5" hidden="1" x14ac:dyDescent="0.2">
      <c r="A174" s="14"/>
      <c r="B174" s="9"/>
      <c r="C174" s="8" t="s">
        <v>750</v>
      </c>
      <c r="D174" s="15"/>
      <c r="E174" s="15"/>
      <c r="F174" s="15"/>
      <c r="G174" s="15"/>
      <c r="H174" s="15"/>
      <c r="I174" s="28" t="e">
        <f t="shared" si="14"/>
        <v>#DIV/0!</v>
      </c>
    </row>
    <row r="175" spans="1:9" ht="138" hidden="1" x14ac:dyDescent="0.2">
      <c r="A175" s="14"/>
      <c r="B175" s="9"/>
      <c r="C175" s="8" t="s">
        <v>751</v>
      </c>
      <c r="D175" s="15"/>
      <c r="E175" s="15"/>
      <c r="F175" s="15"/>
      <c r="G175" s="15"/>
      <c r="H175" s="15"/>
      <c r="I175" s="28" t="e">
        <f t="shared" si="14"/>
        <v>#DIV/0!</v>
      </c>
    </row>
    <row r="176" spans="1:9" ht="138" hidden="1" x14ac:dyDescent="0.2">
      <c r="A176" s="14"/>
      <c r="B176" s="9"/>
      <c r="C176" s="8" t="s">
        <v>752</v>
      </c>
      <c r="D176" s="15"/>
      <c r="E176" s="15"/>
      <c r="F176" s="15"/>
      <c r="G176" s="15"/>
      <c r="H176" s="15"/>
      <c r="I176" s="28" t="e">
        <f t="shared" si="14"/>
        <v>#DIV/0!</v>
      </c>
    </row>
    <row r="177" spans="1:9" ht="132.75" hidden="1" customHeight="1" x14ac:dyDescent="0.2">
      <c r="A177" s="14"/>
      <c r="B177" s="9"/>
      <c r="C177" s="8" t="s">
        <v>754</v>
      </c>
      <c r="D177" s="15"/>
      <c r="E177" s="15"/>
      <c r="F177" s="15"/>
      <c r="G177" s="15"/>
      <c r="H177" s="15"/>
      <c r="I177" s="28" t="e">
        <f t="shared" si="14"/>
        <v>#DIV/0!</v>
      </c>
    </row>
    <row r="178" spans="1:9" ht="103.5" hidden="1" x14ac:dyDescent="0.2">
      <c r="A178" s="14"/>
      <c r="B178" s="9"/>
      <c r="C178" s="8" t="s">
        <v>755</v>
      </c>
      <c r="D178" s="15"/>
      <c r="E178" s="15"/>
      <c r="F178" s="15"/>
      <c r="G178" s="15"/>
      <c r="H178" s="15"/>
      <c r="I178" s="28" t="e">
        <f t="shared" si="14"/>
        <v>#DIV/0!</v>
      </c>
    </row>
    <row r="179" spans="1:9" ht="120.75" hidden="1" x14ac:dyDescent="0.2">
      <c r="A179" s="14"/>
      <c r="B179" s="9"/>
      <c r="C179" s="8" t="s">
        <v>756</v>
      </c>
      <c r="D179" s="15"/>
      <c r="E179" s="15"/>
      <c r="F179" s="15"/>
      <c r="G179" s="15"/>
      <c r="H179" s="15"/>
      <c r="I179" s="28" t="e">
        <f t="shared" si="14"/>
        <v>#DIV/0!</v>
      </c>
    </row>
    <row r="180" spans="1:9" hidden="1" x14ac:dyDescent="0.2"/>
    <row r="181" spans="1:9" ht="120.75" hidden="1" x14ac:dyDescent="0.2">
      <c r="A181" s="14"/>
      <c r="B181" s="9"/>
      <c r="C181" s="8" t="s">
        <v>758</v>
      </c>
      <c r="D181" s="15"/>
      <c r="E181" s="15"/>
      <c r="F181" s="15"/>
      <c r="G181" s="15"/>
      <c r="H181" s="15"/>
      <c r="I181" s="28" t="e">
        <f t="shared" si="14"/>
        <v>#DIV/0!</v>
      </c>
    </row>
    <row r="182" spans="1:9" ht="103.5" hidden="1" x14ac:dyDescent="0.2">
      <c r="A182" s="14"/>
      <c r="B182" s="9"/>
      <c r="C182" s="8" t="s">
        <v>763</v>
      </c>
      <c r="D182" s="15"/>
      <c r="E182" s="15"/>
      <c r="F182" s="15"/>
      <c r="G182" s="15"/>
      <c r="H182" s="15"/>
      <c r="I182" s="28" t="e">
        <f t="shared" si="14"/>
        <v>#DIV/0!</v>
      </c>
    </row>
    <row r="183" spans="1:9" ht="138" hidden="1" x14ac:dyDescent="0.2">
      <c r="A183" s="14"/>
      <c r="B183" s="9"/>
      <c r="C183" s="8" t="s">
        <v>766</v>
      </c>
      <c r="D183" s="15"/>
      <c r="E183" s="15"/>
      <c r="F183" s="15"/>
      <c r="G183" s="15"/>
      <c r="H183" s="15"/>
      <c r="I183" s="28" t="e">
        <f t="shared" si="14"/>
        <v>#DIV/0!</v>
      </c>
    </row>
    <row r="184" spans="1:9" ht="103.5" hidden="1" x14ac:dyDescent="0.2">
      <c r="A184" s="14"/>
      <c r="B184" s="9"/>
      <c r="C184" s="8" t="s">
        <v>767</v>
      </c>
      <c r="D184" s="15"/>
      <c r="E184" s="15"/>
      <c r="F184" s="15"/>
      <c r="G184" s="15"/>
      <c r="H184" s="15"/>
      <c r="I184" s="28" t="e">
        <f t="shared" si="14"/>
        <v>#DIV/0!</v>
      </c>
    </row>
    <row r="185" spans="1:9" ht="120.75" hidden="1" x14ac:dyDescent="0.2">
      <c r="A185" s="14"/>
      <c r="B185" s="9"/>
      <c r="C185" s="8" t="s">
        <v>770</v>
      </c>
      <c r="D185" s="15"/>
      <c r="E185" s="15"/>
      <c r="F185" s="15"/>
      <c r="G185" s="15"/>
      <c r="H185" s="15"/>
      <c r="I185" s="28" t="e">
        <f t="shared" si="14"/>
        <v>#DIV/0!</v>
      </c>
    </row>
    <row r="186" spans="1:9" ht="120.75" hidden="1" x14ac:dyDescent="0.2">
      <c r="A186" s="14"/>
      <c r="B186" s="9"/>
      <c r="C186" s="8" t="s">
        <v>773</v>
      </c>
      <c r="D186" s="15"/>
      <c r="E186" s="15"/>
      <c r="F186" s="15"/>
      <c r="G186" s="15"/>
      <c r="H186" s="15"/>
      <c r="I186" s="28" t="e">
        <f t="shared" si="14"/>
        <v>#DIV/0!</v>
      </c>
    </row>
    <row r="187" spans="1:9" ht="138" hidden="1" x14ac:dyDescent="0.2">
      <c r="A187" s="14"/>
      <c r="B187" s="9"/>
      <c r="C187" s="8" t="s">
        <v>776</v>
      </c>
      <c r="D187" s="15"/>
      <c r="E187" s="15"/>
      <c r="F187" s="15"/>
      <c r="G187" s="15"/>
      <c r="H187" s="15"/>
      <c r="I187" s="28" t="e">
        <f t="shared" ref="I187:I191" si="15">G187/D187</f>
        <v>#DIV/0!</v>
      </c>
    </row>
    <row r="188" spans="1:9" ht="86.25" hidden="1" x14ac:dyDescent="0.2">
      <c r="A188" s="14"/>
      <c r="B188" s="9"/>
      <c r="C188" s="8" t="s">
        <v>781</v>
      </c>
      <c r="D188" s="15"/>
      <c r="E188" s="15"/>
      <c r="F188" s="15"/>
      <c r="G188" s="15"/>
      <c r="H188" s="15"/>
      <c r="I188" s="28" t="e">
        <f t="shared" si="15"/>
        <v>#DIV/0!</v>
      </c>
    </row>
    <row r="189" spans="1:9" ht="138" hidden="1" x14ac:dyDescent="0.2">
      <c r="A189" s="14"/>
      <c r="B189" s="9"/>
      <c r="C189" s="8" t="s">
        <v>784</v>
      </c>
      <c r="D189" s="15"/>
      <c r="E189" s="15"/>
      <c r="F189" s="15"/>
      <c r="G189" s="15"/>
      <c r="H189" s="15"/>
      <c r="I189" s="28" t="e">
        <f t="shared" si="15"/>
        <v>#DIV/0!</v>
      </c>
    </row>
    <row r="190" spans="1:9" ht="120.75" hidden="1" x14ac:dyDescent="0.2">
      <c r="A190" s="14"/>
      <c r="B190" s="9"/>
      <c r="C190" s="8" t="s">
        <v>785</v>
      </c>
      <c r="D190" s="15"/>
      <c r="E190" s="15"/>
      <c r="F190" s="15"/>
      <c r="G190" s="15"/>
      <c r="H190" s="15"/>
      <c r="I190" s="28" t="e">
        <f t="shared" si="15"/>
        <v>#DIV/0!</v>
      </c>
    </row>
    <row r="191" spans="1:9" ht="103.5" hidden="1" x14ac:dyDescent="0.2">
      <c r="A191" s="14"/>
      <c r="B191" s="9"/>
      <c r="C191" s="8" t="s">
        <v>798</v>
      </c>
      <c r="D191" s="15"/>
      <c r="E191" s="15"/>
      <c r="F191" s="15"/>
      <c r="G191" s="15"/>
      <c r="H191" s="15"/>
      <c r="I191" s="28" t="e">
        <f t="shared" si="15"/>
        <v>#DIV/0!</v>
      </c>
    </row>
    <row r="192" spans="1:9" ht="29.25" customHeight="1" x14ac:dyDescent="0.2">
      <c r="A192" s="226" t="s">
        <v>25</v>
      </c>
      <c r="B192" s="227"/>
      <c r="C192" s="228"/>
      <c r="D192" s="89">
        <f>+D193+D197+D199</f>
        <v>18155027</v>
      </c>
      <c r="E192" s="89">
        <f t="shared" ref="E192:H192" si="16">+E193+E197+E199</f>
        <v>15547899.149999999</v>
      </c>
      <c r="F192" s="89">
        <f t="shared" si="16"/>
        <v>2607127.85</v>
      </c>
      <c r="G192" s="89">
        <f t="shared" si="16"/>
        <v>6390669.0199999986</v>
      </c>
      <c r="H192" s="89">
        <f t="shared" si="16"/>
        <v>11764357.98</v>
      </c>
      <c r="I192" s="90">
        <f t="shared" ref="I192:I207" si="17">G192/D192</f>
        <v>0.35200548145700905</v>
      </c>
    </row>
    <row r="193" spans="1:11" x14ac:dyDescent="0.2">
      <c r="A193" s="195" t="s">
        <v>1044</v>
      </c>
      <c r="B193" s="195"/>
      <c r="C193" s="195"/>
      <c r="D193" s="91">
        <f>SUM(D194:D196)</f>
        <v>16120710</v>
      </c>
      <c r="E193" s="91">
        <f t="shared" ref="E193:H193" si="18">SUM(E194:E196)</f>
        <v>15407026.949999999</v>
      </c>
      <c r="F193" s="91">
        <f t="shared" si="18"/>
        <v>713683.05000000028</v>
      </c>
      <c r="G193" s="91">
        <f t="shared" si="18"/>
        <v>6272930.7299999986</v>
      </c>
      <c r="H193" s="91">
        <f t="shared" si="18"/>
        <v>9847779.2699999996</v>
      </c>
      <c r="I193" s="92">
        <f t="shared" si="17"/>
        <v>0.38912248467964494</v>
      </c>
    </row>
    <row r="194" spans="1:11" ht="63.75" x14ac:dyDescent="0.2">
      <c r="A194" s="93">
        <f>SUBTOTAL(103,$B$8:B194)+287</f>
        <v>371</v>
      </c>
      <c r="B194" s="110">
        <v>4</v>
      </c>
      <c r="C194" s="128" t="s">
        <v>220</v>
      </c>
      <c r="D194" s="101">
        <f>[1]AA!D5</f>
        <v>10918999</v>
      </c>
      <c r="E194" s="101">
        <f>[1]AA!E5</f>
        <v>10614681.809999999</v>
      </c>
      <c r="F194" s="101">
        <f>[1]AA!F5</f>
        <v>304317.19000000024</v>
      </c>
      <c r="G194" s="101">
        <f>[1]AA!G5</f>
        <v>4222670.8699999992</v>
      </c>
      <c r="H194" s="101">
        <f>[1]AA!H5</f>
        <v>6696328.129999999</v>
      </c>
      <c r="I194" s="107">
        <f t="shared" si="17"/>
        <v>0.38672692157953298</v>
      </c>
    </row>
    <row r="195" spans="1:11" ht="63.75" x14ac:dyDescent="0.2">
      <c r="A195" s="93">
        <f>SUBTOTAL(103,$B$8:B195)+287</f>
        <v>372</v>
      </c>
      <c r="B195" s="110">
        <v>6</v>
      </c>
      <c r="C195" s="128" t="s">
        <v>528</v>
      </c>
      <c r="D195" s="101">
        <f>[1]AA!D7</f>
        <v>19658</v>
      </c>
      <c r="E195" s="101">
        <f>[1]AA!E7</f>
        <v>3612</v>
      </c>
      <c r="F195" s="101">
        <f>[1]AA!F7</f>
        <v>16046</v>
      </c>
      <c r="G195" s="101">
        <f>[1]AA!G7</f>
        <v>0</v>
      </c>
      <c r="H195" s="101">
        <f>[1]AA!H7</f>
        <v>19658</v>
      </c>
      <c r="I195" s="107">
        <f t="shared" si="17"/>
        <v>0</v>
      </c>
    </row>
    <row r="196" spans="1:11" ht="63.75" x14ac:dyDescent="0.2">
      <c r="A196" s="93">
        <f>SUBTOTAL(103,$B$8:B196)+287</f>
        <v>373</v>
      </c>
      <c r="B196" s="110">
        <v>303</v>
      </c>
      <c r="C196" s="128" t="s">
        <v>221</v>
      </c>
      <c r="D196" s="101">
        <f>[1]AA!D253</f>
        <v>5182053</v>
      </c>
      <c r="E196" s="101">
        <f>[1]AA!E253</f>
        <v>4788733.1399999997</v>
      </c>
      <c r="F196" s="101">
        <f>[1]AA!F253</f>
        <v>393319.8600000001</v>
      </c>
      <c r="G196" s="101">
        <f>[1]AA!G253</f>
        <v>2050259.8599999999</v>
      </c>
      <c r="H196" s="101">
        <f>[1]AA!H253</f>
        <v>3131793.1399999997</v>
      </c>
      <c r="I196" s="107">
        <f t="shared" si="17"/>
        <v>0.39564625448639756</v>
      </c>
    </row>
    <row r="197" spans="1:11" x14ac:dyDescent="0.2">
      <c r="A197" s="195" t="s">
        <v>1049</v>
      </c>
      <c r="B197" s="195"/>
      <c r="C197" s="195"/>
      <c r="D197" s="91">
        <f>SUM(D198:D198)</f>
        <v>1800000</v>
      </c>
      <c r="E197" s="91">
        <f t="shared" ref="E197:H197" si="19">SUM(E198:E198)</f>
        <v>26893</v>
      </c>
      <c r="F197" s="91">
        <f t="shared" si="19"/>
        <v>1773107</v>
      </c>
      <c r="G197" s="91">
        <f t="shared" si="19"/>
        <v>26892.69</v>
      </c>
      <c r="H197" s="91">
        <f t="shared" si="19"/>
        <v>1773107.31</v>
      </c>
      <c r="I197" s="92">
        <f t="shared" si="17"/>
        <v>1.4940383333333333E-2</v>
      </c>
    </row>
    <row r="198" spans="1:11" ht="38.25" x14ac:dyDescent="0.2">
      <c r="A198" s="93">
        <f>SUBTOTAL(103,$B$8:B198)+287</f>
        <v>374</v>
      </c>
      <c r="B198" s="110">
        <v>5</v>
      </c>
      <c r="C198" s="128" t="s">
        <v>894</v>
      </c>
      <c r="D198" s="101">
        <f>[1]AA!D6</f>
        <v>1800000</v>
      </c>
      <c r="E198" s="101">
        <f>[1]AA!E6</f>
        <v>26893</v>
      </c>
      <c r="F198" s="101">
        <f>[1]AA!F6</f>
        <v>1773107</v>
      </c>
      <c r="G198" s="101">
        <f>[1]AA!G6</f>
        <v>26892.69</v>
      </c>
      <c r="H198" s="101">
        <f>[1]AA!H6</f>
        <v>1773107.31</v>
      </c>
      <c r="I198" s="107">
        <f t="shared" si="17"/>
        <v>1.4940383333333333E-2</v>
      </c>
      <c r="K198" s="26"/>
    </row>
    <row r="199" spans="1:11" x14ac:dyDescent="0.2">
      <c r="A199" s="195" t="s">
        <v>1050</v>
      </c>
      <c r="B199" s="195"/>
      <c r="C199" s="195"/>
      <c r="D199" s="91">
        <f>SUM(D200:D206)</f>
        <v>234317</v>
      </c>
      <c r="E199" s="91">
        <f t="shared" ref="E199:H199" si="20">SUM(E200:E206)</f>
        <v>113979.2</v>
      </c>
      <c r="F199" s="91">
        <f t="shared" si="20"/>
        <v>120337.8</v>
      </c>
      <c r="G199" s="91">
        <f t="shared" si="20"/>
        <v>90845.599999999991</v>
      </c>
      <c r="H199" s="91">
        <f t="shared" si="20"/>
        <v>143471.40000000002</v>
      </c>
      <c r="I199" s="92">
        <f t="shared" si="17"/>
        <v>0.38770383710955669</v>
      </c>
    </row>
    <row r="200" spans="1:11" ht="63.75" x14ac:dyDescent="0.2">
      <c r="A200" s="93">
        <f>SUBTOTAL(103,$B$8:B200)+287</f>
        <v>375</v>
      </c>
      <c r="B200" s="94">
        <v>7</v>
      </c>
      <c r="C200" s="127" t="s">
        <v>150</v>
      </c>
      <c r="D200" s="101">
        <f>[1]AA!D8</f>
        <v>32099</v>
      </c>
      <c r="E200" s="101">
        <f>[1]AA!E8</f>
        <v>0</v>
      </c>
      <c r="F200" s="101">
        <f>[1]AA!F8</f>
        <v>32099</v>
      </c>
      <c r="G200" s="101">
        <f>[1]AA!G8</f>
        <v>0</v>
      </c>
      <c r="H200" s="101">
        <f>[1]AA!H8</f>
        <v>32099</v>
      </c>
      <c r="I200" s="107">
        <f t="shared" si="17"/>
        <v>0</v>
      </c>
    </row>
    <row r="201" spans="1:11" ht="63.75" x14ac:dyDescent="0.2">
      <c r="A201" s="93">
        <f>SUBTOTAL(103,$B$8:B201)+287</f>
        <v>376</v>
      </c>
      <c r="B201" s="110">
        <v>152</v>
      </c>
      <c r="C201" s="128" t="s">
        <v>247</v>
      </c>
      <c r="D201" s="101">
        <f>[1]AA!D132</f>
        <v>30000</v>
      </c>
      <c r="E201" s="101">
        <f>[1]AA!E132</f>
        <v>0</v>
      </c>
      <c r="F201" s="101">
        <f>[1]AA!F132</f>
        <v>30000</v>
      </c>
      <c r="G201" s="101">
        <f>[1]AA!G132</f>
        <v>0</v>
      </c>
      <c r="H201" s="101">
        <f>[1]AA!H132</f>
        <v>30000</v>
      </c>
      <c r="I201" s="107">
        <f t="shared" si="17"/>
        <v>0</v>
      </c>
    </row>
    <row r="202" spans="1:11" ht="38.25" x14ac:dyDescent="0.2">
      <c r="A202" s="93">
        <f>SUBTOTAL(103,$B$8:B202)+287</f>
        <v>377</v>
      </c>
      <c r="B202" s="110">
        <v>154</v>
      </c>
      <c r="C202" s="128" t="s">
        <v>481</v>
      </c>
      <c r="D202" s="101">
        <f>[1]AA!D134</f>
        <v>90586</v>
      </c>
      <c r="E202" s="101">
        <f>[1]AA!E134</f>
        <v>90435.199999999997</v>
      </c>
      <c r="F202" s="101">
        <f>[1]AA!F134</f>
        <v>150.80000000000291</v>
      </c>
      <c r="G202" s="101">
        <f>[1]AA!G134</f>
        <v>78301.599999999991</v>
      </c>
      <c r="H202" s="101">
        <f>[1]AA!H134</f>
        <v>12284.400000000009</v>
      </c>
      <c r="I202" s="107">
        <f t="shared" si="17"/>
        <v>0.8643896407833439</v>
      </c>
      <c r="K202" s="26"/>
    </row>
    <row r="203" spans="1:11" ht="63.75" hidden="1" x14ac:dyDescent="0.2">
      <c r="A203" s="93">
        <f>SUBTOTAL(103,$B$8:B203)+287</f>
        <v>377</v>
      </c>
      <c r="B203" s="110">
        <v>250</v>
      </c>
      <c r="C203" s="128" t="s">
        <v>290</v>
      </c>
      <c r="D203" s="101">
        <f>[1]AA!D215</f>
        <v>0</v>
      </c>
      <c r="E203" s="101">
        <f>[1]AA!E215</f>
        <v>0</v>
      </c>
      <c r="F203" s="101">
        <f>[1]AA!F215</f>
        <v>0</v>
      </c>
      <c r="G203" s="101">
        <f>[1]AA!G215</f>
        <v>0</v>
      </c>
      <c r="H203" s="101">
        <f>[1]AA!H215</f>
        <v>0</v>
      </c>
      <c r="I203" s="107" t="e">
        <f t="shared" si="17"/>
        <v>#DIV/0!</v>
      </c>
      <c r="K203" s="26"/>
    </row>
    <row r="204" spans="1:11" ht="51" hidden="1" x14ac:dyDescent="0.2">
      <c r="A204" s="93">
        <f>SUBTOTAL(103,$B$8:B204)+287</f>
        <v>377</v>
      </c>
      <c r="B204" s="110">
        <v>253</v>
      </c>
      <c r="C204" s="128" t="s">
        <v>291</v>
      </c>
      <c r="D204" s="101">
        <f>[1]AA!D218</f>
        <v>0</v>
      </c>
      <c r="E204" s="101">
        <f>[1]AA!E218</f>
        <v>0</v>
      </c>
      <c r="F204" s="101">
        <f>[1]AA!F218</f>
        <v>0</v>
      </c>
      <c r="G204" s="101">
        <f>[1]AA!G218</f>
        <v>0</v>
      </c>
      <c r="H204" s="101">
        <f>[1]AA!H218</f>
        <v>0</v>
      </c>
      <c r="I204" s="107" t="e">
        <f t="shared" si="17"/>
        <v>#DIV/0!</v>
      </c>
      <c r="K204" s="26"/>
    </row>
    <row r="205" spans="1:11" ht="25.5" x14ac:dyDescent="0.2">
      <c r="A205" s="93">
        <f>SUBTOTAL(103,$B$8:B205)+287</f>
        <v>378</v>
      </c>
      <c r="B205" s="110">
        <v>465</v>
      </c>
      <c r="C205" s="128" t="s">
        <v>248</v>
      </c>
      <c r="D205" s="101">
        <f>[1]AA!D389</f>
        <v>70632</v>
      </c>
      <c r="E205" s="101">
        <f>[1]AA!E389</f>
        <v>12544</v>
      </c>
      <c r="F205" s="101">
        <f>[1]AA!F389</f>
        <v>58088</v>
      </c>
      <c r="G205" s="101">
        <f>[1]AA!G389</f>
        <v>12544</v>
      </c>
      <c r="H205" s="101">
        <f>[1]AA!H389</f>
        <v>58088</v>
      </c>
      <c r="I205" s="107">
        <f>G205/D205</f>
        <v>0.17759655680144976</v>
      </c>
      <c r="K205" s="26"/>
    </row>
    <row r="206" spans="1:11" ht="38.25" x14ac:dyDescent="0.2">
      <c r="A206" s="93">
        <f>SUBTOTAL(103,$B$8:B206)+287</f>
        <v>379</v>
      </c>
      <c r="B206" s="110">
        <v>471</v>
      </c>
      <c r="C206" s="128" t="s">
        <v>1070</v>
      </c>
      <c r="D206" s="101">
        <f>[1]AA!D391</f>
        <v>11000</v>
      </c>
      <c r="E206" s="101">
        <f>[1]AA!E391</f>
        <v>11000</v>
      </c>
      <c r="F206" s="101">
        <f>[1]AA!F391</f>
        <v>0</v>
      </c>
      <c r="G206" s="101">
        <f>[1]AA!G391</f>
        <v>0</v>
      </c>
      <c r="H206" s="101">
        <f>[1]AA!H391</f>
        <v>11000</v>
      </c>
      <c r="I206" s="107">
        <f t="shared" si="17"/>
        <v>0</v>
      </c>
      <c r="K206" s="26"/>
    </row>
    <row r="207" spans="1:11" ht="155.25" hidden="1" x14ac:dyDescent="0.2">
      <c r="A207" s="14">
        <f>SUBTOTAL(103,$B$8:B207)+241</f>
        <v>333</v>
      </c>
      <c r="B207" s="9"/>
      <c r="C207" s="8" t="s">
        <v>341</v>
      </c>
      <c r="D207" s="15"/>
      <c r="E207" s="15"/>
      <c r="F207" s="15"/>
      <c r="G207" s="15"/>
      <c r="H207" s="15"/>
      <c r="I207" s="28" t="e">
        <f t="shared" si="17"/>
        <v>#DIV/0!</v>
      </c>
    </row>
    <row r="208" spans="1:11" ht="86.25" hidden="1" x14ac:dyDescent="0.2">
      <c r="A208" s="14">
        <v>251</v>
      </c>
      <c r="B208" s="69"/>
      <c r="C208" s="8" t="s">
        <v>43</v>
      </c>
      <c r="D208" s="15"/>
      <c r="E208" s="15"/>
      <c r="F208" s="15"/>
      <c r="G208" s="15"/>
      <c r="H208" s="15"/>
      <c r="I208" s="28">
        <v>0</v>
      </c>
    </row>
    <row r="209" spans="1:9" ht="69" hidden="1" x14ac:dyDescent="0.2">
      <c r="A209" s="14">
        <v>252</v>
      </c>
      <c r="B209" s="69"/>
      <c r="C209" s="8" t="s">
        <v>111</v>
      </c>
      <c r="D209" s="15"/>
      <c r="E209" s="15"/>
      <c r="F209" s="15"/>
      <c r="G209" s="15"/>
      <c r="H209" s="15"/>
      <c r="I209" s="28">
        <v>0</v>
      </c>
    </row>
    <row r="210" spans="1:9" ht="155.25" hidden="1" x14ac:dyDescent="0.2">
      <c r="A210" s="14">
        <v>254</v>
      </c>
      <c r="B210" s="69"/>
      <c r="C210" s="8" t="s">
        <v>112</v>
      </c>
      <c r="D210" s="15"/>
      <c r="E210" s="15"/>
      <c r="F210" s="15"/>
      <c r="G210" s="15"/>
      <c r="H210" s="15"/>
      <c r="I210" s="28">
        <v>0</v>
      </c>
    </row>
    <row r="211" spans="1:9" ht="86.25" hidden="1" x14ac:dyDescent="0.2">
      <c r="A211" s="14">
        <v>257</v>
      </c>
      <c r="B211" s="69"/>
      <c r="C211" s="8" t="s">
        <v>113</v>
      </c>
      <c r="D211" s="15"/>
      <c r="E211" s="15"/>
      <c r="F211" s="15"/>
      <c r="G211" s="15"/>
      <c r="H211" s="15"/>
      <c r="I211" s="29">
        <v>0</v>
      </c>
    </row>
    <row r="212" spans="1:9" ht="51.75" hidden="1" x14ac:dyDescent="0.2">
      <c r="A212" s="14">
        <v>258</v>
      </c>
      <c r="B212" s="69"/>
      <c r="C212" s="8" t="s">
        <v>207</v>
      </c>
      <c r="D212" s="15"/>
      <c r="E212" s="15"/>
      <c r="F212" s="15"/>
      <c r="G212" s="15"/>
      <c r="H212" s="15"/>
      <c r="I212" s="28">
        <v>0</v>
      </c>
    </row>
    <row r="213" spans="1:9" ht="86.25" hidden="1" x14ac:dyDescent="0.2">
      <c r="A213" s="14">
        <v>260</v>
      </c>
      <c r="B213" s="69"/>
      <c r="C213" s="8" t="s">
        <v>289</v>
      </c>
      <c r="D213" s="15"/>
      <c r="E213" s="15"/>
      <c r="F213" s="15"/>
      <c r="G213" s="15"/>
      <c r="H213" s="15"/>
      <c r="I213" s="28">
        <v>0</v>
      </c>
    </row>
    <row r="214" spans="1:9" ht="109.5" hidden="1" customHeight="1" x14ac:dyDescent="0.2">
      <c r="A214" s="14">
        <f>SUBTOTAL(103,$B$8:B214)+241</f>
        <v>333</v>
      </c>
      <c r="B214" s="9"/>
      <c r="C214" s="8" t="s">
        <v>499</v>
      </c>
      <c r="D214" s="15"/>
      <c r="E214" s="15"/>
      <c r="F214" s="15"/>
      <c r="G214" s="15"/>
      <c r="H214" s="15"/>
      <c r="I214" s="28" t="e">
        <f>G214/D214</f>
        <v>#DIV/0!</v>
      </c>
    </row>
    <row r="215" spans="1:9" ht="18" hidden="1" x14ac:dyDescent="0.2">
      <c r="A215" s="14">
        <f>SUBTOTAL(103,$B$8:B215)+241</f>
        <v>333</v>
      </c>
      <c r="B215" s="9"/>
      <c r="D215" s="15"/>
      <c r="E215" s="15"/>
      <c r="F215" s="15"/>
      <c r="G215" s="15"/>
      <c r="H215" s="15"/>
      <c r="I215" s="28" t="e">
        <f>G215/D215</f>
        <v>#DIV/0!</v>
      </c>
    </row>
    <row r="216" spans="1:9" hidden="1" x14ac:dyDescent="0.2"/>
    <row r="217" spans="1:9" x14ac:dyDescent="0.2">
      <c r="A217" s="183" t="s">
        <v>6</v>
      </c>
      <c r="B217" s="183"/>
      <c r="C217" s="183"/>
      <c r="D217" s="104">
        <f>+D218</f>
        <v>13183082</v>
      </c>
      <c r="E217" s="104">
        <f t="shared" ref="E217:H217" si="21">+E218</f>
        <v>12593403.850000001</v>
      </c>
      <c r="F217" s="104">
        <f t="shared" si="21"/>
        <v>589678.15</v>
      </c>
      <c r="G217" s="104">
        <f t="shared" si="21"/>
        <v>3272329.21</v>
      </c>
      <c r="H217" s="104">
        <f t="shared" si="21"/>
        <v>9910752.7899999991</v>
      </c>
      <c r="I217" s="105">
        <f>G217/D217</f>
        <v>0.24822186572153612</v>
      </c>
    </row>
    <row r="218" spans="1:9" x14ac:dyDescent="0.2">
      <c r="A218" s="195" t="s">
        <v>1048</v>
      </c>
      <c r="B218" s="195"/>
      <c r="C218" s="195"/>
      <c r="D218" s="91">
        <f>SUM(D219:D223)</f>
        <v>13183082</v>
      </c>
      <c r="E218" s="91">
        <f t="shared" ref="E218:H218" si="22">SUM(E219:E223)</f>
        <v>12593403.850000001</v>
      </c>
      <c r="F218" s="91">
        <f t="shared" si="22"/>
        <v>589678.15</v>
      </c>
      <c r="G218" s="91">
        <f t="shared" si="22"/>
        <v>3272329.21</v>
      </c>
      <c r="H218" s="91">
        <f t="shared" si="22"/>
        <v>9910752.7899999991</v>
      </c>
      <c r="I218" s="92">
        <f>G218/D218</f>
        <v>0.24822186572153612</v>
      </c>
    </row>
    <row r="219" spans="1:9" ht="69" hidden="1" x14ac:dyDescent="0.2">
      <c r="A219" s="14">
        <v>265</v>
      </c>
      <c r="B219" s="27"/>
      <c r="C219" s="8" t="s">
        <v>44</v>
      </c>
      <c r="D219" s="15"/>
      <c r="E219" s="15"/>
      <c r="F219" s="15">
        <f>D219-E219</f>
        <v>0</v>
      </c>
      <c r="G219" s="15"/>
      <c r="H219" s="15">
        <f>D219-G219</f>
        <v>0</v>
      </c>
      <c r="I219" s="28">
        <v>0</v>
      </c>
    </row>
    <row r="220" spans="1:9" ht="51.75" hidden="1" x14ac:dyDescent="0.2">
      <c r="A220" s="14">
        <f>SUBTOTAL(103,$B$8:B220)+241</f>
        <v>333</v>
      </c>
      <c r="B220" s="9"/>
      <c r="C220" s="8" t="s">
        <v>495</v>
      </c>
      <c r="D220" s="15"/>
      <c r="E220" s="15"/>
      <c r="F220" s="15"/>
      <c r="G220" s="15"/>
      <c r="H220" s="15"/>
      <c r="I220" s="28" t="e">
        <f t="shared" ref="I220:I227" si="23">G220/D220</f>
        <v>#DIV/0!</v>
      </c>
    </row>
    <row r="221" spans="1:9" ht="38.25" x14ac:dyDescent="0.2">
      <c r="A221" s="93">
        <f>SUBTOTAL(103,$B$8:B221)+287</f>
        <v>380</v>
      </c>
      <c r="B221" s="111" t="s">
        <v>915</v>
      </c>
      <c r="C221" s="128" t="s">
        <v>226</v>
      </c>
      <c r="D221" s="101">
        <f>[1]AA!D48</f>
        <v>550560</v>
      </c>
      <c r="E221" s="101">
        <f>[1]AA!E48</f>
        <v>519500</v>
      </c>
      <c r="F221" s="101">
        <f>[1]AA!F48</f>
        <v>31060</v>
      </c>
      <c r="G221" s="101">
        <f>[1]AA!G48</f>
        <v>517920.08999999997</v>
      </c>
      <c r="H221" s="101">
        <f>[1]AA!H48</f>
        <v>32639.910000000011</v>
      </c>
      <c r="I221" s="107">
        <f t="shared" si="23"/>
        <v>0.9407150719267654</v>
      </c>
    </row>
    <row r="222" spans="1:9" ht="38.25" x14ac:dyDescent="0.2">
      <c r="A222" s="93">
        <f>SUBTOTAL(103,$B$8:B222)+287</f>
        <v>381</v>
      </c>
      <c r="B222" s="111" t="s">
        <v>916</v>
      </c>
      <c r="C222" s="128" t="s">
        <v>460</v>
      </c>
      <c r="D222" s="101">
        <f>[1]AA!D49</f>
        <v>12532522</v>
      </c>
      <c r="E222" s="101">
        <f>[1]AA!E49</f>
        <v>12073903.850000001</v>
      </c>
      <c r="F222" s="101">
        <f>[1]AA!F49</f>
        <v>458618.15</v>
      </c>
      <c r="G222" s="101">
        <f>[1]AA!G49</f>
        <v>2754409.12</v>
      </c>
      <c r="H222" s="101">
        <f>[1]AA!H49</f>
        <v>9778112.879999999</v>
      </c>
      <c r="I222" s="107">
        <f t="shared" si="23"/>
        <v>0.21978091241331954</v>
      </c>
    </row>
    <row r="223" spans="1:9" ht="51" x14ac:dyDescent="0.2">
      <c r="A223" s="93">
        <f>SUBTOTAL(103,$B$8:B223)+287</f>
        <v>382</v>
      </c>
      <c r="B223" s="111" t="s">
        <v>917</v>
      </c>
      <c r="C223" s="128" t="s">
        <v>793</v>
      </c>
      <c r="D223" s="101">
        <f>[1]AA!D50</f>
        <v>100000</v>
      </c>
      <c r="E223" s="101">
        <f>[1]AA!E50</f>
        <v>0</v>
      </c>
      <c r="F223" s="101">
        <f>[1]AA!F50</f>
        <v>100000</v>
      </c>
      <c r="G223" s="101">
        <f>[1]AA!G50</f>
        <v>0</v>
      </c>
      <c r="H223" s="101">
        <f>[1]AA!H50</f>
        <v>100000</v>
      </c>
      <c r="I223" s="107">
        <f t="shared" si="23"/>
        <v>0</v>
      </c>
    </row>
    <row r="224" spans="1:9" x14ac:dyDescent="0.2">
      <c r="A224" s="183" t="s">
        <v>7</v>
      </c>
      <c r="B224" s="183"/>
      <c r="C224" s="183"/>
      <c r="D224" s="89">
        <f>+D225+D227</f>
        <v>5603985</v>
      </c>
      <c r="E224" s="89">
        <f t="shared" ref="E224:H224" si="24">+E225+E227</f>
        <v>4939052.3800000008</v>
      </c>
      <c r="F224" s="89">
        <f t="shared" si="24"/>
        <v>664932.62</v>
      </c>
      <c r="G224" s="89">
        <f t="shared" si="24"/>
        <v>2787616.1900000004</v>
      </c>
      <c r="H224" s="89">
        <f t="shared" si="24"/>
        <v>2816368.81</v>
      </c>
      <c r="I224" s="90">
        <f t="shared" si="23"/>
        <v>0.49743462732323523</v>
      </c>
    </row>
    <row r="225" spans="1:11" x14ac:dyDescent="0.2">
      <c r="A225" s="195" t="s">
        <v>1048</v>
      </c>
      <c r="B225" s="195"/>
      <c r="C225" s="195"/>
      <c r="D225" s="91">
        <f>SUM(D226:D226)</f>
        <v>1332387</v>
      </c>
      <c r="E225" s="91">
        <f t="shared" ref="E225:H225" si="25">SUM(E226:E226)</f>
        <v>1330869.6099999999</v>
      </c>
      <c r="F225" s="91">
        <f t="shared" si="25"/>
        <v>1517.390000000014</v>
      </c>
      <c r="G225" s="91">
        <f t="shared" si="25"/>
        <v>1187718.7999999998</v>
      </c>
      <c r="H225" s="91">
        <f t="shared" si="25"/>
        <v>144668.20000000013</v>
      </c>
      <c r="I225" s="92">
        <f t="shared" si="23"/>
        <v>0.89142178661304849</v>
      </c>
    </row>
    <row r="226" spans="1:11" ht="25.5" x14ac:dyDescent="0.2">
      <c r="A226" s="93">
        <f>SUBTOTAL(103,$B$8:B226)+287</f>
        <v>383</v>
      </c>
      <c r="B226" s="110">
        <v>218</v>
      </c>
      <c r="C226" s="128" t="s">
        <v>225</v>
      </c>
      <c r="D226" s="101">
        <f>[1]AA!D183</f>
        <v>1332387</v>
      </c>
      <c r="E226" s="101">
        <f>[1]AA!E183</f>
        <v>1330869.6099999999</v>
      </c>
      <c r="F226" s="101">
        <f>[1]AA!F183</f>
        <v>1517.390000000014</v>
      </c>
      <c r="G226" s="101">
        <f>[1]AA!G183</f>
        <v>1187718.7999999998</v>
      </c>
      <c r="H226" s="101">
        <f>[1]AA!H183</f>
        <v>144668.20000000013</v>
      </c>
      <c r="I226" s="107">
        <f t="shared" si="23"/>
        <v>0.89142178661304849</v>
      </c>
      <c r="K226" s="26"/>
    </row>
    <row r="227" spans="1:11" x14ac:dyDescent="0.2">
      <c r="A227" s="195" t="s">
        <v>1049</v>
      </c>
      <c r="B227" s="195"/>
      <c r="C227" s="195"/>
      <c r="D227" s="91">
        <f>SUM(D228:D230)</f>
        <v>4271598</v>
      </c>
      <c r="E227" s="91">
        <f t="shared" ref="E227:H227" si="26">SUM(E228:E230)</f>
        <v>3608182.7700000005</v>
      </c>
      <c r="F227" s="91">
        <f t="shared" si="26"/>
        <v>663415.23</v>
      </c>
      <c r="G227" s="91">
        <f t="shared" si="26"/>
        <v>1599897.3900000004</v>
      </c>
      <c r="H227" s="91">
        <f t="shared" si="26"/>
        <v>2671700.61</v>
      </c>
      <c r="I227" s="92">
        <f t="shared" si="23"/>
        <v>0.37454306093410483</v>
      </c>
      <c r="K227" s="26"/>
    </row>
    <row r="228" spans="1:11" ht="63" hidden="1" x14ac:dyDescent="0.2">
      <c r="A228" s="14">
        <f>SUBTOTAL(103,$B$8:B228)+241</f>
        <v>337</v>
      </c>
      <c r="B228" s="69"/>
      <c r="C228" s="81" t="s">
        <v>45</v>
      </c>
      <c r="D228" s="15"/>
      <c r="E228" s="15"/>
      <c r="F228" s="15">
        <f>D228-E228</f>
        <v>0</v>
      </c>
      <c r="G228" s="15"/>
      <c r="H228" s="15">
        <f>D228-G228</f>
        <v>0</v>
      </c>
      <c r="I228" s="28">
        <v>0</v>
      </c>
      <c r="K228" s="26"/>
    </row>
    <row r="229" spans="1:11" ht="31.5" hidden="1" x14ac:dyDescent="0.2">
      <c r="A229" s="14">
        <f>SUBTOTAL(103,$B$8:B229)+241</f>
        <v>337</v>
      </c>
      <c r="B229" s="69"/>
      <c r="C229" s="81" t="s">
        <v>325</v>
      </c>
      <c r="D229" s="15"/>
      <c r="E229" s="15"/>
      <c r="F229" s="15">
        <f>D229-E229</f>
        <v>0</v>
      </c>
      <c r="G229" s="15"/>
      <c r="H229" s="15">
        <f>D229-G229</f>
        <v>0</v>
      </c>
      <c r="I229" s="28">
        <v>0</v>
      </c>
      <c r="K229" s="26"/>
    </row>
    <row r="230" spans="1:11" ht="38.25" x14ac:dyDescent="0.2">
      <c r="A230" s="93">
        <f>SUBTOTAL(103,$B$8:B230)+287</f>
        <v>384</v>
      </c>
      <c r="B230" s="110">
        <v>264</v>
      </c>
      <c r="C230" s="128" t="s">
        <v>529</v>
      </c>
      <c r="D230" s="101">
        <f>[1]AA!D229</f>
        <v>4271598</v>
      </c>
      <c r="E230" s="101">
        <f>[1]AA!E229</f>
        <v>3608182.7700000005</v>
      </c>
      <c r="F230" s="101">
        <f>[1]AA!F229</f>
        <v>663415.23</v>
      </c>
      <c r="G230" s="101">
        <f>[1]AA!G229</f>
        <v>1599897.3900000004</v>
      </c>
      <c r="H230" s="101">
        <f>[1]AA!H229</f>
        <v>2671700.61</v>
      </c>
      <c r="I230" s="107">
        <f>G230/D230</f>
        <v>0.37454306093410483</v>
      </c>
      <c r="K230" s="26"/>
    </row>
    <row r="231" spans="1:11" x14ac:dyDescent="0.2">
      <c r="A231" s="183" t="s">
        <v>8</v>
      </c>
      <c r="B231" s="183"/>
      <c r="C231" s="183"/>
      <c r="D231" s="89">
        <f>+D275+D234+D262+D278</f>
        <v>76143422</v>
      </c>
      <c r="E231" s="89">
        <f>+E275+E234+E262+E278</f>
        <v>66165120.260000005</v>
      </c>
      <c r="F231" s="89">
        <f>+F275+F234+F262+F278</f>
        <v>9978301.7399999984</v>
      </c>
      <c r="G231" s="89">
        <f>+G275+G234+G262+G278</f>
        <v>21798441.920000002</v>
      </c>
      <c r="H231" s="89">
        <f>+H275+H234+H262+H278</f>
        <v>54344980.079999998</v>
      </c>
      <c r="I231" s="90">
        <f>G231/D231</f>
        <v>0.28628135362763185</v>
      </c>
      <c r="J231" s="72"/>
    </row>
    <row r="232" spans="1:11" ht="66" hidden="1" x14ac:dyDescent="0.2">
      <c r="A232" s="82">
        <v>271</v>
      </c>
      <c r="B232" s="112"/>
      <c r="C232" s="113" t="s">
        <v>62</v>
      </c>
      <c r="D232" s="114"/>
      <c r="E232" s="114"/>
      <c r="F232" s="114">
        <f>D232-E232</f>
        <v>0</v>
      </c>
      <c r="G232" s="114"/>
      <c r="H232" s="114">
        <f>D232-G232</f>
        <v>0</v>
      </c>
      <c r="I232" s="115">
        <v>0</v>
      </c>
    </row>
    <row r="233" spans="1:11" ht="66" hidden="1" x14ac:dyDescent="0.2">
      <c r="A233" s="82">
        <f>SUBTOTAL(103,$B$8:B233)+241</f>
        <v>338</v>
      </c>
      <c r="B233" s="116"/>
      <c r="C233" s="113" t="s">
        <v>174</v>
      </c>
      <c r="D233" s="114"/>
      <c r="E233" s="114"/>
      <c r="F233" s="114"/>
      <c r="G233" s="114"/>
      <c r="H233" s="114"/>
      <c r="I233" s="115" t="e">
        <f t="shared" ref="I233" si="27">G233/D233</f>
        <v>#DIV/0!</v>
      </c>
    </row>
    <row r="234" spans="1:11" x14ac:dyDescent="0.2">
      <c r="A234" s="195" t="s">
        <v>1045</v>
      </c>
      <c r="B234" s="195"/>
      <c r="C234" s="195"/>
      <c r="D234" s="91">
        <f>SUM(D235:D261)</f>
        <v>52804284</v>
      </c>
      <c r="E234" s="91">
        <f t="shared" ref="E234:H234" si="28">SUM(E235:E261)</f>
        <v>45416283.070000008</v>
      </c>
      <c r="F234" s="91">
        <f t="shared" si="28"/>
        <v>7388000.9299999997</v>
      </c>
      <c r="G234" s="91">
        <f t="shared" si="28"/>
        <v>15349984.869999999</v>
      </c>
      <c r="H234" s="91">
        <f t="shared" si="28"/>
        <v>37454299.130000003</v>
      </c>
      <c r="I234" s="92">
        <f>G234/D234</f>
        <v>0.29069582441454939</v>
      </c>
    </row>
    <row r="235" spans="1:11" ht="51" hidden="1" x14ac:dyDescent="0.2">
      <c r="A235" s="93">
        <f>SUBTOTAL(103,$B$8:B235)+287</f>
        <v>384</v>
      </c>
      <c r="B235" s="110">
        <v>195</v>
      </c>
      <c r="C235" s="128" t="s">
        <v>939</v>
      </c>
      <c r="D235" s="101">
        <f>[1]AA!D175</f>
        <v>0</v>
      </c>
      <c r="E235" s="101">
        <f>[1]AA!E175</f>
        <v>0</v>
      </c>
      <c r="F235" s="101">
        <f>[1]AA!F175</f>
        <v>0</v>
      </c>
      <c r="G235" s="101">
        <f>[1]AA!G175</f>
        <v>0</v>
      </c>
      <c r="H235" s="101">
        <f>[1]AA!H175</f>
        <v>0</v>
      </c>
      <c r="I235" s="107" t="e">
        <f t="shared" ref="I235:I241" si="29">G235/D235</f>
        <v>#DIV/0!</v>
      </c>
    </row>
    <row r="236" spans="1:11" ht="51" hidden="1" x14ac:dyDescent="0.2">
      <c r="A236" s="93">
        <f>SUBTOTAL(103,$B$8:B236)+287</f>
        <v>384</v>
      </c>
      <c r="B236" s="110">
        <v>196</v>
      </c>
      <c r="C236" s="128" t="s">
        <v>940</v>
      </c>
      <c r="D236" s="101">
        <f>[1]AA!D176</f>
        <v>0</v>
      </c>
      <c r="E236" s="101">
        <f>[1]AA!E176</f>
        <v>0</v>
      </c>
      <c r="F236" s="101">
        <f>[1]AA!F176</f>
        <v>0</v>
      </c>
      <c r="G236" s="101">
        <f>[1]AA!G176</f>
        <v>0</v>
      </c>
      <c r="H236" s="101">
        <f>[1]AA!H176</f>
        <v>0</v>
      </c>
      <c r="I236" s="107" t="e">
        <f t="shared" si="29"/>
        <v>#DIV/0!</v>
      </c>
    </row>
    <row r="237" spans="1:11" ht="51" hidden="1" x14ac:dyDescent="0.2">
      <c r="A237" s="93">
        <f>SUBTOTAL(103,$B$8:B237)+287</f>
        <v>384</v>
      </c>
      <c r="B237" s="110">
        <v>239</v>
      </c>
      <c r="C237" s="128" t="s">
        <v>740</v>
      </c>
      <c r="D237" s="101">
        <f>[1]AA!D204</f>
        <v>0</v>
      </c>
      <c r="E237" s="101">
        <f>[1]AA!E204</f>
        <v>0</v>
      </c>
      <c r="F237" s="101">
        <f>[1]AA!F204</f>
        <v>0</v>
      </c>
      <c r="G237" s="101">
        <f>[1]AA!G204</f>
        <v>0</v>
      </c>
      <c r="H237" s="101">
        <f>[1]AA!H204</f>
        <v>0</v>
      </c>
      <c r="I237" s="107" t="e">
        <f t="shared" si="29"/>
        <v>#DIV/0!</v>
      </c>
    </row>
    <row r="238" spans="1:11" ht="51" hidden="1" x14ac:dyDescent="0.2">
      <c r="A238" s="93">
        <f>SUBTOTAL(103,$B$8:B238)+287</f>
        <v>384</v>
      </c>
      <c r="B238" s="110">
        <v>249</v>
      </c>
      <c r="C238" s="128" t="s">
        <v>213</v>
      </c>
      <c r="D238" s="101">
        <f>[1]AA!D214</f>
        <v>0</v>
      </c>
      <c r="E238" s="101">
        <f>[1]AA!E214</f>
        <v>0</v>
      </c>
      <c r="F238" s="101">
        <f>[1]AA!F214</f>
        <v>0</v>
      </c>
      <c r="G238" s="101">
        <f>[1]AA!G214</f>
        <v>0</v>
      </c>
      <c r="H238" s="101">
        <f>[1]AA!H214</f>
        <v>0</v>
      </c>
      <c r="I238" s="107" t="e">
        <f t="shared" si="29"/>
        <v>#DIV/0!</v>
      </c>
    </row>
    <row r="239" spans="1:11" ht="38.25" x14ac:dyDescent="0.2">
      <c r="A239" s="93">
        <f>SUBTOTAL(103,$B$8:B239)+287</f>
        <v>385</v>
      </c>
      <c r="B239" s="111" t="s">
        <v>918</v>
      </c>
      <c r="C239" s="128" t="s">
        <v>296</v>
      </c>
      <c r="D239" s="101">
        <f>[1]AA!D219</f>
        <v>2390440</v>
      </c>
      <c r="E239" s="101">
        <f>[1]AA!E219</f>
        <v>2376240</v>
      </c>
      <c r="F239" s="101">
        <f>[1]AA!F219</f>
        <v>14200</v>
      </c>
      <c r="G239" s="101">
        <f>[1]AA!G219</f>
        <v>820979.69</v>
      </c>
      <c r="H239" s="101">
        <f>[1]AA!H219</f>
        <v>1569460.31</v>
      </c>
      <c r="I239" s="107">
        <f t="shared" si="29"/>
        <v>0.34344291845852642</v>
      </c>
    </row>
    <row r="240" spans="1:11" ht="51" x14ac:dyDescent="0.2">
      <c r="A240" s="93">
        <f>SUBTOTAL(103,$B$8:B240)+287</f>
        <v>386</v>
      </c>
      <c r="B240" s="99" t="s">
        <v>919</v>
      </c>
      <c r="C240" s="127" t="s">
        <v>297</v>
      </c>
      <c r="D240" s="101">
        <f>[1]AA!D220</f>
        <v>20600</v>
      </c>
      <c r="E240" s="101">
        <f>[1]AA!E220</f>
        <v>20600</v>
      </c>
      <c r="F240" s="101">
        <f>[1]AA!F220</f>
        <v>0</v>
      </c>
      <c r="G240" s="101">
        <f>[1]AA!G220</f>
        <v>17783.599999999999</v>
      </c>
      <c r="H240" s="101">
        <f>[1]AA!H220</f>
        <v>2816.4000000000015</v>
      </c>
      <c r="I240" s="107">
        <f t="shared" si="29"/>
        <v>0.86328155339805823</v>
      </c>
    </row>
    <row r="241" spans="1:9" ht="63.75" x14ac:dyDescent="0.2">
      <c r="A241" s="93">
        <f>SUBTOTAL(103,$B$8:B241)+287</f>
        <v>387</v>
      </c>
      <c r="B241" s="110">
        <v>263</v>
      </c>
      <c r="C241" s="128" t="s">
        <v>410</v>
      </c>
      <c r="D241" s="101">
        <f>[1]AA!D228</f>
        <v>3517960</v>
      </c>
      <c r="E241" s="101">
        <f>[1]AA!E228</f>
        <v>3401217.1</v>
      </c>
      <c r="F241" s="101">
        <f>[1]AA!F228</f>
        <v>116742.9</v>
      </c>
      <c r="G241" s="101">
        <f>[1]AA!G228</f>
        <v>2157904.81</v>
      </c>
      <c r="H241" s="101">
        <f>[1]AA!H228</f>
        <v>1360055.19</v>
      </c>
      <c r="I241" s="107">
        <f t="shared" si="29"/>
        <v>0.61339663043354675</v>
      </c>
    </row>
    <row r="242" spans="1:9" ht="76.5" x14ac:dyDescent="0.2">
      <c r="A242" s="93">
        <f>SUBTOTAL(103,$B$8:B242)+287</f>
        <v>388</v>
      </c>
      <c r="B242" s="110">
        <v>281</v>
      </c>
      <c r="C242" s="128" t="s">
        <v>466</v>
      </c>
      <c r="D242" s="101">
        <f>[1]AA!D246</f>
        <v>2170829</v>
      </c>
      <c r="E242" s="101">
        <f>[1]AA!E246</f>
        <v>2170829</v>
      </c>
      <c r="F242" s="101">
        <f>[1]AA!F246</f>
        <v>0</v>
      </c>
      <c r="G242" s="101">
        <f>[1]AA!G246</f>
        <v>132128.85</v>
      </c>
      <c r="H242" s="101">
        <f>[1]AA!H246</f>
        <v>2038700.15</v>
      </c>
      <c r="I242" s="107">
        <f t="shared" ref="I242:I244" si="30">G242/D242</f>
        <v>6.0865618618509337E-2</v>
      </c>
    </row>
    <row r="243" spans="1:9" ht="38.25" x14ac:dyDescent="0.2">
      <c r="A243" s="93">
        <f>SUBTOTAL(103,$B$8:B243)+287</f>
        <v>389</v>
      </c>
      <c r="B243" s="110">
        <v>285</v>
      </c>
      <c r="C243" s="128" t="s">
        <v>796</v>
      </c>
      <c r="D243" s="101">
        <f>[1]AA!D250</f>
        <v>31336</v>
      </c>
      <c r="E243" s="101">
        <f>[1]AA!E250</f>
        <v>0</v>
      </c>
      <c r="F243" s="101">
        <f>[1]AA!F250</f>
        <v>31336</v>
      </c>
      <c r="G243" s="101">
        <f>[1]AA!G250</f>
        <v>0</v>
      </c>
      <c r="H243" s="101">
        <f>[1]AA!H250</f>
        <v>31336</v>
      </c>
      <c r="I243" s="107">
        <f t="shared" si="30"/>
        <v>0</v>
      </c>
    </row>
    <row r="244" spans="1:9" ht="63.75" x14ac:dyDescent="0.2">
      <c r="A244" s="93">
        <f>SUBTOTAL(103,$B$8:B244)+287</f>
        <v>390</v>
      </c>
      <c r="B244" s="110">
        <v>287</v>
      </c>
      <c r="C244" s="128" t="s">
        <v>808</v>
      </c>
      <c r="D244" s="101">
        <f>[1]AA!D252</f>
        <v>1263865</v>
      </c>
      <c r="E244" s="101">
        <f>[1]AA!E252</f>
        <v>1173567.94</v>
      </c>
      <c r="F244" s="101">
        <f>[1]AA!F252</f>
        <v>90297.06</v>
      </c>
      <c r="G244" s="101">
        <f>[1]AA!G252</f>
        <v>138884.04999999999</v>
      </c>
      <c r="H244" s="101">
        <f>[1]AA!H252</f>
        <v>1124980.95</v>
      </c>
      <c r="I244" s="107">
        <f t="shared" si="30"/>
        <v>0.10988835832941017</v>
      </c>
    </row>
    <row r="245" spans="1:9" ht="76.5" x14ac:dyDescent="0.2">
      <c r="A245" s="93">
        <f>SUBTOTAL(103,$B$8:B245)+287</f>
        <v>391</v>
      </c>
      <c r="B245" s="110">
        <v>313</v>
      </c>
      <c r="C245" s="128" t="s">
        <v>870</v>
      </c>
      <c r="D245" s="101">
        <f>[1]AA!D262</f>
        <v>8483998</v>
      </c>
      <c r="E245" s="101">
        <f>[1]AA!E262</f>
        <v>8474782.3099999987</v>
      </c>
      <c r="F245" s="101">
        <f>[1]AA!F262</f>
        <v>9215.69</v>
      </c>
      <c r="G245" s="101">
        <f>[1]AA!G262</f>
        <v>5307804.1899999995</v>
      </c>
      <c r="H245" s="101">
        <f>[1]AA!H262</f>
        <v>3176193.8100000005</v>
      </c>
      <c r="I245" s="107">
        <f t="shared" ref="I245:I251" si="31">G245/D245</f>
        <v>0.62562534668207126</v>
      </c>
    </row>
    <row r="246" spans="1:9" ht="63.75" x14ac:dyDescent="0.2">
      <c r="A246" s="93">
        <f>SUBTOTAL(103,$B$8:B246)+287</f>
        <v>392</v>
      </c>
      <c r="B246" s="110">
        <v>314</v>
      </c>
      <c r="C246" s="128" t="s">
        <v>299</v>
      </c>
      <c r="D246" s="101">
        <f>[1]AA!D263</f>
        <v>4219373</v>
      </c>
      <c r="E246" s="101">
        <f>[1]AA!E263</f>
        <v>4183621.03</v>
      </c>
      <c r="F246" s="101">
        <f>[1]AA!F263</f>
        <v>35751.97</v>
      </c>
      <c r="G246" s="101">
        <f>[1]AA!G263</f>
        <v>3829328.0799999996</v>
      </c>
      <c r="H246" s="101">
        <f>[1]AA!H263</f>
        <v>390044.92000000004</v>
      </c>
      <c r="I246" s="107">
        <f t="shared" si="31"/>
        <v>0.90755855905604921</v>
      </c>
    </row>
    <row r="247" spans="1:9" ht="63.75" x14ac:dyDescent="0.2">
      <c r="A247" s="93">
        <f>SUBTOTAL(103,$B$8:B247)+287</f>
        <v>393</v>
      </c>
      <c r="B247" s="110">
        <v>343</v>
      </c>
      <c r="C247" s="128" t="s">
        <v>865</v>
      </c>
      <c r="D247" s="101">
        <f>[1]AA!D287</f>
        <v>13926334</v>
      </c>
      <c r="E247" s="101">
        <f>[1]AA!E287</f>
        <v>10437696</v>
      </c>
      <c r="F247" s="101">
        <f>[1]AA!F287</f>
        <v>3488638</v>
      </c>
      <c r="G247" s="101">
        <f>[1]AA!G287</f>
        <v>152548.22</v>
      </c>
      <c r="H247" s="101">
        <f>[1]AA!H287</f>
        <v>13773785.780000001</v>
      </c>
      <c r="I247" s="107">
        <f t="shared" si="31"/>
        <v>1.0953939493336869E-2</v>
      </c>
    </row>
    <row r="248" spans="1:9" ht="38.25" x14ac:dyDescent="0.2">
      <c r="A248" s="93">
        <f>SUBTOTAL(103,$B$8:B248)+287</f>
        <v>394</v>
      </c>
      <c r="B248" s="110">
        <v>344</v>
      </c>
      <c r="C248" s="128" t="s">
        <v>795</v>
      </c>
      <c r="D248" s="101">
        <f>[1]AA!D288</f>
        <v>1044621</v>
      </c>
      <c r="E248" s="101">
        <f>[1]AA!E288</f>
        <v>277579.94</v>
      </c>
      <c r="F248" s="101">
        <f>[1]AA!F288</f>
        <v>767041.06</v>
      </c>
      <c r="G248" s="101">
        <f>[1]AA!G288</f>
        <v>264157.59999999998</v>
      </c>
      <c r="H248" s="101">
        <f>[1]AA!H288</f>
        <v>780463.4</v>
      </c>
      <c r="I248" s="107">
        <f t="shared" si="31"/>
        <v>0.25287410457955561</v>
      </c>
    </row>
    <row r="249" spans="1:9" ht="51" x14ac:dyDescent="0.2">
      <c r="A249" s="93">
        <f>SUBTOTAL(103,$B$8:B249)+287</f>
        <v>395</v>
      </c>
      <c r="B249" s="110">
        <v>346</v>
      </c>
      <c r="C249" s="128" t="s">
        <v>300</v>
      </c>
      <c r="D249" s="101">
        <f>[1]AA!D290</f>
        <v>392605</v>
      </c>
      <c r="E249" s="101">
        <f>[1]AA!E290</f>
        <v>337020.28</v>
      </c>
      <c r="F249" s="101">
        <f>[1]AA!F290</f>
        <v>55584.72</v>
      </c>
      <c r="G249" s="101">
        <f>[1]AA!G290</f>
        <v>298073.84999999998</v>
      </c>
      <c r="H249" s="101">
        <f>[1]AA!H290</f>
        <v>94531.15</v>
      </c>
      <c r="I249" s="107">
        <f t="shared" si="31"/>
        <v>0.75922071802447744</v>
      </c>
    </row>
    <row r="250" spans="1:9" ht="76.5" x14ac:dyDescent="0.2">
      <c r="A250" s="93">
        <f>SUBTOTAL(103,$B$8:B250)+287</f>
        <v>396</v>
      </c>
      <c r="B250" s="110">
        <v>379</v>
      </c>
      <c r="C250" s="128" t="s">
        <v>866</v>
      </c>
      <c r="D250" s="101">
        <f>[1]AA!D322</f>
        <v>167074</v>
      </c>
      <c r="E250" s="101">
        <f>[1]AA!E322</f>
        <v>97869.14</v>
      </c>
      <c r="F250" s="101">
        <f>[1]AA!F322</f>
        <v>69204.86</v>
      </c>
      <c r="G250" s="101">
        <f>[1]AA!G322</f>
        <v>62264.090000000004</v>
      </c>
      <c r="H250" s="101">
        <f>[1]AA!H322</f>
        <v>104809.91</v>
      </c>
      <c r="I250" s="107">
        <f t="shared" si="31"/>
        <v>0.37267372541508553</v>
      </c>
    </row>
    <row r="251" spans="1:9" ht="63.75" x14ac:dyDescent="0.2">
      <c r="A251" s="93">
        <f>SUBTOTAL(103,$B$8:B251)+287</f>
        <v>397</v>
      </c>
      <c r="B251" s="110">
        <v>380</v>
      </c>
      <c r="C251" s="128" t="s">
        <v>864</v>
      </c>
      <c r="D251" s="101">
        <f>[1]AA!D323</f>
        <v>2967206</v>
      </c>
      <c r="E251" s="101">
        <f>[1]AA!E323</f>
        <v>2958279.03</v>
      </c>
      <c r="F251" s="101">
        <f>[1]AA!F323</f>
        <v>8926.9699999999266</v>
      </c>
      <c r="G251" s="101">
        <f>[1]AA!G323</f>
        <v>310369.43</v>
      </c>
      <c r="H251" s="101">
        <f>[1]AA!H323</f>
        <v>2656836.5700000003</v>
      </c>
      <c r="I251" s="107">
        <f t="shared" si="31"/>
        <v>0.10459989296327926</v>
      </c>
    </row>
    <row r="252" spans="1:9" ht="38.25" x14ac:dyDescent="0.2">
      <c r="A252" s="93">
        <f>SUBTOTAL(103,$B$8:B252)+287</f>
        <v>398</v>
      </c>
      <c r="B252" s="110">
        <v>382</v>
      </c>
      <c r="C252" s="128" t="s">
        <v>907</v>
      </c>
      <c r="D252" s="101">
        <f>[1]AA!D324</f>
        <v>2040218</v>
      </c>
      <c r="E252" s="101">
        <f>[1]AA!E324</f>
        <v>2014066.28</v>
      </c>
      <c r="F252" s="101">
        <f>[1]AA!F324</f>
        <v>26151.72</v>
      </c>
      <c r="G252" s="101">
        <f>[1]AA!G324</f>
        <v>132532.70000000001</v>
      </c>
      <c r="H252" s="101">
        <f>[1]AA!H324</f>
        <v>1907685.3</v>
      </c>
      <c r="I252" s="107">
        <f t="shared" ref="I252:I280" si="32">G252/D252</f>
        <v>6.4960067992734113E-2</v>
      </c>
    </row>
    <row r="253" spans="1:9" ht="63.75" x14ac:dyDescent="0.2">
      <c r="A253" s="93">
        <f>SUBTOTAL(103,$B$8:B253)+287</f>
        <v>399</v>
      </c>
      <c r="B253" s="110">
        <v>437</v>
      </c>
      <c r="C253" s="128" t="s">
        <v>863</v>
      </c>
      <c r="D253" s="101">
        <f>[1]AA!D377</f>
        <v>3974680</v>
      </c>
      <c r="E253" s="101">
        <f>[1]AA!E377</f>
        <v>3830379.2</v>
      </c>
      <c r="F253" s="101">
        <f>[1]AA!F377</f>
        <v>144300.79999999999</v>
      </c>
      <c r="G253" s="101">
        <f>[1]AA!G377</f>
        <v>101545.06</v>
      </c>
      <c r="H253" s="101">
        <f>[1]AA!H377</f>
        <v>3873134.9400000004</v>
      </c>
      <c r="I253" s="107">
        <f t="shared" si="32"/>
        <v>2.5547983737055562E-2</v>
      </c>
    </row>
    <row r="254" spans="1:9" ht="63.75" x14ac:dyDescent="0.2">
      <c r="A254" s="93">
        <f>SUBTOTAL(103,$B$8:B254)+287</f>
        <v>400</v>
      </c>
      <c r="B254" s="110">
        <v>454</v>
      </c>
      <c r="C254" s="128" t="s">
        <v>1016</v>
      </c>
      <c r="D254" s="101">
        <f>[1]AA!D379</f>
        <v>80738</v>
      </c>
      <c r="E254" s="101">
        <f>[1]AA!E379</f>
        <v>0</v>
      </c>
      <c r="F254" s="101">
        <f>[1]AA!F379</f>
        <v>80738</v>
      </c>
      <c r="G254" s="101">
        <f>[1]AA!G379</f>
        <v>0</v>
      </c>
      <c r="H254" s="101">
        <f>[1]AA!H379</f>
        <v>80738</v>
      </c>
      <c r="I254" s="107">
        <f t="shared" si="32"/>
        <v>0</v>
      </c>
    </row>
    <row r="255" spans="1:9" ht="63.75" x14ac:dyDescent="0.2">
      <c r="A255" s="93">
        <f>SUBTOTAL(103,$B$8:B255)+287</f>
        <v>401</v>
      </c>
      <c r="B255" s="110">
        <v>462</v>
      </c>
      <c r="C255" s="128" t="s">
        <v>1056</v>
      </c>
      <c r="D255" s="101">
        <f>[1]AA!D386</f>
        <v>5872577</v>
      </c>
      <c r="E255" s="101">
        <f>[1]AA!E386</f>
        <v>3639207.8200000003</v>
      </c>
      <c r="F255" s="101">
        <f>[1]AA!F386</f>
        <v>2233369.1800000002</v>
      </c>
      <c r="G255" s="101">
        <f>[1]AA!G386</f>
        <v>1600903.33</v>
      </c>
      <c r="H255" s="101">
        <f>[1]AA!H386</f>
        <v>4271673.67</v>
      </c>
      <c r="I255" s="107">
        <f t="shared" ref="I255:I260" si="33">G255/D255</f>
        <v>0.2726066137574697</v>
      </c>
    </row>
    <row r="256" spans="1:9" ht="51" x14ac:dyDescent="0.2">
      <c r="A256" s="93">
        <f>SUBTOTAL(103,$B$8:B256)+287</f>
        <v>402</v>
      </c>
      <c r="B256" s="110">
        <v>482</v>
      </c>
      <c r="C256" s="128" t="s">
        <v>1073</v>
      </c>
      <c r="D256" s="101">
        <f>[1]AA!D401</f>
        <v>13758</v>
      </c>
      <c r="E256" s="101">
        <f>[1]AA!E401</f>
        <v>13758</v>
      </c>
      <c r="F256" s="101">
        <f>[1]AA!F401</f>
        <v>0</v>
      </c>
      <c r="G256" s="101">
        <f>[1]AA!G401</f>
        <v>13212.64</v>
      </c>
      <c r="H256" s="101">
        <f>[1]AA!H401</f>
        <v>545.36000000000058</v>
      </c>
      <c r="I256" s="107">
        <f t="shared" si="33"/>
        <v>0.96036051751708096</v>
      </c>
    </row>
    <row r="257" spans="1:9" ht="38.25" x14ac:dyDescent="0.2">
      <c r="A257" s="93">
        <f>SUBTOTAL(103,$B$8:B257)+287</f>
        <v>403</v>
      </c>
      <c r="B257" s="110">
        <v>485</v>
      </c>
      <c r="C257" s="128" t="s">
        <v>367</v>
      </c>
      <c r="D257" s="101">
        <f>[1]AA!D403</f>
        <v>10277</v>
      </c>
      <c r="E257" s="101">
        <f>[1]AA!E403</f>
        <v>9570</v>
      </c>
      <c r="F257" s="101">
        <f>[1]AA!F403</f>
        <v>707</v>
      </c>
      <c r="G257" s="101">
        <f>[1]AA!G403</f>
        <v>9564.68</v>
      </c>
      <c r="H257" s="101">
        <f>[1]AA!H403</f>
        <v>712.31999999999971</v>
      </c>
      <c r="I257" s="107">
        <f t="shared" si="33"/>
        <v>0.93068794395251531</v>
      </c>
    </row>
    <row r="258" spans="1:9" ht="38.25" x14ac:dyDescent="0.2">
      <c r="A258" s="93">
        <f>SUBTOTAL(103,$B$8:B258)+287</f>
        <v>404</v>
      </c>
      <c r="B258" s="110">
        <v>494</v>
      </c>
      <c r="C258" s="128" t="s">
        <v>2432</v>
      </c>
      <c r="D258" s="101">
        <f>[1]AA!D410</f>
        <v>114255</v>
      </c>
      <c r="E258" s="101">
        <f>[1]AA!E410</f>
        <v>0</v>
      </c>
      <c r="F258" s="101">
        <f>[1]AA!F410</f>
        <v>114255</v>
      </c>
      <c r="G258" s="101">
        <f>[1]AA!G410</f>
        <v>0</v>
      </c>
      <c r="H258" s="101">
        <f>[1]AA!H410</f>
        <v>114255</v>
      </c>
      <c r="I258" s="107">
        <f t="shared" si="33"/>
        <v>0</v>
      </c>
    </row>
    <row r="259" spans="1:9" ht="63.75" x14ac:dyDescent="0.2">
      <c r="A259" s="93">
        <f>SUBTOTAL(103,$B$8:B259)+287</f>
        <v>405</v>
      </c>
      <c r="B259" s="110">
        <v>497</v>
      </c>
      <c r="C259" s="128" t="s">
        <v>2436</v>
      </c>
      <c r="D259" s="101">
        <f>[1]AA!D413</f>
        <v>36445</v>
      </c>
      <c r="E259" s="101">
        <f>[1]AA!E413</f>
        <v>0</v>
      </c>
      <c r="F259" s="101">
        <f>[1]AA!F413</f>
        <v>36445</v>
      </c>
      <c r="G259" s="101">
        <f>[1]AA!G413</f>
        <v>0</v>
      </c>
      <c r="H259" s="101">
        <f>[1]AA!H413</f>
        <v>36445</v>
      </c>
      <c r="I259" s="107">
        <f t="shared" si="33"/>
        <v>0</v>
      </c>
    </row>
    <row r="260" spans="1:9" ht="63.75" x14ac:dyDescent="0.2">
      <c r="A260" s="93">
        <f>SUBTOTAL(103,$B$8:B260)+287</f>
        <v>406</v>
      </c>
      <c r="B260" s="110">
        <v>498</v>
      </c>
      <c r="C260" s="128" t="s">
        <v>2437</v>
      </c>
      <c r="D260" s="101">
        <f>[1]AA!D414</f>
        <v>39485</v>
      </c>
      <c r="E260" s="101">
        <f>[1]AA!E414</f>
        <v>0</v>
      </c>
      <c r="F260" s="101">
        <f>[1]AA!F414</f>
        <v>39485</v>
      </c>
      <c r="G260" s="101">
        <f>[1]AA!G414</f>
        <v>0</v>
      </c>
      <c r="H260" s="101">
        <f>[1]AA!H414</f>
        <v>39485</v>
      </c>
      <c r="I260" s="107">
        <f t="shared" si="33"/>
        <v>0</v>
      </c>
    </row>
    <row r="261" spans="1:9" ht="51" x14ac:dyDescent="0.2">
      <c r="A261" s="93">
        <f>SUBTOTAL(103,$B$8:B261)+287</f>
        <v>407</v>
      </c>
      <c r="B261" s="110">
        <v>524</v>
      </c>
      <c r="C261" s="128" t="s">
        <v>2464</v>
      </c>
      <c r="D261" s="101">
        <f>[1]AA!D438</f>
        <v>25610</v>
      </c>
      <c r="E261" s="101">
        <f>[1]AA!E438</f>
        <v>0</v>
      </c>
      <c r="F261" s="101">
        <f>[1]AA!F438</f>
        <v>25610</v>
      </c>
      <c r="G261" s="101">
        <f>[1]AA!G438</f>
        <v>0</v>
      </c>
      <c r="H261" s="101">
        <f>[1]AA!H438</f>
        <v>25610</v>
      </c>
      <c r="I261" s="107">
        <f t="shared" ref="I261" si="34">G261/D261</f>
        <v>0</v>
      </c>
    </row>
    <row r="262" spans="1:9" x14ac:dyDescent="0.2">
      <c r="A262" s="195" t="s">
        <v>1046</v>
      </c>
      <c r="B262" s="195"/>
      <c r="C262" s="195"/>
      <c r="D262" s="91">
        <f>SUM(D263:D274)</f>
        <v>9798393</v>
      </c>
      <c r="E262" s="91">
        <f t="shared" ref="E262:H262" si="35">SUM(E263:E274)</f>
        <v>7621399.4100000001</v>
      </c>
      <c r="F262" s="91">
        <f t="shared" si="35"/>
        <v>2176993.59</v>
      </c>
      <c r="G262" s="91">
        <f t="shared" si="35"/>
        <v>606651.92000000004</v>
      </c>
      <c r="H262" s="91">
        <f t="shared" si="35"/>
        <v>9191741.0800000001</v>
      </c>
      <c r="I262" s="92">
        <f t="shared" ref="I262:I279" si="36">G262/D262</f>
        <v>6.1913409678505449E-2</v>
      </c>
    </row>
    <row r="263" spans="1:9" ht="63.75" x14ac:dyDescent="0.2">
      <c r="A263" s="93">
        <f>SUBTOTAL(103,$B$8:B263)+287</f>
        <v>408</v>
      </c>
      <c r="B263" s="110">
        <v>512</v>
      </c>
      <c r="C263" s="128" t="s">
        <v>2445</v>
      </c>
      <c r="D263" s="101">
        <f>[1]AA!D426</f>
        <v>3254770</v>
      </c>
      <c r="E263" s="101">
        <f>[1]AA!E426</f>
        <v>2925559.55</v>
      </c>
      <c r="F263" s="101">
        <f>[1]AA!F426</f>
        <v>329210.44999999995</v>
      </c>
      <c r="G263" s="101">
        <f>[1]AA!G426</f>
        <v>0</v>
      </c>
      <c r="H263" s="101">
        <f>[1]AA!H426</f>
        <v>3254770</v>
      </c>
      <c r="I263" s="107">
        <f t="shared" ref="I263" si="37">G263/D263</f>
        <v>0</v>
      </c>
    </row>
    <row r="264" spans="1:9" ht="63.75" x14ac:dyDescent="0.2">
      <c r="A264" s="93">
        <f>SUBTOTAL(103,$B$8:B264)+287</f>
        <v>409</v>
      </c>
      <c r="B264" s="110">
        <v>513</v>
      </c>
      <c r="C264" s="128" t="s">
        <v>2446</v>
      </c>
      <c r="D264" s="101">
        <f>[1]AA!D427</f>
        <v>1007572</v>
      </c>
      <c r="E264" s="101">
        <f>[1]AA!E427</f>
        <v>838299.38</v>
      </c>
      <c r="F264" s="101">
        <f>[1]AA!F427</f>
        <v>169272.62</v>
      </c>
      <c r="G264" s="101">
        <f>[1]AA!G427</f>
        <v>0</v>
      </c>
      <c r="H264" s="101">
        <f>[1]AA!H427</f>
        <v>1007572</v>
      </c>
      <c r="I264" s="107">
        <f t="shared" ref="I264:I265" si="38">G264/D264</f>
        <v>0</v>
      </c>
    </row>
    <row r="265" spans="1:9" ht="51" x14ac:dyDescent="0.2">
      <c r="A265" s="93">
        <f>SUBTOTAL(103,$B$8:B265)+287</f>
        <v>410</v>
      </c>
      <c r="B265" s="110">
        <v>515</v>
      </c>
      <c r="C265" s="128" t="s">
        <v>2447</v>
      </c>
      <c r="D265" s="101">
        <f>[1]AA!D429</f>
        <v>1688098</v>
      </c>
      <c r="E265" s="101">
        <f>[1]AA!E429</f>
        <v>1486603.23</v>
      </c>
      <c r="F265" s="101">
        <f>[1]AA!F429</f>
        <v>201494.77000000002</v>
      </c>
      <c r="G265" s="101">
        <f>[1]AA!G429</f>
        <v>0</v>
      </c>
      <c r="H265" s="101">
        <f>[1]AA!H429</f>
        <v>1688098</v>
      </c>
      <c r="I265" s="107">
        <f t="shared" si="38"/>
        <v>0</v>
      </c>
    </row>
    <row r="266" spans="1:9" ht="51" x14ac:dyDescent="0.2">
      <c r="A266" s="93">
        <f>SUBTOTAL(103,$B$8:B266)+287</f>
        <v>411</v>
      </c>
      <c r="B266" s="110">
        <v>509</v>
      </c>
      <c r="C266" s="128" t="s">
        <v>2448</v>
      </c>
      <c r="D266" s="101">
        <f>[1]AA!D423</f>
        <v>680748</v>
      </c>
      <c r="E266" s="101">
        <f>[1]AA!E423</f>
        <v>538302.91999999993</v>
      </c>
      <c r="F266" s="101">
        <f>[1]AA!F423</f>
        <v>142445.08000000002</v>
      </c>
      <c r="G266" s="101">
        <f>[1]AA!G423</f>
        <v>0</v>
      </c>
      <c r="H266" s="101">
        <f>[1]AA!H423</f>
        <v>680748</v>
      </c>
      <c r="I266" s="107">
        <f t="shared" ref="I266:I270" si="39">G266/D266</f>
        <v>0</v>
      </c>
    </row>
    <row r="267" spans="1:9" ht="63.75" x14ac:dyDescent="0.2">
      <c r="A267" s="93">
        <f>SUBTOTAL(103,$B$8:B267)+287</f>
        <v>412</v>
      </c>
      <c r="B267" s="110">
        <v>510</v>
      </c>
      <c r="C267" s="128" t="s">
        <v>2449</v>
      </c>
      <c r="D267" s="101">
        <f>[1]AA!D424</f>
        <v>670100</v>
      </c>
      <c r="E267" s="101">
        <f>[1]AA!E424</f>
        <v>532791.97</v>
      </c>
      <c r="F267" s="101">
        <f>[1]AA!F424</f>
        <v>137308.03000000003</v>
      </c>
      <c r="G267" s="101">
        <f>[1]AA!G424</f>
        <v>0</v>
      </c>
      <c r="H267" s="101">
        <f>[1]AA!H424</f>
        <v>670100</v>
      </c>
      <c r="I267" s="107">
        <f t="shared" si="39"/>
        <v>0</v>
      </c>
    </row>
    <row r="268" spans="1:9" ht="51" x14ac:dyDescent="0.2">
      <c r="A268" s="93">
        <f>SUBTOTAL(103,$B$8:B268)+287</f>
        <v>413</v>
      </c>
      <c r="B268" s="110">
        <v>511</v>
      </c>
      <c r="C268" s="128" t="s">
        <v>2450</v>
      </c>
      <c r="D268" s="101">
        <f>[1]AA!D425</f>
        <v>388514</v>
      </c>
      <c r="E268" s="101">
        <f>[1]AA!E425</f>
        <v>269223.83999999997</v>
      </c>
      <c r="F268" s="101">
        <f>[1]AA!F425</f>
        <v>119290.16</v>
      </c>
      <c r="G268" s="101">
        <f>[1]AA!G425</f>
        <v>0</v>
      </c>
      <c r="H268" s="101">
        <f>[1]AA!H425</f>
        <v>388514</v>
      </c>
      <c r="I268" s="107">
        <f t="shared" si="39"/>
        <v>0</v>
      </c>
    </row>
    <row r="269" spans="1:9" ht="63.75" x14ac:dyDescent="0.2">
      <c r="A269" s="93">
        <f>SUBTOTAL(103,$B$8:B269)+287</f>
        <v>414</v>
      </c>
      <c r="B269" s="110">
        <v>514</v>
      </c>
      <c r="C269" s="128" t="s">
        <v>2451</v>
      </c>
      <c r="D269" s="101">
        <f>[1]AA!D428</f>
        <v>542416</v>
      </c>
      <c r="E269" s="101">
        <f>[1]AA!E428</f>
        <v>401911.51</v>
      </c>
      <c r="F269" s="101">
        <f>[1]AA!F428</f>
        <v>140504.49</v>
      </c>
      <c r="G269" s="101">
        <f>[1]AA!G428</f>
        <v>0</v>
      </c>
      <c r="H269" s="101">
        <f>[1]AA!H428</f>
        <v>542416</v>
      </c>
      <c r="I269" s="107">
        <f t="shared" si="39"/>
        <v>0</v>
      </c>
    </row>
    <row r="270" spans="1:9" ht="63.75" x14ac:dyDescent="0.2">
      <c r="A270" s="93">
        <f>SUBTOTAL(103,$B$8:B270)+287</f>
        <v>415</v>
      </c>
      <c r="B270" s="110">
        <v>516</v>
      </c>
      <c r="C270" s="128" t="s">
        <v>2452</v>
      </c>
      <c r="D270" s="101">
        <f>[1]AA!D430</f>
        <v>928545</v>
      </c>
      <c r="E270" s="101">
        <f>[1]AA!E430</f>
        <v>0</v>
      </c>
      <c r="F270" s="101">
        <f>[1]AA!F430</f>
        <v>928545</v>
      </c>
      <c r="G270" s="101">
        <f>[1]AA!G430</f>
        <v>0</v>
      </c>
      <c r="H270" s="101">
        <f>[1]AA!H430</f>
        <v>928545</v>
      </c>
      <c r="I270" s="107">
        <f t="shared" si="39"/>
        <v>0</v>
      </c>
    </row>
    <row r="271" spans="1:9" ht="63.75" x14ac:dyDescent="0.2">
      <c r="A271" s="93">
        <f>SUBTOTAL(103,$B$8:B271)+287</f>
        <v>416</v>
      </c>
      <c r="B271" s="110">
        <v>345</v>
      </c>
      <c r="C271" s="128" t="s">
        <v>864</v>
      </c>
      <c r="D271" s="101">
        <f>[1]AA!D289</f>
        <v>271707</v>
      </c>
      <c r="E271" s="101">
        <f>[1]AA!E289</f>
        <v>271705.69</v>
      </c>
      <c r="F271" s="101">
        <f>[1]AA!F289</f>
        <v>1.3099999999994907</v>
      </c>
      <c r="G271" s="101">
        <f>[1]AA!G289</f>
        <v>270842.66000000003</v>
      </c>
      <c r="H271" s="101">
        <f>[1]AA!H289</f>
        <v>864.33999999999651</v>
      </c>
      <c r="I271" s="107">
        <f t="shared" si="36"/>
        <v>0.99681885266113879</v>
      </c>
    </row>
    <row r="272" spans="1:9" ht="38.25" x14ac:dyDescent="0.2">
      <c r="A272" s="93">
        <f>SUBTOTAL(103,$B$8:B272)+287</f>
        <v>417</v>
      </c>
      <c r="B272" s="110">
        <v>348</v>
      </c>
      <c r="C272" s="128" t="s">
        <v>858</v>
      </c>
      <c r="D272" s="101">
        <f>[1]AA!D292</f>
        <v>70059</v>
      </c>
      <c r="E272" s="101">
        <f>[1]AA!E292</f>
        <v>70057.899999999994</v>
      </c>
      <c r="F272" s="101">
        <f>[1]AA!F292</f>
        <v>1.1000000000003638</v>
      </c>
      <c r="G272" s="101">
        <f>[1]AA!G292</f>
        <v>70029.94</v>
      </c>
      <c r="H272" s="101">
        <f>[1]AA!H292</f>
        <v>29.059999999999491</v>
      </c>
      <c r="I272" s="107">
        <f t="shared" si="36"/>
        <v>0.99958520675430707</v>
      </c>
    </row>
    <row r="273" spans="1:9" ht="38.25" x14ac:dyDescent="0.2">
      <c r="A273" s="93">
        <f>SUBTOTAL(103,$B$8:B273)+287</f>
        <v>418</v>
      </c>
      <c r="B273" s="110">
        <v>349</v>
      </c>
      <c r="C273" s="128" t="s">
        <v>857</v>
      </c>
      <c r="D273" s="101">
        <f>[1]AA!D293</f>
        <v>100785</v>
      </c>
      <c r="E273" s="101">
        <f>[1]AA!E293</f>
        <v>100589.42</v>
      </c>
      <c r="F273" s="101">
        <f>[1]AA!F293</f>
        <v>195.57999999999902</v>
      </c>
      <c r="G273" s="101">
        <f>[1]AA!G293</f>
        <v>88974.89</v>
      </c>
      <c r="H273" s="101">
        <f>[1]AA!H293</f>
        <v>11810.109999999997</v>
      </c>
      <c r="I273" s="107">
        <f t="shared" si="36"/>
        <v>0.88281877263481667</v>
      </c>
    </row>
    <row r="274" spans="1:9" ht="38.25" x14ac:dyDescent="0.2">
      <c r="A274" s="93">
        <f>SUBTOTAL(103,$B$8:B274)+287</f>
        <v>419</v>
      </c>
      <c r="B274" s="110">
        <v>461</v>
      </c>
      <c r="C274" s="128" t="s">
        <v>892</v>
      </c>
      <c r="D274" s="101">
        <f>[1]AA!D385</f>
        <v>195079</v>
      </c>
      <c r="E274" s="101">
        <f>[1]AA!E385</f>
        <v>186354</v>
      </c>
      <c r="F274" s="101">
        <f>[1]AA!F385</f>
        <v>8725.0000000000036</v>
      </c>
      <c r="G274" s="101">
        <f>[1]AA!G385</f>
        <v>176804.43</v>
      </c>
      <c r="H274" s="101">
        <f>[1]AA!H385</f>
        <v>18274.570000000007</v>
      </c>
      <c r="I274" s="107">
        <f t="shared" si="36"/>
        <v>0.9063222079260197</v>
      </c>
    </row>
    <row r="275" spans="1:9" x14ac:dyDescent="0.2">
      <c r="A275" s="195" t="s">
        <v>1044</v>
      </c>
      <c r="B275" s="195"/>
      <c r="C275" s="195"/>
      <c r="D275" s="91">
        <f>SUM(D276:D277)</f>
        <v>13540745</v>
      </c>
      <c r="E275" s="91">
        <f t="shared" ref="E275:H275" si="40">SUM(E276:E277)</f>
        <v>13127437.780000001</v>
      </c>
      <c r="F275" s="91">
        <f t="shared" si="40"/>
        <v>413307.22000000003</v>
      </c>
      <c r="G275" s="91">
        <f t="shared" si="40"/>
        <v>5841805.1300000018</v>
      </c>
      <c r="H275" s="91">
        <f t="shared" si="40"/>
        <v>7698939.870000001</v>
      </c>
      <c r="I275" s="92">
        <f>G275/D275</f>
        <v>0.43142420376426865</v>
      </c>
    </row>
    <row r="276" spans="1:9" ht="51" x14ac:dyDescent="0.2">
      <c r="A276" s="93">
        <f>SUBTOTAL(103,$B$8:B276)+287</f>
        <v>420</v>
      </c>
      <c r="B276" s="110">
        <v>3</v>
      </c>
      <c r="C276" s="128" t="s">
        <v>794</v>
      </c>
      <c r="D276" s="101">
        <f>[1]AA!D4</f>
        <v>6785637</v>
      </c>
      <c r="E276" s="101">
        <f>[1]AA!E4</f>
        <v>6674549.6900000004</v>
      </c>
      <c r="F276" s="101">
        <f>[1]AA!F4</f>
        <v>111087.31</v>
      </c>
      <c r="G276" s="101">
        <f>[1]AA!G4</f>
        <v>5710969.1800000016</v>
      </c>
      <c r="H276" s="101">
        <f>[1]AA!H4</f>
        <v>1074667.82</v>
      </c>
      <c r="I276" s="107">
        <f>G276/D276</f>
        <v>0.84162609641511943</v>
      </c>
    </row>
    <row r="277" spans="1:9" ht="38.25" x14ac:dyDescent="0.2">
      <c r="A277" s="93">
        <f>SUBTOTAL(103,$B$8:B277)+287</f>
        <v>421</v>
      </c>
      <c r="B277" s="110">
        <v>286</v>
      </c>
      <c r="C277" s="128" t="s">
        <v>804</v>
      </c>
      <c r="D277" s="101">
        <f>[1]AA!D251</f>
        <v>6755108</v>
      </c>
      <c r="E277" s="101">
        <f>[1]AA!E251</f>
        <v>6452888.0899999999</v>
      </c>
      <c r="F277" s="101">
        <f>[1]AA!F251</f>
        <v>302219.91000000003</v>
      </c>
      <c r="G277" s="101">
        <f>[1]AA!G251</f>
        <v>130835.95000000001</v>
      </c>
      <c r="H277" s="101">
        <f>[1]AA!H251</f>
        <v>6624272.0500000007</v>
      </c>
      <c r="I277" s="107">
        <f>G277/D277</f>
        <v>1.9368446810917015E-2</v>
      </c>
    </row>
    <row r="278" spans="1:9" hidden="1" x14ac:dyDescent="0.2">
      <c r="A278" s="195" t="s">
        <v>1047</v>
      </c>
      <c r="B278" s="195"/>
      <c r="C278" s="195"/>
      <c r="D278" s="91">
        <f>SUM(D279)</f>
        <v>0</v>
      </c>
      <c r="E278" s="91">
        <f t="shared" ref="E278:H278" si="41">SUM(E279)</f>
        <v>0</v>
      </c>
      <c r="F278" s="91">
        <f t="shared" si="41"/>
        <v>0</v>
      </c>
      <c r="G278" s="91">
        <f t="shared" si="41"/>
        <v>0</v>
      </c>
      <c r="H278" s="91">
        <f t="shared" si="41"/>
        <v>0</v>
      </c>
      <c r="I278" s="92" t="e">
        <f t="shared" si="36"/>
        <v>#DIV/0!</v>
      </c>
    </row>
    <row r="279" spans="1:9" ht="76.5" hidden="1" x14ac:dyDescent="0.2">
      <c r="A279" s="93">
        <f>SUBTOTAL(103,$B$8:B279)+287</f>
        <v>421</v>
      </c>
      <c r="B279" s="110">
        <v>266</v>
      </c>
      <c r="C279" s="128" t="s">
        <v>330</v>
      </c>
      <c r="D279" s="101">
        <f>[1]AA!D231</f>
        <v>0</v>
      </c>
      <c r="E279" s="101">
        <f>[1]AA!E231</f>
        <v>0</v>
      </c>
      <c r="F279" s="101">
        <f>[1]AA!F231</f>
        <v>0</v>
      </c>
      <c r="G279" s="101">
        <f>[1]AA!G231</f>
        <v>0</v>
      </c>
      <c r="H279" s="101">
        <f>[1]AA!H231</f>
        <v>0</v>
      </c>
      <c r="I279" s="107" t="e">
        <f t="shared" si="36"/>
        <v>#DIV/0!</v>
      </c>
    </row>
    <row r="280" spans="1:9" ht="69" hidden="1" x14ac:dyDescent="0.2">
      <c r="A280" s="14">
        <f>SUBTOTAL(103,$B$8:B280)+241</f>
        <v>375</v>
      </c>
      <c r="B280" s="9"/>
      <c r="C280" s="8" t="s">
        <v>287</v>
      </c>
      <c r="D280" s="15"/>
      <c r="E280" s="15"/>
      <c r="F280" s="15"/>
      <c r="G280" s="15"/>
      <c r="H280" s="15"/>
      <c r="I280" s="28" t="e">
        <f t="shared" si="32"/>
        <v>#DIV/0!</v>
      </c>
    </row>
    <row r="281" spans="1:9" ht="86.25" hidden="1" x14ac:dyDescent="0.2">
      <c r="A281" s="14">
        <f>SUBTOTAL(103,$B$8:B281)+241</f>
        <v>375</v>
      </c>
      <c r="B281" s="69"/>
      <c r="C281" s="8" t="s">
        <v>204</v>
      </c>
      <c r="D281" s="15"/>
      <c r="E281" s="15"/>
      <c r="F281" s="15"/>
      <c r="G281" s="15"/>
      <c r="H281" s="15"/>
      <c r="I281" s="28">
        <v>0</v>
      </c>
    </row>
    <row r="282" spans="1:9" ht="107.25" hidden="1" customHeight="1" x14ac:dyDescent="0.2">
      <c r="A282" s="14">
        <f>SUBTOTAL(103,$B$8:B282)+241</f>
        <v>375</v>
      </c>
      <c r="B282" s="69"/>
      <c r="C282" s="8" t="s">
        <v>366</v>
      </c>
      <c r="D282" s="15"/>
      <c r="E282" s="15"/>
      <c r="F282" s="15"/>
      <c r="G282" s="15"/>
      <c r="H282" s="15"/>
      <c r="I282" s="28" t="e">
        <f>G282/D282</f>
        <v>#DIV/0!</v>
      </c>
    </row>
    <row r="283" spans="1:9" ht="144.75" hidden="1" customHeight="1" x14ac:dyDescent="0.2">
      <c r="A283" s="14">
        <f>SUBTOTAL(103,$B$8:B283)+241</f>
        <v>375</v>
      </c>
      <c r="B283" s="70"/>
      <c r="C283" s="6" t="s">
        <v>214</v>
      </c>
      <c r="D283" s="15"/>
      <c r="E283" s="15"/>
      <c r="F283" s="15"/>
      <c r="G283" s="15"/>
      <c r="H283" s="15"/>
      <c r="I283" s="28" t="e">
        <f>G283/D283</f>
        <v>#DIV/0!</v>
      </c>
    </row>
    <row r="284" spans="1:9" ht="120.75" hidden="1" x14ac:dyDescent="0.2">
      <c r="A284" s="14">
        <f>SUBTOTAL(103,$B$8:B284)+241</f>
        <v>375</v>
      </c>
      <c r="B284" s="9"/>
      <c r="C284" s="8" t="s">
        <v>298</v>
      </c>
      <c r="D284" s="15"/>
      <c r="E284" s="15"/>
      <c r="F284" s="15"/>
      <c r="G284" s="15"/>
      <c r="H284" s="15"/>
      <c r="I284" s="28" t="e">
        <f>G284/D284</f>
        <v>#DIV/0!</v>
      </c>
    </row>
    <row r="285" spans="1:9" ht="18" hidden="1" x14ac:dyDescent="0.2">
      <c r="A285" s="14">
        <f>SUBTOTAL(103,$B$8:B285)+241</f>
        <v>375</v>
      </c>
      <c r="B285" s="9"/>
      <c r="D285" s="15"/>
      <c r="E285" s="15"/>
      <c r="F285" s="15"/>
      <c r="G285" s="15"/>
      <c r="H285" s="15"/>
      <c r="I285" s="28" t="e">
        <f>G285/D285</f>
        <v>#DIV/0!</v>
      </c>
    </row>
    <row r="286" spans="1:9" ht="86.25" hidden="1" x14ac:dyDescent="0.2">
      <c r="A286" s="14">
        <f>SUBTOTAL(103,$B$8:B286)+241</f>
        <v>375</v>
      </c>
      <c r="B286" s="69"/>
      <c r="C286" s="8" t="s">
        <v>200</v>
      </c>
      <c r="D286" s="15"/>
      <c r="E286" s="15"/>
      <c r="F286" s="15"/>
      <c r="G286" s="15"/>
      <c r="H286" s="15"/>
      <c r="I286" s="29">
        <v>0</v>
      </c>
    </row>
    <row r="287" spans="1:9" ht="103.5" hidden="1" x14ac:dyDescent="0.2">
      <c r="A287" s="14">
        <f>SUBTOTAL(103,$B$8:B287)+241</f>
        <v>375</v>
      </c>
      <c r="B287" s="69"/>
      <c r="C287" s="8" t="s">
        <v>201</v>
      </c>
      <c r="D287" s="15"/>
      <c r="E287" s="15"/>
      <c r="F287" s="15"/>
      <c r="G287" s="15"/>
      <c r="H287" s="15"/>
      <c r="I287" s="28">
        <v>0</v>
      </c>
    </row>
    <row r="288" spans="1:9" ht="103.5" hidden="1" x14ac:dyDescent="0.2">
      <c r="A288" s="14">
        <f>SUBTOTAL(103,$B$8:B288)+241</f>
        <v>375</v>
      </c>
      <c r="B288" s="69"/>
      <c r="C288" s="8" t="s">
        <v>202</v>
      </c>
      <c r="D288" s="15"/>
      <c r="E288" s="15"/>
      <c r="F288" s="15"/>
      <c r="G288" s="15"/>
      <c r="H288" s="15"/>
      <c r="I288" s="28">
        <v>0</v>
      </c>
    </row>
    <row r="289" spans="1:9" ht="86.25" hidden="1" x14ac:dyDescent="0.2">
      <c r="A289" s="14">
        <f>SUBTOTAL(103,$B$8:B289)+241</f>
        <v>375</v>
      </c>
      <c r="B289" s="9"/>
      <c r="C289" s="8" t="s">
        <v>216</v>
      </c>
      <c r="D289" s="15"/>
      <c r="E289" s="15"/>
      <c r="F289" s="15"/>
      <c r="G289" s="15"/>
      <c r="H289" s="15"/>
      <c r="I289" s="28" t="e">
        <f t="shared" ref="I289:I301" si="42">G289/D289</f>
        <v>#DIV/0!</v>
      </c>
    </row>
    <row r="290" spans="1:9" ht="86.25" hidden="1" x14ac:dyDescent="0.2">
      <c r="A290" s="14">
        <f>SUBTOTAL(103,$B$8:B290)+241</f>
        <v>375</v>
      </c>
      <c r="B290" s="9"/>
      <c r="C290" s="8" t="s">
        <v>467</v>
      </c>
      <c r="D290" s="15"/>
      <c r="E290" s="15"/>
      <c r="F290" s="15"/>
      <c r="G290" s="15"/>
      <c r="H290" s="15"/>
      <c r="I290" s="28" t="e">
        <f t="shared" si="42"/>
        <v>#DIV/0!</v>
      </c>
    </row>
    <row r="291" spans="1:9" ht="103.5" hidden="1" x14ac:dyDescent="0.2">
      <c r="A291" s="14">
        <f>SUBTOTAL(103,$B$8:B291)+241</f>
        <v>375</v>
      </c>
      <c r="B291" s="9"/>
      <c r="C291" s="8" t="s">
        <v>295</v>
      </c>
      <c r="D291" s="15"/>
      <c r="E291" s="15"/>
      <c r="F291" s="15"/>
      <c r="G291" s="15"/>
      <c r="H291" s="15"/>
      <c r="I291" s="28" t="e">
        <f t="shared" si="42"/>
        <v>#DIV/0!</v>
      </c>
    </row>
    <row r="292" spans="1:9" ht="86.25" hidden="1" x14ac:dyDescent="0.2">
      <c r="A292" s="14">
        <f>SUBTOTAL(103,$B$8:B292)+241</f>
        <v>375</v>
      </c>
      <c r="B292" s="9"/>
      <c r="C292" s="8" t="s">
        <v>294</v>
      </c>
      <c r="D292" s="15"/>
      <c r="E292" s="15"/>
      <c r="F292" s="15"/>
      <c r="G292" s="15"/>
      <c r="H292" s="15"/>
      <c r="I292" s="28" t="e">
        <f t="shared" si="42"/>
        <v>#DIV/0!</v>
      </c>
    </row>
    <row r="293" spans="1:9" ht="103.5" hidden="1" x14ac:dyDescent="0.2">
      <c r="A293" s="14">
        <f>SUBTOTAL(103,$B$8:B293)+241</f>
        <v>375</v>
      </c>
      <c r="B293" s="9"/>
      <c r="C293" s="8" t="s">
        <v>354</v>
      </c>
      <c r="D293" s="15"/>
      <c r="E293" s="15"/>
      <c r="F293" s="15"/>
      <c r="G293" s="15"/>
      <c r="H293" s="15"/>
      <c r="I293" s="28" t="e">
        <f t="shared" si="42"/>
        <v>#DIV/0!</v>
      </c>
    </row>
    <row r="294" spans="1:9" ht="86.25" hidden="1" x14ac:dyDescent="0.2">
      <c r="A294" s="14">
        <f>SUBTOTAL(103,$B$8:B294)+241</f>
        <v>375</v>
      </c>
      <c r="B294" s="9"/>
      <c r="C294" s="8" t="s">
        <v>355</v>
      </c>
      <c r="D294" s="15"/>
      <c r="E294" s="15"/>
      <c r="F294" s="15"/>
      <c r="G294" s="15"/>
      <c r="H294" s="15"/>
      <c r="I294" s="28" t="e">
        <f t="shared" si="42"/>
        <v>#DIV/0!</v>
      </c>
    </row>
    <row r="295" spans="1:9" ht="69" hidden="1" x14ac:dyDescent="0.2">
      <c r="A295" s="14">
        <f>SUBTOTAL(103,$B$8:B295)+241</f>
        <v>375</v>
      </c>
      <c r="B295" s="9"/>
      <c r="C295" s="8" t="s">
        <v>856</v>
      </c>
      <c r="D295" s="15"/>
      <c r="E295" s="15"/>
      <c r="F295" s="15"/>
      <c r="G295" s="15"/>
      <c r="H295" s="15"/>
      <c r="I295" s="28" t="e">
        <f t="shared" si="42"/>
        <v>#DIV/0!</v>
      </c>
    </row>
    <row r="296" spans="1:9" ht="120.75" hidden="1" x14ac:dyDescent="0.2">
      <c r="A296" s="14">
        <f>SUBTOTAL(103,$B$8:B296)+241</f>
        <v>375</v>
      </c>
      <c r="B296" s="9"/>
      <c r="C296" s="8" t="s">
        <v>862</v>
      </c>
      <c r="D296" s="15"/>
      <c r="E296" s="15"/>
      <c r="F296" s="15"/>
      <c r="G296" s="15"/>
      <c r="H296" s="15"/>
      <c r="I296" s="28" t="e">
        <f t="shared" si="42"/>
        <v>#DIV/0!</v>
      </c>
    </row>
    <row r="297" spans="1:9" ht="18" hidden="1" x14ac:dyDescent="0.2">
      <c r="A297" s="14">
        <f>SUBTOTAL(103,$B$8:B297)+241</f>
        <v>375</v>
      </c>
      <c r="B297" s="9"/>
      <c r="D297" s="15"/>
      <c r="E297" s="15"/>
      <c r="F297" s="15"/>
      <c r="G297" s="15"/>
      <c r="H297" s="15"/>
      <c r="I297" s="28" t="e">
        <f t="shared" si="42"/>
        <v>#DIV/0!</v>
      </c>
    </row>
    <row r="298" spans="1:9" hidden="1" x14ac:dyDescent="0.2"/>
    <row r="299" spans="1:9" hidden="1" x14ac:dyDescent="0.2"/>
    <row r="300" spans="1:9" x14ac:dyDescent="0.2">
      <c r="A300" s="219" t="s">
        <v>23</v>
      </c>
      <c r="B300" s="220"/>
      <c r="C300" s="221"/>
      <c r="D300" s="108">
        <f>SUM(D301:D313)</f>
        <v>9517459</v>
      </c>
      <c r="E300" s="108">
        <f>SUM(E301:E313)</f>
        <v>5236685.9099999992</v>
      </c>
      <c r="F300" s="108">
        <f>SUM(F301:F313)</f>
        <v>4280773.0900000008</v>
      </c>
      <c r="G300" s="108">
        <f>SUM(G301:G313)</f>
        <v>4762417.7300000004</v>
      </c>
      <c r="H300" s="108">
        <f>SUM(H301:H313)</f>
        <v>4755041.2700000005</v>
      </c>
      <c r="I300" s="109">
        <f>G300/D300</f>
        <v>0.50038752255197527</v>
      </c>
    </row>
    <row r="301" spans="1:9" ht="34.5" hidden="1" x14ac:dyDescent="0.2">
      <c r="A301" s="5">
        <v>291</v>
      </c>
      <c r="B301" s="7"/>
      <c r="C301" s="8" t="s">
        <v>46</v>
      </c>
      <c r="D301" s="11"/>
      <c r="E301" s="11"/>
      <c r="F301" s="11">
        <f>D301-E301</f>
        <v>0</v>
      </c>
      <c r="G301" s="11"/>
      <c r="H301" s="11">
        <f>D301-G301</f>
        <v>0</v>
      </c>
      <c r="I301" s="19" t="e">
        <f t="shared" si="42"/>
        <v>#DIV/0!</v>
      </c>
    </row>
    <row r="302" spans="1:9" ht="12.75" x14ac:dyDescent="0.2">
      <c r="A302" s="93">
        <f>SUBTOTAL(103,$B$8:B302)+287</f>
        <v>422</v>
      </c>
      <c r="B302" s="117">
        <v>213</v>
      </c>
      <c r="C302" s="128" t="s">
        <v>134</v>
      </c>
      <c r="D302" s="118">
        <f>[1]AA!D178</f>
        <v>1731459</v>
      </c>
      <c r="E302" s="118">
        <f>[1]AA!E178</f>
        <v>0</v>
      </c>
      <c r="F302" s="118">
        <f>[1]AA!F178</f>
        <v>1731459</v>
      </c>
      <c r="G302" s="118">
        <f>[1]AA!G178</f>
        <v>0</v>
      </c>
      <c r="H302" s="118">
        <f>[1]AA!H178</f>
        <v>1731459</v>
      </c>
      <c r="I302" s="119">
        <f t="shared" ref="I302:I310" si="43">G302/D302</f>
        <v>0</v>
      </c>
    </row>
    <row r="303" spans="1:9" ht="12.75" x14ac:dyDescent="0.2">
      <c r="A303" s="93">
        <f>SUBTOTAL(103,$B$8:B303)+287</f>
        <v>423</v>
      </c>
      <c r="B303" s="117">
        <v>214</v>
      </c>
      <c r="C303" s="128" t="s">
        <v>134</v>
      </c>
      <c r="D303" s="118">
        <f>[1]AA!D179</f>
        <v>1367094</v>
      </c>
      <c r="E303" s="118">
        <f>[1]AA!E179</f>
        <v>0</v>
      </c>
      <c r="F303" s="118">
        <f>[1]AA!F179</f>
        <v>1367094</v>
      </c>
      <c r="G303" s="118">
        <f>[1]AA!G179</f>
        <v>0</v>
      </c>
      <c r="H303" s="118">
        <f>[1]AA!H179</f>
        <v>1367094</v>
      </c>
      <c r="I303" s="119">
        <f t="shared" si="43"/>
        <v>0</v>
      </c>
    </row>
    <row r="304" spans="1:9" ht="12.75" hidden="1" x14ac:dyDescent="0.2">
      <c r="A304" s="93">
        <f>SUBTOTAL(103,$B$8:B304)+287</f>
        <v>423</v>
      </c>
      <c r="B304" s="117">
        <v>215</v>
      </c>
      <c r="C304" s="128" t="s">
        <v>134</v>
      </c>
      <c r="D304" s="118">
        <f>[1]AA!D180</f>
        <v>0</v>
      </c>
      <c r="E304" s="118">
        <f>[1]AA!E180</f>
        <v>0</v>
      </c>
      <c r="F304" s="118">
        <f>[1]AA!F180</f>
        <v>0</v>
      </c>
      <c r="G304" s="118">
        <f>[1]AA!G180</f>
        <v>0</v>
      </c>
      <c r="H304" s="118">
        <f>[1]AA!H180</f>
        <v>0</v>
      </c>
      <c r="I304" s="119" t="e">
        <f t="shared" si="43"/>
        <v>#DIV/0!</v>
      </c>
    </row>
    <row r="305" spans="1:10" ht="12.75" x14ac:dyDescent="0.2">
      <c r="A305" s="93">
        <f>SUBTOTAL(103,$B$8:B305)+287</f>
        <v>424</v>
      </c>
      <c r="B305" s="117">
        <v>428</v>
      </c>
      <c r="C305" s="128" t="s">
        <v>134</v>
      </c>
      <c r="D305" s="118">
        <f>[1]AA!D369</f>
        <v>1185238</v>
      </c>
      <c r="E305" s="118">
        <f>[1]AA!E369</f>
        <v>895458.81</v>
      </c>
      <c r="F305" s="118">
        <f>[1]AA!F369</f>
        <v>289779.18999999994</v>
      </c>
      <c r="G305" s="118">
        <f>[1]AA!G369</f>
        <v>848303.96000000008</v>
      </c>
      <c r="H305" s="118">
        <f>[1]AA!H369</f>
        <v>336934.03999999992</v>
      </c>
      <c r="I305" s="119">
        <f t="shared" si="43"/>
        <v>0.71572457177377036</v>
      </c>
    </row>
    <row r="306" spans="1:10" ht="12.75" x14ac:dyDescent="0.2">
      <c r="A306" s="93">
        <f>SUBTOTAL(103,$B$8:B306)+287</f>
        <v>425</v>
      </c>
      <c r="B306" s="117">
        <v>429</v>
      </c>
      <c r="C306" s="128" t="s">
        <v>134</v>
      </c>
      <c r="D306" s="118">
        <f>[1]AA!D370</f>
        <v>303086</v>
      </c>
      <c r="E306" s="118">
        <f>[1]AA!E370</f>
        <v>276239.45</v>
      </c>
      <c r="F306" s="118">
        <f>[1]AA!F370</f>
        <v>26846.549999999988</v>
      </c>
      <c r="G306" s="118">
        <f>[1]AA!G370</f>
        <v>275941.00000000006</v>
      </c>
      <c r="H306" s="118">
        <f>[1]AA!H370</f>
        <v>27144.999999999942</v>
      </c>
      <c r="I306" s="119">
        <f t="shared" si="43"/>
        <v>0.91043796150267597</v>
      </c>
    </row>
    <row r="307" spans="1:10" ht="12.75" x14ac:dyDescent="0.2">
      <c r="A307" s="93">
        <f>SUBTOTAL(103,$B$8:B307)+287</f>
        <v>426</v>
      </c>
      <c r="B307" s="117">
        <v>430</v>
      </c>
      <c r="C307" s="128" t="s">
        <v>134</v>
      </c>
      <c r="D307" s="118">
        <f>[1]AA!D371</f>
        <v>1627635</v>
      </c>
      <c r="E307" s="118">
        <f>[1]AA!E371</f>
        <v>1273793.6299999999</v>
      </c>
      <c r="F307" s="118">
        <f>[1]AA!F371</f>
        <v>353841.37000000011</v>
      </c>
      <c r="G307" s="118">
        <f>[1]AA!G371</f>
        <v>1205599.73</v>
      </c>
      <c r="H307" s="118">
        <f>[1]AA!H371</f>
        <v>422035.27</v>
      </c>
      <c r="I307" s="119">
        <f t="shared" si="43"/>
        <v>0.74070644216915948</v>
      </c>
    </row>
    <row r="308" spans="1:10" ht="12.75" x14ac:dyDescent="0.2">
      <c r="A308" s="93">
        <f>SUBTOTAL(103,$B$8:B308)+287</f>
        <v>427</v>
      </c>
      <c r="B308" s="117">
        <v>431</v>
      </c>
      <c r="C308" s="129" t="s">
        <v>134</v>
      </c>
      <c r="D308" s="118">
        <f>[1]AA!D372</f>
        <v>1116717</v>
      </c>
      <c r="E308" s="118">
        <f>[1]AA!E372</f>
        <v>836728.57000000007</v>
      </c>
      <c r="F308" s="118">
        <f>[1]AA!F372</f>
        <v>279988.42999999993</v>
      </c>
      <c r="G308" s="118">
        <f>[1]AA!G372</f>
        <v>803787.89</v>
      </c>
      <c r="H308" s="118">
        <f>[1]AA!H372</f>
        <v>312929.11</v>
      </c>
      <c r="I308" s="119">
        <f t="shared" si="43"/>
        <v>0.71977760703920513</v>
      </c>
    </row>
    <row r="309" spans="1:10" ht="12.75" x14ac:dyDescent="0.2">
      <c r="A309" s="93">
        <f>SUBTOTAL(103,$B$8:B309)+287</f>
        <v>428</v>
      </c>
      <c r="B309" s="117">
        <v>432</v>
      </c>
      <c r="C309" s="128" t="s">
        <v>134</v>
      </c>
      <c r="D309" s="118">
        <f>[1]AA!D373</f>
        <v>1333400</v>
      </c>
      <c r="E309" s="118">
        <f>[1]AA!E373</f>
        <v>1175768.47</v>
      </c>
      <c r="F309" s="118">
        <f>[1]AA!F373</f>
        <v>157631.53000000003</v>
      </c>
      <c r="G309" s="118">
        <f>[1]AA!G373</f>
        <v>1143663.05</v>
      </c>
      <c r="H309" s="118">
        <f>[1]AA!H373</f>
        <v>189736.94999999995</v>
      </c>
      <c r="I309" s="119">
        <f t="shared" si="43"/>
        <v>0.85770440227988609</v>
      </c>
    </row>
    <row r="310" spans="1:10" ht="12.75" x14ac:dyDescent="0.2">
      <c r="A310" s="93">
        <f>SUBTOTAL(103,$B$8:B310)+287</f>
        <v>429</v>
      </c>
      <c r="B310" s="117">
        <v>436</v>
      </c>
      <c r="C310" s="128" t="s">
        <v>134</v>
      </c>
      <c r="D310" s="118">
        <f>[1]AA!D376</f>
        <v>768405</v>
      </c>
      <c r="E310" s="118">
        <f>[1]AA!E376</f>
        <v>699477.1</v>
      </c>
      <c r="F310" s="118">
        <f>[1]AA!F376</f>
        <v>68927.900000000023</v>
      </c>
      <c r="G310" s="118">
        <f>[1]AA!G376</f>
        <v>405902.22</v>
      </c>
      <c r="H310" s="118">
        <f>[1]AA!H376</f>
        <v>362502.78</v>
      </c>
      <c r="I310" s="119">
        <f t="shared" si="43"/>
        <v>0.52823995158802972</v>
      </c>
    </row>
    <row r="311" spans="1:10" ht="12.75" x14ac:dyDescent="0.2">
      <c r="A311" s="93">
        <f>SUBTOTAL(103,$B$8:B311)+287</f>
        <v>430</v>
      </c>
      <c r="B311" s="117">
        <v>481</v>
      </c>
      <c r="C311" s="128" t="s">
        <v>134</v>
      </c>
      <c r="D311" s="118">
        <f>[1]AA!D400</f>
        <v>84425</v>
      </c>
      <c r="E311" s="118">
        <f>[1]AA!E400</f>
        <v>79219.88</v>
      </c>
      <c r="F311" s="118">
        <f>[1]AA!F400</f>
        <v>5205.1199999999953</v>
      </c>
      <c r="G311" s="118">
        <f>[1]AA!G400</f>
        <v>79219.88</v>
      </c>
      <c r="H311" s="118">
        <f>[1]AA!H400</f>
        <v>5205.1199999999953</v>
      </c>
      <c r="I311" s="119">
        <f>G311/D311</f>
        <v>0.9383462244595796</v>
      </c>
    </row>
    <row r="312" spans="1:10" ht="18" hidden="1" x14ac:dyDescent="0.2">
      <c r="A312" s="5">
        <f>SUBTOTAL(103,$B$8:B312)+241</f>
        <v>384</v>
      </c>
      <c r="B312" s="71"/>
      <c r="C312" s="81" t="s">
        <v>134</v>
      </c>
      <c r="D312" s="11"/>
      <c r="E312" s="11"/>
      <c r="F312" s="11"/>
      <c r="G312" s="11"/>
      <c r="H312" s="11"/>
      <c r="I312" s="19" t="e">
        <f t="shared" ref="I312:I326" si="44">G312/D312</f>
        <v>#DIV/0!</v>
      </c>
    </row>
    <row r="313" spans="1:10" ht="18" hidden="1" x14ac:dyDescent="0.2">
      <c r="A313" s="5">
        <f>SUBTOTAL(103,$B$8:B313)+241</f>
        <v>384</v>
      </c>
      <c r="B313" s="71"/>
      <c r="C313" s="81" t="s">
        <v>134</v>
      </c>
      <c r="D313" s="11"/>
      <c r="E313" s="11"/>
      <c r="F313" s="11"/>
      <c r="G313" s="11"/>
      <c r="H313" s="11"/>
      <c r="I313" s="19" t="e">
        <f t="shared" si="44"/>
        <v>#DIV/0!</v>
      </c>
    </row>
    <row r="314" spans="1:10" ht="15.75" x14ac:dyDescent="0.2">
      <c r="A314" s="222" t="s">
        <v>192</v>
      </c>
      <c r="B314" s="223"/>
      <c r="C314" s="224"/>
      <c r="D314" s="120">
        <f>D6+D192+D217+D224+D231+D300+'Gerencia de Infraestructura'!D905</f>
        <v>909469091</v>
      </c>
      <c r="E314" s="120">
        <f>E6+E192+E217+E224+E231+E300+'Gerencia de Infraestructura'!E905</f>
        <v>828307368.91999984</v>
      </c>
      <c r="F314" s="120">
        <f>D314-E314</f>
        <v>81161722.080000162</v>
      </c>
      <c r="G314" s="120">
        <f>G6+G192+G217+G224+G231+G300+'Gerencia de Infraestructura'!G905</f>
        <v>377106269.03999996</v>
      </c>
      <c r="H314" s="120">
        <f>D314-G314</f>
        <v>532362821.96000004</v>
      </c>
      <c r="I314" s="121">
        <f t="shared" ref="I314:I323" si="45">G314/D314</f>
        <v>0.41464440383054202</v>
      </c>
    </row>
    <row r="315" spans="1:10" x14ac:dyDescent="0.2">
      <c r="A315" s="216" t="s">
        <v>9</v>
      </c>
      <c r="B315" s="217"/>
      <c r="C315" s="218"/>
      <c r="D315" s="108">
        <f>+D316+D318</f>
        <v>2582404</v>
      </c>
      <c r="E315" s="108">
        <f t="shared" ref="E315:H315" si="46">+E316+E318</f>
        <v>1756663.49</v>
      </c>
      <c r="F315" s="108">
        <f t="shared" si="46"/>
        <v>825740.50999999989</v>
      </c>
      <c r="G315" s="108">
        <f t="shared" si="46"/>
        <v>1383526.03</v>
      </c>
      <c r="H315" s="108">
        <f t="shared" si="46"/>
        <v>1198877.97</v>
      </c>
      <c r="I315" s="109">
        <f t="shared" si="45"/>
        <v>0.5357511953977766</v>
      </c>
      <c r="J315" s="72"/>
    </row>
    <row r="316" spans="1:10" x14ac:dyDescent="0.2">
      <c r="A316" s="195" t="s">
        <v>132</v>
      </c>
      <c r="B316" s="195"/>
      <c r="C316" s="195"/>
      <c r="D316" s="91">
        <f>+D317</f>
        <v>119950</v>
      </c>
      <c r="E316" s="91">
        <f t="shared" ref="E316:H316" si="47">+E317</f>
        <v>116328.89</v>
      </c>
      <c r="F316" s="91">
        <f t="shared" si="47"/>
        <v>3621.1100000000006</v>
      </c>
      <c r="G316" s="91">
        <f t="shared" si="47"/>
        <v>70291.22</v>
      </c>
      <c r="H316" s="91">
        <f t="shared" si="47"/>
        <v>49658.78</v>
      </c>
      <c r="I316" s="92">
        <f t="shared" si="45"/>
        <v>0.58600433513964156</v>
      </c>
      <c r="J316" s="72"/>
    </row>
    <row r="317" spans="1:10" ht="51" x14ac:dyDescent="0.2">
      <c r="A317" s="93">
        <f>SUBTOTAL(103,$B$8:B317)+287</f>
        <v>431</v>
      </c>
      <c r="B317" s="122">
        <v>1</v>
      </c>
      <c r="C317" s="128" t="s">
        <v>379</v>
      </c>
      <c r="D317" s="118">
        <f>[1]PRODUCCION!C6</f>
        <v>119950</v>
      </c>
      <c r="E317" s="118">
        <f>[1]PRODUCCION!D6</f>
        <v>116328.89</v>
      </c>
      <c r="F317" s="118">
        <f>[1]PRODUCCION!E6</f>
        <v>3621.1100000000006</v>
      </c>
      <c r="G317" s="118">
        <f>[1]PRODUCCION!F6</f>
        <v>70291.22</v>
      </c>
      <c r="H317" s="118">
        <f>[1]PRODUCCION!G6</f>
        <v>49658.78</v>
      </c>
      <c r="I317" s="119">
        <f t="shared" si="45"/>
        <v>0.58600433513964156</v>
      </c>
    </row>
    <row r="318" spans="1:10" x14ac:dyDescent="0.2">
      <c r="A318" s="195" t="s">
        <v>1053</v>
      </c>
      <c r="B318" s="195"/>
      <c r="C318" s="195"/>
      <c r="D318" s="91">
        <f>SUM(D319:D320)</f>
        <v>2462454</v>
      </c>
      <c r="E318" s="91">
        <f t="shared" ref="E318:H318" si="48">SUM(E319:E320)</f>
        <v>1640334.6</v>
      </c>
      <c r="F318" s="91">
        <f t="shared" si="48"/>
        <v>822119.39999999991</v>
      </c>
      <c r="G318" s="91">
        <f t="shared" si="48"/>
        <v>1313234.81</v>
      </c>
      <c r="H318" s="91">
        <f t="shared" si="48"/>
        <v>1149219.19</v>
      </c>
      <c r="I318" s="92">
        <f t="shared" si="45"/>
        <v>0.53330328607153676</v>
      </c>
    </row>
    <row r="319" spans="1:10" ht="38.25" x14ac:dyDescent="0.2">
      <c r="A319" s="93">
        <f>SUBTOTAL(103,$B$8:B319)+287</f>
        <v>432</v>
      </c>
      <c r="B319" s="122">
        <v>1</v>
      </c>
      <c r="C319" s="129" t="s">
        <v>10</v>
      </c>
      <c r="D319" s="118">
        <f>[1]PRODUCCION!C7</f>
        <v>2417454</v>
      </c>
      <c r="E319" s="118">
        <f>[1]PRODUCCION!D7</f>
        <v>1640334.6</v>
      </c>
      <c r="F319" s="118">
        <f>[1]PRODUCCION!E7</f>
        <v>777119.39999999991</v>
      </c>
      <c r="G319" s="118">
        <f>[1]PRODUCCION!F7</f>
        <v>1313234.81</v>
      </c>
      <c r="H319" s="118">
        <f>[1]PRODUCCION!G7</f>
        <v>1104219.19</v>
      </c>
      <c r="I319" s="119">
        <f>G319/D319</f>
        <v>0.54323052682698414</v>
      </c>
    </row>
    <row r="320" spans="1:10" ht="63.75" x14ac:dyDescent="0.2">
      <c r="A320" s="93">
        <f>SUBTOTAL(103,$B$8:B320)+287</f>
        <v>433</v>
      </c>
      <c r="B320" s="122">
        <v>1</v>
      </c>
      <c r="C320" s="129" t="s">
        <v>2441</v>
      </c>
      <c r="D320" s="118">
        <f>[1]PRODUCCION!C8</f>
        <v>45000</v>
      </c>
      <c r="E320" s="118">
        <f>[1]PRODUCCION!D8</f>
        <v>0</v>
      </c>
      <c r="F320" s="118">
        <f>[1]PRODUCCION!E8</f>
        <v>45000</v>
      </c>
      <c r="G320" s="118">
        <f>[1]PRODUCCION!F8</f>
        <v>0</v>
      </c>
      <c r="H320" s="118">
        <f>[1]PRODUCCION!G8</f>
        <v>45000</v>
      </c>
      <c r="I320" s="119">
        <f>G320/D320</f>
        <v>0</v>
      </c>
    </row>
    <row r="321" spans="1:9" ht="30" customHeight="1" x14ac:dyDescent="0.2">
      <c r="A321" s="229" t="s">
        <v>11</v>
      </c>
      <c r="B321" s="230"/>
      <c r="C321" s="231"/>
      <c r="D321" s="108">
        <f>+D342+D322</f>
        <v>36637342</v>
      </c>
      <c r="E321" s="108">
        <f>+E342+E322</f>
        <v>35406978.789999999</v>
      </c>
      <c r="F321" s="108">
        <f>+F342+F322</f>
        <v>1230363.2100000002</v>
      </c>
      <c r="G321" s="108">
        <f>+G342+G322</f>
        <v>27410331.41</v>
      </c>
      <c r="H321" s="108">
        <f>+H342+H322</f>
        <v>9227010.589999998</v>
      </c>
      <c r="I321" s="109">
        <f t="shared" si="45"/>
        <v>0.74815283843462221</v>
      </c>
    </row>
    <row r="322" spans="1:9" x14ac:dyDescent="0.2">
      <c r="A322" s="195" t="s">
        <v>1049</v>
      </c>
      <c r="B322" s="195"/>
      <c r="C322" s="195"/>
      <c r="D322" s="91">
        <f>SUM(D323:D341)</f>
        <v>36637342</v>
      </c>
      <c r="E322" s="91">
        <f t="shared" ref="E322:H322" si="49">SUM(E323:E341)</f>
        <v>35406978.789999999</v>
      </c>
      <c r="F322" s="91">
        <f t="shared" si="49"/>
        <v>1230363.2100000002</v>
      </c>
      <c r="G322" s="91">
        <f t="shared" si="49"/>
        <v>27410331.41</v>
      </c>
      <c r="H322" s="91">
        <f t="shared" si="49"/>
        <v>9227010.589999998</v>
      </c>
      <c r="I322" s="92">
        <f t="shared" si="45"/>
        <v>0.74815283843462221</v>
      </c>
    </row>
    <row r="323" spans="1:9" ht="12.75" x14ac:dyDescent="0.2">
      <c r="A323" s="93">
        <f>SUBTOTAL(103,$B$8:B323)+287</f>
        <v>434</v>
      </c>
      <c r="B323" s="123" t="s">
        <v>406</v>
      </c>
      <c r="C323" s="128" t="s">
        <v>371</v>
      </c>
      <c r="D323" s="118">
        <f>[1]PRORRIDRE!C5</f>
        <v>678214</v>
      </c>
      <c r="E323" s="118">
        <f>[1]PRORRIDRE!D5</f>
        <v>554739.75</v>
      </c>
      <c r="F323" s="118">
        <f>[1]PRORRIDRE!E5</f>
        <v>123474.25</v>
      </c>
      <c r="G323" s="118">
        <f>[1]PRORRIDRE!F5</f>
        <v>267521.35000000003</v>
      </c>
      <c r="H323" s="118">
        <f>[1]PRORRIDRE!G5</f>
        <v>410692.64999999997</v>
      </c>
      <c r="I323" s="119">
        <f t="shared" si="45"/>
        <v>0.39444976069500193</v>
      </c>
    </row>
    <row r="324" spans="1:9" ht="51" hidden="1" x14ac:dyDescent="0.2">
      <c r="A324" s="93">
        <f>SUBTOTAL(103,$B$8:B324)+287</f>
        <v>434</v>
      </c>
      <c r="B324" s="123" t="s">
        <v>406</v>
      </c>
      <c r="C324" s="128" t="s">
        <v>56</v>
      </c>
      <c r="D324" s="118"/>
      <c r="E324" s="118"/>
      <c r="F324" s="118"/>
      <c r="G324" s="118"/>
      <c r="H324" s="118"/>
      <c r="I324" s="119" t="e">
        <f t="shared" si="44"/>
        <v>#DIV/0!</v>
      </c>
    </row>
    <row r="325" spans="1:9" ht="63.75" hidden="1" x14ac:dyDescent="0.2">
      <c r="A325" s="93">
        <f>SUBTOTAL(103,$B$8:B325)+287</f>
        <v>434</v>
      </c>
      <c r="B325" s="123" t="s">
        <v>406</v>
      </c>
      <c r="C325" s="128" t="s">
        <v>58</v>
      </c>
      <c r="D325" s="118"/>
      <c r="E325" s="118"/>
      <c r="F325" s="118"/>
      <c r="G325" s="118"/>
      <c r="H325" s="118"/>
      <c r="I325" s="119" t="e">
        <f t="shared" si="44"/>
        <v>#DIV/0!</v>
      </c>
    </row>
    <row r="326" spans="1:9" ht="51" hidden="1" x14ac:dyDescent="0.2">
      <c r="A326" s="93">
        <f>SUBTOTAL(103,$B$8:B326)+287</f>
        <v>434</v>
      </c>
      <c r="B326" s="123" t="s">
        <v>406</v>
      </c>
      <c r="C326" s="128" t="s">
        <v>47</v>
      </c>
      <c r="D326" s="118"/>
      <c r="E326" s="118"/>
      <c r="F326" s="118"/>
      <c r="G326" s="118"/>
      <c r="H326" s="118"/>
      <c r="I326" s="119" t="e">
        <f t="shared" si="44"/>
        <v>#DIV/0!</v>
      </c>
    </row>
    <row r="327" spans="1:9" ht="51" x14ac:dyDescent="0.2">
      <c r="A327" s="93">
        <f>SUBTOTAL(103,$B$8:B327)+287</f>
        <v>435</v>
      </c>
      <c r="B327" s="123" t="s">
        <v>406</v>
      </c>
      <c r="C327" s="128" t="s">
        <v>48</v>
      </c>
      <c r="D327" s="118">
        <f>[1]PRORRIDRE!C6</f>
        <v>34081</v>
      </c>
      <c r="E327" s="118">
        <f>[1]PRORRIDRE!D6</f>
        <v>33741.480000000003</v>
      </c>
      <c r="F327" s="118">
        <f>[1]PRORRIDRE!E6</f>
        <v>339.5199999999968</v>
      </c>
      <c r="G327" s="118">
        <f>[1]PRORRIDRE!F6</f>
        <v>33314.799999999996</v>
      </c>
      <c r="H327" s="118">
        <f>[1]PRORRIDRE!G6</f>
        <v>766.20000000000437</v>
      </c>
      <c r="I327" s="119">
        <f>G327/D327</f>
        <v>0.97751826530911634</v>
      </c>
    </row>
    <row r="328" spans="1:9" ht="38.25" hidden="1" x14ac:dyDescent="0.2">
      <c r="A328" s="93">
        <f>SUBTOTAL(103,$B$8:B328)+287</f>
        <v>435</v>
      </c>
      <c r="B328" s="123" t="s">
        <v>406</v>
      </c>
      <c r="C328" s="128" t="s">
        <v>12</v>
      </c>
      <c r="D328" s="118"/>
      <c r="E328" s="118"/>
      <c r="F328" s="118"/>
      <c r="G328" s="118"/>
      <c r="H328" s="118"/>
      <c r="I328" s="119"/>
    </row>
    <row r="329" spans="1:9" ht="51" hidden="1" x14ac:dyDescent="0.2">
      <c r="A329" s="93">
        <f>SUBTOTAL(103,$B$8:B329)+287</f>
        <v>435</v>
      </c>
      <c r="B329" s="123" t="s">
        <v>406</v>
      </c>
      <c r="C329" s="128" t="s">
        <v>49</v>
      </c>
      <c r="D329" s="118"/>
      <c r="E329" s="118"/>
      <c r="F329" s="118"/>
      <c r="G329" s="118"/>
      <c r="H329" s="118"/>
      <c r="I329" s="119" t="e">
        <f t="shared" ref="I329:I339" si="50">G329/D329</f>
        <v>#DIV/0!</v>
      </c>
    </row>
    <row r="330" spans="1:9" ht="51" x14ac:dyDescent="0.2">
      <c r="A330" s="93">
        <f>SUBTOTAL(103,$B$8:B330)+287</f>
        <v>436</v>
      </c>
      <c r="B330" s="123" t="s">
        <v>406</v>
      </c>
      <c r="C330" s="128" t="s">
        <v>13</v>
      </c>
      <c r="D330" s="118">
        <f>[1]PRORRIDRE!C7</f>
        <v>4990675</v>
      </c>
      <c r="E330" s="118">
        <f>[1]PRORRIDRE!D7</f>
        <v>4968620.57</v>
      </c>
      <c r="F330" s="118">
        <f>[1]PRORRIDRE!E7</f>
        <v>22054.429999999702</v>
      </c>
      <c r="G330" s="118">
        <f>[1]PRORRIDRE!F7</f>
        <v>3328854.66</v>
      </c>
      <c r="H330" s="118">
        <f>[1]PRORRIDRE!G7</f>
        <v>1661820.3399999999</v>
      </c>
      <c r="I330" s="119">
        <f>G330/D330</f>
        <v>0.66701491481613207</v>
      </c>
    </row>
    <row r="331" spans="1:9" ht="51" x14ac:dyDescent="0.2">
      <c r="A331" s="93">
        <f>SUBTOTAL(103,$B$8:B331)+287</f>
        <v>437</v>
      </c>
      <c r="B331" s="123" t="s">
        <v>406</v>
      </c>
      <c r="C331" s="128" t="s">
        <v>19</v>
      </c>
      <c r="D331" s="118">
        <f>[1]PRORRIDRE!C8</f>
        <v>2302588</v>
      </c>
      <c r="E331" s="118">
        <f>[1]PRORRIDRE!D8</f>
        <v>2230821.5100000002</v>
      </c>
      <c r="F331" s="118">
        <f>[1]PRORRIDRE!E8</f>
        <v>71766.489999999758</v>
      </c>
      <c r="G331" s="118">
        <f>[1]PRORRIDRE!F8</f>
        <v>2069034.1200000003</v>
      </c>
      <c r="H331" s="118">
        <f>[1]PRORRIDRE!G8</f>
        <v>233553.87999999966</v>
      </c>
      <c r="I331" s="119">
        <f t="shared" si="50"/>
        <v>0.89856896674524511</v>
      </c>
    </row>
    <row r="332" spans="1:9" ht="51" x14ac:dyDescent="0.2">
      <c r="A332" s="93">
        <f>SUBTOTAL(103,$B$8:B332)+287</f>
        <v>438</v>
      </c>
      <c r="B332" s="123" t="s">
        <v>406</v>
      </c>
      <c r="C332" s="128" t="s">
        <v>14</v>
      </c>
      <c r="D332" s="118">
        <f>[1]PRORRIDRE!C9</f>
        <v>6874937</v>
      </c>
      <c r="E332" s="118">
        <f>[1]PRORRIDRE!D9</f>
        <v>6395140.3299999991</v>
      </c>
      <c r="F332" s="118">
        <f>[1]PRORRIDRE!E9</f>
        <v>479796.67000000086</v>
      </c>
      <c r="G332" s="118">
        <f>[1]PRORRIDRE!F9</f>
        <v>6249139.4399999995</v>
      </c>
      <c r="H332" s="118">
        <f>[1]PRORRIDRE!G9</f>
        <v>625797.56000000052</v>
      </c>
      <c r="I332" s="119">
        <f t="shared" si="50"/>
        <v>0.90897406623507959</v>
      </c>
    </row>
    <row r="333" spans="1:9" ht="63.75" hidden="1" x14ac:dyDescent="0.2">
      <c r="A333" s="93">
        <f>SUBTOTAL(103,$B$8:B333)+287</f>
        <v>438</v>
      </c>
      <c r="B333" s="123" t="s">
        <v>406</v>
      </c>
      <c r="C333" s="128" t="s">
        <v>20</v>
      </c>
      <c r="D333" s="118"/>
      <c r="E333" s="118"/>
      <c r="F333" s="118"/>
      <c r="G333" s="118"/>
      <c r="H333" s="118"/>
      <c r="I333" s="119" t="e">
        <f t="shared" si="50"/>
        <v>#DIV/0!</v>
      </c>
    </row>
    <row r="334" spans="1:9" ht="51" x14ac:dyDescent="0.2">
      <c r="A334" s="93">
        <f>SUBTOTAL(103,$B$8:B334)+287</f>
        <v>439</v>
      </c>
      <c r="B334" s="123" t="s">
        <v>406</v>
      </c>
      <c r="C334" s="128" t="s">
        <v>21</v>
      </c>
      <c r="D334" s="118">
        <f>[1]PRORRIDRE!C10</f>
        <v>8164506</v>
      </c>
      <c r="E334" s="118">
        <f>[1]PRORRIDRE!D10</f>
        <v>8096101.1999999993</v>
      </c>
      <c r="F334" s="118">
        <f>[1]PRORRIDRE!E10</f>
        <v>68404.800000000745</v>
      </c>
      <c r="G334" s="118">
        <f>[1]PRORRIDRE!F10</f>
        <v>7138306.3300000001</v>
      </c>
      <c r="H334" s="118">
        <f>[1]PRORRIDRE!G10</f>
        <v>1026199.6699999999</v>
      </c>
      <c r="I334" s="124">
        <f t="shared" si="50"/>
        <v>0.87430964347383666</v>
      </c>
    </row>
    <row r="335" spans="1:9" ht="51" hidden="1" x14ac:dyDescent="0.2">
      <c r="A335" s="93">
        <f>SUBTOTAL(103,$B$8:B335)+287</f>
        <v>439</v>
      </c>
      <c r="B335" s="123" t="s">
        <v>406</v>
      </c>
      <c r="C335" s="128" t="s">
        <v>339</v>
      </c>
      <c r="D335" s="118">
        <f>[1]PRORRIDRE!C11</f>
        <v>0</v>
      </c>
      <c r="E335" s="118">
        <f>[1]PRORRIDRE!D11</f>
        <v>0</v>
      </c>
      <c r="F335" s="118">
        <f>[1]PRORRIDRE!E11</f>
        <v>0</v>
      </c>
      <c r="G335" s="118">
        <f>[1]PRORRIDRE!F11</f>
        <v>0</v>
      </c>
      <c r="H335" s="118">
        <f>[1]PRORRIDRE!G11</f>
        <v>0</v>
      </c>
      <c r="I335" s="124" t="e">
        <f t="shared" si="50"/>
        <v>#DIV/0!</v>
      </c>
    </row>
    <row r="336" spans="1:9" ht="38.25" x14ac:dyDescent="0.2">
      <c r="A336" s="93">
        <f>SUBTOTAL(103,$B$8:B336)+287</f>
        <v>440</v>
      </c>
      <c r="B336" s="123" t="s">
        <v>406</v>
      </c>
      <c r="C336" s="128" t="s">
        <v>340</v>
      </c>
      <c r="D336" s="118">
        <f>[1]PRORRIDRE!C12</f>
        <v>6565000</v>
      </c>
      <c r="E336" s="118">
        <f>[1]PRORRIDRE!D12</f>
        <v>6440621.3900000006</v>
      </c>
      <c r="F336" s="118">
        <f>[1]PRORRIDRE!E12</f>
        <v>124378.6099999994</v>
      </c>
      <c r="G336" s="118">
        <f>[1]PRORRIDRE!F12</f>
        <v>5244884.37</v>
      </c>
      <c r="H336" s="118">
        <f>[1]PRORRIDRE!G12</f>
        <v>1320115.6299999999</v>
      </c>
      <c r="I336" s="124">
        <f t="shared" si="50"/>
        <v>0.79891612642802745</v>
      </c>
    </row>
    <row r="337" spans="1:9" ht="51" x14ac:dyDescent="0.2">
      <c r="A337" s="93">
        <f>SUBTOTAL(103,$B$8:B337)+287</f>
        <v>441</v>
      </c>
      <c r="B337" s="123" t="s">
        <v>406</v>
      </c>
      <c r="C337" s="128" t="s">
        <v>791</v>
      </c>
      <c r="D337" s="118">
        <f>[1]PRORRIDRE!C14</f>
        <v>267289</v>
      </c>
      <c r="E337" s="118">
        <f>[1]PRORRIDRE!D14</f>
        <v>267284.07</v>
      </c>
      <c r="F337" s="118">
        <f>[1]PRORRIDRE!E14</f>
        <v>4.9299999999930151</v>
      </c>
      <c r="G337" s="118">
        <f>[1]PRORRIDRE!F14</f>
        <v>245284.07</v>
      </c>
      <c r="H337" s="118">
        <f>[1]PRORRIDRE!G14</f>
        <v>22004.929999999993</v>
      </c>
      <c r="I337" s="124">
        <f t="shared" si="50"/>
        <v>0.91767364163882537</v>
      </c>
    </row>
    <row r="338" spans="1:9" ht="51" x14ac:dyDescent="0.2">
      <c r="A338" s="93">
        <f>SUBTOTAL(103,$B$8:B338)+287</f>
        <v>442</v>
      </c>
      <c r="B338" s="123" t="s">
        <v>406</v>
      </c>
      <c r="C338" s="128" t="s">
        <v>842</v>
      </c>
      <c r="D338" s="118">
        <f>[1]PRORRIDRE!C15</f>
        <v>270883</v>
      </c>
      <c r="E338" s="118">
        <f>[1]PRORRIDRE!D15</f>
        <v>262882.90000000002</v>
      </c>
      <c r="F338" s="118">
        <f>[1]PRORRIDRE!E15</f>
        <v>8000.0999999999767</v>
      </c>
      <c r="G338" s="118">
        <f>[1]PRORRIDRE!F15</f>
        <v>262822.90000000002</v>
      </c>
      <c r="H338" s="118">
        <f>[1]PRORRIDRE!G15</f>
        <v>8060.0999999999767</v>
      </c>
      <c r="I338" s="124">
        <f t="shared" si="50"/>
        <v>0.97024508736244075</v>
      </c>
    </row>
    <row r="339" spans="1:9" ht="51" x14ac:dyDescent="0.2">
      <c r="A339" s="93">
        <f>SUBTOTAL(103,$B$8:B339)+287</f>
        <v>443</v>
      </c>
      <c r="B339" s="123" t="s">
        <v>406</v>
      </c>
      <c r="C339" s="128" t="s">
        <v>483</v>
      </c>
      <c r="D339" s="118">
        <f>[1]PRORRIDRE!C16</f>
        <v>6186530</v>
      </c>
      <c r="E339" s="118">
        <f>[1]PRORRIDRE!D16</f>
        <v>5855274.04</v>
      </c>
      <c r="F339" s="118">
        <f>[1]PRORRIDRE!E16</f>
        <v>331255.95999999996</v>
      </c>
      <c r="G339" s="118">
        <f>[1]PRORRIDRE!F16</f>
        <v>2386512.9900000002</v>
      </c>
      <c r="H339" s="118">
        <f>[1]PRORRIDRE!G16</f>
        <v>3800017.01</v>
      </c>
      <c r="I339" s="124">
        <f t="shared" si="50"/>
        <v>0.38575954371836879</v>
      </c>
    </row>
    <row r="340" spans="1:9" ht="63.75" x14ac:dyDescent="0.2">
      <c r="A340" s="93">
        <f>SUBTOTAL(103,$B$8:B340)+287</f>
        <v>444</v>
      </c>
      <c r="B340" s="123" t="s">
        <v>407</v>
      </c>
      <c r="C340" s="128" t="s">
        <v>905</v>
      </c>
      <c r="D340" s="118">
        <f>[1]PRORRIDRE!C17</f>
        <v>152639</v>
      </c>
      <c r="E340" s="118">
        <f>[1]PRORRIDRE!D17</f>
        <v>152604.54999999999</v>
      </c>
      <c r="F340" s="118">
        <f>[1]PRORRIDRE!E17</f>
        <v>34.450000000011642</v>
      </c>
      <c r="G340" s="118">
        <f>[1]PRORRIDRE!F17</f>
        <v>152604.54999999999</v>
      </c>
      <c r="H340" s="118">
        <f>[1]PRORRIDRE!G17</f>
        <v>34.450000000011642</v>
      </c>
      <c r="I340" s="124">
        <f>G340/D340</f>
        <v>0.99977430407693968</v>
      </c>
    </row>
    <row r="341" spans="1:9" ht="63.75" x14ac:dyDescent="0.2">
      <c r="A341" s="93">
        <f>SUBTOTAL(103,$B$8:B341)+287</f>
        <v>445</v>
      </c>
      <c r="B341" s="123" t="s">
        <v>407</v>
      </c>
      <c r="C341" s="128" t="s">
        <v>2456</v>
      </c>
      <c r="D341" s="118">
        <f>[1]PRORRIDRE!C18</f>
        <v>150000</v>
      </c>
      <c r="E341" s="118">
        <f>[1]PRORRIDRE!D18</f>
        <v>149147</v>
      </c>
      <c r="F341" s="118">
        <f>[1]PRORRIDRE!E18</f>
        <v>853</v>
      </c>
      <c r="G341" s="118">
        <f>[1]PRORRIDRE!F18</f>
        <v>32051.83</v>
      </c>
      <c r="H341" s="118">
        <f>[1]PRORRIDRE!G18</f>
        <v>117948.17</v>
      </c>
      <c r="I341" s="124">
        <f>G341/D341</f>
        <v>0.21367886666666669</v>
      </c>
    </row>
    <row r="342" spans="1:9" hidden="1" x14ac:dyDescent="0.2">
      <c r="A342" s="195" t="s">
        <v>1048</v>
      </c>
      <c r="B342" s="195"/>
      <c r="C342" s="195"/>
      <c r="D342" s="91">
        <f>+D343</f>
        <v>0</v>
      </c>
      <c r="E342" s="91">
        <f t="shared" ref="E342:H342" si="51">+E343</f>
        <v>0</v>
      </c>
      <c r="F342" s="91">
        <f t="shared" si="51"/>
        <v>0</v>
      </c>
      <c r="G342" s="91">
        <f t="shared" si="51"/>
        <v>0</v>
      </c>
      <c r="H342" s="91">
        <f t="shared" si="51"/>
        <v>0</v>
      </c>
      <c r="I342" s="92" t="e">
        <f>G342/D342</f>
        <v>#DIV/0!</v>
      </c>
    </row>
    <row r="343" spans="1:9" ht="63.75" hidden="1" x14ac:dyDescent="0.2">
      <c r="A343" s="93">
        <f>SUBTOTAL(103,$B$8:B343)+287</f>
        <v>445</v>
      </c>
      <c r="B343" s="123" t="s">
        <v>407</v>
      </c>
      <c r="C343" s="128" t="s">
        <v>326</v>
      </c>
      <c r="D343" s="118">
        <f>[1]PRORRIDRE!C13</f>
        <v>0</v>
      </c>
      <c r="E343" s="118">
        <f>[1]PRORRIDRE!D13</f>
        <v>0</v>
      </c>
      <c r="F343" s="118">
        <f>[1]PRORRIDRE!E13</f>
        <v>0</v>
      </c>
      <c r="G343" s="118">
        <f>[1]PRORRIDRE!F13</f>
        <v>0</v>
      </c>
      <c r="H343" s="118">
        <f>[1]PRORRIDRE!G13</f>
        <v>0</v>
      </c>
      <c r="I343" s="119" t="e">
        <f>G343/D343</f>
        <v>#DIV/0!</v>
      </c>
    </row>
    <row r="344" spans="1:9" ht="126" hidden="1" x14ac:dyDescent="0.2">
      <c r="A344" s="82">
        <f>SUBTOTAL(103,$B$14:B344)+258</f>
        <v>411</v>
      </c>
      <c r="B344" s="34" t="s">
        <v>406</v>
      </c>
      <c r="C344" s="81" t="s">
        <v>341</v>
      </c>
      <c r="D344" s="11"/>
      <c r="E344" s="11"/>
      <c r="F344" s="11"/>
      <c r="G344" s="11"/>
      <c r="H344" s="11"/>
      <c r="I344" s="19"/>
    </row>
    <row r="345" spans="1:9" ht="18" hidden="1" x14ac:dyDescent="0.2">
      <c r="A345" s="82">
        <f>SUBTOTAL(103,$B$14:B345)+258</f>
        <v>411</v>
      </c>
      <c r="B345" s="34" t="s">
        <v>407</v>
      </c>
      <c r="C345" s="81" t="s">
        <v>371</v>
      </c>
      <c r="D345" s="11"/>
      <c r="E345" s="11"/>
      <c r="F345" s="11"/>
      <c r="G345" s="11"/>
      <c r="H345" s="11"/>
      <c r="I345" s="19"/>
    </row>
    <row r="346" spans="1:9" hidden="1" x14ac:dyDescent="0.2"/>
    <row r="347" spans="1:9" ht="86.25" hidden="1" x14ac:dyDescent="0.2">
      <c r="A347" s="5"/>
      <c r="B347" s="7"/>
      <c r="C347" s="8" t="s">
        <v>57</v>
      </c>
      <c r="D347" s="11"/>
      <c r="E347" s="11"/>
      <c r="F347" s="11"/>
      <c r="G347" s="11"/>
      <c r="H347" s="11"/>
      <c r="I347" s="19" t="e">
        <f t="shared" ref="I347:I350" si="52">G347/D347</f>
        <v>#DIV/0!</v>
      </c>
    </row>
    <row r="348" spans="1:9" ht="103.5" hidden="1" x14ac:dyDescent="0.2">
      <c r="A348" s="5"/>
      <c r="B348" s="7"/>
      <c r="C348" s="8" t="s">
        <v>59</v>
      </c>
      <c r="D348" s="11"/>
      <c r="E348" s="11"/>
      <c r="F348" s="11"/>
      <c r="G348" s="11"/>
      <c r="H348" s="11"/>
      <c r="I348" s="24" t="e">
        <f t="shared" si="52"/>
        <v>#DIV/0!</v>
      </c>
    </row>
    <row r="349" spans="1:9" ht="103.5" hidden="1" x14ac:dyDescent="0.2">
      <c r="A349" s="5"/>
      <c r="B349" s="7"/>
      <c r="C349" s="8" t="s">
        <v>60</v>
      </c>
      <c r="D349" s="11"/>
      <c r="E349" s="11"/>
      <c r="F349" s="11"/>
      <c r="G349" s="11"/>
      <c r="H349" s="11"/>
      <c r="I349" s="19" t="e">
        <f t="shared" si="52"/>
        <v>#DIV/0!</v>
      </c>
    </row>
    <row r="350" spans="1:9" ht="155.25" hidden="1" x14ac:dyDescent="0.2">
      <c r="A350" s="5"/>
      <c r="B350" s="7"/>
      <c r="C350" s="8" t="s">
        <v>61</v>
      </c>
      <c r="D350" s="11"/>
      <c r="E350" s="11"/>
      <c r="F350" s="11"/>
      <c r="G350" s="11"/>
      <c r="H350" s="11"/>
      <c r="I350" s="24" t="e">
        <f t="shared" si="52"/>
        <v>#DIV/0!</v>
      </c>
    </row>
    <row r="351" spans="1:9" ht="30.75" customHeight="1" x14ac:dyDescent="0.2">
      <c r="A351" s="229" t="s">
        <v>15</v>
      </c>
      <c r="B351" s="230"/>
      <c r="C351" s="231"/>
      <c r="D351" s="108">
        <f>+D352</f>
        <v>19800761</v>
      </c>
      <c r="E351" s="108">
        <f t="shared" ref="E351:H351" si="53">+E352</f>
        <v>18684697.960000001</v>
      </c>
      <c r="F351" s="108">
        <f t="shared" si="53"/>
        <v>1116063.04</v>
      </c>
      <c r="G351" s="108">
        <f t="shared" si="53"/>
        <v>12951765.809999999</v>
      </c>
      <c r="H351" s="108">
        <f t="shared" si="53"/>
        <v>6848995.1900000013</v>
      </c>
      <c r="I351" s="109">
        <f>G351/D351</f>
        <v>0.65410444628870568</v>
      </c>
    </row>
    <row r="352" spans="1:9" x14ac:dyDescent="0.2">
      <c r="A352" s="195" t="s">
        <v>1049</v>
      </c>
      <c r="B352" s="195"/>
      <c r="C352" s="195"/>
      <c r="D352" s="91">
        <f>SUM(D355:D360)</f>
        <v>19800761</v>
      </c>
      <c r="E352" s="91">
        <f t="shared" ref="E352:H352" si="54">SUM(E355:E360)</f>
        <v>18684697.960000001</v>
      </c>
      <c r="F352" s="91">
        <f t="shared" si="54"/>
        <v>1116063.04</v>
      </c>
      <c r="G352" s="91">
        <f t="shared" si="54"/>
        <v>12951765.809999999</v>
      </c>
      <c r="H352" s="91">
        <f t="shared" si="54"/>
        <v>6848995.1900000013</v>
      </c>
      <c r="I352" s="92">
        <f>G352/D352</f>
        <v>0.65410444628870568</v>
      </c>
    </row>
    <row r="353" spans="1:9" ht="18" hidden="1" x14ac:dyDescent="0.2">
      <c r="A353" s="5">
        <v>255</v>
      </c>
      <c r="B353" s="9"/>
      <c r="C353" s="8" t="s">
        <v>134</v>
      </c>
      <c r="D353" s="11"/>
      <c r="E353" s="11"/>
      <c r="F353" s="11"/>
      <c r="G353" s="11"/>
      <c r="H353" s="11"/>
      <c r="I353" s="19"/>
    </row>
    <row r="354" spans="1:9" ht="69" hidden="1" x14ac:dyDescent="0.2">
      <c r="A354" s="5">
        <v>256</v>
      </c>
      <c r="B354" s="9"/>
      <c r="C354" s="8" t="s">
        <v>263</v>
      </c>
      <c r="D354" s="11"/>
      <c r="E354" s="11"/>
      <c r="F354" s="11"/>
      <c r="G354" s="11"/>
      <c r="H354" s="11"/>
      <c r="I354" s="19"/>
    </row>
    <row r="355" spans="1:9" ht="25.5" x14ac:dyDescent="0.2">
      <c r="A355" s="93">
        <f>SUBTOTAL(103,$B$8:B355)+287</f>
        <v>446</v>
      </c>
      <c r="B355" s="125">
        <v>1</v>
      </c>
      <c r="C355" s="128" t="s">
        <v>50</v>
      </c>
      <c r="D355" s="118">
        <f>[1]PRADERA!C6</f>
        <v>30000</v>
      </c>
      <c r="E355" s="118">
        <f>[1]PRADERA!D6</f>
        <v>0</v>
      </c>
      <c r="F355" s="118">
        <f>[1]PRADERA!E6</f>
        <v>30000</v>
      </c>
      <c r="G355" s="118">
        <f>[1]PRADERA!F6</f>
        <v>0</v>
      </c>
      <c r="H355" s="118">
        <f>[1]PRADERA!G6</f>
        <v>30000</v>
      </c>
      <c r="I355" s="119">
        <f>G355/D355</f>
        <v>0</v>
      </c>
    </row>
    <row r="356" spans="1:9" ht="51" x14ac:dyDescent="0.2">
      <c r="A356" s="93">
        <f>SUBTOTAL(103,$B$8:B356)+287</f>
        <v>447</v>
      </c>
      <c r="B356" s="125">
        <v>1</v>
      </c>
      <c r="C356" s="128" t="s">
        <v>51</v>
      </c>
      <c r="D356" s="118">
        <f>[1]PRADERA!C7</f>
        <v>3595787</v>
      </c>
      <c r="E356" s="118">
        <f>[1]PRADERA!D7</f>
        <v>3387260.04</v>
      </c>
      <c r="F356" s="118">
        <f>[1]PRADERA!E7</f>
        <v>208526.95999999996</v>
      </c>
      <c r="G356" s="118">
        <f>[1]PRADERA!F7</f>
        <v>3206258.25</v>
      </c>
      <c r="H356" s="118">
        <f>[1]PRADERA!G7</f>
        <v>389528.75</v>
      </c>
      <c r="I356" s="119">
        <f>G356/D356</f>
        <v>0.89167079418219153</v>
      </c>
    </row>
    <row r="357" spans="1:9" ht="51" hidden="1" x14ac:dyDescent="0.2">
      <c r="A357" s="93">
        <f>SUBTOTAL(103,$B$8:B357)+287</f>
        <v>447</v>
      </c>
      <c r="B357" s="125">
        <v>1</v>
      </c>
      <c r="C357" s="128" t="s">
        <v>52</v>
      </c>
      <c r="D357" s="118"/>
      <c r="E357" s="118"/>
      <c r="F357" s="118"/>
      <c r="G357" s="118"/>
      <c r="H357" s="118"/>
      <c r="I357" s="119"/>
    </row>
    <row r="358" spans="1:9" ht="51" hidden="1" x14ac:dyDescent="0.2">
      <c r="A358" s="93">
        <f>SUBTOTAL(103,$B$8:B358)+287</f>
        <v>447</v>
      </c>
      <c r="B358" s="125">
        <v>1</v>
      </c>
      <c r="C358" s="128" t="s">
        <v>22</v>
      </c>
      <c r="D358" s="118">
        <f>[1]PRADERA!C8</f>
        <v>0</v>
      </c>
      <c r="E358" s="118">
        <f>[1]PRADERA!D8</f>
        <v>0</v>
      </c>
      <c r="F358" s="118">
        <f>[1]PRADERA!E8</f>
        <v>0</v>
      </c>
      <c r="G358" s="118">
        <f>[1]PRADERA!F8</f>
        <v>0</v>
      </c>
      <c r="H358" s="118">
        <f>[1]PRADERA!G8</f>
        <v>0</v>
      </c>
      <c r="I358" s="119" t="e">
        <f>G358/D358</f>
        <v>#DIV/0!</v>
      </c>
    </row>
    <row r="359" spans="1:9" ht="38.25" x14ac:dyDescent="0.2">
      <c r="A359" s="93">
        <f>SUBTOTAL(103,$B$8:B359)+287</f>
        <v>448</v>
      </c>
      <c r="B359" s="125">
        <v>1</v>
      </c>
      <c r="C359" s="128" t="s">
        <v>264</v>
      </c>
      <c r="D359" s="118">
        <f>[1]PRADERA!C9</f>
        <v>10473026</v>
      </c>
      <c r="E359" s="118">
        <f>[1]PRADERA!D9</f>
        <v>10227931.92</v>
      </c>
      <c r="F359" s="118">
        <f>[1]PRADERA!E9</f>
        <v>245094.08000000007</v>
      </c>
      <c r="G359" s="118">
        <f>[1]PRADERA!F9</f>
        <v>7901431.669999999</v>
      </c>
      <c r="H359" s="118">
        <f>[1]PRADERA!G9</f>
        <v>2571594.330000001</v>
      </c>
      <c r="I359" s="119">
        <f>G359/D359</f>
        <v>0.75445546206034431</v>
      </c>
    </row>
    <row r="360" spans="1:9" ht="63.75" x14ac:dyDescent="0.2">
      <c r="A360" s="93">
        <f>SUBTOTAL(103,$B$8:B360)+287</f>
        <v>449</v>
      </c>
      <c r="B360" s="125">
        <v>1</v>
      </c>
      <c r="C360" s="128" t="s">
        <v>786</v>
      </c>
      <c r="D360" s="118">
        <f>[1]PRADERA!C10</f>
        <v>5701948</v>
      </c>
      <c r="E360" s="118">
        <f>[1]PRADERA!D10</f>
        <v>5069506</v>
      </c>
      <c r="F360" s="118">
        <f>[1]PRADERA!E10</f>
        <v>632442</v>
      </c>
      <c r="G360" s="118">
        <f>[1]PRADERA!F10</f>
        <v>1844075.8900000001</v>
      </c>
      <c r="H360" s="118">
        <f>[1]PRADERA!G10</f>
        <v>3857872.11</v>
      </c>
      <c r="I360" s="119">
        <f>G360/D360</f>
        <v>0.32341155864627319</v>
      </c>
    </row>
    <row r="361" spans="1:9" ht="18" hidden="1" x14ac:dyDescent="0.2">
      <c r="A361" s="82">
        <f>SUBTOTAL(103,$B$14:B361)+258</f>
        <v>415</v>
      </c>
      <c r="B361" s="63">
        <v>1</v>
      </c>
      <c r="C361" s="81" t="s">
        <v>371</v>
      </c>
      <c r="D361" s="11" t="str">
        <f>Hoja4!E447</f>
        <v/>
      </c>
      <c r="E361" s="11" t="str">
        <f>Hoja4!F447</f>
        <v/>
      </c>
      <c r="F361" s="11">
        <f>Hoja4!G447</f>
        <v>0</v>
      </c>
      <c r="G361" s="11" t="str">
        <f>Hoja4!H447</f>
        <v/>
      </c>
      <c r="H361" s="11">
        <f>Hoja4!I447</f>
        <v>0</v>
      </c>
      <c r="I361" s="19" t="e">
        <f t="shared" ref="I361:I376" si="55">G361/D361</f>
        <v>#VALUE!</v>
      </c>
    </row>
    <row r="362" spans="1:9" ht="69" hidden="1" x14ac:dyDescent="0.2">
      <c r="A362" s="5">
        <v>323</v>
      </c>
      <c r="B362" s="9"/>
      <c r="C362" s="8" t="s">
        <v>50</v>
      </c>
      <c r="D362" s="11"/>
      <c r="E362" s="11"/>
      <c r="F362" s="11">
        <f>D362-E362</f>
        <v>0</v>
      </c>
      <c r="G362" s="11"/>
      <c r="H362" s="11">
        <f>D362-G362</f>
        <v>0</v>
      </c>
      <c r="I362" s="19" t="e">
        <f t="shared" si="55"/>
        <v>#DIV/0!</v>
      </c>
    </row>
    <row r="363" spans="1:9" x14ac:dyDescent="0.2">
      <c r="A363" s="216" t="s">
        <v>16</v>
      </c>
      <c r="B363" s="217"/>
      <c r="C363" s="218"/>
      <c r="D363" s="108">
        <f>D372+D364</f>
        <v>14537894</v>
      </c>
      <c r="E363" s="108">
        <f>E372+E364</f>
        <v>11825595.84</v>
      </c>
      <c r="F363" s="108">
        <f>F372+F364</f>
        <v>2712298.16</v>
      </c>
      <c r="G363" s="108">
        <f>G372+G364</f>
        <v>10204996.440000001</v>
      </c>
      <c r="H363" s="108">
        <f>H372+H364</f>
        <v>4332897.5599999996</v>
      </c>
      <c r="I363" s="109">
        <f>G363/D363</f>
        <v>0.70195837443855358</v>
      </c>
    </row>
    <row r="364" spans="1:9" x14ac:dyDescent="0.2">
      <c r="A364" s="195" t="s">
        <v>1049</v>
      </c>
      <c r="B364" s="195"/>
      <c r="C364" s="195"/>
      <c r="D364" s="91">
        <f>SUM(D365:D371)</f>
        <v>14427894</v>
      </c>
      <c r="E364" s="91">
        <f t="shared" ref="E364:H364" si="56">SUM(E365:E371)</f>
        <v>11721979.84</v>
      </c>
      <c r="F364" s="91">
        <f t="shared" si="56"/>
        <v>2705914.16</v>
      </c>
      <c r="G364" s="91">
        <f t="shared" si="56"/>
        <v>10172895.940000001</v>
      </c>
      <c r="H364" s="91">
        <f t="shared" si="56"/>
        <v>4254998.0599999996</v>
      </c>
      <c r="I364" s="92">
        <f>G364/D364</f>
        <v>0.70508529796517783</v>
      </c>
    </row>
    <row r="365" spans="1:9" ht="25.5" x14ac:dyDescent="0.2">
      <c r="A365" s="93">
        <f>SUBTOTAL(103,$B$8:B365)+287</f>
        <v>450</v>
      </c>
      <c r="B365" s="126">
        <v>1</v>
      </c>
      <c r="C365" s="127" t="s">
        <v>2496</v>
      </c>
      <c r="D365" s="118">
        <f>[1]AGRICULTURA!C6</f>
        <v>40000</v>
      </c>
      <c r="E365" s="118">
        <f>[1]AGRICULTURA!D6</f>
        <v>0</v>
      </c>
      <c r="F365" s="118">
        <f>[1]AGRICULTURA!E6</f>
        <v>40000</v>
      </c>
      <c r="G365" s="118">
        <f>[1]AGRICULTURA!F6</f>
        <v>0</v>
      </c>
      <c r="H365" s="118">
        <f>[1]AGRICULTURA!G6</f>
        <v>40000</v>
      </c>
      <c r="I365" s="119">
        <f t="shared" ref="I365" si="57">G365/D365</f>
        <v>0</v>
      </c>
    </row>
    <row r="366" spans="1:9" ht="38.25" x14ac:dyDescent="0.2">
      <c r="A366" s="93">
        <f>SUBTOTAL(103,$B$8:B366)+287</f>
        <v>451</v>
      </c>
      <c r="B366" s="126">
        <v>1</v>
      </c>
      <c r="C366" s="127" t="s">
        <v>54</v>
      </c>
      <c r="D366" s="118">
        <f>[1]AGRICULTURA!C7</f>
        <v>30892</v>
      </c>
      <c r="E366" s="118">
        <f>[1]AGRICULTURA!D7</f>
        <v>30000</v>
      </c>
      <c r="F366" s="118">
        <f>[1]AGRICULTURA!E7</f>
        <v>892</v>
      </c>
      <c r="G366" s="118">
        <f>[1]AGRICULTURA!F7</f>
        <v>0</v>
      </c>
      <c r="H366" s="118">
        <f>[1]AGRICULTURA!G7</f>
        <v>30892</v>
      </c>
      <c r="I366" s="119">
        <f t="shared" si="55"/>
        <v>0</v>
      </c>
    </row>
    <row r="367" spans="1:9" ht="47.25" customHeight="1" x14ac:dyDescent="0.2">
      <c r="A367" s="93">
        <f>SUBTOTAL(103,$B$8:B367)+287</f>
        <v>452</v>
      </c>
      <c r="B367" s="126">
        <v>1</v>
      </c>
      <c r="C367" s="127" t="s">
        <v>17</v>
      </c>
      <c r="D367" s="118">
        <f>[1]AGRICULTURA!C8</f>
        <v>4417847</v>
      </c>
      <c r="E367" s="118">
        <f>[1]AGRICULTURA!D8</f>
        <v>4133291.7699999996</v>
      </c>
      <c r="F367" s="118">
        <f>[1]AGRICULTURA!E8</f>
        <v>284555.23000000045</v>
      </c>
      <c r="G367" s="118">
        <f>[1]AGRICULTURA!F8</f>
        <v>3353379.79</v>
      </c>
      <c r="H367" s="118">
        <f>[1]AGRICULTURA!G8</f>
        <v>1064467.21</v>
      </c>
      <c r="I367" s="119">
        <f>G367/D367</f>
        <v>0.75905294818946878</v>
      </c>
    </row>
    <row r="368" spans="1:9" ht="44.25" customHeight="1" x14ac:dyDescent="0.2">
      <c r="A368" s="93">
        <f>SUBTOTAL(103,$B$8:B368)+287</f>
        <v>453</v>
      </c>
      <c r="B368" s="126">
        <v>1</v>
      </c>
      <c r="C368" s="127" t="s">
        <v>18</v>
      </c>
      <c r="D368" s="118">
        <f>[1]AGRICULTURA!C9</f>
        <v>2000000</v>
      </c>
      <c r="E368" s="118">
        <f>[1]AGRICULTURA!D9</f>
        <v>1999999.53</v>
      </c>
      <c r="F368" s="118">
        <f>[1]AGRICULTURA!E9</f>
        <v>0.46999999997206032</v>
      </c>
      <c r="G368" s="118">
        <f>[1]AGRICULTURA!F9</f>
        <v>1956578.22</v>
      </c>
      <c r="H368" s="118">
        <f>[1]AGRICULTURA!G9</f>
        <v>43421.780000000028</v>
      </c>
      <c r="I368" s="119">
        <f>G368/D368</f>
        <v>0.97828910999999996</v>
      </c>
    </row>
    <row r="369" spans="1:9" ht="25.5" hidden="1" x14ac:dyDescent="0.2">
      <c r="A369" s="93">
        <f>SUBTOTAL(103,$B$8:B369)+287</f>
        <v>453</v>
      </c>
      <c r="B369" s="126">
        <v>1</v>
      </c>
      <c r="C369" s="127" t="s">
        <v>53</v>
      </c>
      <c r="D369" s="118"/>
      <c r="E369" s="118"/>
      <c r="F369" s="118"/>
      <c r="G369" s="118"/>
      <c r="H369" s="118"/>
      <c r="I369" s="119" t="e">
        <f t="shared" si="55"/>
        <v>#DIV/0!</v>
      </c>
    </row>
    <row r="370" spans="1:9" ht="56.25" customHeight="1" x14ac:dyDescent="0.2">
      <c r="A370" s="93">
        <f>SUBTOTAL(103,$B$8:B370)+287</f>
        <v>454</v>
      </c>
      <c r="B370" s="126">
        <v>1</v>
      </c>
      <c r="C370" s="127" t="s">
        <v>203</v>
      </c>
      <c r="D370" s="118">
        <f>[1]AGRICULTURA!C10</f>
        <v>7439155</v>
      </c>
      <c r="E370" s="118">
        <f>[1]AGRICULTURA!D10</f>
        <v>5519138.54</v>
      </c>
      <c r="F370" s="118">
        <f>[1]AGRICULTURA!E10</f>
        <v>1920016.46</v>
      </c>
      <c r="G370" s="118">
        <f>[1]AGRICULTURA!F10</f>
        <v>4857937.9300000006</v>
      </c>
      <c r="H370" s="118">
        <f>[1]AGRICULTURA!G10</f>
        <v>2581217.0699999994</v>
      </c>
      <c r="I370" s="119">
        <f>G370/D370</f>
        <v>0.65302281374699156</v>
      </c>
    </row>
    <row r="371" spans="1:9" ht="51" x14ac:dyDescent="0.2">
      <c r="A371" s="93">
        <f>SUBTOTAL(103,$B$8:B371)+287</f>
        <v>455</v>
      </c>
      <c r="B371" s="126">
        <v>1</v>
      </c>
      <c r="C371" s="127" t="s">
        <v>482</v>
      </c>
      <c r="D371" s="118">
        <f>[1]AGRICULTURA!C12</f>
        <v>500000</v>
      </c>
      <c r="E371" s="118">
        <f>[1]AGRICULTURA!D12</f>
        <v>39550</v>
      </c>
      <c r="F371" s="118">
        <f>[1]AGRICULTURA!E12</f>
        <v>460450</v>
      </c>
      <c r="G371" s="118">
        <f>[1]AGRICULTURA!F12</f>
        <v>5000</v>
      </c>
      <c r="H371" s="118">
        <f>[1]AGRICULTURA!G12</f>
        <v>495000</v>
      </c>
      <c r="I371" s="119">
        <f>G371/D371</f>
        <v>0.01</v>
      </c>
    </row>
    <row r="372" spans="1:9" x14ac:dyDescent="0.2">
      <c r="A372" s="195" t="s">
        <v>1048</v>
      </c>
      <c r="B372" s="195"/>
      <c r="C372" s="195"/>
      <c r="D372" s="91">
        <f>SUM(D373:D374)</f>
        <v>110000</v>
      </c>
      <c r="E372" s="91">
        <f t="shared" ref="E372:H372" si="58">SUM(E373:E374)</f>
        <v>103616</v>
      </c>
      <c r="F372" s="91">
        <f t="shared" si="58"/>
        <v>6384</v>
      </c>
      <c r="G372" s="91">
        <f t="shared" si="58"/>
        <v>32100.5</v>
      </c>
      <c r="H372" s="91">
        <f t="shared" si="58"/>
        <v>77899.5</v>
      </c>
      <c r="I372" s="92">
        <f t="shared" ref="I372" si="59">G372/D372</f>
        <v>0.29182272727272729</v>
      </c>
    </row>
    <row r="373" spans="1:9" ht="12.75" x14ac:dyDescent="0.2">
      <c r="A373" s="93">
        <f>SUBTOTAL(103,$B$8:B373)+287</f>
        <v>456</v>
      </c>
      <c r="B373" s="126">
        <v>1</v>
      </c>
      <c r="C373" s="128" t="s">
        <v>134</v>
      </c>
      <c r="D373" s="118">
        <f>[1]AGRICULTURA!C5</f>
        <v>90000</v>
      </c>
      <c r="E373" s="118">
        <f>[1]AGRICULTURA!D5</f>
        <v>83616</v>
      </c>
      <c r="F373" s="118">
        <f>[1]AGRICULTURA!E5</f>
        <v>6384</v>
      </c>
      <c r="G373" s="118">
        <f>[1]AGRICULTURA!F5</f>
        <v>32100.5</v>
      </c>
      <c r="H373" s="118">
        <f>[1]AGRICULTURA!G5</f>
        <v>57899.5</v>
      </c>
      <c r="I373" s="119">
        <f>G373/D373</f>
        <v>0.35667222222222222</v>
      </c>
    </row>
    <row r="374" spans="1:9" ht="51" x14ac:dyDescent="0.2">
      <c r="A374" s="93">
        <f>SUBTOTAL(103,$B$8:B374)+287</f>
        <v>457</v>
      </c>
      <c r="B374" s="126">
        <v>1</v>
      </c>
      <c r="C374" s="128" t="s">
        <v>1074</v>
      </c>
      <c r="D374" s="118">
        <f>[1]AGRICULTURA!C11</f>
        <v>20000</v>
      </c>
      <c r="E374" s="118">
        <f>[1]AGRICULTURA!D11</f>
        <v>20000</v>
      </c>
      <c r="F374" s="118">
        <f>[1]AGRICULTURA!E11</f>
        <v>0</v>
      </c>
      <c r="G374" s="118">
        <f>[1]AGRICULTURA!F11</f>
        <v>0</v>
      </c>
      <c r="H374" s="118">
        <f>[1]AGRICULTURA!G11</f>
        <v>20000</v>
      </c>
      <c r="I374" s="119">
        <f>G374/D374</f>
        <v>0</v>
      </c>
    </row>
    <row r="375" spans="1:9" ht="120.75" hidden="1" x14ac:dyDescent="0.2">
      <c r="A375" s="5">
        <v>266</v>
      </c>
      <c r="B375" s="5"/>
      <c r="C375" s="6" t="s">
        <v>386</v>
      </c>
      <c r="D375" s="11"/>
      <c r="E375" s="11"/>
      <c r="F375" s="11"/>
      <c r="G375" s="11"/>
      <c r="H375" s="11"/>
      <c r="I375" s="19" t="e">
        <f t="shared" si="55"/>
        <v>#DIV/0!</v>
      </c>
    </row>
    <row r="376" spans="1:9" ht="69" hidden="1" x14ac:dyDescent="0.2">
      <c r="A376" s="5">
        <v>326</v>
      </c>
      <c r="B376" s="5"/>
      <c r="C376" s="6" t="s">
        <v>54</v>
      </c>
      <c r="D376" s="11"/>
      <c r="E376" s="11"/>
      <c r="F376" s="11"/>
      <c r="G376" s="11"/>
      <c r="H376" s="11"/>
      <c r="I376" s="19" t="e">
        <f t="shared" si="55"/>
        <v>#DIV/0!</v>
      </c>
    </row>
    <row r="377" spans="1:9" x14ac:dyDescent="0.2">
      <c r="A377" s="216" t="s">
        <v>195</v>
      </c>
      <c r="B377" s="217"/>
      <c r="C377" s="218"/>
      <c r="D377" s="108">
        <f>SUM(D378)</f>
        <v>32592</v>
      </c>
      <c r="E377" s="108">
        <f>SUM(E378)</f>
        <v>0</v>
      </c>
      <c r="F377" s="108">
        <f>D377-E377</f>
        <v>32592</v>
      </c>
      <c r="G377" s="108">
        <f>SUM(G378)</f>
        <v>0</v>
      </c>
      <c r="H377" s="108">
        <f>D377-G377</f>
        <v>32592</v>
      </c>
      <c r="I377" s="109">
        <f>G377/D377</f>
        <v>0</v>
      </c>
    </row>
    <row r="378" spans="1:9" ht="51" x14ac:dyDescent="0.2">
      <c r="A378" s="93">
        <f>SUBTOTAL(103,$B$8:B378)+287</f>
        <v>458</v>
      </c>
      <c r="B378" s="126">
        <v>1</v>
      </c>
      <c r="C378" s="127" t="s">
        <v>293</v>
      </c>
      <c r="D378" s="118">
        <f>'[1]EDU. MELGAR'!C4</f>
        <v>32592</v>
      </c>
      <c r="E378" s="118">
        <f>'[1]EDU. MELGAR'!D4</f>
        <v>0</v>
      </c>
      <c r="F378" s="118">
        <f>'[1]EDU. MELGAR'!E4</f>
        <v>32592</v>
      </c>
      <c r="G378" s="118">
        <f>'[1]EDU. MELGAR'!F4</f>
        <v>0</v>
      </c>
      <c r="H378" s="118">
        <f>'[1]EDU. MELGAR'!G4</f>
        <v>32592</v>
      </c>
      <c r="I378" s="119">
        <f>G378/D378</f>
        <v>0</v>
      </c>
    </row>
    <row r="379" spans="1:9" x14ac:dyDescent="0.2">
      <c r="A379" s="216" t="s">
        <v>2458</v>
      </c>
      <c r="B379" s="217"/>
      <c r="C379" s="218"/>
      <c r="D379" s="108">
        <f>SUM(D380)</f>
        <v>41800</v>
      </c>
      <c r="E379" s="108">
        <f>SUM(E380)</f>
        <v>41500</v>
      </c>
      <c r="F379" s="108">
        <f>D379-E379</f>
        <v>300</v>
      </c>
      <c r="G379" s="108">
        <f>SUM(G380)</f>
        <v>41500</v>
      </c>
      <c r="H379" s="108">
        <f>D379-G379</f>
        <v>300</v>
      </c>
      <c r="I379" s="109">
        <f>G379/D379</f>
        <v>0.99282296650717705</v>
      </c>
    </row>
    <row r="380" spans="1:9" ht="38.25" x14ac:dyDescent="0.2">
      <c r="A380" s="93">
        <f>SUBTOTAL(103,$B$8:B380)+287</f>
        <v>459</v>
      </c>
      <c r="B380" s="126">
        <v>1</v>
      </c>
      <c r="C380" s="127" t="s">
        <v>2457</v>
      </c>
      <c r="D380" s="118">
        <f>[1]S.PUTINA!C4</f>
        <v>41800</v>
      </c>
      <c r="E380" s="118">
        <f>[1]S.PUTINA!D4</f>
        <v>41500</v>
      </c>
      <c r="F380" s="118">
        <f>[1]S.PUTINA!E4</f>
        <v>300</v>
      </c>
      <c r="G380" s="118">
        <f>[1]S.PUTINA!F4</f>
        <v>41500</v>
      </c>
      <c r="H380" s="118">
        <f>[1]S.PUTINA!G4</f>
        <v>300</v>
      </c>
      <c r="I380" s="119">
        <f>G380/D380</f>
        <v>0.99282296650717705</v>
      </c>
    </row>
    <row r="381" spans="1:9" ht="15.75" x14ac:dyDescent="0.2">
      <c r="A381" s="212" t="s">
        <v>24</v>
      </c>
      <c r="B381" s="213"/>
      <c r="C381" s="214"/>
      <c r="D381" s="120">
        <f>D314+D315+D321+D351+D363+D377+D379</f>
        <v>983101884</v>
      </c>
      <c r="E381" s="120">
        <f t="shared" ref="E381:H381" si="60">E314+E315+E321+E351+E363+E377+E379</f>
        <v>896022804.99999988</v>
      </c>
      <c r="F381" s="120">
        <f t="shared" si="60"/>
        <v>87079079.000000164</v>
      </c>
      <c r="G381" s="120">
        <f t="shared" si="60"/>
        <v>429098388.72999996</v>
      </c>
      <c r="H381" s="120">
        <f t="shared" si="60"/>
        <v>554003495.2700001</v>
      </c>
      <c r="I381" s="121">
        <f>G381/D381</f>
        <v>0.43647397661787002</v>
      </c>
    </row>
    <row r="382" spans="1:9" ht="19.5" x14ac:dyDescent="0.2">
      <c r="B382" s="77"/>
      <c r="C382" s="77"/>
      <c r="D382" s="18"/>
      <c r="E382" s="18"/>
      <c r="F382" s="18"/>
      <c r="G382" s="18"/>
      <c r="H382" s="18"/>
      <c r="I382" s="21"/>
    </row>
    <row r="383" spans="1:9" ht="19.5" x14ac:dyDescent="0.2">
      <c r="B383" s="77"/>
      <c r="C383" s="77"/>
      <c r="D383" s="18"/>
      <c r="E383" s="18"/>
      <c r="F383" s="18"/>
      <c r="G383" s="18"/>
      <c r="H383" s="18"/>
      <c r="I383" s="21"/>
    </row>
    <row r="384" spans="1:9" ht="19.5" x14ac:dyDescent="0.2">
      <c r="B384" s="77"/>
      <c r="C384" s="77"/>
      <c r="D384" s="18"/>
      <c r="E384" s="18"/>
      <c r="F384" s="18"/>
      <c r="G384" s="18"/>
      <c r="H384" s="18"/>
      <c r="I384" s="21"/>
    </row>
    <row r="385" spans="2:9" ht="19.5" x14ac:dyDescent="0.2">
      <c r="B385" s="77"/>
      <c r="C385" s="77"/>
      <c r="D385" s="18"/>
      <c r="E385" s="18"/>
      <c r="F385" s="18"/>
      <c r="G385" s="18"/>
      <c r="H385" s="18"/>
      <c r="I385" s="21"/>
    </row>
    <row r="386" spans="2:9" ht="19.5" x14ac:dyDescent="0.2">
      <c r="B386" s="77"/>
      <c r="C386" s="77"/>
      <c r="D386" s="18"/>
      <c r="E386" s="18"/>
      <c r="F386" s="18"/>
      <c r="G386" s="18"/>
      <c r="H386" s="18"/>
      <c r="I386" s="21"/>
    </row>
    <row r="387" spans="2:9" ht="19.5" x14ac:dyDescent="0.2">
      <c r="B387" s="77"/>
      <c r="C387" s="77"/>
      <c r="D387" s="18"/>
      <c r="E387" s="18"/>
      <c r="F387" s="18"/>
      <c r="G387" s="18"/>
      <c r="H387" s="18"/>
      <c r="I387" s="21"/>
    </row>
    <row r="388" spans="2:9" ht="19.5" x14ac:dyDescent="0.2">
      <c r="B388" s="77"/>
      <c r="C388" s="77"/>
      <c r="D388" s="18"/>
      <c r="E388" s="18"/>
      <c r="F388" s="18"/>
      <c r="G388" s="18"/>
      <c r="H388" s="18"/>
      <c r="I388" s="21"/>
    </row>
    <row r="389" spans="2:9" ht="19.5" x14ac:dyDescent="0.2">
      <c r="B389" s="77"/>
      <c r="C389" s="77"/>
      <c r="D389" s="18"/>
      <c r="E389" s="18"/>
      <c r="F389" s="18"/>
      <c r="G389" s="18"/>
      <c r="H389" s="18"/>
      <c r="I389" s="21"/>
    </row>
    <row r="390" spans="2:9" ht="19.5" x14ac:dyDescent="0.2">
      <c r="B390" s="77"/>
      <c r="C390" s="77"/>
      <c r="D390" s="18"/>
      <c r="E390" s="18"/>
      <c r="F390" s="18"/>
      <c r="G390" s="18"/>
      <c r="H390" s="18"/>
      <c r="I390" s="21"/>
    </row>
    <row r="391" spans="2:9" ht="19.5" x14ac:dyDescent="0.2">
      <c r="B391" s="77"/>
      <c r="C391" s="77"/>
      <c r="D391" s="18"/>
      <c r="E391" s="18"/>
      <c r="F391" s="18"/>
      <c r="G391" s="18"/>
      <c r="H391" s="18"/>
      <c r="I391" s="21"/>
    </row>
    <row r="392" spans="2:9" ht="19.5" x14ac:dyDescent="0.2">
      <c r="B392" s="77"/>
      <c r="C392" s="77"/>
      <c r="D392" s="18"/>
      <c r="E392" s="18"/>
      <c r="F392" s="18"/>
      <c r="G392" s="18"/>
      <c r="H392" s="18"/>
      <c r="I392" s="21"/>
    </row>
    <row r="393" spans="2:9" ht="19.5" x14ac:dyDescent="0.2">
      <c r="B393" s="77"/>
      <c r="C393" s="77"/>
      <c r="D393" s="18"/>
      <c r="E393" s="18"/>
      <c r="F393" s="18"/>
      <c r="G393" s="18"/>
      <c r="H393" s="18"/>
      <c r="I393" s="21"/>
    </row>
    <row r="394" spans="2:9" ht="19.5" x14ac:dyDescent="0.2">
      <c r="B394" s="77"/>
      <c r="C394" s="77"/>
      <c r="D394" s="18"/>
      <c r="E394" s="18"/>
      <c r="F394" s="18"/>
      <c r="G394" s="18"/>
      <c r="H394" s="18"/>
      <c r="I394" s="21"/>
    </row>
    <row r="395" spans="2:9" ht="19.5" x14ac:dyDescent="0.2">
      <c r="B395" s="77"/>
      <c r="C395" s="77"/>
      <c r="D395" s="18"/>
      <c r="E395" s="18"/>
      <c r="F395" s="18"/>
      <c r="G395" s="18"/>
      <c r="H395" s="18"/>
      <c r="I395" s="21"/>
    </row>
    <row r="396" spans="2:9" ht="19.5" x14ac:dyDescent="0.2">
      <c r="B396" s="77"/>
      <c r="C396" s="77"/>
      <c r="D396" s="18"/>
      <c r="E396" s="18"/>
      <c r="F396" s="18"/>
      <c r="G396" s="18"/>
      <c r="H396" s="18"/>
      <c r="I396" s="21"/>
    </row>
    <row r="397" spans="2:9" ht="19.5" x14ac:dyDescent="0.2">
      <c r="B397" s="77"/>
      <c r="C397" s="77"/>
      <c r="D397" s="18"/>
      <c r="E397" s="18"/>
      <c r="F397" s="18"/>
      <c r="G397" s="18"/>
      <c r="H397" s="18"/>
      <c r="I397" s="21"/>
    </row>
    <row r="398" spans="2:9" ht="19.5" x14ac:dyDescent="0.2">
      <c r="B398" s="77"/>
      <c r="C398" s="77"/>
      <c r="D398" s="18"/>
      <c r="E398" s="18"/>
      <c r="F398" s="18"/>
      <c r="G398" s="18"/>
      <c r="H398" s="18"/>
      <c r="I398" s="21"/>
    </row>
    <row r="399" spans="2:9" ht="19.5" x14ac:dyDescent="0.2">
      <c r="B399" s="77"/>
      <c r="C399" s="77"/>
      <c r="D399" s="18"/>
      <c r="E399" s="18"/>
      <c r="F399" s="18"/>
      <c r="G399" s="18"/>
      <c r="H399" s="18"/>
      <c r="I399" s="21"/>
    </row>
    <row r="400" spans="2:9" ht="19.5" x14ac:dyDescent="0.2">
      <c r="B400" s="77"/>
      <c r="C400" s="77"/>
      <c r="D400" s="18"/>
      <c r="E400" s="18"/>
      <c r="F400" s="18"/>
      <c r="G400" s="18"/>
      <c r="H400" s="18"/>
      <c r="I400" s="57"/>
    </row>
    <row r="401" spans="1:9" ht="18" x14ac:dyDescent="0.2">
      <c r="A401" s="3"/>
      <c r="B401" s="76"/>
      <c r="C401" s="75"/>
      <c r="D401" s="18"/>
      <c r="E401" s="18"/>
      <c r="F401" s="18"/>
      <c r="G401" s="18"/>
      <c r="H401" s="18"/>
      <c r="I401"/>
    </row>
    <row r="403" spans="1:9" x14ac:dyDescent="0.2">
      <c r="G403" s="10"/>
      <c r="H403" s="10"/>
    </row>
    <row r="431" spans="1:1" x14ac:dyDescent="0.2">
      <c r="A431" s="1" t="s">
        <v>834</v>
      </c>
    </row>
  </sheetData>
  <mergeCells count="48">
    <mergeCell ref="A379:C379"/>
    <mergeCell ref="A364:C364"/>
    <mergeCell ref="A316:C316"/>
    <mergeCell ref="A318:C318"/>
    <mergeCell ref="A342:C342"/>
    <mergeCell ref="A322:C322"/>
    <mergeCell ref="A352:C352"/>
    <mergeCell ref="A351:C351"/>
    <mergeCell ref="A321:C321"/>
    <mergeCell ref="A372:C372"/>
    <mergeCell ref="B2:I2"/>
    <mergeCell ref="I4:I5"/>
    <mergeCell ref="A192:C192"/>
    <mergeCell ref="A6:C6"/>
    <mergeCell ref="E4:E5"/>
    <mergeCell ref="F4:F5"/>
    <mergeCell ref="H4:H5"/>
    <mergeCell ref="A7:C7"/>
    <mergeCell ref="A314:C314"/>
    <mergeCell ref="A197:C197"/>
    <mergeCell ref="A199:C199"/>
    <mergeCell ref="A12:C12"/>
    <mergeCell ref="A15:C15"/>
    <mergeCell ref="A18:C18"/>
    <mergeCell ref="A83:C83"/>
    <mergeCell ref="A88:C88"/>
    <mergeCell ref="A218:C218"/>
    <mergeCell ref="A193:C193"/>
    <mergeCell ref="A262:C262"/>
    <mergeCell ref="A278:C278"/>
    <mergeCell ref="A225:C225"/>
    <mergeCell ref="A227:C227"/>
    <mergeCell ref="A381:C381"/>
    <mergeCell ref="C1:I1"/>
    <mergeCell ref="A4:A5"/>
    <mergeCell ref="G4:G5"/>
    <mergeCell ref="D4:D5"/>
    <mergeCell ref="C4:C5"/>
    <mergeCell ref="B4:B5"/>
    <mergeCell ref="A377:C377"/>
    <mergeCell ref="A217:C217"/>
    <mergeCell ref="A224:C224"/>
    <mergeCell ref="A231:C231"/>
    <mergeCell ref="A363:C363"/>
    <mergeCell ref="A300:C300"/>
    <mergeCell ref="A315:C315"/>
    <mergeCell ref="A275:C275"/>
    <mergeCell ref="A234:C234"/>
  </mergeCells>
  <pageMargins left="0.74803149606299213" right="0.74803149606299213" top="0.74803149606299213" bottom="0.74803149606299213" header="0.31496062992125984" footer="0.31496062992125984"/>
  <pageSetup paperSize="9" scale="58" orientation="portrait" r:id="rId1"/>
  <headerFooter>
    <oddFooter>Página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F40E-6318-4E66-A9D4-FBEEAD6B7128}">
  <sheetPr codeName="Hoja5"/>
  <dimension ref="A1:I96"/>
  <sheetViews>
    <sheetView zoomScale="85" zoomScaleNormal="85" workbookViewId="0">
      <selection activeCell="A3" sqref="A3"/>
    </sheetView>
  </sheetViews>
  <sheetFormatPr baseColWidth="10" defaultRowHeight="12.75" x14ac:dyDescent="0.2"/>
  <cols>
    <col min="1" max="1" width="4.140625" bestFit="1" customWidth="1"/>
    <col min="2" max="2" width="6.7109375" bestFit="1" customWidth="1"/>
    <col min="3" max="3" width="41.7109375" customWidth="1"/>
    <col min="4" max="4" width="13.5703125" customWidth="1"/>
    <col min="5" max="5" width="17.7109375" customWidth="1"/>
    <col min="6" max="6" width="12.7109375" customWidth="1"/>
    <col min="7" max="7" width="15.85546875" customWidth="1"/>
    <col min="8" max="8" width="13.5703125" customWidth="1"/>
    <col min="9" max="9" width="9" customWidth="1"/>
  </cols>
  <sheetData>
    <row r="1" spans="1:9" ht="18" x14ac:dyDescent="0.2">
      <c r="A1" s="232" t="s">
        <v>2438</v>
      </c>
      <c r="B1" s="232"/>
      <c r="C1" s="232"/>
      <c r="D1" s="232"/>
      <c r="E1" s="232"/>
      <c r="F1" s="232"/>
      <c r="G1" s="232"/>
      <c r="H1" s="232"/>
      <c r="I1" s="232"/>
    </row>
    <row r="2" spans="1:9" ht="57.75" customHeight="1" x14ac:dyDescent="0.25">
      <c r="A2" s="204" t="s">
        <v>2499</v>
      </c>
      <c r="B2" s="204"/>
      <c r="C2" s="204"/>
      <c r="D2" s="204"/>
      <c r="E2" s="204"/>
      <c r="F2" s="204"/>
      <c r="G2" s="204"/>
      <c r="H2" s="204"/>
      <c r="I2" s="204"/>
    </row>
    <row r="3" spans="1:9" ht="18" x14ac:dyDescent="0.25">
      <c r="A3" s="1"/>
      <c r="B3" s="4"/>
      <c r="C3" s="13"/>
      <c r="D3" s="2"/>
      <c r="E3" s="2"/>
      <c r="F3" s="2"/>
      <c r="I3" s="25"/>
    </row>
    <row r="4" spans="1:9" ht="29.25" customHeight="1" x14ac:dyDescent="0.2">
      <c r="A4" s="235" t="s">
        <v>3</v>
      </c>
      <c r="B4" s="237" t="s">
        <v>400</v>
      </c>
      <c r="C4" s="237" t="s">
        <v>0</v>
      </c>
      <c r="D4" s="237" t="s">
        <v>1076</v>
      </c>
      <c r="E4" s="237" t="s">
        <v>2479</v>
      </c>
      <c r="F4" s="237" t="s">
        <v>1081</v>
      </c>
      <c r="G4" s="237" t="s">
        <v>1078</v>
      </c>
      <c r="H4" s="237" t="s">
        <v>1082</v>
      </c>
      <c r="I4" s="233" t="s">
        <v>218</v>
      </c>
    </row>
    <row r="5" spans="1:9" ht="29.25" customHeight="1" x14ac:dyDescent="0.2">
      <c r="A5" s="236"/>
      <c r="B5" s="238"/>
      <c r="C5" s="238"/>
      <c r="D5" s="238"/>
      <c r="E5" s="238"/>
      <c r="F5" s="238"/>
      <c r="G5" s="238"/>
      <c r="H5" s="238"/>
      <c r="I5" s="234"/>
    </row>
    <row r="6" spans="1:9" ht="16.5" x14ac:dyDescent="0.2">
      <c r="A6" s="183" t="s">
        <v>5</v>
      </c>
      <c r="B6" s="183"/>
      <c r="C6" s="183"/>
      <c r="D6" s="89">
        <f>+D12+D15+D7+D18+D83+D88</f>
        <v>15438088</v>
      </c>
      <c r="E6" s="89">
        <f>+E12+E15+E7+E18+E83+E88</f>
        <v>12241263.369999999</v>
      </c>
      <c r="F6" s="89">
        <f>+F12+F15+F7+F18+F83+F88</f>
        <v>3196824.63</v>
      </c>
      <c r="G6" s="89">
        <f>+G12+G15+G7+G18+G83+G88</f>
        <v>5642216.7599999998</v>
      </c>
      <c r="H6" s="89">
        <f>+H12+H15+H7+H18+H83+H88</f>
        <v>9795871.2400000002</v>
      </c>
      <c r="I6" s="90">
        <f t="shared" ref="I6:I69" si="0">G6/D6</f>
        <v>0.36547380478722491</v>
      </c>
    </row>
    <row r="7" spans="1:9" ht="16.5" x14ac:dyDescent="0.2">
      <c r="A7" s="195" t="s">
        <v>1052</v>
      </c>
      <c r="B7" s="195"/>
      <c r="C7" s="195"/>
      <c r="D7" s="91">
        <f>+SUM(D8:D11)</f>
        <v>3137774</v>
      </c>
      <c r="E7" s="91">
        <f t="shared" ref="E7:H7" si="1">+SUM(E8:E11)</f>
        <v>2116365.52</v>
      </c>
      <c r="F7" s="91">
        <f t="shared" si="1"/>
        <v>1021408.48</v>
      </c>
      <c r="G7" s="91">
        <f t="shared" si="1"/>
        <v>1384234.53</v>
      </c>
      <c r="H7" s="91">
        <f t="shared" si="1"/>
        <v>1753539.47</v>
      </c>
      <c r="I7" s="92">
        <f>+G7/D7</f>
        <v>0.44115176236401987</v>
      </c>
    </row>
    <row r="8" spans="1:9" s="13" customFormat="1" ht="38.25" x14ac:dyDescent="0.2">
      <c r="A8" s="93">
        <f>SUBTOTAL(103,$B$8:B8)</f>
        <v>1</v>
      </c>
      <c r="B8" s="110">
        <v>20</v>
      </c>
      <c r="C8" s="128" t="s">
        <v>224</v>
      </c>
      <c r="D8" s="101">
        <f>[1]AA!D9</f>
        <v>2659376</v>
      </c>
      <c r="E8" s="101">
        <f>[1]AA!E9</f>
        <v>1816152.02</v>
      </c>
      <c r="F8" s="101">
        <f>[1]AA!F9</f>
        <v>843223.98</v>
      </c>
      <c r="G8" s="101">
        <f>[1]AA!G9</f>
        <v>1265261.03</v>
      </c>
      <c r="H8" s="101">
        <f>[1]AA!H9</f>
        <v>1394114.97</v>
      </c>
      <c r="I8" s="107">
        <f>+G8/D8</f>
        <v>0.47577365141296307</v>
      </c>
    </row>
    <row r="9" spans="1:9" s="13" customFormat="1" ht="51" x14ac:dyDescent="0.2">
      <c r="A9" s="93">
        <f>SUBTOTAL(103,$B$8:B9)</f>
        <v>2</v>
      </c>
      <c r="B9" s="110">
        <v>383</v>
      </c>
      <c r="C9" s="128" t="s">
        <v>970</v>
      </c>
      <c r="D9" s="95">
        <f>[1]AA!D325</f>
        <v>159946</v>
      </c>
      <c r="E9" s="95">
        <f>[1]AA!E325</f>
        <v>123441</v>
      </c>
      <c r="F9" s="95">
        <f>[1]AA!F325</f>
        <v>36505</v>
      </c>
      <c r="G9" s="95">
        <f>[1]AA!G325</f>
        <v>60441</v>
      </c>
      <c r="H9" s="95">
        <f>[1]AA!H325</f>
        <v>99505</v>
      </c>
      <c r="I9" s="107">
        <f>G9/D9</f>
        <v>0.37788378577769999</v>
      </c>
    </row>
    <row r="10" spans="1:9" s="13" customFormat="1" ht="76.5" x14ac:dyDescent="0.2">
      <c r="A10" s="93">
        <f>SUBTOTAL(103,$B$8:B10)</f>
        <v>3</v>
      </c>
      <c r="B10" s="110">
        <v>475</v>
      </c>
      <c r="C10" s="128" t="s">
        <v>1061</v>
      </c>
      <c r="D10" s="95">
        <f>[1]AA!D394</f>
        <v>159560</v>
      </c>
      <c r="E10" s="95">
        <f>[1]AA!E394</f>
        <v>97390</v>
      </c>
      <c r="F10" s="95">
        <f>[1]AA!F394</f>
        <v>62170</v>
      </c>
      <c r="G10" s="95">
        <f>[1]AA!G394</f>
        <v>13950</v>
      </c>
      <c r="H10" s="95">
        <f>[1]AA!H394</f>
        <v>145610</v>
      </c>
      <c r="I10" s="107">
        <f>G10/D10</f>
        <v>8.7427926798696418E-2</v>
      </c>
    </row>
    <row r="11" spans="1:9" s="13" customFormat="1" ht="76.5" x14ac:dyDescent="0.2">
      <c r="A11" s="93">
        <f>SUBTOTAL(103,$B$8:B11)</f>
        <v>4</v>
      </c>
      <c r="B11" s="110">
        <v>410</v>
      </c>
      <c r="C11" s="128" t="s">
        <v>997</v>
      </c>
      <c r="D11" s="95">
        <f>[1]AA!D352</f>
        <v>158892</v>
      </c>
      <c r="E11" s="95">
        <f>[1]AA!E352</f>
        <v>79382.5</v>
      </c>
      <c r="F11" s="95">
        <f>[1]AA!F352</f>
        <v>79509.5</v>
      </c>
      <c r="G11" s="95">
        <f>[1]AA!G352</f>
        <v>44582.5</v>
      </c>
      <c r="H11" s="95">
        <f>[1]AA!H352</f>
        <v>114309.5</v>
      </c>
      <c r="I11" s="107">
        <f t="shared" si="0"/>
        <v>0.28058366689323566</v>
      </c>
    </row>
    <row r="12" spans="1:9" ht="16.5" x14ac:dyDescent="0.2">
      <c r="A12" s="195" t="s">
        <v>1048</v>
      </c>
      <c r="B12" s="195"/>
      <c r="C12" s="195"/>
      <c r="D12" s="91">
        <f>SUM(D13:D14)</f>
        <v>243160</v>
      </c>
      <c r="E12" s="91">
        <f t="shared" ref="E12:H12" si="2">SUM(E13:E14)</f>
        <v>83160</v>
      </c>
      <c r="F12" s="91">
        <f t="shared" si="2"/>
        <v>160000</v>
      </c>
      <c r="G12" s="91">
        <f t="shared" si="2"/>
        <v>83100.399999999994</v>
      </c>
      <c r="H12" s="91">
        <f t="shared" si="2"/>
        <v>160059.6</v>
      </c>
      <c r="I12" s="92">
        <f>G12/D12</f>
        <v>0.34175193288369793</v>
      </c>
    </row>
    <row r="13" spans="1:9" s="13" customFormat="1" ht="76.5" x14ac:dyDescent="0.2">
      <c r="A13" s="93">
        <f>SUBTOTAL(103,$B$8:B13)</f>
        <v>5</v>
      </c>
      <c r="B13" s="110">
        <v>399</v>
      </c>
      <c r="C13" s="128" t="s">
        <v>986</v>
      </c>
      <c r="D13" s="95">
        <f>[1]AA!D341</f>
        <v>160000</v>
      </c>
      <c r="E13" s="95">
        <f>[1]AA!E341</f>
        <v>0</v>
      </c>
      <c r="F13" s="95">
        <f>[1]AA!F341</f>
        <v>160000</v>
      </c>
      <c r="G13" s="95">
        <f>[1]AA!G341</f>
        <v>0</v>
      </c>
      <c r="H13" s="95">
        <f>[1]AA!H341</f>
        <v>160000</v>
      </c>
      <c r="I13" s="107">
        <f>G13/D13</f>
        <v>0</v>
      </c>
    </row>
    <row r="14" spans="1:9" s="13" customFormat="1" ht="63.75" x14ac:dyDescent="0.2">
      <c r="A14" s="93">
        <f>SUBTOTAL(103,$B$8:B14)</f>
        <v>6</v>
      </c>
      <c r="B14" s="110">
        <v>373</v>
      </c>
      <c r="C14" s="128" t="s">
        <v>783</v>
      </c>
      <c r="D14" s="95">
        <f>[1]AA!D316</f>
        <v>83160</v>
      </c>
      <c r="E14" s="95">
        <f>[1]AA!E316</f>
        <v>83160</v>
      </c>
      <c r="F14" s="95">
        <f>[1]AA!F316</f>
        <v>0</v>
      </c>
      <c r="G14" s="95">
        <f>[1]AA!G316</f>
        <v>83100.399999999994</v>
      </c>
      <c r="H14" s="95">
        <f>[1]AA!H316</f>
        <v>59.600000000005821</v>
      </c>
      <c r="I14" s="107">
        <f t="shared" si="0"/>
        <v>0.99928330928330922</v>
      </c>
    </row>
    <row r="15" spans="1:9" ht="16.5" x14ac:dyDescent="0.2">
      <c r="A15" s="195" t="s">
        <v>1051</v>
      </c>
      <c r="B15" s="195"/>
      <c r="C15" s="195"/>
      <c r="D15" s="91">
        <f>SUM(D16:D17)</f>
        <v>1098209</v>
      </c>
      <c r="E15" s="91">
        <f>SUM(E16:E17)</f>
        <v>942251.03</v>
      </c>
      <c r="F15" s="91">
        <f>SUM(F16:F17)</f>
        <v>155957.96999999997</v>
      </c>
      <c r="G15" s="91">
        <f>SUM(G16:G17)</f>
        <v>584139.09</v>
      </c>
      <c r="H15" s="91">
        <f>SUM(H16:H17)</f>
        <v>514069.91000000003</v>
      </c>
      <c r="I15" s="92">
        <f t="shared" si="0"/>
        <v>0.53190156882706296</v>
      </c>
    </row>
    <row r="16" spans="1:9" s="13" customFormat="1" ht="23.25" customHeight="1" x14ac:dyDescent="0.2">
      <c r="A16" s="93">
        <f>SUBTOTAL(103,$B$8:B16)</f>
        <v>7</v>
      </c>
      <c r="B16" s="110">
        <v>216</v>
      </c>
      <c r="C16" s="128" t="s">
        <v>222</v>
      </c>
      <c r="D16" s="101">
        <f>[1]AA!D181</f>
        <v>928209</v>
      </c>
      <c r="E16" s="101">
        <f>[1]AA!E181</f>
        <v>899241.03</v>
      </c>
      <c r="F16" s="101">
        <f>[1]AA!F181</f>
        <v>28967.969999999972</v>
      </c>
      <c r="G16" s="101">
        <f>[1]AA!G181</f>
        <v>562739.85</v>
      </c>
      <c r="H16" s="101">
        <f>[1]AA!H181</f>
        <v>365469.15</v>
      </c>
      <c r="I16" s="107">
        <f t="shared" si="0"/>
        <v>0.60626416033457975</v>
      </c>
    </row>
    <row r="17" spans="1:9" s="13" customFormat="1" ht="23.25" customHeight="1" x14ac:dyDescent="0.2">
      <c r="A17" s="93">
        <f>SUBTOTAL(103,$B$8:B17)</f>
        <v>8</v>
      </c>
      <c r="B17" s="110">
        <v>493</v>
      </c>
      <c r="C17" s="128" t="s">
        <v>222</v>
      </c>
      <c r="D17" s="101">
        <f>[1]AA!D409</f>
        <v>170000</v>
      </c>
      <c r="E17" s="101">
        <f>[1]AA!E409</f>
        <v>43010</v>
      </c>
      <c r="F17" s="101">
        <f>[1]AA!F409</f>
        <v>126990</v>
      </c>
      <c r="G17" s="101">
        <f>[1]AA!G409</f>
        <v>21399.239999999998</v>
      </c>
      <c r="H17" s="101">
        <f>[1]AA!H409</f>
        <v>148600.76</v>
      </c>
      <c r="I17" s="107">
        <f t="shared" si="0"/>
        <v>0.12587788235294117</v>
      </c>
    </row>
    <row r="18" spans="1:9" ht="16.5" x14ac:dyDescent="0.2">
      <c r="A18" s="195" t="s">
        <v>1049</v>
      </c>
      <c r="B18" s="195"/>
      <c r="C18" s="195"/>
      <c r="D18" s="91">
        <f>SUM(D19:D82)</f>
        <v>8596003</v>
      </c>
      <c r="E18" s="91">
        <f t="shared" ref="E18:H18" si="3">SUM(E19:E82)</f>
        <v>7286858.1499999994</v>
      </c>
      <c r="F18" s="91">
        <f t="shared" si="3"/>
        <v>1309144.8500000001</v>
      </c>
      <c r="G18" s="91">
        <f t="shared" si="3"/>
        <v>3150430.74</v>
      </c>
      <c r="H18" s="91">
        <f t="shared" si="3"/>
        <v>5445572.2599999998</v>
      </c>
      <c r="I18" s="92">
        <f t="shared" si="0"/>
        <v>0.36649949284568656</v>
      </c>
    </row>
    <row r="19" spans="1:9" s="13" customFormat="1" ht="51" x14ac:dyDescent="0.2">
      <c r="A19" s="93">
        <f>SUBTOTAL(103,$B$8:B19)</f>
        <v>9</v>
      </c>
      <c r="B19" s="110">
        <v>418</v>
      </c>
      <c r="C19" s="128" t="s">
        <v>1005</v>
      </c>
      <c r="D19" s="95">
        <f>[1]AA!D360</f>
        <v>350000</v>
      </c>
      <c r="E19" s="95">
        <f>[1]AA!E360</f>
        <v>324160</v>
      </c>
      <c r="F19" s="95">
        <f>[1]AA!F360</f>
        <v>25840</v>
      </c>
      <c r="G19" s="95">
        <f>[1]AA!G360</f>
        <v>62360</v>
      </c>
      <c r="H19" s="95">
        <f>[1]AA!H360</f>
        <v>287640</v>
      </c>
      <c r="I19" s="107">
        <f t="shared" si="0"/>
        <v>0.17817142857142856</v>
      </c>
    </row>
    <row r="20" spans="1:9" s="13" customFormat="1" ht="38.25" x14ac:dyDescent="0.2">
      <c r="A20" s="93">
        <f>SUBTOTAL(103,$B$8:B20)</f>
        <v>10</v>
      </c>
      <c r="B20" s="110">
        <v>424</v>
      </c>
      <c r="C20" s="128" t="s">
        <v>1011</v>
      </c>
      <c r="D20" s="95">
        <f>[1]AA!D366</f>
        <v>349950</v>
      </c>
      <c r="E20" s="95">
        <f>[1]AA!E366</f>
        <v>287705</v>
      </c>
      <c r="F20" s="95">
        <f>[1]AA!F366</f>
        <v>62245</v>
      </c>
      <c r="G20" s="95">
        <f>[1]AA!G366</f>
        <v>129470</v>
      </c>
      <c r="H20" s="95">
        <f>[1]AA!H366</f>
        <v>220480</v>
      </c>
      <c r="I20" s="107">
        <f t="shared" si="0"/>
        <v>0.36996713816259463</v>
      </c>
    </row>
    <row r="21" spans="1:9" s="13" customFormat="1" ht="51" x14ac:dyDescent="0.2">
      <c r="A21" s="93">
        <f>SUBTOTAL(103,$B$8:B21)</f>
        <v>11</v>
      </c>
      <c r="B21" s="110">
        <v>413</v>
      </c>
      <c r="C21" s="128" t="s">
        <v>1000</v>
      </c>
      <c r="D21" s="95">
        <f>[1]AA!D355</f>
        <v>349899</v>
      </c>
      <c r="E21" s="95">
        <f>[1]AA!E355</f>
        <v>307070</v>
      </c>
      <c r="F21" s="95">
        <f>[1]AA!F355</f>
        <v>42829</v>
      </c>
      <c r="G21" s="95">
        <f>[1]AA!G355</f>
        <v>7000</v>
      </c>
      <c r="H21" s="95">
        <f>[1]AA!H355</f>
        <v>342899</v>
      </c>
      <c r="I21" s="107">
        <f t="shared" si="0"/>
        <v>2.0005773094521562E-2</v>
      </c>
    </row>
    <row r="22" spans="1:9" s="13" customFormat="1" ht="63.75" x14ac:dyDescent="0.2">
      <c r="A22" s="93">
        <f>SUBTOTAL(103,$B$8:B22)</f>
        <v>12</v>
      </c>
      <c r="B22" s="110">
        <v>394</v>
      </c>
      <c r="C22" s="128" t="s">
        <v>981</v>
      </c>
      <c r="D22" s="95">
        <f>[1]AA!D336</f>
        <v>349792</v>
      </c>
      <c r="E22" s="95">
        <f>[1]AA!E336</f>
        <v>321500</v>
      </c>
      <c r="F22" s="95">
        <f>[1]AA!F336</f>
        <v>28292</v>
      </c>
      <c r="G22" s="95">
        <f>[1]AA!G336</f>
        <v>0</v>
      </c>
      <c r="H22" s="95">
        <f>[1]AA!H336</f>
        <v>349792</v>
      </c>
      <c r="I22" s="107">
        <f t="shared" si="0"/>
        <v>0</v>
      </c>
    </row>
    <row r="23" spans="1:9" s="13" customFormat="1" ht="63.75" x14ac:dyDescent="0.2">
      <c r="A23" s="93">
        <f>SUBTOTAL(103,$B$8:B23)</f>
        <v>13</v>
      </c>
      <c r="B23" s="110">
        <v>408</v>
      </c>
      <c r="C23" s="128" t="s">
        <v>995</v>
      </c>
      <c r="D23" s="95">
        <f>[1]AA!D350</f>
        <v>349792</v>
      </c>
      <c r="E23" s="95">
        <f>[1]AA!E350</f>
        <v>329100</v>
      </c>
      <c r="F23" s="95">
        <f>[1]AA!F350</f>
        <v>20692</v>
      </c>
      <c r="G23" s="95">
        <f>[1]AA!G350</f>
        <v>0</v>
      </c>
      <c r="H23" s="95">
        <f>[1]AA!H350</f>
        <v>349792</v>
      </c>
      <c r="I23" s="107">
        <f t="shared" si="0"/>
        <v>0</v>
      </c>
    </row>
    <row r="24" spans="1:9" s="13" customFormat="1" ht="38.25" x14ac:dyDescent="0.2">
      <c r="A24" s="93">
        <f>SUBTOTAL(103,$B$8:B24)</f>
        <v>14</v>
      </c>
      <c r="B24" s="110">
        <v>421</v>
      </c>
      <c r="C24" s="128" t="s">
        <v>1008</v>
      </c>
      <c r="D24" s="95">
        <f>[1]AA!D363</f>
        <v>346711</v>
      </c>
      <c r="E24" s="95">
        <f>[1]AA!E363</f>
        <v>318955</v>
      </c>
      <c r="F24" s="95">
        <f>[1]AA!F363</f>
        <v>27756</v>
      </c>
      <c r="G24" s="95">
        <f>[1]AA!G363</f>
        <v>40200</v>
      </c>
      <c r="H24" s="95">
        <f>[1]AA!H363</f>
        <v>306511</v>
      </c>
      <c r="I24" s="107">
        <f t="shared" si="0"/>
        <v>0.11594671066104047</v>
      </c>
    </row>
    <row r="25" spans="1:9" s="13" customFormat="1" ht="63.75" x14ac:dyDescent="0.2">
      <c r="A25" s="93">
        <f>SUBTOTAL(103,$B$8:B25)</f>
        <v>15</v>
      </c>
      <c r="B25" s="110">
        <v>387</v>
      </c>
      <c r="C25" s="128" t="s">
        <v>974</v>
      </c>
      <c r="D25" s="95">
        <f>[1]AA!D329</f>
        <v>269980</v>
      </c>
      <c r="E25" s="95">
        <f>[1]AA!E329</f>
        <v>259749</v>
      </c>
      <c r="F25" s="95">
        <f>[1]AA!F329</f>
        <v>10231</v>
      </c>
      <c r="G25" s="95">
        <f>[1]AA!G329</f>
        <v>251883</v>
      </c>
      <c r="H25" s="95">
        <f>[1]AA!H329</f>
        <v>18097</v>
      </c>
      <c r="I25" s="107">
        <f t="shared" si="0"/>
        <v>0.93296910882287576</v>
      </c>
    </row>
    <row r="26" spans="1:9" s="13" customFormat="1" ht="63.75" x14ac:dyDescent="0.2">
      <c r="A26" s="93">
        <f>SUBTOTAL(103,$B$8:B26)</f>
        <v>16</v>
      </c>
      <c r="B26" s="110">
        <v>378</v>
      </c>
      <c r="C26" s="128" t="s">
        <v>803</v>
      </c>
      <c r="D26" s="95">
        <f>[1]AA!D321</f>
        <v>209400</v>
      </c>
      <c r="E26" s="95">
        <f>[1]AA!E321</f>
        <v>136550</v>
      </c>
      <c r="F26" s="95">
        <f>[1]AA!F321</f>
        <v>72850</v>
      </c>
      <c r="G26" s="95">
        <f>[1]AA!G321</f>
        <v>136550</v>
      </c>
      <c r="H26" s="95">
        <f>[1]AA!H321</f>
        <v>72850</v>
      </c>
      <c r="I26" s="107">
        <f t="shared" si="0"/>
        <v>0.65210124164278893</v>
      </c>
    </row>
    <row r="27" spans="1:9" s="13" customFormat="1" ht="63.75" x14ac:dyDescent="0.2">
      <c r="A27" s="93">
        <f>SUBTOTAL(103,$B$8:B27)</f>
        <v>17</v>
      </c>
      <c r="B27" s="110">
        <v>392</v>
      </c>
      <c r="C27" s="128" t="s">
        <v>979</v>
      </c>
      <c r="D27" s="95">
        <f>[1]AA!D334</f>
        <v>160000</v>
      </c>
      <c r="E27" s="95">
        <f>[1]AA!E334</f>
        <v>143401</v>
      </c>
      <c r="F27" s="95">
        <f>[1]AA!F334</f>
        <v>16599</v>
      </c>
      <c r="G27" s="95">
        <f>[1]AA!G334</f>
        <v>118401</v>
      </c>
      <c r="H27" s="95">
        <f>[1]AA!H334</f>
        <v>41599</v>
      </c>
      <c r="I27" s="107">
        <f t="shared" si="0"/>
        <v>0.74000624999999998</v>
      </c>
    </row>
    <row r="28" spans="1:9" s="13" customFormat="1" ht="76.5" x14ac:dyDescent="0.2">
      <c r="A28" s="93">
        <f>SUBTOTAL(103,$B$8:B28)</f>
        <v>18</v>
      </c>
      <c r="B28" s="110">
        <v>393</v>
      </c>
      <c r="C28" s="128" t="s">
        <v>980</v>
      </c>
      <c r="D28" s="95">
        <f>[1]AA!D335</f>
        <v>160000</v>
      </c>
      <c r="E28" s="95">
        <f>[1]AA!E335</f>
        <v>149840</v>
      </c>
      <c r="F28" s="95">
        <f>[1]AA!F335</f>
        <v>10160</v>
      </c>
      <c r="G28" s="95">
        <f>[1]AA!G335</f>
        <v>15740</v>
      </c>
      <c r="H28" s="95">
        <f>[1]AA!H335</f>
        <v>144260</v>
      </c>
      <c r="I28" s="107">
        <f t="shared" si="0"/>
        <v>9.8375000000000004E-2</v>
      </c>
    </row>
    <row r="29" spans="1:9" s="13" customFormat="1" ht="63.75" x14ac:dyDescent="0.2">
      <c r="A29" s="93">
        <f>SUBTOTAL(103,$B$8:B29)</f>
        <v>19</v>
      </c>
      <c r="B29" s="110">
        <v>397</v>
      </c>
      <c r="C29" s="128" t="s">
        <v>984</v>
      </c>
      <c r="D29" s="95">
        <f>[1]AA!D339</f>
        <v>160000</v>
      </c>
      <c r="E29" s="95">
        <f>[1]AA!E339</f>
        <v>148960</v>
      </c>
      <c r="F29" s="95">
        <f>[1]AA!F339</f>
        <v>11040</v>
      </c>
      <c r="G29" s="95">
        <f>[1]AA!G339</f>
        <v>26000</v>
      </c>
      <c r="H29" s="95">
        <f>[1]AA!H339</f>
        <v>134000</v>
      </c>
      <c r="I29" s="107">
        <f t="shared" si="0"/>
        <v>0.16250000000000001</v>
      </c>
    </row>
    <row r="30" spans="1:9" s="13" customFormat="1" ht="63.75" x14ac:dyDescent="0.2">
      <c r="A30" s="93">
        <f>SUBTOTAL(103,$B$8:B30)</f>
        <v>20</v>
      </c>
      <c r="B30" s="110">
        <v>404</v>
      </c>
      <c r="C30" s="128" t="s">
        <v>991</v>
      </c>
      <c r="D30" s="95">
        <f>[1]AA!D346</f>
        <v>160000</v>
      </c>
      <c r="E30" s="95">
        <f>[1]AA!E346</f>
        <v>150870</v>
      </c>
      <c r="F30" s="95">
        <f>[1]AA!F346</f>
        <v>9130</v>
      </c>
      <c r="G30" s="95">
        <f>[1]AA!G346</f>
        <v>45270</v>
      </c>
      <c r="H30" s="95">
        <f>[1]AA!H346</f>
        <v>114730</v>
      </c>
      <c r="I30" s="107">
        <f t="shared" si="0"/>
        <v>0.28293750000000001</v>
      </c>
    </row>
    <row r="31" spans="1:9" s="13" customFormat="1" ht="63.75" x14ac:dyDescent="0.2">
      <c r="A31" s="93">
        <f>SUBTOTAL(103,$B$8:B31)</f>
        <v>21</v>
      </c>
      <c r="B31" s="110">
        <v>407</v>
      </c>
      <c r="C31" s="128" t="s">
        <v>994</v>
      </c>
      <c r="D31" s="95">
        <f>[1]AA!D349</f>
        <v>160000</v>
      </c>
      <c r="E31" s="95">
        <f>[1]AA!E349</f>
        <v>151322</v>
      </c>
      <c r="F31" s="95">
        <f>[1]AA!F349</f>
        <v>8678</v>
      </c>
      <c r="G31" s="95">
        <f>[1]AA!G349</f>
        <v>96322</v>
      </c>
      <c r="H31" s="95">
        <f>[1]AA!H349</f>
        <v>63678</v>
      </c>
      <c r="I31" s="107">
        <f t="shared" si="0"/>
        <v>0.60201249999999995</v>
      </c>
    </row>
    <row r="32" spans="1:9" s="13" customFormat="1" ht="76.5" x14ac:dyDescent="0.2">
      <c r="A32" s="93">
        <f>SUBTOTAL(103,$B$8:B32)</f>
        <v>22</v>
      </c>
      <c r="B32" s="110">
        <v>412</v>
      </c>
      <c r="C32" s="128" t="s">
        <v>999</v>
      </c>
      <c r="D32" s="95">
        <f>[1]AA!D354</f>
        <v>160000</v>
      </c>
      <c r="E32" s="95">
        <f>[1]AA!E354</f>
        <v>145570.62</v>
      </c>
      <c r="F32" s="95">
        <f>[1]AA!F354</f>
        <v>14429.380000000005</v>
      </c>
      <c r="G32" s="95">
        <f>[1]AA!G354</f>
        <v>10545</v>
      </c>
      <c r="H32" s="95">
        <f>[1]AA!H354</f>
        <v>149455</v>
      </c>
      <c r="I32" s="107">
        <f t="shared" si="0"/>
        <v>6.590625E-2</v>
      </c>
    </row>
    <row r="33" spans="1:9" s="13" customFormat="1" ht="63.75" x14ac:dyDescent="0.2">
      <c r="A33" s="93">
        <f>SUBTOTAL(103,$B$8:B33)</f>
        <v>23</v>
      </c>
      <c r="B33" s="110">
        <v>420</v>
      </c>
      <c r="C33" s="128" t="s">
        <v>1007</v>
      </c>
      <c r="D33" s="95">
        <f>[1]AA!D362</f>
        <v>160000</v>
      </c>
      <c r="E33" s="95">
        <f>[1]AA!E362</f>
        <v>152470</v>
      </c>
      <c r="F33" s="95">
        <f>[1]AA!F362</f>
        <v>7530</v>
      </c>
      <c r="G33" s="95">
        <f>[1]AA!G362</f>
        <v>126270</v>
      </c>
      <c r="H33" s="95">
        <f>[1]AA!H362</f>
        <v>33730</v>
      </c>
      <c r="I33" s="107">
        <f t="shared" si="0"/>
        <v>0.78918750000000004</v>
      </c>
    </row>
    <row r="34" spans="1:9" s="13" customFormat="1" ht="63.75" x14ac:dyDescent="0.2">
      <c r="A34" s="93">
        <f>SUBTOTAL(103,$B$8:B34)</f>
        <v>24</v>
      </c>
      <c r="B34" s="110">
        <v>423</v>
      </c>
      <c r="C34" s="128" t="s">
        <v>1010</v>
      </c>
      <c r="D34" s="95">
        <f>[1]AA!D365</f>
        <v>160000</v>
      </c>
      <c r="E34" s="95">
        <f>[1]AA!E365</f>
        <v>146000</v>
      </c>
      <c r="F34" s="95">
        <f>[1]AA!F365</f>
        <v>14000</v>
      </c>
      <c r="G34" s="95">
        <f>[1]AA!G365</f>
        <v>0</v>
      </c>
      <c r="H34" s="95">
        <f>[1]AA!H365</f>
        <v>160000</v>
      </c>
      <c r="I34" s="107">
        <f t="shared" si="0"/>
        <v>0</v>
      </c>
    </row>
    <row r="35" spans="1:9" s="13" customFormat="1" ht="51" x14ac:dyDescent="0.2">
      <c r="A35" s="93">
        <f>SUBTOTAL(103,$B$8:B35)</f>
        <v>25</v>
      </c>
      <c r="B35" s="110">
        <v>425</v>
      </c>
      <c r="C35" s="128" t="s">
        <v>1012</v>
      </c>
      <c r="D35" s="95">
        <f>[1]AA!D367</f>
        <v>160000</v>
      </c>
      <c r="E35" s="95">
        <f>[1]AA!E367</f>
        <v>89310</v>
      </c>
      <c r="F35" s="95">
        <f>[1]AA!F367</f>
        <v>70690</v>
      </c>
      <c r="G35" s="95">
        <f>[1]AA!G367</f>
        <v>75340</v>
      </c>
      <c r="H35" s="95">
        <f>[1]AA!H367</f>
        <v>84660</v>
      </c>
      <c r="I35" s="107">
        <f t="shared" si="0"/>
        <v>0.47087499999999999</v>
      </c>
    </row>
    <row r="36" spans="1:9" s="13" customFormat="1" ht="63.75" x14ac:dyDescent="0.2">
      <c r="A36" s="93">
        <f>SUBTOTAL(103,$B$8:B36)</f>
        <v>26</v>
      </c>
      <c r="B36" s="97">
        <v>351</v>
      </c>
      <c r="C36" s="127" t="s">
        <v>327</v>
      </c>
      <c r="D36" s="95">
        <f>[1]AA!D294</f>
        <v>61500</v>
      </c>
      <c r="E36" s="95">
        <f>[1]AA!E294</f>
        <v>59000</v>
      </c>
      <c r="F36" s="95">
        <f>[1]AA!F294</f>
        <v>2500</v>
      </c>
      <c r="G36" s="95">
        <f>[1]AA!G294</f>
        <v>0</v>
      </c>
      <c r="H36" s="95">
        <f>[1]AA!H294</f>
        <v>61500</v>
      </c>
      <c r="I36" s="96">
        <f t="shared" si="0"/>
        <v>0</v>
      </c>
    </row>
    <row r="37" spans="1:9" s="13" customFormat="1" ht="76.5" x14ac:dyDescent="0.2">
      <c r="A37" s="93">
        <f>SUBTOTAL(103,$B$8:B37)</f>
        <v>27</v>
      </c>
      <c r="B37" s="110">
        <v>352</v>
      </c>
      <c r="C37" s="128" t="s">
        <v>328</v>
      </c>
      <c r="D37" s="95">
        <f>[1]AA!D295</f>
        <v>62000</v>
      </c>
      <c r="E37" s="95">
        <f>[1]AA!E295</f>
        <v>61766.67</v>
      </c>
      <c r="F37" s="95">
        <f>[1]AA!F295</f>
        <v>233.33000000000175</v>
      </c>
      <c r="G37" s="95">
        <f>[1]AA!G295</f>
        <v>0</v>
      </c>
      <c r="H37" s="95">
        <f>[1]AA!H295</f>
        <v>62000</v>
      </c>
      <c r="I37" s="107">
        <f t="shared" si="0"/>
        <v>0</v>
      </c>
    </row>
    <row r="38" spans="1:9" s="13" customFormat="1" ht="63.75" x14ac:dyDescent="0.2">
      <c r="A38" s="93">
        <f>SUBTOTAL(103,$B$8:B38)</f>
        <v>28</v>
      </c>
      <c r="B38" s="110">
        <v>353</v>
      </c>
      <c r="C38" s="128" t="s">
        <v>749</v>
      </c>
      <c r="D38" s="95">
        <f>[1]AA!D296</f>
        <v>63755</v>
      </c>
      <c r="E38" s="95">
        <f>[1]AA!E296</f>
        <v>60139.48</v>
      </c>
      <c r="F38" s="95">
        <f>[1]AA!F296</f>
        <v>3615.52</v>
      </c>
      <c r="G38" s="95">
        <f>[1]AA!G296</f>
        <v>2139.48</v>
      </c>
      <c r="H38" s="95">
        <f>[1]AA!H296</f>
        <v>61615.519999999997</v>
      </c>
      <c r="I38" s="107">
        <f t="shared" si="0"/>
        <v>3.3557838600894049E-2</v>
      </c>
    </row>
    <row r="39" spans="1:9" s="13" customFormat="1" ht="63.75" x14ac:dyDescent="0.2">
      <c r="A39" s="93">
        <f>SUBTOTAL(103,$B$8:B39)</f>
        <v>29</v>
      </c>
      <c r="B39" s="110">
        <v>354</v>
      </c>
      <c r="C39" s="128" t="s">
        <v>753</v>
      </c>
      <c r="D39" s="95">
        <f>[1]AA!D297</f>
        <v>65438</v>
      </c>
      <c r="E39" s="95">
        <f>[1]AA!E297</f>
        <v>0</v>
      </c>
      <c r="F39" s="95">
        <f>[1]AA!F297</f>
        <v>65438</v>
      </c>
      <c r="G39" s="95">
        <f>[1]AA!G297</f>
        <v>0</v>
      </c>
      <c r="H39" s="95">
        <f>[1]AA!H297</f>
        <v>65438</v>
      </c>
      <c r="I39" s="107">
        <f t="shared" si="0"/>
        <v>0</v>
      </c>
    </row>
    <row r="40" spans="1:9" s="13" customFormat="1" ht="63.75" x14ac:dyDescent="0.2">
      <c r="A40" s="93">
        <f>SUBTOTAL(103,$B$8:B40)</f>
        <v>30</v>
      </c>
      <c r="B40" s="110">
        <v>355</v>
      </c>
      <c r="C40" s="128" t="s">
        <v>757</v>
      </c>
      <c r="D40" s="95">
        <f>[1]AA!D298</f>
        <v>61200</v>
      </c>
      <c r="E40" s="95">
        <f>[1]AA!E298</f>
        <v>59150</v>
      </c>
      <c r="F40" s="95">
        <f>[1]AA!F298</f>
        <v>2050</v>
      </c>
      <c r="G40" s="95">
        <f>[1]AA!G298</f>
        <v>59150</v>
      </c>
      <c r="H40" s="95">
        <f>[1]AA!H298</f>
        <v>2050</v>
      </c>
      <c r="I40" s="107">
        <f t="shared" si="0"/>
        <v>0.96650326797385622</v>
      </c>
    </row>
    <row r="41" spans="1:9" s="13" customFormat="1" ht="63.75" x14ac:dyDescent="0.2">
      <c r="A41" s="93">
        <f>SUBTOTAL(103,$B$8:B41)</f>
        <v>31</v>
      </c>
      <c r="B41" s="110">
        <v>357</v>
      </c>
      <c r="C41" s="128" t="s">
        <v>760</v>
      </c>
      <c r="D41" s="95">
        <f>[1]AA!D300</f>
        <v>2936</v>
      </c>
      <c r="E41" s="95">
        <f>[1]AA!E300</f>
        <v>2936</v>
      </c>
      <c r="F41" s="95">
        <f>[1]AA!F300</f>
        <v>0</v>
      </c>
      <c r="G41" s="95">
        <f>[1]AA!G300</f>
        <v>2936</v>
      </c>
      <c r="H41" s="95">
        <f>[1]AA!H300</f>
        <v>0</v>
      </c>
      <c r="I41" s="107">
        <f t="shared" si="0"/>
        <v>1</v>
      </c>
    </row>
    <row r="42" spans="1:9" s="13" customFormat="1" ht="63.75" x14ac:dyDescent="0.2">
      <c r="A42" s="93">
        <f>SUBTOTAL(103,$B$8:B42)</f>
        <v>32</v>
      </c>
      <c r="B42" s="110">
        <v>358</v>
      </c>
      <c r="C42" s="128" t="s">
        <v>761</v>
      </c>
      <c r="D42" s="95">
        <f>[1]AA!D301</f>
        <v>10692</v>
      </c>
      <c r="E42" s="95">
        <f>[1]AA!E301</f>
        <v>10691.76</v>
      </c>
      <c r="F42" s="95">
        <f>[1]AA!F301</f>
        <v>0.23999999999978172</v>
      </c>
      <c r="G42" s="95">
        <f>[1]AA!G301</f>
        <v>10691.76</v>
      </c>
      <c r="H42" s="95">
        <f>[1]AA!H301</f>
        <v>0.23999999999978172</v>
      </c>
      <c r="I42" s="107">
        <f t="shared" si="0"/>
        <v>0.99997755331088667</v>
      </c>
    </row>
    <row r="43" spans="1:9" s="13" customFormat="1" ht="51" x14ac:dyDescent="0.2">
      <c r="A43" s="93">
        <f>SUBTOTAL(103,$B$8:B43)</f>
        <v>33</v>
      </c>
      <c r="B43" s="110">
        <v>359</v>
      </c>
      <c r="C43" s="128" t="s">
        <v>762</v>
      </c>
      <c r="D43" s="95">
        <f>[1]AA!D302</f>
        <v>7816</v>
      </c>
      <c r="E43" s="95">
        <f>[1]AA!E302</f>
        <v>4500</v>
      </c>
      <c r="F43" s="95">
        <f>[1]AA!F302</f>
        <v>3316</v>
      </c>
      <c r="G43" s="95">
        <f>[1]AA!G302</f>
        <v>0</v>
      </c>
      <c r="H43" s="95">
        <f>[1]AA!H302</f>
        <v>7816</v>
      </c>
      <c r="I43" s="107">
        <f t="shared" si="0"/>
        <v>0</v>
      </c>
    </row>
    <row r="44" spans="1:9" s="13" customFormat="1" ht="76.5" x14ac:dyDescent="0.2">
      <c r="A44" s="93">
        <f>SUBTOTAL(103,$B$8:B44)</f>
        <v>34</v>
      </c>
      <c r="B44" s="110">
        <v>360</v>
      </c>
      <c r="C44" s="128" t="s">
        <v>764</v>
      </c>
      <c r="D44" s="95">
        <f>[1]AA!D303</f>
        <v>3546</v>
      </c>
      <c r="E44" s="95">
        <f>[1]AA!E303</f>
        <v>3546</v>
      </c>
      <c r="F44" s="95">
        <f>[1]AA!F303</f>
        <v>0</v>
      </c>
      <c r="G44" s="95">
        <f>[1]AA!G303</f>
        <v>3546</v>
      </c>
      <c r="H44" s="95">
        <f>[1]AA!H303</f>
        <v>0</v>
      </c>
      <c r="I44" s="107">
        <f t="shared" si="0"/>
        <v>1</v>
      </c>
    </row>
    <row r="45" spans="1:9" s="13" customFormat="1" ht="63.75" x14ac:dyDescent="0.2">
      <c r="A45" s="93">
        <f>SUBTOTAL(103,$B$8:B45)</f>
        <v>35</v>
      </c>
      <c r="B45" s="110">
        <v>361</v>
      </c>
      <c r="C45" s="128" t="s">
        <v>765</v>
      </c>
      <c r="D45" s="95">
        <f>[1]AA!D304</f>
        <v>2555</v>
      </c>
      <c r="E45" s="95">
        <f>[1]AA!E304</f>
        <v>2550</v>
      </c>
      <c r="F45" s="95">
        <f>[1]AA!F304</f>
        <v>5</v>
      </c>
      <c r="G45" s="95">
        <f>[1]AA!G304</f>
        <v>2550</v>
      </c>
      <c r="H45" s="95">
        <f>[1]AA!H304</f>
        <v>5</v>
      </c>
      <c r="I45" s="107">
        <f t="shared" si="0"/>
        <v>0.99804305283757333</v>
      </c>
    </row>
    <row r="46" spans="1:9" s="13" customFormat="1" ht="63.75" x14ac:dyDescent="0.2">
      <c r="A46" s="93">
        <f>SUBTOTAL(103,$B$8:B46)</f>
        <v>36</v>
      </c>
      <c r="B46" s="110">
        <v>362</v>
      </c>
      <c r="C46" s="128" t="s">
        <v>768</v>
      </c>
      <c r="D46" s="95">
        <f>[1]AA!D305</f>
        <v>73376</v>
      </c>
      <c r="E46" s="95">
        <f>[1]AA!E305</f>
        <v>69875.75</v>
      </c>
      <c r="F46" s="95">
        <f>[1]AA!F305</f>
        <v>3500.25</v>
      </c>
      <c r="G46" s="95">
        <f>[1]AA!G305</f>
        <v>69875.75</v>
      </c>
      <c r="H46" s="95">
        <f>[1]AA!H305</f>
        <v>3500.25</v>
      </c>
      <c r="I46" s="107">
        <f t="shared" si="0"/>
        <v>0.95229707261229835</v>
      </c>
    </row>
    <row r="47" spans="1:9" s="13" customFormat="1" ht="63.75" x14ac:dyDescent="0.2">
      <c r="A47" s="93">
        <f>SUBTOTAL(103,$B$8:B47)</f>
        <v>37</v>
      </c>
      <c r="B47" s="110">
        <v>363</v>
      </c>
      <c r="C47" s="128" t="s">
        <v>769</v>
      </c>
      <c r="D47" s="95">
        <f>[1]AA!D306</f>
        <v>54964</v>
      </c>
      <c r="E47" s="95">
        <f>[1]AA!E306</f>
        <v>1977.5</v>
      </c>
      <c r="F47" s="95">
        <f>[1]AA!F306</f>
        <v>52986.5</v>
      </c>
      <c r="G47" s="95">
        <f>[1]AA!G306</f>
        <v>1977.5</v>
      </c>
      <c r="H47" s="95">
        <f>[1]AA!H306</f>
        <v>52986.5</v>
      </c>
      <c r="I47" s="107">
        <f t="shared" si="0"/>
        <v>3.5978094752929193E-2</v>
      </c>
    </row>
    <row r="48" spans="1:9" s="13" customFormat="1" ht="63.75" x14ac:dyDescent="0.2">
      <c r="A48" s="93">
        <f>SUBTOTAL(103,$B$8:B48)</f>
        <v>38</v>
      </c>
      <c r="B48" s="110">
        <v>364</v>
      </c>
      <c r="C48" s="128" t="s">
        <v>771</v>
      </c>
      <c r="D48" s="95">
        <f>[1]AA!D307</f>
        <v>73915</v>
      </c>
      <c r="E48" s="95">
        <f>[1]AA!E307</f>
        <v>71560</v>
      </c>
      <c r="F48" s="95">
        <f>[1]AA!F307</f>
        <v>2355</v>
      </c>
      <c r="G48" s="95">
        <f>[1]AA!G307</f>
        <v>69710</v>
      </c>
      <c r="H48" s="95">
        <f>[1]AA!H307</f>
        <v>4205</v>
      </c>
      <c r="I48" s="107">
        <f t="shared" si="0"/>
        <v>0.94311032943245621</v>
      </c>
    </row>
    <row r="49" spans="1:9" s="13" customFormat="1" ht="76.5" x14ac:dyDescent="0.2">
      <c r="A49" s="93">
        <f>SUBTOTAL(103,$B$8:B49)</f>
        <v>39</v>
      </c>
      <c r="B49" s="110">
        <v>365</v>
      </c>
      <c r="C49" s="128" t="s">
        <v>772</v>
      </c>
      <c r="D49" s="95">
        <f>[1]AA!D308</f>
        <v>5098</v>
      </c>
      <c r="E49" s="95">
        <f>[1]AA!E308</f>
        <v>5097</v>
      </c>
      <c r="F49" s="95">
        <f>[1]AA!F308</f>
        <v>1</v>
      </c>
      <c r="G49" s="95">
        <f>[1]AA!G308</f>
        <v>5097</v>
      </c>
      <c r="H49" s="95">
        <f>[1]AA!H308</f>
        <v>1</v>
      </c>
      <c r="I49" s="107">
        <f t="shared" si="0"/>
        <v>0.99980384464495886</v>
      </c>
    </row>
    <row r="50" spans="1:9" s="13" customFormat="1" ht="63.75" x14ac:dyDescent="0.2">
      <c r="A50" s="93">
        <f>SUBTOTAL(103,$B$8:B50)</f>
        <v>40</v>
      </c>
      <c r="B50" s="110">
        <v>366</v>
      </c>
      <c r="C50" s="128" t="s">
        <v>774</v>
      </c>
      <c r="D50" s="95">
        <f>[1]AA!D309</f>
        <v>4800</v>
      </c>
      <c r="E50" s="95">
        <f>[1]AA!E309</f>
        <v>4800</v>
      </c>
      <c r="F50" s="95">
        <f>[1]AA!F309</f>
        <v>0</v>
      </c>
      <c r="G50" s="95">
        <f>[1]AA!G309</f>
        <v>4800</v>
      </c>
      <c r="H50" s="95">
        <f>[1]AA!H309</f>
        <v>0</v>
      </c>
      <c r="I50" s="107">
        <f t="shared" si="0"/>
        <v>1</v>
      </c>
    </row>
    <row r="51" spans="1:9" s="13" customFormat="1" ht="63.75" x14ac:dyDescent="0.2">
      <c r="A51" s="93">
        <f>SUBTOTAL(103,$B$8:B51)</f>
        <v>41</v>
      </c>
      <c r="B51" s="110">
        <v>367</v>
      </c>
      <c r="C51" s="128" t="s">
        <v>775</v>
      </c>
      <c r="D51" s="95">
        <f>[1]AA!D310</f>
        <v>12800</v>
      </c>
      <c r="E51" s="95">
        <f>[1]AA!E310</f>
        <v>12800</v>
      </c>
      <c r="F51" s="95">
        <f>[1]AA!F310</f>
        <v>0</v>
      </c>
      <c r="G51" s="95">
        <f>[1]AA!G310</f>
        <v>12800</v>
      </c>
      <c r="H51" s="95">
        <f>[1]AA!H310</f>
        <v>0</v>
      </c>
      <c r="I51" s="107">
        <f t="shared" si="0"/>
        <v>1</v>
      </c>
    </row>
    <row r="52" spans="1:9" s="13" customFormat="1" ht="63.75" x14ac:dyDescent="0.2">
      <c r="A52" s="93">
        <f>SUBTOTAL(103,$B$8:B52)</f>
        <v>42</v>
      </c>
      <c r="B52" s="110">
        <v>369</v>
      </c>
      <c r="C52" s="128" t="s">
        <v>778</v>
      </c>
      <c r="D52" s="95">
        <f>[1]AA!D312</f>
        <v>57400</v>
      </c>
      <c r="E52" s="95">
        <f>[1]AA!E312</f>
        <v>57400</v>
      </c>
      <c r="F52" s="95">
        <f>[1]AA!F312</f>
        <v>0</v>
      </c>
      <c r="G52" s="95">
        <f>[1]AA!G312</f>
        <v>57400</v>
      </c>
      <c r="H52" s="95">
        <f>[1]AA!H312</f>
        <v>0</v>
      </c>
      <c r="I52" s="107">
        <f t="shared" si="0"/>
        <v>1</v>
      </c>
    </row>
    <row r="53" spans="1:9" s="13" customFormat="1" ht="63.75" x14ac:dyDescent="0.2">
      <c r="A53" s="93">
        <f>SUBTOTAL(103,$B$8:B53)</f>
        <v>43</v>
      </c>
      <c r="B53" s="110">
        <v>370</v>
      </c>
      <c r="C53" s="128" t="s">
        <v>779</v>
      </c>
      <c r="D53" s="95">
        <f>[1]AA!D313</f>
        <v>5898</v>
      </c>
      <c r="E53" s="95">
        <f>[1]AA!E313</f>
        <v>5898</v>
      </c>
      <c r="F53" s="95">
        <f>[1]AA!F313</f>
        <v>0</v>
      </c>
      <c r="G53" s="95">
        <f>[1]AA!G313</f>
        <v>5898</v>
      </c>
      <c r="H53" s="95">
        <f>[1]AA!H313</f>
        <v>0</v>
      </c>
      <c r="I53" s="107">
        <f t="shared" si="0"/>
        <v>1</v>
      </c>
    </row>
    <row r="54" spans="1:9" s="13" customFormat="1" ht="76.5" x14ac:dyDescent="0.2">
      <c r="A54" s="93">
        <f>SUBTOTAL(103,$B$8:B54)</f>
        <v>44</v>
      </c>
      <c r="B54" s="110">
        <v>371</v>
      </c>
      <c r="C54" s="128" t="s">
        <v>780</v>
      </c>
      <c r="D54" s="95">
        <f>[1]AA!D314</f>
        <v>3000</v>
      </c>
      <c r="E54" s="95">
        <f>[1]AA!E314</f>
        <v>3000</v>
      </c>
      <c r="F54" s="95">
        <f>[1]AA!F314</f>
        <v>0</v>
      </c>
      <c r="G54" s="95">
        <f>[1]AA!G314</f>
        <v>3000</v>
      </c>
      <c r="H54" s="95">
        <f>[1]AA!H314</f>
        <v>0</v>
      </c>
      <c r="I54" s="107">
        <f t="shared" si="0"/>
        <v>1</v>
      </c>
    </row>
    <row r="55" spans="1:9" s="13" customFormat="1" ht="63.75" x14ac:dyDescent="0.2">
      <c r="A55" s="93">
        <f>SUBTOTAL(103,$B$8:B55)</f>
        <v>45</v>
      </c>
      <c r="B55" s="110">
        <v>372</v>
      </c>
      <c r="C55" s="128" t="s">
        <v>782</v>
      </c>
      <c r="D55" s="95">
        <f>[1]AA!D315</f>
        <v>87790</v>
      </c>
      <c r="E55" s="95">
        <f>[1]AA!E315</f>
        <v>83112</v>
      </c>
      <c r="F55" s="95">
        <f>[1]AA!F315</f>
        <v>4678</v>
      </c>
      <c r="G55" s="95">
        <f>[1]AA!G315</f>
        <v>77990</v>
      </c>
      <c r="H55" s="95">
        <f>[1]AA!H315</f>
        <v>9800</v>
      </c>
      <c r="I55" s="107">
        <f t="shared" si="0"/>
        <v>0.88836997380111626</v>
      </c>
    </row>
    <row r="56" spans="1:9" s="13" customFormat="1" ht="51" x14ac:dyDescent="0.2">
      <c r="A56" s="93">
        <f>SUBTOTAL(103,$B$8:B56)</f>
        <v>46</v>
      </c>
      <c r="B56" s="110">
        <v>376</v>
      </c>
      <c r="C56" s="128" t="s">
        <v>801</v>
      </c>
      <c r="D56" s="95">
        <f>[1]AA!D319</f>
        <v>14715</v>
      </c>
      <c r="E56" s="95">
        <f>[1]AA!E319</f>
        <v>14714</v>
      </c>
      <c r="F56" s="95">
        <f>[1]AA!F319</f>
        <v>1</v>
      </c>
      <c r="G56" s="95">
        <f>[1]AA!G319</f>
        <v>14714</v>
      </c>
      <c r="H56" s="95">
        <f>[1]AA!H319</f>
        <v>1</v>
      </c>
      <c r="I56" s="107">
        <f t="shared" si="0"/>
        <v>0.99993204213387699</v>
      </c>
    </row>
    <row r="57" spans="1:9" s="13" customFormat="1" ht="51" x14ac:dyDescent="0.2">
      <c r="A57" s="93">
        <f>SUBTOTAL(103,$B$8:B57)</f>
        <v>47</v>
      </c>
      <c r="B57" s="110">
        <v>384</v>
      </c>
      <c r="C57" s="128" t="s">
        <v>971</v>
      </c>
      <c r="D57" s="95">
        <f>[1]AA!D326</f>
        <v>159547</v>
      </c>
      <c r="E57" s="95">
        <f>[1]AA!E326</f>
        <v>154167</v>
      </c>
      <c r="F57" s="95">
        <f>[1]AA!F326</f>
        <v>5380</v>
      </c>
      <c r="G57" s="95">
        <f>[1]AA!G326</f>
        <v>110933.5</v>
      </c>
      <c r="H57" s="95">
        <f>[1]AA!H326</f>
        <v>48613.5</v>
      </c>
      <c r="I57" s="107">
        <f t="shared" si="0"/>
        <v>0.69530295148138166</v>
      </c>
    </row>
    <row r="58" spans="1:9" s="13" customFormat="1" ht="63.75" x14ac:dyDescent="0.2">
      <c r="A58" s="93">
        <f>SUBTOTAL(103,$B$8:B58)</f>
        <v>48</v>
      </c>
      <c r="B58" s="110">
        <v>385</v>
      </c>
      <c r="C58" s="128" t="s">
        <v>972</v>
      </c>
      <c r="D58" s="95">
        <f>[1]AA!D327</f>
        <v>158642</v>
      </c>
      <c r="E58" s="95">
        <f>[1]AA!E327</f>
        <v>65482.62</v>
      </c>
      <c r="F58" s="95">
        <f>[1]AA!F327</f>
        <v>93159.38</v>
      </c>
      <c r="G58" s="95">
        <f>[1]AA!G327</f>
        <v>0</v>
      </c>
      <c r="H58" s="95">
        <f>[1]AA!H327</f>
        <v>158642</v>
      </c>
      <c r="I58" s="107">
        <f t="shared" si="0"/>
        <v>0</v>
      </c>
    </row>
    <row r="59" spans="1:9" s="13" customFormat="1" ht="51" x14ac:dyDescent="0.2">
      <c r="A59" s="93">
        <f>SUBTOTAL(103,$B$8:B59)</f>
        <v>49</v>
      </c>
      <c r="B59" s="110">
        <v>388</v>
      </c>
      <c r="C59" s="128" t="s">
        <v>975</v>
      </c>
      <c r="D59" s="95">
        <f>[1]AA!D330</f>
        <v>159352</v>
      </c>
      <c r="E59" s="95">
        <f>[1]AA!E330</f>
        <v>154000</v>
      </c>
      <c r="F59" s="95">
        <f>[1]AA!F330</f>
        <v>5352</v>
      </c>
      <c r="G59" s="95">
        <f>[1]AA!G330</f>
        <v>144970</v>
      </c>
      <c r="H59" s="95">
        <f>[1]AA!H330</f>
        <v>14382</v>
      </c>
      <c r="I59" s="107">
        <f t="shared" si="0"/>
        <v>0.90974697524976156</v>
      </c>
    </row>
    <row r="60" spans="1:9" s="13" customFormat="1" ht="63.75" x14ac:dyDescent="0.2">
      <c r="A60" s="93">
        <f>SUBTOTAL(103,$B$8:B60)</f>
        <v>50</v>
      </c>
      <c r="B60" s="110">
        <v>389</v>
      </c>
      <c r="C60" s="128" t="s">
        <v>976</v>
      </c>
      <c r="D60" s="95">
        <f>[1]AA!D331</f>
        <v>159613</v>
      </c>
      <c r="E60" s="95">
        <f>[1]AA!E331</f>
        <v>149133.25</v>
      </c>
      <c r="F60" s="95">
        <f>[1]AA!F331</f>
        <v>10479.75</v>
      </c>
      <c r="G60" s="95">
        <f>[1]AA!G331</f>
        <v>7133.25</v>
      </c>
      <c r="H60" s="95">
        <f>[1]AA!H331</f>
        <v>152479.75</v>
      </c>
      <c r="I60" s="107">
        <f t="shared" si="0"/>
        <v>4.4690908635261539E-2</v>
      </c>
    </row>
    <row r="61" spans="1:9" s="13" customFormat="1" ht="63.75" x14ac:dyDescent="0.2">
      <c r="A61" s="93">
        <f>SUBTOTAL(103,$B$8:B61)</f>
        <v>51</v>
      </c>
      <c r="B61" s="110">
        <v>390</v>
      </c>
      <c r="C61" s="128" t="s">
        <v>977</v>
      </c>
      <c r="D61" s="95">
        <f>[1]AA!D332</f>
        <v>159555</v>
      </c>
      <c r="E61" s="95">
        <f>[1]AA!E332</f>
        <v>132645</v>
      </c>
      <c r="F61" s="95">
        <f>[1]AA!F332</f>
        <v>26910</v>
      </c>
      <c r="G61" s="95">
        <f>[1]AA!G332</f>
        <v>74845</v>
      </c>
      <c r="H61" s="95">
        <f>[1]AA!H332</f>
        <v>84710</v>
      </c>
      <c r="I61" s="107">
        <f t="shared" si="0"/>
        <v>0.46908589514587445</v>
      </c>
    </row>
    <row r="62" spans="1:9" s="13" customFormat="1" ht="63.75" x14ac:dyDescent="0.2">
      <c r="A62" s="93">
        <f>SUBTOTAL(103,$B$8:B62)</f>
        <v>52</v>
      </c>
      <c r="B62" s="110">
        <v>391</v>
      </c>
      <c r="C62" s="128" t="s">
        <v>978</v>
      </c>
      <c r="D62" s="95">
        <f>[1]AA!D333</f>
        <v>154799</v>
      </c>
      <c r="E62" s="95">
        <f>[1]AA!E333</f>
        <v>147492</v>
      </c>
      <c r="F62" s="95">
        <f>[1]AA!F333</f>
        <v>7307</v>
      </c>
      <c r="G62" s="95">
        <f>[1]AA!G333</f>
        <v>143262</v>
      </c>
      <c r="H62" s="95">
        <f>[1]AA!H333</f>
        <v>11537</v>
      </c>
      <c r="I62" s="107">
        <f t="shared" si="0"/>
        <v>0.92547109477451406</v>
      </c>
    </row>
    <row r="63" spans="1:9" s="13" customFormat="1" ht="63.75" x14ac:dyDescent="0.2">
      <c r="A63" s="93">
        <f>SUBTOTAL(103,$B$8:B63)</f>
        <v>53</v>
      </c>
      <c r="B63" s="110">
        <v>395</v>
      </c>
      <c r="C63" s="128" t="s">
        <v>982</v>
      </c>
      <c r="D63" s="95">
        <f>[1]AA!D337</f>
        <v>155278</v>
      </c>
      <c r="E63" s="95">
        <f>[1]AA!E337</f>
        <v>149496</v>
      </c>
      <c r="F63" s="95">
        <f>[1]AA!F337</f>
        <v>5782</v>
      </c>
      <c r="G63" s="95">
        <f>[1]AA!G337</f>
        <v>110040</v>
      </c>
      <c r="H63" s="95">
        <f>[1]AA!H337</f>
        <v>45238</v>
      </c>
      <c r="I63" s="107">
        <f t="shared" si="0"/>
        <v>0.70866445987197157</v>
      </c>
    </row>
    <row r="64" spans="1:9" s="13" customFormat="1" ht="51" x14ac:dyDescent="0.2">
      <c r="A64" s="93">
        <f>SUBTOTAL(103,$B$8:B64)</f>
        <v>54</v>
      </c>
      <c r="B64" s="110">
        <v>396</v>
      </c>
      <c r="C64" s="128" t="s">
        <v>983</v>
      </c>
      <c r="D64" s="95">
        <f>[1]AA!D338</f>
        <v>159890</v>
      </c>
      <c r="E64" s="95">
        <f>[1]AA!E338</f>
        <v>5349</v>
      </c>
      <c r="F64" s="95">
        <f>[1]AA!F338</f>
        <v>154541</v>
      </c>
      <c r="G64" s="95">
        <f>[1]AA!G338</f>
        <v>5349</v>
      </c>
      <c r="H64" s="95">
        <f>[1]AA!H338</f>
        <v>154541</v>
      </c>
      <c r="I64" s="107">
        <f t="shared" si="0"/>
        <v>3.3454249796735253E-2</v>
      </c>
    </row>
    <row r="65" spans="1:9" s="13" customFormat="1" ht="51" x14ac:dyDescent="0.2">
      <c r="A65" s="93">
        <f>SUBTOTAL(103,$B$8:B65)</f>
        <v>55</v>
      </c>
      <c r="B65" s="110">
        <v>398</v>
      </c>
      <c r="C65" s="128" t="s">
        <v>985</v>
      </c>
      <c r="D65" s="95">
        <f>[1]AA!D340</f>
        <v>159321</v>
      </c>
      <c r="E65" s="95">
        <f>[1]AA!E340</f>
        <v>152810</v>
      </c>
      <c r="F65" s="95">
        <f>[1]AA!F340</f>
        <v>6511</v>
      </c>
      <c r="G65" s="95">
        <f>[1]AA!G340</f>
        <v>130010</v>
      </c>
      <c r="H65" s="95">
        <f>[1]AA!H340</f>
        <v>29311</v>
      </c>
      <c r="I65" s="107">
        <f t="shared" si="0"/>
        <v>0.81602550825063869</v>
      </c>
    </row>
    <row r="66" spans="1:9" s="13" customFormat="1" ht="63.75" x14ac:dyDescent="0.2">
      <c r="A66" s="93">
        <f>SUBTOTAL(103,$B$8:B66)</f>
        <v>56</v>
      </c>
      <c r="B66" s="110">
        <v>400</v>
      </c>
      <c r="C66" s="128" t="s">
        <v>987</v>
      </c>
      <c r="D66" s="95">
        <f>[1]AA!D342</f>
        <v>146532</v>
      </c>
      <c r="E66" s="95">
        <f>[1]AA!E342</f>
        <v>140645</v>
      </c>
      <c r="F66" s="95">
        <f>[1]AA!F342</f>
        <v>5887</v>
      </c>
      <c r="G66" s="95">
        <f>[1]AA!G342</f>
        <v>109445</v>
      </c>
      <c r="H66" s="95">
        <f>[1]AA!H342</f>
        <v>37087</v>
      </c>
      <c r="I66" s="107">
        <f t="shared" si="0"/>
        <v>0.74690170065241723</v>
      </c>
    </row>
    <row r="67" spans="1:9" s="13" customFormat="1" ht="76.5" x14ac:dyDescent="0.2">
      <c r="A67" s="93">
        <f>SUBTOTAL(103,$B$8:B67)</f>
        <v>57</v>
      </c>
      <c r="B67" s="110">
        <v>401</v>
      </c>
      <c r="C67" s="128" t="s">
        <v>988</v>
      </c>
      <c r="D67" s="95">
        <f>[1]AA!D343</f>
        <v>155656</v>
      </c>
      <c r="E67" s="95">
        <f>[1]AA!E343</f>
        <v>151053</v>
      </c>
      <c r="F67" s="95">
        <f>[1]AA!F343</f>
        <v>4603</v>
      </c>
      <c r="G67" s="95">
        <f>[1]AA!G343</f>
        <v>0</v>
      </c>
      <c r="H67" s="95">
        <f>[1]AA!H343</f>
        <v>155656</v>
      </c>
      <c r="I67" s="107">
        <f t="shared" si="0"/>
        <v>0</v>
      </c>
    </row>
    <row r="68" spans="1:9" s="13" customFormat="1" ht="51" x14ac:dyDescent="0.2">
      <c r="A68" s="93">
        <f>SUBTOTAL(103,$B$8:B68)</f>
        <v>58</v>
      </c>
      <c r="B68" s="110">
        <v>402</v>
      </c>
      <c r="C68" s="128" t="s">
        <v>989</v>
      </c>
      <c r="D68" s="95">
        <f>[1]AA!D344</f>
        <v>159060</v>
      </c>
      <c r="E68" s="95">
        <f>[1]AA!E344</f>
        <v>151725</v>
      </c>
      <c r="F68" s="95">
        <f>[1]AA!F344</f>
        <v>7335</v>
      </c>
      <c r="G68" s="95">
        <f>[1]AA!G344</f>
        <v>0</v>
      </c>
      <c r="H68" s="95">
        <f>[1]AA!H344</f>
        <v>159060</v>
      </c>
      <c r="I68" s="107">
        <f t="shared" si="0"/>
        <v>0</v>
      </c>
    </row>
    <row r="69" spans="1:9" s="13" customFormat="1" ht="51" x14ac:dyDescent="0.2">
      <c r="A69" s="93">
        <f>SUBTOTAL(103,$B$8:B69)</f>
        <v>59</v>
      </c>
      <c r="B69" s="110">
        <v>403</v>
      </c>
      <c r="C69" s="128" t="s">
        <v>990</v>
      </c>
      <c r="D69" s="95">
        <f>[1]AA!D345</f>
        <v>159862</v>
      </c>
      <c r="E69" s="95">
        <f>[1]AA!E345</f>
        <v>86882.5</v>
      </c>
      <c r="F69" s="95">
        <f>[1]AA!F345</f>
        <v>72979.5</v>
      </c>
      <c r="G69" s="95">
        <f>[1]AA!G345</f>
        <v>86872.5</v>
      </c>
      <c r="H69" s="95">
        <f>[1]AA!H345</f>
        <v>72989.5</v>
      </c>
      <c r="I69" s="107">
        <f t="shared" si="0"/>
        <v>0.54342182632520553</v>
      </c>
    </row>
    <row r="70" spans="1:9" s="13" customFormat="1" ht="63.75" x14ac:dyDescent="0.2">
      <c r="A70" s="93">
        <f>SUBTOTAL(103,$B$8:B70)</f>
        <v>60</v>
      </c>
      <c r="B70" s="110">
        <v>405</v>
      </c>
      <c r="C70" s="128" t="s">
        <v>992</v>
      </c>
      <c r="D70" s="95">
        <f>[1]AA!D347</f>
        <v>157300</v>
      </c>
      <c r="E70" s="95">
        <f>[1]AA!E347</f>
        <v>149830</v>
      </c>
      <c r="F70" s="95">
        <f>[1]AA!F347</f>
        <v>7470</v>
      </c>
      <c r="G70" s="95">
        <f>[1]AA!G347</f>
        <v>149790</v>
      </c>
      <c r="H70" s="95">
        <f>[1]AA!H347</f>
        <v>7510</v>
      </c>
      <c r="I70" s="107">
        <f t="shared" ref="I70:I96" si="4">G70/D70</f>
        <v>0.95225683407501593</v>
      </c>
    </row>
    <row r="71" spans="1:9" s="13" customFormat="1" ht="51" x14ac:dyDescent="0.2">
      <c r="A71" s="93">
        <f>SUBTOTAL(103,$B$8:B71)</f>
        <v>61</v>
      </c>
      <c r="B71" s="110">
        <v>406</v>
      </c>
      <c r="C71" s="128" t="s">
        <v>993</v>
      </c>
      <c r="D71" s="95">
        <f>[1]AA!D348</f>
        <v>159720</v>
      </c>
      <c r="E71" s="95">
        <f>[1]AA!E348</f>
        <v>150040</v>
      </c>
      <c r="F71" s="95">
        <f>[1]AA!F348</f>
        <v>9680</v>
      </c>
      <c r="G71" s="95">
        <f>[1]AA!G348</f>
        <v>146395</v>
      </c>
      <c r="H71" s="95">
        <f>[1]AA!H348</f>
        <v>13325</v>
      </c>
      <c r="I71" s="107">
        <f t="shared" si="4"/>
        <v>0.916572752316554</v>
      </c>
    </row>
    <row r="72" spans="1:9" s="13" customFormat="1" ht="51" x14ac:dyDescent="0.2">
      <c r="A72" s="93">
        <f>SUBTOTAL(103,$B$8:B72)</f>
        <v>62</v>
      </c>
      <c r="B72" s="110">
        <v>409</v>
      </c>
      <c r="C72" s="128" t="s">
        <v>996</v>
      </c>
      <c r="D72" s="95">
        <f>[1]AA!D351</f>
        <v>159007</v>
      </c>
      <c r="E72" s="95">
        <f>[1]AA!E351</f>
        <v>49260</v>
      </c>
      <c r="F72" s="95">
        <f>[1]AA!F351</f>
        <v>109747</v>
      </c>
      <c r="G72" s="95">
        <f>[1]AA!G351</f>
        <v>49260</v>
      </c>
      <c r="H72" s="95">
        <f>[1]AA!H351</f>
        <v>109747</v>
      </c>
      <c r="I72" s="107">
        <f t="shared" si="4"/>
        <v>0.30979768186306261</v>
      </c>
    </row>
    <row r="73" spans="1:9" s="13" customFormat="1" ht="63.75" x14ac:dyDescent="0.2">
      <c r="A73" s="93">
        <f>SUBTOTAL(103,$B$8:B73)</f>
        <v>63</v>
      </c>
      <c r="B73" s="110">
        <v>411</v>
      </c>
      <c r="C73" s="128" t="s">
        <v>998</v>
      </c>
      <c r="D73" s="95">
        <f>[1]AA!D353</f>
        <v>159876</v>
      </c>
      <c r="E73" s="95">
        <f>[1]AA!E353</f>
        <v>122810</v>
      </c>
      <c r="F73" s="95">
        <f>[1]AA!F353</f>
        <v>37066</v>
      </c>
      <c r="G73" s="95">
        <f>[1]AA!G353</f>
        <v>113200</v>
      </c>
      <c r="H73" s="95">
        <f>[1]AA!H353</f>
        <v>46676</v>
      </c>
      <c r="I73" s="107">
        <f>G73/D73</f>
        <v>0.70804873777177313</v>
      </c>
    </row>
    <row r="74" spans="1:9" s="13" customFormat="1" ht="51" x14ac:dyDescent="0.2">
      <c r="A74" s="93">
        <f>SUBTOTAL(103,$B$8:B74)</f>
        <v>64</v>
      </c>
      <c r="B74" s="110">
        <v>414</v>
      </c>
      <c r="C74" s="128" t="s">
        <v>1001</v>
      </c>
      <c r="D74" s="95">
        <f>[1]AA!D356</f>
        <v>158527</v>
      </c>
      <c r="E74" s="95">
        <f>[1]AA!E356</f>
        <v>149776</v>
      </c>
      <c r="F74" s="95">
        <f>[1]AA!F356</f>
        <v>8751</v>
      </c>
      <c r="G74" s="95">
        <f>[1]AA!G356</f>
        <v>52174</v>
      </c>
      <c r="H74" s="95">
        <f>[1]AA!H356</f>
        <v>106353</v>
      </c>
      <c r="I74" s="107">
        <f t="shared" si="4"/>
        <v>0.3291174374081387</v>
      </c>
    </row>
    <row r="75" spans="1:9" s="13" customFormat="1" ht="51" x14ac:dyDescent="0.2">
      <c r="A75" s="93">
        <f>SUBTOTAL(103,$B$8:B75)</f>
        <v>65</v>
      </c>
      <c r="B75" s="110">
        <v>415</v>
      </c>
      <c r="C75" s="128" t="s">
        <v>1002</v>
      </c>
      <c r="D75" s="95">
        <f>[1]AA!D357</f>
        <v>158640</v>
      </c>
      <c r="E75" s="95">
        <f>[1]AA!E357</f>
        <v>133515</v>
      </c>
      <c r="F75" s="95">
        <f>[1]AA!F357</f>
        <v>25125</v>
      </c>
      <c r="G75" s="95">
        <f>[1]AA!G357</f>
        <v>0</v>
      </c>
      <c r="H75" s="95">
        <f>[1]AA!H357</f>
        <v>158640</v>
      </c>
      <c r="I75" s="107">
        <f t="shared" si="4"/>
        <v>0</v>
      </c>
    </row>
    <row r="76" spans="1:9" s="13" customFormat="1" ht="63.75" x14ac:dyDescent="0.2">
      <c r="A76" s="93">
        <f>SUBTOTAL(103,$B$8:B76)</f>
        <v>66</v>
      </c>
      <c r="B76" s="110">
        <v>416</v>
      </c>
      <c r="C76" s="128" t="s">
        <v>1003</v>
      </c>
      <c r="D76" s="95">
        <f>[1]AA!D358</f>
        <v>159041</v>
      </c>
      <c r="E76" s="95">
        <f>[1]AA!E358</f>
        <v>139000</v>
      </c>
      <c r="F76" s="95">
        <f>[1]AA!F358</f>
        <v>20041</v>
      </c>
      <c r="G76" s="95">
        <f>[1]AA!G358</f>
        <v>0</v>
      </c>
      <c r="H76" s="95">
        <f>[1]AA!H358</f>
        <v>159041</v>
      </c>
      <c r="I76" s="107">
        <f t="shared" si="4"/>
        <v>0</v>
      </c>
    </row>
    <row r="77" spans="1:9" s="13" customFormat="1" ht="63.75" x14ac:dyDescent="0.2">
      <c r="A77" s="93">
        <f>SUBTOTAL(103,$B$8:B77)</f>
        <v>67</v>
      </c>
      <c r="B77" s="110">
        <v>419</v>
      </c>
      <c r="C77" s="128" t="s">
        <v>1006</v>
      </c>
      <c r="D77" s="95">
        <f>[1]AA!D361</f>
        <v>159584</v>
      </c>
      <c r="E77" s="95">
        <f>[1]AA!E361</f>
        <v>152800</v>
      </c>
      <c r="F77" s="95">
        <f>[1]AA!F361</f>
        <v>6784</v>
      </c>
      <c r="G77" s="95">
        <f>[1]AA!G361</f>
        <v>5800</v>
      </c>
      <c r="H77" s="95">
        <f>[1]AA!H361</f>
        <v>153784</v>
      </c>
      <c r="I77" s="107">
        <f t="shared" si="4"/>
        <v>3.6344495688790855E-2</v>
      </c>
    </row>
    <row r="78" spans="1:9" s="13" customFormat="1" ht="51" x14ac:dyDescent="0.2">
      <c r="A78" s="93">
        <f>SUBTOTAL(103,$B$8:B78)</f>
        <v>68</v>
      </c>
      <c r="B78" s="110">
        <v>422</v>
      </c>
      <c r="C78" s="128" t="s">
        <v>1009</v>
      </c>
      <c r="D78" s="95">
        <f>[1]AA!D364</f>
        <v>159830</v>
      </c>
      <c r="E78" s="95">
        <f>[1]AA!E364</f>
        <v>97085</v>
      </c>
      <c r="F78" s="95">
        <f>[1]AA!F364</f>
        <v>62745</v>
      </c>
      <c r="G78" s="95">
        <f>[1]AA!G364</f>
        <v>97085</v>
      </c>
      <c r="H78" s="95">
        <f>[1]AA!H364</f>
        <v>62745</v>
      </c>
      <c r="I78" s="107">
        <f t="shared" si="4"/>
        <v>0.60742664080585618</v>
      </c>
    </row>
    <row r="79" spans="1:9" s="13" customFormat="1" ht="51" x14ac:dyDescent="0.2">
      <c r="A79" s="93">
        <f>SUBTOTAL(103,$B$8:B79)</f>
        <v>69</v>
      </c>
      <c r="B79" s="110">
        <v>426</v>
      </c>
      <c r="C79" s="128" t="s">
        <v>1013</v>
      </c>
      <c r="D79" s="95">
        <f>[1]AA!D368</f>
        <v>159880</v>
      </c>
      <c r="E79" s="95">
        <f>[1]AA!E368</f>
        <v>152030</v>
      </c>
      <c r="F79" s="95">
        <f>[1]AA!F368</f>
        <v>7850</v>
      </c>
      <c r="G79" s="95">
        <f>[1]AA!G368</f>
        <v>50840</v>
      </c>
      <c r="H79" s="95">
        <f>[1]AA!H368</f>
        <v>109040</v>
      </c>
      <c r="I79" s="107">
        <f t="shared" si="4"/>
        <v>0.31798849136852642</v>
      </c>
    </row>
    <row r="80" spans="1:9" s="13" customFormat="1" ht="51" x14ac:dyDescent="0.2">
      <c r="A80" s="93">
        <f>SUBTOTAL(103,$B$8:B80)</f>
        <v>70</v>
      </c>
      <c r="B80" s="110">
        <v>478</v>
      </c>
      <c r="C80" s="128" t="s">
        <v>1062</v>
      </c>
      <c r="D80" s="95">
        <f>[1]AA!D397</f>
        <v>159978</v>
      </c>
      <c r="E80" s="95">
        <f>[1]AA!E397</f>
        <v>146490</v>
      </c>
      <c r="F80" s="95">
        <f>[1]AA!F397</f>
        <v>13488</v>
      </c>
      <c r="G80" s="95">
        <f>[1]AA!G397</f>
        <v>0</v>
      </c>
      <c r="H80" s="95">
        <f>[1]AA!H397</f>
        <v>159978</v>
      </c>
      <c r="I80" s="107">
        <f>G80/D80</f>
        <v>0</v>
      </c>
    </row>
    <row r="81" spans="1:9" s="13" customFormat="1" ht="63.75" x14ac:dyDescent="0.2">
      <c r="A81" s="93">
        <f>SUBTOTAL(103,$B$8:B81)</f>
        <v>71</v>
      </c>
      <c r="B81" s="110">
        <v>487</v>
      </c>
      <c r="C81" s="128" t="s">
        <v>129</v>
      </c>
      <c r="D81" s="95">
        <f>[1]AA!D404</f>
        <v>44000</v>
      </c>
      <c r="E81" s="95">
        <f>[1]AA!E404</f>
        <v>43500</v>
      </c>
      <c r="F81" s="95">
        <f>[1]AA!F404</f>
        <v>500</v>
      </c>
      <c r="G81" s="95">
        <f>[1]AA!G404</f>
        <v>17400</v>
      </c>
      <c r="H81" s="95">
        <f>[1]AA!H404</f>
        <v>26600</v>
      </c>
      <c r="I81" s="107">
        <f>G81/D81</f>
        <v>0.39545454545454545</v>
      </c>
    </row>
    <row r="82" spans="1:9" s="13" customFormat="1" ht="63.75" x14ac:dyDescent="0.2">
      <c r="A82" s="93">
        <f>SUBTOTAL(103,$B$8:B82)</f>
        <v>72</v>
      </c>
      <c r="B82" s="110">
        <v>526</v>
      </c>
      <c r="C82" s="128" t="s">
        <v>2497</v>
      </c>
      <c r="D82" s="95">
        <f>[1]AA!D440</f>
        <v>2795</v>
      </c>
      <c r="E82" s="95">
        <f>[1]AA!E440</f>
        <v>2795</v>
      </c>
      <c r="F82" s="95">
        <f>[1]AA!F440</f>
        <v>0</v>
      </c>
      <c r="G82" s="95">
        <f>[1]AA!G440</f>
        <v>0</v>
      </c>
      <c r="H82" s="95">
        <f>[1]AA!H440</f>
        <v>2795</v>
      </c>
      <c r="I82" s="107">
        <f>G82/D82</f>
        <v>0</v>
      </c>
    </row>
    <row r="83" spans="1:9" ht="16.5" x14ac:dyDescent="0.2">
      <c r="A83" s="195" t="s">
        <v>1053</v>
      </c>
      <c r="B83" s="195"/>
      <c r="C83" s="195"/>
      <c r="D83" s="91">
        <f>SUM(D84:D87)</f>
        <v>1054126</v>
      </c>
      <c r="E83" s="91">
        <f t="shared" ref="E83:H83" si="5">SUM(E84:E87)</f>
        <v>887438.67</v>
      </c>
      <c r="F83" s="91">
        <f t="shared" si="5"/>
        <v>166687.32999999999</v>
      </c>
      <c r="G83" s="91">
        <f t="shared" si="5"/>
        <v>30322</v>
      </c>
      <c r="H83" s="91">
        <f t="shared" si="5"/>
        <v>1023804</v>
      </c>
      <c r="I83" s="92">
        <f t="shared" ref="I83:I89" si="6">G83/D83</f>
        <v>2.8765062241136258E-2</v>
      </c>
    </row>
    <row r="84" spans="1:9" s="13" customFormat="1" ht="63.75" x14ac:dyDescent="0.2">
      <c r="A84" s="93">
        <f>SUBTOTAL(103,$B$8:B84)</f>
        <v>73</v>
      </c>
      <c r="B84" s="110">
        <v>368</v>
      </c>
      <c r="C84" s="128" t="s">
        <v>777</v>
      </c>
      <c r="D84" s="95">
        <f>[1]AA!D311</f>
        <v>179500</v>
      </c>
      <c r="E84" s="95">
        <f>[1]AA!E311</f>
        <v>163750</v>
      </c>
      <c r="F84" s="95">
        <f>[1]AA!F311</f>
        <v>15750</v>
      </c>
      <c r="G84" s="95">
        <f>[1]AA!G311</f>
        <v>3750</v>
      </c>
      <c r="H84" s="95">
        <f>[1]AA!H311</f>
        <v>175750</v>
      </c>
      <c r="I84" s="107">
        <f t="shared" si="6"/>
        <v>2.0891364902506964E-2</v>
      </c>
    </row>
    <row r="85" spans="1:9" s="13" customFormat="1" ht="51" x14ac:dyDescent="0.2">
      <c r="A85" s="93">
        <f>SUBTOTAL(103,$B$8:B85)</f>
        <v>74</v>
      </c>
      <c r="B85" s="110">
        <v>375</v>
      </c>
      <c r="C85" s="128" t="s">
        <v>800</v>
      </c>
      <c r="D85" s="95">
        <f>[1]AA!D318</f>
        <v>175166</v>
      </c>
      <c r="E85" s="95">
        <f>[1]AA!E318</f>
        <v>166872</v>
      </c>
      <c r="F85" s="95">
        <f>[1]AA!F318</f>
        <v>8294</v>
      </c>
      <c r="G85" s="95">
        <f>[1]AA!G318</f>
        <v>5872</v>
      </c>
      <c r="H85" s="95">
        <f>[1]AA!H318</f>
        <v>169294</v>
      </c>
      <c r="I85" s="107">
        <f t="shared" si="6"/>
        <v>3.352248724067456E-2</v>
      </c>
    </row>
    <row r="86" spans="1:9" s="13" customFormat="1" ht="63.75" x14ac:dyDescent="0.2">
      <c r="A86" s="93">
        <f>SUBTOTAL(103,$B$8:B86)</f>
        <v>75</v>
      </c>
      <c r="B86" s="110">
        <v>417</v>
      </c>
      <c r="C86" s="128" t="s">
        <v>1004</v>
      </c>
      <c r="D86" s="95">
        <f>[1]AA!D359</f>
        <v>349792</v>
      </c>
      <c r="E86" s="95">
        <f>[1]AA!E359</f>
        <v>308833.33</v>
      </c>
      <c r="F86" s="95">
        <f>[1]AA!F359</f>
        <v>40958.669999999984</v>
      </c>
      <c r="G86" s="95">
        <f>[1]AA!G359</f>
        <v>0</v>
      </c>
      <c r="H86" s="95">
        <f>[1]AA!H359</f>
        <v>349792</v>
      </c>
      <c r="I86" s="107">
        <f t="shared" si="6"/>
        <v>0</v>
      </c>
    </row>
    <row r="87" spans="1:9" s="13" customFormat="1" ht="63.75" x14ac:dyDescent="0.2">
      <c r="A87" s="93">
        <f>SUBTOTAL(103,$B$8:B87)</f>
        <v>76</v>
      </c>
      <c r="B87" s="110">
        <v>474</v>
      </c>
      <c r="C87" s="128" t="s">
        <v>1063</v>
      </c>
      <c r="D87" s="95">
        <f>[1]AA!D393</f>
        <v>349668</v>
      </c>
      <c r="E87" s="95">
        <f>[1]AA!E393</f>
        <v>247983.34</v>
      </c>
      <c r="F87" s="95">
        <f>[1]AA!F393</f>
        <v>101684.66</v>
      </c>
      <c r="G87" s="95">
        <f>[1]AA!G393</f>
        <v>20700</v>
      </c>
      <c r="H87" s="95">
        <f>[1]AA!H393</f>
        <v>328968</v>
      </c>
      <c r="I87" s="107">
        <f>G87/D87</f>
        <v>5.9199011633892719E-2</v>
      </c>
    </row>
    <row r="88" spans="1:9" ht="16.5" x14ac:dyDescent="0.2">
      <c r="A88" s="195" t="s">
        <v>132</v>
      </c>
      <c r="B88" s="195"/>
      <c r="C88" s="195"/>
      <c r="D88" s="91">
        <f>SUM(D89:D95)</f>
        <v>1308816</v>
      </c>
      <c r="E88" s="91">
        <f t="shared" ref="E88:H88" si="7">SUM(E89:E95)</f>
        <v>925190</v>
      </c>
      <c r="F88" s="91">
        <f t="shared" si="7"/>
        <v>383626</v>
      </c>
      <c r="G88" s="91">
        <f t="shared" si="7"/>
        <v>409990</v>
      </c>
      <c r="H88" s="91">
        <f t="shared" si="7"/>
        <v>898826</v>
      </c>
      <c r="I88" s="92">
        <f t="shared" si="6"/>
        <v>0.31325258859916139</v>
      </c>
    </row>
    <row r="89" spans="1:9" s="13" customFormat="1" ht="63.75" x14ac:dyDescent="0.2">
      <c r="A89" s="93">
        <f>SUBTOTAL(103,$B$8:B89)</f>
        <v>77</v>
      </c>
      <c r="B89" s="110">
        <v>356</v>
      </c>
      <c r="C89" s="128" t="s">
        <v>759</v>
      </c>
      <c r="D89" s="95">
        <f>[1]AA!D299</f>
        <v>5365</v>
      </c>
      <c r="E89" s="95">
        <f>[1]AA!E299</f>
        <v>5364</v>
      </c>
      <c r="F89" s="95">
        <f>[1]AA!F299</f>
        <v>1</v>
      </c>
      <c r="G89" s="95">
        <f>[1]AA!G299</f>
        <v>5364</v>
      </c>
      <c r="H89" s="95">
        <f>[1]AA!H299</f>
        <v>1</v>
      </c>
      <c r="I89" s="107">
        <f t="shared" si="6"/>
        <v>0.9998136067101584</v>
      </c>
    </row>
    <row r="90" spans="1:9" s="13" customFormat="1" ht="51" x14ac:dyDescent="0.2">
      <c r="A90" s="93">
        <f>SUBTOTAL(103,$B$8:B90)</f>
        <v>78</v>
      </c>
      <c r="B90" s="110">
        <v>374</v>
      </c>
      <c r="C90" s="128" t="s">
        <v>799</v>
      </c>
      <c r="D90" s="95">
        <f>[1]AA!D317</f>
        <v>335890</v>
      </c>
      <c r="E90" s="95">
        <f>[1]AA!E317</f>
        <v>314900</v>
      </c>
      <c r="F90" s="95">
        <f>[1]AA!F317</f>
        <v>20990</v>
      </c>
      <c r="G90" s="95">
        <f>[1]AA!G317</f>
        <v>0</v>
      </c>
      <c r="H90" s="95">
        <f>[1]AA!H317</f>
        <v>335890</v>
      </c>
      <c r="I90" s="107">
        <f t="shared" si="4"/>
        <v>0</v>
      </c>
    </row>
    <row r="91" spans="1:9" s="13" customFormat="1" ht="51" x14ac:dyDescent="0.2">
      <c r="A91" s="93">
        <f>SUBTOTAL(103,$B$8:B91)</f>
        <v>79</v>
      </c>
      <c r="B91" s="110">
        <v>377</v>
      </c>
      <c r="C91" s="128" t="s">
        <v>802</v>
      </c>
      <c r="D91" s="95">
        <f>[1]AA!D320</f>
        <v>157066</v>
      </c>
      <c r="E91" s="95">
        <f>[1]AA!E320</f>
        <v>157066</v>
      </c>
      <c r="F91" s="95">
        <f>[1]AA!F320</f>
        <v>0</v>
      </c>
      <c r="G91" s="95">
        <f>[1]AA!G320</f>
        <v>157066</v>
      </c>
      <c r="H91" s="95">
        <f>[1]AA!H320</f>
        <v>0</v>
      </c>
      <c r="I91" s="107">
        <f t="shared" si="4"/>
        <v>1</v>
      </c>
    </row>
    <row r="92" spans="1:9" s="13" customFormat="1" ht="63.75" x14ac:dyDescent="0.2">
      <c r="A92" s="93">
        <f>SUBTOTAL(103,$B$8:B92)</f>
        <v>80</v>
      </c>
      <c r="B92" s="110">
        <v>386</v>
      </c>
      <c r="C92" s="128" t="s">
        <v>973</v>
      </c>
      <c r="D92" s="95">
        <f>[1]AA!D328</f>
        <v>159345</v>
      </c>
      <c r="E92" s="95">
        <f>[1]AA!E328</f>
        <v>150543</v>
      </c>
      <c r="F92" s="95">
        <f>[1]AA!F328</f>
        <v>8802</v>
      </c>
      <c r="G92" s="95">
        <f>[1]AA!G328</f>
        <v>148210</v>
      </c>
      <c r="H92" s="95">
        <f>[1]AA!H328</f>
        <v>11135</v>
      </c>
      <c r="I92" s="107">
        <f t="shared" si="4"/>
        <v>0.93012017948476577</v>
      </c>
    </row>
    <row r="93" spans="1:9" s="13" customFormat="1" ht="63.75" x14ac:dyDescent="0.2">
      <c r="A93" s="93">
        <f>SUBTOTAL(103,$B$8:B93)</f>
        <v>81</v>
      </c>
      <c r="B93" s="110">
        <v>473</v>
      </c>
      <c r="C93" s="128" t="s">
        <v>1064</v>
      </c>
      <c r="D93" s="95">
        <f>[1]AA!D392</f>
        <v>160000</v>
      </c>
      <c r="E93" s="95">
        <f>[1]AA!E392</f>
        <v>145797</v>
      </c>
      <c r="F93" s="95">
        <f>[1]AA!F392</f>
        <v>14203</v>
      </c>
      <c r="G93" s="95">
        <f>[1]AA!G392</f>
        <v>41950</v>
      </c>
      <c r="H93" s="95">
        <f>[1]AA!H392</f>
        <v>118050</v>
      </c>
      <c r="I93" s="107">
        <f t="shared" si="4"/>
        <v>0.26218750000000002</v>
      </c>
    </row>
    <row r="94" spans="1:9" s="13" customFormat="1" ht="63.75" x14ac:dyDescent="0.2">
      <c r="A94" s="93">
        <f>SUBTOTAL(103,$B$8:B94)</f>
        <v>82</v>
      </c>
      <c r="B94" s="110">
        <v>476</v>
      </c>
      <c r="C94" s="128" t="s">
        <v>1065</v>
      </c>
      <c r="D94" s="95">
        <f>[1]AA!D395</f>
        <v>141150</v>
      </c>
      <c r="E94" s="95">
        <f>[1]AA!E395</f>
        <v>0</v>
      </c>
      <c r="F94" s="95">
        <f>[1]AA!F395</f>
        <v>141150</v>
      </c>
      <c r="G94" s="95">
        <f>[1]AA!G395</f>
        <v>0</v>
      </c>
      <c r="H94" s="95">
        <f>[1]AA!H395</f>
        <v>141150</v>
      </c>
      <c r="I94" s="107">
        <f t="shared" si="4"/>
        <v>0</v>
      </c>
    </row>
    <row r="95" spans="1:9" s="13" customFormat="1" ht="76.5" x14ac:dyDescent="0.2">
      <c r="A95" s="93">
        <f>SUBTOTAL(103,$B$8:B95)</f>
        <v>83</v>
      </c>
      <c r="B95" s="110">
        <v>477</v>
      </c>
      <c r="C95" s="128" t="s">
        <v>1066</v>
      </c>
      <c r="D95" s="95">
        <f>[1]AA!D396</f>
        <v>350000</v>
      </c>
      <c r="E95" s="95">
        <f>[1]AA!E396</f>
        <v>151520</v>
      </c>
      <c r="F95" s="95">
        <f>[1]AA!F396</f>
        <v>198480</v>
      </c>
      <c r="G95" s="95">
        <f>[1]AA!G396</f>
        <v>57400</v>
      </c>
      <c r="H95" s="95">
        <f>[1]AA!H396</f>
        <v>292600</v>
      </c>
      <c r="I95" s="107">
        <f t="shared" si="4"/>
        <v>0.16400000000000001</v>
      </c>
    </row>
    <row r="96" spans="1:9" ht="15.75" x14ac:dyDescent="0.2">
      <c r="A96" s="222" t="s">
        <v>2465</v>
      </c>
      <c r="B96" s="223"/>
      <c r="C96" s="223"/>
      <c r="D96" s="144">
        <f>+D6</f>
        <v>15438088</v>
      </c>
      <c r="E96" s="144">
        <f t="shared" ref="E96:H96" si="8">+E6</f>
        <v>12241263.369999999</v>
      </c>
      <c r="F96" s="144">
        <f t="shared" si="8"/>
        <v>3196824.63</v>
      </c>
      <c r="G96" s="144">
        <f t="shared" si="8"/>
        <v>5642216.7599999998</v>
      </c>
      <c r="H96" s="144">
        <f t="shared" si="8"/>
        <v>9795871.2400000002</v>
      </c>
      <c r="I96" s="143">
        <f t="shared" si="4"/>
        <v>0.36547380478722491</v>
      </c>
    </row>
  </sheetData>
  <mergeCells count="19">
    <mergeCell ref="H4:H5"/>
    <mergeCell ref="A83:C83"/>
    <mergeCell ref="A88:C88"/>
    <mergeCell ref="A2:I2"/>
    <mergeCell ref="A1:I1"/>
    <mergeCell ref="A96:C96"/>
    <mergeCell ref="I4:I5"/>
    <mergeCell ref="A6:C6"/>
    <mergeCell ref="A7:C7"/>
    <mergeCell ref="A12:C12"/>
    <mergeCell ref="A15:C15"/>
    <mergeCell ref="A18:C18"/>
    <mergeCell ref="A4:A5"/>
    <mergeCell ref="B4:B5"/>
    <mergeCell ref="C4:C5"/>
    <mergeCell ref="D4:D5"/>
    <mergeCell ref="E4:E5"/>
    <mergeCell ref="F4:F5"/>
    <mergeCell ref="G4:G5"/>
  </mergeCells>
  <pageMargins left="0.70866141732283472" right="0.70866141732283472" top="0.74803149606299213" bottom="0.74803149606299213" header="0.31496062992125984" footer="0.31496062992125984"/>
  <pageSetup paperSize="9" scale="6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23A4B-1C13-439F-9099-3E85D1B86EF2}">
  <sheetPr codeName="Hoja6"/>
  <dimension ref="A1:I21"/>
  <sheetViews>
    <sheetView zoomScaleNormal="100" workbookViewId="0">
      <selection activeCell="C8" sqref="C8"/>
    </sheetView>
  </sheetViews>
  <sheetFormatPr baseColWidth="10" defaultRowHeight="12.75" x14ac:dyDescent="0.2"/>
  <cols>
    <col min="1" max="1" width="4" bestFit="1" customWidth="1"/>
    <col min="2" max="2" width="6.28515625" bestFit="1" customWidth="1"/>
    <col min="3" max="3" width="33" customWidth="1"/>
    <col min="4" max="4" width="12.7109375" customWidth="1"/>
    <col min="5" max="5" width="15.85546875" customWidth="1"/>
    <col min="6" max="6" width="10.42578125" customWidth="1"/>
    <col min="7" max="7" width="14.5703125" customWidth="1"/>
    <col min="8" max="8" width="11.5703125" customWidth="1"/>
    <col min="9" max="9" width="8.7109375" customWidth="1"/>
  </cols>
  <sheetData>
    <row r="1" spans="1:9" ht="18" x14ac:dyDescent="0.2">
      <c r="A1" s="232" t="s">
        <v>2473</v>
      </c>
      <c r="B1" s="232"/>
      <c r="C1" s="232"/>
      <c r="D1" s="232"/>
      <c r="E1" s="232"/>
      <c r="F1" s="232"/>
      <c r="G1" s="232"/>
      <c r="H1" s="232"/>
      <c r="I1" s="232"/>
    </row>
    <row r="2" spans="1:9" ht="58.5" customHeight="1" x14ac:dyDescent="0.25">
      <c r="A2" s="204" t="s">
        <v>2499</v>
      </c>
      <c r="B2" s="204"/>
      <c r="C2" s="204"/>
      <c r="D2" s="204"/>
      <c r="E2" s="204"/>
      <c r="F2" s="204"/>
      <c r="G2" s="204"/>
      <c r="H2" s="204"/>
      <c r="I2" s="204"/>
    </row>
    <row r="3" spans="1:9" ht="18" x14ac:dyDescent="0.25">
      <c r="A3" s="1"/>
      <c r="B3" s="4"/>
      <c r="C3" s="13"/>
      <c r="D3" s="2"/>
      <c r="E3" s="2"/>
      <c r="F3" s="2"/>
      <c r="I3" s="25"/>
    </row>
    <row r="4" spans="1:9" ht="21" customHeight="1" x14ac:dyDescent="0.2">
      <c r="A4" s="235" t="s">
        <v>3</v>
      </c>
      <c r="B4" s="237" t="s">
        <v>400</v>
      </c>
      <c r="C4" s="237" t="s">
        <v>0</v>
      </c>
      <c r="D4" s="237" t="s">
        <v>1076</v>
      </c>
      <c r="E4" s="237" t="s">
        <v>2479</v>
      </c>
      <c r="F4" s="237" t="s">
        <v>1081</v>
      </c>
      <c r="G4" s="237" t="s">
        <v>1078</v>
      </c>
      <c r="H4" s="237" t="s">
        <v>1082</v>
      </c>
      <c r="I4" s="244" t="s">
        <v>218</v>
      </c>
    </row>
    <row r="5" spans="1:9" ht="21" customHeight="1" x14ac:dyDescent="0.2">
      <c r="A5" s="236"/>
      <c r="B5" s="238"/>
      <c r="C5" s="238"/>
      <c r="D5" s="238"/>
      <c r="E5" s="238"/>
      <c r="F5" s="238"/>
      <c r="G5" s="238"/>
      <c r="H5" s="238"/>
      <c r="I5" s="245"/>
    </row>
    <row r="6" spans="1:9" ht="15" x14ac:dyDescent="0.2">
      <c r="A6" s="241" t="s">
        <v>2467</v>
      </c>
      <c r="B6" s="242"/>
      <c r="C6" s="243"/>
      <c r="D6" s="89">
        <f>+D7+D11+D13</f>
        <v>18155027</v>
      </c>
      <c r="E6" s="89">
        <f t="shared" ref="E6:H6" si="0">+E7+E11+E13</f>
        <v>15547899.149999999</v>
      </c>
      <c r="F6" s="89">
        <f t="shared" si="0"/>
        <v>2607127.85</v>
      </c>
      <c r="G6" s="89">
        <f t="shared" si="0"/>
        <v>6390669.0199999986</v>
      </c>
      <c r="H6" s="89">
        <f t="shared" si="0"/>
        <v>11764357.98</v>
      </c>
      <c r="I6" s="90">
        <f t="shared" ref="I6:I21" si="1">G6/D6</f>
        <v>0.35200548145700905</v>
      </c>
    </row>
    <row r="7" spans="1:9" ht="16.5" x14ac:dyDescent="0.2">
      <c r="A7" s="195" t="s">
        <v>1044</v>
      </c>
      <c r="B7" s="195"/>
      <c r="C7" s="195"/>
      <c r="D7" s="91">
        <f>SUM(D8:D10)</f>
        <v>16120710</v>
      </c>
      <c r="E7" s="91">
        <f t="shared" ref="E7:H7" si="2">SUM(E8:E10)</f>
        <v>15407026.949999999</v>
      </c>
      <c r="F7" s="91">
        <f t="shared" si="2"/>
        <v>713683.05000000028</v>
      </c>
      <c r="G7" s="91">
        <f t="shared" si="2"/>
        <v>6272930.7299999986</v>
      </c>
      <c r="H7" s="91">
        <f t="shared" si="2"/>
        <v>9847779.2699999996</v>
      </c>
      <c r="I7" s="92">
        <f t="shared" si="1"/>
        <v>0.38912248467964494</v>
      </c>
    </row>
    <row r="8" spans="1:9" s="13" customFormat="1" ht="89.25" x14ac:dyDescent="0.2">
      <c r="A8" s="93">
        <f>SUBTOTAL(103,$B$8:B8)</f>
        <v>1</v>
      </c>
      <c r="B8" s="110">
        <v>4</v>
      </c>
      <c r="C8" s="128" t="s">
        <v>220</v>
      </c>
      <c r="D8" s="101">
        <f>'Gerencias y Oficinas'!D194</f>
        <v>10918999</v>
      </c>
      <c r="E8" s="101">
        <f>'Gerencias y Oficinas'!E194</f>
        <v>10614681.809999999</v>
      </c>
      <c r="F8" s="101">
        <f>'Gerencias y Oficinas'!F194</f>
        <v>304317.19000000024</v>
      </c>
      <c r="G8" s="101">
        <f>'Gerencias y Oficinas'!G194</f>
        <v>4222670.8699999992</v>
      </c>
      <c r="H8" s="101">
        <f>'Gerencias y Oficinas'!H194</f>
        <v>6696328.129999999</v>
      </c>
      <c r="I8" s="107">
        <f t="shared" si="1"/>
        <v>0.38672692157953298</v>
      </c>
    </row>
    <row r="9" spans="1:9" s="13" customFormat="1" ht="102" x14ac:dyDescent="0.2">
      <c r="A9" s="93">
        <f>SUBTOTAL(103,$B$8:B9)</f>
        <v>2</v>
      </c>
      <c r="B9" s="110">
        <v>6</v>
      </c>
      <c r="C9" s="128" t="s">
        <v>528</v>
      </c>
      <c r="D9" s="101">
        <f>'Gerencias y Oficinas'!D195</f>
        <v>19658</v>
      </c>
      <c r="E9" s="101">
        <f>'Gerencias y Oficinas'!E195</f>
        <v>3612</v>
      </c>
      <c r="F9" s="101">
        <f>'Gerencias y Oficinas'!F195</f>
        <v>16046</v>
      </c>
      <c r="G9" s="101">
        <f>'Gerencias y Oficinas'!G195</f>
        <v>0</v>
      </c>
      <c r="H9" s="101">
        <f>'Gerencias y Oficinas'!H195</f>
        <v>19658</v>
      </c>
      <c r="I9" s="107">
        <f t="shared" si="1"/>
        <v>0</v>
      </c>
    </row>
    <row r="10" spans="1:9" s="13" customFormat="1" ht="89.25" x14ac:dyDescent="0.2">
      <c r="A10" s="93">
        <f>SUBTOTAL(103,$B$8:B10)</f>
        <v>3</v>
      </c>
      <c r="B10" s="110">
        <v>303</v>
      </c>
      <c r="C10" s="128" t="s">
        <v>221</v>
      </c>
      <c r="D10" s="101">
        <f>'Gerencias y Oficinas'!D196</f>
        <v>5182053</v>
      </c>
      <c r="E10" s="101">
        <f>'Gerencias y Oficinas'!E196</f>
        <v>4788733.1399999997</v>
      </c>
      <c r="F10" s="101">
        <f>'Gerencias y Oficinas'!F196</f>
        <v>393319.8600000001</v>
      </c>
      <c r="G10" s="101">
        <f>'Gerencias y Oficinas'!G196</f>
        <v>2050259.8599999999</v>
      </c>
      <c r="H10" s="101">
        <f>'Gerencias y Oficinas'!H196</f>
        <v>3131793.1399999997</v>
      </c>
      <c r="I10" s="107">
        <f t="shared" si="1"/>
        <v>0.39564625448639756</v>
      </c>
    </row>
    <row r="11" spans="1:9" ht="16.5" x14ac:dyDescent="0.2">
      <c r="A11" s="195" t="s">
        <v>1049</v>
      </c>
      <c r="B11" s="195"/>
      <c r="C11" s="195"/>
      <c r="D11" s="91">
        <f>SUM(D12:D12)</f>
        <v>1800000</v>
      </c>
      <c r="E11" s="91">
        <f t="shared" ref="E11:H11" si="3">SUM(E12:E12)</f>
        <v>26893</v>
      </c>
      <c r="F11" s="91">
        <f t="shared" si="3"/>
        <v>1773107</v>
      </c>
      <c r="G11" s="91">
        <f t="shared" si="3"/>
        <v>26892.69</v>
      </c>
      <c r="H11" s="91">
        <f t="shared" si="3"/>
        <v>1773107.31</v>
      </c>
      <c r="I11" s="92">
        <f t="shared" si="1"/>
        <v>1.4940383333333333E-2</v>
      </c>
    </row>
    <row r="12" spans="1:9" s="13" customFormat="1" ht="51" x14ac:dyDescent="0.2">
      <c r="A12" s="93">
        <f>SUBTOTAL(103,$B$8:B12)</f>
        <v>4</v>
      </c>
      <c r="B12" s="110">
        <v>5</v>
      </c>
      <c r="C12" s="128" t="s">
        <v>894</v>
      </c>
      <c r="D12" s="101">
        <f>'Gerencias y Oficinas'!D198</f>
        <v>1800000</v>
      </c>
      <c r="E12" s="101">
        <f>'Gerencias y Oficinas'!E198</f>
        <v>26893</v>
      </c>
      <c r="F12" s="101">
        <f>'Gerencias y Oficinas'!F198</f>
        <v>1773107</v>
      </c>
      <c r="G12" s="101">
        <f>'Gerencias y Oficinas'!G198</f>
        <v>26892.69</v>
      </c>
      <c r="H12" s="101">
        <f>'Gerencias y Oficinas'!H198</f>
        <v>1773107.31</v>
      </c>
      <c r="I12" s="107">
        <f t="shared" si="1"/>
        <v>1.4940383333333333E-2</v>
      </c>
    </row>
    <row r="13" spans="1:9" ht="16.5" x14ac:dyDescent="0.2">
      <c r="A13" s="195" t="s">
        <v>1050</v>
      </c>
      <c r="B13" s="195"/>
      <c r="C13" s="195"/>
      <c r="D13" s="91">
        <f>SUM(D14:D20)</f>
        <v>234317</v>
      </c>
      <c r="E13" s="91">
        <f t="shared" ref="E13:H13" si="4">SUM(E14:E20)</f>
        <v>113979.2</v>
      </c>
      <c r="F13" s="91">
        <f t="shared" si="4"/>
        <v>120337.8</v>
      </c>
      <c r="G13" s="91">
        <f t="shared" si="4"/>
        <v>90845.599999999991</v>
      </c>
      <c r="H13" s="91">
        <f t="shared" si="4"/>
        <v>143471.40000000002</v>
      </c>
      <c r="I13" s="92">
        <f t="shared" si="1"/>
        <v>0.38770383710955669</v>
      </c>
    </row>
    <row r="14" spans="1:9" s="13" customFormat="1" ht="102" x14ac:dyDescent="0.2">
      <c r="A14" s="93">
        <f>SUBTOTAL(103,$B$8:B14)</f>
        <v>5</v>
      </c>
      <c r="B14" s="94">
        <v>7</v>
      </c>
      <c r="C14" s="127" t="s">
        <v>150</v>
      </c>
      <c r="D14" s="101">
        <f>'Gerencias y Oficinas'!D200</f>
        <v>32099</v>
      </c>
      <c r="E14" s="101">
        <f>'Gerencias y Oficinas'!E200</f>
        <v>0</v>
      </c>
      <c r="F14" s="101">
        <f>'Gerencias y Oficinas'!F200</f>
        <v>32099</v>
      </c>
      <c r="G14" s="101">
        <f>'Gerencias y Oficinas'!G200</f>
        <v>0</v>
      </c>
      <c r="H14" s="101">
        <f>'Gerencias y Oficinas'!H200</f>
        <v>32099</v>
      </c>
      <c r="I14" s="107">
        <f t="shared" si="1"/>
        <v>0</v>
      </c>
    </row>
    <row r="15" spans="1:9" s="13" customFormat="1" ht="89.25" x14ac:dyDescent="0.2">
      <c r="A15" s="93">
        <f>SUBTOTAL(103,$B$8:B15)</f>
        <v>6</v>
      </c>
      <c r="B15" s="110">
        <v>152</v>
      </c>
      <c r="C15" s="128" t="s">
        <v>247</v>
      </c>
      <c r="D15" s="101">
        <f>'Gerencias y Oficinas'!D201</f>
        <v>30000</v>
      </c>
      <c r="E15" s="101">
        <f>'Gerencias y Oficinas'!E201</f>
        <v>0</v>
      </c>
      <c r="F15" s="101">
        <f>'Gerencias y Oficinas'!F201</f>
        <v>30000</v>
      </c>
      <c r="G15" s="101">
        <f>'Gerencias y Oficinas'!G201</f>
        <v>0</v>
      </c>
      <c r="H15" s="101">
        <f>'Gerencias y Oficinas'!H201</f>
        <v>30000</v>
      </c>
      <c r="I15" s="107">
        <f t="shared" si="1"/>
        <v>0</v>
      </c>
    </row>
    <row r="16" spans="1:9" s="13" customFormat="1" ht="51" x14ac:dyDescent="0.2">
      <c r="A16" s="93">
        <f>SUBTOTAL(103,$B$8:B16)</f>
        <v>7</v>
      </c>
      <c r="B16" s="110">
        <v>154</v>
      </c>
      <c r="C16" s="128" t="s">
        <v>481</v>
      </c>
      <c r="D16" s="101">
        <f>'Gerencias y Oficinas'!D202</f>
        <v>90586</v>
      </c>
      <c r="E16" s="101">
        <f>'Gerencias y Oficinas'!E202</f>
        <v>90435.199999999997</v>
      </c>
      <c r="F16" s="101">
        <f>'Gerencias y Oficinas'!F202</f>
        <v>150.80000000000291</v>
      </c>
      <c r="G16" s="101">
        <f>'Gerencias y Oficinas'!G202</f>
        <v>78301.599999999991</v>
      </c>
      <c r="H16" s="101">
        <f>'Gerencias y Oficinas'!H202</f>
        <v>12284.400000000009</v>
      </c>
      <c r="I16" s="107">
        <f t="shared" si="1"/>
        <v>0.8643896407833439</v>
      </c>
    </row>
    <row r="17" spans="1:9" s="13" customFormat="1" ht="89.25" hidden="1" x14ac:dyDescent="0.2">
      <c r="A17" s="93">
        <f>SUBTOTAL(103,$B$8:B17)</f>
        <v>7</v>
      </c>
      <c r="B17" s="110">
        <v>250</v>
      </c>
      <c r="C17" s="128" t="s">
        <v>290</v>
      </c>
      <c r="D17" s="101">
        <f>'Gerencias y Oficinas'!D203</f>
        <v>0</v>
      </c>
      <c r="E17" s="101">
        <f>'Gerencias y Oficinas'!E203</f>
        <v>0</v>
      </c>
      <c r="F17" s="101">
        <f>'Gerencias y Oficinas'!F203</f>
        <v>0</v>
      </c>
      <c r="G17" s="101">
        <f>'Gerencias y Oficinas'!G203</f>
        <v>0</v>
      </c>
      <c r="H17" s="101">
        <f>'Gerencias y Oficinas'!H203</f>
        <v>0</v>
      </c>
      <c r="I17" s="107" t="e">
        <f t="shared" si="1"/>
        <v>#DIV/0!</v>
      </c>
    </row>
    <row r="18" spans="1:9" s="13" customFormat="1" ht="63.75" hidden="1" x14ac:dyDescent="0.2">
      <c r="A18" s="93">
        <f>SUBTOTAL(103,$B$8:B18)</f>
        <v>7</v>
      </c>
      <c r="B18" s="110">
        <v>253</v>
      </c>
      <c r="C18" s="128" t="s">
        <v>291</v>
      </c>
      <c r="D18" s="101">
        <f>'Gerencias y Oficinas'!D204</f>
        <v>0</v>
      </c>
      <c r="E18" s="101">
        <f>'Gerencias y Oficinas'!E204</f>
        <v>0</v>
      </c>
      <c r="F18" s="101">
        <f>'Gerencias y Oficinas'!F204</f>
        <v>0</v>
      </c>
      <c r="G18" s="101">
        <f>'Gerencias y Oficinas'!G204</f>
        <v>0</v>
      </c>
      <c r="H18" s="101">
        <f>'Gerencias y Oficinas'!H204</f>
        <v>0</v>
      </c>
      <c r="I18" s="107" t="e">
        <f t="shared" si="1"/>
        <v>#DIV/0!</v>
      </c>
    </row>
    <row r="19" spans="1:9" s="13" customFormat="1" ht="38.25" x14ac:dyDescent="0.2">
      <c r="A19" s="93">
        <f>SUBTOTAL(103,$B$8:B19)</f>
        <v>8</v>
      </c>
      <c r="B19" s="110">
        <v>465</v>
      </c>
      <c r="C19" s="128" t="s">
        <v>248</v>
      </c>
      <c r="D19" s="101">
        <f>'Gerencias y Oficinas'!D205</f>
        <v>70632</v>
      </c>
      <c r="E19" s="101">
        <f>'Gerencias y Oficinas'!E205</f>
        <v>12544</v>
      </c>
      <c r="F19" s="101">
        <f>'Gerencias y Oficinas'!F205</f>
        <v>58088</v>
      </c>
      <c r="G19" s="101">
        <f>'Gerencias y Oficinas'!G205</f>
        <v>12544</v>
      </c>
      <c r="H19" s="101">
        <f>'Gerencias y Oficinas'!H205</f>
        <v>58088</v>
      </c>
      <c r="I19" s="107">
        <f>G19/D19</f>
        <v>0.17759655680144976</v>
      </c>
    </row>
    <row r="20" spans="1:9" s="13" customFormat="1" ht="51" x14ac:dyDescent="0.2">
      <c r="A20" s="93">
        <f>SUBTOTAL(103,$B$8:B20)</f>
        <v>9</v>
      </c>
      <c r="B20" s="110">
        <v>471</v>
      </c>
      <c r="C20" s="128" t="s">
        <v>1070</v>
      </c>
      <c r="D20" s="101">
        <f>'Gerencias y Oficinas'!D206</f>
        <v>11000</v>
      </c>
      <c r="E20" s="101">
        <f>'Gerencias y Oficinas'!E206</f>
        <v>11000</v>
      </c>
      <c r="F20" s="101">
        <f>'Gerencias y Oficinas'!F206</f>
        <v>0</v>
      </c>
      <c r="G20" s="101">
        <f>'Gerencias y Oficinas'!G206</f>
        <v>0</v>
      </c>
      <c r="H20" s="101">
        <f>'Gerencias y Oficinas'!H206</f>
        <v>11000</v>
      </c>
      <c r="I20" s="107">
        <f t="shared" si="1"/>
        <v>0</v>
      </c>
    </row>
    <row r="21" spans="1:9" ht="16.5" x14ac:dyDescent="0.2">
      <c r="A21" s="239" t="s">
        <v>2466</v>
      </c>
      <c r="B21" s="240"/>
      <c r="C21" s="240"/>
      <c r="D21" s="140">
        <f>+D6</f>
        <v>18155027</v>
      </c>
      <c r="E21" s="140">
        <f t="shared" ref="E21:H21" si="5">+E6</f>
        <v>15547899.149999999</v>
      </c>
      <c r="F21" s="140">
        <f t="shared" si="5"/>
        <v>2607127.85</v>
      </c>
      <c r="G21" s="140">
        <f t="shared" si="5"/>
        <v>6390669.0199999986</v>
      </c>
      <c r="H21" s="140">
        <f t="shared" si="5"/>
        <v>11764357.98</v>
      </c>
      <c r="I21" s="139">
        <f t="shared" si="1"/>
        <v>0.35200548145700905</v>
      </c>
    </row>
  </sheetData>
  <mergeCells count="16">
    <mergeCell ref="A1:I1"/>
    <mergeCell ref="A2:I2"/>
    <mergeCell ref="A4:A5"/>
    <mergeCell ref="B4:B5"/>
    <mergeCell ref="C4:C5"/>
    <mergeCell ref="D4:D5"/>
    <mergeCell ref="E4:E5"/>
    <mergeCell ref="F4:F5"/>
    <mergeCell ref="G4:G5"/>
    <mergeCell ref="H4:H5"/>
    <mergeCell ref="I4:I5"/>
    <mergeCell ref="A21:C21"/>
    <mergeCell ref="A6:C6"/>
    <mergeCell ref="A7:C7"/>
    <mergeCell ref="A11:C11"/>
    <mergeCell ref="A13:C13"/>
  </mergeCells>
  <pageMargins left="0.70866141732283472" right="0.70866141732283472" top="0.74803149606299213" bottom="0.74803149606299213" header="0.31496062992125984" footer="0.31496062992125984"/>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784C6-9FA0-408D-9903-671EB4E6A56E}">
  <sheetPr codeName="Hoja7"/>
  <dimension ref="A1:I11"/>
  <sheetViews>
    <sheetView zoomScaleNormal="100" workbookViewId="0">
      <selection activeCell="A3" sqref="A3"/>
    </sheetView>
  </sheetViews>
  <sheetFormatPr baseColWidth="10" defaultRowHeight="12.75" x14ac:dyDescent="0.2"/>
  <cols>
    <col min="1" max="1" width="5.140625" bestFit="1" customWidth="1"/>
    <col min="2" max="2" width="6.28515625" bestFit="1" customWidth="1"/>
    <col min="3" max="3" width="24.85546875" customWidth="1"/>
    <col min="4" max="4" width="12.7109375" customWidth="1"/>
    <col min="5" max="5" width="15.5703125" customWidth="1"/>
    <col min="6" max="6" width="13.28515625" customWidth="1"/>
    <col min="7" max="7" width="14" customWidth="1"/>
    <col min="8" max="8" width="13.140625" customWidth="1"/>
    <col min="9" max="9" width="8.7109375" customWidth="1"/>
  </cols>
  <sheetData>
    <row r="1" spans="1:9" ht="18" x14ac:dyDescent="0.2">
      <c r="A1" s="232" t="s">
        <v>2474</v>
      </c>
      <c r="B1" s="232"/>
      <c r="C1" s="232"/>
      <c r="D1" s="232"/>
      <c r="E1" s="232"/>
      <c r="F1" s="232"/>
      <c r="G1" s="232"/>
      <c r="H1" s="232"/>
      <c r="I1" s="232"/>
    </row>
    <row r="2" spans="1:9" ht="59.25" customHeight="1" x14ac:dyDescent="0.25">
      <c r="A2" s="204" t="s">
        <v>2499</v>
      </c>
      <c r="B2" s="204"/>
      <c r="C2" s="204"/>
      <c r="D2" s="204"/>
      <c r="E2" s="204"/>
      <c r="F2" s="204"/>
      <c r="G2" s="204"/>
      <c r="H2" s="204"/>
      <c r="I2" s="204"/>
    </row>
    <row r="3" spans="1:9" ht="18" x14ac:dyDescent="0.25">
      <c r="A3" s="1"/>
      <c r="B3" s="4"/>
      <c r="C3" s="13"/>
      <c r="D3" s="2"/>
      <c r="E3" s="2"/>
      <c r="F3" s="2"/>
      <c r="I3" s="25"/>
    </row>
    <row r="4" spans="1:9" ht="16.5" customHeight="1" x14ac:dyDescent="0.2">
      <c r="A4" s="235" t="s">
        <v>3</v>
      </c>
      <c r="B4" s="237" t="s">
        <v>400</v>
      </c>
      <c r="C4" s="237" t="s">
        <v>0</v>
      </c>
      <c r="D4" s="248" t="s">
        <v>1076</v>
      </c>
      <c r="E4" s="250" t="s">
        <v>2479</v>
      </c>
      <c r="F4" s="237" t="s">
        <v>1081</v>
      </c>
      <c r="G4" s="237" t="s">
        <v>1078</v>
      </c>
      <c r="H4" s="250" t="s">
        <v>1082</v>
      </c>
      <c r="I4" s="233" t="s">
        <v>218</v>
      </c>
    </row>
    <row r="5" spans="1:9" ht="16.5" customHeight="1" x14ac:dyDescent="0.2">
      <c r="A5" s="236"/>
      <c r="B5" s="238"/>
      <c r="C5" s="238"/>
      <c r="D5" s="249"/>
      <c r="E5" s="251"/>
      <c r="F5" s="238"/>
      <c r="G5" s="238"/>
      <c r="H5" s="251"/>
      <c r="I5" s="234"/>
    </row>
    <row r="6" spans="1:9" ht="16.5" x14ac:dyDescent="0.2">
      <c r="A6" s="246" t="s">
        <v>6</v>
      </c>
      <c r="B6" s="246"/>
      <c r="C6" s="246"/>
      <c r="D6" s="104">
        <f>+D7</f>
        <v>13183082</v>
      </c>
      <c r="E6" s="104">
        <f t="shared" ref="E6:H6" si="0">+E7</f>
        <v>12593403.850000001</v>
      </c>
      <c r="F6" s="104">
        <f t="shared" si="0"/>
        <v>589678.15</v>
      </c>
      <c r="G6" s="104">
        <f t="shared" si="0"/>
        <v>3272329.21</v>
      </c>
      <c r="H6" s="104">
        <f t="shared" si="0"/>
        <v>9910752.7899999991</v>
      </c>
      <c r="I6" s="105">
        <f>G6/D6</f>
        <v>0.24822186572153612</v>
      </c>
    </row>
    <row r="7" spans="1:9" ht="14.25" x14ac:dyDescent="0.2">
      <c r="A7" s="247" t="s">
        <v>1048</v>
      </c>
      <c r="B7" s="247"/>
      <c r="C7" s="247"/>
      <c r="D7" s="91">
        <f>SUM(D8:D10)</f>
        <v>13183082</v>
      </c>
      <c r="E7" s="91">
        <f>SUM(E8:E10)</f>
        <v>12593403.850000001</v>
      </c>
      <c r="F7" s="91">
        <f>SUM(F8:F10)</f>
        <v>589678.15</v>
      </c>
      <c r="G7" s="91">
        <f>SUM(G8:G10)</f>
        <v>3272329.21</v>
      </c>
      <c r="H7" s="91">
        <f>SUM(H8:H10)</f>
        <v>9910752.7899999991</v>
      </c>
      <c r="I7" s="92">
        <f>G7/D7</f>
        <v>0.24822186572153612</v>
      </c>
    </row>
    <row r="8" spans="1:9" s="13" customFormat="1" ht="63.75" x14ac:dyDescent="0.2">
      <c r="A8" s="93">
        <f>SUBTOTAL(103,$B$8:B8)</f>
        <v>1</v>
      </c>
      <c r="B8" s="111" t="s">
        <v>915</v>
      </c>
      <c r="C8" s="128" t="s">
        <v>226</v>
      </c>
      <c r="D8" s="101">
        <f>'Gerencias y Oficinas'!D221</f>
        <v>550560</v>
      </c>
      <c r="E8" s="101">
        <f>'Gerencias y Oficinas'!E221</f>
        <v>519500</v>
      </c>
      <c r="F8" s="101">
        <f>'Gerencias y Oficinas'!F221</f>
        <v>31060</v>
      </c>
      <c r="G8" s="101">
        <f>'Gerencias y Oficinas'!G221</f>
        <v>517920.08999999997</v>
      </c>
      <c r="H8" s="101">
        <f>'Gerencias y Oficinas'!H221</f>
        <v>32639.910000000011</v>
      </c>
      <c r="I8" s="107">
        <f t="shared" ref="I8:I11" si="1">G8/D8</f>
        <v>0.9407150719267654</v>
      </c>
    </row>
    <row r="9" spans="1:9" s="13" customFormat="1" ht="76.5" x14ac:dyDescent="0.2">
      <c r="A9" s="93">
        <f>SUBTOTAL(103,$B$8:B9)</f>
        <v>2</v>
      </c>
      <c r="B9" s="111" t="s">
        <v>916</v>
      </c>
      <c r="C9" s="128" t="s">
        <v>460</v>
      </c>
      <c r="D9" s="101">
        <f>'Gerencias y Oficinas'!D222</f>
        <v>12532522</v>
      </c>
      <c r="E9" s="101">
        <f>'Gerencias y Oficinas'!E222</f>
        <v>12073903.850000001</v>
      </c>
      <c r="F9" s="101">
        <f>'Gerencias y Oficinas'!F222</f>
        <v>458618.15</v>
      </c>
      <c r="G9" s="101">
        <f>'Gerencias y Oficinas'!G222</f>
        <v>2754409.12</v>
      </c>
      <c r="H9" s="101">
        <f>'Gerencias y Oficinas'!H222</f>
        <v>9778112.879999999</v>
      </c>
      <c r="I9" s="107">
        <f t="shared" si="1"/>
        <v>0.21978091241331954</v>
      </c>
    </row>
    <row r="10" spans="1:9" s="13" customFormat="1" ht="89.25" x14ac:dyDescent="0.2">
      <c r="A10" s="93">
        <f>SUBTOTAL(103,$B$8:B10)</f>
        <v>3</v>
      </c>
      <c r="B10" s="111" t="s">
        <v>917</v>
      </c>
      <c r="C10" s="128" t="s">
        <v>793</v>
      </c>
      <c r="D10" s="101">
        <f>'Gerencias y Oficinas'!D223</f>
        <v>100000</v>
      </c>
      <c r="E10" s="101">
        <f>'Gerencias y Oficinas'!E223</f>
        <v>0</v>
      </c>
      <c r="F10" s="101">
        <f>'Gerencias y Oficinas'!F223</f>
        <v>100000</v>
      </c>
      <c r="G10" s="101">
        <f>'Gerencias y Oficinas'!G223</f>
        <v>0</v>
      </c>
      <c r="H10" s="101">
        <f>'Gerencias y Oficinas'!H223</f>
        <v>100000</v>
      </c>
      <c r="I10" s="107">
        <f t="shared" si="1"/>
        <v>0</v>
      </c>
    </row>
    <row r="11" spans="1:9" ht="16.5" x14ac:dyDescent="0.2">
      <c r="A11" s="239" t="s">
        <v>2468</v>
      </c>
      <c r="B11" s="240"/>
      <c r="C11" s="240"/>
      <c r="D11" s="142">
        <f>+D6</f>
        <v>13183082</v>
      </c>
      <c r="E11" s="142">
        <f t="shared" ref="E11:H11" si="2">+E6</f>
        <v>12593403.850000001</v>
      </c>
      <c r="F11" s="142">
        <f t="shared" si="2"/>
        <v>589678.15</v>
      </c>
      <c r="G11" s="142">
        <f t="shared" si="2"/>
        <v>3272329.21</v>
      </c>
      <c r="H11" s="142">
        <f t="shared" si="2"/>
        <v>9910752.7899999991</v>
      </c>
      <c r="I11" s="139">
        <f t="shared" si="1"/>
        <v>0.24822186572153612</v>
      </c>
    </row>
  </sheetData>
  <mergeCells count="14">
    <mergeCell ref="I4:I5"/>
    <mergeCell ref="A6:C6"/>
    <mergeCell ref="A7:C7"/>
    <mergeCell ref="A11:C11"/>
    <mergeCell ref="A1:I1"/>
    <mergeCell ref="A2:I2"/>
    <mergeCell ref="A4:A5"/>
    <mergeCell ref="B4:B5"/>
    <mergeCell ref="C4:C5"/>
    <mergeCell ref="D4:D5"/>
    <mergeCell ref="E4:E5"/>
    <mergeCell ref="F4:F5"/>
    <mergeCell ref="G4:G5"/>
    <mergeCell ref="H4:H5"/>
  </mergeCells>
  <pageMargins left="0.70866141732283472" right="0.70866141732283472" top="0.74803149606299213" bottom="0.74803149606299213" header="0.31496062992125984" footer="0.31496062992125984"/>
  <pageSetup paperSize="9" scale="78"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A88BD-8E44-4A8B-AEDC-F1803134187F}">
  <sheetPr codeName="Hoja8"/>
  <dimension ref="A1:K13"/>
  <sheetViews>
    <sheetView zoomScaleNormal="100" workbookViewId="0">
      <selection activeCell="D14" sqref="D14"/>
    </sheetView>
  </sheetViews>
  <sheetFormatPr baseColWidth="10" defaultRowHeight="12.75" x14ac:dyDescent="0.2"/>
  <cols>
    <col min="1" max="1" width="5.140625" bestFit="1" customWidth="1"/>
    <col min="2" max="2" width="6.28515625" bestFit="1" customWidth="1"/>
    <col min="3" max="3" width="20.85546875" customWidth="1"/>
    <col min="4" max="4" width="14.5703125" customWidth="1"/>
    <col min="5" max="5" width="15.7109375" customWidth="1"/>
    <col min="6" max="8" width="14.5703125" customWidth="1"/>
    <col min="9" max="9" width="8.28515625" customWidth="1"/>
  </cols>
  <sheetData>
    <row r="1" spans="1:11" ht="18" x14ac:dyDescent="0.2">
      <c r="A1" s="232" t="s">
        <v>2475</v>
      </c>
      <c r="B1" s="232"/>
      <c r="C1" s="232"/>
      <c r="D1" s="232"/>
      <c r="E1" s="232"/>
      <c r="F1" s="232"/>
      <c r="G1" s="232"/>
      <c r="H1" s="232"/>
      <c r="I1" s="232"/>
    </row>
    <row r="2" spans="1:11" ht="55.5" customHeight="1" x14ac:dyDescent="0.25">
      <c r="A2" s="204" t="s">
        <v>2499</v>
      </c>
      <c r="B2" s="204"/>
      <c r="C2" s="204"/>
      <c r="D2" s="204"/>
      <c r="E2" s="204"/>
      <c r="F2" s="204"/>
      <c r="G2" s="204"/>
      <c r="H2" s="204"/>
      <c r="I2" s="204"/>
    </row>
    <row r="3" spans="1:11" ht="18" x14ac:dyDescent="0.25">
      <c r="A3" s="1"/>
      <c r="B3" s="4"/>
      <c r="C3" s="13"/>
      <c r="D3" s="2"/>
      <c r="E3" s="2"/>
      <c r="F3" s="2"/>
      <c r="I3" s="25"/>
    </row>
    <row r="4" spans="1:11" ht="17.25" customHeight="1" x14ac:dyDescent="0.2">
      <c r="A4" s="252" t="s">
        <v>3</v>
      </c>
      <c r="B4" s="250" t="s">
        <v>400</v>
      </c>
      <c r="C4" s="237" t="s">
        <v>0</v>
      </c>
      <c r="D4" s="248" t="s">
        <v>1076</v>
      </c>
      <c r="E4" s="250" t="s">
        <v>2479</v>
      </c>
      <c r="F4" s="237" t="s">
        <v>1081</v>
      </c>
      <c r="G4" s="248" t="s">
        <v>1078</v>
      </c>
      <c r="H4" s="248" t="s">
        <v>1082</v>
      </c>
      <c r="I4" s="244" t="s">
        <v>218</v>
      </c>
    </row>
    <row r="5" spans="1:11" ht="17.25" customHeight="1" x14ac:dyDescent="0.2">
      <c r="A5" s="253"/>
      <c r="B5" s="251"/>
      <c r="C5" s="238"/>
      <c r="D5" s="249"/>
      <c r="E5" s="251"/>
      <c r="F5" s="238"/>
      <c r="G5" s="249"/>
      <c r="H5" s="249"/>
      <c r="I5" s="245"/>
    </row>
    <row r="6" spans="1:11" ht="36" customHeight="1" x14ac:dyDescent="0.2">
      <c r="A6" s="183" t="s">
        <v>7</v>
      </c>
      <c r="B6" s="183"/>
      <c r="C6" s="183"/>
      <c r="D6" s="89">
        <f>+D7+D9</f>
        <v>5603985</v>
      </c>
      <c r="E6" s="89">
        <f t="shared" ref="E6:H6" si="0">+E7+E9</f>
        <v>4939052.3800000008</v>
      </c>
      <c r="F6" s="89">
        <f t="shared" si="0"/>
        <v>664932.62</v>
      </c>
      <c r="G6" s="89">
        <f t="shared" si="0"/>
        <v>2787616.1900000004</v>
      </c>
      <c r="H6" s="89">
        <f t="shared" si="0"/>
        <v>2816368.81</v>
      </c>
      <c r="I6" s="90">
        <f t="shared" ref="I6:I9" si="1">G6/D6</f>
        <v>0.49743462732323523</v>
      </c>
    </row>
    <row r="7" spans="1:11" ht="16.5" x14ac:dyDescent="0.2">
      <c r="A7" s="195" t="s">
        <v>1048</v>
      </c>
      <c r="B7" s="195"/>
      <c r="C7" s="195"/>
      <c r="D7" s="91">
        <f>SUM(D8:D8)</f>
        <v>1332387</v>
      </c>
      <c r="E7" s="91">
        <f t="shared" ref="E7:H7" si="2">SUM(E8:E8)</f>
        <v>1330869.6099999999</v>
      </c>
      <c r="F7" s="91">
        <f t="shared" si="2"/>
        <v>1517.390000000014</v>
      </c>
      <c r="G7" s="91">
        <f t="shared" si="2"/>
        <v>1187718.7999999998</v>
      </c>
      <c r="H7" s="91">
        <f t="shared" si="2"/>
        <v>144668.20000000013</v>
      </c>
      <c r="I7" s="92">
        <f t="shared" si="1"/>
        <v>0.89142178661304849</v>
      </c>
    </row>
    <row r="8" spans="1:11" ht="51" x14ac:dyDescent="0.2">
      <c r="A8" s="93">
        <f>SUBTOTAL(103,$B$8:B8)</f>
        <v>1</v>
      </c>
      <c r="B8" s="110">
        <v>218</v>
      </c>
      <c r="C8" s="128" t="s">
        <v>225</v>
      </c>
      <c r="D8" s="101">
        <f>'Gerencias y Oficinas'!D226</f>
        <v>1332387</v>
      </c>
      <c r="E8" s="101">
        <f>'Gerencias y Oficinas'!E226</f>
        <v>1330869.6099999999</v>
      </c>
      <c r="F8" s="101">
        <f>'Gerencias y Oficinas'!F226</f>
        <v>1517.390000000014</v>
      </c>
      <c r="G8" s="101">
        <f>'Gerencias y Oficinas'!G226</f>
        <v>1187718.7999999998</v>
      </c>
      <c r="H8" s="101">
        <f>'Gerencias y Oficinas'!H226</f>
        <v>144668.20000000013</v>
      </c>
      <c r="I8" s="107">
        <f t="shared" si="1"/>
        <v>0.89142178661304849</v>
      </c>
      <c r="K8" s="26"/>
    </row>
    <row r="9" spans="1:11" ht="16.5" x14ac:dyDescent="0.2">
      <c r="A9" s="195" t="s">
        <v>1049</v>
      </c>
      <c r="B9" s="195"/>
      <c r="C9" s="195"/>
      <c r="D9" s="91">
        <f>SUM(D10:D12)</f>
        <v>4271598</v>
      </c>
      <c r="E9" s="91">
        <f t="shared" ref="E9:H9" si="3">SUM(E10:E12)</f>
        <v>3608182.7700000005</v>
      </c>
      <c r="F9" s="91">
        <f t="shared" si="3"/>
        <v>663415.23</v>
      </c>
      <c r="G9" s="91">
        <f t="shared" si="3"/>
        <v>1599897.3900000004</v>
      </c>
      <c r="H9" s="91">
        <f t="shared" si="3"/>
        <v>2671700.61</v>
      </c>
      <c r="I9" s="92">
        <f t="shared" si="1"/>
        <v>0.37454306093410483</v>
      </c>
      <c r="K9" s="26"/>
    </row>
    <row r="10" spans="1:11" ht="141.75" hidden="1" x14ac:dyDescent="0.2">
      <c r="A10" s="14">
        <f>SUBTOTAL(103,$B$8:B10)+241</f>
        <v>242</v>
      </c>
      <c r="B10" s="69"/>
      <c r="C10" s="81" t="s">
        <v>45</v>
      </c>
      <c r="D10" s="15"/>
      <c r="E10" s="15"/>
      <c r="F10" s="15">
        <f>D10-E10</f>
        <v>0</v>
      </c>
      <c r="G10" s="15"/>
      <c r="H10" s="15">
        <f>D10-G10</f>
        <v>0</v>
      </c>
      <c r="I10" s="28">
        <v>0</v>
      </c>
      <c r="K10" s="26"/>
    </row>
    <row r="11" spans="1:11" ht="63" hidden="1" x14ac:dyDescent="0.2">
      <c r="A11" s="14">
        <f>SUBTOTAL(103,$B$8:B11)+241</f>
        <v>242</v>
      </c>
      <c r="B11" s="69"/>
      <c r="C11" s="81" t="s">
        <v>325</v>
      </c>
      <c r="D11" s="15"/>
      <c r="E11" s="15"/>
      <c r="F11" s="15">
        <f>D11-E11</f>
        <v>0</v>
      </c>
      <c r="G11" s="15"/>
      <c r="H11" s="15">
        <f>D11-G11</f>
        <v>0</v>
      </c>
      <c r="I11" s="28">
        <v>0</v>
      </c>
      <c r="K11" s="26"/>
    </row>
    <row r="12" spans="1:11" ht="89.25" x14ac:dyDescent="0.2">
      <c r="A12" s="93">
        <f>SUBTOTAL(103,$B$8:B12)</f>
        <v>2</v>
      </c>
      <c r="B12" s="110">
        <v>264</v>
      </c>
      <c r="C12" s="128" t="s">
        <v>529</v>
      </c>
      <c r="D12" s="101">
        <f>'Gerencias y Oficinas'!D230</f>
        <v>4271598</v>
      </c>
      <c r="E12" s="101">
        <f>'Gerencias y Oficinas'!E230</f>
        <v>3608182.7700000005</v>
      </c>
      <c r="F12" s="101">
        <f>'Gerencias y Oficinas'!F230</f>
        <v>663415.23</v>
      </c>
      <c r="G12" s="101">
        <f>'Gerencias y Oficinas'!G230</f>
        <v>1599897.3900000004</v>
      </c>
      <c r="H12" s="101">
        <f>'Gerencias y Oficinas'!H230</f>
        <v>2671700.61</v>
      </c>
      <c r="I12" s="107">
        <f>G12/D12</f>
        <v>0.37454306093410483</v>
      </c>
      <c r="K12" s="26"/>
    </row>
    <row r="13" spans="1:11" ht="16.5" x14ac:dyDescent="0.2">
      <c r="A13" s="239" t="s">
        <v>2469</v>
      </c>
      <c r="B13" s="240"/>
      <c r="C13" s="240"/>
      <c r="D13" s="140">
        <f>+D6</f>
        <v>5603985</v>
      </c>
      <c r="E13" s="138">
        <f t="shared" ref="E13:H13" si="4">+E6</f>
        <v>4939052.3800000008</v>
      </c>
      <c r="F13" s="142">
        <f t="shared" si="4"/>
        <v>664932.62</v>
      </c>
      <c r="G13" s="142">
        <f t="shared" si="4"/>
        <v>2787616.1900000004</v>
      </c>
      <c r="H13" s="142">
        <f t="shared" si="4"/>
        <v>2816368.81</v>
      </c>
      <c r="I13" s="139">
        <f t="shared" ref="I13" si="5">G13/D13</f>
        <v>0.49743462732323523</v>
      </c>
    </row>
  </sheetData>
  <mergeCells count="15">
    <mergeCell ref="A6:C6"/>
    <mergeCell ref="A7:C7"/>
    <mergeCell ref="A9:C9"/>
    <mergeCell ref="A13:C13"/>
    <mergeCell ref="A1:I1"/>
    <mergeCell ref="A2:I2"/>
    <mergeCell ref="A4:A5"/>
    <mergeCell ref="B4:B5"/>
    <mergeCell ref="C4:C5"/>
    <mergeCell ref="D4:D5"/>
    <mergeCell ref="E4:E5"/>
    <mergeCell ref="F4:F5"/>
    <mergeCell ref="G4:G5"/>
    <mergeCell ref="H4:H5"/>
    <mergeCell ref="I4:I5"/>
  </mergeCells>
  <pageMargins left="0.70866141732283472" right="0.70866141732283472" top="0.74803149606299213" bottom="0.74803149606299213" header="0.31496062992125984" footer="0.31496062992125984"/>
  <pageSetup paperSize="9" scale="77" orientation="portrait" r:id="rId1"/>
  <colBreaks count="1" manualBreakCount="1">
    <brk id="9"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8B6FD-D79B-4981-B268-3103C01074FE}">
  <sheetPr codeName="Hoja9"/>
  <dimension ref="A1:J56"/>
  <sheetViews>
    <sheetView zoomScaleNormal="100" workbookViewId="0">
      <selection activeCell="C14" sqref="C14"/>
    </sheetView>
  </sheetViews>
  <sheetFormatPr baseColWidth="10" defaultRowHeight="12.75" x14ac:dyDescent="0.2"/>
  <cols>
    <col min="1" max="1" width="4.42578125" bestFit="1" customWidth="1"/>
    <col min="2" max="2" width="6.28515625" bestFit="1" customWidth="1"/>
    <col min="3" max="3" width="27.5703125" customWidth="1"/>
    <col min="4" max="4" width="13.28515625" customWidth="1"/>
    <col min="5" max="5" width="15.85546875" customWidth="1"/>
    <col min="6" max="8" width="13.28515625" customWidth="1"/>
    <col min="9" max="9" width="9.28515625" customWidth="1"/>
  </cols>
  <sheetData>
    <row r="1" spans="1:10" ht="18" x14ac:dyDescent="0.2">
      <c r="A1" s="232" t="s">
        <v>2476</v>
      </c>
      <c r="B1" s="232"/>
      <c r="C1" s="232"/>
      <c r="D1" s="232"/>
      <c r="E1" s="232"/>
      <c r="F1" s="232"/>
      <c r="G1" s="232"/>
      <c r="H1" s="232"/>
      <c r="I1" s="232"/>
    </row>
    <row r="2" spans="1:10" ht="54.75" customHeight="1" x14ac:dyDescent="0.25">
      <c r="A2" s="204" t="s">
        <v>2499</v>
      </c>
      <c r="B2" s="204"/>
      <c r="C2" s="204"/>
      <c r="D2" s="204"/>
      <c r="E2" s="204"/>
      <c r="F2" s="204"/>
      <c r="G2" s="204"/>
      <c r="H2" s="204"/>
      <c r="I2" s="204"/>
    </row>
    <row r="3" spans="1:10" ht="18" x14ac:dyDescent="0.25">
      <c r="A3" s="1"/>
      <c r="B3" s="4"/>
      <c r="C3" s="13"/>
      <c r="D3" s="2"/>
      <c r="E3" s="2"/>
      <c r="F3" s="2"/>
      <c r="I3" s="25"/>
    </row>
    <row r="4" spans="1:10" ht="17.25" customHeight="1" x14ac:dyDescent="0.2">
      <c r="A4" s="252" t="s">
        <v>3</v>
      </c>
      <c r="B4" s="248" t="s">
        <v>400</v>
      </c>
      <c r="C4" s="248" t="s">
        <v>0</v>
      </c>
      <c r="D4" s="250" t="s">
        <v>1076</v>
      </c>
      <c r="E4" s="237" t="s">
        <v>2479</v>
      </c>
      <c r="F4" s="237" t="s">
        <v>1081</v>
      </c>
      <c r="G4" s="237" t="s">
        <v>1078</v>
      </c>
      <c r="H4" s="248" t="s">
        <v>1082</v>
      </c>
      <c r="I4" s="244" t="s">
        <v>218</v>
      </c>
    </row>
    <row r="5" spans="1:10" ht="17.25" customHeight="1" x14ac:dyDescent="0.2">
      <c r="A5" s="253"/>
      <c r="B5" s="249"/>
      <c r="C5" s="249"/>
      <c r="D5" s="251"/>
      <c r="E5" s="238"/>
      <c r="F5" s="238"/>
      <c r="G5" s="238"/>
      <c r="H5" s="249"/>
      <c r="I5" s="245"/>
    </row>
    <row r="6" spans="1:10" ht="30.75" customHeight="1" x14ac:dyDescent="0.2">
      <c r="A6" s="183" t="s">
        <v>8</v>
      </c>
      <c r="B6" s="183"/>
      <c r="C6" s="183"/>
      <c r="D6" s="89">
        <f>+D49+D9+D36+D53</f>
        <v>76143422</v>
      </c>
      <c r="E6" s="89">
        <f>+E49+E9+E36+E53</f>
        <v>66165120.260000005</v>
      </c>
      <c r="F6" s="89">
        <f>+F49+F9+F36+F53</f>
        <v>9978301.7399999984</v>
      </c>
      <c r="G6" s="89">
        <f>+G49+G9+G36+G53</f>
        <v>21798441.920000002</v>
      </c>
      <c r="H6" s="89">
        <f>+H49+H9+H36+H53</f>
        <v>54344980.079999998</v>
      </c>
      <c r="I6" s="90">
        <f>G6/D6</f>
        <v>0.28628135362763185</v>
      </c>
      <c r="J6" s="72"/>
    </row>
    <row r="7" spans="1:10" ht="99" hidden="1" x14ac:dyDescent="0.2">
      <c r="A7" s="82">
        <v>271</v>
      </c>
      <c r="B7" s="112"/>
      <c r="C7" s="113" t="s">
        <v>62</v>
      </c>
      <c r="D7" s="114"/>
      <c r="E7" s="114"/>
      <c r="F7" s="114">
        <f>D7-E7</f>
        <v>0</v>
      </c>
      <c r="G7" s="114"/>
      <c r="H7" s="114">
        <f>D7-G7</f>
        <v>0</v>
      </c>
      <c r="I7" s="115">
        <v>0</v>
      </c>
    </row>
    <row r="8" spans="1:10" ht="99" hidden="1" x14ac:dyDescent="0.2">
      <c r="A8" s="82">
        <f>SUBTOTAL(103,$B$8:B8)+241</f>
        <v>241</v>
      </c>
      <c r="B8" s="116"/>
      <c r="C8" s="113" t="s">
        <v>174</v>
      </c>
      <c r="D8" s="114"/>
      <c r="E8" s="114"/>
      <c r="F8" s="114"/>
      <c r="G8" s="114"/>
      <c r="H8" s="114"/>
      <c r="I8" s="115" t="e">
        <f t="shared" ref="I8" si="0">G8/D8</f>
        <v>#DIV/0!</v>
      </c>
    </row>
    <row r="9" spans="1:10" ht="16.5" x14ac:dyDescent="0.2">
      <c r="A9" s="195" t="s">
        <v>1045</v>
      </c>
      <c r="B9" s="195"/>
      <c r="C9" s="195"/>
      <c r="D9" s="91">
        <f>SUM(D10:D35)</f>
        <v>52778674</v>
      </c>
      <c r="E9" s="91">
        <f t="shared" ref="E9:H9" si="1">SUM(E10:E35)</f>
        <v>45416283.070000008</v>
      </c>
      <c r="F9" s="91">
        <f t="shared" si="1"/>
        <v>7362390.9299999997</v>
      </c>
      <c r="G9" s="91">
        <f t="shared" si="1"/>
        <v>15349984.869999999</v>
      </c>
      <c r="H9" s="91">
        <f t="shared" si="1"/>
        <v>37428689.130000003</v>
      </c>
      <c r="I9" s="92">
        <f>G9/D9</f>
        <v>0.29083687987310936</v>
      </c>
    </row>
    <row r="10" spans="1:10" ht="63.75" hidden="1" x14ac:dyDescent="0.2">
      <c r="A10" s="93">
        <f>SUBTOTAL(103,$B$10:B10)</f>
        <v>0</v>
      </c>
      <c r="B10" s="110">
        <v>195</v>
      </c>
      <c r="C10" s="128" t="s">
        <v>939</v>
      </c>
      <c r="D10" s="101">
        <f>'Gerencias y Oficinas'!D235</f>
        <v>0</v>
      </c>
      <c r="E10" s="101">
        <f>'Gerencias y Oficinas'!E235</f>
        <v>0</v>
      </c>
      <c r="F10" s="101">
        <f>'Gerencias y Oficinas'!F235</f>
        <v>0</v>
      </c>
      <c r="G10" s="101">
        <f>'Gerencias y Oficinas'!G235</f>
        <v>0</v>
      </c>
      <c r="H10" s="101">
        <f>'Gerencias y Oficinas'!H235</f>
        <v>0</v>
      </c>
      <c r="I10" s="107" t="e">
        <f t="shared" ref="I10:I56" si="2">G10/D10</f>
        <v>#DIV/0!</v>
      </c>
    </row>
    <row r="11" spans="1:10" ht="76.5" hidden="1" x14ac:dyDescent="0.2">
      <c r="A11" s="93">
        <f>SUBTOTAL(103,$B$10:B11)</f>
        <v>0</v>
      </c>
      <c r="B11" s="110">
        <v>196</v>
      </c>
      <c r="C11" s="128" t="s">
        <v>940</v>
      </c>
      <c r="D11" s="101">
        <f>'Gerencias y Oficinas'!D236</f>
        <v>0</v>
      </c>
      <c r="E11" s="101">
        <f>'Gerencias y Oficinas'!E236</f>
        <v>0</v>
      </c>
      <c r="F11" s="101">
        <f>'Gerencias y Oficinas'!F236</f>
        <v>0</v>
      </c>
      <c r="G11" s="101">
        <f>'Gerencias y Oficinas'!G236</f>
        <v>0</v>
      </c>
      <c r="H11" s="101">
        <f>'Gerencias y Oficinas'!H236</f>
        <v>0</v>
      </c>
      <c r="I11" s="107" t="e">
        <f t="shared" si="2"/>
        <v>#DIV/0!</v>
      </c>
    </row>
    <row r="12" spans="1:10" ht="89.25" hidden="1" x14ac:dyDescent="0.2">
      <c r="A12" s="93">
        <f>SUBTOTAL(103,$B$10:B12)</f>
        <v>0</v>
      </c>
      <c r="B12" s="110">
        <v>239</v>
      </c>
      <c r="C12" s="128" t="s">
        <v>740</v>
      </c>
      <c r="D12" s="101">
        <f>'Gerencias y Oficinas'!D237</f>
        <v>0</v>
      </c>
      <c r="E12" s="101">
        <f>'Gerencias y Oficinas'!E237</f>
        <v>0</v>
      </c>
      <c r="F12" s="101">
        <f>'Gerencias y Oficinas'!F237</f>
        <v>0</v>
      </c>
      <c r="G12" s="101">
        <f>'Gerencias y Oficinas'!G237</f>
        <v>0</v>
      </c>
      <c r="H12" s="101">
        <f>'Gerencias y Oficinas'!H237</f>
        <v>0</v>
      </c>
      <c r="I12" s="107" t="e">
        <f t="shared" si="2"/>
        <v>#DIV/0!</v>
      </c>
    </row>
    <row r="13" spans="1:10" ht="89.25" hidden="1" x14ac:dyDescent="0.2">
      <c r="A13" s="93">
        <f>SUBTOTAL(103,$B$10:B13)</f>
        <v>0</v>
      </c>
      <c r="B13" s="110">
        <v>249</v>
      </c>
      <c r="C13" s="128" t="s">
        <v>213</v>
      </c>
      <c r="D13" s="101">
        <f>'Gerencias y Oficinas'!D238</f>
        <v>0</v>
      </c>
      <c r="E13" s="101">
        <f>'Gerencias y Oficinas'!E238</f>
        <v>0</v>
      </c>
      <c r="F13" s="101">
        <f>'Gerencias y Oficinas'!F238</f>
        <v>0</v>
      </c>
      <c r="G13" s="101">
        <f>'Gerencias y Oficinas'!G238</f>
        <v>0</v>
      </c>
      <c r="H13" s="101">
        <f>'Gerencias y Oficinas'!H238</f>
        <v>0</v>
      </c>
      <c r="I13" s="107" t="e">
        <f t="shared" si="2"/>
        <v>#DIV/0!</v>
      </c>
    </row>
    <row r="14" spans="1:10" ht="63.75" x14ac:dyDescent="0.2">
      <c r="A14" s="93">
        <f>SUBTOTAL(103,$B$10:B14)</f>
        <v>1</v>
      </c>
      <c r="B14" s="111" t="s">
        <v>918</v>
      </c>
      <c r="C14" s="128" t="s">
        <v>296</v>
      </c>
      <c r="D14" s="101">
        <f>'Gerencias y Oficinas'!D239</f>
        <v>2390440</v>
      </c>
      <c r="E14" s="101">
        <f>'Gerencias y Oficinas'!E239</f>
        <v>2376240</v>
      </c>
      <c r="F14" s="101">
        <f>'Gerencias y Oficinas'!F239</f>
        <v>14200</v>
      </c>
      <c r="G14" s="101">
        <f>'Gerencias y Oficinas'!G239</f>
        <v>820979.69</v>
      </c>
      <c r="H14" s="101">
        <f>'Gerencias y Oficinas'!H239</f>
        <v>1569460.31</v>
      </c>
      <c r="I14" s="107">
        <f t="shared" si="2"/>
        <v>0.34344291845852642</v>
      </c>
    </row>
    <row r="15" spans="1:10" ht="76.5" x14ac:dyDescent="0.2">
      <c r="A15" s="93">
        <f>SUBTOTAL(103,$B$10:B15)</f>
        <v>2</v>
      </c>
      <c r="B15" s="99" t="s">
        <v>919</v>
      </c>
      <c r="C15" s="127" t="s">
        <v>297</v>
      </c>
      <c r="D15" s="101">
        <f>'Gerencias y Oficinas'!D240</f>
        <v>20600</v>
      </c>
      <c r="E15" s="101">
        <f>'Gerencias y Oficinas'!E240</f>
        <v>20600</v>
      </c>
      <c r="F15" s="101">
        <f>'Gerencias y Oficinas'!F240</f>
        <v>0</v>
      </c>
      <c r="G15" s="101">
        <f>'Gerencias y Oficinas'!G240</f>
        <v>17783.599999999999</v>
      </c>
      <c r="H15" s="101">
        <f>'Gerencias y Oficinas'!H240</f>
        <v>2816.4000000000015</v>
      </c>
      <c r="I15" s="107">
        <f t="shared" si="2"/>
        <v>0.86328155339805823</v>
      </c>
    </row>
    <row r="16" spans="1:10" ht="102" x14ac:dyDescent="0.2">
      <c r="A16" s="93">
        <f>SUBTOTAL(103,$B$10:B16)</f>
        <v>3</v>
      </c>
      <c r="B16" s="110">
        <v>263</v>
      </c>
      <c r="C16" s="128" t="s">
        <v>410</v>
      </c>
      <c r="D16" s="101">
        <f>'Gerencias y Oficinas'!D241</f>
        <v>3517960</v>
      </c>
      <c r="E16" s="101">
        <f>'Gerencias y Oficinas'!E241</f>
        <v>3401217.1</v>
      </c>
      <c r="F16" s="101">
        <f>'Gerencias y Oficinas'!F241</f>
        <v>116742.9</v>
      </c>
      <c r="G16" s="101">
        <f>'Gerencias y Oficinas'!G241</f>
        <v>2157904.81</v>
      </c>
      <c r="H16" s="101">
        <f>'Gerencias y Oficinas'!H241</f>
        <v>1360055.19</v>
      </c>
      <c r="I16" s="107">
        <f t="shared" si="2"/>
        <v>0.61339663043354675</v>
      </c>
    </row>
    <row r="17" spans="1:9" ht="114.75" x14ac:dyDescent="0.2">
      <c r="A17" s="93">
        <f>SUBTOTAL(103,$B$10:B17)</f>
        <v>4</v>
      </c>
      <c r="B17" s="110">
        <v>281</v>
      </c>
      <c r="C17" s="128" t="s">
        <v>466</v>
      </c>
      <c r="D17" s="101">
        <f>'Gerencias y Oficinas'!D242</f>
        <v>2170829</v>
      </c>
      <c r="E17" s="101">
        <f>'Gerencias y Oficinas'!E242</f>
        <v>2170829</v>
      </c>
      <c r="F17" s="101">
        <f>'Gerencias y Oficinas'!F242</f>
        <v>0</v>
      </c>
      <c r="G17" s="101">
        <f>'Gerencias y Oficinas'!G242</f>
        <v>132128.85</v>
      </c>
      <c r="H17" s="101">
        <f>'Gerencias y Oficinas'!H242</f>
        <v>2038700.15</v>
      </c>
      <c r="I17" s="107">
        <f t="shared" si="2"/>
        <v>6.0865618618509337E-2</v>
      </c>
    </row>
    <row r="18" spans="1:9" ht="63.75" x14ac:dyDescent="0.2">
      <c r="A18" s="93">
        <f>SUBTOTAL(103,$B$10:B18)</f>
        <v>5</v>
      </c>
      <c r="B18" s="110">
        <v>285</v>
      </c>
      <c r="C18" s="128" t="s">
        <v>796</v>
      </c>
      <c r="D18" s="101">
        <f>'Gerencias y Oficinas'!D243</f>
        <v>31336</v>
      </c>
      <c r="E18" s="101">
        <f>'Gerencias y Oficinas'!E243</f>
        <v>0</v>
      </c>
      <c r="F18" s="101">
        <f>'Gerencias y Oficinas'!F243</f>
        <v>31336</v>
      </c>
      <c r="G18" s="101">
        <f>'Gerencias y Oficinas'!G243</f>
        <v>0</v>
      </c>
      <c r="H18" s="101">
        <f>'Gerencias y Oficinas'!H243</f>
        <v>31336</v>
      </c>
      <c r="I18" s="107">
        <f t="shared" si="2"/>
        <v>0</v>
      </c>
    </row>
    <row r="19" spans="1:9" ht="102" x14ac:dyDescent="0.2">
      <c r="A19" s="93">
        <f>SUBTOTAL(103,$B$10:B19)</f>
        <v>6</v>
      </c>
      <c r="B19" s="110">
        <v>287</v>
      </c>
      <c r="C19" s="128" t="s">
        <v>808</v>
      </c>
      <c r="D19" s="101">
        <f>'Gerencias y Oficinas'!D244</f>
        <v>1263865</v>
      </c>
      <c r="E19" s="101">
        <f>'Gerencias y Oficinas'!E244</f>
        <v>1173567.94</v>
      </c>
      <c r="F19" s="101">
        <f>'Gerencias y Oficinas'!F244</f>
        <v>90297.06</v>
      </c>
      <c r="G19" s="101">
        <f>'Gerencias y Oficinas'!G244</f>
        <v>138884.04999999999</v>
      </c>
      <c r="H19" s="101">
        <f>'Gerencias y Oficinas'!H244</f>
        <v>1124980.95</v>
      </c>
      <c r="I19" s="107">
        <f t="shared" si="2"/>
        <v>0.10988835832941017</v>
      </c>
    </row>
    <row r="20" spans="1:9" ht="127.5" x14ac:dyDescent="0.2">
      <c r="A20" s="93">
        <f>SUBTOTAL(103,$B$10:B20)</f>
        <v>7</v>
      </c>
      <c r="B20" s="110">
        <v>313</v>
      </c>
      <c r="C20" s="128" t="s">
        <v>870</v>
      </c>
      <c r="D20" s="101">
        <f>'Gerencias y Oficinas'!D245</f>
        <v>8483998</v>
      </c>
      <c r="E20" s="101">
        <f>'Gerencias y Oficinas'!E245</f>
        <v>8474782.3099999987</v>
      </c>
      <c r="F20" s="101">
        <f>'Gerencias y Oficinas'!F245</f>
        <v>9215.69</v>
      </c>
      <c r="G20" s="101">
        <f>'Gerencias y Oficinas'!G245</f>
        <v>5307804.1899999995</v>
      </c>
      <c r="H20" s="101">
        <f>'Gerencias y Oficinas'!H245</f>
        <v>3176193.8100000005</v>
      </c>
      <c r="I20" s="107">
        <f t="shared" si="2"/>
        <v>0.62562534668207126</v>
      </c>
    </row>
    <row r="21" spans="1:9" ht="114.75" x14ac:dyDescent="0.2">
      <c r="A21" s="93">
        <f>SUBTOTAL(103,$B$10:B21)</f>
        <v>8</v>
      </c>
      <c r="B21" s="110">
        <v>314</v>
      </c>
      <c r="C21" s="128" t="s">
        <v>299</v>
      </c>
      <c r="D21" s="101">
        <f>'Gerencias y Oficinas'!D246</f>
        <v>4219373</v>
      </c>
      <c r="E21" s="101">
        <f>'Gerencias y Oficinas'!E246</f>
        <v>4183621.03</v>
      </c>
      <c r="F21" s="101">
        <f>'Gerencias y Oficinas'!F246</f>
        <v>35751.97</v>
      </c>
      <c r="G21" s="101">
        <f>'Gerencias y Oficinas'!G246</f>
        <v>3829328.0799999996</v>
      </c>
      <c r="H21" s="101">
        <f>'Gerencias y Oficinas'!H246</f>
        <v>390044.92000000004</v>
      </c>
      <c r="I21" s="107">
        <f t="shared" si="2"/>
        <v>0.90755855905604921</v>
      </c>
    </row>
    <row r="22" spans="1:9" ht="114.75" x14ac:dyDescent="0.2">
      <c r="A22" s="93">
        <f>SUBTOTAL(103,$B$10:B22)</f>
        <v>9</v>
      </c>
      <c r="B22" s="110">
        <v>343</v>
      </c>
      <c r="C22" s="128" t="s">
        <v>865</v>
      </c>
      <c r="D22" s="101">
        <f>'Gerencias y Oficinas'!D247</f>
        <v>13926334</v>
      </c>
      <c r="E22" s="101">
        <f>'Gerencias y Oficinas'!E247</f>
        <v>10437696</v>
      </c>
      <c r="F22" s="101">
        <f>'Gerencias y Oficinas'!F247</f>
        <v>3488638</v>
      </c>
      <c r="G22" s="101">
        <f>'Gerencias y Oficinas'!G247</f>
        <v>152548.22</v>
      </c>
      <c r="H22" s="101">
        <f>'Gerencias y Oficinas'!H247</f>
        <v>13773785.780000001</v>
      </c>
      <c r="I22" s="107">
        <f t="shared" si="2"/>
        <v>1.0953939493336869E-2</v>
      </c>
    </row>
    <row r="23" spans="1:9" ht="51" x14ac:dyDescent="0.2">
      <c r="A23" s="93">
        <f>SUBTOTAL(103,$B$10:B23)</f>
        <v>10</v>
      </c>
      <c r="B23" s="110">
        <v>344</v>
      </c>
      <c r="C23" s="128" t="s">
        <v>795</v>
      </c>
      <c r="D23" s="101">
        <f>'Gerencias y Oficinas'!D248</f>
        <v>1044621</v>
      </c>
      <c r="E23" s="101">
        <f>'Gerencias y Oficinas'!E248</f>
        <v>277579.94</v>
      </c>
      <c r="F23" s="101">
        <f>'Gerencias y Oficinas'!F248</f>
        <v>767041.06</v>
      </c>
      <c r="G23" s="101">
        <f>'Gerencias y Oficinas'!G248</f>
        <v>264157.59999999998</v>
      </c>
      <c r="H23" s="101">
        <f>'Gerencias y Oficinas'!H248</f>
        <v>780463.4</v>
      </c>
      <c r="I23" s="107">
        <f t="shared" si="2"/>
        <v>0.25287410457955561</v>
      </c>
    </row>
    <row r="24" spans="1:9" ht="89.25" x14ac:dyDescent="0.2">
      <c r="A24" s="93">
        <f>SUBTOTAL(103,$B$10:B24)</f>
        <v>11</v>
      </c>
      <c r="B24" s="110">
        <v>346</v>
      </c>
      <c r="C24" s="128" t="s">
        <v>300</v>
      </c>
      <c r="D24" s="101">
        <f>'Gerencias y Oficinas'!D249</f>
        <v>392605</v>
      </c>
      <c r="E24" s="101">
        <f>'Gerencias y Oficinas'!E249</f>
        <v>337020.28</v>
      </c>
      <c r="F24" s="101">
        <f>'Gerencias y Oficinas'!F249</f>
        <v>55584.72</v>
      </c>
      <c r="G24" s="101">
        <f>'Gerencias y Oficinas'!G249</f>
        <v>298073.84999999998</v>
      </c>
      <c r="H24" s="101">
        <f>'Gerencias y Oficinas'!H249</f>
        <v>94531.15</v>
      </c>
      <c r="I24" s="107">
        <f t="shared" si="2"/>
        <v>0.75922071802447744</v>
      </c>
    </row>
    <row r="25" spans="1:9" ht="114.75" x14ac:dyDescent="0.2">
      <c r="A25" s="93">
        <f>SUBTOTAL(103,$B$10:B25)</f>
        <v>12</v>
      </c>
      <c r="B25" s="110">
        <v>379</v>
      </c>
      <c r="C25" s="128" t="s">
        <v>866</v>
      </c>
      <c r="D25" s="101">
        <f>'Gerencias y Oficinas'!D250</f>
        <v>167074</v>
      </c>
      <c r="E25" s="101">
        <f>'Gerencias y Oficinas'!E250</f>
        <v>97869.14</v>
      </c>
      <c r="F25" s="101">
        <f>'Gerencias y Oficinas'!F250</f>
        <v>69204.86</v>
      </c>
      <c r="G25" s="101">
        <f>'Gerencias y Oficinas'!G250</f>
        <v>62264.090000000004</v>
      </c>
      <c r="H25" s="101">
        <f>'Gerencias y Oficinas'!H250</f>
        <v>104809.91</v>
      </c>
      <c r="I25" s="107">
        <f t="shared" si="2"/>
        <v>0.37267372541508553</v>
      </c>
    </row>
    <row r="26" spans="1:9" ht="114.75" x14ac:dyDescent="0.2">
      <c r="A26" s="93">
        <f>SUBTOTAL(103,$B$10:B26)</f>
        <v>13</v>
      </c>
      <c r="B26" s="110">
        <v>380</v>
      </c>
      <c r="C26" s="128" t="s">
        <v>864</v>
      </c>
      <c r="D26" s="101">
        <f>'Gerencias y Oficinas'!D251</f>
        <v>2967206</v>
      </c>
      <c r="E26" s="101">
        <f>'Gerencias y Oficinas'!E251</f>
        <v>2958279.03</v>
      </c>
      <c r="F26" s="101">
        <f>'Gerencias y Oficinas'!F251</f>
        <v>8926.9699999999266</v>
      </c>
      <c r="G26" s="101">
        <f>'Gerencias y Oficinas'!G251</f>
        <v>310369.43</v>
      </c>
      <c r="H26" s="101">
        <f>'Gerencias y Oficinas'!H251</f>
        <v>2656836.5700000003</v>
      </c>
      <c r="I26" s="107">
        <f t="shared" si="2"/>
        <v>0.10459989296327926</v>
      </c>
    </row>
    <row r="27" spans="1:9" ht="76.5" x14ac:dyDescent="0.2">
      <c r="A27" s="93">
        <f>SUBTOTAL(103,$B$10:B27)</f>
        <v>14</v>
      </c>
      <c r="B27" s="110">
        <v>382</v>
      </c>
      <c r="C27" s="128" t="s">
        <v>907</v>
      </c>
      <c r="D27" s="101">
        <f>'Gerencias y Oficinas'!D252</f>
        <v>2040218</v>
      </c>
      <c r="E27" s="101">
        <f>'Gerencias y Oficinas'!E252</f>
        <v>2014066.28</v>
      </c>
      <c r="F27" s="101">
        <f>'Gerencias y Oficinas'!F252</f>
        <v>26151.72</v>
      </c>
      <c r="G27" s="101">
        <f>'Gerencias y Oficinas'!G252</f>
        <v>132532.70000000001</v>
      </c>
      <c r="H27" s="101">
        <f>'Gerencias y Oficinas'!H252</f>
        <v>1907685.3</v>
      </c>
      <c r="I27" s="107">
        <f t="shared" si="2"/>
        <v>6.4960067992734113E-2</v>
      </c>
    </row>
    <row r="28" spans="1:9" ht="89.25" x14ac:dyDescent="0.2">
      <c r="A28" s="93">
        <f>SUBTOTAL(103,$B$10:B28)</f>
        <v>15</v>
      </c>
      <c r="B28" s="110">
        <v>437</v>
      </c>
      <c r="C28" s="128" t="s">
        <v>863</v>
      </c>
      <c r="D28" s="101">
        <f>'Gerencias y Oficinas'!D253</f>
        <v>3974680</v>
      </c>
      <c r="E28" s="101">
        <f>'Gerencias y Oficinas'!E253</f>
        <v>3830379.2</v>
      </c>
      <c r="F28" s="101">
        <f>'Gerencias y Oficinas'!F253</f>
        <v>144300.79999999999</v>
      </c>
      <c r="G28" s="101">
        <f>'Gerencias y Oficinas'!G253</f>
        <v>101545.06</v>
      </c>
      <c r="H28" s="101">
        <f>'Gerencias y Oficinas'!H253</f>
        <v>3873134.9400000004</v>
      </c>
      <c r="I28" s="107">
        <f t="shared" si="2"/>
        <v>2.5547983737055562E-2</v>
      </c>
    </row>
    <row r="29" spans="1:9" ht="114.75" x14ac:dyDescent="0.2">
      <c r="A29" s="93">
        <f>SUBTOTAL(103,$B$10:B29)</f>
        <v>16</v>
      </c>
      <c r="B29" s="110">
        <v>454</v>
      </c>
      <c r="C29" s="128" t="s">
        <v>1016</v>
      </c>
      <c r="D29" s="101">
        <f>'Gerencias y Oficinas'!D254</f>
        <v>80738</v>
      </c>
      <c r="E29" s="101">
        <f>'Gerencias y Oficinas'!E254</f>
        <v>0</v>
      </c>
      <c r="F29" s="101">
        <f>'Gerencias y Oficinas'!F254</f>
        <v>80738</v>
      </c>
      <c r="G29" s="101">
        <f>'Gerencias y Oficinas'!G254</f>
        <v>0</v>
      </c>
      <c r="H29" s="101">
        <f>'Gerencias y Oficinas'!H254</f>
        <v>80738</v>
      </c>
      <c r="I29" s="107">
        <f t="shared" si="2"/>
        <v>0</v>
      </c>
    </row>
    <row r="30" spans="1:9" ht="114.75" x14ac:dyDescent="0.2">
      <c r="A30" s="93">
        <f>SUBTOTAL(103,$B$10:B30)</f>
        <v>17</v>
      </c>
      <c r="B30" s="110">
        <v>462</v>
      </c>
      <c r="C30" s="128" t="s">
        <v>1056</v>
      </c>
      <c r="D30" s="101">
        <f>'Gerencias y Oficinas'!D255</f>
        <v>5872577</v>
      </c>
      <c r="E30" s="101">
        <f>'Gerencias y Oficinas'!E255</f>
        <v>3639207.8200000003</v>
      </c>
      <c r="F30" s="101">
        <f>'Gerencias y Oficinas'!F255</f>
        <v>2233369.1800000002</v>
      </c>
      <c r="G30" s="101">
        <f>'Gerencias y Oficinas'!G255</f>
        <v>1600903.33</v>
      </c>
      <c r="H30" s="101">
        <f>'Gerencias y Oficinas'!H255</f>
        <v>4271673.67</v>
      </c>
      <c r="I30" s="107">
        <f t="shared" si="2"/>
        <v>0.2726066137574697</v>
      </c>
    </row>
    <row r="31" spans="1:9" ht="76.5" x14ac:dyDescent="0.2">
      <c r="A31" s="93">
        <f>SUBTOTAL(103,$B$10:B31)</f>
        <v>18</v>
      </c>
      <c r="B31" s="110">
        <v>482</v>
      </c>
      <c r="C31" s="128" t="s">
        <v>1073</v>
      </c>
      <c r="D31" s="101">
        <f>'Gerencias y Oficinas'!D256</f>
        <v>13758</v>
      </c>
      <c r="E31" s="101">
        <f>'Gerencias y Oficinas'!E256</f>
        <v>13758</v>
      </c>
      <c r="F31" s="101">
        <f>'Gerencias y Oficinas'!F256</f>
        <v>0</v>
      </c>
      <c r="G31" s="101">
        <f>'Gerencias y Oficinas'!G256</f>
        <v>13212.64</v>
      </c>
      <c r="H31" s="101">
        <f>'Gerencias y Oficinas'!H256</f>
        <v>545.36000000000058</v>
      </c>
      <c r="I31" s="107">
        <f t="shared" si="2"/>
        <v>0.96036051751708096</v>
      </c>
    </row>
    <row r="32" spans="1:9" ht="63.75" x14ac:dyDescent="0.2">
      <c r="A32" s="93">
        <f>SUBTOTAL(103,$B$10:B32)</f>
        <v>19</v>
      </c>
      <c r="B32" s="110">
        <v>485</v>
      </c>
      <c r="C32" s="128" t="s">
        <v>367</v>
      </c>
      <c r="D32" s="101">
        <f>'Gerencias y Oficinas'!D257</f>
        <v>10277</v>
      </c>
      <c r="E32" s="101">
        <f>'Gerencias y Oficinas'!E257</f>
        <v>9570</v>
      </c>
      <c r="F32" s="101">
        <f>'Gerencias y Oficinas'!F257</f>
        <v>707</v>
      </c>
      <c r="G32" s="101">
        <f>'Gerencias y Oficinas'!G257</f>
        <v>9564.68</v>
      </c>
      <c r="H32" s="101">
        <f>'Gerencias y Oficinas'!H257</f>
        <v>712.31999999999971</v>
      </c>
      <c r="I32" s="107">
        <f t="shared" si="2"/>
        <v>0.93068794395251531</v>
      </c>
    </row>
    <row r="33" spans="1:9" ht="63.75" x14ac:dyDescent="0.2">
      <c r="A33" s="93">
        <f>SUBTOTAL(103,$B$10:B33)</f>
        <v>20</v>
      </c>
      <c r="B33" s="110">
        <v>494</v>
      </c>
      <c r="C33" s="128" t="s">
        <v>2432</v>
      </c>
      <c r="D33" s="101">
        <f>'Gerencias y Oficinas'!D258</f>
        <v>114255</v>
      </c>
      <c r="E33" s="101">
        <f>'Gerencias y Oficinas'!E258</f>
        <v>0</v>
      </c>
      <c r="F33" s="101">
        <f>'Gerencias y Oficinas'!F258</f>
        <v>114255</v>
      </c>
      <c r="G33" s="101">
        <f>'Gerencias y Oficinas'!G258</f>
        <v>0</v>
      </c>
      <c r="H33" s="101">
        <f>'Gerencias y Oficinas'!H258</f>
        <v>114255</v>
      </c>
      <c r="I33" s="107">
        <f t="shared" si="2"/>
        <v>0</v>
      </c>
    </row>
    <row r="34" spans="1:9" ht="114.75" x14ac:dyDescent="0.2">
      <c r="A34" s="93">
        <f>SUBTOTAL(103,$B$10:B34)</f>
        <v>21</v>
      </c>
      <c r="B34" s="110">
        <v>497</v>
      </c>
      <c r="C34" s="128" t="s">
        <v>2436</v>
      </c>
      <c r="D34" s="101">
        <f>'Gerencias y Oficinas'!D259</f>
        <v>36445</v>
      </c>
      <c r="E34" s="101">
        <f>'Gerencias y Oficinas'!E259</f>
        <v>0</v>
      </c>
      <c r="F34" s="101">
        <f>'Gerencias y Oficinas'!F259</f>
        <v>36445</v>
      </c>
      <c r="G34" s="101">
        <f>'Gerencias y Oficinas'!G259</f>
        <v>0</v>
      </c>
      <c r="H34" s="101">
        <f>'Gerencias y Oficinas'!H259</f>
        <v>36445</v>
      </c>
      <c r="I34" s="107">
        <f t="shared" si="2"/>
        <v>0</v>
      </c>
    </row>
    <row r="35" spans="1:9" ht="114.75" x14ac:dyDescent="0.2">
      <c r="A35" s="93">
        <f>SUBTOTAL(103,$B$10:B35)</f>
        <v>22</v>
      </c>
      <c r="B35" s="110">
        <v>498</v>
      </c>
      <c r="C35" s="128" t="s">
        <v>2437</v>
      </c>
      <c r="D35" s="101">
        <f>'Gerencias y Oficinas'!D260</f>
        <v>39485</v>
      </c>
      <c r="E35" s="101">
        <f>'Gerencias y Oficinas'!E260</f>
        <v>0</v>
      </c>
      <c r="F35" s="101">
        <f>'Gerencias y Oficinas'!F260</f>
        <v>39485</v>
      </c>
      <c r="G35" s="101">
        <f>'Gerencias y Oficinas'!G260</f>
        <v>0</v>
      </c>
      <c r="H35" s="101">
        <f>'Gerencias y Oficinas'!H260</f>
        <v>39485</v>
      </c>
      <c r="I35" s="107">
        <f t="shared" si="2"/>
        <v>0</v>
      </c>
    </row>
    <row r="36" spans="1:9" ht="16.5" x14ac:dyDescent="0.2">
      <c r="A36" s="195" t="s">
        <v>1046</v>
      </c>
      <c r="B36" s="195"/>
      <c r="C36" s="195"/>
      <c r="D36" s="91">
        <f>SUM(D37:D48)</f>
        <v>9798393</v>
      </c>
      <c r="E36" s="91">
        <f t="shared" ref="E36:H36" si="3">SUM(E37:E48)</f>
        <v>7621399.4100000001</v>
      </c>
      <c r="F36" s="91">
        <f t="shared" si="3"/>
        <v>2176993.59</v>
      </c>
      <c r="G36" s="91">
        <f t="shared" si="3"/>
        <v>606651.92000000004</v>
      </c>
      <c r="H36" s="91">
        <f t="shared" si="3"/>
        <v>9191741.0800000001</v>
      </c>
      <c r="I36" s="92">
        <f t="shared" si="2"/>
        <v>6.1913409678505449E-2</v>
      </c>
    </row>
    <row r="37" spans="1:9" ht="114.75" x14ac:dyDescent="0.2">
      <c r="A37" s="93">
        <f>SUBTOTAL(103,$B$10:B37)</f>
        <v>23</v>
      </c>
      <c r="B37" s="110">
        <v>512</v>
      </c>
      <c r="C37" s="128" t="s">
        <v>2445</v>
      </c>
      <c r="D37" s="101">
        <f>'Gerencias y Oficinas'!D263</f>
        <v>3254770</v>
      </c>
      <c r="E37" s="101">
        <f>'Gerencias y Oficinas'!E263</f>
        <v>2925559.55</v>
      </c>
      <c r="F37" s="101">
        <f>'Gerencias y Oficinas'!F263</f>
        <v>329210.44999999995</v>
      </c>
      <c r="G37" s="101">
        <f>'Gerencias y Oficinas'!G263</f>
        <v>0</v>
      </c>
      <c r="H37" s="101">
        <f>'Gerencias y Oficinas'!H263</f>
        <v>3254770</v>
      </c>
      <c r="I37" s="107">
        <f t="shared" si="2"/>
        <v>0</v>
      </c>
    </row>
    <row r="38" spans="1:9" ht="114.75" x14ac:dyDescent="0.2">
      <c r="A38" s="93">
        <f>SUBTOTAL(103,$B$10:B38)</f>
        <v>24</v>
      </c>
      <c r="B38" s="110">
        <v>513</v>
      </c>
      <c r="C38" s="128" t="s">
        <v>2446</v>
      </c>
      <c r="D38" s="101">
        <f>'Gerencias y Oficinas'!D264</f>
        <v>1007572</v>
      </c>
      <c r="E38" s="101">
        <f>'Gerencias y Oficinas'!E264</f>
        <v>838299.38</v>
      </c>
      <c r="F38" s="101">
        <f>'Gerencias y Oficinas'!F264</f>
        <v>169272.62</v>
      </c>
      <c r="G38" s="101">
        <f>'Gerencias y Oficinas'!G264</f>
        <v>0</v>
      </c>
      <c r="H38" s="101">
        <f>'Gerencias y Oficinas'!H264</f>
        <v>1007572</v>
      </c>
      <c r="I38" s="107">
        <f t="shared" si="2"/>
        <v>0</v>
      </c>
    </row>
    <row r="39" spans="1:9" ht="102" x14ac:dyDescent="0.2">
      <c r="A39" s="93">
        <f>SUBTOTAL(103,$B$10:B39)</f>
        <v>25</v>
      </c>
      <c r="B39" s="110">
        <v>515</v>
      </c>
      <c r="C39" s="128" t="s">
        <v>2447</v>
      </c>
      <c r="D39" s="101">
        <f>'Gerencias y Oficinas'!D265</f>
        <v>1688098</v>
      </c>
      <c r="E39" s="101">
        <f>'Gerencias y Oficinas'!E265</f>
        <v>1486603.23</v>
      </c>
      <c r="F39" s="101">
        <f>'Gerencias y Oficinas'!F265</f>
        <v>201494.77000000002</v>
      </c>
      <c r="G39" s="101">
        <f>'Gerencias y Oficinas'!G265</f>
        <v>0</v>
      </c>
      <c r="H39" s="101">
        <f>'Gerencias y Oficinas'!H265</f>
        <v>1688098</v>
      </c>
      <c r="I39" s="107">
        <f t="shared" si="2"/>
        <v>0</v>
      </c>
    </row>
    <row r="40" spans="1:9" ht="76.5" x14ac:dyDescent="0.2">
      <c r="A40" s="93">
        <f>SUBTOTAL(103,$B$10:B40)</f>
        <v>26</v>
      </c>
      <c r="B40" s="110">
        <v>509</v>
      </c>
      <c r="C40" s="128" t="s">
        <v>2448</v>
      </c>
      <c r="D40" s="101">
        <f>'Gerencias y Oficinas'!D266</f>
        <v>680748</v>
      </c>
      <c r="E40" s="101">
        <f>'Gerencias y Oficinas'!E266</f>
        <v>538302.91999999993</v>
      </c>
      <c r="F40" s="101">
        <f>'Gerencias y Oficinas'!F266</f>
        <v>142445.08000000002</v>
      </c>
      <c r="G40" s="101">
        <f>'Gerencias y Oficinas'!G266</f>
        <v>0</v>
      </c>
      <c r="H40" s="101">
        <f>'Gerencias y Oficinas'!H266</f>
        <v>680748</v>
      </c>
      <c r="I40" s="107">
        <f t="shared" si="2"/>
        <v>0</v>
      </c>
    </row>
    <row r="41" spans="1:9" ht="102" x14ac:dyDescent="0.2">
      <c r="A41" s="93">
        <f>SUBTOTAL(103,$B$10:B41)</f>
        <v>27</v>
      </c>
      <c r="B41" s="110">
        <v>510</v>
      </c>
      <c r="C41" s="128" t="s">
        <v>2449</v>
      </c>
      <c r="D41" s="101">
        <f>'Gerencias y Oficinas'!D267</f>
        <v>670100</v>
      </c>
      <c r="E41" s="101">
        <f>'Gerencias y Oficinas'!E267</f>
        <v>532791.97</v>
      </c>
      <c r="F41" s="101">
        <f>'Gerencias y Oficinas'!F267</f>
        <v>137308.03000000003</v>
      </c>
      <c r="G41" s="101">
        <f>'Gerencias y Oficinas'!G267</f>
        <v>0</v>
      </c>
      <c r="H41" s="101">
        <f>'Gerencias y Oficinas'!H267</f>
        <v>670100</v>
      </c>
      <c r="I41" s="107">
        <f t="shared" si="2"/>
        <v>0</v>
      </c>
    </row>
    <row r="42" spans="1:9" ht="76.5" x14ac:dyDescent="0.2">
      <c r="A42" s="93">
        <f>SUBTOTAL(103,$B$10:B42)</f>
        <v>28</v>
      </c>
      <c r="B42" s="110">
        <v>511</v>
      </c>
      <c r="C42" s="128" t="s">
        <v>2450</v>
      </c>
      <c r="D42" s="101">
        <f>'Gerencias y Oficinas'!D268</f>
        <v>388514</v>
      </c>
      <c r="E42" s="101">
        <f>'Gerencias y Oficinas'!E268</f>
        <v>269223.83999999997</v>
      </c>
      <c r="F42" s="101">
        <f>'Gerencias y Oficinas'!F268</f>
        <v>119290.16</v>
      </c>
      <c r="G42" s="101">
        <f>'Gerencias y Oficinas'!G268</f>
        <v>0</v>
      </c>
      <c r="H42" s="101">
        <f>'Gerencias y Oficinas'!H268</f>
        <v>388514</v>
      </c>
      <c r="I42" s="107">
        <f t="shared" si="2"/>
        <v>0</v>
      </c>
    </row>
    <row r="43" spans="1:9" ht="102" x14ac:dyDescent="0.2">
      <c r="A43" s="93">
        <f>SUBTOTAL(103,$B$10:B43)</f>
        <v>29</v>
      </c>
      <c r="B43" s="110">
        <v>514</v>
      </c>
      <c r="C43" s="128" t="s">
        <v>2451</v>
      </c>
      <c r="D43" s="101">
        <f>'Gerencias y Oficinas'!D269</f>
        <v>542416</v>
      </c>
      <c r="E43" s="101">
        <f>'Gerencias y Oficinas'!E269</f>
        <v>401911.51</v>
      </c>
      <c r="F43" s="101">
        <f>'Gerencias y Oficinas'!F269</f>
        <v>140504.49</v>
      </c>
      <c r="G43" s="101">
        <f>'Gerencias y Oficinas'!G269</f>
        <v>0</v>
      </c>
      <c r="H43" s="101">
        <f>'Gerencias y Oficinas'!H269</f>
        <v>542416</v>
      </c>
      <c r="I43" s="107">
        <f t="shared" si="2"/>
        <v>0</v>
      </c>
    </row>
    <row r="44" spans="1:9" ht="102" x14ac:dyDescent="0.2">
      <c r="A44" s="93">
        <f>SUBTOTAL(103,$B$10:B44)</f>
        <v>30</v>
      </c>
      <c r="B44" s="110">
        <v>516</v>
      </c>
      <c r="C44" s="128" t="s">
        <v>2452</v>
      </c>
      <c r="D44" s="101">
        <f>'Gerencias y Oficinas'!D270</f>
        <v>928545</v>
      </c>
      <c r="E44" s="101">
        <f>'Gerencias y Oficinas'!E270</f>
        <v>0</v>
      </c>
      <c r="F44" s="101">
        <f>'Gerencias y Oficinas'!F270</f>
        <v>928545</v>
      </c>
      <c r="G44" s="101">
        <f>'Gerencias y Oficinas'!G270</f>
        <v>0</v>
      </c>
      <c r="H44" s="101">
        <f>'Gerencias y Oficinas'!H270</f>
        <v>928545</v>
      </c>
      <c r="I44" s="107">
        <f t="shared" si="2"/>
        <v>0</v>
      </c>
    </row>
    <row r="45" spans="1:9" ht="114.75" x14ac:dyDescent="0.2">
      <c r="A45" s="93">
        <f>SUBTOTAL(103,$B$10:B45)</f>
        <v>31</v>
      </c>
      <c r="B45" s="110">
        <v>345</v>
      </c>
      <c r="C45" s="128" t="s">
        <v>864</v>
      </c>
      <c r="D45" s="101">
        <f>'Gerencias y Oficinas'!D271</f>
        <v>271707</v>
      </c>
      <c r="E45" s="101">
        <f>'Gerencias y Oficinas'!E271</f>
        <v>271705.69</v>
      </c>
      <c r="F45" s="101">
        <f>'Gerencias y Oficinas'!F271</f>
        <v>1.3099999999994907</v>
      </c>
      <c r="G45" s="101">
        <f>'Gerencias y Oficinas'!G271</f>
        <v>270842.66000000003</v>
      </c>
      <c r="H45" s="101">
        <f>'Gerencias y Oficinas'!H271</f>
        <v>864.33999999999651</v>
      </c>
      <c r="I45" s="107">
        <f t="shared" si="2"/>
        <v>0.99681885266113879</v>
      </c>
    </row>
    <row r="46" spans="1:9" ht="63.75" x14ac:dyDescent="0.2">
      <c r="A46" s="93">
        <f>SUBTOTAL(103,$B$10:B46)</f>
        <v>32</v>
      </c>
      <c r="B46" s="110">
        <v>348</v>
      </c>
      <c r="C46" s="128" t="s">
        <v>858</v>
      </c>
      <c r="D46" s="101">
        <f>'Gerencias y Oficinas'!D272</f>
        <v>70059</v>
      </c>
      <c r="E46" s="101">
        <f>'Gerencias y Oficinas'!E272</f>
        <v>70057.899999999994</v>
      </c>
      <c r="F46" s="101">
        <f>'Gerencias y Oficinas'!F272</f>
        <v>1.1000000000003638</v>
      </c>
      <c r="G46" s="101">
        <f>'Gerencias y Oficinas'!G272</f>
        <v>70029.94</v>
      </c>
      <c r="H46" s="101">
        <f>'Gerencias y Oficinas'!H272</f>
        <v>29.059999999999491</v>
      </c>
      <c r="I46" s="107">
        <f t="shared" si="2"/>
        <v>0.99958520675430707</v>
      </c>
    </row>
    <row r="47" spans="1:9" ht="63.75" x14ac:dyDescent="0.2">
      <c r="A47" s="93">
        <f>SUBTOTAL(103,$B$10:B47)</f>
        <v>33</v>
      </c>
      <c r="B47" s="110">
        <v>349</v>
      </c>
      <c r="C47" s="128" t="s">
        <v>857</v>
      </c>
      <c r="D47" s="101">
        <f>'Gerencias y Oficinas'!D273</f>
        <v>100785</v>
      </c>
      <c r="E47" s="101">
        <f>'Gerencias y Oficinas'!E273</f>
        <v>100589.42</v>
      </c>
      <c r="F47" s="101">
        <f>'Gerencias y Oficinas'!F273</f>
        <v>195.57999999999902</v>
      </c>
      <c r="G47" s="101">
        <f>'Gerencias y Oficinas'!G273</f>
        <v>88974.89</v>
      </c>
      <c r="H47" s="101">
        <f>'Gerencias y Oficinas'!H273</f>
        <v>11810.109999999997</v>
      </c>
      <c r="I47" s="107">
        <f t="shared" si="2"/>
        <v>0.88281877263481667</v>
      </c>
    </row>
    <row r="48" spans="1:9" ht="63.75" x14ac:dyDescent="0.2">
      <c r="A48" s="93">
        <f>SUBTOTAL(103,$B$10:B48)</f>
        <v>34</v>
      </c>
      <c r="B48" s="110">
        <v>461</v>
      </c>
      <c r="C48" s="128" t="s">
        <v>892</v>
      </c>
      <c r="D48" s="101">
        <f>'Gerencias y Oficinas'!D274</f>
        <v>195079</v>
      </c>
      <c r="E48" s="101">
        <f>'Gerencias y Oficinas'!E274</f>
        <v>186354</v>
      </c>
      <c r="F48" s="101">
        <f>'Gerencias y Oficinas'!F274</f>
        <v>8725.0000000000036</v>
      </c>
      <c r="G48" s="101">
        <f>'Gerencias y Oficinas'!G274</f>
        <v>176804.43</v>
      </c>
      <c r="H48" s="101">
        <f>'Gerencias y Oficinas'!H274</f>
        <v>18274.570000000007</v>
      </c>
      <c r="I48" s="107">
        <f t="shared" si="2"/>
        <v>0.9063222079260197</v>
      </c>
    </row>
    <row r="49" spans="1:9" ht="16.5" x14ac:dyDescent="0.2">
      <c r="A49" s="195" t="s">
        <v>1044</v>
      </c>
      <c r="B49" s="195"/>
      <c r="C49" s="195"/>
      <c r="D49" s="91">
        <f>SUM(D50:D52)</f>
        <v>13566355</v>
      </c>
      <c r="E49" s="91">
        <f t="shared" ref="E49:H49" si="4">SUM(E50:E52)</f>
        <v>13127437.780000001</v>
      </c>
      <c r="F49" s="91">
        <f t="shared" si="4"/>
        <v>438917.22000000003</v>
      </c>
      <c r="G49" s="91">
        <f t="shared" si="4"/>
        <v>5841805.1300000018</v>
      </c>
      <c r="H49" s="91">
        <f t="shared" si="4"/>
        <v>7724549.870000001</v>
      </c>
      <c r="I49" s="92">
        <f>G49/D49</f>
        <v>0.43060977911900444</v>
      </c>
    </row>
    <row r="50" spans="1:9" ht="89.25" x14ac:dyDescent="0.2">
      <c r="A50" s="93">
        <f>SUBTOTAL(103,$B$10:B50)</f>
        <v>35</v>
      </c>
      <c r="B50" s="110">
        <v>3</v>
      </c>
      <c r="C50" s="128" t="s">
        <v>794</v>
      </c>
      <c r="D50" s="101">
        <f>'Gerencias y Oficinas'!D276</f>
        <v>6785637</v>
      </c>
      <c r="E50" s="101">
        <f>'Gerencias y Oficinas'!E276</f>
        <v>6674549.6900000004</v>
      </c>
      <c r="F50" s="101">
        <f>'Gerencias y Oficinas'!F276</f>
        <v>111087.31</v>
      </c>
      <c r="G50" s="101">
        <f>'Gerencias y Oficinas'!G276</f>
        <v>5710969.1800000016</v>
      </c>
      <c r="H50" s="101">
        <f>'Gerencias y Oficinas'!H276</f>
        <v>1074667.82</v>
      </c>
      <c r="I50" s="107">
        <f>G50/D50</f>
        <v>0.84162609641511943</v>
      </c>
    </row>
    <row r="51" spans="1:9" ht="63.75" x14ac:dyDescent="0.2">
      <c r="A51" s="93">
        <f>SUBTOTAL(103,$B$10:B51)</f>
        <v>36</v>
      </c>
      <c r="B51" s="110">
        <v>286</v>
      </c>
      <c r="C51" s="128" t="s">
        <v>804</v>
      </c>
      <c r="D51" s="101">
        <f>'Gerencias y Oficinas'!D277</f>
        <v>6755108</v>
      </c>
      <c r="E51" s="101">
        <f>'Gerencias y Oficinas'!E277</f>
        <v>6452888.0899999999</v>
      </c>
      <c r="F51" s="101">
        <f>'Gerencias y Oficinas'!F277</f>
        <v>302219.91000000003</v>
      </c>
      <c r="G51" s="101">
        <f>'Gerencias y Oficinas'!G277</f>
        <v>130835.95000000001</v>
      </c>
      <c r="H51" s="101">
        <f>'Gerencias y Oficinas'!H277</f>
        <v>6624272.0500000007</v>
      </c>
      <c r="I51" s="107">
        <f>G51/D51</f>
        <v>1.9368446810917015E-2</v>
      </c>
    </row>
    <row r="52" spans="1:9" ht="76.5" x14ac:dyDescent="0.2">
      <c r="A52" s="93">
        <f>SUBTOTAL(103,$B$10:B52)</f>
        <v>37</v>
      </c>
      <c r="B52" s="110">
        <v>524</v>
      </c>
      <c r="C52" s="128" t="s">
        <v>2464</v>
      </c>
      <c r="D52" s="101">
        <f>'Gerencias y Oficinas'!D261</f>
        <v>25610</v>
      </c>
      <c r="E52" s="101">
        <f>'Gerencias y Oficinas'!E261</f>
        <v>0</v>
      </c>
      <c r="F52" s="101">
        <f>'Gerencias y Oficinas'!F261</f>
        <v>25610</v>
      </c>
      <c r="G52" s="101">
        <f>'Gerencias y Oficinas'!G261</f>
        <v>0</v>
      </c>
      <c r="H52" s="101">
        <f>'Gerencias y Oficinas'!H261</f>
        <v>25610</v>
      </c>
      <c r="I52" s="107">
        <f>G52/D52</f>
        <v>0</v>
      </c>
    </row>
    <row r="53" spans="1:9" ht="16.5" hidden="1" x14ac:dyDescent="0.2">
      <c r="A53" s="195" t="s">
        <v>1047</v>
      </c>
      <c r="B53" s="195"/>
      <c r="C53" s="195"/>
      <c r="D53" s="91">
        <f>SUM(D54)</f>
        <v>0</v>
      </c>
      <c r="E53" s="91">
        <f t="shared" ref="E53:H53" si="5">SUM(E54)</f>
        <v>0</v>
      </c>
      <c r="F53" s="91">
        <f t="shared" si="5"/>
        <v>0</v>
      </c>
      <c r="G53" s="91">
        <f t="shared" si="5"/>
        <v>0</v>
      </c>
      <c r="H53" s="91">
        <f t="shared" si="5"/>
        <v>0</v>
      </c>
      <c r="I53" s="92" t="e">
        <f t="shared" si="2"/>
        <v>#DIV/0!</v>
      </c>
    </row>
    <row r="54" spans="1:9" ht="127.5" hidden="1" x14ac:dyDescent="0.2">
      <c r="A54" s="93">
        <f>SUBTOTAL(103,$B$10:B54)</f>
        <v>37</v>
      </c>
      <c r="B54" s="110">
        <v>266</v>
      </c>
      <c r="C54" s="128" t="s">
        <v>330</v>
      </c>
      <c r="D54" s="101">
        <f>'Gerencias y Oficinas'!D279</f>
        <v>0</v>
      </c>
      <c r="E54" s="101">
        <f>'Gerencias y Oficinas'!E279</f>
        <v>0</v>
      </c>
      <c r="F54" s="101">
        <f>'Gerencias y Oficinas'!F279</f>
        <v>0</v>
      </c>
      <c r="G54" s="101">
        <f>'Gerencias y Oficinas'!G279</f>
        <v>0</v>
      </c>
      <c r="H54" s="101">
        <f>'Gerencias y Oficinas'!H279</f>
        <v>0</v>
      </c>
      <c r="I54" s="107" t="e">
        <f t="shared" si="2"/>
        <v>#DIV/0!</v>
      </c>
    </row>
    <row r="55" spans="1:9" hidden="1" x14ac:dyDescent="0.2">
      <c r="A55" s="172"/>
      <c r="B55" s="173"/>
      <c r="C55" s="174"/>
      <c r="D55" s="175"/>
      <c r="E55" s="175"/>
      <c r="F55" s="175"/>
      <c r="G55" s="175"/>
      <c r="H55" s="175"/>
      <c r="I55" s="176"/>
    </row>
    <row r="56" spans="1:9" ht="16.5" x14ac:dyDescent="0.2">
      <c r="A56" s="239" t="s">
        <v>2470</v>
      </c>
      <c r="B56" s="240"/>
      <c r="C56" s="240"/>
      <c r="D56" s="140">
        <f>+D6</f>
        <v>76143422</v>
      </c>
      <c r="E56" s="141">
        <f t="shared" ref="E56:H56" si="6">+E6</f>
        <v>66165120.260000005</v>
      </c>
      <c r="F56" s="141">
        <f t="shared" si="6"/>
        <v>9978301.7399999984</v>
      </c>
      <c r="G56" s="138">
        <f t="shared" si="6"/>
        <v>21798441.920000002</v>
      </c>
      <c r="H56" s="140">
        <f t="shared" si="6"/>
        <v>54344980.079999998</v>
      </c>
      <c r="I56" s="139">
        <f t="shared" si="2"/>
        <v>0.28628135362763185</v>
      </c>
    </row>
  </sheetData>
  <mergeCells count="17">
    <mergeCell ref="A1:I1"/>
    <mergeCell ref="A2:I2"/>
    <mergeCell ref="A4:A5"/>
    <mergeCell ref="B4:B5"/>
    <mergeCell ref="C4:C5"/>
    <mergeCell ref="D4:D5"/>
    <mergeCell ref="E4:E5"/>
    <mergeCell ref="F4:F5"/>
    <mergeCell ref="G4:G5"/>
    <mergeCell ref="H4:H5"/>
    <mergeCell ref="A56:C56"/>
    <mergeCell ref="I4:I5"/>
    <mergeCell ref="A6:C6"/>
    <mergeCell ref="A9:C9"/>
    <mergeCell ref="A36:C36"/>
    <mergeCell ref="A49:C49"/>
    <mergeCell ref="A53:C53"/>
  </mergeCells>
  <pageMargins left="0.70866141732283472" right="0.70866141732283472" top="0.74803149606299213" bottom="0.74803149606299213" header="0.31496062992125984" footer="0.31496062992125984"/>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220C-5B8F-4233-8851-F5746DA0CB0E}">
  <sheetPr codeName="Hoja10"/>
  <dimension ref="A1:I18"/>
  <sheetViews>
    <sheetView zoomScaleNormal="100" workbookViewId="0">
      <selection activeCell="A18" sqref="A18:I18"/>
    </sheetView>
  </sheetViews>
  <sheetFormatPr baseColWidth="10" defaultRowHeight="12.75" x14ac:dyDescent="0.2"/>
  <cols>
    <col min="1" max="1" width="5.140625" bestFit="1" customWidth="1"/>
    <col min="2" max="2" width="6.28515625" bestFit="1" customWidth="1"/>
    <col min="3" max="3" width="26" customWidth="1"/>
    <col min="4" max="8" width="15.5703125" customWidth="1"/>
    <col min="9" max="9" width="8.7109375" customWidth="1"/>
  </cols>
  <sheetData>
    <row r="1" spans="1:9" ht="18" x14ac:dyDescent="0.2">
      <c r="A1" s="232" t="s">
        <v>2477</v>
      </c>
      <c r="B1" s="232"/>
      <c r="C1" s="232"/>
      <c r="D1" s="232"/>
      <c r="E1" s="232"/>
      <c r="F1" s="232"/>
      <c r="G1" s="232"/>
      <c r="H1" s="232"/>
      <c r="I1" s="232"/>
    </row>
    <row r="2" spans="1:9" ht="55.5" customHeight="1" x14ac:dyDescent="0.25">
      <c r="A2" s="204" t="s">
        <v>2499</v>
      </c>
      <c r="B2" s="204"/>
      <c r="C2" s="204"/>
      <c r="D2" s="204"/>
      <c r="E2" s="204"/>
      <c r="F2" s="204"/>
      <c r="G2" s="204"/>
      <c r="H2" s="204"/>
      <c r="I2" s="204"/>
    </row>
    <row r="3" spans="1:9" ht="18" x14ac:dyDescent="0.25">
      <c r="A3" s="1"/>
      <c r="B3" s="4"/>
      <c r="C3" s="13"/>
      <c r="D3" s="2"/>
      <c r="E3" s="2"/>
      <c r="F3" s="2"/>
      <c r="I3" s="25"/>
    </row>
    <row r="4" spans="1:9" ht="18.75" customHeight="1" x14ac:dyDescent="0.2">
      <c r="A4" s="235" t="s">
        <v>3</v>
      </c>
      <c r="B4" s="254" t="s">
        <v>400</v>
      </c>
      <c r="C4" s="254" t="s">
        <v>0</v>
      </c>
      <c r="D4" s="256" t="s">
        <v>1076</v>
      </c>
      <c r="E4" s="258" t="s">
        <v>2479</v>
      </c>
      <c r="F4" s="250" t="s">
        <v>1081</v>
      </c>
      <c r="G4" s="260" t="s">
        <v>1078</v>
      </c>
      <c r="H4" s="254" t="s">
        <v>1082</v>
      </c>
      <c r="I4" s="244" t="s">
        <v>218</v>
      </c>
    </row>
    <row r="5" spans="1:9" ht="18.75" customHeight="1" x14ac:dyDescent="0.2">
      <c r="A5" s="236"/>
      <c r="B5" s="255"/>
      <c r="C5" s="255"/>
      <c r="D5" s="257"/>
      <c r="E5" s="259"/>
      <c r="F5" s="251"/>
      <c r="G5" s="261"/>
      <c r="H5" s="255"/>
      <c r="I5" s="245"/>
    </row>
    <row r="6" spans="1:9" ht="16.5" x14ac:dyDescent="0.2">
      <c r="A6" s="219" t="s">
        <v>23</v>
      </c>
      <c r="B6" s="220"/>
      <c r="C6" s="221"/>
      <c r="D6" s="108">
        <f>SUM(D7:D17)</f>
        <v>9517459</v>
      </c>
      <c r="E6" s="108">
        <f t="shared" ref="E6:H6" si="0">SUM(E7:E17)</f>
        <v>5236685.9099999992</v>
      </c>
      <c r="F6" s="108">
        <f t="shared" si="0"/>
        <v>4280773.0900000008</v>
      </c>
      <c r="G6" s="108">
        <f t="shared" si="0"/>
        <v>4762417.7300000004</v>
      </c>
      <c r="H6" s="108">
        <f t="shared" si="0"/>
        <v>4755041.2700000005</v>
      </c>
      <c r="I6" s="109">
        <f>G6/D6</f>
        <v>0.50038752255197527</v>
      </c>
    </row>
    <row r="7" spans="1:9" ht="51.75" hidden="1" x14ac:dyDescent="0.2">
      <c r="A7" s="5">
        <v>291</v>
      </c>
      <c r="B7" s="7"/>
      <c r="C7" s="8" t="s">
        <v>46</v>
      </c>
      <c r="D7" s="11"/>
      <c r="E7" s="11"/>
      <c r="F7" s="11">
        <f>D7-E7</f>
        <v>0</v>
      </c>
      <c r="G7" s="11"/>
      <c r="H7" s="11">
        <f>D7-G7</f>
        <v>0</v>
      </c>
      <c r="I7" s="19" t="e">
        <f t="shared" ref="I7:I16" si="1">G7/D7</f>
        <v>#DIV/0!</v>
      </c>
    </row>
    <row r="8" spans="1:9" ht="25.5" x14ac:dyDescent="0.2">
      <c r="A8" s="93">
        <f>SUBTOTAL(103,$B$8:B8)</f>
        <v>1</v>
      </c>
      <c r="B8" s="117">
        <v>213</v>
      </c>
      <c r="C8" s="128" t="s">
        <v>134</v>
      </c>
      <c r="D8" s="118">
        <f>'Gerencias y Oficinas'!D302</f>
        <v>1731459</v>
      </c>
      <c r="E8" s="118">
        <f>'Gerencias y Oficinas'!E302</f>
        <v>0</v>
      </c>
      <c r="F8" s="118">
        <f>'Gerencias y Oficinas'!F302</f>
        <v>1731459</v>
      </c>
      <c r="G8" s="118">
        <f>'Gerencias y Oficinas'!G302</f>
        <v>0</v>
      </c>
      <c r="H8" s="118">
        <f>'Gerencias y Oficinas'!H302</f>
        <v>1731459</v>
      </c>
      <c r="I8" s="119">
        <f t="shared" si="1"/>
        <v>0</v>
      </c>
    </row>
    <row r="9" spans="1:9" ht="25.5" x14ac:dyDescent="0.2">
      <c r="A9" s="93">
        <f>SUBTOTAL(103,$B$8:B9)</f>
        <v>2</v>
      </c>
      <c r="B9" s="117">
        <v>214</v>
      </c>
      <c r="C9" s="128" t="s">
        <v>134</v>
      </c>
      <c r="D9" s="118">
        <f>'Gerencias y Oficinas'!D303</f>
        <v>1367094</v>
      </c>
      <c r="E9" s="118">
        <f>'Gerencias y Oficinas'!E303</f>
        <v>0</v>
      </c>
      <c r="F9" s="118">
        <f>'Gerencias y Oficinas'!F303</f>
        <v>1367094</v>
      </c>
      <c r="G9" s="118">
        <f>'Gerencias y Oficinas'!G303</f>
        <v>0</v>
      </c>
      <c r="H9" s="118">
        <f>'Gerencias y Oficinas'!H303</f>
        <v>1367094</v>
      </c>
      <c r="I9" s="119">
        <f t="shared" si="1"/>
        <v>0</v>
      </c>
    </row>
    <row r="10" spans="1:9" ht="25.5" hidden="1" x14ac:dyDescent="0.2">
      <c r="A10" s="93">
        <f>SUBTOTAL(103,$B$8:B10)</f>
        <v>2</v>
      </c>
      <c r="B10" s="117">
        <v>215</v>
      </c>
      <c r="C10" s="128" t="s">
        <v>134</v>
      </c>
      <c r="D10" s="118">
        <f>'Gerencias y Oficinas'!D304</f>
        <v>0</v>
      </c>
      <c r="E10" s="118">
        <f>'Gerencias y Oficinas'!E304</f>
        <v>0</v>
      </c>
      <c r="F10" s="118">
        <f>'Gerencias y Oficinas'!F304</f>
        <v>0</v>
      </c>
      <c r="G10" s="118">
        <f>'Gerencias y Oficinas'!G304</f>
        <v>0</v>
      </c>
      <c r="H10" s="118">
        <f>'Gerencias y Oficinas'!H304</f>
        <v>0</v>
      </c>
      <c r="I10" s="119" t="e">
        <f t="shared" si="1"/>
        <v>#DIV/0!</v>
      </c>
    </row>
    <row r="11" spans="1:9" ht="25.5" x14ac:dyDescent="0.2">
      <c r="A11" s="93">
        <f>SUBTOTAL(103,$B$8:B11)</f>
        <v>3</v>
      </c>
      <c r="B11" s="117">
        <v>428</v>
      </c>
      <c r="C11" s="128" t="s">
        <v>134</v>
      </c>
      <c r="D11" s="118">
        <f>'Gerencias y Oficinas'!D305</f>
        <v>1185238</v>
      </c>
      <c r="E11" s="118">
        <f>'Gerencias y Oficinas'!E305</f>
        <v>895458.81</v>
      </c>
      <c r="F11" s="118">
        <f>'Gerencias y Oficinas'!F305</f>
        <v>289779.18999999994</v>
      </c>
      <c r="G11" s="118">
        <f>'Gerencias y Oficinas'!G305</f>
        <v>848303.96000000008</v>
      </c>
      <c r="H11" s="118">
        <f>'Gerencias y Oficinas'!H305</f>
        <v>336934.03999999992</v>
      </c>
      <c r="I11" s="119">
        <f t="shared" si="1"/>
        <v>0.71572457177377036</v>
      </c>
    </row>
    <row r="12" spans="1:9" ht="25.5" x14ac:dyDescent="0.2">
      <c r="A12" s="93">
        <f>SUBTOTAL(103,$B$8:B12)</f>
        <v>4</v>
      </c>
      <c r="B12" s="117">
        <v>429</v>
      </c>
      <c r="C12" s="128" t="s">
        <v>134</v>
      </c>
      <c r="D12" s="118">
        <f>'Gerencias y Oficinas'!D306</f>
        <v>303086</v>
      </c>
      <c r="E12" s="118">
        <f>'Gerencias y Oficinas'!E306</f>
        <v>276239.45</v>
      </c>
      <c r="F12" s="118">
        <f>'Gerencias y Oficinas'!F306</f>
        <v>26846.549999999988</v>
      </c>
      <c r="G12" s="118">
        <f>'Gerencias y Oficinas'!G306</f>
        <v>275941.00000000006</v>
      </c>
      <c r="H12" s="118">
        <f>'Gerencias y Oficinas'!H306</f>
        <v>27144.999999999942</v>
      </c>
      <c r="I12" s="119">
        <f t="shared" si="1"/>
        <v>0.91043796150267597</v>
      </c>
    </row>
    <row r="13" spans="1:9" ht="25.5" x14ac:dyDescent="0.2">
      <c r="A13" s="93">
        <f>SUBTOTAL(103,$B$8:B13)</f>
        <v>5</v>
      </c>
      <c r="B13" s="117">
        <v>430</v>
      </c>
      <c r="C13" s="128" t="s">
        <v>134</v>
      </c>
      <c r="D13" s="118">
        <f>'Gerencias y Oficinas'!D307</f>
        <v>1627635</v>
      </c>
      <c r="E13" s="118">
        <f>'Gerencias y Oficinas'!E307</f>
        <v>1273793.6299999999</v>
      </c>
      <c r="F13" s="118">
        <f>'Gerencias y Oficinas'!F307</f>
        <v>353841.37000000011</v>
      </c>
      <c r="G13" s="118">
        <f>'Gerencias y Oficinas'!G307</f>
        <v>1205599.73</v>
      </c>
      <c r="H13" s="118">
        <f>'Gerencias y Oficinas'!H307</f>
        <v>422035.27</v>
      </c>
      <c r="I13" s="119">
        <f t="shared" si="1"/>
        <v>0.74070644216915948</v>
      </c>
    </row>
    <row r="14" spans="1:9" ht="25.5" x14ac:dyDescent="0.2">
      <c r="A14" s="93">
        <f>SUBTOTAL(103,$B$8:B14)</f>
        <v>6</v>
      </c>
      <c r="B14" s="117">
        <v>431</v>
      </c>
      <c r="C14" s="129" t="s">
        <v>134</v>
      </c>
      <c r="D14" s="118">
        <f>'Gerencias y Oficinas'!D308</f>
        <v>1116717</v>
      </c>
      <c r="E14" s="118">
        <f>'Gerencias y Oficinas'!E308</f>
        <v>836728.57000000007</v>
      </c>
      <c r="F14" s="118">
        <f>'Gerencias y Oficinas'!F308</f>
        <v>279988.42999999993</v>
      </c>
      <c r="G14" s="118">
        <f>'Gerencias y Oficinas'!G308</f>
        <v>803787.89</v>
      </c>
      <c r="H14" s="118">
        <f>'Gerencias y Oficinas'!H308</f>
        <v>312929.11</v>
      </c>
      <c r="I14" s="119">
        <f t="shared" si="1"/>
        <v>0.71977760703920513</v>
      </c>
    </row>
    <row r="15" spans="1:9" ht="25.5" x14ac:dyDescent="0.2">
      <c r="A15" s="93">
        <f>SUBTOTAL(103,$B$8:B15)</f>
        <v>7</v>
      </c>
      <c r="B15" s="117">
        <v>432</v>
      </c>
      <c r="C15" s="128" t="s">
        <v>134</v>
      </c>
      <c r="D15" s="118">
        <f>'Gerencias y Oficinas'!D309</f>
        <v>1333400</v>
      </c>
      <c r="E15" s="118">
        <f>'Gerencias y Oficinas'!E309</f>
        <v>1175768.47</v>
      </c>
      <c r="F15" s="118">
        <f>'Gerencias y Oficinas'!F309</f>
        <v>157631.53000000003</v>
      </c>
      <c r="G15" s="118">
        <f>'Gerencias y Oficinas'!G309</f>
        <v>1143663.05</v>
      </c>
      <c r="H15" s="118">
        <f>'Gerencias y Oficinas'!H309</f>
        <v>189736.94999999995</v>
      </c>
      <c r="I15" s="119">
        <f t="shared" si="1"/>
        <v>0.85770440227988609</v>
      </c>
    </row>
    <row r="16" spans="1:9" ht="25.5" x14ac:dyDescent="0.2">
      <c r="A16" s="93">
        <f>SUBTOTAL(103,$B$8:B16)</f>
        <v>8</v>
      </c>
      <c r="B16" s="117">
        <v>436</v>
      </c>
      <c r="C16" s="128" t="s">
        <v>134</v>
      </c>
      <c r="D16" s="118">
        <f>'Gerencias y Oficinas'!D310</f>
        <v>768405</v>
      </c>
      <c r="E16" s="118">
        <f>'Gerencias y Oficinas'!E310</f>
        <v>699477.1</v>
      </c>
      <c r="F16" s="118">
        <f>'Gerencias y Oficinas'!F310</f>
        <v>68927.900000000023</v>
      </c>
      <c r="G16" s="118">
        <f>'Gerencias y Oficinas'!G310</f>
        <v>405902.22</v>
      </c>
      <c r="H16" s="118">
        <f>'Gerencias y Oficinas'!H310</f>
        <v>362502.78</v>
      </c>
      <c r="I16" s="119">
        <f t="shared" si="1"/>
        <v>0.52823995158802972</v>
      </c>
    </row>
    <row r="17" spans="1:9" ht="25.5" x14ac:dyDescent="0.2">
      <c r="A17" s="93">
        <f>SUBTOTAL(103,$B$8:B17)</f>
        <v>9</v>
      </c>
      <c r="B17" s="117">
        <v>481</v>
      </c>
      <c r="C17" s="128" t="s">
        <v>134</v>
      </c>
      <c r="D17" s="118">
        <f>'Gerencias y Oficinas'!D311</f>
        <v>84425</v>
      </c>
      <c r="E17" s="118">
        <f>'Gerencias y Oficinas'!E311</f>
        <v>79219.88</v>
      </c>
      <c r="F17" s="118">
        <f>'Gerencias y Oficinas'!F311</f>
        <v>5205.1199999999953</v>
      </c>
      <c r="G17" s="118">
        <f>'Gerencias y Oficinas'!G311</f>
        <v>79219.88</v>
      </c>
      <c r="H17" s="118">
        <f>'Gerencias y Oficinas'!H311</f>
        <v>5205.1199999999953</v>
      </c>
      <c r="I17" s="119">
        <f>G17/D17</f>
        <v>0.9383462244595796</v>
      </c>
    </row>
    <row r="18" spans="1:9" ht="16.5" x14ac:dyDescent="0.2">
      <c r="A18" s="239" t="s">
        <v>2471</v>
      </c>
      <c r="B18" s="240"/>
      <c r="C18" s="240"/>
      <c r="D18" s="137">
        <f>+D6</f>
        <v>9517459</v>
      </c>
      <c r="E18" s="136">
        <f t="shared" ref="E18:H18" si="2">+E6</f>
        <v>5236685.9099999992</v>
      </c>
      <c r="F18" s="138">
        <f t="shared" si="2"/>
        <v>4280773.0900000008</v>
      </c>
      <c r="G18" s="137">
        <f t="shared" si="2"/>
        <v>4762417.7300000004</v>
      </c>
      <c r="H18" s="136">
        <f t="shared" si="2"/>
        <v>4755041.2700000005</v>
      </c>
      <c r="I18" s="135">
        <f t="shared" ref="I18" si="3">G18/D18</f>
        <v>0.50038752255197527</v>
      </c>
    </row>
  </sheetData>
  <mergeCells count="13">
    <mergeCell ref="I4:I5"/>
    <mergeCell ref="A6:C6"/>
    <mergeCell ref="A18:C18"/>
    <mergeCell ref="A1:I1"/>
    <mergeCell ref="A2:I2"/>
    <mergeCell ref="A4:A5"/>
    <mergeCell ref="B4:B5"/>
    <mergeCell ref="C4:C5"/>
    <mergeCell ref="D4:D5"/>
    <mergeCell ref="E4:E5"/>
    <mergeCell ref="F4:F5"/>
    <mergeCell ref="G4:G5"/>
    <mergeCell ref="H4:H5"/>
  </mergeCells>
  <pageMargins left="0.70866141732283472" right="0.70866141732283472" top="0.74803149606299213" bottom="0.74803149606299213" header="0.31496062992125984" footer="0.31496062992125984"/>
  <pageSetup paperSize="9" scale="7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DF9BF-3515-455A-9768-6B753AB4772A}">
  <sheetPr codeName="Hoja11"/>
  <dimension ref="A1:L15"/>
  <sheetViews>
    <sheetView zoomScaleNormal="100" workbookViewId="0">
      <selection sqref="A1:L15"/>
    </sheetView>
  </sheetViews>
  <sheetFormatPr baseColWidth="10" defaultRowHeight="12.75" x14ac:dyDescent="0.2"/>
  <cols>
    <col min="1" max="1" width="3.42578125" customWidth="1"/>
    <col min="4" max="4" width="8" customWidth="1"/>
    <col min="5" max="5" width="14" bestFit="1" customWidth="1"/>
    <col min="6" max="6" width="15.7109375" customWidth="1"/>
    <col min="7" max="7" width="13.140625" customWidth="1"/>
    <col min="8" max="8" width="13.5703125" customWidth="1"/>
    <col min="9" max="9" width="13.85546875" customWidth="1"/>
    <col min="10" max="10" width="8.28515625" customWidth="1"/>
    <col min="11" max="11" width="13" customWidth="1"/>
  </cols>
  <sheetData>
    <row r="1" spans="1:12" ht="18" x14ac:dyDescent="0.2">
      <c r="A1" s="232"/>
      <c r="B1" s="232"/>
      <c r="C1" s="232"/>
      <c r="D1" s="232"/>
      <c r="E1" s="232"/>
      <c r="F1" s="232"/>
      <c r="G1" s="232"/>
      <c r="H1" s="232"/>
      <c r="I1" s="232"/>
      <c r="J1" s="232"/>
      <c r="K1" s="232"/>
      <c r="L1" s="232"/>
    </row>
    <row r="2" spans="1:12" ht="18" x14ac:dyDescent="0.2">
      <c r="A2" s="232" t="s">
        <v>2493</v>
      </c>
      <c r="B2" s="232"/>
      <c r="C2" s="232"/>
      <c r="D2" s="232"/>
      <c r="E2" s="232"/>
      <c r="F2" s="232"/>
      <c r="G2" s="232"/>
      <c r="H2" s="232"/>
      <c r="I2" s="232"/>
      <c r="J2" s="232"/>
      <c r="K2" s="232"/>
      <c r="L2" s="232"/>
    </row>
    <row r="3" spans="1:12" ht="42" customHeight="1" x14ac:dyDescent="0.25">
      <c r="A3" s="204" t="s">
        <v>2492</v>
      </c>
      <c r="B3" s="204"/>
      <c r="C3" s="204"/>
      <c r="D3" s="204"/>
      <c r="E3" s="204"/>
      <c r="F3" s="204"/>
      <c r="G3" s="204"/>
      <c r="H3" s="204"/>
      <c r="I3" s="204"/>
      <c r="J3" s="204"/>
      <c r="K3" s="204"/>
      <c r="L3" s="204"/>
    </row>
    <row r="4" spans="1:12" ht="18" x14ac:dyDescent="0.25">
      <c r="A4" s="1"/>
      <c r="B4" s="4"/>
      <c r="C4" s="4"/>
      <c r="D4" s="13"/>
      <c r="E4" s="2"/>
      <c r="F4" s="2"/>
      <c r="G4" s="2"/>
      <c r="J4" s="146"/>
    </row>
    <row r="5" spans="1:12" ht="18.75" thickBot="1" x14ac:dyDescent="0.25">
      <c r="A5" s="147" t="s">
        <v>2481</v>
      </c>
      <c r="B5" s="4"/>
      <c r="C5" s="4"/>
      <c r="D5" s="13"/>
      <c r="E5" s="2"/>
      <c r="F5" s="2"/>
      <c r="G5" s="2"/>
      <c r="L5" s="151" t="s">
        <v>2500</v>
      </c>
    </row>
    <row r="6" spans="1:12" ht="29.25" customHeight="1" x14ac:dyDescent="0.2">
      <c r="A6" s="274" t="s">
        <v>3</v>
      </c>
      <c r="B6" s="271" t="s">
        <v>2480</v>
      </c>
      <c r="C6" s="271"/>
      <c r="D6" s="271"/>
      <c r="E6" s="271" t="s">
        <v>1076</v>
      </c>
      <c r="F6" s="271" t="s">
        <v>2479</v>
      </c>
      <c r="G6" s="271" t="s">
        <v>1081</v>
      </c>
      <c r="H6" s="271" t="s">
        <v>1078</v>
      </c>
      <c r="I6" s="271" t="s">
        <v>1082</v>
      </c>
      <c r="J6" s="268" t="s">
        <v>2490</v>
      </c>
      <c r="K6" s="266" t="s">
        <v>2491</v>
      </c>
      <c r="L6" s="266" t="s">
        <v>2494</v>
      </c>
    </row>
    <row r="7" spans="1:12" ht="29.25" customHeight="1" thickBot="1" x14ac:dyDescent="0.25">
      <c r="A7" s="275"/>
      <c r="B7" s="272"/>
      <c r="C7" s="272"/>
      <c r="D7" s="272"/>
      <c r="E7" s="272"/>
      <c r="F7" s="272"/>
      <c r="G7" s="272"/>
      <c r="H7" s="272"/>
      <c r="I7" s="272"/>
      <c r="J7" s="269"/>
      <c r="K7" s="267"/>
      <c r="L7" s="267"/>
    </row>
    <row r="8" spans="1:12" ht="16.5" x14ac:dyDescent="0.2">
      <c r="A8" s="158">
        <v>1</v>
      </c>
      <c r="B8" s="270" t="s">
        <v>2484</v>
      </c>
      <c r="C8" s="270"/>
      <c r="D8" s="270"/>
      <c r="E8" s="159">
        <f>'Gerencia de Infraestructura'!D905</f>
        <v>771428028</v>
      </c>
      <c r="F8" s="159">
        <f>'Gerencia de Infraestructura'!E905</f>
        <v>711583943.99999988</v>
      </c>
      <c r="G8" s="159">
        <f>'Gerencia de Infraestructura'!F905</f>
        <v>59844084</v>
      </c>
      <c r="H8" s="159">
        <f>'Gerencia de Infraestructura'!G905</f>
        <v>332452578.20999998</v>
      </c>
      <c r="I8" s="159">
        <f>'Gerencia de Infraestructura'!H905</f>
        <v>438975449.79000002</v>
      </c>
      <c r="J8" s="160">
        <f>+H8/E8</f>
        <v>0.43095734941328834</v>
      </c>
      <c r="K8" s="160">
        <f>+G8/E8</f>
        <v>7.7575719092228781E-2</v>
      </c>
      <c r="L8" s="160">
        <f>+I8/E8</f>
        <v>0.56904265058671166</v>
      </c>
    </row>
    <row r="9" spans="1:12" ht="15.75" x14ac:dyDescent="0.2">
      <c r="A9" s="149">
        <v>2</v>
      </c>
      <c r="B9" s="273" t="s">
        <v>2483</v>
      </c>
      <c r="C9" s="273"/>
      <c r="D9" s="273"/>
      <c r="E9" s="150">
        <f>GRDE!D96</f>
        <v>15438088</v>
      </c>
      <c r="F9" s="150">
        <f>GRDE!E96</f>
        <v>12241263.369999999</v>
      </c>
      <c r="G9" s="150">
        <f>GRDE!F96</f>
        <v>3196824.63</v>
      </c>
      <c r="H9" s="150">
        <f>GRDE!G96</f>
        <v>5642216.7599999998</v>
      </c>
      <c r="I9" s="150">
        <f>GRDE!H96</f>
        <v>9795871.2400000002</v>
      </c>
      <c r="J9" s="148">
        <f t="shared" ref="J9:J14" si="0">+H9/E9</f>
        <v>0.36547380478722491</v>
      </c>
      <c r="K9" s="148">
        <f t="shared" ref="K9:K14" si="1">+G9/E9</f>
        <v>0.20707387015801437</v>
      </c>
      <c r="L9" s="160">
        <f t="shared" ref="L9:L14" si="2">+I9/E9</f>
        <v>0.63452619521277509</v>
      </c>
    </row>
    <row r="10" spans="1:12" ht="16.5" x14ac:dyDescent="0.2">
      <c r="A10" s="149">
        <v>3</v>
      </c>
      <c r="B10" s="262" t="s">
        <v>2485</v>
      </c>
      <c r="C10" s="262"/>
      <c r="D10" s="262"/>
      <c r="E10" s="150">
        <f>GRRNyDA!D21</f>
        <v>18155027</v>
      </c>
      <c r="F10" s="150">
        <f>GRRNyDA!E21</f>
        <v>15547899.149999999</v>
      </c>
      <c r="G10" s="150">
        <f>GRRNyDA!F21</f>
        <v>2607127.85</v>
      </c>
      <c r="H10" s="150">
        <f>GRRNyDA!G21</f>
        <v>6390669.0199999986</v>
      </c>
      <c r="I10" s="150">
        <f>GRRNyDA!H21</f>
        <v>11764357.98</v>
      </c>
      <c r="J10" s="148">
        <f t="shared" si="0"/>
        <v>0.35200548145700905</v>
      </c>
      <c r="K10" s="148">
        <f t="shared" si="1"/>
        <v>0.14360363385854508</v>
      </c>
      <c r="L10" s="160">
        <f t="shared" si="2"/>
        <v>0.64799451854299095</v>
      </c>
    </row>
    <row r="11" spans="1:12" ht="16.5" x14ac:dyDescent="0.2">
      <c r="A11" s="149">
        <v>4</v>
      </c>
      <c r="B11" s="262" t="s">
        <v>2486</v>
      </c>
      <c r="C11" s="262"/>
      <c r="D11" s="262"/>
      <c r="E11" s="150">
        <f>PETT!D11</f>
        <v>13183082</v>
      </c>
      <c r="F11" s="150">
        <f>PETT!E11</f>
        <v>12593403.850000001</v>
      </c>
      <c r="G11" s="150">
        <f>PETT!F11</f>
        <v>589678.15</v>
      </c>
      <c r="H11" s="150">
        <f>PETT!G11</f>
        <v>3272329.21</v>
      </c>
      <c r="I11" s="150">
        <f>PETT!H11</f>
        <v>9910752.7899999991</v>
      </c>
      <c r="J11" s="148">
        <f t="shared" si="0"/>
        <v>0.24822186572153612</v>
      </c>
      <c r="K11" s="148">
        <f t="shared" si="1"/>
        <v>4.4729915963505347E-2</v>
      </c>
      <c r="L11" s="160">
        <f t="shared" si="2"/>
        <v>0.75177813427846385</v>
      </c>
    </row>
    <row r="12" spans="1:12" ht="16.5" x14ac:dyDescent="0.2">
      <c r="A12" s="149">
        <v>5</v>
      </c>
      <c r="B12" s="262" t="s">
        <v>2487</v>
      </c>
      <c r="C12" s="262"/>
      <c r="D12" s="262"/>
      <c r="E12" s="150">
        <f>PECSA!D13</f>
        <v>5603985</v>
      </c>
      <c r="F12" s="150">
        <f>PECSA!E13</f>
        <v>4939052.3800000008</v>
      </c>
      <c r="G12" s="150">
        <f>PECSA!F13</f>
        <v>664932.62</v>
      </c>
      <c r="H12" s="150">
        <f>PECSA!G13</f>
        <v>2787616.1900000004</v>
      </c>
      <c r="I12" s="150">
        <f>PECSA!H13</f>
        <v>2816368.81</v>
      </c>
      <c r="J12" s="148">
        <f t="shared" si="0"/>
        <v>0.49743462732323523</v>
      </c>
      <c r="K12" s="148">
        <f t="shared" si="1"/>
        <v>0.11865353315542422</v>
      </c>
      <c r="L12" s="160">
        <f t="shared" si="2"/>
        <v>0.50256537267676482</v>
      </c>
    </row>
    <row r="13" spans="1:12" ht="16.5" x14ac:dyDescent="0.2">
      <c r="A13" s="149">
        <v>6</v>
      </c>
      <c r="B13" s="262" t="s">
        <v>2488</v>
      </c>
      <c r="C13" s="262"/>
      <c r="D13" s="262"/>
      <c r="E13" s="150">
        <f>DS!D56</f>
        <v>76143422</v>
      </c>
      <c r="F13" s="150">
        <f>DS!E56</f>
        <v>66165120.260000005</v>
      </c>
      <c r="G13" s="150">
        <f>DS!F56</f>
        <v>9978301.7399999984</v>
      </c>
      <c r="H13" s="150">
        <f>DS!G56</f>
        <v>21798441.920000002</v>
      </c>
      <c r="I13" s="150">
        <f>DS!H56</f>
        <v>54344980.079999998</v>
      </c>
      <c r="J13" s="148">
        <f t="shared" si="0"/>
        <v>0.28628135362763185</v>
      </c>
      <c r="K13" s="148">
        <f t="shared" si="1"/>
        <v>0.13104614263330586</v>
      </c>
      <c r="L13" s="160">
        <f t="shared" si="2"/>
        <v>0.71371864637236815</v>
      </c>
    </row>
    <row r="14" spans="1:12" ht="17.25" thickBot="1" x14ac:dyDescent="0.25">
      <c r="A14" s="152">
        <v>7</v>
      </c>
      <c r="B14" s="263" t="s">
        <v>2489</v>
      </c>
      <c r="C14" s="263"/>
      <c r="D14" s="263"/>
      <c r="E14" s="153">
        <f>DEPI!D18</f>
        <v>9517459</v>
      </c>
      <c r="F14" s="153">
        <f>DEPI!E18</f>
        <v>5236685.9099999992</v>
      </c>
      <c r="G14" s="153">
        <f>DEPI!F18</f>
        <v>4280773.0900000008</v>
      </c>
      <c r="H14" s="153">
        <f>DEPI!G18</f>
        <v>4762417.7300000004</v>
      </c>
      <c r="I14" s="153">
        <f>DEPI!H18</f>
        <v>4755041.2700000005</v>
      </c>
      <c r="J14" s="154">
        <f t="shared" si="0"/>
        <v>0.50038752255197527</v>
      </c>
      <c r="K14" s="154">
        <f t="shared" si="1"/>
        <v>0.44978109073020445</v>
      </c>
      <c r="L14" s="160">
        <f t="shared" si="2"/>
        <v>0.49961247744802478</v>
      </c>
    </row>
    <row r="15" spans="1:12" ht="15.75" thickBot="1" x14ac:dyDescent="0.3">
      <c r="A15" s="264" t="s">
        <v>2482</v>
      </c>
      <c r="B15" s="265"/>
      <c r="C15" s="265"/>
      <c r="D15" s="265"/>
      <c r="E15" s="155">
        <f>+SUM(E8:E14)</f>
        <v>909469091</v>
      </c>
      <c r="F15" s="155">
        <f t="shared" ref="F15:I15" si="3">+SUM(F8:F14)</f>
        <v>828307368.91999984</v>
      </c>
      <c r="G15" s="155">
        <f t="shared" si="3"/>
        <v>81161722.079999998</v>
      </c>
      <c r="H15" s="155">
        <f t="shared" si="3"/>
        <v>377106269.03999996</v>
      </c>
      <c r="I15" s="155">
        <f t="shared" si="3"/>
        <v>532362821.96000004</v>
      </c>
      <c r="J15" s="156">
        <f>+H15/E15</f>
        <v>0.41464440383054202</v>
      </c>
      <c r="K15" s="157">
        <f>+G15/E15</f>
        <v>8.9240770118706542E-2</v>
      </c>
      <c r="L15" s="157">
        <f>+I15/E15</f>
        <v>0.58535559616945798</v>
      </c>
    </row>
  </sheetData>
  <mergeCells count="21">
    <mergeCell ref="L6:L7"/>
    <mergeCell ref="A1:L1"/>
    <mergeCell ref="A2:L2"/>
    <mergeCell ref="A3:L3"/>
    <mergeCell ref="B12:D12"/>
    <mergeCell ref="B13:D13"/>
    <mergeCell ref="B14:D14"/>
    <mergeCell ref="A15:D15"/>
    <mergeCell ref="K6:K7"/>
    <mergeCell ref="J6:J7"/>
    <mergeCell ref="B8:D8"/>
    <mergeCell ref="B6:D7"/>
    <mergeCell ref="B9:D9"/>
    <mergeCell ref="B10:D10"/>
    <mergeCell ref="B11:D11"/>
    <mergeCell ref="A6:A7"/>
    <mergeCell ref="E6:E7"/>
    <mergeCell ref="F6:F7"/>
    <mergeCell ref="G6:G7"/>
    <mergeCell ref="H6:H7"/>
    <mergeCell ref="I6:I7"/>
  </mergeCells>
  <pageMargins left="0.7" right="0.7" top="0.75" bottom="0.75" header="0.3" footer="0.3"/>
  <pageSetup paperSize="9" scale="6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F54AB-98C9-403E-90A0-3D6C527864D6}">
  <dimension ref="A1:J11"/>
  <sheetViews>
    <sheetView workbookViewId="0">
      <selection activeCell="H21" sqref="H21"/>
    </sheetView>
  </sheetViews>
  <sheetFormatPr baseColWidth="10" defaultRowHeight="12.75" x14ac:dyDescent="0.2"/>
  <cols>
    <col min="1" max="1" width="4" bestFit="1" customWidth="1"/>
    <col min="2" max="2" width="6.28515625" bestFit="1" customWidth="1"/>
    <col min="3" max="3" width="41.5703125" customWidth="1"/>
    <col min="4" max="4" width="13.42578125" customWidth="1"/>
    <col min="5" max="5" width="16.5703125" customWidth="1"/>
    <col min="7" max="7" width="13.85546875" customWidth="1"/>
    <col min="8" max="8" width="11.5703125" customWidth="1"/>
    <col min="9" max="9" width="9.28515625" customWidth="1"/>
  </cols>
  <sheetData>
    <row r="1" spans="1:10" ht="18" x14ac:dyDescent="0.2">
      <c r="A1" s="232" t="s">
        <v>2501</v>
      </c>
      <c r="B1" s="232"/>
      <c r="C1" s="232"/>
      <c r="D1" s="232"/>
      <c r="E1" s="232"/>
      <c r="F1" s="232"/>
      <c r="G1" s="232"/>
      <c r="H1" s="232"/>
      <c r="I1" s="232"/>
    </row>
    <row r="2" spans="1:10" s="177" customFormat="1" ht="45" customHeight="1" x14ac:dyDescent="0.2">
      <c r="A2" s="203" t="s">
        <v>2499</v>
      </c>
      <c r="B2" s="203"/>
      <c r="C2" s="203"/>
      <c r="D2" s="203"/>
      <c r="E2" s="203"/>
      <c r="F2" s="203"/>
      <c r="G2" s="203"/>
      <c r="H2" s="203"/>
      <c r="I2" s="203"/>
    </row>
    <row r="3" spans="1:10" ht="18.75" customHeight="1" x14ac:dyDescent="0.2">
      <c r="A3" s="235" t="s">
        <v>3</v>
      </c>
      <c r="B3" s="254" t="s">
        <v>400</v>
      </c>
      <c r="C3" s="254" t="s">
        <v>0</v>
      </c>
      <c r="D3" s="256" t="s">
        <v>1076</v>
      </c>
      <c r="E3" s="258" t="s">
        <v>2479</v>
      </c>
      <c r="F3" s="250" t="s">
        <v>1081</v>
      </c>
      <c r="G3" s="260" t="s">
        <v>1078</v>
      </c>
      <c r="H3" s="254" t="s">
        <v>1082</v>
      </c>
      <c r="I3" s="244" t="s">
        <v>218</v>
      </c>
    </row>
    <row r="4" spans="1:10" ht="18.75" customHeight="1" x14ac:dyDescent="0.2">
      <c r="A4" s="236"/>
      <c r="B4" s="255"/>
      <c r="C4" s="255"/>
      <c r="D4" s="257"/>
      <c r="E4" s="259"/>
      <c r="F4" s="251"/>
      <c r="G4" s="261"/>
      <c r="H4" s="255"/>
      <c r="I4" s="245"/>
    </row>
    <row r="5" spans="1:10" ht="16.5" x14ac:dyDescent="0.2">
      <c r="A5" s="216" t="s">
        <v>9</v>
      </c>
      <c r="B5" s="217"/>
      <c r="C5" s="218"/>
      <c r="D5" s="108">
        <f>+D6+D8</f>
        <v>2582404</v>
      </c>
      <c r="E5" s="108">
        <f t="shared" ref="E5:H5" si="0">+E6+E8</f>
        <v>1756663.49</v>
      </c>
      <c r="F5" s="108">
        <f t="shared" si="0"/>
        <v>825740.50999999989</v>
      </c>
      <c r="G5" s="108">
        <f t="shared" si="0"/>
        <v>1383526.03</v>
      </c>
      <c r="H5" s="108">
        <f t="shared" si="0"/>
        <v>1198877.97</v>
      </c>
      <c r="I5" s="109">
        <f t="shared" ref="I5" si="1">G5/D5</f>
        <v>0.5357511953977766</v>
      </c>
      <c r="J5" s="72"/>
    </row>
    <row r="6" spans="1:10" ht="16.5" x14ac:dyDescent="0.2">
      <c r="A6" s="195" t="s">
        <v>132</v>
      </c>
      <c r="B6" s="195"/>
      <c r="C6" s="195"/>
      <c r="D6" s="91">
        <f>+D7</f>
        <v>119950</v>
      </c>
      <c r="E6" s="91">
        <f>+E7</f>
        <v>116328.89</v>
      </c>
      <c r="F6" s="91">
        <f>+F7</f>
        <v>3621.1100000000006</v>
      </c>
      <c r="G6" s="91">
        <f>+G7</f>
        <v>70291.22</v>
      </c>
      <c r="H6" s="91">
        <f>+H7</f>
        <v>49658.78</v>
      </c>
      <c r="I6" s="92">
        <f t="shared" ref="I6:I11" si="2">G6/D6</f>
        <v>0.58600433513964156</v>
      </c>
      <c r="J6" s="72"/>
    </row>
    <row r="7" spans="1:10" ht="51" x14ac:dyDescent="0.2">
      <c r="A7" s="93">
        <f>SUBTOTAL(103,$B7:B$8)+287</f>
        <v>288</v>
      </c>
      <c r="B7" s="122">
        <v>1</v>
      </c>
      <c r="C7" s="128" t="s">
        <v>379</v>
      </c>
      <c r="D7" s="118">
        <f>'Gerencias y Oficinas'!D317</f>
        <v>119950</v>
      </c>
      <c r="E7" s="118">
        <f>'Gerencias y Oficinas'!E317</f>
        <v>116328.89</v>
      </c>
      <c r="F7" s="118">
        <f>'Gerencias y Oficinas'!F317</f>
        <v>3621.1100000000006</v>
      </c>
      <c r="G7" s="118">
        <f>'Gerencias y Oficinas'!G317</f>
        <v>70291.22</v>
      </c>
      <c r="H7" s="118">
        <f>'Gerencias y Oficinas'!H317</f>
        <v>49658.78</v>
      </c>
      <c r="I7" s="119">
        <f t="shared" si="2"/>
        <v>0.58600433513964156</v>
      </c>
    </row>
    <row r="8" spans="1:10" ht="16.5" x14ac:dyDescent="0.2">
      <c r="A8" s="195" t="s">
        <v>1053</v>
      </c>
      <c r="B8" s="195"/>
      <c r="C8" s="195"/>
      <c r="D8" s="91">
        <f>SUM(D9:D10)</f>
        <v>2462454</v>
      </c>
      <c r="E8" s="91">
        <f>SUM(E9:E10)</f>
        <v>1640334.6</v>
      </c>
      <c r="F8" s="91">
        <f>SUM(F9:F10)</f>
        <v>822119.39999999991</v>
      </c>
      <c r="G8" s="91">
        <f>SUM(G9:G10)</f>
        <v>1313234.81</v>
      </c>
      <c r="H8" s="91">
        <f>SUM(H9:H10)</f>
        <v>1149219.19</v>
      </c>
      <c r="I8" s="92">
        <f t="shared" si="2"/>
        <v>0.53330328607153676</v>
      </c>
    </row>
    <row r="9" spans="1:10" ht="38.25" x14ac:dyDescent="0.2">
      <c r="A9" s="93">
        <f>SUBTOTAL(103,$B$8:B9)+287</f>
        <v>288</v>
      </c>
      <c r="B9" s="122">
        <v>1</v>
      </c>
      <c r="C9" s="129" t="s">
        <v>10</v>
      </c>
      <c r="D9" s="118">
        <f>'Gerencias y Oficinas'!D319</f>
        <v>2417454</v>
      </c>
      <c r="E9" s="118">
        <f>'Gerencias y Oficinas'!E319</f>
        <v>1640334.6</v>
      </c>
      <c r="F9" s="118">
        <f>'Gerencias y Oficinas'!F319</f>
        <v>777119.39999999991</v>
      </c>
      <c r="G9" s="118">
        <f>'Gerencias y Oficinas'!G319</f>
        <v>1313234.81</v>
      </c>
      <c r="H9" s="118">
        <f>'Gerencias y Oficinas'!H319</f>
        <v>1104219.19</v>
      </c>
      <c r="I9" s="119">
        <f t="shared" si="2"/>
        <v>0.54323052682698414</v>
      </c>
    </row>
    <row r="10" spans="1:10" ht="76.5" x14ac:dyDescent="0.2">
      <c r="A10" s="93">
        <f>SUBTOTAL(103,$B$8:B10)+287</f>
        <v>289</v>
      </c>
      <c r="B10" s="122">
        <v>1</v>
      </c>
      <c r="C10" s="129" t="s">
        <v>2441</v>
      </c>
      <c r="D10" s="118">
        <f>'Gerencias y Oficinas'!D320</f>
        <v>45000</v>
      </c>
      <c r="E10" s="118">
        <f>'Gerencias y Oficinas'!E320</f>
        <v>0</v>
      </c>
      <c r="F10" s="118">
        <f>'Gerencias y Oficinas'!F320</f>
        <v>45000</v>
      </c>
      <c r="G10" s="118">
        <f>'Gerencias y Oficinas'!G320</f>
        <v>0</v>
      </c>
      <c r="H10" s="118">
        <f>'Gerencias y Oficinas'!H320</f>
        <v>45000</v>
      </c>
      <c r="I10" s="119">
        <f t="shared" si="2"/>
        <v>0</v>
      </c>
    </row>
    <row r="11" spans="1:10" ht="16.5" x14ac:dyDescent="0.2">
      <c r="A11" s="239" t="s">
        <v>2505</v>
      </c>
      <c r="B11" s="240"/>
      <c r="C11" s="240"/>
      <c r="D11" s="137">
        <f>+D5</f>
        <v>2582404</v>
      </c>
      <c r="E11" s="137">
        <f t="shared" ref="E11:H11" si="3">+E5</f>
        <v>1756663.49</v>
      </c>
      <c r="F11" s="137">
        <f t="shared" si="3"/>
        <v>825740.50999999989</v>
      </c>
      <c r="G11" s="137">
        <f t="shared" si="3"/>
        <v>1383526.03</v>
      </c>
      <c r="H11" s="137">
        <f t="shared" si="3"/>
        <v>1198877.97</v>
      </c>
      <c r="I11" s="135">
        <f t="shared" si="2"/>
        <v>0.5357511953977766</v>
      </c>
    </row>
  </sheetData>
  <mergeCells count="15">
    <mergeCell ref="A8:C8"/>
    <mergeCell ref="A11:C11"/>
    <mergeCell ref="A1:I1"/>
    <mergeCell ref="A2:I2"/>
    <mergeCell ref="A6:C6"/>
    <mergeCell ref="A3:A4"/>
    <mergeCell ref="B3:B4"/>
    <mergeCell ref="C3:C4"/>
    <mergeCell ref="D3:D4"/>
    <mergeCell ref="E3:E4"/>
    <mergeCell ref="F3:F4"/>
    <mergeCell ref="G3:G4"/>
    <mergeCell ref="H3:H4"/>
    <mergeCell ref="I3:I4"/>
    <mergeCell ref="A5:C5"/>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F0DBE-5E05-4322-9571-B594B801ABBD}">
  <dimension ref="A1:I26"/>
  <sheetViews>
    <sheetView topLeftCell="A21" workbookViewId="0">
      <selection activeCell="A26" sqref="A26:I26"/>
    </sheetView>
  </sheetViews>
  <sheetFormatPr baseColWidth="10" defaultRowHeight="12.75" x14ac:dyDescent="0.2"/>
  <cols>
    <col min="1" max="1" width="4" bestFit="1" customWidth="1"/>
    <col min="2" max="2" width="6.28515625" bestFit="1" customWidth="1"/>
    <col min="3" max="3" width="39.85546875" customWidth="1"/>
    <col min="4" max="5" width="12.7109375" customWidth="1"/>
    <col min="7" max="7" width="12.7109375" customWidth="1"/>
  </cols>
  <sheetData>
    <row r="1" spans="1:9" ht="18" x14ac:dyDescent="0.2">
      <c r="A1" s="232" t="s">
        <v>2502</v>
      </c>
      <c r="B1" s="232"/>
      <c r="C1" s="232"/>
      <c r="D1" s="232"/>
      <c r="E1" s="232"/>
      <c r="F1" s="232"/>
      <c r="G1" s="232"/>
      <c r="H1" s="232"/>
      <c r="I1" s="232"/>
    </row>
    <row r="2" spans="1:9" ht="50.25" customHeight="1" x14ac:dyDescent="0.2">
      <c r="A2" s="203" t="s">
        <v>2499</v>
      </c>
      <c r="B2" s="203"/>
      <c r="C2" s="203"/>
      <c r="D2" s="203"/>
      <c r="E2" s="203"/>
      <c r="F2" s="203"/>
      <c r="G2" s="203"/>
      <c r="H2" s="203"/>
      <c r="I2" s="203"/>
    </row>
    <row r="3" spans="1:9" ht="18.75" customHeight="1" x14ac:dyDescent="0.2">
      <c r="A3" s="235" t="s">
        <v>3</v>
      </c>
      <c r="B3" s="254" t="s">
        <v>400</v>
      </c>
      <c r="C3" s="254" t="s">
        <v>0</v>
      </c>
      <c r="D3" s="256" t="s">
        <v>1076</v>
      </c>
      <c r="E3" s="258" t="s">
        <v>2479</v>
      </c>
      <c r="F3" s="250" t="s">
        <v>1081</v>
      </c>
      <c r="G3" s="260" t="s">
        <v>1078</v>
      </c>
      <c r="H3" s="254" t="s">
        <v>1082</v>
      </c>
      <c r="I3" s="244" t="s">
        <v>218</v>
      </c>
    </row>
    <row r="4" spans="1:9" ht="18.75" customHeight="1" x14ac:dyDescent="0.2">
      <c r="A4" s="236"/>
      <c r="B4" s="255"/>
      <c r="C4" s="255"/>
      <c r="D4" s="257"/>
      <c r="E4" s="259"/>
      <c r="F4" s="251"/>
      <c r="G4" s="261"/>
      <c r="H4" s="255"/>
      <c r="I4" s="245"/>
    </row>
    <row r="5" spans="1:9" ht="16.5" x14ac:dyDescent="0.2">
      <c r="A5" s="229" t="s">
        <v>11</v>
      </c>
      <c r="B5" s="230"/>
      <c r="C5" s="231"/>
      <c r="D5" s="108">
        <f>+D6</f>
        <v>36637342</v>
      </c>
      <c r="E5" s="108">
        <f t="shared" ref="E5:H5" si="0">+E6</f>
        <v>35406978.789999999</v>
      </c>
      <c r="F5" s="108">
        <f t="shared" si="0"/>
        <v>1230363.2100000002</v>
      </c>
      <c r="G5" s="108">
        <f t="shared" si="0"/>
        <v>27410331.41</v>
      </c>
      <c r="H5" s="108">
        <f t="shared" si="0"/>
        <v>9227010.589999998</v>
      </c>
      <c r="I5" s="109">
        <f t="shared" ref="I5:I10" si="1">G5/D5</f>
        <v>0.74815283843462221</v>
      </c>
    </row>
    <row r="6" spans="1:9" ht="16.5" x14ac:dyDescent="0.2">
      <c r="A6" s="195" t="s">
        <v>1049</v>
      </c>
      <c r="B6" s="195"/>
      <c r="C6" s="195"/>
      <c r="D6" s="91">
        <f>SUM(D7:D25)</f>
        <v>36637342</v>
      </c>
      <c r="E6" s="91">
        <f t="shared" ref="E6:H6" si="2">SUM(E7:E25)</f>
        <v>35406978.789999999</v>
      </c>
      <c r="F6" s="91">
        <f t="shared" si="2"/>
        <v>1230363.2100000002</v>
      </c>
      <c r="G6" s="91">
        <f t="shared" si="2"/>
        <v>27410331.41</v>
      </c>
      <c r="H6" s="91">
        <f t="shared" si="2"/>
        <v>9227010.589999998</v>
      </c>
      <c r="I6" s="92">
        <f t="shared" si="1"/>
        <v>0.74815283843462221</v>
      </c>
    </row>
    <row r="7" spans="1:9" x14ac:dyDescent="0.2">
      <c r="A7" s="93">
        <f>SUBTOTAL(103,$B7:B$8)+287</f>
        <v>288</v>
      </c>
      <c r="B7" s="123" t="s">
        <v>406</v>
      </c>
      <c r="C7" s="128" t="s">
        <v>371</v>
      </c>
      <c r="D7" s="118">
        <f>'Gerencias y Oficinas'!D323</f>
        <v>678214</v>
      </c>
      <c r="E7" s="118">
        <f>'Gerencias y Oficinas'!E323</f>
        <v>554739.75</v>
      </c>
      <c r="F7" s="118">
        <f>'Gerencias y Oficinas'!F323</f>
        <v>123474.25</v>
      </c>
      <c r="G7" s="118">
        <f>'Gerencias y Oficinas'!G323</f>
        <v>267521.35000000003</v>
      </c>
      <c r="H7" s="118">
        <f>'Gerencias y Oficinas'!H323</f>
        <v>410692.64999999997</v>
      </c>
      <c r="I7" s="119">
        <f t="shared" si="1"/>
        <v>0.39444976069500193</v>
      </c>
    </row>
    <row r="8" spans="1:9" ht="51" hidden="1" x14ac:dyDescent="0.2">
      <c r="A8" s="93">
        <f>SUBTOTAL(103,$B$8:B8)+287</f>
        <v>287</v>
      </c>
      <c r="B8" s="123" t="s">
        <v>406</v>
      </c>
      <c r="C8" s="128" t="s">
        <v>56</v>
      </c>
      <c r="D8" s="118"/>
      <c r="E8" s="118"/>
      <c r="F8" s="118"/>
      <c r="G8" s="118"/>
      <c r="H8" s="118"/>
      <c r="I8" s="119" t="e">
        <f t="shared" si="1"/>
        <v>#DIV/0!</v>
      </c>
    </row>
    <row r="9" spans="1:9" ht="76.5" hidden="1" x14ac:dyDescent="0.2">
      <c r="A9" s="93">
        <f>SUBTOTAL(103,$B$8:B9)+287</f>
        <v>287</v>
      </c>
      <c r="B9" s="123" t="s">
        <v>406</v>
      </c>
      <c r="C9" s="128" t="s">
        <v>58</v>
      </c>
      <c r="D9" s="118"/>
      <c r="E9" s="118"/>
      <c r="F9" s="118"/>
      <c r="G9" s="118"/>
      <c r="H9" s="118"/>
      <c r="I9" s="119" t="e">
        <f t="shared" si="1"/>
        <v>#DIV/0!</v>
      </c>
    </row>
    <row r="10" spans="1:9" ht="63.75" hidden="1" x14ac:dyDescent="0.2">
      <c r="A10" s="93">
        <f>SUBTOTAL(103,$B$8:B10)+287</f>
        <v>287</v>
      </c>
      <c r="B10" s="123" t="s">
        <v>406</v>
      </c>
      <c r="C10" s="128" t="s">
        <v>47</v>
      </c>
      <c r="D10" s="118"/>
      <c r="E10" s="118"/>
      <c r="F10" s="118"/>
      <c r="G10" s="118"/>
      <c r="H10" s="118"/>
      <c r="I10" s="119" t="e">
        <f t="shared" si="1"/>
        <v>#DIV/0!</v>
      </c>
    </row>
    <row r="11" spans="1:9" ht="51" x14ac:dyDescent="0.2">
      <c r="A11" s="93">
        <f>SUBTOTAL(103,$B$8:B11)+287</f>
        <v>288</v>
      </c>
      <c r="B11" s="123" t="s">
        <v>406</v>
      </c>
      <c r="C11" s="128" t="s">
        <v>48</v>
      </c>
      <c r="D11" s="118">
        <f>'Gerencias y Oficinas'!D327</f>
        <v>34081</v>
      </c>
      <c r="E11" s="118">
        <f>'Gerencias y Oficinas'!E327</f>
        <v>33741.480000000003</v>
      </c>
      <c r="F11" s="118">
        <f>'Gerencias y Oficinas'!F327</f>
        <v>339.5199999999968</v>
      </c>
      <c r="G11" s="118">
        <f>'Gerencias y Oficinas'!G327</f>
        <v>33314.799999999996</v>
      </c>
      <c r="H11" s="118">
        <f>'Gerencias y Oficinas'!H327</f>
        <v>766.20000000000437</v>
      </c>
      <c r="I11" s="119">
        <f>G11/D11</f>
        <v>0.97751826530911634</v>
      </c>
    </row>
    <row r="12" spans="1:9" ht="51" hidden="1" x14ac:dyDescent="0.2">
      <c r="A12" s="93">
        <f>SUBTOTAL(103,$B$8:B12)+287</f>
        <v>288</v>
      </c>
      <c r="B12" s="123" t="s">
        <v>406</v>
      </c>
      <c r="C12" s="128" t="s">
        <v>12</v>
      </c>
      <c r="D12" s="118"/>
      <c r="E12" s="118"/>
      <c r="F12" s="118"/>
      <c r="G12" s="118"/>
      <c r="H12" s="118"/>
      <c r="I12" s="119"/>
    </row>
    <row r="13" spans="1:9" ht="51" hidden="1" x14ac:dyDescent="0.2">
      <c r="A13" s="93">
        <f>SUBTOTAL(103,$B$8:B13)+287</f>
        <v>288</v>
      </c>
      <c r="B13" s="123" t="s">
        <v>406</v>
      </c>
      <c r="C13" s="128" t="s">
        <v>49</v>
      </c>
      <c r="D13" s="118"/>
      <c r="E13" s="118"/>
      <c r="F13" s="118"/>
      <c r="G13" s="118"/>
      <c r="H13" s="118"/>
      <c r="I13" s="119" t="e">
        <f t="shared" ref="I13:I23" si="3">G13/D13</f>
        <v>#DIV/0!</v>
      </c>
    </row>
    <row r="14" spans="1:9" ht="51" x14ac:dyDescent="0.2">
      <c r="A14" s="93">
        <f>SUBTOTAL(103,$B$8:B14)+287</f>
        <v>289</v>
      </c>
      <c r="B14" s="123" t="s">
        <v>406</v>
      </c>
      <c r="C14" s="128" t="s">
        <v>13</v>
      </c>
      <c r="D14" s="118">
        <f>'Gerencias y Oficinas'!D330</f>
        <v>4990675</v>
      </c>
      <c r="E14" s="118">
        <f>'Gerencias y Oficinas'!E330</f>
        <v>4968620.57</v>
      </c>
      <c r="F14" s="118">
        <f>'Gerencias y Oficinas'!F330</f>
        <v>22054.429999999702</v>
      </c>
      <c r="G14" s="118">
        <f>'Gerencias y Oficinas'!G330</f>
        <v>3328854.66</v>
      </c>
      <c r="H14" s="118">
        <f>'Gerencias y Oficinas'!H330</f>
        <v>1661820.3399999999</v>
      </c>
      <c r="I14" s="119">
        <f>G14/D14</f>
        <v>0.66701491481613207</v>
      </c>
    </row>
    <row r="15" spans="1:9" ht="63.75" x14ac:dyDescent="0.2">
      <c r="A15" s="93">
        <f>SUBTOTAL(103,$B$8:B15)+287</f>
        <v>290</v>
      </c>
      <c r="B15" s="123" t="s">
        <v>406</v>
      </c>
      <c r="C15" s="128" t="s">
        <v>19</v>
      </c>
      <c r="D15" s="118">
        <f>'Gerencias y Oficinas'!D331</f>
        <v>2302588</v>
      </c>
      <c r="E15" s="118">
        <f>'Gerencias y Oficinas'!E331</f>
        <v>2230821.5100000002</v>
      </c>
      <c r="F15" s="118">
        <f>'Gerencias y Oficinas'!F331</f>
        <v>71766.489999999758</v>
      </c>
      <c r="G15" s="118">
        <f>'Gerencias y Oficinas'!G331</f>
        <v>2069034.1200000003</v>
      </c>
      <c r="H15" s="118">
        <f>'Gerencias y Oficinas'!H331</f>
        <v>233553.87999999966</v>
      </c>
      <c r="I15" s="119">
        <f t="shared" si="3"/>
        <v>0.89856896674524511</v>
      </c>
    </row>
    <row r="16" spans="1:9" ht="63.75" x14ac:dyDescent="0.2">
      <c r="A16" s="93">
        <f>SUBTOTAL(103,$B$8:B16)+287</f>
        <v>291</v>
      </c>
      <c r="B16" s="123" t="s">
        <v>406</v>
      </c>
      <c r="C16" s="128" t="s">
        <v>14</v>
      </c>
      <c r="D16" s="118">
        <f>'Gerencias y Oficinas'!D332</f>
        <v>6874937</v>
      </c>
      <c r="E16" s="118">
        <f>'Gerencias y Oficinas'!E332</f>
        <v>6395140.3299999991</v>
      </c>
      <c r="F16" s="118">
        <f>'Gerencias y Oficinas'!F332</f>
        <v>479796.67000000086</v>
      </c>
      <c r="G16" s="118">
        <f>'Gerencias y Oficinas'!G332</f>
        <v>6249139.4399999995</v>
      </c>
      <c r="H16" s="118">
        <f>'Gerencias y Oficinas'!H332</f>
        <v>625797.56000000052</v>
      </c>
      <c r="I16" s="119">
        <f t="shared" si="3"/>
        <v>0.90897406623507959</v>
      </c>
    </row>
    <row r="17" spans="1:9" ht="63.75" hidden="1" x14ac:dyDescent="0.2">
      <c r="A17" s="93">
        <f>SUBTOTAL(103,$B$8:B17)+287</f>
        <v>291</v>
      </c>
      <c r="B17" s="123" t="s">
        <v>406</v>
      </c>
      <c r="C17" s="128" t="s">
        <v>20</v>
      </c>
      <c r="D17" s="118"/>
      <c r="E17" s="118"/>
      <c r="F17" s="118"/>
      <c r="G17" s="118"/>
      <c r="H17" s="118"/>
      <c r="I17" s="119" t="e">
        <f t="shared" si="3"/>
        <v>#DIV/0!</v>
      </c>
    </row>
    <row r="18" spans="1:9" ht="63.75" x14ac:dyDescent="0.2">
      <c r="A18" s="93">
        <f>SUBTOTAL(103,$B$8:B18)+287</f>
        <v>292</v>
      </c>
      <c r="B18" s="123" t="s">
        <v>406</v>
      </c>
      <c r="C18" s="128" t="s">
        <v>21</v>
      </c>
      <c r="D18" s="118">
        <f>'Gerencias y Oficinas'!D334</f>
        <v>8164506</v>
      </c>
      <c r="E18" s="118">
        <f>'Gerencias y Oficinas'!E334</f>
        <v>8096101.1999999993</v>
      </c>
      <c r="F18" s="118">
        <f>'Gerencias y Oficinas'!F334</f>
        <v>68404.800000000745</v>
      </c>
      <c r="G18" s="118">
        <f>'Gerencias y Oficinas'!G334</f>
        <v>7138306.3300000001</v>
      </c>
      <c r="H18" s="118">
        <f>'Gerencias y Oficinas'!H334</f>
        <v>1026199.6699999999</v>
      </c>
      <c r="I18" s="124">
        <f t="shared" si="3"/>
        <v>0.87430964347383666</v>
      </c>
    </row>
    <row r="19" spans="1:9" ht="63.75" hidden="1" x14ac:dyDescent="0.2">
      <c r="A19" s="93">
        <f>SUBTOTAL(103,$B$8:B19)+287</f>
        <v>292</v>
      </c>
      <c r="B19" s="123" t="s">
        <v>406</v>
      </c>
      <c r="C19" s="128" t="s">
        <v>339</v>
      </c>
      <c r="D19" s="118">
        <f>'Gerencias y Oficinas'!D335</f>
        <v>0</v>
      </c>
      <c r="E19" s="118">
        <f>'Gerencias y Oficinas'!E335</f>
        <v>0</v>
      </c>
      <c r="F19" s="118">
        <f>'Gerencias y Oficinas'!F335</f>
        <v>0</v>
      </c>
      <c r="G19" s="118">
        <f>'Gerencias y Oficinas'!G335</f>
        <v>0</v>
      </c>
      <c r="H19" s="118">
        <f>'Gerencias y Oficinas'!H335</f>
        <v>0</v>
      </c>
      <c r="I19" s="124" t="e">
        <f t="shared" si="3"/>
        <v>#DIV/0!</v>
      </c>
    </row>
    <row r="20" spans="1:9" ht="38.25" x14ac:dyDescent="0.2">
      <c r="A20" s="93">
        <f>SUBTOTAL(103,$B$8:B20)+287</f>
        <v>293</v>
      </c>
      <c r="B20" s="123" t="s">
        <v>406</v>
      </c>
      <c r="C20" s="128" t="s">
        <v>340</v>
      </c>
      <c r="D20" s="118">
        <f>'Gerencias y Oficinas'!D336</f>
        <v>6565000</v>
      </c>
      <c r="E20" s="118">
        <f>'Gerencias y Oficinas'!E336</f>
        <v>6440621.3900000006</v>
      </c>
      <c r="F20" s="118">
        <f>'Gerencias y Oficinas'!F336</f>
        <v>124378.6099999994</v>
      </c>
      <c r="G20" s="118">
        <f>'Gerencias y Oficinas'!G336</f>
        <v>5244884.37</v>
      </c>
      <c r="H20" s="118">
        <f>'Gerencias y Oficinas'!H336</f>
        <v>1320115.6299999999</v>
      </c>
      <c r="I20" s="124">
        <f t="shared" si="3"/>
        <v>0.79891612642802745</v>
      </c>
    </row>
    <row r="21" spans="1:9" ht="63.75" x14ac:dyDescent="0.2">
      <c r="A21" s="93">
        <f>SUBTOTAL(103,$B$8:B21)+287</f>
        <v>294</v>
      </c>
      <c r="B21" s="123" t="s">
        <v>406</v>
      </c>
      <c r="C21" s="128" t="s">
        <v>791</v>
      </c>
      <c r="D21" s="118">
        <f>'Gerencias y Oficinas'!D337</f>
        <v>267289</v>
      </c>
      <c r="E21" s="118">
        <f>'Gerencias y Oficinas'!E337</f>
        <v>267284.07</v>
      </c>
      <c r="F21" s="118">
        <f>'Gerencias y Oficinas'!F337</f>
        <v>4.9299999999930151</v>
      </c>
      <c r="G21" s="118">
        <f>'Gerencias y Oficinas'!G337</f>
        <v>245284.07</v>
      </c>
      <c r="H21" s="118">
        <f>'Gerencias y Oficinas'!H337</f>
        <v>22004.929999999993</v>
      </c>
      <c r="I21" s="124">
        <f t="shared" si="3"/>
        <v>0.91767364163882537</v>
      </c>
    </row>
    <row r="22" spans="1:9" ht="51" x14ac:dyDescent="0.2">
      <c r="A22" s="93">
        <f>SUBTOTAL(103,$B$8:B22)+287</f>
        <v>295</v>
      </c>
      <c r="B22" s="123" t="s">
        <v>406</v>
      </c>
      <c r="C22" s="128" t="s">
        <v>842</v>
      </c>
      <c r="D22" s="118">
        <f>'Gerencias y Oficinas'!D338</f>
        <v>270883</v>
      </c>
      <c r="E22" s="118">
        <f>'Gerencias y Oficinas'!E338</f>
        <v>262882.90000000002</v>
      </c>
      <c r="F22" s="118">
        <f>'Gerencias y Oficinas'!F338</f>
        <v>8000.0999999999767</v>
      </c>
      <c r="G22" s="118">
        <f>'Gerencias y Oficinas'!G338</f>
        <v>262822.90000000002</v>
      </c>
      <c r="H22" s="118">
        <f>'Gerencias y Oficinas'!H338</f>
        <v>8060.0999999999767</v>
      </c>
      <c r="I22" s="124">
        <f t="shared" si="3"/>
        <v>0.97024508736244075</v>
      </c>
    </row>
    <row r="23" spans="1:9" ht="51" x14ac:dyDescent="0.2">
      <c r="A23" s="93">
        <f>SUBTOTAL(103,$B$8:B23)+287</f>
        <v>296</v>
      </c>
      <c r="B23" s="123" t="s">
        <v>406</v>
      </c>
      <c r="C23" s="128" t="s">
        <v>483</v>
      </c>
      <c r="D23" s="118">
        <f>'Gerencias y Oficinas'!D339</f>
        <v>6186530</v>
      </c>
      <c r="E23" s="118">
        <f>'Gerencias y Oficinas'!E339</f>
        <v>5855274.04</v>
      </c>
      <c r="F23" s="118">
        <f>'Gerencias y Oficinas'!F339</f>
        <v>331255.95999999996</v>
      </c>
      <c r="G23" s="118">
        <f>'Gerencias y Oficinas'!G339</f>
        <v>2386512.9900000002</v>
      </c>
      <c r="H23" s="118">
        <f>'Gerencias y Oficinas'!H339</f>
        <v>3800017.01</v>
      </c>
      <c r="I23" s="124">
        <f t="shared" si="3"/>
        <v>0.38575954371836879</v>
      </c>
    </row>
    <row r="24" spans="1:9" ht="76.5" x14ac:dyDescent="0.2">
      <c r="A24" s="93">
        <f>SUBTOTAL(103,$B$8:B24)+287</f>
        <v>297</v>
      </c>
      <c r="B24" s="123" t="s">
        <v>407</v>
      </c>
      <c r="C24" s="128" t="s">
        <v>905</v>
      </c>
      <c r="D24" s="118">
        <f>'Gerencias y Oficinas'!D340</f>
        <v>152639</v>
      </c>
      <c r="E24" s="118">
        <f>'Gerencias y Oficinas'!E340</f>
        <v>152604.54999999999</v>
      </c>
      <c r="F24" s="118">
        <f>'Gerencias y Oficinas'!F340</f>
        <v>34.450000000011642</v>
      </c>
      <c r="G24" s="118">
        <f>'Gerencias y Oficinas'!G340</f>
        <v>152604.54999999999</v>
      </c>
      <c r="H24" s="118">
        <f>'Gerencias y Oficinas'!H340</f>
        <v>34.450000000011642</v>
      </c>
      <c r="I24" s="124">
        <f>G24/D24</f>
        <v>0.99977430407693968</v>
      </c>
    </row>
    <row r="25" spans="1:9" ht="63.75" x14ac:dyDescent="0.2">
      <c r="A25" s="93">
        <f>SUBTOTAL(103,$B$8:B25)+287</f>
        <v>298</v>
      </c>
      <c r="B25" s="123" t="s">
        <v>407</v>
      </c>
      <c r="C25" s="128" t="s">
        <v>2456</v>
      </c>
      <c r="D25" s="118">
        <f>'Gerencias y Oficinas'!D341</f>
        <v>150000</v>
      </c>
      <c r="E25" s="118">
        <f>'Gerencias y Oficinas'!E341</f>
        <v>149147</v>
      </c>
      <c r="F25" s="118">
        <f>'Gerencias y Oficinas'!F341</f>
        <v>853</v>
      </c>
      <c r="G25" s="118">
        <f>'Gerencias y Oficinas'!G341</f>
        <v>32051.83</v>
      </c>
      <c r="H25" s="118">
        <f>'Gerencias y Oficinas'!H341</f>
        <v>117948.17</v>
      </c>
      <c r="I25" s="124">
        <f>G25/D25</f>
        <v>0.21367886666666669</v>
      </c>
    </row>
    <row r="26" spans="1:9" ht="16.5" x14ac:dyDescent="0.2">
      <c r="A26" s="239" t="s">
        <v>2506</v>
      </c>
      <c r="B26" s="240"/>
      <c r="C26" s="240"/>
      <c r="D26" s="137">
        <f>+D5</f>
        <v>36637342</v>
      </c>
      <c r="E26" s="137">
        <f t="shared" ref="E26:H26" si="4">+E5</f>
        <v>35406978.789999999</v>
      </c>
      <c r="F26" s="137">
        <f t="shared" si="4"/>
        <v>1230363.2100000002</v>
      </c>
      <c r="G26" s="137">
        <f t="shared" si="4"/>
        <v>27410331.41</v>
      </c>
      <c r="H26" s="137">
        <f t="shared" si="4"/>
        <v>9227010.589999998</v>
      </c>
      <c r="I26" s="135">
        <f>G26/D26</f>
        <v>0.74815283843462221</v>
      </c>
    </row>
  </sheetData>
  <mergeCells count="14">
    <mergeCell ref="A5:C5"/>
    <mergeCell ref="A6:C6"/>
    <mergeCell ref="A26:C26"/>
    <mergeCell ref="A1:I1"/>
    <mergeCell ref="A2:I2"/>
    <mergeCell ref="A3:A4"/>
    <mergeCell ref="B3:B4"/>
    <mergeCell ref="C3:C4"/>
    <mergeCell ref="D3:D4"/>
    <mergeCell ref="E3:E4"/>
    <mergeCell ref="F3:F4"/>
    <mergeCell ref="G3:G4"/>
    <mergeCell ref="H3:H4"/>
    <mergeCell ref="I3:I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6DAF1-B6EA-4132-A520-1E6E53B372B4}">
  <dimension ref="A1:I15"/>
  <sheetViews>
    <sheetView workbookViewId="0">
      <selection activeCell="A15" sqref="A15:I15"/>
    </sheetView>
  </sheetViews>
  <sheetFormatPr baseColWidth="10" defaultRowHeight="12.75" x14ac:dyDescent="0.2"/>
  <cols>
    <col min="1" max="1" width="5.140625" bestFit="1" customWidth="1"/>
    <col min="2" max="2" width="6.28515625" bestFit="1" customWidth="1"/>
    <col min="3" max="3" width="40" customWidth="1"/>
    <col min="4" max="4" width="12" customWidth="1"/>
    <col min="5" max="5" width="13.42578125" customWidth="1"/>
    <col min="7" max="7" width="12.42578125" customWidth="1"/>
    <col min="9" max="9" width="8.28515625" customWidth="1"/>
  </cols>
  <sheetData>
    <row r="1" spans="1:9" ht="18" x14ac:dyDescent="0.2">
      <c r="A1" s="232" t="s">
        <v>2503</v>
      </c>
      <c r="B1" s="232"/>
      <c r="C1" s="232"/>
      <c r="D1" s="232"/>
      <c r="E1" s="232"/>
      <c r="F1" s="232"/>
      <c r="G1" s="232"/>
      <c r="H1" s="232"/>
      <c r="I1" s="232"/>
    </row>
    <row r="2" spans="1:9" ht="55.5" customHeight="1" x14ac:dyDescent="0.2">
      <c r="A2" s="203" t="s">
        <v>2499</v>
      </c>
      <c r="B2" s="203"/>
      <c r="C2" s="203"/>
      <c r="D2" s="203"/>
      <c r="E2" s="203"/>
      <c r="F2" s="203"/>
      <c r="G2" s="203"/>
      <c r="H2" s="203"/>
      <c r="I2" s="203"/>
    </row>
    <row r="3" spans="1:9" ht="18.75" customHeight="1" x14ac:dyDescent="0.2">
      <c r="A3" s="235" t="s">
        <v>3</v>
      </c>
      <c r="B3" s="254" t="s">
        <v>400</v>
      </c>
      <c r="C3" s="254" t="s">
        <v>0</v>
      </c>
      <c r="D3" s="256" t="s">
        <v>1076</v>
      </c>
      <c r="E3" s="258" t="s">
        <v>2479</v>
      </c>
      <c r="F3" s="250" t="s">
        <v>1081</v>
      </c>
      <c r="G3" s="260" t="s">
        <v>1078</v>
      </c>
      <c r="H3" s="254" t="s">
        <v>1082</v>
      </c>
      <c r="I3" s="244" t="s">
        <v>218</v>
      </c>
    </row>
    <row r="4" spans="1:9" ht="18.75" customHeight="1" x14ac:dyDescent="0.2">
      <c r="A4" s="236"/>
      <c r="B4" s="255"/>
      <c r="C4" s="255"/>
      <c r="D4" s="257"/>
      <c r="E4" s="259"/>
      <c r="F4" s="251"/>
      <c r="G4" s="261"/>
      <c r="H4" s="255"/>
      <c r="I4" s="245"/>
    </row>
    <row r="5" spans="1:9" ht="31.5" customHeight="1" x14ac:dyDescent="0.2">
      <c r="A5" s="229" t="s">
        <v>15</v>
      </c>
      <c r="B5" s="230"/>
      <c r="C5" s="231"/>
      <c r="D5" s="108">
        <f>+D6</f>
        <v>19800761</v>
      </c>
      <c r="E5" s="108">
        <f t="shared" ref="E5:H5" si="0">+E6</f>
        <v>18684697.960000001</v>
      </c>
      <c r="F5" s="108">
        <f t="shared" si="0"/>
        <v>1116063.04</v>
      </c>
      <c r="G5" s="108">
        <f t="shared" si="0"/>
        <v>12951765.809999999</v>
      </c>
      <c r="H5" s="108">
        <f t="shared" si="0"/>
        <v>6848995.1900000013</v>
      </c>
      <c r="I5" s="109">
        <f>G5/D5</f>
        <v>0.65410444628870568</v>
      </c>
    </row>
    <row r="6" spans="1:9" ht="16.5" x14ac:dyDescent="0.2">
      <c r="A6" s="195" t="s">
        <v>1049</v>
      </c>
      <c r="B6" s="195"/>
      <c r="C6" s="195"/>
      <c r="D6" s="91">
        <f>SUM(D9:D14)</f>
        <v>19800761</v>
      </c>
      <c r="E6" s="91">
        <f t="shared" ref="E6:H6" si="1">SUM(E9:E14)</f>
        <v>18684697.960000001</v>
      </c>
      <c r="F6" s="91">
        <f t="shared" si="1"/>
        <v>1116063.04</v>
      </c>
      <c r="G6" s="91">
        <f t="shared" si="1"/>
        <v>12951765.809999999</v>
      </c>
      <c r="H6" s="91">
        <f t="shared" si="1"/>
        <v>6848995.1900000013</v>
      </c>
      <c r="I6" s="92">
        <f>G6/D6</f>
        <v>0.65410444628870568</v>
      </c>
    </row>
    <row r="7" spans="1:9" ht="18" hidden="1" x14ac:dyDescent="0.2">
      <c r="A7" s="5">
        <v>255</v>
      </c>
      <c r="B7" s="9"/>
      <c r="C7" s="8" t="s">
        <v>134</v>
      </c>
      <c r="D7" s="11"/>
      <c r="E7" s="11"/>
      <c r="F7" s="11"/>
      <c r="G7" s="11"/>
      <c r="H7" s="11"/>
      <c r="I7" s="19"/>
    </row>
    <row r="8" spans="1:9" ht="69" hidden="1" x14ac:dyDescent="0.2">
      <c r="A8" s="5">
        <v>256</v>
      </c>
      <c r="B8" s="9"/>
      <c r="C8" s="8" t="s">
        <v>263</v>
      </c>
      <c r="D8" s="11"/>
      <c r="E8" s="11"/>
      <c r="F8" s="11"/>
      <c r="G8" s="11"/>
      <c r="H8" s="11"/>
      <c r="I8" s="19"/>
    </row>
    <row r="9" spans="1:9" ht="38.25" x14ac:dyDescent="0.2">
      <c r="A9" s="93">
        <f>SUBTOTAL(103,$B$8:B9)+287</f>
        <v>288</v>
      </c>
      <c r="B9" s="125">
        <v>1</v>
      </c>
      <c r="C9" s="128" t="s">
        <v>50</v>
      </c>
      <c r="D9" s="118">
        <f>'Gerencias y Oficinas'!D355</f>
        <v>30000</v>
      </c>
      <c r="E9" s="118">
        <f>'Gerencias y Oficinas'!E355</f>
        <v>0</v>
      </c>
      <c r="F9" s="118">
        <f>'Gerencias y Oficinas'!F355</f>
        <v>30000</v>
      </c>
      <c r="G9" s="118">
        <f>'Gerencias y Oficinas'!G355</f>
        <v>0</v>
      </c>
      <c r="H9" s="118">
        <f>'Gerencias y Oficinas'!H355</f>
        <v>30000</v>
      </c>
      <c r="I9" s="119">
        <f>G9/D9</f>
        <v>0</v>
      </c>
    </row>
    <row r="10" spans="1:9" ht="63.75" x14ac:dyDescent="0.2">
      <c r="A10" s="93">
        <f>SUBTOTAL(103,$B$8:B10)+287</f>
        <v>289</v>
      </c>
      <c r="B10" s="125">
        <v>1</v>
      </c>
      <c r="C10" s="128" t="s">
        <v>51</v>
      </c>
      <c r="D10" s="118">
        <f>'Gerencias y Oficinas'!D356</f>
        <v>3595787</v>
      </c>
      <c r="E10" s="118">
        <f>'Gerencias y Oficinas'!E356</f>
        <v>3387260.04</v>
      </c>
      <c r="F10" s="118">
        <f>'Gerencias y Oficinas'!F356</f>
        <v>208526.95999999996</v>
      </c>
      <c r="G10" s="118">
        <f>'Gerencias y Oficinas'!G356</f>
        <v>3206258.25</v>
      </c>
      <c r="H10" s="118">
        <f>'Gerencias y Oficinas'!H356</f>
        <v>389528.75</v>
      </c>
      <c r="I10" s="119">
        <f>G10/D10</f>
        <v>0.89167079418219153</v>
      </c>
    </row>
    <row r="11" spans="1:9" ht="63.75" hidden="1" x14ac:dyDescent="0.2">
      <c r="A11" s="93">
        <f>SUBTOTAL(103,$B$8:B11)+287</f>
        <v>289</v>
      </c>
      <c r="B11" s="125">
        <v>1</v>
      </c>
      <c r="C11" s="128" t="s">
        <v>52</v>
      </c>
      <c r="D11" s="118"/>
      <c r="E11" s="118"/>
      <c r="F11" s="118"/>
      <c r="G11" s="118"/>
      <c r="H11" s="118"/>
      <c r="I11" s="119"/>
    </row>
    <row r="12" spans="1:9" ht="63.75" hidden="1" x14ac:dyDescent="0.2">
      <c r="A12" s="93">
        <f>SUBTOTAL(103,$B$8:B12)+287</f>
        <v>289</v>
      </c>
      <c r="B12" s="125">
        <v>1</v>
      </c>
      <c r="C12" s="128" t="s">
        <v>22</v>
      </c>
      <c r="D12" s="118">
        <f>'Gerencias y Oficinas'!D358</f>
        <v>0</v>
      </c>
      <c r="E12" s="118">
        <f>'Gerencias y Oficinas'!E358</f>
        <v>0</v>
      </c>
      <c r="F12" s="118">
        <f>'Gerencias y Oficinas'!F358</f>
        <v>0</v>
      </c>
      <c r="G12" s="118">
        <f>'Gerencias y Oficinas'!G358</f>
        <v>0</v>
      </c>
      <c r="H12" s="118">
        <f>'Gerencias y Oficinas'!H358</f>
        <v>0</v>
      </c>
      <c r="I12" s="119" t="e">
        <f>G12/D12</f>
        <v>#DIV/0!</v>
      </c>
    </row>
    <row r="13" spans="1:9" ht="38.25" x14ac:dyDescent="0.2">
      <c r="A13" s="93">
        <f>SUBTOTAL(103,$B$8:B13)+287</f>
        <v>290</v>
      </c>
      <c r="B13" s="125">
        <v>1</v>
      </c>
      <c r="C13" s="128" t="s">
        <v>264</v>
      </c>
      <c r="D13" s="118">
        <f>'Gerencias y Oficinas'!D359</f>
        <v>10473026</v>
      </c>
      <c r="E13" s="118">
        <f>'Gerencias y Oficinas'!E359</f>
        <v>10227931.92</v>
      </c>
      <c r="F13" s="118">
        <f>'Gerencias y Oficinas'!F359</f>
        <v>245094.08000000007</v>
      </c>
      <c r="G13" s="118">
        <f>'Gerencias y Oficinas'!G359</f>
        <v>7901431.669999999</v>
      </c>
      <c r="H13" s="118">
        <f>'Gerencias y Oficinas'!H359</f>
        <v>2571594.330000001</v>
      </c>
      <c r="I13" s="119">
        <f>G13/D13</f>
        <v>0.75445546206034431</v>
      </c>
    </row>
    <row r="14" spans="1:9" ht="63.75" x14ac:dyDescent="0.2">
      <c r="A14" s="93">
        <f>SUBTOTAL(103,$B$8:B14)+287</f>
        <v>291</v>
      </c>
      <c r="B14" s="125">
        <v>1</v>
      </c>
      <c r="C14" s="128" t="s">
        <v>786</v>
      </c>
      <c r="D14" s="118">
        <f>'Gerencias y Oficinas'!D360</f>
        <v>5701948</v>
      </c>
      <c r="E14" s="118">
        <f>'Gerencias y Oficinas'!E360</f>
        <v>5069506</v>
      </c>
      <c r="F14" s="118">
        <f>'Gerencias y Oficinas'!F360</f>
        <v>632442</v>
      </c>
      <c r="G14" s="118">
        <f>'Gerencias y Oficinas'!G360</f>
        <v>1844075.8900000001</v>
      </c>
      <c r="H14" s="118">
        <f>'Gerencias y Oficinas'!H360</f>
        <v>3857872.11</v>
      </c>
      <c r="I14" s="119">
        <f>G14/D14</f>
        <v>0.32341155864627319</v>
      </c>
    </row>
    <row r="15" spans="1:9" ht="16.5" x14ac:dyDescent="0.2">
      <c r="A15" s="239" t="s">
        <v>2507</v>
      </c>
      <c r="B15" s="240"/>
      <c r="C15" s="240"/>
      <c r="D15" s="137">
        <f>+D5</f>
        <v>19800761</v>
      </c>
      <c r="E15" s="137">
        <f t="shared" ref="E15:H15" si="2">+E5</f>
        <v>18684697.960000001</v>
      </c>
      <c r="F15" s="137">
        <f t="shared" si="2"/>
        <v>1116063.04</v>
      </c>
      <c r="G15" s="137">
        <f t="shared" si="2"/>
        <v>12951765.809999999</v>
      </c>
      <c r="H15" s="137">
        <f t="shared" si="2"/>
        <v>6848995.1900000013</v>
      </c>
      <c r="I15" s="135">
        <f>G15/D15</f>
        <v>0.65410444628870568</v>
      </c>
    </row>
  </sheetData>
  <mergeCells count="14">
    <mergeCell ref="A5:C5"/>
    <mergeCell ref="A6:C6"/>
    <mergeCell ref="A15:C15"/>
    <mergeCell ref="A1:I1"/>
    <mergeCell ref="A2:I2"/>
    <mergeCell ref="A3:A4"/>
    <mergeCell ref="B3:B4"/>
    <mergeCell ref="C3:C4"/>
    <mergeCell ref="D3:D4"/>
    <mergeCell ref="E3:E4"/>
    <mergeCell ref="F3:F4"/>
    <mergeCell ref="G3:G4"/>
    <mergeCell ref="H3:H4"/>
    <mergeCell ref="I3:I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2EBA-FD58-4FF0-A2FE-A2800EB4C1BA}">
  <dimension ref="A1:I17"/>
  <sheetViews>
    <sheetView workbookViewId="0">
      <selection sqref="A1:I17"/>
    </sheetView>
  </sheetViews>
  <sheetFormatPr baseColWidth="10" defaultRowHeight="12.75" x14ac:dyDescent="0.2"/>
  <cols>
    <col min="1" max="1" width="4" bestFit="1" customWidth="1"/>
    <col min="2" max="2" width="6.28515625" bestFit="1" customWidth="1"/>
    <col min="3" max="3" width="40" customWidth="1"/>
    <col min="4" max="4" width="11.85546875" bestFit="1" customWidth="1"/>
    <col min="5" max="5" width="15.42578125" customWidth="1"/>
    <col min="7" max="7" width="13.5703125" customWidth="1"/>
    <col min="9" max="9" width="8.28515625" customWidth="1"/>
  </cols>
  <sheetData>
    <row r="1" spans="1:9" ht="18" x14ac:dyDescent="0.2">
      <c r="A1" s="232" t="s">
        <v>2504</v>
      </c>
      <c r="B1" s="232"/>
      <c r="C1" s="232"/>
      <c r="D1" s="232"/>
      <c r="E1" s="232"/>
      <c r="F1" s="232"/>
      <c r="G1" s="232"/>
      <c r="H1" s="232"/>
      <c r="I1" s="232"/>
    </row>
    <row r="2" spans="1:9" ht="55.5" customHeight="1" x14ac:dyDescent="0.2">
      <c r="A2" s="203" t="s">
        <v>2499</v>
      </c>
      <c r="B2" s="203"/>
      <c r="C2" s="203"/>
      <c r="D2" s="203"/>
      <c r="E2" s="203"/>
      <c r="F2" s="203"/>
      <c r="G2" s="203"/>
      <c r="H2" s="203"/>
      <c r="I2" s="203"/>
    </row>
    <row r="3" spans="1:9" ht="18.75" customHeight="1" x14ac:dyDescent="0.2">
      <c r="A3" s="235" t="s">
        <v>3</v>
      </c>
      <c r="B3" s="254" t="s">
        <v>400</v>
      </c>
      <c r="C3" s="254" t="s">
        <v>0</v>
      </c>
      <c r="D3" s="256" t="s">
        <v>1076</v>
      </c>
      <c r="E3" s="258" t="s">
        <v>2479</v>
      </c>
      <c r="F3" s="250" t="s">
        <v>1081</v>
      </c>
      <c r="G3" s="260" t="s">
        <v>1078</v>
      </c>
      <c r="H3" s="254" t="s">
        <v>1082</v>
      </c>
      <c r="I3" s="244" t="s">
        <v>218</v>
      </c>
    </row>
    <row r="4" spans="1:9" ht="18.75" customHeight="1" x14ac:dyDescent="0.2">
      <c r="A4" s="236"/>
      <c r="B4" s="255"/>
      <c r="C4" s="255"/>
      <c r="D4" s="257"/>
      <c r="E4" s="259"/>
      <c r="F4" s="251"/>
      <c r="G4" s="261"/>
      <c r="H4" s="255"/>
      <c r="I4" s="245"/>
    </row>
    <row r="5" spans="1:9" ht="16.5" x14ac:dyDescent="0.2">
      <c r="A5" s="216" t="s">
        <v>16</v>
      </c>
      <c r="B5" s="217"/>
      <c r="C5" s="218"/>
      <c r="D5" s="108">
        <f>D14+D6</f>
        <v>14537894</v>
      </c>
      <c r="E5" s="108">
        <f>E14+E6</f>
        <v>11825595.84</v>
      </c>
      <c r="F5" s="108">
        <f>F14+F6</f>
        <v>2712298.16</v>
      </c>
      <c r="G5" s="108">
        <f>G14+G6</f>
        <v>10204996.440000001</v>
      </c>
      <c r="H5" s="108">
        <f>H14+H6</f>
        <v>4332897.5599999996</v>
      </c>
      <c r="I5" s="109">
        <f>G5/D5</f>
        <v>0.70195837443855358</v>
      </c>
    </row>
    <row r="6" spans="1:9" ht="16.5" x14ac:dyDescent="0.2">
      <c r="A6" s="195" t="s">
        <v>1049</v>
      </c>
      <c r="B6" s="195"/>
      <c r="C6" s="195"/>
      <c r="D6" s="91">
        <f>SUM(D7:D13)</f>
        <v>14427894</v>
      </c>
      <c r="E6" s="91">
        <f t="shared" ref="E6:H6" si="0">SUM(E7:E13)</f>
        <v>11721979.84</v>
      </c>
      <c r="F6" s="91">
        <f t="shared" si="0"/>
        <v>2705914.16</v>
      </c>
      <c r="G6" s="91">
        <f t="shared" si="0"/>
        <v>10172895.940000001</v>
      </c>
      <c r="H6" s="91">
        <f t="shared" si="0"/>
        <v>4254998.0599999996</v>
      </c>
      <c r="I6" s="92">
        <f>G6/D6</f>
        <v>0.70508529796517783</v>
      </c>
    </row>
    <row r="7" spans="1:9" ht="25.5" x14ac:dyDescent="0.2">
      <c r="A7" s="93">
        <f>SUBTOTAL(103,$B7:B$8)+287</f>
        <v>289</v>
      </c>
      <c r="B7" s="126">
        <v>1</v>
      </c>
      <c r="C7" s="127" t="s">
        <v>2496</v>
      </c>
      <c r="D7" s="118">
        <f>'Gerencias y Oficinas'!D365</f>
        <v>40000</v>
      </c>
      <c r="E7" s="118">
        <f>'Gerencias y Oficinas'!E365</f>
        <v>0</v>
      </c>
      <c r="F7" s="118">
        <f>'Gerencias y Oficinas'!F365</f>
        <v>40000</v>
      </c>
      <c r="G7" s="118">
        <f>'Gerencias y Oficinas'!G365</f>
        <v>0</v>
      </c>
      <c r="H7" s="118">
        <f>'Gerencias y Oficinas'!H365</f>
        <v>40000</v>
      </c>
      <c r="I7" s="119">
        <f t="shared" ref="I7:I11" si="1">G7/D7</f>
        <v>0</v>
      </c>
    </row>
    <row r="8" spans="1:9" ht="38.25" x14ac:dyDescent="0.2">
      <c r="A8" s="93">
        <f>SUBTOTAL(103,$B$8:B8)+287</f>
        <v>288</v>
      </c>
      <c r="B8" s="126">
        <v>1</v>
      </c>
      <c r="C8" s="127" t="s">
        <v>54</v>
      </c>
      <c r="D8" s="118">
        <f>'Gerencias y Oficinas'!D366</f>
        <v>30892</v>
      </c>
      <c r="E8" s="118">
        <f>'Gerencias y Oficinas'!E366</f>
        <v>30000</v>
      </c>
      <c r="F8" s="118">
        <f>'Gerencias y Oficinas'!F366</f>
        <v>892</v>
      </c>
      <c r="G8" s="118">
        <f>'Gerencias y Oficinas'!G366</f>
        <v>0</v>
      </c>
      <c r="H8" s="118">
        <f>'Gerencias y Oficinas'!H366</f>
        <v>30892</v>
      </c>
      <c r="I8" s="119">
        <f t="shared" si="1"/>
        <v>0</v>
      </c>
    </row>
    <row r="9" spans="1:9" ht="47.25" customHeight="1" x14ac:dyDescent="0.2">
      <c r="A9" s="93">
        <f>SUBTOTAL(103,$B$8:B9)+287</f>
        <v>289</v>
      </c>
      <c r="B9" s="126">
        <v>1</v>
      </c>
      <c r="C9" s="127" t="s">
        <v>17</v>
      </c>
      <c r="D9" s="118">
        <f>'Gerencias y Oficinas'!D367</f>
        <v>4417847</v>
      </c>
      <c r="E9" s="118">
        <f>'Gerencias y Oficinas'!E367</f>
        <v>4133291.7699999996</v>
      </c>
      <c r="F9" s="118">
        <f>'Gerencias y Oficinas'!F367</f>
        <v>284555.23000000045</v>
      </c>
      <c r="G9" s="118">
        <f>'Gerencias y Oficinas'!G367</f>
        <v>3353379.79</v>
      </c>
      <c r="H9" s="118">
        <f>'Gerencias y Oficinas'!H367</f>
        <v>1064467.21</v>
      </c>
      <c r="I9" s="119">
        <f>G9/D9</f>
        <v>0.75905294818946878</v>
      </c>
    </row>
    <row r="10" spans="1:9" ht="44.25" customHeight="1" x14ac:dyDescent="0.2">
      <c r="A10" s="93">
        <f>SUBTOTAL(103,$B$8:B10)+287</f>
        <v>290</v>
      </c>
      <c r="B10" s="126">
        <v>1</v>
      </c>
      <c r="C10" s="127" t="s">
        <v>18</v>
      </c>
      <c r="D10" s="118">
        <f>'Gerencias y Oficinas'!D368</f>
        <v>2000000</v>
      </c>
      <c r="E10" s="118">
        <f>'Gerencias y Oficinas'!E368</f>
        <v>1999999.53</v>
      </c>
      <c r="F10" s="118">
        <f>'Gerencias y Oficinas'!F368</f>
        <v>0.46999999997206032</v>
      </c>
      <c r="G10" s="118">
        <f>'Gerencias y Oficinas'!G368</f>
        <v>1956578.22</v>
      </c>
      <c r="H10" s="118">
        <f>'Gerencias y Oficinas'!H368</f>
        <v>43421.780000000028</v>
      </c>
      <c r="I10" s="119">
        <f>G10/D10</f>
        <v>0.97828910999999996</v>
      </c>
    </row>
    <row r="11" spans="1:9" ht="25.5" hidden="1" x14ac:dyDescent="0.2">
      <c r="A11" s="93">
        <f>SUBTOTAL(103,$B$8:B11)+287</f>
        <v>290</v>
      </c>
      <c r="B11" s="126">
        <v>1</v>
      </c>
      <c r="C11" s="127" t="s">
        <v>53</v>
      </c>
      <c r="D11" s="118"/>
      <c r="E11" s="118"/>
      <c r="F11" s="118"/>
      <c r="G11" s="118"/>
      <c r="H11" s="118"/>
      <c r="I11" s="119" t="e">
        <f t="shared" si="1"/>
        <v>#DIV/0!</v>
      </c>
    </row>
    <row r="12" spans="1:9" ht="56.25" customHeight="1" x14ac:dyDescent="0.2">
      <c r="A12" s="93">
        <f>SUBTOTAL(103,$B$8:B12)+287</f>
        <v>291</v>
      </c>
      <c r="B12" s="126">
        <v>1</v>
      </c>
      <c r="C12" s="127" t="s">
        <v>203</v>
      </c>
      <c r="D12" s="118">
        <f>'Gerencias y Oficinas'!D370</f>
        <v>7439155</v>
      </c>
      <c r="E12" s="118">
        <f>'Gerencias y Oficinas'!E370</f>
        <v>5519138.54</v>
      </c>
      <c r="F12" s="118">
        <f>'Gerencias y Oficinas'!F370</f>
        <v>1920016.46</v>
      </c>
      <c r="G12" s="118">
        <f>'Gerencias y Oficinas'!G370</f>
        <v>4857937.9300000006</v>
      </c>
      <c r="H12" s="118">
        <f>'Gerencias y Oficinas'!H370</f>
        <v>2581217.0699999994</v>
      </c>
      <c r="I12" s="119">
        <f>G12/D12</f>
        <v>0.65302281374699156</v>
      </c>
    </row>
    <row r="13" spans="1:9" ht="51" x14ac:dyDescent="0.2">
      <c r="A13" s="93">
        <f>SUBTOTAL(103,$B$8:B13)+287</f>
        <v>292</v>
      </c>
      <c r="B13" s="126">
        <v>1</v>
      </c>
      <c r="C13" s="127" t="s">
        <v>482</v>
      </c>
      <c r="D13" s="118">
        <f>'Gerencias y Oficinas'!D371</f>
        <v>500000</v>
      </c>
      <c r="E13" s="118">
        <f>'Gerencias y Oficinas'!E371</f>
        <v>39550</v>
      </c>
      <c r="F13" s="118">
        <f>'Gerencias y Oficinas'!F371</f>
        <v>460450</v>
      </c>
      <c r="G13" s="118">
        <f>'Gerencias y Oficinas'!G371</f>
        <v>5000</v>
      </c>
      <c r="H13" s="118">
        <f>'Gerencias y Oficinas'!H371</f>
        <v>495000</v>
      </c>
      <c r="I13" s="119">
        <f>G13/D13</f>
        <v>0.01</v>
      </c>
    </row>
    <row r="14" spans="1:9" ht="16.5" x14ac:dyDescent="0.2">
      <c r="A14" s="195" t="s">
        <v>1048</v>
      </c>
      <c r="B14" s="195"/>
      <c r="C14" s="195"/>
      <c r="D14" s="91">
        <f>SUM(D15:D16)</f>
        <v>110000</v>
      </c>
      <c r="E14" s="91">
        <f t="shared" ref="E14:H14" si="2">SUM(E15:E16)</f>
        <v>103616</v>
      </c>
      <c r="F14" s="91">
        <f t="shared" si="2"/>
        <v>6384</v>
      </c>
      <c r="G14" s="91">
        <f t="shared" si="2"/>
        <v>32100.5</v>
      </c>
      <c r="H14" s="91">
        <f t="shared" si="2"/>
        <v>77899.5</v>
      </c>
      <c r="I14" s="92">
        <f t="shared" ref="I14" si="3">G14/D14</f>
        <v>0.29182272727272729</v>
      </c>
    </row>
    <row r="15" spans="1:9" x14ac:dyDescent="0.2">
      <c r="A15" s="93">
        <f>SUBTOTAL(103,$B$8:B15)+287</f>
        <v>293</v>
      </c>
      <c r="B15" s="126">
        <v>1</v>
      </c>
      <c r="C15" s="128" t="s">
        <v>134</v>
      </c>
      <c r="D15" s="118">
        <f>'Gerencias y Oficinas'!D373</f>
        <v>90000</v>
      </c>
      <c r="E15" s="118">
        <f>'Gerencias y Oficinas'!E373</f>
        <v>83616</v>
      </c>
      <c r="F15" s="118">
        <f>'Gerencias y Oficinas'!F373</f>
        <v>6384</v>
      </c>
      <c r="G15" s="118">
        <f>'Gerencias y Oficinas'!G373</f>
        <v>32100.5</v>
      </c>
      <c r="H15" s="118">
        <f>'Gerencias y Oficinas'!H373</f>
        <v>57899.5</v>
      </c>
      <c r="I15" s="119">
        <f>G15/D15</f>
        <v>0.35667222222222222</v>
      </c>
    </row>
    <row r="16" spans="1:9" ht="63.75" x14ac:dyDescent="0.2">
      <c r="A16" s="93">
        <f>SUBTOTAL(103,$B$8:B16)+287</f>
        <v>294</v>
      </c>
      <c r="B16" s="126">
        <v>1</v>
      </c>
      <c r="C16" s="128" t="s">
        <v>1074</v>
      </c>
      <c r="D16" s="118">
        <f>'Gerencias y Oficinas'!D374</f>
        <v>20000</v>
      </c>
      <c r="E16" s="118">
        <f>'Gerencias y Oficinas'!E374</f>
        <v>20000</v>
      </c>
      <c r="F16" s="118">
        <f>'Gerencias y Oficinas'!F374</f>
        <v>0</v>
      </c>
      <c r="G16" s="118">
        <f>'Gerencias y Oficinas'!G374</f>
        <v>0</v>
      </c>
      <c r="H16" s="118">
        <f>'Gerencias y Oficinas'!H374</f>
        <v>20000</v>
      </c>
      <c r="I16" s="119">
        <f>G16/D16</f>
        <v>0</v>
      </c>
    </row>
    <row r="17" spans="1:9" ht="16.5" x14ac:dyDescent="0.2">
      <c r="A17" s="239" t="s">
        <v>2508</v>
      </c>
      <c r="B17" s="240"/>
      <c r="C17" s="240"/>
      <c r="D17" s="137">
        <f>+D5</f>
        <v>14537894</v>
      </c>
      <c r="E17" s="137">
        <f t="shared" ref="E17:H17" si="4">+E5</f>
        <v>11825595.84</v>
      </c>
      <c r="F17" s="137">
        <f t="shared" si="4"/>
        <v>2712298.16</v>
      </c>
      <c r="G17" s="137">
        <f t="shared" si="4"/>
        <v>10204996.440000001</v>
      </c>
      <c r="H17" s="137">
        <f t="shared" si="4"/>
        <v>4332897.5599999996</v>
      </c>
      <c r="I17" s="135">
        <f>G17/D17</f>
        <v>0.70195837443855358</v>
      </c>
    </row>
  </sheetData>
  <mergeCells count="15">
    <mergeCell ref="A5:C5"/>
    <mergeCell ref="A6:C6"/>
    <mergeCell ref="A14:C14"/>
    <mergeCell ref="A17:C17"/>
    <mergeCell ref="A1:I1"/>
    <mergeCell ref="A2:I2"/>
    <mergeCell ref="A3:A4"/>
    <mergeCell ref="B3:B4"/>
    <mergeCell ref="C3:C4"/>
    <mergeCell ref="D3:D4"/>
    <mergeCell ref="E3:E4"/>
    <mergeCell ref="F3:F4"/>
    <mergeCell ref="G3:G4"/>
    <mergeCell ref="H3:H4"/>
    <mergeCell ref="I3:I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9677E-EAC9-4C12-88C5-2FAAECA9CC6E}">
  <dimension ref="A1:I7"/>
  <sheetViews>
    <sheetView workbookViewId="0">
      <selection activeCell="A8" sqref="A8"/>
    </sheetView>
  </sheetViews>
  <sheetFormatPr baseColWidth="10" defaultRowHeight="12.75" x14ac:dyDescent="0.2"/>
  <cols>
    <col min="1" max="1" width="4" bestFit="1" customWidth="1"/>
    <col min="2" max="2" width="6.28515625" bestFit="1" customWidth="1"/>
    <col min="3" max="3" width="35.28515625" customWidth="1"/>
    <col min="4" max="4" width="12" customWidth="1"/>
    <col min="5" max="5" width="15.28515625" customWidth="1"/>
    <col min="7" max="7" width="12.7109375" customWidth="1"/>
  </cols>
  <sheetData>
    <row r="1" spans="1:9" ht="18" x14ac:dyDescent="0.2">
      <c r="A1" s="232" t="s">
        <v>2504</v>
      </c>
      <c r="B1" s="232"/>
      <c r="C1" s="232"/>
      <c r="D1" s="232"/>
      <c r="E1" s="232"/>
      <c r="F1" s="232"/>
      <c r="G1" s="232"/>
      <c r="H1" s="232"/>
      <c r="I1" s="232"/>
    </row>
    <row r="2" spans="1:9" ht="45.75" customHeight="1" x14ac:dyDescent="0.2">
      <c r="A2" s="203" t="s">
        <v>2499</v>
      </c>
      <c r="B2" s="203"/>
      <c r="C2" s="203"/>
      <c r="D2" s="203"/>
      <c r="E2" s="203"/>
      <c r="F2" s="203"/>
      <c r="G2" s="203"/>
      <c r="H2" s="203"/>
      <c r="I2" s="203"/>
    </row>
    <row r="3" spans="1:9" x14ac:dyDescent="0.2">
      <c r="A3" s="235" t="s">
        <v>3</v>
      </c>
      <c r="B3" s="254" t="s">
        <v>400</v>
      </c>
      <c r="C3" s="254" t="s">
        <v>0</v>
      </c>
      <c r="D3" s="256" t="s">
        <v>1076</v>
      </c>
      <c r="E3" s="258" t="s">
        <v>2479</v>
      </c>
      <c r="F3" s="250" t="s">
        <v>1081</v>
      </c>
      <c r="G3" s="260" t="s">
        <v>1078</v>
      </c>
      <c r="H3" s="254" t="s">
        <v>1082</v>
      </c>
      <c r="I3" s="244" t="s">
        <v>218</v>
      </c>
    </row>
    <row r="4" spans="1:9" x14ac:dyDescent="0.2">
      <c r="A4" s="236"/>
      <c r="B4" s="255"/>
      <c r="C4" s="255"/>
      <c r="D4" s="257"/>
      <c r="E4" s="259"/>
      <c r="F4" s="251"/>
      <c r="G4" s="261"/>
      <c r="H4" s="255"/>
      <c r="I4" s="245"/>
    </row>
    <row r="5" spans="1:9" ht="16.5" x14ac:dyDescent="0.2">
      <c r="A5" s="216" t="s">
        <v>195</v>
      </c>
      <c r="B5" s="217"/>
      <c r="C5" s="218"/>
      <c r="D5" s="108">
        <f>SUM(D6)</f>
        <v>32592</v>
      </c>
      <c r="E5" s="108">
        <f>SUM(E6)</f>
        <v>0</v>
      </c>
      <c r="F5" s="108">
        <f>D5-E5</f>
        <v>32592</v>
      </c>
      <c r="G5" s="108">
        <f>SUM(G6)</f>
        <v>0</v>
      </c>
      <c r="H5" s="108">
        <f>D5-G5</f>
        <v>32592</v>
      </c>
      <c r="I5" s="109">
        <f>G5/D5</f>
        <v>0</v>
      </c>
    </row>
    <row r="6" spans="1:9" ht="47.25" customHeight="1" x14ac:dyDescent="0.2">
      <c r="A6" s="93">
        <f>SUBTOTAL(103,$B6:B$6)+287</f>
        <v>288</v>
      </c>
      <c r="B6" s="126">
        <v>1</v>
      </c>
      <c r="C6" s="127" t="s">
        <v>293</v>
      </c>
      <c r="D6" s="118">
        <f>'Gerencias y Oficinas'!D378</f>
        <v>32592</v>
      </c>
      <c r="E6" s="118">
        <f>'Gerencias y Oficinas'!E378</f>
        <v>0</v>
      </c>
      <c r="F6" s="118">
        <f>'Gerencias y Oficinas'!F378</f>
        <v>32592</v>
      </c>
      <c r="G6" s="118">
        <f>'Gerencias y Oficinas'!G378</f>
        <v>0</v>
      </c>
      <c r="H6" s="118">
        <f>'Gerencias y Oficinas'!H378</f>
        <v>32592</v>
      </c>
      <c r="I6" s="119">
        <f>G6/D6</f>
        <v>0</v>
      </c>
    </row>
    <row r="7" spans="1:9" ht="16.5" x14ac:dyDescent="0.2">
      <c r="A7" s="239" t="s">
        <v>2515</v>
      </c>
      <c r="B7" s="240"/>
      <c r="C7" s="240"/>
      <c r="D7" s="137">
        <f>+D5</f>
        <v>32592</v>
      </c>
      <c r="E7" s="137">
        <f t="shared" ref="E7:H7" si="0">+E5</f>
        <v>0</v>
      </c>
      <c r="F7" s="137">
        <f t="shared" si="0"/>
        <v>32592</v>
      </c>
      <c r="G7" s="137">
        <f t="shared" si="0"/>
        <v>0</v>
      </c>
      <c r="H7" s="137">
        <f t="shared" si="0"/>
        <v>32592</v>
      </c>
      <c r="I7" s="135">
        <f>G7/D7</f>
        <v>0</v>
      </c>
    </row>
  </sheetData>
  <mergeCells count="13">
    <mergeCell ref="I3:I4"/>
    <mergeCell ref="A5:C5"/>
    <mergeCell ref="A7:C7"/>
    <mergeCell ref="A1:I1"/>
    <mergeCell ref="A2:I2"/>
    <mergeCell ref="A3:A4"/>
    <mergeCell ref="B3:B4"/>
    <mergeCell ref="C3:C4"/>
    <mergeCell ref="D3:D4"/>
    <mergeCell ref="E3:E4"/>
    <mergeCell ref="F3:F4"/>
    <mergeCell ref="G3:G4"/>
    <mergeCell ref="H3:H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DFCF-0F73-488C-8A65-6BDA4311D405}">
  <dimension ref="A1:L13"/>
  <sheetViews>
    <sheetView tabSelected="1" workbookViewId="0">
      <selection activeCell="F16" sqref="F16"/>
    </sheetView>
  </sheetViews>
  <sheetFormatPr baseColWidth="10" defaultRowHeight="12.75" x14ac:dyDescent="0.2"/>
  <cols>
    <col min="2" max="2" width="7.85546875" customWidth="1"/>
    <col min="3" max="3" width="7.42578125" customWidth="1"/>
    <col min="4" max="4" width="7.7109375" customWidth="1"/>
    <col min="6" max="6" width="16.140625" customWidth="1"/>
    <col min="7" max="7" width="10.5703125" customWidth="1"/>
    <col min="8" max="8" width="12.5703125" customWidth="1"/>
    <col min="10" max="10" width="8.42578125" customWidth="1"/>
    <col min="11" max="11" width="12.7109375" customWidth="1"/>
  </cols>
  <sheetData>
    <row r="1" spans="1:12" ht="18" x14ac:dyDescent="0.2">
      <c r="A1" s="232"/>
      <c r="B1" s="232"/>
      <c r="C1" s="232"/>
      <c r="D1" s="232"/>
      <c r="E1" s="232"/>
      <c r="F1" s="232"/>
      <c r="G1" s="232"/>
      <c r="H1" s="232"/>
      <c r="I1" s="232"/>
      <c r="J1" s="232"/>
      <c r="K1" s="232"/>
      <c r="L1" s="232"/>
    </row>
    <row r="2" spans="1:12" ht="18" x14ac:dyDescent="0.2">
      <c r="A2" s="232" t="s">
        <v>2493</v>
      </c>
      <c r="B2" s="232"/>
      <c r="C2" s="232"/>
      <c r="D2" s="232"/>
      <c r="E2" s="232"/>
      <c r="F2" s="232"/>
      <c r="G2" s="232"/>
      <c r="H2" s="232"/>
      <c r="I2" s="232"/>
      <c r="J2" s="232"/>
      <c r="K2" s="232"/>
      <c r="L2" s="232"/>
    </row>
    <row r="3" spans="1:12" ht="40.5" customHeight="1" x14ac:dyDescent="0.2">
      <c r="A3" s="203" t="s">
        <v>2517</v>
      </c>
      <c r="B3" s="203"/>
      <c r="C3" s="203"/>
      <c r="D3" s="203"/>
      <c r="E3" s="203"/>
      <c r="F3" s="203"/>
      <c r="G3" s="203"/>
      <c r="H3" s="203"/>
      <c r="I3" s="203"/>
      <c r="J3" s="203"/>
      <c r="K3" s="203"/>
      <c r="L3" s="203"/>
    </row>
    <row r="4" spans="1:12" ht="18" x14ac:dyDescent="0.25">
      <c r="A4" s="1"/>
      <c r="B4" s="4"/>
      <c r="C4" s="4"/>
      <c r="D4" s="13"/>
      <c r="E4" s="2"/>
      <c r="F4" s="2"/>
      <c r="G4" s="2"/>
      <c r="J4" s="146"/>
    </row>
    <row r="5" spans="1:12" ht="18.75" thickBot="1" x14ac:dyDescent="0.25">
      <c r="A5" s="147" t="s">
        <v>2509</v>
      </c>
      <c r="B5" s="4"/>
      <c r="C5" s="4"/>
      <c r="D5" s="13"/>
      <c r="E5" s="2"/>
      <c r="F5" s="2"/>
      <c r="G5" s="2"/>
      <c r="L5" s="151" t="s">
        <v>2500</v>
      </c>
    </row>
    <row r="6" spans="1:12" ht="25.5" customHeight="1" x14ac:dyDescent="0.2">
      <c r="A6" s="274" t="s">
        <v>3</v>
      </c>
      <c r="B6" s="271" t="s">
        <v>2518</v>
      </c>
      <c r="C6" s="271"/>
      <c r="D6" s="271"/>
      <c r="E6" s="271" t="s">
        <v>1076</v>
      </c>
      <c r="F6" s="271" t="s">
        <v>2479</v>
      </c>
      <c r="G6" s="271" t="s">
        <v>1081</v>
      </c>
      <c r="H6" s="271" t="s">
        <v>1078</v>
      </c>
      <c r="I6" s="271" t="s">
        <v>1082</v>
      </c>
      <c r="J6" s="268" t="s">
        <v>2490</v>
      </c>
      <c r="K6" s="266" t="s">
        <v>2491</v>
      </c>
      <c r="L6" s="266" t="s">
        <v>2494</v>
      </c>
    </row>
    <row r="7" spans="1:12" ht="25.5" customHeight="1" thickBot="1" x14ac:dyDescent="0.25">
      <c r="A7" s="275"/>
      <c r="B7" s="272"/>
      <c r="C7" s="272"/>
      <c r="D7" s="272"/>
      <c r="E7" s="272"/>
      <c r="F7" s="272"/>
      <c r="G7" s="272"/>
      <c r="H7" s="272"/>
      <c r="I7" s="272"/>
      <c r="J7" s="269"/>
      <c r="K7" s="267"/>
      <c r="L7" s="267"/>
    </row>
    <row r="8" spans="1:12" ht="16.5" x14ac:dyDescent="0.2">
      <c r="A8" s="158">
        <v>1</v>
      </c>
      <c r="B8" s="270" t="s">
        <v>2511</v>
      </c>
      <c r="C8" s="270"/>
      <c r="D8" s="270"/>
      <c r="E8" s="159">
        <f>+'002'!D11</f>
        <v>2582404</v>
      </c>
      <c r="F8" s="159">
        <f>+'002'!E11</f>
        <v>1756663.49</v>
      </c>
      <c r="G8" s="159">
        <f>+'002'!F11</f>
        <v>825740.50999999989</v>
      </c>
      <c r="H8" s="159">
        <f>+'002'!G11</f>
        <v>1383526.03</v>
      </c>
      <c r="I8" s="159">
        <f>+'002'!H11</f>
        <v>1198877.97</v>
      </c>
      <c r="J8" s="160">
        <f t="shared" ref="J8:J13" si="0">+H8/E8</f>
        <v>0.5357511953977766</v>
      </c>
      <c r="K8" s="160">
        <f t="shared" ref="K8:K13" si="1">+G8/E8</f>
        <v>0.31975651757044982</v>
      </c>
      <c r="L8" s="160">
        <f>+I8/E8</f>
        <v>0.46424880460222334</v>
      </c>
    </row>
    <row r="9" spans="1:12" ht="15.75" x14ac:dyDescent="0.2">
      <c r="A9" s="149">
        <v>2</v>
      </c>
      <c r="B9" s="273" t="s">
        <v>2512</v>
      </c>
      <c r="C9" s="273"/>
      <c r="D9" s="273"/>
      <c r="E9" s="150">
        <f>+'003'!D26</f>
        <v>36637342</v>
      </c>
      <c r="F9" s="150">
        <f>+'003'!E26</f>
        <v>35406978.789999999</v>
      </c>
      <c r="G9" s="150">
        <f>+'003'!F26</f>
        <v>1230363.2100000002</v>
      </c>
      <c r="H9" s="150">
        <f>+'003'!G26</f>
        <v>27410331.41</v>
      </c>
      <c r="I9" s="150">
        <f>+'003'!H26</f>
        <v>9227010.589999998</v>
      </c>
      <c r="J9" s="148">
        <f t="shared" si="0"/>
        <v>0.74815283843462221</v>
      </c>
      <c r="K9" s="148">
        <f t="shared" si="1"/>
        <v>3.3582218109599771E-2</v>
      </c>
      <c r="L9" s="160">
        <f t="shared" ref="L9:L12" si="2">+I9/E9</f>
        <v>0.25184716156537768</v>
      </c>
    </row>
    <row r="10" spans="1:12" ht="16.5" x14ac:dyDescent="0.2">
      <c r="A10" s="149">
        <v>3</v>
      </c>
      <c r="B10" s="262" t="s">
        <v>2513</v>
      </c>
      <c r="C10" s="262"/>
      <c r="D10" s="262"/>
      <c r="E10" s="150">
        <f>+'005'!D15</f>
        <v>19800761</v>
      </c>
      <c r="F10" s="150">
        <f>+'005'!E15</f>
        <v>18684697.960000001</v>
      </c>
      <c r="G10" s="150">
        <f>+'005'!F15</f>
        <v>1116063.04</v>
      </c>
      <c r="H10" s="150">
        <f>+'005'!G15</f>
        <v>12951765.809999999</v>
      </c>
      <c r="I10" s="150">
        <f>+'005'!H15</f>
        <v>6848995.1900000013</v>
      </c>
      <c r="J10" s="148">
        <f t="shared" si="0"/>
        <v>0.65410444628870568</v>
      </c>
      <c r="K10" s="148">
        <f t="shared" si="1"/>
        <v>5.6364653863556054E-2</v>
      </c>
      <c r="L10" s="160">
        <f t="shared" si="2"/>
        <v>0.34589555371129427</v>
      </c>
    </row>
    <row r="11" spans="1:12" ht="16.5" x14ac:dyDescent="0.2">
      <c r="A11" s="149">
        <v>4</v>
      </c>
      <c r="B11" s="262" t="s">
        <v>2514</v>
      </c>
      <c r="C11" s="262"/>
      <c r="D11" s="262"/>
      <c r="E11" s="150">
        <f>+'100'!D17</f>
        <v>14537894</v>
      </c>
      <c r="F11" s="150">
        <f>+'100'!E17</f>
        <v>11825595.84</v>
      </c>
      <c r="G11" s="150">
        <f>+'100'!F17</f>
        <v>2712298.16</v>
      </c>
      <c r="H11" s="150">
        <f>+'100'!G17</f>
        <v>10204996.440000001</v>
      </c>
      <c r="I11" s="150">
        <f>+'100'!H17</f>
        <v>4332897.5599999996</v>
      </c>
      <c r="J11" s="148">
        <f t="shared" si="0"/>
        <v>0.70195837443855358</v>
      </c>
      <c r="K11" s="148">
        <f t="shared" si="1"/>
        <v>0.18656747394086104</v>
      </c>
      <c r="L11" s="160">
        <f t="shared" si="2"/>
        <v>0.29804162556144648</v>
      </c>
    </row>
    <row r="12" spans="1:12" ht="17.25" thickBot="1" x14ac:dyDescent="0.25">
      <c r="A12" s="149">
        <v>5</v>
      </c>
      <c r="B12" s="262" t="s">
        <v>2516</v>
      </c>
      <c r="C12" s="262"/>
      <c r="D12" s="262"/>
      <c r="E12" s="150">
        <f>+'302'!D7</f>
        <v>32592</v>
      </c>
      <c r="F12" s="150">
        <f>+'302'!E7</f>
        <v>0</v>
      </c>
      <c r="G12" s="150">
        <f>+'302'!F7</f>
        <v>32592</v>
      </c>
      <c r="H12" s="150">
        <f>+'302'!G7</f>
        <v>0</v>
      </c>
      <c r="I12" s="150">
        <f>+'302'!H7</f>
        <v>32592</v>
      </c>
      <c r="J12" s="148">
        <f t="shared" si="0"/>
        <v>0</v>
      </c>
      <c r="K12" s="148">
        <f t="shared" si="1"/>
        <v>1</v>
      </c>
      <c r="L12" s="160">
        <f t="shared" si="2"/>
        <v>1</v>
      </c>
    </row>
    <row r="13" spans="1:12" ht="15.75" thickBot="1" x14ac:dyDescent="0.3">
      <c r="A13" s="264" t="s">
        <v>2510</v>
      </c>
      <c r="B13" s="265"/>
      <c r="C13" s="265"/>
      <c r="D13" s="265"/>
      <c r="E13" s="155">
        <f>+SUM(E8:E12)</f>
        <v>73590993</v>
      </c>
      <c r="F13" s="155">
        <f>+SUM(F8:F12)</f>
        <v>67673936.079999998</v>
      </c>
      <c r="G13" s="155">
        <f>+SUM(G8:G12)</f>
        <v>5917056.9199999999</v>
      </c>
      <c r="H13" s="155">
        <f>+SUM(H8:H12)</f>
        <v>51950619.689999998</v>
      </c>
      <c r="I13" s="155">
        <f>+SUM(I8:I12)</f>
        <v>21640373.309999999</v>
      </c>
      <c r="J13" s="156">
        <f t="shared" si="0"/>
        <v>0.70593720198883569</v>
      </c>
      <c r="K13" s="157">
        <f t="shared" si="1"/>
        <v>8.0404634844375586E-2</v>
      </c>
      <c r="L13" s="157">
        <f>+I13/E13</f>
        <v>0.29406279801116419</v>
      </c>
    </row>
  </sheetData>
  <mergeCells count="19">
    <mergeCell ref="L6:L7"/>
    <mergeCell ref="B8:D8"/>
    <mergeCell ref="B9:D9"/>
    <mergeCell ref="B10:D10"/>
    <mergeCell ref="A1:L1"/>
    <mergeCell ref="A2:L2"/>
    <mergeCell ref="A3:L3"/>
    <mergeCell ref="A6:A7"/>
    <mergeCell ref="B6:D7"/>
    <mergeCell ref="E6:E7"/>
    <mergeCell ref="F6:F7"/>
    <mergeCell ref="G6:G7"/>
    <mergeCell ref="H6:H7"/>
    <mergeCell ref="I6:I7"/>
    <mergeCell ref="B11:D11"/>
    <mergeCell ref="B12:D12"/>
    <mergeCell ref="A13:D13"/>
    <mergeCell ref="J6:J7"/>
    <mergeCell ref="K6:K7"/>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L457"/>
  <sheetViews>
    <sheetView view="pageLayout" topLeftCell="B1" zoomScale="115" zoomScaleNormal="145" zoomScalePageLayoutView="115" workbookViewId="0">
      <selection activeCell="E453" sqref="E453"/>
    </sheetView>
  </sheetViews>
  <sheetFormatPr baseColWidth="10" defaultRowHeight="12.75" x14ac:dyDescent="0.2"/>
  <cols>
    <col min="1" max="1" width="2.85546875" customWidth="1"/>
    <col min="2" max="2" width="5.7109375" customWidth="1"/>
    <col min="3" max="3" width="3.5703125" customWidth="1"/>
    <col min="4" max="4" width="31" customWidth="1"/>
    <col min="5" max="5" width="9.28515625" customWidth="1"/>
    <col min="6" max="6" width="12.42578125" customWidth="1"/>
    <col min="7" max="7" width="9.5703125" customWidth="1"/>
    <col min="8" max="8" width="10" customWidth="1"/>
    <col min="9" max="9" width="9.42578125" customWidth="1"/>
    <col min="10" max="10" width="7.140625" customWidth="1"/>
  </cols>
  <sheetData>
    <row r="1" spans="4:10" x14ac:dyDescent="0.2">
      <c r="D1" s="36" t="s">
        <v>0</v>
      </c>
      <c r="E1" s="36" t="s">
        <v>401</v>
      </c>
      <c r="F1" s="36" t="s">
        <v>402</v>
      </c>
      <c r="G1" s="36" t="s">
        <v>403</v>
      </c>
      <c r="H1" s="36" t="s">
        <v>404</v>
      </c>
      <c r="I1" s="36" t="s">
        <v>405</v>
      </c>
      <c r="J1" s="36" t="s">
        <v>448</v>
      </c>
    </row>
    <row r="2" spans="4:10" x14ac:dyDescent="0.2">
      <c r="D2" s="30" t="s">
        <v>449</v>
      </c>
      <c r="E2" s="45" t="e">
        <f>SUM(E5:E19)</f>
        <v>#REF!</v>
      </c>
      <c r="F2" s="49" t="e">
        <f>SUM(F5:F19)</f>
        <v>#REF!</v>
      </c>
      <c r="G2" s="45" t="e">
        <f>SUM(G5:G19)</f>
        <v>#REF!</v>
      </c>
      <c r="H2" s="49" t="e">
        <f>SUM(H5:H19)</f>
        <v>#REF!</v>
      </c>
      <c r="I2" s="45" t="e">
        <f>SUM(I5:I19)</f>
        <v>#REF!</v>
      </c>
      <c r="J2" s="46" t="e">
        <f t="shared" ref="J2:J19" si="0">H2/E2</f>
        <v>#REF!</v>
      </c>
    </row>
    <row r="3" spans="4:10" x14ac:dyDescent="0.2">
      <c r="D3" s="51" t="s">
        <v>450</v>
      </c>
      <c r="E3" s="50">
        <f>SUM(E24:E421)</f>
        <v>866332875</v>
      </c>
      <c r="F3" s="50">
        <f>SUM(F24:F421)</f>
        <v>642449747.69999981</v>
      </c>
      <c r="G3" s="50">
        <f>SUM(G24:G421)</f>
        <v>223883127.30000007</v>
      </c>
      <c r="H3" s="50">
        <f>SUM(H24:H421)</f>
        <v>240835043.50000009</v>
      </c>
      <c r="I3" s="50">
        <f>SUM(I24:I421)</f>
        <v>625497831.49999976</v>
      </c>
      <c r="J3" s="52">
        <f t="shared" si="0"/>
        <v>0.27799365630676326</v>
      </c>
    </row>
    <row r="4" spans="4:10" x14ac:dyDescent="0.2">
      <c r="D4" s="47" t="s">
        <v>451</v>
      </c>
      <c r="E4" s="48">
        <f>SUM(E24:E247)</f>
        <v>615274053</v>
      </c>
      <c r="F4" s="50">
        <f>SUM(F24:F247)</f>
        <v>470232040.86999995</v>
      </c>
      <c r="G4" s="48">
        <f>SUM(G24:G247)</f>
        <v>145042012.13000003</v>
      </c>
      <c r="H4" s="50">
        <f>SUM(H24:H247)</f>
        <v>182277400.53000006</v>
      </c>
      <c r="I4" s="48">
        <f>SUM(I24:I247)</f>
        <v>432996652.46999997</v>
      </c>
      <c r="J4" s="46">
        <f t="shared" si="0"/>
        <v>0.29625400200323426</v>
      </c>
    </row>
    <row r="5" spans="4:10" x14ac:dyDescent="0.2">
      <c r="D5" s="30" t="s">
        <v>413</v>
      </c>
      <c r="E5" s="48">
        <f>SUM(E24:E131)</f>
        <v>280092667</v>
      </c>
      <c r="F5" s="48">
        <f>SUM(F24:F131)</f>
        <v>210229561.81999999</v>
      </c>
      <c r="G5" s="48">
        <f>SUM(G24:G131)</f>
        <v>69863105.179999992</v>
      </c>
      <c r="H5" s="48">
        <f>SUM(H24:H131)</f>
        <v>84923849.070000023</v>
      </c>
      <c r="I5" s="48">
        <f>SUM(I24:I131)</f>
        <v>195168817.92999998</v>
      </c>
      <c r="J5" s="46">
        <f t="shared" si="0"/>
        <v>0.30319911613394729</v>
      </c>
    </row>
    <row r="6" spans="4:10" x14ac:dyDescent="0.2">
      <c r="D6" s="47" t="s">
        <v>414</v>
      </c>
      <c r="E6" s="48">
        <f>SUM(E132:E151)</f>
        <v>37077212</v>
      </c>
      <c r="F6" s="48">
        <f>SUM(F132:F151)</f>
        <v>30416819.550000001</v>
      </c>
      <c r="G6" s="48">
        <f>SUM(G132:G151)</f>
        <v>6660392.4500000002</v>
      </c>
      <c r="H6" s="48">
        <f>SUM(H132:H151)</f>
        <v>20638941.080000002</v>
      </c>
      <c r="I6" s="48">
        <f>SUM(I132:I151)</f>
        <v>16438270.92</v>
      </c>
      <c r="J6" s="46">
        <f t="shared" si="0"/>
        <v>0.5566476001485765</v>
      </c>
    </row>
    <row r="7" spans="4:10" x14ac:dyDescent="0.2">
      <c r="D7" s="47" t="s">
        <v>452</v>
      </c>
      <c r="E7" s="48">
        <f>SUM(E152:E224)</f>
        <v>222713699</v>
      </c>
      <c r="F7" s="50">
        <f>SUM(F152:F224)</f>
        <v>194358519.02000001</v>
      </c>
      <c r="G7" s="48">
        <f>SUM(G152:G224)</f>
        <v>28355179.980000008</v>
      </c>
      <c r="H7" s="50">
        <f>SUM(H152:H224)</f>
        <v>65445154.31000001</v>
      </c>
      <c r="I7" s="48">
        <f>SUM(I152:I224)</f>
        <v>157268544.69000006</v>
      </c>
      <c r="J7" s="46">
        <f t="shared" si="0"/>
        <v>0.2938532950772822</v>
      </c>
    </row>
    <row r="8" spans="4:10" x14ac:dyDescent="0.2">
      <c r="D8" s="47" t="s">
        <v>453</v>
      </c>
      <c r="E8" s="48">
        <f>SUM(E225:E307)</f>
        <v>96217369</v>
      </c>
      <c r="F8" s="48">
        <f>SUM(F225:F307)</f>
        <v>46203017.580000006</v>
      </c>
      <c r="G8" s="48">
        <f>SUM(G225:G307)</f>
        <v>50014351.419999994</v>
      </c>
      <c r="H8" s="48">
        <f>SUM(H225:H307)</f>
        <v>14494784.240000002</v>
      </c>
      <c r="I8" s="48">
        <f>SUM(I225:I307)</f>
        <v>81722584.75999999</v>
      </c>
      <c r="J8" s="46">
        <f>H8/E8</f>
        <v>0.15064623352983184</v>
      </c>
    </row>
    <row r="9" spans="4:10" x14ac:dyDescent="0.2">
      <c r="D9" s="47" t="s">
        <v>417</v>
      </c>
      <c r="E9" s="48">
        <f>SUM(E308:E356)</f>
        <v>55151402</v>
      </c>
      <c r="F9" s="48">
        <f>SUM(F308:F356)</f>
        <v>46728546.780000001</v>
      </c>
      <c r="G9" s="48">
        <f>SUM(G308:G356)</f>
        <v>8422855.2199999988</v>
      </c>
      <c r="H9" s="48">
        <f>SUM(H308:H356)</f>
        <v>24653058.710000001</v>
      </c>
      <c r="I9" s="48">
        <f>SUM(I308:I356)</f>
        <v>30498343.289999995</v>
      </c>
      <c r="J9" s="46">
        <f t="shared" si="0"/>
        <v>0.44700692667794739</v>
      </c>
    </row>
    <row r="10" spans="4:10" x14ac:dyDescent="0.2">
      <c r="D10" s="47" t="s">
        <v>454</v>
      </c>
      <c r="E10" s="48">
        <f>SUM(E357:E368)</f>
        <v>75433665</v>
      </c>
      <c r="F10" s="50">
        <f>SUM(F357:F367)</f>
        <v>67503297.049999997</v>
      </c>
      <c r="G10" s="48">
        <f>SUM(G357:G367)</f>
        <v>7893922.9499999993</v>
      </c>
      <c r="H10" s="50">
        <f>SUM(H357:H367)</f>
        <v>3620737.92</v>
      </c>
      <c r="I10" s="48">
        <f>SUM(I357:I367)</f>
        <v>71776482.079999998</v>
      </c>
      <c r="J10" s="46">
        <f t="shared" si="0"/>
        <v>4.7998965978916709E-2</v>
      </c>
    </row>
    <row r="11" spans="4:10" x14ac:dyDescent="0.2">
      <c r="D11" s="47" t="s">
        <v>419</v>
      </c>
      <c r="E11" s="48">
        <f>SUM(E369:E372)</f>
        <v>633160</v>
      </c>
      <c r="F11" s="48">
        <f>SUM(F369:F372)</f>
        <v>383160</v>
      </c>
      <c r="G11" s="48">
        <f>SUM(G369:G372)</f>
        <v>250000</v>
      </c>
      <c r="H11" s="48">
        <f>SUM(H369:H372)</f>
        <v>255169.24</v>
      </c>
      <c r="I11" s="48">
        <f>SUM(I369:I372)</f>
        <v>377990.76</v>
      </c>
      <c r="J11" s="46">
        <f t="shared" si="0"/>
        <v>0.40300909722660938</v>
      </c>
    </row>
    <row r="12" spans="4:10" x14ac:dyDescent="0.2">
      <c r="D12" s="47" t="s">
        <v>420</v>
      </c>
      <c r="E12" s="48">
        <f>SUM(E373:E374)</f>
        <v>476476</v>
      </c>
      <c r="F12" s="50">
        <f>SUM(F373:F374)</f>
        <v>441383.51999999996</v>
      </c>
      <c r="G12" s="48">
        <f>SUM(G373:G374)</f>
        <v>35092.480000000025</v>
      </c>
      <c r="H12" s="50">
        <f>SUM(H373:H374)</f>
        <v>220885.53</v>
      </c>
      <c r="I12" s="48">
        <f>SUM(I373:I374)</f>
        <v>255590.47</v>
      </c>
      <c r="J12" s="46">
        <f t="shared" si="0"/>
        <v>0.46358164944299396</v>
      </c>
    </row>
    <row r="13" spans="4:10" x14ac:dyDescent="0.2">
      <c r="D13" s="47" t="s">
        <v>421</v>
      </c>
      <c r="E13" s="48">
        <f>SUM(E375:E409)</f>
        <v>85445997</v>
      </c>
      <c r="F13" s="48">
        <f>SUM(F375:F409)</f>
        <v>37103889.289999999</v>
      </c>
      <c r="G13" s="48">
        <f>SUM(G375:G409)</f>
        <v>48342107.710000008</v>
      </c>
      <c r="H13" s="48">
        <f>SUM(H375:H409)</f>
        <v>24508853.169999998</v>
      </c>
      <c r="I13" s="48">
        <f>SUM(I375:I409)</f>
        <v>60937143.829999998</v>
      </c>
      <c r="J13" s="46">
        <f t="shared" si="0"/>
        <v>0.28683442209703514</v>
      </c>
    </row>
    <row r="14" spans="4:10" x14ac:dyDescent="0.2">
      <c r="D14" s="47" t="s">
        <v>455</v>
      </c>
      <c r="E14" s="48">
        <f>SUM(E410:E421)</f>
        <v>13091228</v>
      </c>
      <c r="F14" s="48">
        <f>SUM(F410:F421)</f>
        <v>9081553.0899999999</v>
      </c>
      <c r="G14" s="48">
        <f>SUM(G410:G421)</f>
        <v>4009674.9099999997</v>
      </c>
      <c r="H14" s="48">
        <f>SUM(H410:H421)</f>
        <v>2073610.23</v>
      </c>
      <c r="I14" s="48">
        <f>SUM(I410:I421)</f>
        <v>11017617.77</v>
      </c>
      <c r="J14" s="46">
        <f t="shared" si="0"/>
        <v>0.15839692273329897</v>
      </c>
    </row>
    <row r="15" spans="4:10" x14ac:dyDescent="0.2">
      <c r="D15" s="47" t="s">
        <v>456</v>
      </c>
      <c r="E15" s="48">
        <f>SUM(E422:E423)</f>
        <v>1337404</v>
      </c>
      <c r="F15" s="50">
        <f>SUM(F422:F423)</f>
        <v>1268831.3999999999</v>
      </c>
      <c r="G15" s="48">
        <f>SUM(G422:G423)</f>
        <v>68572.600000000093</v>
      </c>
      <c r="H15" s="50">
        <f>SUM(H422:H423)</f>
        <v>1125947.1599999999</v>
      </c>
      <c r="I15" s="48">
        <f>SUM(I422:I423)</f>
        <v>211456.84000000005</v>
      </c>
      <c r="J15" s="46">
        <f t="shared" si="0"/>
        <v>0.84189007958702078</v>
      </c>
    </row>
    <row r="16" spans="4:10" x14ac:dyDescent="0.2">
      <c r="D16" s="47" t="s">
        <v>457</v>
      </c>
      <c r="E16" s="48" t="e">
        <f>SUM(E424:E441)</f>
        <v>#REF!</v>
      </c>
      <c r="F16" s="48" t="e">
        <f>SUM(F424:F441)</f>
        <v>#REF!</v>
      </c>
      <c r="G16" s="48" t="e">
        <f>SUM(G424:G441)</f>
        <v>#REF!</v>
      </c>
      <c r="H16" s="48" t="e">
        <f>SUM(H424:H441)</f>
        <v>#REF!</v>
      </c>
      <c r="I16" s="48" t="e">
        <f>SUM(I424:I441)</f>
        <v>#REF!</v>
      </c>
      <c r="J16" s="46" t="e">
        <f t="shared" si="0"/>
        <v>#REF!</v>
      </c>
    </row>
    <row r="17" spans="1:12" x14ac:dyDescent="0.2">
      <c r="D17" s="47" t="s">
        <v>458</v>
      </c>
      <c r="E17" s="48">
        <f>SUM(E442:E447)</f>
        <v>18111731</v>
      </c>
      <c r="F17" s="50">
        <f>SUM(F442:F447)</f>
        <v>16229171.77</v>
      </c>
      <c r="G17" s="48">
        <f>SUM(G442:G447)</f>
        <v>1882559.2299999995</v>
      </c>
      <c r="H17" s="50">
        <f>SUM(H442:H447)</f>
        <v>9673319.4999999981</v>
      </c>
      <c r="I17" s="48">
        <f>SUM(I442:I447)</f>
        <v>8438411.5</v>
      </c>
      <c r="J17" s="46">
        <f t="shared" si="0"/>
        <v>0.53409138530160361</v>
      </c>
    </row>
    <row r="18" spans="1:12" x14ac:dyDescent="0.2">
      <c r="D18" s="47" t="s">
        <v>459</v>
      </c>
      <c r="E18" s="48">
        <f>SUM(E448:E455)</f>
        <v>11654922</v>
      </c>
      <c r="F18" s="48">
        <f>SUM(F448:F455)</f>
        <v>10555389.870000001</v>
      </c>
      <c r="G18" s="48">
        <f>SUM(G448:G455)</f>
        <v>1099532.1299999997</v>
      </c>
      <c r="H18" s="48">
        <f>SUM(H448:H455)</f>
        <v>7421375.209999999</v>
      </c>
      <c r="I18" s="48">
        <f>SUM(I448:I455)</f>
        <v>4233546.790000001</v>
      </c>
      <c r="J18" s="46">
        <f t="shared" si="0"/>
        <v>0.63675889122209473</v>
      </c>
    </row>
    <row r="19" spans="1:12" x14ac:dyDescent="0.2">
      <c r="D19" s="47" t="s">
        <v>792</v>
      </c>
      <c r="E19" s="48">
        <f>SUM(E456)</f>
        <v>32592</v>
      </c>
      <c r="F19" s="50">
        <f>SUM(F456)</f>
        <v>0</v>
      </c>
      <c r="G19" s="48">
        <f>SUM(G456)</f>
        <v>32592</v>
      </c>
      <c r="H19" s="50">
        <f>SUM(H456)</f>
        <v>0</v>
      </c>
      <c r="I19" s="48">
        <f>SUM(I456)</f>
        <v>32592</v>
      </c>
      <c r="J19" s="46">
        <f t="shared" si="0"/>
        <v>0</v>
      </c>
    </row>
    <row r="20" spans="1:12" x14ac:dyDescent="0.2">
      <c r="D20" s="43"/>
      <c r="E20" s="44"/>
      <c r="F20" s="44"/>
      <c r="G20" s="44"/>
      <c r="H20" s="44"/>
      <c r="I20" s="44"/>
    </row>
    <row r="21" spans="1:12" x14ac:dyDescent="0.2">
      <c r="D21" s="43"/>
      <c r="E21" s="44"/>
      <c r="F21" s="44"/>
      <c r="G21" s="44"/>
      <c r="H21" s="44"/>
      <c r="I21" s="44"/>
    </row>
    <row r="23" spans="1:12" x14ac:dyDescent="0.2">
      <c r="A23" s="36" t="s">
        <v>3</v>
      </c>
      <c r="B23" s="36" t="s">
        <v>400</v>
      </c>
      <c r="C23" s="36" t="s">
        <v>412</v>
      </c>
      <c r="D23" s="36" t="s">
        <v>0</v>
      </c>
      <c r="E23" s="36" t="s">
        <v>401</v>
      </c>
      <c r="F23" s="36" t="s">
        <v>402</v>
      </c>
      <c r="G23" s="36" t="s">
        <v>403</v>
      </c>
      <c r="H23" s="36" t="s">
        <v>404</v>
      </c>
      <c r="I23" s="36" t="s">
        <v>405</v>
      </c>
      <c r="J23" s="36" t="s">
        <v>448</v>
      </c>
    </row>
    <row r="24" spans="1:12" ht="27" x14ac:dyDescent="0.2">
      <c r="A24" s="37">
        <v>1</v>
      </c>
      <c r="B24" s="37" t="s">
        <v>534</v>
      </c>
      <c r="C24" s="37" t="s">
        <v>413</v>
      </c>
      <c r="D24" s="39" t="s">
        <v>189</v>
      </c>
      <c r="E24" s="38">
        <f>IF([2]AA!D2&lt;&gt;"",[2]AA!D2,"")</f>
        <v>767303</v>
      </c>
      <c r="F24" s="38">
        <f>IF([2]AA!E2&lt;&gt;"",[2]AA!E2,"")</f>
        <v>109951.3</v>
      </c>
      <c r="G24" s="38">
        <f>IF([2]AA!F2&lt;&gt;"",[2]AA!F2,"")</f>
        <v>657351.69999999995</v>
      </c>
      <c r="H24" s="38">
        <f>IF([2]AA!G2&lt;&gt;"",[2]AA!G2,"")</f>
        <v>74825.14</v>
      </c>
      <c r="I24" s="38">
        <f>IF([2]AA!H2&lt;&gt;"",[2]AA!H2,"")</f>
        <v>692477.86</v>
      </c>
      <c r="J24" s="58">
        <f t="shared" ref="J24:J59" si="1">H24/E24</f>
        <v>9.7517069527943978E-2</v>
      </c>
      <c r="K24" t="str">
        <f t="shared" ref="K24:K72" si="2">MID(D24,1,7)</f>
        <v>2027881</v>
      </c>
      <c r="L24" t="str">
        <f t="shared" ref="L24:L72" si="3">C24</f>
        <v>GRI-AD</v>
      </c>
    </row>
    <row r="25" spans="1:12" ht="18" x14ac:dyDescent="0.2">
      <c r="A25" s="37">
        <v>2</v>
      </c>
      <c r="B25" s="37" t="s">
        <v>535</v>
      </c>
      <c r="C25" s="37" t="s">
        <v>413</v>
      </c>
      <c r="D25" s="39" t="s">
        <v>250</v>
      </c>
      <c r="E25" s="38">
        <f>IF([2]AA!D3&lt;&gt;"",[2]AA!D3,"")</f>
        <v>4143455</v>
      </c>
      <c r="F25" s="38">
        <f>IF([2]AA!E3&lt;&gt;"",[2]AA!E3,"")</f>
        <v>4043454.41</v>
      </c>
      <c r="G25" s="38">
        <f>IF([2]AA!F3&lt;&gt;"",[2]AA!F3,"")</f>
        <v>100000.58999999985</v>
      </c>
      <c r="H25" s="38">
        <f>IF([2]AA!G3&lt;&gt;"",[2]AA!G3,"")</f>
        <v>4043454.41</v>
      </c>
      <c r="I25" s="38">
        <f>IF([2]AA!H3&lt;&gt;"",[2]AA!H3,"")</f>
        <v>100000.58999999985</v>
      </c>
      <c r="J25" s="58">
        <f t="shared" si="1"/>
        <v>0.97586540942281264</v>
      </c>
      <c r="K25" t="str">
        <f t="shared" si="2"/>
        <v>2108576</v>
      </c>
      <c r="L25" t="str">
        <f t="shared" si="3"/>
        <v>GRI-AD</v>
      </c>
    </row>
    <row r="26" spans="1:12" ht="45" x14ac:dyDescent="0.2">
      <c r="A26" s="37">
        <v>3</v>
      </c>
      <c r="B26" s="37" t="s">
        <v>536</v>
      </c>
      <c r="C26" s="37" t="s">
        <v>413</v>
      </c>
      <c r="D26" s="39" t="s">
        <v>509</v>
      </c>
      <c r="E26" s="38">
        <f>IF([2]AA!D11&lt;&gt;"",[2]AA!D11,"")</f>
        <v>357505</v>
      </c>
      <c r="F26" s="38">
        <f>IF([2]AA!E11&lt;&gt;"",[2]AA!E11,"")</f>
        <v>77427</v>
      </c>
      <c r="G26" s="38">
        <f>IF([2]AA!F11&lt;&gt;"",[2]AA!F11,"")</f>
        <v>280078</v>
      </c>
      <c r="H26" s="38">
        <f>IF([2]AA!G11&lt;&gt;"",[2]AA!G11,"")</f>
        <v>76159.180000000008</v>
      </c>
      <c r="I26" s="38">
        <f>IF([2]AA!H11&lt;&gt;"",[2]AA!H11,"")</f>
        <v>281345.82</v>
      </c>
      <c r="J26" s="58">
        <f t="shared" si="1"/>
        <v>0.2130296918924211</v>
      </c>
      <c r="K26" t="str">
        <f t="shared" si="2"/>
        <v>2165276</v>
      </c>
      <c r="L26" t="str">
        <f t="shared" si="3"/>
        <v>GRI-AD</v>
      </c>
    </row>
    <row r="27" spans="1:12" ht="45" x14ac:dyDescent="0.2">
      <c r="A27" s="37">
        <v>4</v>
      </c>
      <c r="B27" s="37" t="s">
        <v>537</v>
      </c>
      <c r="C27" s="37" t="s">
        <v>413</v>
      </c>
      <c r="D27" s="39" t="s">
        <v>266</v>
      </c>
      <c r="E27" s="38">
        <f>IF([2]AA!D13&lt;&gt;"",[2]AA!D13,"")</f>
        <v>17477</v>
      </c>
      <c r="F27" s="38">
        <f>IF([2]AA!E13&lt;&gt;"",[2]AA!E13,"")</f>
        <v>0</v>
      </c>
      <c r="G27" s="38">
        <f>IF([2]AA!F13&lt;&gt;"",[2]AA!F13,"")</f>
        <v>17477</v>
      </c>
      <c r="H27" s="38">
        <f>IF([2]AA!G13&lt;&gt;"",[2]AA!G13,"")</f>
        <v>0</v>
      </c>
      <c r="I27" s="38">
        <f>IF([2]AA!H13&lt;&gt;"",[2]AA!H13,"")</f>
        <v>17477</v>
      </c>
      <c r="J27" s="58">
        <f t="shared" si="1"/>
        <v>0</v>
      </c>
      <c r="K27" t="str">
        <f t="shared" si="2"/>
        <v>2194462</v>
      </c>
      <c r="L27" t="str">
        <f t="shared" si="3"/>
        <v>GRI-AD</v>
      </c>
    </row>
    <row r="28" spans="1:12" ht="36" x14ac:dyDescent="0.2">
      <c r="A28" s="37">
        <v>5</v>
      </c>
      <c r="B28" s="37" t="s">
        <v>538</v>
      </c>
      <c r="C28" s="37" t="s">
        <v>413</v>
      </c>
      <c r="D28" s="39" t="s">
        <v>511</v>
      </c>
      <c r="E28" s="38">
        <f>IF([2]AA!D15&lt;&gt;"",[2]AA!D15,"")</f>
        <v>4291327</v>
      </c>
      <c r="F28" s="38">
        <f>IF([2]AA!E15&lt;&gt;"",[2]AA!E15,"")</f>
        <v>4215545.6500000004</v>
      </c>
      <c r="G28" s="38">
        <f>IF([2]AA!F15&lt;&gt;"",[2]AA!F15,"")</f>
        <v>75781.350000000093</v>
      </c>
      <c r="H28" s="38">
        <f>IF([2]AA!G15&lt;&gt;"",[2]AA!G15,"")</f>
        <v>3439618.01</v>
      </c>
      <c r="I28" s="38">
        <f>IF([2]AA!H15&lt;&gt;"",[2]AA!H15,"")</f>
        <v>851708.99</v>
      </c>
      <c r="J28" s="58">
        <f t="shared" si="1"/>
        <v>0.80152782810538559</v>
      </c>
      <c r="K28" t="str">
        <f t="shared" si="2"/>
        <v>2194504</v>
      </c>
      <c r="L28" t="str">
        <f t="shared" si="3"/>
        <v>GRI-AD</v>
      </c>
    </row>
    <row r="29" spans="1:12" ht="45" x14ac:dyDescent="0.2">
      <c r="A29" s="37">
        <v>6</v>
      </c>
      <c r="B29" s="37" t="s">
        <v>539</v>
      </c>
      <c r="C29" s="37" t="s">
        <v>413</v>
      </c>
      <c r="D29" s="39" t="s">
        <v>512</v>
      </c>
      <c r="E29" s="38">
        <f>IF([2]AA!D16&lt;&gt;"",[2]AA!D16,"")</f>
        <v>909204</v>
      </c>
      <c r="F29" s="38">
        <f>IF([2]AA!E16&lt;&gt;"",[2]AA!E16,"")</f>
        <v>732638.17</v>
      </c>
      <c r="G29" s="38">
        <f>IF([2]AA!F16&lt;&gt;"",[2]AA!F16,"")</f>
        <v>176565.83000000002</v>
      </c>
      <c r="H29" s="38">
        <f>IF([2]AA!G16&lt;&gt;"",[2]AA!G16,"")</f>
        <v>680995.61</v>
      </c>
      <c r="I29" s="38">
        <f>IF([2]AA!H16&lt;&gt;"",[2]AA!H16,"")</f>
        <v>228208.39</v>
      </c>
      <c r="J29" s="58">
        <f t="shared" si="1"/>
        <v>0.7490019951518031</v>
      </c>
      <c r="K29" t="str">
        <f t="shared" si="2"/>
        <v>2244071</v>
      </c>
      <c r="L29" t="str">
        <f t="shared" si="3"/>
        <v>GRI-AD</v>
      </c>
    </row>
    <row r="30" spans="1:12" ht="36" x14ac:dyDescent="0.2">
      <c r="A30" s="37">
        <v>7</v>
      </c>
      <c r="B30" s="37" t="s">
        <v>540</v>
      </c>
      <c r="C30" s="37" t="s">
        <v>413</v>
      </c>
      <c r="D30" s="39" t="s">
        <v>513</v>
      </c>
      <c r="E30" s="38">
        <f>IF([2]AA!D17&lt;&gt;"",[2]AA!D17,"")</f>
        <v>2120577</v>
      </c>
      <c r="F30" s="38">
        <f>IF([2]AA!E17&lt;&gt;"",[2]AA!E17,"")</f>
        <v>2120577</v>
      </c>
      <c r="G30" s="38">
        <f>IF([2]AA!F17&lt;&gt;"",[2]AA!F17,"")</f>
        <v>0</v>
      </c>
      <c r="H30" s="38">
        <f>IF([2]AA!G17&lt;&gt;"",[2]AA!G17,"")</f>
        <v>1231974.1200000001</v>
      </c>
      <c r="I30" s="38">
        <f>IF([2]AA!H17&lt;&gt;"",[2]AA!H17,"")</f>
        <v>888602.87999999989</v>
      </c>
      <c r="J30" s="58">
        <f t="shared" si="1"/>
        <v>0.58096174767527897</v>
      </c>
      <c r="K30" t="str">
        <f t="shared" si="2"/>
        <v>2250558</v>
      </c>
      <c r="L30" t="str">
        <f t="shared" si="3"/>
        <v>GRI-AD</v>
      </c>
    </row>
    <row r="31" spans="1:12" ht="36" x14ac:dyDescent="0.2">
      <c r="A31" s="37">
        <v>8</v>
      </c>
      <c r="B31" s="53" t="s">
        <v>619</v>
      </c>
      <c r="C31" s="53" t="s">
        <v>413</v>
      </c>
      <c r="D31" s="54" t="s">
        <v>271</v>
      </c>
      <c r="E31" s="55">
        <f>IF([2]AA!D18&lt;&gt;"",[2]AA!D18,"")</f>
        <v>2397647</v>
      </c>
      <c r="F31" s="55">
        <f>IF([2]AA!E18&lt;&gt;"",[2]AA!E18,"")</f>
        <v>2036808.03</v>
      </c>
      <c r="G31" s="55">
        <f>IF([2]AA!F18&lt;&gt;"",[2]AA!F18,"")</f>
        <v>360838.97000000003</v>
      </c>
      <c r="H31" s="55">
        <f>IF([2]AA!G18&lt;&gt;"",[2]AA!G18,"")</f>
        <v>1918482.46</v>
      </c>
      <c r="I31" s="55">
        <f>IF([2]AA!H18&lt;&gt;"",[2]AA!H18,"")</f>
        <v>479164.54000000004</v>
      </c>
      <c r="J31" s="59">
        <f t="shared" si="1"/>
        <v>0.80015217419411611</v>
      </c>
      <c r="K31" t="str">
        <f t="shared" si="2"/>
        <v>2284935</v>
      </c>
      <c r="L31" t="str">
        <f t="shared" si="3"/>
        <v>GRI-AD</v>
      </c>
    </row>
    <row r="32" spans="1:12" ht="45" x14ac:dyDescent="0.2">
      <c r="A32" s="37">
        <v>9</v>
      </c>
      <c r="B32" s="37" t="s">
        <v>541</v>
      </c>
      <c r="C32" s="37" t="s">
        <v>413</v>
      </c>
      <c r="D32" s="39" t="s">
        <v>272</v>
      </c>
      <c r="E32" s="38">
        <f>IF([2]AA!D20&lt;&gt;"",[2]AA!D20,"")</f>
        <v>100000</v>
      </c>
      <c r="F32" s="38">
        <f>IF([2]AA!E20&lt;&gt;"",[2]AA!E20,"")</f>
        <v>60000</v>
      </c>
      <c r="G32" s="38">
        <f>IF([2]AA!F20&lt;&gt;"",[2]AA!F20,"")</f>
        <v>40000</v>
      </c>
      <c r="H32" s="38">
        <f>IF([2]AA!G20&lt;&gt;"",[2]AA!G20,"")</f>
        <v>53585.48</v>
      </c>
      <c r="I32" s="38">
        <f>IF([2]AA!H20&lt;&gt;"",[2]AA!H20,"")</f>
        <v>46414.52</v>
      </c>
      <c r="J32" s="58">
        <f t="shared" si="1"/>
        <v>0.53585480000000008</v>
      </c>
      <c r="K32" t="str">
        <f t="shared" si="2"/>
        <v>2301117</v>
      </c>
      <c r="L32" t="str">
        <f t="shared" si="3"/>
        <v>GRI-AD</v>
      </c>
    </row>
    <row r="33" spans="1:12" ht="45" x14ac:dyDescent="0.2">
      <c r="A33" s="37">
        <v>10</v>
      </c>
      <c r="B33" s="37" t="s">
        <v>542</v>
      </c>
      <c r="C33" s="37" t="s">
        <v>413</v>
      </c>
      <c r="D33" s="39" t="s">
        <v>276</v>
      </c>
      <c r="E33" s="38">
        <f>IF([2]AA!D22&lt;&gt;"",[2]AA!D22,"")</f>
        <v>13266014</v>
      </c>
      <c r="F33" s="38">
        <f>IF([2]AA!E22&lt;&gt;"",[2]AA!E22,"")</f>
        <v>12499370.98</v>
      </c>
      <c r="G33" s="38">
        <f>IF([2]AA!F22&lt;&gt;"",[2]AA!F22,"")</f>
        <v>766643.01999999967</v>
      </c>
      <c r="H33" s="38">
        <f>IF([2]AA!G22&lt;&gt;"",[2]AA!G22,"")</f>
        <v>7221946.4300000006</v>
      </c>
      <c r="I33" s="38">
        <f>IF([2]AA!H22&lt;&gt;"",[2]AA!H22,"")</f>
        <v>6044067.5700000003</v>
      </c>
      <c r="J33" s="58">
        <f t="shared" si="1"/>
        <v>0.54439460338274936</v>
      </c>
      <c r="K33" t="str">
        <f t="shared" si="2"/>
        <v>2344324</v>
      </c>
      <c r="L33" t="str">
        <f t="shared" si="3"/>
        <v>GRI-AD</v>
      </c>
    </row>
    <row r="34" spans="1:12" ht="45" x14ac:dyDescent="0.2">
      <c r="A34" s="37">
        <v>11</v>
      </c>
      <c r="B34" s="37" t="s">
        <v>543</v>
      </c>
      <c r="C34" s="37" t="s">
        <v>413</v>
      </c>
      <c r="D34" s="39" t="s">
        <v>198</v>
      </c>
      <c r="E34" s="38">
        <f>IF([2]AA!D23&lt;&gt;"",[2]AA!D23,"")</f>
        <v>19102343</v>
      </c>
      <c r="F34" s="38">
        <f>IF([2]AA!E23&lt;&gt;"",[2]AA!E23,"")</f>
        <v>18486105.460000001</v>
      </c>
      <c r="G34" s="38">
        <f>IF([2]AA!F23&lt;&gt;"",[2]AA!F23,"")</f>
        <v>616237.54</v>
      </c>
      <c r="H34" s="38">
        <f>IF([2]AA!G23&lt;&gt;"",[2]AA!G23,"")</f>
        <v>2983337.4499999997</v>
      </c>
      <c r="I34" s="38">
        <f>IF([2]AA!H23&lt;&gt;"",[2]AA!H23,"")</f>
        <v>16119005.549999999</v>
      </c>
      <c r="J34" s="58">
        <f t="shared" si="1"/>
        <v>0.15617651981225547</v>
      </c>
      <c r="K34" t="str">
        <f t="shared" si="2"/>
        <v>2357322</v>
      </c>
      <c r="L34" t="str">
        <f t="shared" si="3"/>
        <v>GRI-AD</v>
      </c>
    </row>
    <row r="35" spans="1:12" ht="45" x14ac:dyDescent="0.2">
      <c r="A35" s="37">
        <v>12</v>
      </c>
      <c r="B35" s="37" t="s">
        <v>545</v>
      </c>
      <c r="C35" s="37" t="s">
        <v>413</v>
      </c>
      <c r="D35" s="39" t="s">
        <v>280</v>
      </c>
      <c r="E35" s="38">
        <f>IF([2]AA!D26&lt;&gt;"",[2]AA!D26,"")</f>
        <v>175369</v>
      </c>
      <c r="F35" s="38">
        <f>IF([2]AA!E26&lt;&gt;"",[2]AA!E26,"")</f>
        <v>50132</v>
      </c>
      <c r="G35" s="38">
        <f>IF([2]AA!F26&lt;&gt;"",[2]AA!F26,"")</f>
        <v>125237</v>
      </c>
      <c r="H35" s="38">
        <f>IF([2]AA!G26&lt;&gt;"",[2]AA!G26,"")</f>
        <v>47450.05</v>
      </c>
      <c r="I35" s="38">
        <f>IF([2]AA!H26&lt;&gt;"",[2]AA!H26,"")</f>
        <v>127918.95</v>
      </c>
      <c r="J35" s="58">
        <f t="shared" si="1"/>
        <v>0.2705726211588137</v>
      </c>
      <c r="K35" t="str">
        <f t="shared" si="2"/>
        <v>2385673</v>
      </c>
      <c r="L35" t="str">
        <f t="shared" si="3"/>
        <v>GRI-AD</v>
      </c>
    </row>
    <row r="36" spans="1:12" ht="36" x14ac:dyDescent="0.2">
      <c r="A36" s="37">
        <v>13</v>
      </c>
      <c r="B36" s="37" t="s">
        <v>546</v>
      </c>
      <c r="C36" s="37" t="s">
        <v>413</v>
      </c>
      <c r="D36" s="39" t="s">
        <v>206</v>
      </c>
      <c r="E36" s="38">
        <f>IF([2]AA!D28&lt;&gt;"",[2]AA!D28,"")</f>
        <v>5465264</v>
      </c>
      <c r="F36" s="38">
        <f>IF([2]AA!E28&lt;&gt;"",[2]AA!E28,"")</f>
        <v>4172720.92</v>
      </c>
      <c r="G36" s="38">
        <f>IF([2]AA!F28&lt;&gt;"",[2]AA!F28,"")</f>
        <v>1292543.0799999998</v>
      </c>
      <c r="H36" s="38">
        <f>IF([2]AA!G28&lt;&gt;"",[2]AA!G28,"")</f>
        <v>2669203.9799999995</v>
      </c>
      <c r="I36" s="38">
        <f>IF([2]AA!H28&lt;&gt;"",[2]AA!H28,"")</f>
        <v>2796060.02</v>
      </c>
      <c r="J36" s="58">
        <f t="shared" si="1"/>
        <v>0.48839433557098055</v>
      </c>
      <c r="K36" t="str">
        <f t="shared" si="2"/>
        <v>2411335</v>
      </c>
      <c r="L36" t="str">
        <f t="shared" si="3"/>
        <v>GRI-AD</v>
      </c>
    </row>
    <row r="37" spans="1:12" ht="45" x14ac:dyDescent="0.2">
      <c r="A37" s="37">
        <v>14</v>
      </c>
      <c r="B37" s="53" t="s">
        <v>640</v>
      </c>
      <c r="C37" s="53" t="s">
        <v>413</v>
      </c>
      <c r="D37" s="54" t="s">
        <v>282</v>
      </c>
      <c r="E37" s="55">
        <f>IF([2]AA!D29&lt;&gt;"",[2]AA!D29,"")</f>
        <v>58259</v>
      </c>
      <c r="F37" s="55">
        <f>IF([2]AA!E29&lt;&gt;"",[2]AA!E29,"")</f>
        <v>58259</v>
      </c>
      <c r="G37" s="55">
        <f>IF([2]AA!F29&lt;&gt;"",[2]AA!F29,"")</f>
        <v>0</v>
      </c>
      <c r="H37" s="55">
        <f>IF([2]AA!G29&lt;&gt;"",[2]AA!G29,"")</f>
        <v>30229.29</v>
      </c>
      <c r="I37" s="55">
        <f>IF([2]AA!H29&lt;&gt;"",[2]AA!H29,"")</f>
        <v>28029.71</v>
      </c>
      <c r="J37" s="59">
        <f t="shared" si="1"/>
        <v>0.51887759831099056</v>
      </c>
      <c r="K37" t="str">
        <f t="shared" si="2"/>
        <v>2411336</v>
      </c>
      <c r="L37" t="str">
        <f t="shared" si="3"/>
        <v>GRI-AD</v>
      </c>
    </row>
    <row r="38" spans="1:12" ht="45" x14ac:dyDescent="0.2">
      <c r="A38" s="37">
        <v>15</v>
      </c>
      <c r="B38" s="37" t="s">
        <v>547</v>
      </c>
      <c r="C38" s="37" t="s">
        <v>413</v>
      </c>
      <c r="D38" s="39" t="s">
        <v>284</v>
      </c>
      <c r="E38" s="38">
        <f>IF([2]AA!D31&lt;&gt;"",[2]AA!D31,"")</f>
        <v>100000</v>
      </c>
      <c r="F38" s="38">
        <f>IF([2]AA!E31&lt;&gt;"",[2]AA!E31,"")</f>
        <v>100000</v>
      </c>
      <c r="G38" s="38">
        <f>IF([2]AA!F31&lt;&gt;"",[2]AA!F31,"")</f>
        <v>0</v>
      </c>
      <c r="H38" s="38">
        <f>IF([2]AA!G31&lt;&gt;"",[2]AA!G31,"")</f>
        <v>45460.229999999996</v>
      </c>
      <c r="I38" s="38">
        <f>IF([2]AA!H31&lt;&gt;"",[2]AA!H31,"")</f>
        <v>54539.770000000004</v>
      </c>
      <c r="J38" s="58">
        <f t="shared" si="1"/>
        <v>0.45460229999999996</v>
      </c>
      <c r="K38" t="str">
        <f t="shared" si="2"/>
        <v>2467893</v>
      </c>
      <c r="L38" t="str">
        <f t="shared" si="3"/>
        <v>GRI-AD</v>
      </c>
    </row>
    <row r="39" spans="1:12" ht="27" x14ac:dyDescent="0.2">
      <c r="A39" s="37">
        <v>16</v>
      </c>
      <c r="B39" s="37" t="s">
        <v>548</v>
      </c>
      <c r="C39" s="37" t="s">
        <v>413</v>
      </c>
      <c r="D39" s="39" t="s">
        <v>262</v>
      </c>
      <c r="E39" s="38">
        <f>IF([2]AA!D39&lt;&gt;"",[2]AA!D39,"")</f>
        <v>250000</v>
      </c>
      <c r="F39" s="38">
        <f>IF([2]AA!E39&lt;&gt;"",[2]AA!E39,"")</f>
        <v>250000</v>
      </c>
      <c r="G39" s="38">
        <f>IF([2]AA!F39&lt;&gt;"",[2]AA!F39,"")</f>
        <v>0</v>
      </c>
      <c r="H39" s="38">
        <f>IF([2]AA!G39&lt;&gt;"",[2]AA!G39,"")</f>
        <v>187291.43</v>
      </c>
      <c r="I39" s="38">
        <f>IF([2]AA!H39&lt;&gt;"",[2]AA!H39,"")</f>
        <v>62708.570000000007</v>
      </c>
      <c r="J39" s="58">
        <f t="shared" si="1"/>
        <v>0.74916571999999992</v>
      </c>
      <c r="K39" t="str">
        <f t="shared" si="2"/>
        <v>2186641</v>
      </c>
      <c r="L39" t="str">
        <f t="shared" si="3"/>
        <v>GRI-AD</v>
      </c>
    </row>
    <row r="40" spans="1:12" ht="45" x14ac:dyDescent="0.2">
      <c r="A40" s="37">
        <v>17</v>
      </c>
      <c r="B40" s="37" t="s">
        <v>549</v>
      </c>
      <c r="C40" s="37" t="s">
        <v>413</v>
      </c>
      <c r="D40" s="39" t="s">
        <v>514</v>
      </c>
      <c r="E40" s="38">
        <f>IF([2]AA!D40&lt;&gt;"",[2]AA!D40,"")</f>
        <v>0</v>
      </c>
      <c r="F40" s="38">
        <f>IF([2]AA!E40&lt;&gt;"",[2]AA!E40,"")</f>
        <v>0</v>
      </c>
      <c r="G40" s="38">
        <f>IF([2]AA!F40&lt;&gt;"",[2]AA!F40,"")</f>
        <v>0</v>
      </c>
      <c r="H40" s="38">
        <f>IF([2]AA!G40&lt;&gt;"",[2]AA!G40,"")</f>
        <v>0</v>
      </c>
      <c r="I40" s="38">
        <f>IF([2]AA!H40&lt;&gt;"",[2]AA!H40,"")</f>
        <v>0</v>
      </c>
      <c r="J40" s="58" t="e">
        <f t="shared" si="1"/>
        <v>#DIV/0!</v>
      </c>
      <c r="K40" t="str">
        <f t="shared" si="2"/>
        <v>2188542</v>
      </c>
      <c r="L40" t="str">
        <f t="shared" si="3"/>
        <v>GRI-AD</v>
      </c>
    </row>
    <row r="41" spans="1:12" ht="63" x14ac:dyDescent="0.2">
      <c r="A41" s="37"/>
      <c r="B41" s="37">
        <v>53</v>
      </c>
      <c r="C41" s="37" t="s">
        <v>413</v>
      </c>
      <c r="D41" s="39" t="s">
        <v>398</v>
      </c>
      <c r="E41" s="38">
        <f>IF([2]AA!D43&lt;&gt;"",[2]AA!D43,"")</f>
        <v>112244</v>
      </c>
      <c r="F41" s="38">
        <f>IF([2]AA!E43&lt;&gt;"",[2]AA!E43,"")</f>
        <v>112243.56</v>
      </c>
      <c r="G41" s="38">
        <f>IF([2]AA!F43&lt;&gt;"",[2]AA!F43,"")</f>
        <v>0.44000000000232831</v>
      </c>
      <c r="H41" s="38">
        <f>IF([2]AA!G43&lt;&gt;"",[2]AA!G43,"")</f>
        <v>36882.92</v>
      </c>
      <c r="I41" s="38">
        <f>IF([2]AA!H43&lt;&gt;"",[2]AA!H43,"")</f>
        <v>75361.08</v>
      </c>
      <c r="J41" s="58">
        <f t="shared" si="1"/>
        <v>0.32859591604005556</v>
      </c>
    </row>
    <row r="42" spans="1:12" ht="72" x14ac:dyDescent="0.2">
      <c r="A42" s="37"/>
      <c r="B42" s="37">
        <v>55</v>
      </c>
      <c r="C42" s="37" t="s">
        <v>413</v>
      </c>
      <c r="D42" s="39" t="s">
        <v>396</v>
      </c>
      <c r="E42" s="38">
        <f>IF([2]AA!D45&lt;&gt;"",[2]AA!D45,"")</f>
        <v>99897</v>
      </c>
      <c r="F42" s="38">
        <f>IF([2]AA!E45&lt;&gt;"",[2]AA!E45,"")</f>
        <v>99879.63</v>
      </c>
      <c r="G42" s="38">
        <f>IF([2]AA!F45&lt;&gt;"",[2]AA!F45,"")</f>
        <v>17.369999999995343</v>
      </c>
      <c r="H42" s="38">
        <f>IF([2]AA!G45&lt;&gt;"",[2]AA!G45,"")</f>
        <v>70228.429999999993</v>
      </c>
      <c r="I42" s="38">
        <f>IF([2]AA!H45&lt;&gt;"",[2]AA!H45,"")</f>
        <v>29668.570000000007</v>
      </c>
      <c r="J42" s="58">
        <f t="shared" si="1"/>
        <v>0.70300839865061004</v>
      </c>
    </row>
    <row r="43" spans="1:12" ht="54" x14ac:dyDescent="0.2">
      <c r="A43" s="37"/>
      <c r="B43" s="37">
        <v>59</v>
      </c>
      <c r="C43" s="37" t="s">
        <v>413</v>
      </c>
      <c r="D43" s="39" t="s">
        <v>393</v>
      </c>
      <c r="E43" s="38">
        <f>IF([2]AA!D49&lt;&gt;"",[2]AA!D49,"")</f>
        <v>5000000</v>
      </c>
      <c r="F43" s="38">
        <f>IF([2]AA!E49&lt;&gt;"",[2]AA!E49,"")</f>
        <v>4938862.46</v>
      </c>
      <c r="G43" s="38">
        <f>IF([2]AA!F49&lt;&gt;"",[2]AA!F49,"")</f>
        <v>61137.540000000074</v>
      </c>
      <c r="H43" s="38">
        <f>IF([2]AA!G49&lt;&gt;"",[2]AA!G49,"")</f>
        <v>2241272.1599999997</v>
      </c>
      <c r="I43" s="38">
        <f>IF([2]AA!H49&lt;&gt;"",[2]AA!H49,"")</f>
        <v>2758727.84</v>
      </c>
      <c r="J43" s="58">
        <f t="shared" si="1"/>
        <v>0.44825443199999992</v>
      </c>
    </row>
    <row r="44" spans="1:12" ht="72" x14ac:dyDescent="0.2">
      <c r="A44" s="37"/>
      <c r="B44" s="37">
        <v>60</v>
      </c>
      <c r="C44" s="37" t="s">
        <v>413</v>
      </c>
      <c r="D44" s="39" t="s">
        <v>391</v>
      </c>
      <c r="E44" s="38">
        <f>IF([2]AA!D50&lt;&gt;"",[2]AA!D50,"")</f>
        <v>100000</v>
      </c>
      <c r="F44" s="38">
        <f>IF([2]AA!E50&lt;&gt;"",[2]AA!E50,"")</f>
        <v>0</v>
      </c>
      <c r="G44" s="38">
        <f>IF([2]AA!F50&lt;&gt;"",[2]AA!F50,"")</f>
        <v>100000</v>
      </c>
      <c r="H44" s="38">
        <f>IF([2]AA!G50&lt;&gt;"",[2]AA!G50,"")</f>
        <v>0</v>
      </c>
      <c r="I44" s="38">
        <f>IF([2]AA!H50&lt;&gt;"",[2]AA!H50,"")</f>
        <v>100000</v>
      </c>
      <c r="J44" s="58">
        <f t="shared" si="1"/>
        <v>0</v>
      </c>
    </row>
    <row r="45" spans="1:12" ht="90" x14ac:dyDescent="0.2">
      <c r="A45" s="37">
        <v>18</v>
      </c>
      <c r="B45" s="37" t="s">
        <v>551</v>
      </c>
      <c r="C45" s="37" t="s">
        <v>413</v>
      </c>
      <c r="D45" s="39" t="s">
        <v>357</v>
      </c>
      <c r="E45" s="38">
        <f>IF([2]AA!D54&lt;&gt;"",[2]AA!D54,"")</f>
        <v>2028388</v>
      </c>
      <c r="F45" s="38">
        <f>IF([2]AA!E54&lt;&gt;"",[2]AA!E54,"")</f>
        <v>2028388</v>
      </c>
      <c r="G45" s="38">
        <f>IF([2]AA!F54&lt;&gt;"",[2]AA!F54,"")</f>
        <v>0</v>
      </c>
      <c r="H45" s="38">
        <f>IF([2]AA!G54&lt;&gt;"",[2]AA!G54,"")</f>
        <v>1002005.56</v>
      </c>
      <c r="I45" s="38">
        <f>IF([2]AA!H54&lt;&gt;"",[2]AA!H54,"")</f>
        <v>1026382.44</v>
      </c>
      <c r="J45" s="58">
        <f t="shared" si="1"/>
        <v>0.49399107074188964</v>
      </c>
      <c r="K45" t="str">
        <f t="shared" si="2"/>
        <v>2627406</v>
      </c>
      <c r="L45" t="str">
        <f t="shared" si="3"/>
        <v>GRI-AD</v>
      </c>
    </row>
    <row r="46" spans="1:12" ht="36" x14ac:dyDescent="0.2">
      <c r="A46" s="37">
        <v>19</v>
      </c>
      <c r="B46" s="37" t="s">
        <v>552</v>
      </c>
      <c r="C46" s="37" t="s">
        <v>413</v>
      </c>
      <c r="D46" s="39" t="s">
        <v>227</v>
      </c>
      <c r="E46" s="38">
        <f>IF([2]AA!D55&lt;&gt;"",[2]AA!D55,"")</f>
        <v>3796481</v>
      </c>
      <c r="F46" s="38">
        <f>IF([2]AA!E55&lt;&gt;"",[2]AA!E55,"")</f>
        <v>3611305.48</v>
      </c>
      <c r="G46" s="38">
        <f>IF([2]AA!F55&lt;&gt;"",[2]AA!F55,"")</f>
        <v>185175.52000000002</v>
      </c>
      <c r="H46" s="38">
        <f>IF([2]AA!G55&lt;&gt;"",[2]AA!G55,"")</f>
        <v>2965.18</v>
      </c>
      <c r="I46" s="38">
        <f>IF([2]AA!H55&lt;&gt;"",[2]AA!H55,"")</f>
        <v>3793515.82</v>
      </c>
      <c r="J46" s="58">
        <f t="shared" si="1"/>
        <v>7.8103380472600804E-4</v>
      </c>
      <c r="K46" t="str">
        <f t="shared" si="2"/>
        <v>2031310</v>
      </c>
      <c r="L46" t="str">
        <f t="shared" si="3"/>
        <v>GRI-AD</v>
      </c>
    </row>
    <row r="47" spans="1:12" ht="27" x14ac:dyDescent="0.2">
      <c r="A47" s="37">
        <v>20</v>
      </c>
      <c r="B47" s="37" t="s">
        <v>553</v>
      </c>
      <c r="C47" s="37" t="s">
        <v>413</v>
      </c>
      <c r="D47" s="39" t="s">
        <v>228</v>
      </c>
      <c r="E47" s="38">
        <f>IF([2]AA!D56&lt;&gt;"",[2]AA!D56,"")</f>
        <v>2575916</v>
      </c>
      <c r="F47" s="38">
        <f>IF([2]AA!E56&lt;&gt;"",[2]AA!E56,"")</f>
        <v>2392219</v>
      </c>
      <c r="G47" s="38">
        <f>IF([2]AA!F56&lt;&gt;"",[2]AA!F56,"")</f>
        <v>183697</v>
      </c>
      <c r="H47" s="38">
        <f>IF([2]AA!G56&lt;&gt;"",[2]AA!G56,"")</f>
        <v>0</v>
      </c>
      <c r="I47" s="38">
        <f>IF([2]AA!H56&lt;&gt;"",[2]AA!H56,"")</f>
        <v>2575916</v>
      </c>
      <c r="J47" s="58">
        <f t="shared" si="1"/>
        <v>0</v>
      </c>
      <c r="K47" t="str">
        <f t="shared" si="2"/>
        <v>2055915</v>
      </c>
      <c r="L47" t="str">
        <f t="shared" si="3"/>
        <v>GRI-AD</v>
      </c>
    </row>
    <row r="48" spans="1:12" ht="45" x14ac:dyDescent="0.2">
      <c r="A48" s="37">
        <v>21</v>
      </c>
      <c r="B48" s="37" t="s">
        <v>554</v>
      </c>
      <c r="C48" s="37" t="s">
        <v>413</v>
      </c>
      <c r="D48" s="39" t="s">
        <v>288</v>
      </c>
      <c r="E48" s="38">
        <f>IF([2]AA!D57&lt;&gt;"",[2]AA!D57,"")</f>
        <v>48882</v>
      </c>
      <c r="F48" s="38">
        <f>IF([2]AA!E57&lt;&gt;"",[2]AA!E57,"")</f>
        <v>30000</v>
      </c>
      <c r="G48" s="38">
        <f>IF([2]AA!F57&lt;&gt;"",[2]AA!F57,"")</f>
        <v>18882</v>
      </c>
      <c r="H48" s="38">
        <f>IF([2]AA!G57&lt;&gt;"",[2]AA!G57,"")</f>
        <v>0</v>
      </c>
      <c r="I48" s="38">
        <f>IF([2]AA!H57&lt;&gt;"",[2]AA!H57,"")</f>
        <v>48882</v>
      </c>
      <c r="J48" s="58">
        <f t="shared" si="1"/>
        <v>0</v>
      </c>
      <c r="K48" t="str">
        <f t="shared" si="2"/>
        <v>2131389</v>
      </c>
      <c r="L48" t="str">
        <f t="shared" si="3"/>
        <v>GRI-AD</v>
      </c>
    </row>
    <row r="49" spans="1:12" ht="27" x14ac:dyDescent="0.2">
      <c r="A49" s="37">
        <v>22</v>
      </c>
      <c r="B49" s="37" t="s">
        <v>555</v>
      </c>
      <c r="C49" s="37" t="s">
        <v>413</v>
      </c>
      <c r="D49" s="39" t="s">
        <v>229</v>
      </c>
      <c r="E49" s="38">
        <f>IF([2]AA!D58&lt;&gt;"",[2]AA!D58,"")</f>
        <v>38244</v>
      </c>
      <c r="F49" s="38">
        <f>IF([2]AA!E58&lt;&gt;"",[2]AA!E58,"")</f>
        <v>25418</v>
      </c>
      <c r="G49" s="38">
        <f>IF([2]AA!F58&lt;&gt;"",[2]AA!F58,"")</f>
        <v>12826</v>
      </c>
      <c r="H49" s="38">
        <f>IF([2]AA!G58&lt;&gt;"",[2]AA!G58,"")</f>
        <v>0</v>
      </c>
      <c r="I49" s="38">
        <f>IF([2]AA!H58&lt;&gt;"",[2]AA!H58,"")</f>
        <v>38244</v>
      </c>
      <c r="J49" s="58">
        <f t="shared" si="1"/>
        <v>0</v>
      </c>
      <c r="K49" t="str">
        <f t="shared" si="2"/>
        <v>2131661</v>
      </c>
      <c r="L49" t="str">
        <f t="shared" si="3"/>
        <v>GRI-AD</v>
      </c>
    </row>
    <row r="50" spans="1:12" ht="36" x14ac:dyDescent="0.2">
      <c r="A50" s="37">
        <v>23</v>
      </c>
      <c r="B50" s="37" t="s">
        <v>556</v>
      </c>
      <c r="C50" s="37" t="s">
        <v>413</v>
      </c>
      <c r="D50" s="39" t="s">
        <v>515</v>
      </c>
      <c r="E50" s="38">
        <f>IF([2]AA!D60&lt;&gt;"",[2]AA!D60,"")</f>
        <v>2054253</v>
      </c>
      <c r="F50" s="38">
        <f>IF([2]AA!E60&lt;&gt;"",[2]AA!E60,"")</f>
        <v>1854253</v>
      </c>
      <c r="G50" s="38">
        <f>IF([2]AA!F60&lt;&gt;"",[2]AA!F60,"")</f>
        <v>200000</v>
      </c>
      <c r="H50" s="38">
        <f>IF([2]AA!G60&lt;&gt;"",[2]AA!G60,"")</f>
        <v>0</v>
      </c>
      <c r="I50" s="38">
        <f>IF([2]AA!H60&lt;&gt;"",[2]AA!H60,"")</f>
        <v>2054253</v>
      </c>
      <c r="J50" s="58">
        <f t="shared" si="1"/>
        <v>0</v>
      </c>
      <c r="K50" t="str">
        <f t="shared" si="2"/>
        <v>2161480</v>
      </c>
      <c r="L50" t="str">
        <f t="shared" si="3"/>
        <v>GRI-AD</v>
      </c>
    </row>
    <row r="51" spans="1:12" ht="36" x14ac:dyDescent="0.2">
      <c r="A51" s="37">
        <v>24</v>
      </c>
      <c r="B51" s="37" t="s">
        <v>557</v>
      </c>
      <c r="C51" s="37" t="s">
        <v>413</v>
      </c>
      <c r="D51" s="39" t="s">
        <v>231</v>
      </c>
      <c r="E51" s="38">
        <f>IF([2]AA!D61&lt;&gt;"",[2]AA!D61,"")</f>
        <v>3067172</v>
      </c>
      <c r="F51" s="38">
        <f>IF([2]AA!E61&lt;&gt;"",[2]AA!E61,"")</f>
        <v>1807009</v>
      </c>
      <c r="G51" s="38">
        <f>IF([2]AA!F61&lt;&gt;"",[2]AA!F61,"")</f>
        <v>1260163</v>
      </c>
      <c r="H51" s="38">
        <f>IF([2]AA!G61&lt;&gt;"",[2]AA!G61,"")</f>
        <v>3589.2700000000004</v>
      </c>
      <c r="I51" s="38">
        <f>IF([2]AA!H61&lt;&gt;"",[2]AA!H61,"")</f>
        <v>3063582.73</v>
      </c>
      <c r="J51" s="58">
        <f t="shared" si="1"/>
        <v>1.1702212983164949E-3</v>
      </c>
      <c r="K51" t="str">
        <f t="shared" si="2"/>
        <v>2163760</v>
      </c>
      <c r="L51" t="str">
        <f t="shared" si="3"/>
        <v>GRI-AD</v>
      </c>
    </row>
    <row r="52" spans="1:12" ht="36" x14ac:dyDescent="0.2">
      <c r="A52" s="37">
        <v>25</v>
      </c>
      <c r="B52" s="37" t="s">
        <v>558</v>
      </c>
      <c r="C52" s="37" t="s">
        <v>413</v>
      </c>
      <c r="D52" s="39" t="s">
        <v>516</v>
      </c>
      <c r="E52" s="38">
        <f>IF([2]AA!D62&lt;&gt;"",[2]AA!D62,"")</f>
        <v>4474004</v>
      </c>
      <c r="F52" s="38">
        <f>IF([2]AA!E62&lt;&gt;"",[2]AA!E62,"")</f>
        <v>4473905</v>
      </c>
      <c r="G52" s="38">
        <f>IF([2]AA!F62&lt;&gt;"",[2]AA!F62,"")</f>
        <v>99</v>
      </c>
      <c r="H52" s="38">
        <f>IF([2]AA!G62&lt;&gt;"",[2]AA!G62,"")</f>
        <v>0</v>
      </c>
      <c r="I52" s="38">
        <f>IF([2]AA!H62&lt;&gt;"",[2]AA!H62,"")</f>
        <v>4474004</v>
      </c>
      <c r="J52" s="58">
        <f t="shared" si="1"/>
        <v>0</v>
      </c>
      <c r="K52" t="str">
        <f t="shared" si="2"/>
        <v>2178716</v>
      </c>
      <c r="L52" t="str">
        <f t="shared" si="3"/>
        <v>GRI-AD</v>
      </c>
    </row>
    <row r="53" spans="1:12" ht="27" x14ac:dyDescent="0.2">
      <c r="A53" s="37">
        <v>26</v>
      </c>
      <c r="B53" s="53" t="s">
        <v>621</v>
      </c>
      <c r="C53" s="53" t="s">
        <v>413</v>
      </c>
      <c r="D53" s="54" t="s">
        <v>232</v>
      </c>
      <c r="E53" s="55">
        <f>IF([2]AA!D64&lt;&gt;"",[2]AA!D64,"")</f>
        <v>100000</v>
      </c>
      <c r="F53" s="55">
        <f>IF([2]AA!E64&lt;&gt;"",[2]AA!E64,"")</f>
        <v>50000</v>
      </c>
      <c r="G53" s="55">
        <f>IF([2]AA!F64&lt;&gt;"",[2]AA!F64,"")</f>
        <v>50000</v>
      </c>
      <c r="H53" s="55">
        <f>IF([2]AA!G64&lt;&gt;"",[2]AA!G64,"")</f>
        <v>0</v>
      </c>
      <c r="I53" s="55">
        <f>IF([2]AA!H64&lt;&gt;"",[2]AA!H64,"")</f>
        <v>100000</v>
      </c>
      <c r="J53" s="59">
        <f t="shared" si="1"/>
        <v>0</v>
      </c>
      <c r="K53" t="str">
        <f t="shared" si="2"/>
        <v>2185578</v>
      </c>
      <c r="L53" t="str">
        <f t="shared" si="3"/>
        <v>GRI-AD</v>
      </c>
    </row>
    <row r="54" spans="1:12" ht="27" x14ac:dyDescent="0.2">
      <c r="A54" s="37">
        <v>27</v>
      </c>
      <c r="B54" s="37" t="s">
        <v>559</v>
      </c>
      <c r="C54" s="37" t="s">
        <v>413</v>
      </c>
      <c r="D54" s="39" t="s">
        <v>233</v>
      </c>
      <c r="E54" s="38">
        <f>IF([2]AA!D65&lt;&gt;"",[2]AA!D65,"")</f>
        <v>408761</v>
      </c>
      <c r="F54" s="38">
        <f>IF([2]AA!E65&lt;&gt;"",[2]AA!E65,"")</f>
        <v>356083</v>
      </c>
      <c r="G54" s="38">
        <f>IF([2]AA!F65&lt;&gt;"",[2]AA!F65,"")</f>
        <v>52678</v>
      </c>
      <c r="H54" s="38">
        <f>IF([2]AA!G65&lt;&gt;"",[2]AA!G65,"")</f>
        <v>82609.03</v>
      </c>
      <c r="I54" s="38">
        <f>IF([2]AA!H65&lt;&gt;"",[2]AA!H65,"")</f>
        <v>326151.96999999997</v>
      </c>
      <c r="J54" s="58">
        <f t="shared" si="1"/>
        <v>0.20209616377296269</v>
      </c>
      <c r="K54" t="str">
        <f t="shared" si="2"/>
        <v>2194702</v>
      </c>
      <c r="L54" t="str">
        <f t="shared" si="3"/>
        <v>GRI-AD</v>
      </c>
    </row>
    <row r="55" spans="1:12" ht="45" x14ac:dyDescent="0.2">
      <c r="A55" s="37">
        <v>28</v>
      </c>
      <c r="B55" s="37" t="s">
        <v>560</v>
      </c>
      <c r="C55" s="37" t="s">
        <v>413</v>
      </c>
      <c r="D55" s="39" t="s">
        <v>234</v>
      </c>
      <c r="E55" s="38">
        <f>IF([2]AA!D66&lt;&gt;"",[2]AA!D66,"")</f>
        <v>61203</v>
      </c>
      <c r="F55" s="38">
        <f>IF([2]AA!E66&lt;&gt;"",[2]AA!E66,"")</f>
        <v>0</v>
      </c>
      <c r="G55" s="38">
        <f>IF([2]AA!F66&lt;&gt;"",[2]AA!F66,"")</f>
        <v>61203</v>
      </c>
      <c r="H55" s="38">
        <f>IF([2]AA!G66&lt;&gt;"",[2]AA!G66,"")</f>
        <v>0</v>
      </c>
      <c r="I55" s="38">
        <f>IF([2]AA!H66&lt;&gt;"",[2]AA!H66,"")</f>
        <v>61203</v>
      </c>
      <c r="J55" s="58">
        <f t="shared" si="1"/>
        <v>0</v>
      </c>
      <c r="K55" t="str">
        <f t="shared" si="2"/>
        <v>2195487</v>
      </c>
      <c r="L55" t="str">
        <f t="shared" si="3"/>
        <v>GRI-AD</v>
      </c>
    </row>
    <row r="56" spans="1:12" ht="36" x14ac:dyDescent="0.2">
      <c r="A56" s="37">
        <v>29</v>
      </c>
      <c r="B56" s="37" t="s">
        <v>561</v>
      </c>
      <c r="C56" s="37" t="s">
        <v>413</v>
      </c>
      <c r="D56" s="39" t="s">
        <v>342</v>
      </c>
      <c r="E56" s="38">
        <f>IF([2]AA!D67&lt;&gt;"",[2]AA!D67,"")</f>
        <v>1282700</v>
      </c>
      <c r="F56" s="38">
        <f>IF([2]AA!E67&lt;&gt;"",[2]AA!E67,"")</f>
        <v>1074158.6000000001</v>
      </c>
      <c r="G56" s="38">
        <f>IF([2]AA!F67&lt;&gt;"",[2]AA!F67,"")</f>
        <v>208541.4</v>
      </c>
      <c r="H56" s="38">
        <f>IF([2]AA!G67&lt;&gt;"",[2]AA!G67,"")</f>
        <v>933521.02</v>
      </c>
      <c r="I56" s="38">
        <f>IF([2]AA!H67&lt;&gt;"",[2]AA!H67,"")</f>
        <v>349178.98</v>
      </c>
      <c r="J56" s="58">
        <f t="shared" si="1"/>
        <v>0.72777813986123019</v>
      </c>
      <c r="K56" t="str">
        <f t="shared" si="2"/>
        <v>2232371</v>
      </c>
      <c r="L56" t="str">
        <f t="shared" si="3"/>
        <v>GRI-AD</v>
      </c>
    </row>
    <row r="57" spans="1:12" ht="45" x14ac:dyDescent="0.2">
      <c r="A57" s="37">
        <v>30</v>
      </c>
      <c r="B57" s="37" t="s">
        <v>562</v>
      </c>
      <c r="C57" s="37" t="s">
        <v>413</v>
      </c>
      <c r="D57" s="39" t="s">
        <v>359</v>
      </c>
      <c r="E57" s="38">
        <f>IF([2]AA!D68&lt;&gt;"",[2]AA!D68,"")</f>
        <v>0</v>
      </c>
      <c r="F57" s="38">
        <f>IF([2]AA!E68&lt;&gt;"",[2]AA!E68,"")</f>
        <v>0</v>
      </c>
      <c r="G57" s="38">
        <f>IF([2]AA!F68&lt;&gt;"",[2]AA!F68,"")</f>
        <v>0</v>
      </c>
      <c r="H57" s="38">
        <f>IF([2]AA!G68&lt;&gt;"",[2]AA!G68,"")</f>
        <v>0</v>
      </c>
      <c r="I57" s="38">
        <f>IF([2]AA!H68&lt;&gt;"",[2]AA!H68,"")</f>
        <v>0</v>
      </c>
      <c r="J57" s="58" t="e">
        <f t="shared" si="1"/>
        <v>#DIV/0!</v>
      </c>
      <c r="K57" t="str">
        <f t="shared" si="2"/>
        <v>2267525</v>
      </c>
      <c r="L57" t="str">
        <f t="shared" si="3"/>
        <v>GRI-AD</v>
      </c>
    </row>
    <row r="58" spans="1:12" ht="54" x14ac:dyDescent="0.2">
      <c r="A58" s="37">
        <v>31</v>
      </c>
      <c r="B58" s="37" t="s">
        <v>563</v>
      </c>
      <c r="C58" s="37" t="s">
        <v>413</v>
      </c>
      <c r="D58" s="39" t="s">
        <v>235</v>
      </c>
      <c r="E58" s="38">
        <f>IF([2]AA!D69&lt;&gt;"",[2]AA!D69,"")</f>
        <v>0</v>
      </c>
      <c r="F58" s="38">
        <f>IF([2]AA!E69&lt;&gt;"",[2]AA!E69,"")</f>
        <v>0</v>
      </c>
      <c r="G58" s="38">
        <f>IF([2]AA!F69&lt;&gt;"",[2]AA!F69,"")</f>
        <v>0</v>
      </c>
      <c r="H58" s="38">
        <f>IF([2]AA!G69&lt;&gt;"",[2]AA!G69,"")</f>
        <v>0</v>
      </c>
      <c r="I58" s="38">
        <f>IF([2]AA!H69&lt;&gt;"",[2]AA!H69,"")</f>
        <v>0</v>
      </c>
      <c r="J58" s="58" t="e">
        <f t="shared" si="1"/>
        <v>#DIV/0!</v>
      </c>
      <c r="K58" t="str">
        <f t="shared" si="2"/>
        <v>2287700</v>
      </c>
      <c r="L58" t="str">
        <f t="shared" si="3"/>
        <v>GRI-AD</v>
      </c>
    </row>
    <row r="59" spans="1:12" ht="81" x14ac:dyDescent="0.2">
      <c r="A59" s="37">
        <v>32</v>
      </c>
      <c r="B59" s="37" t="s">
        <v>564</v>
      </c>
      <c r="C59" s="37" t="s">
        <v>413</v>
      </c>
      <c r="D59" s="39" t="s">
        <v>236</v>
      </c>
      <c r="E59" s="38">
        <f>IF([2]AA!D70&lt;&gt;"",[2]AA!D70,"")</f>
        <v>459851</v>
      </c>
      <c r="F59" s="38">
        <f>IF([2]AA!E70&lt;&gt;"",[2]AA!E70,"")</f>
        <v>284060.18</v>
      </c>
      <c r="G59" s="38">
        <f>IF([2]AA!F70&lt;&gt;"",[2]AA!F70,"")</f>
        <v>175790.82</v>
      </c>
      <c r="H59" s="38">
        <f>IF([2]AA!G70&lt;&gt;"",[2]AA!G70,"")</f>
        <v>23434.35</v>
      </c>
      <c r="I59" s="38">
        <f>IF([2]AA!H70&lt;&gt;"",[2]AA!H70,"")</f>
        <v>436416.65</v>
      </c>
      <c r="J59" s="58">
        <f t="shared" si="1"/>
        <v>5.0960745980763333E-2</v>
      </c>
      <c r="K59" t="str">
        <f t="shared" si="2"/>
        <v>2300575</v>
      </c>
      <c r="L59" t="str">
        <f t="shared" si="3"/>
        <v>GRI-AD</v>
      </c>
    </row>
    <row r="60" spans="1:12" ht="54" x14ac:dyDescent="0.2">
      <c r="A60" s="37">
        <v>33</v>
      </c>
      <c r="B60" s="37" t="s">
        <v>565</v>
      </c>
      <c r="C60" s="37" t="s">
        <v>413</v>
      </c>
      <c r="D60" s="39" t="s">
        <v>517</v>
      </c>
      <c r="E60" s="38">
        <f>IF([2]AA!D71&lt;&gt;"",[2]AA!D71,"")</f>
        <v>350198</v>
      </c>
      <c r="F60" s="38">
        <f>IF([2]AA!E71&lt;&gt;"",[2]AA!E71,"")</f>
        <v>287570</v>
      </c>
      <c r="G60" s="38">
        <f>IF([2]AA!F71&lt;&gt;"",[2]AA!F71,"")</f>
        <v>62628</v>
      </c>
      <c r="H60" s="38">
        <f>IF([2]AA!G71&lt;&gt;"",[2]AA!G71,"")</f>
        <v>171962.29</v>
      </c>
      <c r="I60" s="38">
        <f>IF([2]AA!H71&lt;&gt;"",[2]AA!H71,"")</f>
        <v>178235.71</v>
      </c>
      <c r="J60" s="58">
        <f t="shared" ref="J60:J95" si="4">H60/E60</f>
        <v>0.49104303850964315</v>
      </c>
      <c r="K60" t="str">
        <f t="shared" si="2"/>
        <v>2307608</v>
      </c>
      <c r="L60" t="str">
        <f t="shared" si="3"/>
        <v>GRI-AD</v>
      </c>
    </row>
    <row r="61" spans="1:12" ht="54" x14ac:dyDescent="0.2">
      <c r="A61" s="37">
        <v>34</v>
      </c>
      <c r="B61" s="37" t="s">
        <v>566</v>
      </c>
      <c r="C61" s="37" t="s">
        <v>413</v>
      </c>
      <c r="D61" s="39" t="s">
        <v>238</v>
      </c>
      <c r="E61" s="38">
        <f>IF([2]AA!D73&lt;&gt;"",[2]AA!D73,"")</f>
        <v>0</v>
      </c>
      <c r="F61" s="38">
        <f>IF([2]AA!E73&lt;&gt;"",[2]AA!E73,"")</f>
        <v>0</v>
      </c>
      <c r="G61" s="38">
        <f>IF([2]AA!F73&lt;&gt;"",[2]AA!F73,"")</f>
        <v>0</v>
      </c>
      <c r="H61" s="38">
        <f>IF([2]AA!G73&lt;&gt;"",[2]AA!G73,"")</f>
        <v>0</v>
      </c>
      <c r="I61" s="38">
        <f>IF([2]AA!H73&lt;&gt;"",[2]AA!H73,"")</f>
        <v>0</v>
      </c>
      <c r="J61" s="58" t="e">
        <f t="shared" si="4"/>
        <v>#DIV/0!</v>
      </c>
      <c r="K61" t="str">
        <f t="shared" si="2"/>
        <v>2321290</v>
      </c>
      <c r="L61" t="str">
        <f t="shared" si="3"/>
        <v>GRI-AD</v>
      </c>
    </row>
    <row r="62" spans="1:12" ht="45" x14ac:dyDescent="0.2">
      <c r="A62" s="37">
        <v>35</v>
      </c>
      <c r="B62" s="37" t="s">
        <v>567</v>
      </c>
      <c r="C62" s="37" t="s">
        <v>413</v>
      </c>
      <c r="D62" s="39" t="s">
        <v>240</v>
      </c>
      <c r="E62" s="38">
        <f>IF([2]AA!D75&lt;&gt;"",[2]AA!D75,"")</f>
        <v>17412634</v>
      </c>
      <c r="F62" s="38">
        <f>IF([2]AA!E75&lt;&gt;"",[2]AA!E75,"")</f>
        <v>15156377.84</v>
      </c>
      <c r="G62" s="38">
        <f>IF([2]AA!F75&lt;&gt;"",[2]AA!F75,"")</f>
        <v>2256256.1599999997</v>
      </c>
      <c r="H62" s="38">
        <f>IF([2]AA!G75&lt;&gt;"",[2]AA!G75,"")</f>
        <v>10247892.65</v>
      </c>
      <c r="I62" s="38">
        <f>IF([2]AA!H75&lt;&gt;"",[2]AA!H75,"")</f>
        <v>7164741.3499999996</v>
      </c>
      <c r="J62" s="58">
        <f t="shared" si="4"/>
        <v>0.58853201933722377</v>
      </c>
      <c r="K62" t="str">
        <f t="shared" si="2"/>
        <v>2343199</v>
      </c>
      <c r="L62" t="str">
        <f t="shared" si="3"/>
        <v>GRI-AD</v>
      </c>
    </row>
    <row r="63" spans="1:12" ht="54" x14ac:dyDescent="0.2">
      <c r="A63" s="37">
        <v>36</v>
      </c>
      <c r="B63" s="37" t="s">
        <v>568</v>
      </c>
      <c r="C63" s="37" t="s">
        <v>413</v>
      </c>
      <c r="D63" s="39" t="s">
        <v>241</v>
      </c>
      <c r="E63" s="38">
        <f>IF([2]AA!D76&lt;&gt;"",[2]AA!D76,"")</f>
        <v>274665</v>
      </c>
      <c r="F63" s="38">
        <f>IF([2]AA!E76&lt;&gt;"",[2]AA!E76,"")</f>
        <v>83758.5</v>
      </c>
      <c r="G63" s="38">
        <f>IF([2]AA!F76&lt;&gt;"",[2]AA!F76,"")</f>
        <v>190906.5</v>
      </c>
      <c r="H63" s="38">
        <f>IF([2]AA!G76&lt;&gt;"",[2]AA!G76,"")</f>
        <v>69804.3</v>
      </c>
      <c r="I63" s="38">
        <f>IF([2]AA!H76&lt;&gt;"",[2]AA!H76,"")</f>
        <v>204860.7</v>
      </c>
      <c r="J63" s="58">
        <f t="shared" si="4"/>
        <v>0.25414341106438754</v>
      </c>
      <c r="K63" t="str">
        <f t="shared" si="2"/>
        <v>2375549</v>
      </c>
      <c r="L63" t="str">
        <f t="shared" si="3"/>
        <v>GRI-AD</v>
      </c>
    </row>
    <row r="64" spans="1:12" ht="54" x14ac:dyDescent="0.2">
      <c r="A64" s="37">
        <v>37</v>
      </c>
      <c r="B64" s="37" t="s">
        <v>569</v>
      </c>
      <c r="C64" s="37" t="s">
        <v>413</v>
      </c>
      <c r="D64" s="39" t="s">
        <v>143</v>
      </c>
      <c r="E64" s="38">
        <f>IF([2]AA!D78&lt;&gt;"",[2]AA!D78,"")</f>
        <v>10002053</v>
      </c>
      <c r="F64" s="38">
        <f>IF([2]AA!E78&lt;&gt;"",[2]AA!E78,"")</f>
        <v>9178541.6199999992</v>
      </c>
      <c r="G64" s="38">
        <f>IF([2]AA!F78&lt;&gt;"",[2]AA!F78,"")</f>
        <v>823511.37999999977</v>
      </c>
      <c r="H64" s="38">
        <f>IF([2]AA!G78&lt;&gt;"",[2]AA!G78,"")</f>
        <v>3686666.08</v>
      </c>
      <c r="I64" s="38">
        <f>IF([2]AA!H78&lt;&gt;"",[2]AA!H78,"")</f>
        <v>6315386.9199999999</v>
      </c>
      <c r="J64" s="58">
        <f t="shared" si="4"/>
        <v>0.36859093628078154</v>
      </c>
      <c r="K64" t="str">
        <f t="shared" si="2"/>
        <v>2440946</v>
      </c>
      <c r="L64" t="str">
        <f t="shared" si="3"/>
        <v>GRI-AD</v>
      </c>
    </row>
    <row r="65" spans="1:12" ht="63" x14ac:dyDescent="0.2">
      <c r="A65" s="37">
        <v>38</v>
      </c>
      <c r="B65" s="37" t="s">
        <v>570</v>
      </c>
      <c r="C65" s="37" t="s">
        <v>413</v>
      </c>
      <c r="D65" s="39" t="s">
        <v>242</v>
      </c>
      <c r="E65" s="38">
        <f>IF([2]AA!D79&lt;&gt;"",[2]AA!D79,"")</f>
        <v>2470745</v>
      </c>
      <c r="F65" s="38">
        <f>IF([2]AA!E79&lt;&gt;"",[2]AA!E79,"")</f>
        <v>2458112.5699999998</v>
      </c>
      <c r="G65" s="38">
        <f>IF([2]AA!F79&lt;&gt;"",[2]AA!F79,"")</f>
        <v>12632.43000000008</v>
      </c>
      <c r="H65" s="38">
        <f>IF([2]AA!G79&lt;&gt;"",[2]AA!G79,"")</f>
        <v>1211538.9600000002</v>
      </c>
      <c r="I65" s="38">
        <f>IF([2]AA!H79&lt;&gt;"",[2]AA!H79,"")</f>
        <v>1259206.04</v>
      </c>
      <c r="J65" s="58">
        <f t="shared" si="4"/>
        <v>0.49035370303289094</v>
      </c>
      <c r="K65" t="str">
        <f t="shared" si="2"/>
        <v>2443679</v>
      </c>
      <c r="L65" t="str">
        <f t="shared" si="3"/>
        <v>GRI-AD</v>
      </c>
    </row>
    <row r="66" spans="1:12" ht="45" x14ac:dyDescent="0.2">
      <c r="A66" s="37">
        <v>39</v>
      </c>
      <c r="B66" s="37" t="s">
        <v>571</v>
      </c>
      <c r="C66" s="37" t="s">
        <v>413</v>
      </c>
      <c r="D66" s="39" t="s">
        <v>518</v>
      </c>
      <c r="E66" s="38">
        <f>IF([2]AA!D81&lt;&gt;"",[2]AA!D81,"")</f>
        <v>1050000</v>
      </c>
      <c r="F66" s="38">
        <f>IF([2]AA!E81&lt;&gt;"",[2]AA!E81,"")</f>
        <v>75446.8</v>
      </c>
      <c r="G66" s="38">
        <f>IF([2]AA!F81&lt;&gt;"",[2]AA!F81,"")</f>
        <v>974553.2</v>
      </c>
      <c r="H66" s="38">
        <f>IF([2]AA!G81&lt;&gt;"",[2]AA!G81,"")</f>
        <v>75387.03</v>
      </c>
      <c r="I66" s="38">
        <f>IF([2]AA!H81&lt;&gt;"",[2]AA!H81,"")</f>
        <v>974612.97</v>
      </c>
      <c r="J66" s="58">
        <f t="shared" si="4"/>
        <v>7.1797171428571421E-2</v>
      </c>
      <c r="K66" t="str">
        <f t="shared" si="2"/>
        <v>2454312</v>
      </c>
      <c r="L66" t="str">
        <f t="shared" si="3"/>
        <v>GRI-AD</v>
      </c>
    </row>
    <row r="67" spans="1:12" ht="45" x14ac:dyDescent="0.2">
      <c r="A67" s="37">
        <v>40</v>
      </c>
      <c r="B67" s="37" t="s">
        <v>572</v>
      </c>
      <c r="C67" s="37" t="s">
        <v>413</v>
      </c>
      <c r="D67" s="39" t="s">
        <v>244</v>
      </c>
      <c r="E67" s="38">
        <f>IF([2]AA!D82&lt;&gt;"",[2]AA!D82,"")</f>
        <v>0</v>
      </c>
      <c r="F67" s="38">
        <f>IF([2]AA!E82&lt;&gt;"",[2]AA!E82,"")</f>
        <v>0</v>
      </c>
      <c r="G67" s="38">
        <f>IF([2]AA!F82&lt;&gt;"",[2]AA!F82,"")</f>
        <v>0</v>
      </c>
      <c r="H67" s="38">
        <f>IF([2]AA!G82&lt;&gt;"",[2]AA!G82,"")</f>
        <v>0</v>
      </c>
      <c r="I67" s="38">
        <f>IF([2]AA!H82&lt;&gt;"",[2]AA!H82,"")</f>
        <v>0</v>
      </c>
      <c r="J67" s="58" t="e">
        <f t="shared" si="4"/>
        <v>#DIV/0!</v>
      </c>
      <c r="K67" t="str">
        <f t="shared" si="2"/>
        <v>2456529</v>
      </c>
      <c r="L67" t="str">
        <f t="shared" si="3"/>
        <v>GRI-AD</v>
      </c>
    </row>
    <row r="68" spans="1:12" ht="36" x14ac:dyDescent="0.2">
      <c r="A68" s="37">
        <v>41</v>
      </c>
      <c r="B68" s="37" t="s">
        <v>573</v>
      </c>
      <c r="C68" s="37" t="s">
        <v>413</v>
      </c>
      <c r="D68" s="39" t="s">
        <v>465</v>
      </c>
      <c r="E68" s="38">
        <f>IF([2]AA!D83&lt;&gt;"",[2]AA!D83,"")</f>
        <v>14991498</v>
      </c>
      <c r="F68" s="38">
        <f>IF([2]AA!E83&lt;&gt;"",[2]AA!E83,"")</f>
        <v>12502165.27</v>
      </c>
      <c r="G68" s="38">
        <f>IF([2]AA!F83&lt;&gt;"",[2]AA!F83,"")</f>
        <v>2489332.7300000004</v>
      </c>
      <c r="H68" s="38">
        <f>IF([2]AA!G83&lt;&gt;"",[2]AA!G83,"")</f>
        <v>7077155.6199999992</v>
      </c>
      <c r="I68" s="38">
        <f>IF([2]AA!H83&lt;&gt;"",[2]AA!H83,"")</f>
        <v>7914342.3800000008</v>
      </c>
      <c r="J68" s="58">
        <f t="shared" si="4"/>
        <v>0.47207794844784684</v>
      </c>
      <c r="K68" t="str">
        <f t="shared" si="2"/>
        <v>2466754</v>
      </c>
      <c r="L68" t="str">
        <f t="shared" si="3"/>
        <v>GRI-AD</v>
      </c>
    </row>
    <row r="69" spans="1:12" ht="54" x14ac:dyDescent="0.2">
      <c r="A69" s="37">
        <v>42</v>
      </c>
      <c r="B69" s="37" t="s">
        <v>574</v>
      </c>
      <c r="C69" s="37" t="s">
        <v>413</v>
      </c>
      <c r="D69" s="39" t="s">
        <v>246</v>
      </c>
      <c r="E69" s="38">
        <f>IF([2]AA!D85&lt;&gt;"",[2]AA!D85,"")</f>
        <v>5565791</v>
      </c>
      <c r="F69" s="38">
        <f>IF([2]AA!E85&lt;&gt;"",[2]AA!E85,"")</f>
        <v>4269590.08</v>
      </c>
      <c r="G69" s="38">
        <f>IF([2]AA!F85&lt;&gt;"",[2]AA!F85,"")</f>
        <v>1296200.92</v>
      </c>
      <c r="H69" s="38">
        <f>IF([2]AA!G85&lt;&gt;"",[2]AA!G85,"")</f>
        <v>2754530.3800000004</v>
      </c>
      <c r="I69" s="38">
        <f>IF([2]AA!H85&lt;&gt;"",[2]AA!H85,"")</f>
        <v>2811260.6199999996</v>
      </c>
      <c r="J69" s="58">
        <f t="shared" si="4"/>
        <v>0.4949036677805545</v>
      </c>
      <c r="K69" t="str">
        <f t="shared" si="2"/>
        <v>2480499</v>
      </c>
      <c r="L69" t="str">
        <f t="shared" si="3"/>
        <v>GRI-AD</v>
      </c>
    </row>
    <row r="70" spans="1:12" ht="45" x14ac:dyDescent="0.2">
      <c r="A70" s="37">
        <v>43</v>
      </c>
      <c r="B70" s="37" t="s">
        <v>575</v>
      </c>
      <c r="C70" s="37" t="s">
        <v>413</v>
      </c>
      <c r="D70" s="39" t="s">
        <v>188</v>
      </c>
      <c r="E70" s="38">
        <f>IF([2]AA!D86&lt;&gt;"",[2]AA!D86,"")</f>
        <v>5569024</v>
      </c>
      <c r="F70" s="38">
        <f>IF([2]AA!E86&lt;&gt;"",[2]AA!E86,"")</f>
        <v>5446324.2699999996</v>
      </c>
      <c r="G70" s="38">
        <f>IF([2]AA!F86&lt;&gt;"",[2]AA!F86,"")</f>
        <v>122699.72999999998</v>
      </c>
      <c r="H70" s="38">
        <f>IF([2]AA!G86&lt;&gt;"",[2]AA!G86,"")</f>
        <v>5025166.63</v>
      </c>
      <c r="I70" s="38">
        <f>IF([2]AA!H86&lt;&gt;"",[2]AA!H86,"")</f>
        <v>543857.36999999965</v>
      </c>
      <c r="J70" s="58">
        <f t="shared" si="4"/>
        <v>0.90234242660832487</v>
      </c>
      <c r="K70" t="str">
        <f t="shared" si="2"/>
        <v>2514428</v>
      </c>
      <c r="L70" t="str">
        <f t="shared" si="3"/>
        <v>GRI-AD</v>
      </c>
    </row>
    <row r="71" spans="1:12" ht="45" x14ac:dyDescent="0.2">
      <c r="A71" s="37">
        <v>44</v>
      </c>
      <c r="B71" s="53" t="s">
        <v>623</v>
      </c>
      <c r="C71" s="53" t="s">
        <v>413</v>
      </c>
      <c r="D71" s="54" t="s">
        <v>362</v>
      </c>
      <c r="E71" s="55">
        <f>IF([2]AA!D87&lt;&gt;"",[2]AA!D87,"")</f>
        <v>27582881</v>
      </c>
      <c r="F71" s="55">
        <f>IF([2]AA!E87&lt;&gt;"",[2]AA!E87,"")</f>
        <v>21637816.779999997</v>
      </c>
      <c r="G71" s="55">
        <f>IF([2]AA!F87&lt;&gt;"",[2]AA!F87,"")</f>
        <v>5945064.2199999997</v>
      </c>
      <c r="H71" s="55">
        <f>IF([2]AA!G87&lt;&gt;"",[2]AA!G87,"")</f>
        <v>4051494.71</v>
      </c>
      <c r="I71" s="55">
        <f>IF([2]AA!H87&lt;&gt;"",[2]AA!H87,"")</f>
        <v>23531386.289999999</v>
      </c>
      <c r="J71" s="59">
        <f t="shared" si="4"/>
        <v>0.14688439217063656</v>
      </c>
      <c r="K71" t="str">
        <f t="shared" si="2"/>
        <v>2527184</v>
      </c>
      <c r="L71" t="str">
        <f t="shared" si="3"/>
        <v>GRI-AD</v>
      </c>
    </row>
    <row r="72" spans="1:12" ht="36" x14ac:dyDescent="0.2">
      <c r="A72" s="37">
        <v>45</v>
      </c>
      <c r="B72" s="37" t="s">
        <v>576</v>
      </c>
      <c r="C72" s="37" t="s">
        <v>413</v>
      </c>
      <c r="D72" s="39" t="s">
        <v>210</v>
      </c>
      <c r="E72" s="38">
        <f>IF([2]AA!D91&lt;&gt;"",[2]AA!D91,"")</f>
        <v>196824</v>
      </c>
      <c r="F72" s="38">
        <f>IF([2]AA!E91&lt;&gt;"",[2]AA!E91,"")</f>
        <v>0</v>
      </c>
      <c r="G72" s="38">
        <f>IF([2]AA!F91&lt;&gt;"",[2]AA!F91,"")</f>
        <v>196824</v>
      </c>
      <c r="H72" s="38">
        <f>IF([2]AA!G91&lt;&gt;"",[2]AA!G91,"")</f>
        <v>0</v>
      </c>
      <c r="I72" s="38">
        <f>IF([2]AA!H91&lt;&gt;"",[2]AA!H91,"")</f>
        <v>196824</v>
      </c>
      <c r="J72" s="58">
        <f t="shared" si="4"/>
        <v>0</v>
      </c>
      <c r="K72" t="str">
        <f t="shared" si="2"/>
        <v>2591028</v>
      </c>
      <c r="L72" t="str">
        <f t="shared" si="3"/>
        <v>GRI-AD</v>
      </c>
    </row>
    <row r="73" spans="1:12" ht="63" x14ac:dyDescent="0.2">
      <c r="A73" s="37"/>
      <c r="B73" s="37">
        <v>126</v>
      </c>
      <c r="C73" s="37" t="s">
        <v>413</v>
      </c>
      <c r="D73" s="39" t="s">
        <v>360</v>
      </c>
      <c r="E73" s="38">
        <f>IF([2]AA!D107&lt;&gt;"",[2]AA!D107,"")</f>
        <v>157636</v>
      </c>
      <c r="F73" s="38">
        <f>IF([2]AA!E107&lt;&gt;"",[2]AA!E107,"")</f>
        <v>157636</v>
      </c>
      <c r="G73" s="38">
        <f>IF([2]AA!F107&lt;&gt;"",[2]AA!F107,"")</f>
        <v>0</v>
      </c>
      <c r="H73" s="38">
        <f>IF([2]AA!G107&lt;&gt;"",[2]AA!G107,"")</f>
        <v>136413.5</v>
      </c>
      <c r="I73" s="38">
        <f>IF([2]AA!H107&lt;&gt;"",[2]AA!H107,"")</f>
        <v>21222.5</v>
      </c>
      <c r="J73" s="58">
        <f t="shared" si="4"/>
        <v>0.86537022000050745</v>
      </c>
    </row>
    <row r="74" spans="1:12" ht="63" x14ac:dyDescent="0.2">
      <c r="A74" s="37"/>
      <c r="B74" s="37">
        <v>127</v>
      </c>
      <c r="C74" s="37" t="s">
        <v>413</v>
      </c>
      <c r="D74" s="39" t="s">
        <v>382</v>
      </c>
      <c r="E74" s="38">
        <f>IF([2]AA!D108&lt;&gt;"",[2]AA!D108,"")</f>
        <v>4106961</v>
      </c>
      <c r="F74" s="38">
        <f>IF([2]AA!E108&lt;&gt;"",[2]AA!E108,"")</f>
        <v>3202666.74</v>
      </c>
      <c r="G74" s="38">
        <f>IF([2]AA!F108&lt;&gt;"",[2]AA!F108,"")</f>
        <v>904294.26</v>
      </c>
      <c r="H74" s="38">
        <f>IF([2]AA!G108&lt;&gt;"",[2]AA!G108,"")</f>
        <v>1764492.71</v>
      </c>
      <c r="I74" s="38">
        <f>IF([2]AA!H108&lt;&gt;"",[2]AA!H108,"")</f>
        <v>2342468.29</v>
      </c>
      <c r="J74" s="58">
        <f t="shared" si="4"/>
        <v>0.42963463982248673</v>
      </c>
    </row>
    <row r="75" spans="1:12" ht="63" x14ac:dyDescent="0.2">
      <c r="A75" s="37">
        <v>46</v>
      </c>
      <c r="B75" s="37" t="s">
        <v>577</v>
      </c>
      <c r="C75" s="37" t="s">
        <v>413</v>
      </c>
      <c r="D75" s="39" t="s">
        <v>145</v>
      </c>
      <c r="E75" s="38">
        <f>IF([2]AA!D109&lt;&gt;"",[2]AA!D109,"")</f>
        <v>230847</v>
      </c>
      <c r="F75" s="38">
        <f>IF([2]AA!E109&lt;&gt;"",[2]AA!E109,"")</f>
        <v>230847</v>
      </c>
      <c r="G75" s="38">
        <f>IF([2]AA!F109&lt;&gt;"",[2]AA!F109,"")</f>
        <v>0</v>
      </c>
      <c r="H75" s="38">
        <f>IF([2]AA!G109&lt;&gt;"",[2]AA!G109,"")</f>
        <v>115109.84000000001</v>
      </c>
      <c r="I75" s="38">
        <f>IF([2]AA!H109&lt;&gt;"",[2]AA!H109,"")</f>
        <v>115737.15999999999</v>
      </c>
      <c r="J75" s="58">
        <f t="shared" si="4"/>
        <v>0.49864126456050983</v>
      </c>
      <c r="K75" t="str">
        <f t="shared" ref="K75:K106" si="5">MID(D75,1,7)</f>
        <v>2475053</v>
      </c>
      <c r="L75" t="str">
        <f t="shared" ref="L75:L106" si="6">C75</f>
        <v>GRI-AD</v>
      </c>
    </row>
    <row r="76" spans="1:12" ht="45" x14ac:dyDescent="0.2">
      <c r="A76" s="37">
        <v>47</v>
      </c>
      <c r="B76" s="37" t="s">
        <v>578</v>
      </c>
      <c r="C76" s="37" t="s">
        <v>413</v>
      </c>
      <c r="D76" s="39" t="s">
        <v>267</v>
      </c>
      <c r="E76" s="38">
        <f>IF([2]AA!D110&lt;&gt;"",[2]AA!D110,"")</f>
        <v>318062</v>
      </c>
      <c r="F76" s="38">
        <f>IF([2]AA!E110&lt;&gt;"",[2]AA!E110,"")</f>
        <v>243147.4</v>
      </c>
      <c r="G76" s="38">
        <f>IF([2]AA!F110&lt;&gt;"",[2]AA!F110,"")</f>
        <v>74914.600000000006</v>
      </c>
      <c r="H76" s="38">
        <f>IF([2]AA!G110&lt;&gt;"",[2]AA!G110,"")</f>
        <v>196337.66999999998</v>
      </c>
      <c r="I76" s="38">
        <f>IF([2]AA!H110&lt;&gt;"",[2]AA!H110,"")</f>
        <v>121724.33000000002</v>
      </c>
      <c r="J76" s="58">
        <f t="shared" si="4"/>
        <v>0.61729370374329529</v>
      </c>
      <c r="K76" t="str">
        <f t="shared" si="5"/>
        <v>2196857</v>
      </c>
      <c r="L76" t="str">
        <f t="shared" si="6"/>
        <v>GRI-AD</v>
      </c>
    </row>
    <row r="77" spans="1:12" ht="45" x14ac:dyDescent="0.2">
      <c r="A77" s="37">
        <v>48</v>
      </c>
      <c r="B77" s="37" t="s">
        <v>579</v>
      </c>
      <c r="C77" s="37" t="s">
        <v>413</v>
      </c>
      <c r="D77" s="39" t="s">
        <v>519</v>
      </c>
      <c r="E77" s="38">
        <f>IF([2]AA!D111&lt;&gt;"",[2]AA!D111,"")</f>
        <v>239379</v>
      </c>
      <c r="F77" s="38">
        <f>IF([2]AA!E111&lt;&gt;"",[2]AA!E111,"")</f>
        <v>206500</v>
      </c>
      <c r="G77" s="38">
        <f>IF([2]AA!F111&lt;&gt;"",[2]AA!F111,"")</f>
        <v>32879</v>
      </c>
      <c r="H77" s="38">
        <f>IF([2]AA!G111&lt;&gt;"",[2]AA!G111,"")</f>
        <v>79503.489999999991</v>
      </c>
      <c r="I77" s="38">
        <f>IF([2]AA!H111&lt;&gt;"",[2]AA!H111,"")</f>
        <v>159875.51</v>
      </c>
      <c r="J77" s="58">
        <f t="shared" si="4"/>
        <v>0.33212391228971627</v>
      </c>
      <c r="K77" t="str">
        <f t="shared" si="5"/>
        <v>2196858</v>
      </c>
      <c r="L77" t="str">
        <f t="shared" si="6"/>
        <v>GRI-AD</v>
      </c>
    </row>
    <row r="78" spans="1:12" ht="45" x14ac:dyDescent="0.2">
      <c r="A78" s="37">
        <v>49</v>
      </c>
      <c r="B78" s="37" t="s">
        <v>580</v>
      </c>
      <c r="C78" s="37" t="s">
        <v>413</v>
      </c>
      <c r="D78" s="39" t="s">
        <v>520</v>
      </c>
      <c r="E78" s="38">
        <f>IF([2]AA!D112&lt;&gt;"",[2]AA!D112,"")</f>
        <v>118786</v>
      </c>
      <c r="F78" s="38">
        <f>IF([2]AA!E112&lt;&gt;"",[2]AA!E112,"")</f>
        <v>112400</v>
      </c>
      <c r="G78" s="38">
        <f>IF([2]AA!F112&lt;&gt;"",[2]AA!F112,"")</f>
        <v>6386</v>
      </c>
      <c r="H78" s="38">
        <f>IF([2]AA!G112&lt;&gt;"",[2]AA!G112,"")</f>
        <v>31660.559999999998</v>
      </c>
      <c r="I78" s="38">
        <f>IF([2]AA!H112&lt;&gt;"",[2]AA!H112,"")</f>
        <v>87125.440000000002</v>
      </c>
      <c r="J78" s="58">
        <f t="shared" si="4"/>
        <v>0.26653444008553195</v>
      </c>
      <c r="K78" t="str">
        <f t="shared" si="5"/>
        <v>2196860</v>
      </c>
      <c r="L78" t="str">
        <f t="shared" si="6"/>
        <v>GRI-AD</v>
      </c>
    </row>
    <row r="79" spans="1:12" ht="36" x14ac:dyDescent="0.2">
      <c r="A79" s="37">
        <v>50</v>
      </c>
      <c r="B79" s="37" t="s">
        <v>581</v>
      </c>
      <c r="C79" s="37" t="s">
        <v>413</v>
      </c>
      <c r="D79" s="39" t="s">
        <v>329</v>
      </c>
      <c r="E79" s="38">
        <f>IF([2]AA!D113&lt;&gt;"",[2]AA!D113,"")</f>
        <v>141416</v>
      </c>
      <c r="F79" s="38">
        <f>IF([2]AA!E113&lt;&gt;"",[2]AA!E113,"")</f>
        <v>120950</v>
      </c>
      <c r="G79" s="38">
        <f>IF([2]AA!F113&lt;&gt;"",[2]AA!F113,"")</f>
        <v>20466</v>
      </c>
      <c r="H79" s="38">
        <f>IF([2]AA!G113&lt;&gt;"",[2]AA!G113,"")</f>
        <v>91615.61</v>
      </c>
      <c r="I79" s="38">
        <f>IF([2]AA!H113&lt;&gt;"",[2]AA!H113,"")</f>
        <v>49800.39</v>
      </c>
      <c r="J79" s="58">
        <f t="shared" si="4"/>
        <v>0.64784472761215139</v>
      </c>
      <c r="K79" t="str">
        <f t="shared" si="5"/>
        <v>2196879</v>
      </c>
      <c r="L79" t="str">
        <f t="shared" si="6"/>
        <v>GRI-AD</v>
      </c>
    </row>
    <row r="80" spans="1:12" ht="36" x14ac:dyDescent="0.2">
      <c r="A80" s="37">
        <v>51</v>
      </c>
      <c r="B80" s="37" t="s">
        <v>582</v>
      </c>
      <c r="C80" s="37" t="s">
        <v>413</v>
      </c>
      <c r="D80" s="39" t="s">
        <v>345</v>
      </c>
      <c r="E80" s="38">
        <f>IF([2]AA!D114&lt;&gt;"",[2]AA!D114,"")</f>
        <v>230550</v>
      </c>
      <c r="F80" s="38">
        <f>IF([2]AA!E114&lt;&gt;"",[2]AA!E114,"")</f>
        <v>179749</v>
      </c>
      <c r="G80" s="38">
        <f>IF([2]AA!F114&lt;&gt;"",[2]AA!F114,"")</f>
        <v>50801</v>
      </c>
      <c r="H80" s="38">
        <f>IF([2]AA!G114&lt;&gt;"",[2]AA!G114,"")</f>
        <v>111422.39999999999</v>
      </c>
      <c r="I80" s="38">
        <f>IF([2]AA!H114&lt;&gt;"",[2]AA!H114,"")</f>
        <v>119127.6</v>
      </c>
      <c r="J80" s="58">
        <f t="shared" si="4"/>
        <v>0.48328952504879635</v>
      </c>
      <c r="K80" t="str">
        <f t="shared" si="5"/>
        <v>2250295</v>
      </c>
      <c r="L80" t="str">
        <f t="shared" si="6"/>
        <v>GRI-AD</v>
      </c>
    </row>
    <row r="81" spans="1:12" ht="54" x14ac:dyDescent="0.2">
      <c r="A81" s="37">
        <v>52</v>
      </c>
      <c r="B81" s="37" t="s">
        <v>584</v>
      </c>
      <c r="C81" s="37" t="s">
        <v>413</v>
      </c>
      <c r="D81" s="39" t="s">
        <v>269</v>
      </c>
      <c r="E81" s="38">
        <f>IF([2]AA!D116&lt;&gt;"",[2]AA!D116,"")</f>
        <v>0</v>
      </c>
      <c r="F81" s="38">
        <f>IF([2]AA!E116&lt;&gt;"",[2]AA!E116,"")</f>
        <v>0</v>
      </c>
      <c r="G81" s="38">
        <f>IF([2]AA!F116&lt;&gt;"",[2]AA!F116,"")</f>
        <v>0</v>
      </c>
      <c r="H81" s="38">
        <f>IF([2]AA!G116&lt;&gt;"",[2]AA!G116,"")</f>
        <v>0</v>
      </c>
      <c r="I81" s="38">
        <f>IF([2]AA!H116&lt;&gt;"",[2]AA!H116,"")</f>
        <v>0</v>
      </c>
      <c r="J81" s="58" t="e">
        <f t="shared" si="4"/>
        <v>#DIV/0!</v>
      </c>
      <c r="K81" t="str">
        <f t="shared" si="5"/>
        <v>2250396</v>
      </c>
      <c r="L81" t="str">
        <f t="shared" si="6"/>
        <v>GRI-AD</v>
      </c>
    </row>
    <row r="82" spans="1:12" ht="45" x14ac:dyDescent="0.2">
      <c r="A82" s="37">
        <v>53</v>
      </c>
      <c r="B82" s="37" t="s">
        <v>586</v>
      </c>
      <c r="C82" s="37" t="s">
        <v>413</v>
      </c>
      <c r="D82" s="39" t="s">
        <v>521</v>
      </c>
      <c r="E82" s="38">
        <f>IF([2]AA!D118&lt;&gt;"",[2]AA!D118,"")</f>
        <v>550000</v>
      </c>
      <c r="F82" s="38">
        <f>IF([2]AA!E118&lt;&gt;"",[2]AA!E118,"")</f>
        <v>350000</v>
      </c>
      <c r="G82" s="38">
        <f>IF([2]AA!F118&lt;&gt;"",[2]AA!F118,"")</f>
        <v>200000</v>
      </c>
      <c r="H82" s="38">
        <f>IF([2]AA!G118&lt;&gt;"",[2]AA!G118,"")</f>
        <v>155777.91</v>
      </c>
      <c r="I82" s="38">
        <f>IF([2]AA!H118&lt;&gt;"",[2]AA!H118,"")</f>
        <v>394222.08999999997</v>
      </c>
      <c r="J82" s="58">
        <f t="shared" si="4"/>
        <v>0.28323256363636362</v>
      </c>
      <c r="K82" t="str">
        <f t="shared" si="5"/>
        <v>2451476</v>
      </c>
      <c r="L82" t="str">
        <f t="shared" si="6"/>
        <v>GRI-AD</v>
      </c>
    </row>
    <row r="83" spans="1:12" ht="54" x14ac:dyDescent="0.2">
      <c r="A83" s="37">
        <v>54</v>
      </c>
      <c r="B83" s="37" t="s">
        <v>587</v>
      </c>
      <c r="C83" s="37" t="s">
        <v>413</v>
      </c>
      <c r="D83" s="39" t="s">
        <v>385</v>
      </c>
      <c r="E83" s="38">
        <f>IF([2]AA!D119&lt;&gt;"",[2]AA!D119,"")</f>
        <v>75173</v>
      </c>
      <c r="F83" s="38">
        <f>IF([2]AA!E119&lt;&gt;"",[2]AA!E119,"")</f>
        <v>65000</v>
      </c>
      <c r="G83" s="38">
        <f>IF([2]AA!F119&lt;&gt;"",[2]AA!F119,"")</f>
        <v>10173</v>
      </c>
      <c r="H83" s="38">
        <f>IF([2]AA!G119&lt;&gt;"",[2]AA!G119,"")</f>
        <v>59170.239999999998</v>
      </c>
      <c r="I83" s="38">
        <f>IF([2]AA!H119&lt;&gt;"",[2]AA!H119,"")</f>
        <v>16002.760000000002</v>
      </c>
      <c r="J83" s="58">
        <f t="shared" si="4"/>
        <v>0.78712090777273758</v>
      </c>
      <c r="K83" t="str">
        <f t="shared" si="5"/>
        <v>2539886</v>
      </c>
      <c r="L83" t="str">
        <f t="shared" si="6"/>
        <v>GRI-AD</v>
      </c>
    </row>
    <row r="84" spans="1:12" ht="36" x14ac:dyDescent="0.2">
      <c r="A84" s="37">
        <v>55</v>
      </c>
      <c r="B84" s="37" t="s">
        <v>588</v>
      </c>
      <c r="C84" s="37" t="s">
        <v>413</v>
      </c>
      <c r="D84" s="39" t="s">
        <v>522</v>
      </c>
      <c r="E84" s="38">
        <f>IF([2]AA!D124&lt;&gt;"",[2]AA!D124,"")</f>
        <v>278409</v>
      </c>
      <c r="F84" s="38">
        <f>IF([2]AA!E124&lt;&gt;"",[2]AA!E124,"")</f>
        <v>269409</v>
      </c>
      <c r="G84" s="38">
        <f>IF([2]AA!F124&lt;&gt;"",[2]AA!F124,"")</f>
        <v>9000</v>
      </c>
      <c r="H84" s="38">
        <f>IF([2]AA!G124&lt;&gt;"",[2]AA!G124,"")</f>
        <v>168805.9</v>
      </c>
      <c r="I84" s="38">
        <f>IF([2]AA!H124&lt;&gt;"",[2]AA!H124,"")</f>
        <v>109603.1</v>
      </c>
      <c r="J84" s="58">
        <f t="shared" si="4"/>
        <v>0.60632343063622218</v>
      </c>
      <c r="K84" t="str">
        <f t="shared" si="5"/>
        <v>2163853</v>
      </c>
      <c r="L84" t="str">
        <f t="shared" si="6"/>
        <v>GRI-AD</v>
      </c>
    </row>
    <row r="85" spans="1:12" ht="27" x14ac:dyDescent="0.2">
      <c r="A85" s="37">
        <v>56</v>
      </c>
      <c r="B85" s="37" t="s">
        <v>627</v>
      </c>
      <c r="C85" s="37" t="s">
        <v>413</v>
      </c>
      <c r="D85" s="39" t="s">
        <v>523</v>
      </c>
      <c r="E85" s="38">
        <f>IF([2]AA!D129&lt;&gt;"",[2]AA!D129,"")</f>
        <v>275790</v>
      </c>
      <c r="F85" s="38">
        <f>IF([2]AA!E129&lt;&gt;"",[2]AA!E129,"")</f>
        <v>274002.40000000002</v>
      </c>
      <c r="G85" s="38">
        <f>IF([2]AA!F129&lt;&gt;"",[2]AA!F129,"")</f>
        <v>1787.5999999999767</v>
      </c>
      <c r="H85" s="38">
        <f>IF([2]AA!G129&lt;&gt;"",[2]AA!G129,"")</f>
        <v>141484.27000000002</v>
      </c>
      <c r="I85" s="38">
        <f>IF([2]AA!H129&lt;&gt;"",[2]AA!H129,"")</f>
        <v>134305.72999999998</v>
      </c>
      <c r="J85" s="58">
        <f t="shared" si="4"/>
        <v>0.51301450378911495</v>
      </c>
      <c r="K85" t="str">
        <f t="shared" si="5"/>
        <v>2279375</v>
      </c>
      <c r="L85" t="str">
        <f t="shared" si="6"/>
        <v>GRI-AD</v>
      </c>
    </row>
    <row r="86" spans="1:12" ht="72" x14ac:dyDescent="0.2">
      <c r="A86" s="37">
        <v>57</v>
      </c>
      <c r="B86" s="37" t="s">
        <v>589</v>
      </c>
      <c r="C86" s="37" t="s">
        <v>413</v>
      </c>
      <c r="D86" s="39" t="s">
        <v>273</v>
      </c>
      <c r="E86" s="38">
        <f>IF([2]AA!D131&lt;&gt;"",[2]AA!D131,"")</f>
        <v>222962</v>
      </c>
      <c r="F86" s="38">
        <f>IF([2]AA!E131&lt;&gt;"",[2]AA!E131,"")</f>
        <v>193149.5</v>
      </c>
      <c r="G86" s="38">
        <f>IF([2]AA!F131&lt;&gt;"",[2]AA!F131,"")</f>
        <v>29812.5</v>
      </c>
      <c r="H86" s="38">
        <f>IF([2]AA!G131&lt;&gt;"",[2]AA!G131,"")</f>
        <v>170812.81</v>
      </c>
      <c r="I86" s="38">
        <f>IF([2]AA!H131&lt;&gt;"",[2]AA!H131,"")</f>
        <v>52149.19</v>
      </c>
      <c r="J86" s="58">
        <f t="shared" si="4"/>
        <v>0.76610727388523603</v>
      </c>
      <c r="K86" t="str">
        <f t="shared" si="5"/>
        <v>2323700</v>
      </c>
      <c r="L86" t="str">
        <f t="shared" si="6"/>
        <v>GRI-AD</v>
      </c>
    </row>
    <row r="87" spans="1:12" ht="63" x14ac:dyDescent="0.2">
      <c r="A87" s="37">
        <v>58</v>
      </c>
      <c r="B87" s="37" t="s">
        <v>591</v>
      </c>
      <c r="C87" s="37" t="s">
        <v>413</v>
      </c>
      <c r="D87" s="39" t="s">
        <v>274</v>
      </c>
      <c r="E87" s="38">
        <f>IF([2]AA!D133&lt;&gt;"",[2]AA!D133,"")</f>
        <v>100000</v>
      </c>
      <c r="F87" s="38">
        <f>IF([2]AA!E133&lt;&gt;"",[2]AA!E133,"")</f>
        <v>0</v>
      </c>
      <c r="G87" s="38">
        <f>IF([2]AA!F133&lt;&gt;"",[2]AA!F133,"")</f>
        <v>100000</v>
      </c>
      <c r="H87" s="38">
        <f>IF([2]AA!G133&lt;&gt;"",[2]AA!G133,"")</f>
        <v>0</v>
      </c>
      <c r="I87" s="38">
        <f>IF([2]AA!H133&lt;&gt;"",[2]AA!H133,"")</f>
        <v>100000</v>
      </c>
      <c r="J87" s="58">
        <f t="shared" si="4"/>
        <v>0</v>
      </c>
      <c r="K87" t="str">
        <f t="shared" si="5"/>
        <v>2335880</v>
      </c>
      <c r="L87" t="str">
        <f t="shared" si="6"/>
        <v>GRI-AD</v>
      </c>
    </row>
    <row r="88" spans="1:12" ht="54" x14ac:dyDescent="0.2">
      <c r="A88" s="37">
        <v>59</v>
      </c>
      <c r="B88" s="37" t="s">
        <v>593</v>
      </c>
      <c r="C88" s="37" t="s">
        <v>413</v>
      </c>
      <c r="D88" s="39" t="s">
        <v>253</v>
      </c>
      <c r="E88" s="38">
        <f>IF([2]AA!D137&lt;&gt;"",[2]AA!D137,"")</f>
        <v>6239845</v>
      </c>
      <c r="F88" s="38">
        <f>IF([2]AA!E137&lt;&gt;"",[2]AA!E137,"")</f>
        <v>5064673</v>
      </c>
      <c r="G88" s="38">
        <f>IF([2]AA!F137&lt;&gt;"",[2]AA!F137,"")</f>
        <v>1175172</v>
      </c>
      <c r="H88" s="38">
        <f>IF([2]AA!G137&lt;&gt;"",[2]AA!G137,"")</f>
        <v>0</v>
      </c>
      <c r="I88" s="38">
        <f>IF([2]AA!H137&lt;&gt;"",[2]AA!H137,"")</f>
        <v>6239845</v>
      </c>
      <c r="J88" s="58">
        <f t="shared" si="4"/>
        <v>0</v>
      </c>
      <c r="K88" t="str">
        <f t="shared" si="5"/>
        <v>2357092</v>
      </c>
      <c r="L88" t="str">
        <f t="shared" si="6"/>
        <v>GRI-AD</v>
      </c>
    </row>
    <row r="89" spans="1:12" ht="81" x14ac:dyDescent="0.2">
      <c r="A89" s="37">
        <v>60</v>
      </c>
      <c r="B89" s="37" t="s">
        <v>594</v>
      </c>
      <c r="C89" s="37" t="s">
        <v>413</v>
      </c>
      <c r="D89" s="39" t="s">
        <v>277</v>
      </c>
      <c r="E89" s="38">
        <f>IF([2]AA!D138&lt;&gt;"",[2]AA!D138,"")</f>
        <v>4863</v>
      </c>
      <c r="F89" s="38">
        <f>IF([2]AA!E138&lt;&gt;"",[2]AA!E138,"")</f>
        <v>4863</v>
      </c>
      <c r="G89" s="38">
        <f>IF([2]AA!F138&lt;&gt;"",[2]AA!F138,"")</f>
        <v>0</v>
      </c>
      <c r="H89" s="38">
        <f>IF([2]AA!G138&lt;&gt;"",[2]AA!G138,"")</f>
        <v>0</v>
      </c>
      <c r="I89" s="38">
        <f>IF([2]AA!H138&lt;&gt;"",[2]AA!H138,"")</f>
        <v>4863</v>
      </c>
      <c r="J89" s="58">
        <f t="shared" si="4"/>
        <v>0</v>
      </c>
      <c r="K89" t="str">
        <f t="shared" si="5"/>
        <v>2357330</v>
      </c>
      <c r="L89" t="str">
        <f t="shared" si="6"/>
        <v>GRI-AD</v>
      </c>
    </row>
    <row r="90" spans="1:12" ht="54" x14ac:dyDescent="0.2">
      <c r="A90" s="37">
        <v>61</v>
      </c>
      <c r="B90" s="37" t="s">
        <v>595</v>
      </c>
      <c r="C90" s="37" t="s">
        <v>413</v>
      </c>
      <c r="D90" s="39" t="s">
        <v>257</v>
      </c>
      <c r="E90" s="38">
        <f>IF([2]AA!D143&lt;&gt;"",[2]AA!D143,"")</f>
        <v>178134</v>
      </c>
      <c r="F90" s="38">
        <f>IF([2]AA!E143&lt;&gt;"",[2]AA!E143,"")</f>
        <v>129803.29</v>
      </c>
      <c r="G90" s="38">
        <f>IF([2]AA!F143&lt;&gt;"",[2]AA!F143,"")</f>
        <v>48330.710000000006</v>
      </c>
      <c r="H90" s="38">
        <f>IF([2]AA!G143&lt;&gt;"",[2]AA!G143,"")</f>
        <v>122423.54</v>
      </c>
      <c r="I90" s="38">
        <f>IF([2]AA!H143&lt;&gt;"",[2]AA!H143,"")</f>
        <v>55710.460000000006</v>
      </c>
      <c r="J90" s="58">
        <f t="shared" si="4"/>
        <v>0.68725532464324601</v>
      </c>
      <c r="K90" t="str">
        <f t="shared" si="5"/>
        <v>2451529</v>
      </c>
      <c r="L90" t="str">
        <f t="shared" si="6"/>
        <v>GRI-AD</v>
      </c>
    </row>
    <row r="91" spans="1:12" ht="45" x14ac:dyDescent="0.2">
      <c r="A91" s="37">
        <v>62</v>
      </c>
      <c r="B91" s="37" t="s">
        <v>596</v>
      </c>
      <c r="C91" s="37" t="s">
        <v>413</v>
      </c>
      <c r="D91" s="39" t="s">
        <v>258</v>
      </c>
      <c r="E91" s="38">
        <f>IF([2]AA!D146&lt;&gt;"",[2]AA!D146,"")</f>
        <v>225842</v>
      </c>
      <c r="F91" s="38">
        <f>IF([2]AA!E146&lt;&gt;"",[2]AA!E146,"")</f>
        <v>0</v>
      </c>
      <c r="G91" s="38">
        <f>IF([2]AA!F146&lt;&gt;"",[2]AA!F146,"")</f>
        <v>225842</v>
      </c>
      <c r="H91" s="38">
        <f>IF([2]AA!G146&lt;&gt;"",[2]AA!G146,"")</f>
        <v>0</v>
      </c>
      <c r="I91" s="38">
        <f>IF([2]AA!H146&lt;&gt;"",[2]AA!H146,"")</f>
        <v>225842</v>
      </c>
      <c r="J91" s="58">
        <f t="shared" si="4"/>
        <v>0</v>
      </c>
      <c r="K91" t="str">
        <f t="shared" si="5"/>
        <v>2470517</v>
      </c>
      <c r="L91" t="str">
        <f t="shared" si="6"/>
        <v>GRI-AD</v>
      </c>
    </row>
    <row r="92" spans="1:12" ht="54" x14ac:dyDescent="0.2">
      <c r="A92" s="37">
        <v>63</v>
      </c>
      <c r="B92" s="37" t="s">
        <v>597</v>
      </c>
      <c r="C92" s="37" t="s">
        <v>413</v>
      </c>
      <c r="D92" s="39" t="s">
        <v>260</v>
      </c>
      <c r="E92" s="38">
        <f>IF([2]AA!D149&lt;&gt;"",[2]AA!D149,"")</f>
        <v>0</v>
      </c>
      <c r="F92" s="38">
        <f>IF([2]AA!E149&lt;&gt;"",[2]AA!E149,"")</f>
        <v>0</v>
      </c>
      <c r="G92" s="38">
        <f>IF([2]AA!F149&lt;&gt;"",[2]AA!F149,"")</f>
        <v>0</v>
      </c>
      <c r="H92" s="38">
        <f>IF([2]AA!G149&lt;&gt;"",[2]AA!G149,"")</f>
        <v>0</v>
      </c>
      <c r="I92" s="38">
        <f>IF([2]AA!H149&lt;&gt;"",[2]AA!H149,"")</f>
        <v>0</v>
      </c>
      <c r="J92" s="58" t="e">
        <f t="shared" si="4"/>
        <v>#DIV/0!</v>
      </c>
      <c r="K92" t="str">
        <f t="shared" si="5"/>
        <v>2504553</v>
      </c>
      <c r="L92" t="str">
        <f t="shared" si="6"/>
        <v>GRI-AD</v>
      </c>
    </row>
    <row r="93" spans="1:12" ht="54" x14ac:dyDescent="0.2">
      <c r="A93" s="37">
        <v>64</v>
      </c>
      <c r="B93" s="37" t="s">
        <v>598</v>
      </c>
      <c r="C93" s="37" t="s">
        <v>413</v>
      </c>
      <c r="D93" s="39" t="s">
        <v>285</v>
      </c>
      <c r="E93" s="38">
        <f>IF([2]AA!D152&lt;&gt;"",[2]AA!D152,"")</f>
        <v>2342684</v>
      </c>
      <c r="F93" s="38">
        <f>IF([2]AA!E152&lt;&gt;"",[2]AA!E152,"")</f>
        <v>1634831.19</v>
      </c>
      <c r="G93" s="38">
        <f>IF([2]AA!F152&lt;&gt;"",[2]AA!F152,"")</f>
        <v>707852.81</v>
      </c>
      <c r="H93" s="38">
        <f>IF([2]AA!G152&lt;&gt;"",[2]AA!G152,"")</f>
        <v>308604.36</v>
      </c>
      <c r="I93" s="38">
        <f>IF([2]AA!H152&lt;&gt;"",[2]AA!H152,"")</f>
        <v>2034079.6400000001</v>
      </c>
      <c r="J93" s="58">
        <f t="shared" si="4"/>
        <v>0.13173110842093941</v>
      </c>
      <c r="K93" t="str">
        <f t="shared" si="5"/>
        <v>2521936</v>
      </c>
      <c r="L93" t="str">
        <f t="shared" si="6"/>
        <v>GRI-AD</v>
      </c>
    </row>
    <row r="94" spans="1:12" ht="54" x14ac:dyDescent="0.2">
      <c r="A94" s="37">
        <v>65</v>
      </c>
      <c r="B94" s="37" t="s">
        <v>599</v>
      </c>
      <c r="C94" s="37" t="s">
        <v>413</v>
      </c>
      <c r="D94" s="39" t="s">
        <v>184</v>
      </c>
      <c r="E94" s="38">
        <f>IF([2]AA!D154&lt;&gt;"",[2]AA!D154,"")</f>
        <v>0</v>
      </c>
      <c r="F94" s="38">
        <f>IF([2]AA!E154&lt;&gt;"",[2]AA!E154,"")</f>
        <v>0</v>
      </c>
      <c r="G94" s="38">
        <f>IF([2]AA!F154&lt;&gt;"",[2]AA!F154,"")</f>
        <v>0</v>
      </c>
      <c r="H94" s="38">
        <f>IF([2]AA!G154&lt;&gt;"",[2]AA!G154,"")</f>
        <v>0</v>
      </c>
      <c r="I94" s="38">
        <f>IF([2]AA!H154&lt;&gt;"",[2]AA!H154,"")</f>
        <v>0</v>
      </c>
      <c r="J94" s="58" t="e">
        <f t="shared" si="4"/>
        <v>#DIV/0!</v>
      </c>
      <c r="K94" t="str">
        <f t="shared" si="5"/>
        <v>2535611</v>
      </c>
      <c r="L94" t="str">
        <f t="shared" si="6"/>
        <v>GRI-AD</v>
      </c>
    </row>
    <row r="95" spans="1:12" ht="54" x14ac:dyDescent="0.2">
      <c r="A95" s="37">
        <v>66</v>
      </c>
      <c r="B95" s="37" t="s">
        <v>600</v>
      </c>
      <c r="C95" s="37" t="s">
        <v>413</v>
      </c>
      <c r="D95" s="39" t="s">
        <v>338</v>
      </c>
      <c r="E95" s="38">
        <f>IF([2]AA!D155&lt;&gt;"",[2]AA!D155,"")</f>
        <v>29298</v>
      </c>
      <c r="F95" s="38">
        <f>IF([2]AA!E155&lt;&gt;"",[2]AA!E155,"")</f>
        <v>29298</v>
      </c>
      <c r="G95" s="38">
        <f>IF([2]AA!F155&lt;&gt;"",[2]AA!F155,"")</f>
        <v>0</v>
      </c>
      <c r="H95" s="38">
        <f>IF([2]AA!G155&lt;&gt;"",[2]AA!G155,"")</f>
        <v>0</v>
      </c>
      <c r="I95" s="38">
        <f>IF([2]AA!H155&lt;&gt;"",[2]AA!H155,"")</f>
        <v>29298</v>
      </c>
      <c r="J95" s="58">
        <f t="shared" si="4"/>
        <v>0</v>
      </c>
      <c r="K95" t="str">
        <f t="shared" si="5"/>
        <v>2539673</v>
      </c>
      <c r="L95" t="str">
        <f t="shared" si="6"/>
        <v>GRI-AD</v>
      </c>
    </row>
    <row r="96" spans="1:12" ht="54" x14ac:dyDescent="0.2">
      <c r="A96" s="37">
        <v>67</v>
      </c>
      <c r="B96" s="53" t="s">
        <v>634</v>
      </c>
      <c r="C96" s="53" t="s">
        <v>413</v>
      </c>
      <c r="D96" s="54" t="s">
        <v>525</v>
      </c>
      <c r="E96" s="55">
        <f>IF([2]AA!D157&lt;&gt;"",[2]AA!D157,"")</f>
        <v>0</v>
      </c>
      <c r="F96" s="55">
        <f>IF([2]AA!E157&lt;&gt;"",[2]AA!E157,"")</f>
        <v>0</v>
      </c>
      <c r="G96" s="55">
        <f>IF([2]AA!F157&lt;&gt;"",[2]AA!F157,"")</f>
        <v>0</v>
      </c>
      <c r="H96" s="55">
        <f>IF([2]AA!G157&lt;&gt;"",[2]AA!G157,"")</f>
        <v>0</v>
      </c>
      <c r="I96" s="55">
        <f>IF([2]AA!H157&lt;&gt;"",[2]AA!H157,"")</f>
        <v>0</v>
      </c>
      <c r="J96" s="59"/>
      <c r="K96" t="str">
        <f t="shared" si="5"/>
        <v>2555837</v>
      </c>
      <c r="L96" t="str">
        <f t="shared" si="6"/>
        <v>GRI-AD</v>
      </c>
    </row>
    <row r="97" spans="1:12" ht="54" x14ac:dyDescent="0.2">
      <c r="A97" s="37">
        <v>68</v>
      </c>
      <c r="B97" s="37" t="s">
        <v>601</v>
      </c>
      <c r="C97" s="37" t="s">
        <v>413</v>
      </c>
      <c r="D97" s="39" t="s">
        <v>301</v>
      </c>
      <c r="E97" s="38">
        <f>IF([2]AA!D162&lt;&gt;"",[2]AA!D162,"")</f>
        <v>95335</v>
      </c>
      <c r="F97" s="38">
        <f>IF([2]AA!E162&lt;&gt;"",[2]AA!E162,"")</f>
        <v>95335</v>
      </c>
      <c r="G97" s="38">
        <f>IF([2]AA!F162&lt;&gt;"",[2]AA!F162,"")</f>
        <v>0</v>
      </c>
      <c r="H97" s="38">
        <f>IF([2]AA!G162&lt;&gt;"",[2]AA!G162,"")</f>
        <v>85338.67</v>
      </c>
      <c r="I97" s="38">
        <f>IF([2]AA!H162&lt;&gt;"",[2]AA!H162,"")</f>
        <v>9996.3300000000017</v>
      </c>
      <c r="J97" s="58">
        <f t="shared" ref="J97:J103" si="7">H97/E97</f>
        <v>0.89514522473383329</v>
      </c>
      <c r="K97" t="str">
        <f t="shared" si="5"/>
        <v>2570978</v>
      </c>
      <c r="L97" t="str">
        <f t="shared" si="6"/>
        <v>GRI-AD</v>
      </c>
    </row>
    <row r="98" spans="1:12" ht="54" x14ac:dyDescent="0.2">
      <c r="A98" s="37">
        <v>69</v>
      </c>
      <c r="B98" s="37" t="s">
        <v>602</v>
      </c>
      <c r="C98" s="37" t="s">
        <v>413</v>
      </c>
      <c r="D98" s="39" t="s">
        <v>211</v>
      </c>
      <c r="E98" s="38">
        <f>IF([2]AA!D166&lt;&gt;"",[2]AA!D166,"")</f>
        <v>0</v>
      </c>
      <c r="F98" s="38">
        <f>IF([2]AA!E166&lt;&gt;"",[2]AA!E166,"")</f>
        <v>0</v>
      </c>
      <c r="G98" s="38">
        <f>IF([2]AA!F166&lt;&gt;"",[2]AA!F166,"")</f>
        <v>0</v>
      </c>
      <c r="H98" s="38">
        <f>IF([2]AA!G166&lt;&gt;"",[2]AA!G166,"")</f>
        <v>0</v>
      </c>
      <c r="I98" s="38">
        <f>IF([2]AA!H166&lt;&gt;"",[2]AA!H166,"")</f>
        <v>0</v>
      </c>
      <c r="J98" s="58" t="e">
        <f t="shared" si="7"/>
        <v>#DIV/0!</v>
      </c>
      <c r="K98" t="str">
        <f t="shared" si="5"/>
        <v>2592407</v>
      </c>
      <c r="L98" t="str">
        <f t="shared" si="6"/>
        <v>GRI-AD</v>
      </c>
    </row>
    <row r="99" spans="1:12" ht="54" x14ac:dyDescent="0.2">
      <c r="A99" s="37">
        <v>70</v>
      </c>
      <c r="B99" s="37" t="s">
        <v>603</v>
      </c>
      <c r="C99" s="37" t="s">
        <v>413</v>
      </c>
      <c r="D99" s="39" t="s">
        <v>217</v>
      </c>
      <c r="E99" s="38">
        <f>IF([2]AA!D167&lt;&gt;"",[2]AA!D167,"")</f>
        <v>2397705</v>
      </c>
      <c r="F99" s="38">
        <f>IF([2]AA!E167&lt;&gt;"",[2]AA!E167,"")</f>
        <v>1422039.8399999999</v>
      </c>
      <c r="G99" s="38">
        <f>IF([2]AA!F167&lt;&gt;"",[2]AA!F167,"")</f>
        <v>975665.16</v>
      </c>
      <c r="H99" s="38">
        <f>IF([2]AA!G167&lt;&gt;"",[2]AA!G167,"")</f>
        <v>70054.98000000001</v>
      </c>
      <c r="I99" s="38">
        <f>IF([2]AA!H167&lt;&gt;"",[2]AA!H167,"")</f>
        <v>2327650.02</v>
      </c>
      <c r="J99" s="58">
        <f t="shared" si="7"/>
        <v>2.9217514247999656E-2</v>
      </c>
      <c r="K99" t="str">
        <f t="shared" si="5"/>
        <v>2593683</v>
      </c>
      <c r="L99" t="str">
        <f t="shared" si="6"/>
        <v>GRI-AD</v>
      </c>
    </row>
    <row r="100" spans="1:12" ht="90" x14ac:dyDescent="0.2">
      <c r="A100" s="37">
        <v>71</v>
      </c>
      <c r="B100" s="37" t="s">
        <v>604</v>
      </c>
      <c r="C100" s="37" t="s">
        <v>413</v>
      </c>
      <c r="D100" s="39" t="s">
        <v>369</v>
      </c>
      <c r="E100" s="38">
        <f>IF([2]AA!D179&lt;&gt;"",[2]AA!D179,"")</f>
        <v>4005282</v>
      </c>
      <c r="F100" s="38">
        <f>IF([2]AA!E179&lt;&gt;"",[2]AA!E179,"")</f>
        <v>0</v>
      </c>
      <c r="G100" s="38">
        <f>IF([2]AA!F179&lt;&gt;"",[2]AA!F179,"")</f>
        <v>4005282</v>
      </c>
      <c r="H100" s="38">
        <f>IF([2]AA!G179&lt;&gt;"",[2]AA!G179,"")</f>
        <v>0</v>
      </c>
      <c r="I100" s="38">
        <f>IF([2]AA!H179&lt;&gt;"",[2]AA!H179,"")</f>
        <v>4005282</v>
      </c>
      <c r="J100" s="58">
        <f t="shared" si="7"/>
        <v>0</v>
      </c>
      <c r="K100" t="str">
        <f t="shared" si="5"/>
        <v>2623682</v>
      </c>
      <c r="L100" t="str">
        <f t="shared" si="6"/>
        <v>GRI-AD</v>
      </c>
    </row>
    <row r="101" spans="1:12" ht="45" x14ac:dyDescent="0.2">
      <c r="A101" s="37">
        <v>72</v>
      </c>
      <c r="B101" s="37">
        <v>234</v>
      </c>
      <c r="C101" s="37" t="s">
        <v>413</v>
      </c>
      <c r="D101" s="39" t="s">
        <v>216</v>
      </c>
      <c r="E101" s="38">
        <f>IF([2]AA!D187&lt;&gt;"",[2]AA!D187,"")</f>
        <v>407088</v>
      </c>
      <c r="F101" s="38">
        <f>IF([2]AA!E187&lt;&gt;"",[2]AA!E187,"")</f>
        <v>323566</v>
      </c>
      <c r="G101" s="38">
        <f>IF([2]AA!F187&lt;&gt;"",[2]AA!F187,"")</f>
        <v>83522</v>
      </c>
      <c r="H101" s="38">
        <f>IF([2]AA!G187&lt;&gt;"",[2]AA!G187,"")</f>
        <v>211525.14</v>
      </c>
      <c r="I101" s="38">
        <f>IF([2]AA!H187&lt;&gt;"",[2]AA!H187,"")</f>
        <v>195562.86</v>
      </c>
      <c r="J101" s="58">
        <f t="shared" si="7"/>
        <v>0.51960544157528599</v>
      </c>
      <c r="K101" t="str">
        <f t="shared" si="5"/>
        <v>2468945</v>
      </c>
      <c r="L101" t="str">
        <f t="shared" si="6"/>
        <v>GRI-AD</v>
      </c>
    </row>
    <row r="102" spans="1:12" ht="54" x14ac:dyDescent="0.2">
      <c r="A102" s="37">
        <v>73</v>
      </c>
      <c r="B102" s="37" t="s">
        <v>605</v>
      </c>
      <c r="C102" s="37" t="s">
        <v>413</v>
      </c>
      <c r="D102" s="39" t="s">
        <v>530</v>
      </c>
      <c r="E102" s="38">
        <f>IF([2]AA!D188&lt;&gt;"",[2]AA!D188,"")</f>
        <v>13519577</v>
      </c>
      <c r="F102" s="38">
        <f>IF([2]AA!E188&lt;&gt;"",[2]AA!E188,"")</f>
        <v>9144555.1699999999</v>
      </c>
      <c r="G102" s="38">
        <f>IF([2]AA!F188&lt;&gt;"",[2]AA!F188,"")</f>
        <v>4375021.83</v>
      </c>
      <c r="H102" s="38">
        <f>IF([2]AA!G188&lt;&gt;"",[2]AA!G188,"")</f>
        <v>5568989.7400000002</v>
      </c>
      <c r="I102" s="38">
        <f>IF([2]AA!H188&lt;&gt;"",[2]AA!H188,"")</f>
        <v>7950587.2599999998</v>
      </c>
      <c r="J102" s="58">
        <f t="shared" si="7"/>
        <v>0.41192041289457504</v>
      </c>
      <c r="K102" t="str">
        <f t="shared" si="5"/>
        <v>2293239</v>
      </c>
      <c r="L102" t="str">
        <f t="shared" si="6"/>
        <v>GRI-AD</v>
      </c>
    </row>
    <row r="103" spans="1:12" ht="36" x14ac:dyDescent="0.2">
      <c r="A103" s="37">
        <v>74</v>
      </c>
      <c r="B103" s="37" t="s">
        <v>606</v>
      </c>
      <c r="C103" s="37" t="s">
        <v>413</v>
      </c>
      <c r="D103" s="39" t="s">
        <v>377</v>
      </c>
      <c r="E103" s="38">
        <f>IF([2]AA!D189&lt;&gt;"",[2]AA!D189,"")</f>
        <v>9180007</v>
      </c>
      <c r="F103" s="38">
        <f>IF([2]AA!E189&lt;&gt;"",[2]AA!E189,"")</f>
        <v>8808338.5300000012</v>
      </c>
      <c r="G103" s="38">
        <f>IF([2]AA!F189&lt;&gt;"",[2]AA!F189,"")</f>
        <v>371668.46999999974</v>
      </c>
      <c r="H103" s="38">
        <f>IF([2]AA!G189&lt;&gt;"",[2]AA!G189,"")</f>
        <v>3440219.9499999997</v>
      </c>
      <c r="I103" s="38">
        <f>IF([2]AA!H189&lt;&gt;"",[2]AA!H189,"")</f>
        <v>5739787.0499999998</v>
      </c>
      <c r="J103" s="58">
        <f t="shared" si="7"/>
        <v>0.37475134278220046</v>
      </c>
      <c r="K103" t="str">
        <f t="shared" si="5"/>
        <v>2289661</v>
      </c>
      <c r="L103" t="str">
        <f t="shared" si="6"/>
        <v>GRI-AD</v>
      </c>
    </row>
    <row r="104" spans="1:12" ht="45" x14ac:dyDescent="0.2">
      <c r="A104" s="37">
        <v>75</v>
      </c>
      <c r="B104" s="53" t="s">
        <v>635</v>
      </c>
      <c r="C104" s="53" t="s">
        <v>413</v>
      </c>
      <c r="D104" s="54" t="s">
        <v>383</v>
      </c>
      <c r="E104" s="55">
        <f>IF([2]AA!D190&lt;&gt;"",[2]AA!D190,"")</f>
        <v>46429</v>
      </c>
      <c r="F104" s="55">
        <f>IF([2]AA!E190&lt;&gt;"",[2]AA!E190,"")</f>
        <v>0</v>
      </c>
      <c r="G104" s="55">
        <f>IF([2]AA!F190&lt;&gt;"",[2]AA!F190,"")</f>
        <v>46429</v>
      </c>
      <c r="H104" s="55">
        <f>IF([2]AA!G190&lt;&gt;"",[2]AA!G190,"")</f>
        <v>0</v>
      </c>
      <c r="I104" s="55">
        <f>IF([2]AA!H190&lt;&gt;"",[2]AA!H190,"")</f>
        <v>46429</v>
      </c>
      <c r="J104" s="59"/>
      <c r="K104" t="str">
        <f t="shared" si="5"/>
        <v>2590087</v>
      </c>
      <c r="L104" t="str">
        <f t="shared" si="6"/>
        <v>GRI-AD</v>
      </c>
    </row>
    <row r="105" spans="1:12" ht="45" x14ac:dyDescent="0.2">
      <c r="A105" s="37">
        <v>76</v>
      </c>
      <c r="B105" s="37" t="s">
        <v>607</v>
      </c>
      <c r="C105" s="37" t="s">
        <v>413</v>
      </c>
      <c r="D105" s="39" t="s">
        <v>272</v>
      </c>
      <c r="E105" s="38">
        <f>IF([2]AA!D191&lt;&gt;"",[2]AA!D191,"")</f>
        <v>19293362</v>
      </c>
      <c r="F105" s="38">
        <f>IF([2]AA!E191&lt;&gt;"",[2]AA!E191,"")</f>
        <v>150000</v>
      </c>
      <c r="G105" s="38">
        <f>IF([2]AA!F191&lt;&gt;"",[2]AA!F191,"")</f>
        <v>19143362</v>
      </c>
      <c r="H105" s="38">
        <f>IF([2]AA!G191&lt;&gt;"",[2]AA!G191,"")</f>
        <v>0</v>
      </c>
      <c r="I105" s="38">
        <f>IF([2]AA!H191&lt;&gt;"",[2]AA!H191,"")</f>
        <v>19293362</v>
      </c>
      <c r="J105" s="58">
        <f t="shared" ref="J105:J175" si="8">H105/E105</f>
        <v>0</v>
      </c>
      <c r="K105" t="str">
        <f t="shared" si="5"/>
        <v>2301117</v>
      </c>
      <c r="L105" t="str">
        <f t="shared" si="6"/>
        <v>GRI-AD</v>
      </c>
    </row>
    <row r="106" spans="1:12" ht="45" x14ac:dyDescent="0.2">
      <c r="A106" s="37">
        <v>77</v>
      </c>
      <c r="B106" s="37" t="s">
        <v>608</v>
      </c>
      <c r="C106" s="37" t="s">
        <v>413</v>
      </c>
      <c r="D106" s="39" t="s">
        <v>373</v>
      </c>
      <c r="E106" s="38">
        <f>IF([2]AA!D192&lt;&gt;"",[2]AA!D192,"")</f>
        <v>17814428</v>
      </c>
      <c r="F106" s="38">
        <f>IF([2]AA!E192&lt;&gt;"",[2]AA!E192,"")</f>
        <v>9609876</v>
      </c>
      <c r="G106" s="38">
        <f>IF([2]AA!F192&lt;&gt;"",[2]AA!F192,"")</f>
        <v>8204552</v>
      </c>
      <c r="H106" s="38">
        <f>IF([2]AA!G192&lt;&gt;"",[2]AA!G192,"")</f>
        <v>0</v>
      </c>
      <c r="I106" s="38">
        <f>IF([2]AA!H192&lt;&gt;"",[2]AA!H192,"")</f>
        <v>17814428</v>
      </c>
      <c r="J106" s="58">
        <f t="shared" si="8"/>
        <v>0</v>
      </c>
      <c r="K106" t="str">
        <f t="shared" si="5"/>
        <v>2387422</v>
      </c>
      <c r="L106" t="str">
        <f t="shared" si="6"/>
        <v>GRI-AD</v>
      </c>
    </row>
    <row r="107" spans="1:12" ht="36" x14ac:dyDescent="0.2">
      <c r="A107" s="37">
        <v>78</v>
      </c>
      <c r="B107" s="37" t="s">
        <v>609</v>
      </c>
      <c r="C107" s="37" t="s">
        <v>413</v>
      </c>
      <c r="D107" s="39" t="s">
        <v>374</v>
      </c>
      <c r="E107" s="38">
        <f>IF([2]AA!D193&lt;&gt;"",[2]AA!D193,"")</f>
        <v>8000000</v>
      </c>
      <c r="F107" s="38">
        <f>IF([2]AA!E193&lt;&gt;"",[2]AA!E193,"")</f>
        <v>6266882.4100000001</v>
      </c>
      <c r="G107" s="38">
        <f>IF([2]AA!F193&lt;&gt;"",[2]AA!F193,"")</f>
        <v>1733117.5899999999</v>
      </c>
      <c r="H107" s="38">
        <f>IF([2]AA!G193&lt;&gt;"",[2]AA!G193,"")</f>
        <v>1427735.79</v>
      </c>
      <c r="I107" s="38">
        <f>IF([2]AA!H193&lt;&gt;"",[2]AA!H193,"")</f>
        <v>6572264.2100000009</v>
      </c>
      <c r="J107" s="58">
        <f t="shared" si="8"/>
        <v>0.17846697375000001</v>
      </c>
      <c r="K107" t="str">
        <f t="shared" ref="K107:K123" si="9">MID(D107,1,7)</f>
        <v>2399543</v>
      </c>
      <c r="L107" t="str">
        <f t="shared" ref="L107:L123" si="10">C107</f>
        <v>GRI-AD</v>
      </c>
    </row>
    <row r="108" spans="1:12" ht="54" x14ac:dyDescent="0.2">
      <c r="A108" s="37">
        <v>79</v>
      </c>
      <c r="B108" s="37" t="s">
        <v>610</v>
      </c>
      <c r="C108" s="37" t="s">
        <v>413</v>
      </c>
      <c r="D108" s="39" t="s">
        <v>384</v>
      </c>
      <c r="E108" s="38">
        <f>IF([2]AA!D194&lt;&gt;"",[2]AA!D194,"")</f>
        <v>18108320</v>
      </c>
      <c r="F108" s="38">
        <f>IF([2]AA!E194&lt;&gt;"",[2]AA!E194,"")</f>
        <v>16121061.469999999</v>
      </c>
      <c r="G108" s="38">
        <f>IF([2]AA!F194&lt;&gt;"",[2]AA!F194,"")</f>
        <v>1987258.530000001</v>
      </c>
      <c r="H108" s="38">
        <f>IF([2]AA!G194&lt;&gt;"",[2]AA!G194,"")</f>
        <v>5476831.4000000004</v>
      </c>
      <c r="I108" s="38">
        <f>IF([2]AA!H194&lt;&gt;"",[2]AA!H194,"")</f>
        <v>12631488.6</v>
      </c>
      <c r="J108" s="58">
        <f t="shared" si="8"/>
        <v>0.30244834418653971</v>
      </c>
      <c r="K108" t="str">
        <f t="shared" si="9"/>
        <v>2519621</v>
      </c>
      <c r="L108" t="str">
        <f t="shared" si="10"/>
        <v>GRI-AD</v>
      </c>
    </row>
    <row r="109" spans="1:12" ht="36" x14ac:dyDescent="0.2">
      <c r="A109" s="37">
        <v>80</v>
      </c>
      <c r="B109" s="37" t="s">
        <v>611</v>
      </c>
      <c r="C109" s="37" t="s">
        <v>413</v>
      </c>
      <c r="D109" s="39" t="s">
        <v>531</v>
      </c>
      <c r="E109" s="38">
        <f>IF([2]AA!D195&lt;&gt;"",[2]AA!D195,"")</f>
        <v>350000</v>
      </c>
      <c r="F109" s="38">
        <f>IF([2]AA!E195&lt;&gt;"",[2]AA!E195,"")</f>
        <v>0</v>
      </c>
      <c r="G109" s="38">
        <f>IF([2]AA!F195&lt;&gt;"",[2]AA!F195,"")</f>
        <v>350000</v>
      </c>
      <c r="H109" s="38">
        <f>IF([2]AA!G195&lt;&gt;"",[2]AA!G195,"")</f>
        <v>0</v>
      </c>
      <c r="I109" s="38">
        <f>IF([2]AA!H195&lt;&gt;"",[2]AA!H195,"")</f>
        <v>350000</v>
      </c>
      <c r="J109" s="58">
        <f t="shared" si="8"/>
        <v>0</v>
      </c>
      <c r="K109" t="str">
        <f t="shared" si="9"/>
        <v>2196877</v>
      </c>
      <c r="L109" t="str">
        <f t="shared" si="10"/>
        <v>GRI-AD</v>
      </c>
    </row>
    <row r="110" spans="1:12" ht="27" x14ac:dyDescent="0.2">
      <c r="A110" s="37">
        <v>81</v>
      </c>
      <c r="B110" s="37" t="s">
        <v>612</v>
      </c>
      <c r="C110" s="37" t="s">
        <v>413</v>
      </c>
      <c r="D110" s="39" t="s">
        <v>229</v>
      </c>
      <c r="E110" s="38">
        <f>IF([2]AA!D197&lt;&gt;"",[2]AA!D197,"")</f>
        <v>0</v>
      </c>
      <c r="F110" s="38">
        <f>IF([2]AA!E197&lt;&gt;"",[2]AA!E197,"")</f>
        <v>0</v>
      </c>
      <c r="G110" s="38">
        <f>IF([2]AA!F197&lt;&gt;"",[2]AA!F197,"")</f>
        <v>0</v>
      </c>
      <c r="H110" s="38">
        <f>IF([2]AA!G197&lt;&gt;"",[2]AA!G197,"")</f>
        <v>0</v>
      </c>
      <c r="I110" s="38">
        <f>IF([2]AA!H197&lt;&gt;"",[2]AA!H197,"")</f>
        <v>0</v>
      </c>
      <c r="J110" s="58" t="e">
        <f t="shared" si="8"/>
        <v>#DIV/0!</v>
      </c>
      <c r="K110" t="str">
        <f t="shared" si="9"/>
        <v>2131661</v>
      </c>
      <c r="L110" t="str">
        <f t="shared" si="10"/>
        <v>GRI-AD</v>
      </c>
    </row>
    <row r="111" spans="1:12" ht="45" x14ac:dyDescent="0.2">
      <c r="A111" s="37">
        <v>82</v>
      </c>
      <c r="B111" s="37">
        <v>277</v>
      </c>
      <c r="C111" s="37" t="s">
        <v>413</v>
      </c>
      <c r="D111" s="39" t="s">
        <v>272</v>
      </c>
      <c r="E111" s="38">
        <f>IF([2]AA!D220&lt;&gt;"",[2]AA!D220,"")</f>
        <v>40062</v>
      </c>
      <c r="F111" s="38">
        <f>IF([2]AA!E220&lt;&gt;"",[2]AA!E220,"")</f>
        <v>20600</v>
      </c>
      <c r="G111" s="38">
        <f>IF([2]AA!F220&lt;&gt;"",[2]AA!F220,"")</f>
        <v>19462</v>
      </c>
      <c r="H111" s="38">
        <f>IF([2]AA!G220&lt;&gt;"",[2]AA!G220,"")</f>
        <v>17783.599999999999</v>
      </c>
      <c r="I111" s="38">
        <f>IF([2]AA!H220&lt;&gt;"",[2]AA!H220,"")</f>
        <v>22278.400000000001</v>
      </c>
      <c r="J111" s="58">
        <f t="shared" si="8"/>
        <v>0.4439019519744396</v>
      </c>
      <c r="K111" t="str">
        <f t="shared" si="9"/>
        <v>2301117</v>
      </c>
      <c r="L111" t="str">
        <f t="shared" si="10"/>
        <v>GRI-AD</v>
      </c>
    </row>
    <row r="112" spans="1:12" ht="36" x14ac:dyDescent="0.2">
      <c r="A112" s="37">
        <v>83</v>
      </c>
      <c r="B112" s="37" t="s">
        <v>613</v>
      </c>
      <c r="C112" s="37" t="s">
        <v>413</v>
      </c>
      <c r="D112" s="39" t="s">
        <v>533</v>
      </c>
      <c r="E112" s="38">
        <f>IF([2]AA!D221&lt;&gt;"",[2]AA!D221,"")</f>
        <v>82568</v>
      </c>
      <c r="F112" s="38">
        <f>IF([2]AA!E221&lt;&gt;"",[2]AA!E221,"")</f>
        <v>82568</v>
      </c>
      <c r="G112" s="38">
        <f>IF([2]AA!F221&lt;&gt;"",[2]AA!F221,"")</f>
        <v>0</v>
      </c>
      <c r="H112" s="38">
        <f>IF([2]AA!G221&lt;&gt;"",[2]AA!G221,"")</f>
        <v>57743.81</v>
      </c>
      <c r="I112" s="38">
        <f>IF([2]AA!H221&lt;&gt;"",[2]AA!H221,"")</f>
        <v>24824.190000000002</v>
      </c>
      <c r="J112" s="58">
        <f t="shared" si="8"/>
        <v>0.69934853696347254</v>
      </c>
      <c r="K112" t="str">
        <f t="shared" si="9"/>
        <v>2250398</v>
      </c>
      <c r="L112" t="str">
        <f t="shared" si="10"/>
        <v>GRI-AD</v>
      </c>
    </row>
    <row r="113" spans="1:12" ht="54" x14ac:dyDescent="0.2">
      <c r="A113" s="37">
        <v>84</v>
      </c>
      <c r="B113" s="37" t="s">
        <v>615</v>
      </c>
      <c r="C113" s="37" t="s">
        <v>413</v>
      </c>
      <c r="D113" s="39" t="s">
        <v>301</v>
      </c>
      <c r="E113" s="38">
        <f>IF([2]AA!D225&lt;&gt;"",[2]AA!D225,"")</f>
        <v>290270</v>
      </c>
      <c r="F113" s="38">
        <f>IF([2]AA!E225&lt;&gt;"",[2]AA!E225,"")</f>
        <v>100000</v>
      </c>
      <c r="G113" s="38">
        <f>IF([2]AA!F225&lt;&gt;"",[2]AA!F225,"")</f>
        <v>190270</v>
      </c>
      <c r="H113" s="38">
        <f>IF([2]AA!G225&lt;&gt;"",[2]AA!G225,"")</f>
        <v>0</v>
      </c>
      <c r="I113" s="38">
        <f>IF([2]AA!H225&lt;&gt;"",[2]AA!H225,"")</f>
        <v>290270</v>
      </c>
      <c r="J113" s="58">
        <f t="shared" si="8"/>
        <v>0</v>
      </c>
      <c r="K113" t="str">
        <f t="shared" si="9"/>
        <v>2570978</v>
      </c>
      <c r="L113" t="str">
        <f t="shared" si="10"/>
        <v>GRI-AD</v>
      </c>
    </row>
    <row r="114" spans="1:12" ht="90" x14ac:dyDescent="0.2">
      <c r="A114" s="37">
        <v>85</v>
      </c>
      <c r="B114" s="37" t="s">
        <v>616</v>
      </c>
      <c r="C114" s="37" t="s">
        <v>413</v>
      </c>
      <c r="D114" s="39" t="s">
        <v>369</v>
      </c>
      <c r="E114" s="38">
        <f>IF([2]AA!D226&lt;&gt;"",[2]AA!D226,"")</f>
        <v>154665</v>
      </c>
      <c r="F114" s="38">
        <f>IF([2]AA!E226&lt;&gt;"",[2]AA!E226,"")</f>
        <v>154665</v>
      </c>
      <c r="G114" s="38">
        <f>IF([2]AA!F226&lt;&gt;"",[2]AA!F226,"")</f>
        <v>0</v>
      </c>
      <c r="H114" s="38">
        <f>IF([2]AA!G226&lt;&gt;"",[2]AA!G226,"")</f>
        <v>124684.82999999999</v>
      </c>
      <c r="I114" s="38">
        <f>IF([2]AA!H226&lt;&gt;"",[2]AA!H226,"")</f>
        <v>29980.170000000013</v>
      </c>
      <c r="J114" s="58">
        <f t="shared" si="8"/>
        <v>0.80616060517893506</v>
      </c>
      <c r="K114" t="str">
        <f t="shared" si="9"/>
        <v>2623682</v>
      </c>
      <c r="L114" t="str">
        <f t="shared" si="10"/>
        <v>GRI-AD</v>
      </c>
    </row>
    <row r="115" spans="1:12" ht="36" x14ac:dyDescent="0.2">
      <c r="A115" s="37">
        <v>86</v>
      </c>
      <c r="B115" s="37">
        <v>306</v>
      </c>
      <c r="C115" s="37" t="s">
        <v>413</v>
      </c>
      <c r="D115" s="39" t="s">
        <v>747</v>
      </c>
      <c r="E115" s="38">
        <f>IF([2]AA!D235&lt;&gt;"",[2]AA!D235,"")</f>
        <v>1349649</v>
      </c>
      <c r="F115" s="38">
        <f>IF([2]AA!E235&lt;&gt;"",[2]AA!E235,"")</f>
        <v>0</v>
      </c>
      <c r="G115" s="38">
        <f>IF([2]AA!F235&lt;&gt;"",[2]AA!F235,"")</f>
        <v>1349649</v>
      </c>
      <c r="H115" s="38">
        <f>IF([2]AA!G235&lt;&gt;"",[2]AA!G235,"")</f>
        <v>0</v>
      </c>
      <c r="I115" s="38">
        <f>IF([2]AA!H235&lt;&gt;"",[2]AA!H235,"")</f>
        <v>1349649</v>
      </c>
      <c r="J115" s="58">
        <f t="shared" si="8"/>
        <v>0</v>
      </c>
      <c r="K115" t="str">
        <f t="shared" si="9"/>
        <v>2538950</v>
      </c>
      <c r="L115" t="str">
        <f t="shared" si="10"/>
        <v>GRI-AD</v>
      </c>
    </row>
    <row r="116" spans="1:12" ht="36" x14ac:dyDescent="0.2">
      <c r="A116" s="37">
        <v>87</v>
      </c>
      <c r="B116" s="37">
        <v>359</v>
      </c>
      <c r="C116" s="37" t="s">
        <v>413</v>
      </c>
      <c r="D116" s="39" t="s">
        <v>212</v>
      </c>
      <c r="E116" s="38">
        <f>IF([2]AA!D314&lt;&gt;"",[2]AA!D314,"")</f>
        <v>3000</v>
      </c>
      <c r="F116" s="38">
        <f>IF([2]AA!E314&lt;&gt;"",[2]AA!E314,"")</f>
        <v>3000</v>
      </c>
      <c r="G116" s="38">
        <f>IF([2]AA!F314&lt;&gt;"",[2]AA!F314,"")</f>
        <v>0</v>
      </c>
      <c r="H116" s="38">
        <f>IF([2]AA!G314&lt;&gt;"",[2]AA!G314,"")</f>
        <v>3000</v>
      </c>
      <c r="I116" s="38">
        <f>IF([2]AA!H314&lt;&gt;"",[2]AA!H314,"")</f>
        <v>0</v>
      </c>
      <c r="J116" s="58">
        <f t="shared" si="8"/>
        <v>1</v>
      </c>
      <c r="K116" t="str">
        <f t="shared" si="9"/>
        <v>2230923</v>
      </c>
      <c r="L116" t="str">
        <f t="shared" si="10"/>
        <v>GRI-AD</v>
      </c>
    </row>
    <row r="117" spans="1:12" ht="27" x14ac:dyDescent="0.2">
      <c r="A117" s="37">
        <v>88</v>
      </c>
      <c r="B117" s="37">
        <v>360</v>
      </c>
      <c r="C117" s="37" t="s">
        <v>413</v>
      </c>
      <c r="D117" s="39" t="s">
        <v>209</v>
      </c>
      <c r="E117" s="38">
        <f>IF([2]AA!D315&lt;&gt;"",[2]AA!D315,"")</f>
        <v>87790</v>
      </c>
      <c r="F117" s="38">
        <f>IF([2]AA!E315&lt;&gt;"",[2]AA!E315,"")</f>
        <v>78000</v>
      </c>
      <c r="G117" s="38">
        <f>IF([2]AA!F315&lt;&gt;"",[2]AA!F315,"")</f>
        <v>9790</v>
      </c>
      <c r="H117" s="38">
        <f>IF([2]AA!G315&lt;&gt;"",[2]AA!G315,"")</f>
        <v>0</v>
      </c>
      <c r="I117" s="38">
        <f>IF([2]AA!H315&lt;&gt;"",[2]AA!H315,"")</f>
        <v>87790</v>
      </c>
      <c r="J117" s="58">
        <f t="shared" si="8"/>
        <v>0</v>
      </c>
      <c r="K117" t="str">
        <f t="shared" si="9"/>
        <v>2156096</v>
      </c>
      <c r="L117" t="str">
        <f t="shared" si="10"/>
        <v>GRI-AD</v>
      </c>
    </row>
    <row r="118" spans="1:12" ht="54" x14ac:dyDescent="0.2">
      <c r="A118" s="37">
        <v>89</v>
      </c>
      <c r="B118" s="37">
        <v>368</v>
      </c>
      <c r="C118" s="37" t="s">
        <v>413</v>
      </c>
      <c r="D118" s="39" t="s">
        <v>375</v>
      </c>
      <c r="E118" s="38">
        <f>IF([2]AA!D320&lt;&gt;"",[2]AA!D320,"")</f>
        <v>157066</v>
      </c>
      <c r="F118" s="38">
        <f>IF([2]AA!E320&lt;&gt;"",[2]AA!E320,"")</f>
        <v>157066</v>
      </c>
      <c r="G118" s="38">
        <f>IF([2]AA!F320&lt;&gt;"",[2]AA!F320,"")</f>
        <v>0</v>
      </c>
      <c r="H118" s="38">
        <f>IF([2]AA!G320&lt;&gt;"",[2]AA!G320,"")</f>
        <v>157066</v>
      </c>
      <c r="I118" s="38">
        <f>IF([2]AA!H320&lt;&gt;"",[2]AA!H320,"")</f>
        <v>0</v>
      </c>
      <c r="J118" s="58">
        <f t="shared" si="8"/>
        <v>1</v>
      </c>
      <c r="K118" t="str">
        <f t="shared" si="9"/>
        <v>2290342</v>
      </c>
      <c r="L118" t="str">
        <f t="shared" si="10"/>
        <v>GRI-AD</v>
      </c>
    </row>
    <row r="119" spans="1:12" ht="36" x14ac:dyDescent="0.2">
      <c r="A119" s="37">
        <v>90</v>
      </c>
      <c r="B119" s="37">
        <v>372</v>
      </c>
      <c r="C119" s="37" t="s">
        <v>413</v>
      </c>
      <c r="D119" s="39" t="s">
        <v>797</v>
      </c>
      <c r="E119" s="38">
        <f>IF([2]AA!D325&lt;&gt;"",[2]AA!D325,"")</f>
        <v>159946</v>
      </c>
      <c r="F119" s="38">
        <f>IF([2]AA!E325&lt;&gt;"",[2]AA!E325,"")</f>
        <v>60441</v>
      </c>
      <c r="G119" s="38">
        <f>IF([2]AA!F325&lt;&gt;"",[2]AA!F325,"")</f>
        <v>99505</v>
      </c>
      <c r="H119" s="38">
        <f>IF([2]AA!G325&lt;&gt;"",[2]AA!G325,"")</f>
        <v>56941</v>
      </c>
      <c r="I119" s="38">
        <f>IF([2]AA!H325&lt;&gt;"",[2]AA!H325,"")</f>
        <v>103005</v>
      </c>
      <c r="J119" s="58">
        <f t="shared" si="8"/>
        <v>0.35600140047265955</v>
      </c>
      <c r="K119" t="str">
        <f t="shared" si="9"/>
        <v>2606991</v>
      </c>
      <c r="L119" t="str">
        <f t="shared" si="10"/>
        <v>GRI-AD</v>
      </c>
    </row>
    <row r="120" spans="1:12" ht="36" x14ac:dyDescent="0.2">
      <c r="A120" s="37">
        <v>91</v>
      </c>
      <c r="B120" s="37">
        <v>387</v>
      </c>
      <c r="C120" s="37" t="s">
        <v>413</v>
      </c>
      <c r="D120" s="39" t="s">
        <v>833</v>
      </c>
      <c r="E120" s="38">
        <f>IF([2]AA!D340&lt;&gt;"",[2]AA!D340,"")</f>
        <v>159321</v>
      </c>
      <c r="F120" s="38">
        <f>IF([2]AA!E340&lt;&gt;"",[2]AA!E340,"")</f>
        <v>152810</v>
      </c>
      <c r="G120" s="38">
        <f>IF([2]AA!F340&lt;&gt;"",[2]AA!F340,"")</f>
        <v>6511</v>
      </c>
      <c r="H120" s="38">
        <f>IF([2]AA!G340&lt;&gt;"",[2]AA!G340,"")</f>
        <v>3255</v>
      </c>
      <c r="I120" s="38">
        <f>IF([2]AA!H340&lt;&gt;"",[2]AA!H340,"")</f>
        <v>156066</v>
      </c>
      <c r="J120" s="58">
        <f t="shared" si="8"/>
        <v>2.043045172952718E-2</v>
      </c>
      <c r="K120" t="str">
        <f t="shared" si="9"/>
        <v>2196834</v>
      </c>
      <c r="L120" t="str">
        <f t="shared" si="10"/>
        <v>GRI-AD</v>
      </c>
    </row>
    <row r="121" spans="1:12" ht="36" x14ac:dyDescent="0.2">
      <c r="A121" s="37">
        <v>92</v>
      </c>
      <c r="B121" s="37">
        <v>392</v>
      </c>
      <c r="C121" s="37" t="s">
        <v>413</v>
      </c>
      <c r="D121" s="39" t="s">
        <v>171</v>
      </c>
      <c r="E121" s="38">
        <f>IF([2]AA!D343&lt;&gt;"",[2]AA!D343,"")</f>
        <v>155656</v>
      </c>
      <c r="F121" s="38">
        <f>IF([2]AA!E343&lt;&gt;"",[2]AA!E343,"")</f>
        <v>54400</v>
      </c>
      <c r="G121" s="38">
        <f>IF([2]AA!F343&lt;&gt;"",[2]AA!F343,"")</f>
        <v>101256</v>
      </c>
      <c r="H121" s="38">
        <f>IF([2]AA!G343&lt;&gt;"",[2]AA!G343,"")</f>
        <v>0</v>
      </c>
      <c r="I121" s="38">
        <f>IF([2]AA!H343&lt;&gt;"",[2]AA!H343,"")</f>
        <v>155656</v>
      </c>
      <c r="J121" s="58">
        <f t="shared" si="8"/>
        <v>0</v>
      </c>
      <c r="K121" t="str">
        <f t="shared" si="9"/>
        <v>2196865</v>
      </c>
      <c r="L121" t="str">
        <f t="shared" si="10"/>
        <v>GRI-AD</v>
      </c>
    </row>
    <row r="122" spans="1:12" ht="54" x14ac:dyDescent="0.2">
      <c r="A122" s="37"/>
      <c r="B122" s="37">
        <v>401</v>
      </c>
      <c r="C122" s="37" t="s">
        <v>413</v>
      </c>
      <c r="D122" s="39" t="s">
        <v>215</v>
      </c>
      <c r="E122" s="38">
        <f>IF([2]AA!D352&lt;&gt;"",[2]AA!D352,"")</f>
        <v>158892</v>
      </c>
      <c r="F122" s="38">
        <f>IF([2]AA!E352&lt;&gt;"",[2]AA!E352,"")</f>
        <v>44582.5</v>
      </c>
      <c r="G122" s="38">
        <f>IF([2]AA!F352&lt;&gt;"",[2]AA!F352,"")</f>
        <v>114309.5</v>
      </c>
      <c r="H122" s="38">
        <f>IF([2]AA!G352&lt;&gt;"",[2]AA!G352,"")</f>
        <v>38000</v>
      </c>
      <c r="I122" s="38">
        <f>IF([2]AA!H352&lt;&gt;"",[2]AA!H352,"")</f>
        <v>120892</v>
      </c>
      <c r="J122" s="58">
        <f t="shared" si="8"/>
        <v>0.23915615638295193</v>
      </c>
      <c r="K122" t="str">
        <f t="shared" si="9"/>
        <v>2230752</v>
      </c>
      <c r="L122" t="str">
        <f t="shared" si="10"/>
        <v>GRI-AD</v>
      </c>
    </row>
    <row r="123" spans="1:12" ht="45" x14ac:dyDescent="0.2">
      <c r="A123" s="37"/>
      <c r="B123" s="37">
        <v>402</v>
      </c>
      <c r="C123" s="37" t="s">
        <v>413</v>
      </c>
      <c r="D123" s="39" t="s">
        <v>841</v>
      </c>
      <c r="E123" s="38">
        <f>IF([2]AA!D353&lt;&gt;"",[2]AA!D353,"")</f>
        <v>159876</v>
      </c>
      <c r="F123" s="38">
        <f>IF([2]AA!E353&lt;&gt;"",[2]AA!E353,"")</f>
        <v>113200</v>
      </c>
      <c r="G123" s="38">
        <f>IF([2]AA!F353&lt;&gt;"",[2]AA!F353,"")</f>
        <v>46676</v>
      </c>
      <c r="H123" s="38">
        <f>IF([2]AA!G353&lt;&gt;"",[2]AA!G353,"")</f>
        <v>113200</v>
      </c>
      <c r="I123" s="38">
        <f>IF([2]AA!H353&lt;&gt;"",[2]AA!H353,"")</f>
        <v>46676</v>
      </c>
      <c r="J123" s="58">
        <f t="shared" si="8"/>
        <v>0.70804873777177313</v>
      </c>
      <c r="K123" t="str">
        <f t="shared" si="9"/>
        <v>2490131</v>
      </c>
      <c r="L123" t="str">
        <f t="shared" si="10"/>
        <v>GRI-AD</v>
      </c>
    </row>
    <row r="124" spans="1:12" ht="54" x14ac:dyDescent="0.2">
      <c r="A124" s="37"/>
      <c r="B124" s="37">
        <v>409</v>
      </c>
      <c r="C124" s="37" t="s">
        <v>413</v>
      </c>
      <c r="D124" s="39" t="s">
        <v>854</v>
      </c>
      <c r="E124" s="38">
        <f>IF([2]AA!D359&lt;&gt;"",[2]AA!D359,"")</f>
        <v>349792</v>
      </c>
      <c r="F124" s="38">
        <f>IF([2]AA!E359&lt;&gt;"",[2]AA!E359,"")</f>
        <v>0</v>
      </c>
      <c r="G124" s="38">
        <f>IF([2]AA!F359&lt;&gt;"",[2]AA!F359,"")</f>
        <v>349792</v>
      </c>
      <c r="H124" s="38">
        <f>IF([2]AA!G359&lt;&gt;"",[2]AA!G359,"")</f>
        <v>0</v>
      </c>
      <c r="I124" s="38">
        <f>IF([2]AA!H359&lt;&gt;"",[2]AA!H359,"")</f>
        <v>349792</v>
      </c>
      <c r="J124" s="58">
        <f t="shared" si="8"/>
        <v>0</v>
      </c>
    </row>
    <row r="125" spans="1:12" ht="63" x14ac:dyDescent="0.2">
      <c r="A125" s="37"/>
      <c r="B125" s="37">
        <v>412</v>
      </c>
      <c r="C125" s="37" t="s">
        <v>413</v>
      </c>
      <c r="D125" s="39" t="s">
        <v>855</v>
      </c>
      <c r="E125" s="38">
        <f>IF([2]AA!D362&lt;&gt;"",[2]AA!D362,"")</f>
        <v>160000</v>
      </c>
      <c r="F125" s="38">
        <f>IF([2]AA!E362&lt;&gt;"",[2]AA!E362,"")</f>
        <v>149270</v>
      </c>
      <c r="G125" s="38">
        <f>IF([2]AA!F362&lt;&gt;"",[2]AA!F362,"")</f>
        <v>10730</v>
      </c>
      <c r="H125" s="38">
        <f>IF([2]AA!G362&lt;&gt;"",[2]AA!G362,"")</f>
        <v>103280</v>
      </c>
      <c r="I125" s="38">
        <f>IF([2]AA!H362&lt;&gt;"",[2]AA!H362,"")</f>
        <v>56720</v>
      </c>
      <c r="J125" s="58">
        <f t="shared" si="8"/>
        <v>0.64549999999999996</v>
      </c>
    </row>
    <row r="126" spans="1:12" ht="54" x14ac:dyDescent="0.2">
      <c r="A126" s="37"/>
      <c r="B126" s="37">
        <v>421</v>
      </c>
      <c r="C126" s="37" t="s">
        <v>413</v>
      </c>
      <c r="D126" s="39" t="s">
        <v>859</v>
      </c>
      <c r="E126" s="38">
        <f>IF([2]AA!D371&lt;&gt;"",[2]AA!D371,"")</f>
        <v>1186632</v>
      </c>
      <c r="F126" s="38">
        <f>IF([2]AA!E371&lt;&gt;"",[2]AA!E371,"")</f>
        <v>848127.14</v>
      </c>
      <c r="G126" s="38">
        <f>IF([2]AA!F371&lt;&gt;"",[2]AA!F371,"")</f>
        <v>338504.86</v>
      </c>
      <c r="H126" s="38">
        <f>IF([2]AA!G371&lt;&gt;"",[2]AA!G371,"")</f>
        <v>604772.85</v>
      </c>
      <c r="I126" s="38">
        <f>IF([2]AA!H371&lt;&gt;"",[2]AA!H371,"")</f>
        <v>581859.15</v>
      </c>
      <c r="J126" s="58">
        <f t="shared" si="8"/>
        <v>0.50965493093056646</v>
      </c>
    </row>
    <row r="127" spans="1:12" ht="45" x14ac:dyDescent="0.2">
      <c r="A127" s="37"/>
      <c r="B127" s="37">
        <v>427</v>
      </c>
      <c r="C127" s="37" t="s">
        <v>413</v>
      </c>
      <c r="D127" s="39" t="s">
        <v>867</v>
      </c>
      <c r="E127" s="38">
        <f>IF([2]AA!D378&lt;&gt;"",[2]AA!D378,"")</f>
        <v>17714</v>
      </c>
      <c r="F127" s="38">
        <f>IF([2]AA!E378&lt;&gt;"",[2]AA!E378,"")</f>
        <v>14228.68</v>
      </c>
      <c r="G127" s="38">
        <f>IF([2]AA!F378&lt;&gt;"",[2]AA!F378,"")</f>
        <v>3485.32</v>
      </c>
      <c r="H127" s="38">
        <f>IF([2]AA!G378&lt;&gt;"",[2]AA!G378,"")</f>
        <v>9749.7999999999993</v>
      </c>
      <c r="I127" s="38">
        <f>IF([2]AA!H378&lt;&gt;"",[2]AA!H378,"")</f>
        <v>7964.2000000000007</v>
      </c>
      <c r="J127" s="58">
        <f t="shared" si="8"/>
        <v>0.55040081291633736</v>
      </c>
    </row>
    <row r="128" spans="1:12" ht="54" x14ac:dyDescent="0.2">
      <c r="A128" s="37"/>
      <c r="B128" s="37">
        <v>455</v>
      </c>
      <c r="C128" s="37" t="s">
        <v>413</v>
      </c>
      <c r="D128" s="39" t="s">
        <v>889</v>
      </c>
      <c r="E128" s="38">
        <f>IF([2]AA!D408&lt;&gt;"",[2]AA!D408,"")</f>
        <v>340000</v>
      </c>
      <c r="F128" s="38">
        <f>IF([2]AA!E408&lt;&gt;"",[2]AA!E408,"")</f>
        <v>340000</v>
      </c>
      <c r="G128" s="38">
        <f>IF([2]AA!F408&lt;&gt;"",[2]AA!F408,"")</f>
        <v>0</v>
      </c>
      <c r="H128" s="38">
        <f>IF([2]AA!G408&lt;&gt;"",[2]AA!G408,"")</f>
        <v>184345.36</v>
      </c>
      <c r="I128" s="38">
        <f>IF([2]AA!H408&lt;&gt;"",[2]AA!H408,"")</f>
        <v>155654.64000000001</v>
      </c>
      <c r="J128" s="58">
        <f t="shared" si="8"/>
        <v>0.54219223529411764</v>
      </c>
    </row>
    <row r="129" spans="1:12" ht="45" x14ac:dyDescent="0.2">
      <c r="A129" s="37"/>
      <c r="B129" s="37">
        <v>458</v>
      </c>
      <c r="C129" s="37" t="s">
        <v>413</v>
      </c>
      <c r="D129" s="39" t="s">
        <v>890</v>
      </c>
      <c r="E129" s="38">
        <f>IF([2]AA!D411&lt;&gt;"",[2]AA!D411,"")</f>
        <v>199545</v>
      </c>
      <c r="F129" s="38">
        <f>IF([2]AA!E411&lt;&gt;"",[2]AA!E411,"")</f>
        <v>199545</v>
      </c>
      <c r="G129" s="38">
        <f>IF([2]AA!F411&lt;&gt;"",[2]AA!F411,"")</f>
        <v>0</v>
      </c>
      <c r="H129" s="38">
        <f>IF([2]AA!G411&lt;&gt;"",[2]AA!G411,"")</f>
        <v>43576.5</v>
      </c>
      <c r="I129" s="38">
        <f>IF([2]AA!H411&lt;&gt;"",[2]AA!H411,"")</f>
        <v>155968.5</v>
      </c>
      <c r="J129" s="58">
        <f t="shared" si="8"/>
        <v>0.21837931293693152</v>
      </c>
    </row>
    <row r="130" spans="1:12" ht="36" x14ac:dyDescent="0.2">
      <c r="A130" s="37"/>
      <c r="B130" s="37">
        <v>465</v>
      </c>
      <c r="C130" s="37" t="s">
        <v>413</v>
      </c>
      <c r="D130" s="39" t="s">
        <v>904</v>
      </c>
      <c r="E130" s="38">
        <f>IF([2]AA!D418&lt;&gt;"",[2]AA!D418,"")</f>
        <v>900000</v>
      </c>
      <c r="F130" s="38">
        <f>IF([2]AA!E418&lt;&gt;"",[2]AA!E418,"")</f>
        <v>0</v>
      </c>
      <c r="G130" s="38">
        <f>IF([2]AA!F418&lt;&gt;"",[2]AA!F418,"")</f>
        <v>900000</v>
      </c>
      <c r="H130" s="38">
        <f>IF([2]AA!G418&lt;&gt;"",[2]AA!G418,"")</f>
        <v>0</v>
      </c>
      <c r="I130" s="38">
        <f>IF([2]AA!H418&lt;&gt;"",[2]AA!H418,"")</f>
        <v>900000</v>
      </c>
      <c r="J130" s="58">
        <f t="shared" si="8"/>
        <v>0</v>
      </c>
    </row>
    <row r="131" spans="1:12" ht="27" x14ac:dyDescent="0.2">
      <c r="A131" s="37"/>
      <c r="B131" s="37">
        <v>470</v>
      </c>
      <c r="C131" s="37" t="s">
        <v>413</v>
      </c>
      <c r="D131" s="39" t="s">
        <v>262</v>
      </c>
      <c r="E131" s="38" t="str">
        <f>IF([2]AA!D423&lt;&gt;"",[2]AA!D423,"")</f>
        <v/>
      </c>
      <c r="F131" s="38" t="str">
        <f>IF([2]AA!E423&lt;&gt;"",[2]AA!E423,"")</f>
        <v/>
      </c>
      <c r="G131" s="38" t="str">
        <f>IF([2]AA!F423&lt;&gt;"",[2]AA!F423,"")</f>
        <v/>
      </c>
      <c r="H131" s="38" t="str">
        <f>IF([2]AA!G423&lt;&gt;"",[2]AA!G423,"")</f>
        <v/>
      </c>
      <c r="I131" s="38" t="str">
        <f>IF([2]AA!H423&lt;&gt;"",[2]AA!H423,"")</f>
        <v/>
      </c>
      <c r="J131" s="58" t="e">
        <f t="shared" si="8"/>
        <v>#VALUE!</v>
      </c>
    </row>
    <row r="132" spans="1:12" ht="45" x14ac:dyDescent="0.2">
      <c r="A132" s="37">
        <v>93</v>
      </c>
      <c r="B132" s="37" t="s">
        <v>618</v>
      </c>
      <c r="C132" s="40" t="s">
        <v>414</v>
      </c>
      <c r="D132" s="39" t="s">
        <v>510</v>
      </c>
      <c r="E132" s="38">
        <f>IF([2]AA!D14&lt;&gt;"",[2]AA!D14,"")</f>
        <v>17049232</v>
      </c>
      <c r="F132" s="38">
        <f>IF([2]AA!E14&lt;&gt;"",[2]AA!E14,"")</f>
        <v>16542652.17</v>
      </c>
      <c r="G132" s="38">
        <f>IF([2]AA!F14&lt;&gt;"",[2]AA!F14,"")</f>
        <v>506579.82999999961</v>
      </c>
      <c r="H132" s="38">
        <f>IF([2]AA!G14&lt;&gt;"",[2]AA!G14,"")</f>
        <v>12185452.670000002</v>
      </c>
      <c r="I132" s="38">
        <f>IF([2]AA!H14&lt;&gt;"",[2]AA!H14,"")</f>
        <v>4863779.3299999982</v>
      </c>
      <c r="J132" s="58">
        <f t="shared" si="8"/>
        <v>0.71472150006522295</v>
      </c>
      <c r="K132" t="str">
        <f t="shared" ref="K132:K146" si="11">MID(D132,1,7)</f>
        <v>2194501</v>
      </c>
      <c r="L132" t="str">
        <f t="shared" ref="L132:L146" si="12">C132</f>
        <v>GRI-AI</v>
      </c>
    </row>
    <row r="133" spans="1:12" ht="36" x14ac:dyDescent="0.2">
      <c r="A133" s="37">
        <v>94</v>
      </c>
      <c r="B133" s="37" t="s">
        <v>619</v>
      </c>
      <c r="C133" s="37" t="s">
        <v>414</v>
      </c>
      <c r="D133" s="39" t="s">
        <v>271</v>
      </c>
      <c r="E133" s="38">
        <f>IF([2]AA!D18&lt;&gt;"",[2]AA!D18,"")</f>
        <v>2397647</v>
      </c>
      <c r="F133" s="38">
        <f>IF([2]AA!E18&lt;&gt;"",[2]AA!E18,"")</f>
        <v>2036808.03</v>
      </c>
      <c r="G133" s="38">
        <f>IF([2]AA!F18&lt;&gt;"",[2]AA!F18,"")</f>
        <v>360838.97000000003</v>
      </c>
      <c r="H133" s="38">
        <f>IF([2]AA!G18&lt;&gt;"",[2]AA!G18,"")</f>
        <v>1918482.46</v>
      </c>
      <c r="I133" s="38">
        <f>IF([2]AA!H18&lt;&gt;"",[2]AA!H18,"")</f>
        <v>479164.54000000004</v>
      </c>
      <c r="J133" s="58">
        <f t="shared" si="8"/>
        <v>0.80015217419411611</v>
      </c>
      <c r="K133" t="str">
        <f t="shared" si="11"/>
        <v>2284935</v>
      </c>
      <c r="L133" t="str">
        <f t="shared" si="12"/>
        <v>GRI-AI</v>
      </c>
    </row>
    <row r="134" spans="1:12" ht="54" x14ac:dyDescent="0.2">
      <c r="A134" s="37">
        <v>95</v>
      </c>
      <c r="B134" s="37" t="s">
        <v>624</v>
      </c>
      <c r="C134" s="37" t="s">
        <v>414</v>
      </c>
      <c r="D134" s="39" t="s">
        <v>256</v>
      </c>
      <c r="E134" s="38">
        <f>IF([2]AA!D121&lt;&gt;"",[2]AA!D121,"")</f>
        <v>0</v>
      </c>
      <c r="F134" s="38">
        <f>IF([2]AA!E121&lt;&gt;"",[2]AA!E121,"")</f>
        <v>0</v>
      </c>
      <c r="G134" s="38">
        <f>IF([2]AA!F121&lt;&gt;"",[2]AA!F121,"")</f>
        <v>0</v>
      </c>
      <c r="H134" s="38">
        <f>IF([2]AA!G121&lt;&gt;"",[2]AA!G121,"")</f>
        <v>0</v>
      </c>
      <c r="I134" s="38">
        <f>IF([2]AA!H121&lt;&gt;"",[2]AA!H121,"")</f>
        <v>0</v>
      </c>
      <c r="J134" s="58" t="e">
        <f t="shared" si="8"/>
        <v>#DIV/0!</v>
      </c>
      <c r="K134" t="str">
        <f t="shared" si="11"/>
        <v>2450812</v>
      </c>
      <c r="L134" t="str">
        <f t="shared" si="12"/>
        <v>GRI-AI</v>
      </c>
    </row>
    <row r="135" spans="1:12" ht="36" x14ac:dyDescent="0.2">
      <c r="A135" s="37">
        <v>96</v>
      </c>
      <c r="B135" s="37" t="s">
        <v>625</v>
      </c>
      <c r="C135" s="37" t="s">
        <v>414</v>
      </c>
      <c r="D135" s="39" t="s">
        <v>205</v>
      </c>
      <c r="E135" s="38">
        <f>IF([2]AA!D126&lt;&gt;"",[2]AA!D126,"")</f>
        <v>159651</v>
      </c>
      <c r="F135" s="38">
        <f>IF([2]AA!E126&lt;&gt;"",[2]AA!E126,"")</f>
        <v>128000</v>
      </c>
      <c r="G135" s="38">
        <f>IF([2]AA!F126&lt;&gt;"",[2]AA!F126,"")</f>
        <v>31651</v>
      </c>
      <c r="H135" s="38">
        <f>IF([2]AA!G126&lt;&gt;"",[2]AA!G126,"")</f>
        <v>0</v>
      </c>
      <c r="I135" s="38">
        <f>IF([2]AA!H126&lt;&gt;"",[2]AA!H126,"")</f>
        <v>159651</v>
      </c>
      <c r="J135" s="58">
        <f t="shared" si="8"/>
        <v>0</v>
      </c>
      <c r="K135" t="str">
        <f t="shared" si="11"/>
        <v>2251136</v>
      </c>
      <c r="L135" t="str">
        <f t="shared" si="12"/>
        <v>GRI-AI</v>
      </c>
    </row>
    <row r="136" spans="1:12" ht="36" x14ac:dyDescent="0.2">
      <c r="A136" s="37">
        <v>97</v>
      </c>
      <c r="B136" s="37" t="s">
        <v>626</v>
      </c>
      <c r="C136" s="37" t="s">
        <v>414</v>
      </c>
      <c r="D136" s="39" t="s">
        <v>197</v>
      </c>
      <c r="E136" s="38">
        <f>IF([2]AA!D128&lt;&gt;"",[2]AA!D128,"")</f>
        <v>0</v>
      </c>
      <c r="F136" s="38">
        <f>IF([2]AA!E128&lt;&gt;"",[2]AA!E128,"")</f>
        <v>0</v>
      </c>
      <c r="G136" s="38">
        <f>IF([2]AA!F128&lt;&gt;"",[2]AA!F128,"")</f>
        <v>0</v>
      </c>
      <c r="H136" s="38">
        <f>IF([2]AA!G128&lt;&gt;"",[2]AA!G128,"")</f>
        <v>0</v>
      </c>
      <c r="I136" s="38">
        <f>IF([2]AA!H128&lt;&gt;"",[2]AA!H128,"")</f>
        <v>0</v>
      </c>
      <c r="J136" s="58" t="e">
        <f t="shared" si="8"/>
        <v>#DIV/0!</v>
      </c>
      <c r="K136" t="str">
        <f t="shared" si="11"/>
        <v>2278822</v>
      </c>
      <c r="L136" t="str">
        <f t="shared" si="12"/>
        <v>GRI-AI</v>
      </c>
    </row>
    <row r="137" spans="1:12" ht="54" x14ac:dyDescent="0.2">
      <c r="A137" s="37">
        <v>98</v>
      </c>
      <c r="B137" s="37" t="s">
        <v>628</v>
      </c>
      <c r="C137" s="37" t="s">
        <v>414</v>
      </c>
      <c r="D137" s="39" t="s">
        <v>251</v>
      </c>
      <c r="E137" s="38">
        <f>IF([2]AA!D130&lt;&gt;"",[2]AA!D130,"")</f>
        <v>255799</v>
      </c>
      <c r="F137" s="38">
        <f>IF([2]AA!E130&lt;&gt;"",[2]AA!E130,"")</f>
        <v>155378.5</v>
      </c>
      <c r="G137" s="38">
        <f>IF([2]AA!F130&lt;&gt;"",[2]AA!F130,"")</f>
        <v>100420.5</v>
      </c>
      <c r="H137" s="38">
        <f>IF([2]AA!G130&lt;&gt;"",[2]AA!G130,"")</f>
        <v>56008.51</v>
      </c>
      <c r="I137" s="38">
        <f>IF([2]AA!H130&lt;&gt;"",[2]AA!H130,"")</f>
        <v>199790.49</v>
      </c>
      <c r="J137" s="58">
        <f t="shared" si="8"/>
        <v>0.21895515619685771</v>
      </c>
      <c r="K137" t="str">
        <f t="shared" si="11"/>
        <v>2308220</v>
      </c>
      <c r="L137" t="str">
        <f t="shared" si="12"/>
        <v>GRI-AI</v>
      </c>
    </row>
    <row r="138" spans="1:12" ht="63" x14ac:dyDescent="0.2">
      <c r="A138" s="37">
        <v>99</v>
      </c>
      <c r="B138" s="53" t="s">
        <v>592</v>
      </c>
      <c r="C138" s="53" t="s">
        <v>414</v>
      </c>
      <c r="D138" s="54" t="s">
        <v>252</v>
      </c>
      <c r="E138" s="55">
        <f>IF([2]AA!D135&lt;&gt;"",[2]AA!D135,"")</f>
        <v>84111</v>
      </c>
      <c r="F138" s="55">
        <f>IF([2]AA!E135&lt;&gt;"",[2]AA!E135,"")</f>
        <v>50000</v>
      </c>
      <c r="G138" s="55">
        <f>IF([2]AA!F135&lt;&gt;"",[2]AA!F135,"")</f>
        <v>34111</v>
      </c>
      <c r="H138" s="55">
        <f>IF([2]AA!G135&lt;&gt;"",[2]AA!G135,"")</f>
        <v>13707.55</v>
      </c>
      <c r="I138" s="55">
        <f>IF([2]AA!H135&lt;&gt;"",[2]AA!H135,"")</f>
        <v>70403.45</v>
      </c>
      <c r="J138" s="59">
        <f t="shared" si="8"/>
        <v>0.1629697661423595</v>
      </c>
      <c r="K138" t="str">
        <f t="shared" si="11"/>
        <v>2357089</v>
      </c>
      <c r="L138" t="str">
        <f t="shared" si="12"/>
        <v>GRI-AI</v>
      </c>
    </row>
    <row r="139" spans="1:12" ht="45" x14ac:dyDescent="0.2">
      <c r="A139" s="37">
        <v>100</v>
      </c>
      <c r="B139" s="37" t="s">
        <v>630</v>
      </c>
      <c r="C139" s="37" t="s">
        <v>414</v>
      </c>
      <c r="D139" s="39" t="s">
        <v>254</v>
      </c>
      <c r="E139" s="38">
        <f>IF([2]AA!D141&lt;&gt;"",[2]AA!D141,"")</f>
        <v>14380884</v>
      </c>
      <c r="F139" s="38">
        <f>IF([2]AA!E141&lt;&gt;"",[2]AA!E141,"")</f>
        <v>10354241.540000001</v>
      </c>
      <c r="G139" s="38">
        <f>IF([2]AA!F141&lt;&gt;"",[2]AA!F141,"")</f>
        <v>4026642.46</v>
      </c>
      <c r="H139" s="38">
        <f>IF([2]AA!G141&lt;&gt;"",[2]AA!G141,"")</f>
        <v>5997054.9400000004</v>
      </c>
      <c r="I139" s="38">
        <f>IF([2]AA!H141&lt;&gt;"",[2]AA!H141,"")</f>
        <v>8383829.0600000005</v>
      </c>
      <c r="J139" s="58">
        <f t="shared" si="8"/>
        <v>0.41701573700198125</v>
      </c>
      <c r="K139" t="str">
        <f t="shared" si="11"/>
        <v>2435272</v>
      </c>
      <c r="L139" t="str">
        <f t="shared" si="12"/>
        <v>GRI-AI</v>
      </c>
    </row>
    <row r="140" spans="1:12" ht="54" x14ac:dyDescent="0.2">
      <c r="A140" s="37">
        <v>101</v>
      </c>
      <c r="B140" s="37" t="s">
        <v>632</v>
      </c>
      <c r="C140" s="37" t="s">
        <v>414</v>
      </c>
      <c r="D140" s="39" t="s">
        <v>259</v>
      </c>
      <c r="E140" s="38">
        <f>IF([2]AA!D147&lt;&gt;"",[2]AA!D147,"")</f>
        <v>565870</v>
      </c>
      <c r="F140" s="38">
        <f>IF([2]AA!E147&lt;&gt;"",[2]AA!E147,"")</f>
        <v>531198.31000000006</v>
      </c>
      <c r="G140" s="38">
        <f>IF([2]AA!F147&lt;&gt;"",[2]AA!F147,"")</f>
        <v>34671.69000000001</v>
      </c>
      <c r="H140" s="38">
        <f>IF([2]AA!G147&lt;&gt;"",[2]AA!G147,"")</f>
        <v>415365.87000000005</v>
      </c>
      <c r="I140" s="38">
        <f>IF([2]AA!H147&lt;&gt;"",[2]AA!H147,"")</f>
        <v>150504.13</v>
      </c>
      <c r="J140" s="58">
        <f t="shared" si="8"/>
        <v>0.73403055472104906</v>
      </c>
      <c r="K140" t="str">
        <f t="shared" si="11"/>
        <v>2490087</v>
      </c>
      <c r="L140" t="str">
        <f t="shared" si="12"/>
        <v>GRI-AI</v>
      </c>
    </row>
    <row r="141" spans="1:12" ht="54" x14ac:dyDescent="0.2">
      <c r="A141" s="37">
        <v>102</v>
      </c>
      <c r="B141" s="37" t="s">
        <v>633</v>
      </c>
      <c r="C141" s="37" t="s">
        <v>414</v>
      </c>
      <c r="D141" s="39" t="s">
        <v>408</v>
      </c>
      <c r="E141" s="38">
        <f>IF([2]AA!D148&lt;&gt;"",[2]AA!D148,"")</f>
        <v>1029126</v>
      </c>
      <c r="F141" s="38">
        <f>IF([2]AA!E148&lt;&gt;"",[2]AA!E148,"")</f>
        <v>14550</v>
      </c>
      <c r="G141" s="38">
        <f>IF([2]AA!F148&lt;&gt;"",[2]AA!F148,"")</f>
        <v>1014576</v>
      </c>
      <c r="H141" s="38">
        <f>IF([2]AA!G148&lt;&gt;"",[2]AA!G148,"")</f>
        <v>0</v>
      </c>
      <c r="I141" s="38">
        <f>IF([2]AA!H148&lt;&gt;"",[2]AA!H148,"")</f>
        <v>1029126</v>
      </c>
      <c r="J141" s="58">
        <f t="shared" si="8"/>
        <v>0</v>
      </c>
      <c r="K141" t="str">
        <f t="shared" si="11"/>
        <v>2494039</v>
      </c>
      <c r="L141" t="str">
        <f t="shared" si="12"/>
        <v>GRI-AI</v>
      </c>
    </row>
    <row r="142" spans="1:12" ht="90" x14ac:dyDescent="0.2">
      <c r="A142" s="37">
        <v>103</v>
      </c>
      <c r="B142" s="37">
        <v>307</v>
      </c>
      <c r="C142" s="37" t="s">
        <v>414</v>
      </c>
      <c r="D142" s="39" t="s">
        <v>283</v>
      </c>
      <c r="E142" s="38">
        <f>IF([2]AA!D236&lt;&gt;"",[2]AA!D236,"")</f>
        <v>50000</v>
      </c>
      <c r="F142" s="38">
        <f>IF([2]AA!E236&lt;&gt;"",[2]AA!E236,"")</f>
        <v>50000</v>
      </c>
      <c r="G142" s="38">
        <f>IF([2]AA!F236&lt;&gt;"",[2]AA!F236,"")</f>
        <v>0</v>
      </c>
      <c r="H142" s="38">
        <f>IF([2]AA!G236&lt;&gt;"",[2]AA!G236,"")</f>
        <v>13050.99</v>
      </c>
      <c r="I142" s="38">
        <f>IF([2]AA!H236&lt;&gt;"",[2]AA!H236,"")</f>
        <v>36949.01</v>
      </c>
      <c r="J142" s="58">
        <f t="shared" si="8"/>
        <v>0.26101979999999997</v>
      </c>
      <c r="K142" t="str">
        <f t="shared" si="11"/>
        <v>2417765</v>
      </c>
      <c r="L142" t="str">
        <f t="shared" si="12"/>
        <v>GRI-AI</v>
      </c>
    </row>
    <row r="143" spans="1:12" ht="90" x14ac:dyDescent="0.2">
      <c r="A143" s="37">
        <v>104</v>
      </c>
      <c r="B143" s="37">
        <v>346</v>
      </c>
      <c r="C143" s="37" t="s">
        <v>414</v>
      </c>
      <c r="D143" s="39" t="s">
        <v>283</v>
      </c>
      <c r="E143" s="38">
        <f>IF([2]AA!D303&lt;&gt;"",[2]AA!D303,"")</f>
        <v>3546</v>
      </c>
      <c r="F143" s="38">
        <f>IF([2]AA!E303&lt;&gt;"",[2]AA!E303,"")</f>
        <v>3546</v>
      </c>
      <c r="G143" s="38">
        <f>IF([2]AA!F303&lt;&gt;"",[2]AA!F303,"")</f>
        <v>0</v>
      </c>
      <c r="H143" s="38">
        <f>IF([2]AA!G303&lt;&gt;"",[2]AA!G303,"")</f>
        <v>3546</v>
      </c>
      <c r="I143" s="38">
        <f>IF([2]AA!H303&lt;&gt;"",[2]AA!H303,"")</f>
        <v>0</v>
      </c>
      <c r="J143" s="58">
        <f t="shared" si="8"/>
        <v>1</v>
      </c>
      <c r="K143" t="str">
        <f t="shared" si="11"/>
        <v>2417765</v>
      </c>
      <c r="L143" t="str">
        <f t="shared" si="12"/>
        <v>GRI-AI</v>
      </c>
    </row>
    <row r="144" spans="1:12" ht="45" x14ac:dyDescent="0.2">
      <c r="A144" s="37">
        <v>105</v>
      </c>
      <c r="B144" s="37">
        <v>356</v>
      </c>
      <c r="C144" s="37" t="s">
        <v>414</v>
      </c>
      <c r="D144" s="39" t="s">
        <v>484</v>
      </c>
      <c r="E144" s="38">
        <f>IF([2]AA!D311&lt;&gt;"",[2]AA!D311,"")</f>
        <v>179500</v>
      </c>
      <c r="F144" s="38">
        <f>IF([2]AA!E311&lt;&gt;"",[2]AA!E311,"")</f>
        <v>3750</v>
      </c>
      <c r="G144" s="38">
        <f>IF([2]AA!F311&lt;&gt;"",[2]AA!F311,"")</f>
        <v>175750</v>
      </c>
      <c r="H144" s="38">
        <f>IF([2]AA!G311&lt;&gt;"",[2]AA!G311,"")</f>
        <v>0</v>
      </c>
      <c r="I144" s="38">
        <f>IF([2]AA!H311&lt;&gt;"",[2]AA!H311,"")</f>
        <v>179500</v>
      </c>
      <c r="J144" s="58">
        <f t="shared" si="8"/>
        <v>0</v>
      </c>
      <c r="K144" t="str">
        <f t="shared" si="11"/>
        <v>2227389</v>
      </c>
      <c r="L144" t="str">
        <f t="shared" si="12"/>
        <v>GRI-AI</v>
      </c>
    </row>
    <row r="145" spans="1:12" ht="63" x14ac:dyDescent="0.2">
      <c r="A145" s="37">
        <v>106</v>
      </c>
      <c r="B145" s="37">
        <v>393</v>
      </c>
      <c r="C145" s="37" t="s">
        <v>414</v>
      </c>
      <c r="D145" s="39" t="s">
        <v>835</v>
      </c>
      <c r="E145" s="38">
        <f>IF([2]AA!D344&lt;&gt;"",[2]AA!D344,"")</f>
        <v>159060</v>
      </c>
      <c r="F145" s="38">
        <f>IF([2]AA!E344&lt;&gt;"",[2]AA!E344,"")</f>
        <v>144500</v>
      </c>
      <c r="G145" s="38">
        <f>IF([2]AA!F344&lt;&gt;"",[2]AA!F344,"")</f>
        <v>14560</v>
      </c>
      <c r="H145" s="38">
        <f>IF([2]AA!G344&lt;&gt;"",[2]AA!G344,"")</f>
        <v>0</v>
      </c>
      <c r="I145" s="38">
        <f>IF([2]AA!H344&lt;&gt;"",[2]AA!H344,"")</f>
        <v>159060</v>
      </c>
      <c r="J145" s="58">
        <f t="shared" si="8"/>
        <v>0</v>
      </c>
      <c r="K145" t="str">
        <f t="shared" si="11"/>
        <v>2488653</v>
      </c>
      <c r="L145" t="str">
        <f t="shared" si="12"/>
        <v>GRI-AI</v>
      </c>
    </row>
    <row r="146" spans="1:12" ht="45" x14ac:dyDescent="0.2">
      <c r="A146" s="37"/>
      <c r="B146" s="37">
        <v>400</v>
      </c>
      <c r="C146" s="37" t="s">
        <v>414</v>
      </c>
      <c r="D146" s="39" t="s">
        <v>176</v>
      </c>
      <c r="E146" s="38">
        <f>IF([2]AA!D351&lt;&gt;"",[2]AA!D351,"")</f>
        <v>159007</v>
      </c>
      <c r="F146" s="38">
        <f>IF([2]AA!E351&lt;&gt;"",[2]AA!E351,"")</f>
        <v>49260</v>
      </c>
      <c r="G146" s="38">
        <f>IF([2]AA!F351&lt;&gt;"",[2]AA!F351,"")</f>
        <v>109747</v>
      </c>
      <c r="H146" s="38">
        <f>IF([2]AA!G351&lt;&gt;"",[2]AA!G351,"")</f>
        <v>24990</v>
      </c>
      <c r="I146" s="38">
        <f>IF([2]AA!H351&lt;&gt;"",[2]AA!H351,"")</f>
        <v>134017</v>
      </c>
      <c r="J146" s="58">
        <f t="shared" si="8"/>
        <v>0.15716289219971447</v>
      </c>
      <c r="K146" t="str">
        <f t="shared" si="11"/>
        <v>2309892</v>
      </c>
      <c r="L146" t="str">
        <f t="shared" si="12"/>
        <v>GRI-AI</v>
      </c>
    </row>
    <row r="147" spans="1:12" ht="63" x14ac:dyDescent="0.2">
      <c r="A147" s="37"/>
      <c r="B147" s="37">
        <v>411</v>
      </c>
      <c r="C147" s="37" t="s">
        <v>414</v>
      </c>
      <c r="D147" s="39" t="s">
        <v>848</v>
      </c>
      <c r="E147" s="38">
        <f>IF([2]AA!D361&lt;&gt;"",[2]AA!D361,"")</f>
        <v>159584</v>
      </c>
      <c r="F147" s="38">
        <f>IF([2]AA!E361&lt;&gt;"",[2]AA!E361,"")</f>
        <v>152800</v>
      </c>
      <c r="G147" s="38">
        <f>IF([2]AA!F361&lt;&gt;"",[2]AA!F361,"")</f>
        <v>6784</v>
      </c>
      <c r="H147" s="38">
        <f>IF([2]AA!G361&lt;&gt;"",[2]AA!G361,"")</f>
        <v>0</v>
      </c>
      <c r="I147" s="38">
        <f>IF([2]AA!H361&lt;&gt;"",[2]AA!H361,"")</f>
        <v>159584</v>
      </c>
      <c r="J147" s="58">
        <f t="shared" si="8"/>
        <v>0</v>
      </c>
    </row>
    <row r="148" spans="1:12" ht="36" x14ac:dyDescent="0.2">
      <c r="A148" s="37"/>
      <c r="B148" s="37">
        <v>448</v>
      </c>
      <c r="C148" s="37" t="s">
        <v>414</v>
      </c>
      <c r="D148" s="39" t="s">
        <v>292</v>
      </c>
      <c r="E148" s="38">
        <f>IF([2]AA!D402&lt;&gt;"",[2]AA!D402,"")</f>
        <v>23560</v>
      </c>
      <c r="F148" s="38">
        <f>IF([2]AA!E402&lt;&gt;"",[2]AA!E402,"")</f>
        <v>19650</v>
      </c>
      <c r="G148" s="38">
        <f>IF([2]AA!F402&lt;&gt;"",[2]AA!F402,"")</f>
        <v>3910</v>
      </c>
      <c r="H148" s="38">
        <f>IF([2]AA!G402&lt;&gt;"",[2]AA!G402,"")</f>
        <v>11282.09</v>
      </c>
      <c r="I148" s="38">
        <f>IF([2]AA!H402&lt;&gt;"",[2]AA!H402,"")</f>
        <v>12277.91</v>
      </c>
      <c r="J148" s="58">
        <f t="shared" si="8"/>
        <v>0.47886629881154502</v>
      </c>
    </row>
    <row r="149" spans="1:12" ht="45" x14ac:dyDescent="0.2">
      <c r="A149" s="37"/>
      <c r="B149" s="37">
        <v>459</v>
      </c>
      <c r="C149" s="37" t="s">
        <v>414</v>
      </c>
      <c r="D149" s="39" t="s">
        <v>893</v>
      </c>
      <c r="E149" s="38">
        <f>IF([2]AA!D412&lt;&gt;"",[2]AA!D412,"")</f>
        <v>192812</v>
      </c>
      <c r="F149" s="38">
        <f>IF([2]AA!E412&lt;&gt;"",[2]AA!E412,"")</f>
        <v>180485</v>
      </c>
      <c r="G149" s="38">
        <f>IF([2]AA!F412&lt;&gt;"",[2]AA!F412,"")</f>
        <v>12327</v>
      </c>
      <c r="H149" s="38">
        <f>IF([2]AA!G412&lt;&gt;"",[2]AA!G412,"")</f>
        <v>0</v>
      </c>
      <c r="I149" s="38">
        <f>IF([2]AA!H412&lt;&gt;"",[2]AA!H412,"")</f>
        <v>192812</v>
      </c>
      <c r="J149" s="58">
        <f t="shared" si="8"/>
        <v>0</v>
      </c>
    </row>
    <row r="150" spans="1:12" ht="36" x14ac:dyDescent="0.2">
      <c r="A150" s="37"/>
      <c r="B150" s="37">
        <v>464</v>
      </c>
      <c r="C150" s="37" t="s">
        <v>414</v>
      </c>
      <c r="D150" s="39" t="s">
        <v>902</v>
      </c>
      <c r="E150" s="38">
        <f>IF([2]AA!D417&lt;&gt;"",[2]AA!D417,"")</f>
        <v>140000</v>
      </c>
      <c r="F150" s="38">
        <f>IF([2]AA!E417&lt;&gt;"",[2]AA!E417,"")</f>
        <v>0</v>
      </c>
      <c r="G150" s="38">
        <f>IF([2]AA!F417&lt;&gt;"",[2]AA!F417,"")</f>
        <v>140000</v>
      </c>
      <c r="H150" s="38">
        <f>IF([2]AA!G417&lt;&gt;"",[2]AA!G417,"")</f>
        <v>0</v>
      </c>
      <c r="I150" s="38">
        <f>IF([2]AA!H417&lt;&gt;"",[2]AA!H417,"")</f>
        <v>140000</v>
      </c>
      <c r="J150" s="58">
        <f t="shared" si="8"/>
        <v>0</v>
      </c>
    </row>
    <row r="151" spans="1:12" ht="45" x14ac:dyDescent="0.2">
      <c r="A151" s="37"/>
      <c r="B151" s="37">
        <v>466</v>
      </c>
      <c r="C151" s="37" t="s">
        <v>414</v>
      </c>
      <c r="D151" s="39" t="s">
        <v>903</v>
      </c>
      <c r="E151" s="38">
        <f>IF([2]AA!D419&lt;&gt;"",[2]AA!D419,"")</f>
        <v>87823</v>
      </c>
      <c r="F151" s="38">
        <f>IF([2]AA!E419&lt;&gt;"",[2]AA!E419,"")</f>
        <v>0</v>
      </c>
      <c r="G151" s="38">
        <f>IF([2]AA!F419&lt;&gt;"",[2]AA!F419,"")</f>
        <v>87823</v>
      </c>
      <c r="H151" s="38">
        <f>IF([2]AA!G419&lt;&gt;"",[2]AA!G419,"")</f>
        <v>0</v>
      </c>
      <c r="I151" s="38">
        <f>IF([2]AA!H419&lt;&gt;"",[2]AA!H419,"")</f>
        <v>87823</v>
      </c>
      <c r="J151" s="58">
        <f t="shared" si="8"/>
        <v>0</v>
      </c>
    </row>
    <row r="152" spans="1:12" ht="45" x14ac:dyDescent="0.2">
      <c r="A152" s="37">
        <v>107</v>
      </c>
      <c r="B152" s="37" t="s">
        <v>637</v>
      </c>
      <c r="C152" s="40" t="s">
        <v>415</v>
      </c>
      <c r="D152" s="39" t="s">
        <v>526</v>
      </c>
      <c r="E152" s="38">
        <f>IF([2]AA!D4&lt;&gt;"",[2]AA!D4,"")</f>
        <v>6785637</v>
      </c>
      <c r="F152" s="38">
        <f>IF([2]AA!E4&lt;&gt;"",[2]AA!E4,"")</f>
        <v>6605303.6900000004</v>
      </c>
      <c r="G152" s="38">
        <f>IF([2]AA!F4&lt;&gt;"",[2]AA!F4,"")</f>
        <v>180333.31</v>
      </c>
      <c r="H152" s="38">
        <f>IF([2]AA!G4&lt;&gt;"",[2]AA!G4,"")</f>
        <v>118012.87999999999</v>
      </c>
      <c r="I152" s="38">
        <f>IF([2]AA!H4&lt;&gt;"",[2]AA!H4,"")</f>
        <v>6667624.1199999992</v>
      </c>
      <c r="J152" s="58">
        <f t="shared" si="8"/>
        <v>1.7391569870301049E-2</v>
      </c>
      <c r="K152" t="str">
        <f t="shared" ref="K152:K183" si="13">MID(D152,1,7)</f>
        <v>2166678</v>
      </c>
      <c r="L152" t="str">
        <f t="shared" ref="L152:L183" si="14">C152</f>
        <v>GRI-SGED</v>
      </c>
    </row>
    <row r="153" spans="1:12" ht="45" x14ac:dyDescent="0.2">
      <c r="A153" s="37">
        <v>108</v>
      </c>
      <c r="B153" s="53" t="s">
        <v>617</v>
      </c>
      <c r="C153" s="53" t="s">
        <v>415</v>
      </c>
      <c r="D153" s="54" t="s">
        <v>265</v>
      </c>
      <c r="E153" s="55">
        <f>IF([2]AA!D12&lt;&gt;"",[2]AA!D12,"")</f>
        <v>144908</v>
      </c>
      <c r="F153" s="55">
        <f>IF([2]AA!E12&lt;&gt;"",[2]AA!E12,"")</f>
        <v>0</v>
      </c>
      <c r="G153" s="55">
        <f>IF([2]AA!F12&lt;&gt;"",[2]AA!F12,"")</f>
        <v>144908</v>
      </c>
      <c r="H153" s="55">
        <f>IF([2]AA!G12&lt;&gt;"",[2]AA!G12,"")</f>
        <v>0</v>
      </c>
      <c r="I153" s="55">
        <f>IF([2]AA!H12&lt;&gt;"",[2]AA!H12,"")</f>
        <v>144908</v>
      </c>
      <c r="J153" s="59">
        <f t="shared" si="8"/>
        <v>0</v>
      </c>
      <c r="K153" t="str">
        <f t="shared" si="13"/>
        <v>2188379</v>
      </c>
      <c r="L153" t="str">
        <f t="shared" si="14"/>
        <v>GRI-SGED</v>
      </c>
    </row>
    <row r="154" spans="1:12" ht="54" x14ac:dyDescent="0.2">
      <c r="A154" s="37">
        <v>109</v>
      </c>
      <c r="B154" s="37" t="s">
        <v>638</v>
      </c>
      <c r="C154" s="37" t="s">
        <v>415</v>
      </c>
      <c r="D154" s="39" t="s">
        <v>275</v>
      </c>
      <c r="E154" s="38">
        <f>IF([2]AA!D21&lt;&gt;"",[2]AA!D21,"")</f>
        <v>2000000</v>
      </c>
      <c r="F154" s="38">
        <f>IF([2]AA!E21&lt;&gt;"",[2]AA!E21,"")</f>
        <v>817165.68</v>
      </c>
      <c r="G154" s="38">
        <f>IF([2]AA!F21&lt;&gt;"",[2]AA!F21,"")</f>
        <v>1182834.3199999998</v>
      </c>
      <c r="H154" s="38">
        <f>IF([2]AA!G21&lt;&gt;"",[2]AA!G21,"")</f>
        <v>28470.21</v>
      </c>
      <c r="I154" s="38">
        <f>IF([2]AA!H21&lt;&gt;"",[2]AA!H21,"")</f>
        <v>1971529.79</v>
      </c>
      <c r="J154" s="58">
        <f t="shared" si="8"/>
        <v>1.4235105E-2</v>
      </c>
      <c r="K154" t="str">
        <f t="shared" si="13"/>
        <v>2344253</v>
      </c>
      <c r="L154" t="str">
        <f t="shared" si="14"/>
        <v>GRI-SGED</v>
      </c>
    </row>
    <row r="155" spans="1:12" ht="54" x14ac:dyDescent="0.2">
      <c r="A155" s="37">
        <v>110</v>
      </c>
      <c r="B155" s="37" t="s">
        <v>639</v>
      </c>
      <c r="C155" s="37" t="s">
        <v>415</v>
      </c>
      <c r="D155" s="39" t="s">
        <v>279</v>
      </c>
      <c r="E155" s="38">
        <f>IF([2]AA!D24&lt;&gt;"",[2]AA!D24,"")</f>
        <v>21914154</v>
      </c>
      <c r="F155" s="38">
        <f>IF([2]AA!E24&lt;&gt;"",[2]AA!E24,"")</f>
        <v>19379293.079999998</v>
      </c>
      <c r="G155" s="38">
        <f>IF([2]AA!F24&lt;&gt;"",[2]AA!F24,"")</f>
        <v>2534860.9200000004</v>
      </c>
      <c r="H155" s="38">
        <f>IF([2]AA!G24&lt;&gt;"",[2]AA!G24,"")</f>
        <v>8911732.2199999988</v>
      </c>
      <c r="I155" s="38">
        <f>IF([2]AA!H24&lt;&gt;"",[2]AA!H24,"")</f>
        <v>13002421.779999997</v>
      </c>
      <c r="J155" s="58">
        <f t="shared" si="8"/>
        <v>0.40666558334855174</v>
      </c>
      <c r="K155" t="str">
        <f t="shared" si="13"/>
        <v>2384978</v>
      </c>
      <c r="L155" t="str">
        <f t="shared" si="14"/>
        <v>GRI-SGED</v>
      </c>
    </row>
    <row r="156" spans="1:12" ht="45" x14ac:dyDescent="0.2">
      <c r="A156" s="37">
        <v>111</v>
      </c>
      <c r="B156" s="53" t="s">
        <v>544</v>
      </c>
      <c r="C156" s="53" t="s">
        <v>415</v>
      </c>
      <c r="D156" s="54" t="s">
        <v>199</v>
      </c>
      <c r="E156" s="55">
        <f>IF([2]AA!D25&lt;&gt;"",[2]AA!D25,"")</f>
        <v>4802506</v>
      </c>
      <c r="F156" s="55">
        <f>IF([2]AA!E25&lt;&gt;"",[2]AA!E25,"")</f>
        <v>3860673.04</v>
      </c>
      <c r="G156" s="55">
        <f>IF([2]AA!F25&lt;&gt;"",[2]AA!F25,"")</f>
        <v>941832.96</v>
      </c>
      <c r="H156" s="55">
        <f>IF([2]AA!G25&lt;&gt;"",[2]AA!G25,"")</f>
        <v>2166047.83</v>
      </c>
      <c r="I156" s="55">
        <f>IF([2]AA!H25&lt;&gt;"",[2]AA!H25,"")</f>
        <v>2636458.17</v>
      </c>
      <c r="J156" s="59">
        <f t="shared" si="8"/>
        <v>0.45102449221302382</v>
      </c>
      <c r="K156" t="str">
        <f t="shared" si="13"/>
        <v>2385051</v>
      </c>
      <c r="L156" t="str">
        <f t="shared" si="14"/>
        <v>GRI-SGED</v>
      </c>
    </row>
    <row r="157" spans="1:12" ht="45" x14ac:dyDescent="0.2">
      <c r="A157" s="37">
        <v>112</v>
      </c>
      <c r="B157" s="53" t="s">
        <v>620</v>
      </c>
      <c r="C157" s="53" t="s">
        <v>415</v>
      </c>
      <c r="D157" s="54" t="s">
        <v>281</v>
      </c>
      <c r="E157" s="55">
        <f>IF([2]AA!D27&lt;&gt;"",[2]AA!D27,"")</f>
        <v>0</v>
      </c>
      <c r="F157" s="55">
        <f>IF([2]AA!E27&lt;&gt;"",[2]AA!E27,"")</f>
        <v>0</v>
      </c>
      <c r="G157" s="55">
        <f>IF([2]AA!F27&lt;&gt;"",[2]AA!F27,"")</f>
        <v>0</v>
      </c>
      <c r="H157" s="55">
        <f>IF([2]AA!G27&lt;&gt;"",[2]AA!G27,"")</f>
        <v>0</v>
      </c>
      <c r="I157" s="55">
        <f>IF([2]AA!H27&lt;&gt;"",[2]AA!H27,"")</f>
        <v>0</v>
      </c>
      <c r="J157" s="59" t="e">
        <f t="shared" si="8"/>
        <v>#DIV/0!</v>
      </c>
      <c r="K157" t="str">
        <f t="shared" si="13"/>
        <v>2393398</v>
      </c>
      <c r="L157" t="str">
        <f t="shared" si="14"/>
        <v>GRI-SGED</v>
      </c>
    </row>
    <row r="158" spans="1:12" ht="90" x14ac:dyDescent="0.2">
      <c r="A158" s="37">
        <v>113</v>
      </c>
      <c r="B158" s="37" t="s">
        <v>641</v>
      </c>
      <c r="C158" s="37" t="s">
        <v>415</v>
      </c>
      <c r="D158" s="39" t="s">
        <v>283</v>
      </c>
      <c r="E158" s="38">
        <f>IF([2]AA!D30&lt;&gt;"",[2]AA!D30,"")</f>
        <v>5799805</v>
      </c>
      <c r="F158" s="38">
        <f>IF([2]AA!E30&lt;&gt;"",[2]AA!E30,"")</f>
        <v>4822983.3</v>
      </c>
      <c r="G158" s="38">
        <f>IF([2]AA!F30&lt;&gt;"",[2]AA!F30,"")</f>
        <v>976821.7</v>
      </c>
      <c r="H158" s="38">
        <f>IF([2]AA!G30&lt;&gt;"",[2]AA!G30,"")</f>
        <v>2329625.77</v>
      </c>
      <c r="I158" s="38">
        <f>IF([2]AA!H30&lt;&gt;"",[2]AA!H30,"")</f>
        <v>3470179.23</v>
      </c>
      <c r="J158" s="58">
        <f t="shared" si="8"/>
        <v>0.40167312004455324</v>
      </c>
      <c r="K158" t="str">
        <f t="shared" si="13"/>
        <v>2417765</v>
      </c>
      <c r="L158" t="str">
        <f t="shared" si="14"/>
        <v>GRI-SGED</v>
      </c>
    </row>
    <row r="159" spans="1:12" ht="45" x14ac:dyDescent="0.2">
      <c r="A159" s="37">
        <v>114</v>
      </c>
      <c r="B159" s="37" t="s">
        <v>38</v>
      </c>
      <c r="C159" s="37" t="s">
        <v>415</v>
      </c>
      <c r="D159" s="39" t="s">
        <v>286</v>
      </c>
      <c r="E159" s="38">
        <f>IF([2]AA!D32&lt;&gt;"",[2]AA!D32,"")</f>
        <v>100000</v>
      </c>
      <c r="F159" s="38">
        <f>IF([2]AA!E32&lt;&gt;"",[2]AA!E32,"")</f>
        <v>98580</v>
      </c>
      <c r="G159" s="38">
        <f>IF([2]AA!F32&lt;&gt;"",[2]AA!F32,"")</f>
        <v>1420</v>
      </c>
      <c r="H159" s="38">
        <f>IF([2]AA!G32&lt;&gt;"",[2]AA!G32,"")</f>
        <v>78118.170000000013</v>
      </c>
      <c r="I159" s="38">
        <f>IF([2]AA!H32&lt;&gt;"",[2]AA!H32,"")</f>
        <v>21881.829999999987</v>
      </c>
      <c r="J159" s="58">
        <f t="shared" si="8"/>
        <v>0.78118170000000009</v>
      </c>
      <c r="K159" t="str">
        <f t="shared" si="13"/>
        <v>2525250</v>
      </c>
      <c r="L159" t="str">
        <f t="shared" si="14"/>
        <v>GRI-SGED</v>
      </c>
    </row>
    <row r="160" spans="1:12" ht="45" x14ac:dyDescent="0.2">
      <c r="A160" s="37">
        <v>115</v>
      </c>
      <c r="B160" s="37" t="s">
        <v>642</v>
      </c>
      <c r="C160" s="37" t="s">
        <v>415</v>
      </c>
      <c r="D160" s="39" t="s">
        <v>471</v>
      </c>
      <c r="E160" s="38">
        <f>IF([2]AA!D33&lt;&gt;"",[2]AA!D33,"")</f>
        <v>2278000</v>
      </c>
      <c r="F160" s="38">
        <f>IF([2]AA!E33&lt;&gt;"",[2]AA!E33,"")</f>
        <v>2028484.71</v>
      </c>
      <c r="G160" s="38">
        <f>IF([2]AA!F33&lt;&gt;"",[2]AA!F33,"")</f>
        <v>249515.29000000004</v>
      </c>
      <c r="H160" s="38">
        <f>IF([2]AA!G33&lt;&gt;"",[2]AA!G33,"")</f>
        <v>536472.05999999994</v>
      </c>
      <c r="I160" s="38">
        <f>IF([2]AA!H33&lt;&gt;"",[2]AA!H33,"")</f>
        <v>1741527.94</v>
      </c>
      <c r="J160" s="58">
        <f t="shared" si="8"/>
        <v>0.23550134328358208</v>
      </c>
      <c r="K160" t="str">
        <f t="shared" si="13"/>
        <v>2585923</v>
      </c>
      <c r="L160" t="str">
        <f t="shared" si="14"/>
        <v>GRI-SGED</v>
      </c>
    </row>
    <row r="161" spans="1:12" ht="45" x14ac:dyDescent="0.2">
      <c r="A161" s="37">
        <v>116</v>
      </c>
      <c r="B161" s="37" t="s">
        <v>643</v>
      </c>
      <c r="C161" s="37" t="s">
        <v>415</v>
      </c>
      <c r="D161" s="39" t="s">
        <v>469</v>
      </c>
      <c r="E161" s="38">
        <f>IF([2]AA!D34&lt;&gt;"",[2]AA!D34,"")</f>
        <v>200000</v>
      </c>
      <c r="F161" s="38">
        <f>IF([2]AA!E34&lt;&gt;"",[2]AA!E34,"")</f>
        <v>0</v>
      </c>
      <c r="G161" s="38">
        <f>IF([2]AA!F34&lt;&gt;"",[2]AA!F34,"")</f>
        <v>200000</v>
      </c>
      <c r="H161" s="38">
        <f>IF([2]AA!G34&lt;&gt;"",[2]AA!G34,"")</f>
        <v>0</v>
      </c>
      <c r="I161" s="38">
        <f>IF([2]AA!H34&lt;&gt;"",[2]AA!H34,"")</f>
        <v>200000</v>
      </c>
      <c r="J161" s="58">
        <f t="shared" si="8"/>
        <v>0</v>
      </c>
      <c r="K161" t="str">
        <f t="shared" si="13"/>
        <v>2616445</v>
      </c>
      <c r="L161" t="str">
        <f t="shared" si="14"/>
        <v>GRI-SGED</v>
      </c>
    </row>
    <row r="162" spans="1:12" ht="54" x14ac:dyDescent="0.2">
      <c r="A162" s="37">
        <v>117</v>
      </c>
      <c r="B162" s="37" t="s">
        <v>644</v>
      </c>
      <c r="C162" s="37" t="s">
        <v>415</v>
      </c>
      <c r="D162" s="39" t="s">
        <v>472</v>
      </c>
      <c r="E162" s="38">
        <f>IF([2]AA!D35&lt;&gt;"",[2]AA!D35,"")</f>
        <v>937817</v>
      </c>
      <c r="F162" s="38">
        <f>IF([2]AA!E35&lt;&gt;"",[2]AA!E35,"")</f>
        <v>0</v>
      </c>
      <c r="G162" s="38">
        <f>IF([2]AA!F35&lt;&gt;"",[2]AA!F35,"")</f>
        <v>937817</v>
      </c>
      <c r="H162" s="38">
        <f>IF([2]AA!G35&lt;&gt;"",[2]AA!G35,"")</f>
        <v>0</v>
      </c>
      <c r="I162" s="38">
        <f>IF([2]AA!H35&lt;&gt;"",[2]AA!H35,"")</f>
        <v>937817</v>
      </c>
      <c r="J162" s="58">
        <f t="shared" si="8"/>
        <v>0</v>
      </c>
      <c r="K162" t="str">
        <f t="shared" si="13"/>
        <v>2629119</v>
      </c>
      <c r="L162" t="str">
        <f t="shared" si="14"/>
        <v>GRI-SGED</v>
      </c>
    </row>
    <row r="163" spans="1:12" ht="27" x14ac:dyDescent="0.2">
      <c r="A163" s="37">
        <v>118</v>
      </c>
      <c r="B163" s="37" t="s">
        <v>645</v>
      </c>
      <c r="C163" s="37" t="s">
        <v>415</v>
      </c>
      <c r="D163" s="39" t="s">
        <v>508</v>
      </c>
      <c r="E163" s="38">
        <f>IF([2]AA!D41&lt;&gt;"",[2]AA!D41,"")</f>
        <v>126982</v>
      </c>
      <c r="F163" s="38">
        <f>IF([2]AA!E41&lt;&gt;"",[2]AA!E41,"")</f>
        <v>86625.5</v>
      </c>
      <c r="G163" s="38">
        <f>IF([2]AA!F41&lt;&gt;"",[2]AA!F41,"")</f>
        <v>40356.5</v>
      </c>
      <c r="H163" s="38">
        <f>IF([2]AA!G41&lt;&gt;"",[2]AA!G41,"")</f>
        <v>42904.19</v>
      </c>
      <c r="I163" s="38">
        <f>IF([2]AA!H41&lt;&gt;"",[2]AA!H41,"")</f>
        <v>84077.81</v>
      </c>
      <c r="J163" s="58">
        <f t="shared" si="8"/>
        <v>0.33787615567560758</v>
      </c>
      <c r="K163" t="str">
        <f t="shared" si="13"/>
        <v>2204250</v>
      </c>
      <c r="L163" t="str">
        <f t="shared" si="14"/>
        <v>GRI-SGED</v>
      </c>
    </row>
    <row r="164" spans="1:12" ht="45" x14ac:dyDescent="0.2">
      <c r="A164" s="37">
        <v>119</v>
      </c>
      <c r="B164" s="53" t="s">
        <v>550</v>
      </c>
      <c r="C164" s="53" t="s">
        <v>415</v>
      </c>
      <c r="D164" s="54" t="s">
        <v>368</v>
      </c>
      <c r="E164" s="55">
        <f>IF([2]AA!D42&lt;&gt;"",[2]AA!D42,"")</f>
        <v>0</v>
      </c>
      <c r="F164" s="55">
        <f>IF([2]AA!E42&lt;&gt;"",[2]AA!E42,"")</f>
        <v>0</v>
      </c>
      <c r="G164" s="55">
        <f>IF([2]AA!F42&lt;&gt;"",[2]AA!F42,"")</f>
        <v>0</v>
      </c>
      <c r="H164" s="55">
        <f>IF([2]AA!G42&lt;&gt;"",[2]AA!G42,"")</f>
        <v>0</v>
      </c>
      <c r="I164" s="55">
        <f>IF([2]AA!H42&lt;&gt;"",[2]AA!H42,"")</f>
        <v>0</v>
      </c>
      <c r="J164" s="59" t="e">
        <f t="shared" si="8"/>
        <v>#DIV/0!</v>
      </c>
      <c r="K164" t="str">
        <f t="shared" si="13"/>
        <v>2292669</v>
      </c>
      <c r="L164" t="str">
        <f t="shared" si="14"/>
        <v>GRI-SGED</v>
      </c>
    </row>
    <row r="165" spans="1:12" ht="63" x14ac:dyDescent="0.2">
      <c r="A165" s="37">
        <v>120</v>
      </c>
      <c r="B165" s="37" t="s">
        <v>646</v>
      </c>
      <c r="C165" s="37" t="s">
        <v>415</v>
      </c>
      <c r="D165" s="39" t="s">
        <v>398</v>
      </c>
      <c r="E165" s="38">
        <f>IF([2]AA!D43&lt;&gt;"",[2]AA!D43,"")</f>
        <v>112244</v>
      </c>
      <c r="F165" s="38">
        <f>IF([2]AA!E43&lt;&gt;"",[2]AA!E43,"")</f>
        <v>112243.56</v>
      </c>
      <c r="G165" s="38">
        <f>IF([2]AA!F43&lt;&gt;"",[2]AA!F43,"")</f>
        <v>0.44000000000232831</v>
      </c>
      <c r="H165" s="38">
        <f>IF([2]AA!G43&lt;&gt;"",[2]AA!G43,"")</f>
        <v>36882.92</v>
      </c>
      <c r="I165" s="38">
        <f>IF([2]AA!H43&lt;&gt;"",[2]AA!H43,"")</f>
        <v>75361.08</v>
      </c>
      <c r="J165" s="58">
        <f t="shared" si="8"/>
        <v>0.32859591604005556</v>
      </c>
      <c r="K165" t="str">
        <f t="shared" si="13"/>
        <v>2645340</v>
      </c>
      <c r="L165" t="str">
        <f t="shared" si="14"/>
        <v>GRI-SGED</v>
      </c>
    </row>
    <row r="166" spans="1:12" ht="81" x14ac:dyDescent="0.2">
      <c r="A166" s="37">
        <v>121</v>
      </c>
      <c r="B166" s="37" t="s">
        <v>647</v>
      </c>
      <c r="C166" s="37" t="s">
        <v>415</v>
      </c>
      <c r="D166" s="39" t="s">
        <v>397</v>
      </c>
      <c r="E166" s="38">
        <f>IF([2]AA!D44&lt;&gt;"",[2]AA!D44,"")</f>
        <v>164979</v>
      </c>
      <c r="F166" s="38">
        <f>IF([2]AA!E44&lt;&gt;"",[2]AA!E44,"")</f>
        <v>157373</v>
      </c>
      <c r="G166" s="38">
        <f>IF([2]AA!F44&lt;&gt;"",[2]AA!F44,"")</f>
        <v>7606</v>
      </c>
      <c r="H166" s="38">
        <f>IF([2]AA!G44&lt;&gt;"",[2]AA!G44,"")</f>
        <v>138407.03999999998</v>
      </c>
      <c r="I166" s="38">
        <f>IF([2]AA!H44&lt;&gt;"",[2]AA!H44,"")</f>
        <v>26571.960000000021</v>
      </c>
      <c r="J166" s="58">
        <f t="shared" si="8"/>
        <v>0.83893731929518289</v>
      </c>
      <c r="K166" t="str">
        <f t="shared" si="13"/>
        <v>2645376</v>
      </c>
      <c r="L166" t="str">
        <f t="shared" si="14"/>
        <v>GRI-SGED</v>
      </c>
    </row>
    <row r="167" spans="1:12" ht="72" x14ac:dyDescent="0.2">
      <c r="A167" s="37">
        <v>122</v>
      </c>
      <c r="B167" s="37" t="s">
        <v>648</v>
      </c>
      <c r="C167" s="37" t="s">
        <v>415</v>
      </c>
      <c r="D167" s="39" t="s">
        <v>396</v>
      </c>
      <c r="E167" s="38">
        <f>IF([2]AA!D45&lt;&gt;"",[2]AA!D45,"")</f>
        <v>99897</v>
      </c>
      <c r="F167" s="38">
        <f>IF([2]AA!E45&lt;&gt;"",[2]AA!E45,"")</f>
        <v>99879.63</v>
      </c>
      <c r="G167" s="38">
        <f>IF([2]AA!F45&lt;&gt;"",[2]AA!F45,"")</f>
        <v>17.369999999995343</v>
      </c>
      <c r="H167" s="38">
        <f>IF([2]AA!G45&lt;&gt;"",[2]AA!G45,"")</f>
        <v>70228.429999999993</v>
      </c>
      <c r="I167" s="38">
        <f>IF([2]AA!H45&lt;&gt;"",[2]AA!H45,"")</f>
        <v>29668.570000000007</v>
      </c>
      <c r="J167" s="58">
        <f t="shared" si="8"/>
        <v>0.70300839865061004</v>
      </c>
      <c r="K167" t="str">
        <f t="shared" si="13"/>
        <v>2645380</v>
      </c>
      <c r="L167" t="str">
        <f t="shared" si="14"/>
        <v>GRI-SGED</v>
      </c>
    </row>
    <row r="168" spans="1:12" ht="54" x14ac:dyDescent="0.2">
      <c r="A168" s="37">
        <v>123</v>
      </c>
      <c r="B168" s="37" t="s">
        <v>649</v>
      </c>
      <c r="C168" s="37" t="s">
        <v>415</v>
      </c>
      <c r="D168" s="39" t="s">
        <v>395</v>
      </c>
      <c r="E168" s="38">
        <f>IF([2]AA!D46&lt;&gt;"",[2]AA!D46,"")</f>
        <v>50000</v>
      </c>
      <c r="F168" s="38">
        <f>IF([2]AA!E46&lt;&gt;"",[2]AA!E46,"")</f>
        <v>50000</v>
      </c>
      <c r="G168" s="38">
        <f>IF([2]AA!F46&lt;&gt;"",[2]AA!F46,"")</f>
        <v>0</v>
      </c>
      <c r="H168" s="38">
        <f>IF([2]AA!G46&lt;&gt;"",[2]AA!G46,"")</f>
        <v>48402.59</v>
      </c>
      <c r="I168" s="38">
        <f>IF([2]AA!H46&lt;&gt;"",[2]AA!H46,"")</f>
        <v>1597.4100000000035</v>
      </c>
      <c r="J168" s="58">
        <f t="shared" si="8"/>
        <v>0.96805179999999991</v>
      </c>
      <c r="K168" t="str">
        <f t="shared" si="13"/>
        <v>2645444</v>
      </c>
      <c r="L168" t="str">
        <f t="shared" si="14"/>
        <v>GRI-SGED</v>
      </c>
    </row>
    <row r="169" spans="1:12" ht="54" x14ac:dyDescent="0.2">
      <c r="A169" s="37">
        <v>124</v>
      </c>
      <c r="B169" s="37" t="s">
        <v>650</v>
      </c>
      <c r="C169" s="37" t="s">
        <v>415</v>
      </c>
      <c r="D169" s="39" t="s">
        <v>394</v>
      </c>
      <c r="E169" s="38">
        <f>IF([2]AA!D47&lt;&gt;"",[2]AA!D47,"")</f>
        <v>0</v>
      </c>
      <c r="F169" s="38">
        <f>IF([2]AA!E47&lt;&gt;"",[2]AA!E47,"")</f>
        <v>0</v>
      </c>
      <c r="G169" s="38">
        <f>IF([2]AA!F47&lt;&gt;"",[2]AA!F47,"")</f>
        <v>0</v>
      </c>
      <c r="H169" s="38">
        <f>IF([2]AA!G47&lt;&gt;"",[2]AA!G47,"")</f>
        <v>0</v>
      </c>
      <c r="I169" s="38">
        <f>IF([2]AA!H47&lt;&gt;"",[2]AA!H47,"")</f>
        <v>0</v>
      </c>
      <c r="J169" s="58" t="e">
        <f t="shared" si="8"/>
        <v>#DIV/0!</v>
      </c>
      <c r="K169" t="str">
        <f t="shared" si="13"/>
        <v>2645446</v>
      </c>
      <c r="L169" t="str">
        <f t="shared" si="14"/>
        <v>GRI-SGED</v>
      </c>
    </row>
    <row r="170" spans="1:12" ht="72" x14ac:dyDescent="0.2">
      <c r="A170" s="37">
        <v>125</v>
      </c>
      <c r="B170" s="37" t="s">
        <v>651</v>
      </c>
      <c r="C170" s="37" t="s">
        <v>415</v>
      </c>
      <c r="D170" s="39" t="s">
        <v>392</v>
      </c>
      <c r="E170" s="38">
        <f>IF([2]AA!D48&lt;&gt;"",[2]AA!D48,"")</f>
        <v>550560</v>
      </c>
      <c r="F170" s="38">
        <f>IF([2]AA!E48&lt;&gt;"",[2]AA!E48,"")</f>
        <v>519500</v>
      </c>
      <c r="G170" s="38">
        <f>IF([2]AA!F48&lt;&gt;"",[2]AA!F48,"")</f>
        <v>31060</v>
      </c>
      <c r="H170" s="38">
        <f>IF([2]AA!G48&lt;&gt;"",[2]AA!G48,"")</f>
        <v>76620.09</v>
      </c>
      <c r="I170" s="38">
        <f>IF([2]AA!H48&lt;&gt;"",[2]AA!H48,"")</f>
        <v>473939.91</v>
      </c>
      <c r="J170" s="58">
        <f t="shared" si="8"/>
        <v>0.13916755666957278</v>
      </c>
      <c r="K170" t="str">
        <f t="shared" si="13"/>
        <v>2646095</v>
      </c>
      <c r="L170" t="str">
        <f t="shared" si="14"/>
        <v>GRI-SGED</v>
      </c>
    </row>
    <row r="171" spans="1:12" ht="54" x14ac:dyDescent="0.2">
      <c r="A171" s="37">
        <v>126</v>
      </c>
      <c r="B171" s="37" t="s">
        <v>652</v>
      </c>
      <c r="C171" s="37" t="s">
        <v>415</v>
      </c>
      <c r="D171" s="39" t="s">
        <v>393</v>
      </c>
      <c r="E171" s="38">
        <f>IF([2]AA!D49&lt;&gt;"",[2]AA!D49,"")</f>
        <v>5000000</v>
      </c>
      <c r="F171" s="38">
        <f>IF([2]AA!E49&lt;&gt;"",[2]AA!E49,"")</f>
        <v>4938862.46</v>
      </c>
      <c r="G171" s="38">
        <f>IF([2]AA!F49&lt;&gt;"",[2]AA!F49,"")</f>
        <v>61137.540000000074</v>
      </c>
      <c r="H171" s="38">
        <f>IF([2]AA!G49&lt;&gt;"",[2]AA!G49,"")</f>
        <v>2241272.1599999997</v>
      </c>
      <c r="I171" s="38">
        <f>IF([2]AA!H49&lt;&gt;"",[2]AA!H49,"")</f>
        <v>2758727.84</v>
      </c>
      <c r="J171" s="58">
        <f t="shared" si="8"/>
        <v>0.44825443199999992</v>
      </c>
      <c r="K171" t="str">
        <f t="shared" si="13"/>
        <v>2646096</v>
      </c>
      <c r="L171" t="str">
        <f t="shared" si="14"/>
        <v>GRI-SGED</v>
      </c>
    </row>
    <row r="172" spans="1:12" ht="72" x14ac:dyDescent="0.2">
      <c r="A172" s="37">
        <v>127</v>
      </c>
      <c r="B172" s="37" t="s">
        <v>653</v>
      </c>
      <c r="C172" s="37" t="s">
        <v>415</v>
      </c>
      <c r="D172" s="39" t="s">
        <v>391</v>
      </c>
      <c r="E172" s="38">
        <f>IF([2]AA!D50&lt;&gt;"",[2]AA!D50,"")</f>
        <v>100000</v>
      </c>
      <c r="F172" s="38">
        <f>IF([2]AA!E50&lt;&gt;"",[2]AA!E50,"")</f>
        <v>0</v>
      </c>
      <c r="G172" s="38">
        <f>IF([2]AA!F50&lt;&gt;"",[2]AA!F50,"")</f>
        <v>100000</v>
      </c>
      <c r="H172" s="38">
        <f>IF([2]AA!G50&lt;&gt;"",[2]AA!G50,"")</f>
        <v>0</v>
      </c>
      <c r="I172" s="38">
        <f>IF([2]AA!H50&lt;&gt;"",[2]AA!H50,"")</f>
        <v>100000</v>
      </c>
      <c r="J172" s="58">
        <f t="shared" si="8"/>
        <v>0</v>
      </c>
      <c r="K172" t="str">
        <f t="shared" si="13"/>
        <v>2646100</v>
      </c>
      <c r="L172" t="str">
        <f t="shared" si="14"/>
        <v>GRI-SGED</v>
      </c>
    </row>
    <row r="173" spans="1:12" ht="54" x14ac:dyDescent="0.2">
      <c r="A173" s="37">
        <v>128</v>
      </c>
      <c r="B173" s="37" t="s">
        <v>654</v>
      </c>
      <c r="C173" s="37" t="s">
        <v>415</v>
      </c>
      <c r="D173" s="39" t="s">
        <v>390</v>
      </c>
      <c r="E173" s="38">
        <f>IF([2]AA!D51&lt;&gt;"",[2]AA!D51,"")</f>
        <v>1180793</v>
      </c>
      <c r="F173" s="38">
        <f>IF([2]AA!E51&lt;&gt;"",[2]AA!E51,"")</f>
        <v>1095104.03</v>
      </c>
      <c r="G173" s="38">
        <f>IF([2]AA!F51&lt;&gt;"",[2]AA!F51,"")</f>
        <v>85688.97</v>
      </c>
      <c r="H173" s="38">
        <f>IF([2]AA!G51&lt;&gt;"",[2]AA!G51,"")</f>
        <v>1055765.1099999999</v>
      </c>
      <c r="I173" s="38">
        <f>IF([2]AA!H51&lt;&gt;"",[2]AA!H51,"")</f>
        <v>125027.89000000001</v>
      </c>
      <c r="J173" s="58">
        <f t="shared" si="8"/>
        <v>0.89411531911181708</v>
      </c>
      <c r="K173" t="str">
        <f t="shared" si="13"/>
        <v>2646109</v>
      </c>
      <c r="L173" t="str">
        <f t="shared" si="14"/>
        <v>GRI-SGED</v>
      </c>
    </row>
    <row r="174" spans="1:12" ht="45" x14ac:dyDescent="0.2">
      <c r="A174" s="37">
        <v>129</v>
      </c>
      <c r="B174" s="37" t="s">
        <v>655</v>
      </c>
      <c r="C174" s="37" t="s">
        <v>415</v>
      </c>
      <c r="D174" s="39" t="s">
        <v>278</v>
      </c>
      <c r="E174" s="38">
        <f>IF([2]AA!D52&lt;&gt;"",[2]AA!D52,"")</f>
        <v>5921783</v>
      </c>
      <c r="F174" s="38">
        <f>IF([2]AA!E52&lt;&gt;"",[2]AA!E52,"")</f>
        <v>5270526.25</v>
      </c>
      <c r="G174" s="38">
        <f>IF([2]AA!F52&lt;&gt;"",[2]AA!F52,"")</f>
        <v>651256.74999999988</v>
      </c>
      <c r="H174" s="38">
        <f>IF([2]AA!G52&lt;&gt;"",[2]AA!G52,"")</f>
        <v>536249.17999999993</v>
      </c>
      <c r="I174" s="38">
        <f>IF([2]AA!H52&lt;&gt;"",[2]AA!H52,"")</f>
        <v>5385533.8200000003</v>
      </c>
      <c r="J174" s="58">
        <f t="shared" si="8"/>
        <v>9.0555358073742306E-2</v>
      </c>
      <c r="K174" t="str">
        <f t="shared" si="13"/>
        <v>2357337</v>
      </c>
      <c r="L174" t="str">
        <f t="shared" si="14"/>
        <v>GRI-SGED</v>
      </c>
    </row>
    <row r="175" spans="1:12" ht="63" x14ac:dyDescent="0.2">
      <c r="A175" s="37">
        <v>130</v>
      </c>
      <c r="B175" s="37" t="s">
        <v>656</v>
      </c>
      <c r="C175" s="37" t="s">
        <v>415</v>
      </c>
      <c r="D175" s="39" t="s">
        <v>487</v>
      </c>
      <c r="E175" s="38">
        <f>IF([2]AA!D53&lt;&gt;"",[2]AA!D53,"")</f>
        <v>6912542</v>
      </c>
      <c r="F175" s="38">
        <f>IF([2]AA!E53&lt;&gt;"",[2]AA!E53,"")</f>
        <v>6389065.5999999996</v>
      </c>
      <c r="G175" s="38">
        <f>IF([2]AA!F53&lt;&gt;"",[2]AA!F53,"")</f>
        <v>523476.4</v>
      </c>
      <c r="H175" s="38">
        <f>IF([2]AA!G53&lt;&gt;"",[2]AA!G53,"")</f>
        <v>4220633.46</v>
      </c>
      <c r="I175" s="38">
        <f>IF([2]AA!H53&lt;&gt;"",[2]AA!H53,"")</f>
        <v>2691908.54</v>
      </c>
      <c r="J175" s="58">
        <f t="shared" si="8"/>
        <v>0.61057617588435631</v>
      </c>
      <c r="K175" t="str">
        <f t="shared" si="13"/>
        <v>2623873</v>
      </c>
      <c r="L175" t="str">
        <f t="shared" si="14"/>
        <v>GRI-SGED</v>
      </c>
    </row>
    <row r="176" spans="1:12" ht="27" x14ac:dyDescent="0.2">
      <c r="A176" s="37">
        <v>131</v>
      </c>
      <c r="B176" s="37" t="s">
        <v>657</v>
      </c>
      <c r="C176" s="37" t="s">
        <v>415</v>
      </c>
      <c r="D176" s="39" t="s">
        <v>230</v>
      </c>
      <c r="E176" s="38">
        <f>IF([2]AA!D59&lt;&gt;"",[2]AA!D59,"")</f>
        <v>25425</v>
      </c>
      <c r="F176" s="38">
        <f>IF([2]AA!E59&lt;&gt;"",[2]AA!E59,"")</f>
        <v>0</v>
      </c>
      <c r="G176" s="38">
        <f>IF([2]AA!F59&lt;&gt;"",[2]AA!F59,"")</f>
        <v>25425</v>
      </c>
      <c r="H176" s="38">
        <f>IF([2]AA!G59&lt;&gt;"",[2]AA!G59,"")</f>
        <v>0</v>
      </c>
      <c r="I176" s="38">
        <f>IF([2]AA!H59&lt;&gt;"",[2]AA!H59,"")</f>
        <v>25425</v>
      </c>
      <c r="J176" s="58">
        <f t="shared" ref="J176:J239" si="15">H176/E176</f>
        <v>0</v>
      </c>
      <c r="K176" t="str">
        <f t="shared" si="13"/>
        <v>2159836</v>
      </c>
      <c r="L176" t="str">
        <f t="shared" si="14"/>
        <v>GRI-SGED</v>
      </c>
    </row>
    <row r="177" spans="1:12" ht="36" x14ac:dyDescent="0.2">
      <c r="A177" s="37">
        <v>132</v>
      </c>
      <c r="B177" s="37" t="s">
        <v>658</v>
      </c>
      <c r="C177" s="37" t="s">
        <v>415</v>
      </c>
      <c r="D177" s="39" t="s">
        <v>636</v>
      </c>
      <c r="E177" s="38">
        <f>IF([2]AA!D63&lt;&gt;"",[2]AA!D63,"")</f>
        <v>50000</v>
      </c>
      <c r="F177" s="38">
        <f>IF([2]AA!E63&lt;&gt;"",[2]AA!E63,"")</f>
        <v>50000</v>
      </c>
      <c r="G177" s="38">
        <f>IF([2]AA!F63&lt;&gt;"",[2]AA!F63,"")</f>
        <v>0</v>
      </c>
      <c r="H177" s="38">
        <f>IF([2]AA!G63&lt;&gt;"",[2]AA!G63,"")</f>
        <v>47967.16</v>
      </c>
      <c r="I177" s="38">
        <f>IF([2]AA!H63&lt;&gt;"",[2]AA!H63,"")</f>
        <v>2032.8399999999965</v>
      </c>
      <c r="J177" s="58">
        <f t="shared" si="15"/>
        <v>0.95934320000000006</v>
      </c>
      <c r="K177" t="str">
        <f t="shared" si="13"/>
        <v>2185111</v>
      </c>
      <c r="L177" t="str">
        <f t="shared" si="14"/>
        <v>GRI-SGED</v>
      </c>
    </row>
    <row r="178" spans="1:12" ht="45" x14ac:dyDescent="0.2">
      <c r="A178" s="37">
        <v>133</v>
      </c>
      <c r="B178" s="53" t="s">
        <v>622</v>
      </c>
      <c r="C178" s="53" t="s">
        <v>415</v>
      </c>
      <c r="D178" s="54" t="s">
        <v>237</v>
      </c>
      <c r="E178" s="55">
        <f>IF([2]AA!D72&lt;&gt;"",[2]AA!D72,"")</f>
        <v>1286549</v>
      </c>
      <c r="F178" s="55">
        <f>IF([2]AA!E72&lt;&gt;"",[2]AA!E72,"")</f>
        <v>1257830.26</v>
      </c>
      <c r="G178" s="55">
        <f>IF([2]AA!F72&lt;&gt;"",[2]AA!F72,"")</f>
        <v>28718.739999999991</v>
      </c>
      <c r="H178" s="55">
        <f>IF([2]AA!G72&lt;&gt;"",[2]AA!G72,"")</f>
        <v>1078114.1399999999</v>
      </c>
      <c r="I178" s="55">
        <f>IF([2]AA!H72&lt;&gt;"",[2]AA!H72,"")</f>
        <v>208434.86000000004</v>
      </c>
      <c r="J178" s="59">
        <f t="shared" si="15"/>
        <v>0.83798917880313917</v>
      </c>
      <c r="K178" t="str">
        <f t="shared" si="13"/>
        <v>2316291</v>
      </c>
      <c r="L178" t="str">
        <f t="shared" si="14"/>
        <v>GRI-SGED</v>
      </c>
    </row>
    <row r="179" spans="1:12" ht="81" x14ac:dyDescent="0.2">
      <c r="A179" s="37">
        <v>134</v>
      </c>
      <c r="B179" s="37" t="s">
        <v>659</v>
      </c>
      <c r="C179" s="37" t="s">
        <v>415</v>
      </c>
      <c r="D179" s="39" t="s">
        <v>239</v>
      </c>
      <c r="E179" s="38">
        <f>IF([2]AA!D74&lt;&gt;"",[2]AA!D74,"")</f>
        <v>67139</v>
      </c>
      <c r="F179" s="38">
        <f>IF([2]AA!E74&lt;&gt;"",[2]AA!E74,"")</f>
        <v>0</v>
      </c>
      <c r="G179" s="38">
        <f>IF([2]AA!F74&lt;&gt;"",[2]AA!F74,"")</f>
        <v>67139</v>
      </c>
      <c r="H179" s="38">
        <f>IF([2]AA!G74&lt;&gt;"",[2]AA!G74,"")</f>
        <v>0</v>
      </c>
      <c r="I179" s="38">
        <f>IF([2]AA!H74&lt;&gt;"",[2]AA!H74,"")</f>
        <v>67139</v>
      </c>
      <c r="J179" s="58">
        <f t="shared" si="15"/>
        <v>0</v>
      </c>
      <c r="K179" t="str">
        <f t="shared" si="13"/>
        <v>2338085</v>
      </c>
      <c r="L179" t="str">
        <f t="shared" si="14"/>
        <v>GRI-SGED</v>
      </c>
    </row>
    <row r="180" spans="1:12" ht="45" x14ac:dyDescent="0.2">
      <c r="A180" s="37">
        <v>135</v>
      </c>
      <c r="B180" s="37" t="s">
        <v>660</v>
      </c>
      <c r="C180" s="37" t="s">
        <v>415</v>
      </c>
      <c r="D180" s="39" t="s">
        <v>356</v>
      </c>
      <c r="E180" s="38">
        <f>IF([2]AA!D77&lt;&gt;"",[2]AA!D77,"")</f>
        <v>0</v>
      </c>
      <c r="F180" s="38">
        <f>IF([2]AA!E77&lt;&gt;"",[2]AA!E77,"")</f>
        <v>0</v>
      </c>
      <c r="G180" s="38">
        <f>IF([2]AA!F77&lt;&gt;"",[2]AA!F77,"")</f>
        <v>0</v>
      </c>
      <c r="H180" s="38">
        <f>IF([2]AA!G77&lt;&gt;"",[2]AA!G77,"")</f>
        <v>0</v>
      </c>
      <c r="I180" s="38">
        <f>IF([2]AA!H77&lt;&gt;"",[2]AA!H77,"")</f>
        <v>0</v>
      </c>
      <c r="J180" s="58" t="e">
        <f t="shared" si="15"/>
        <v>#DIV/0!</v>
      </c>
      <c r="K180" t="str">
        <f t="shared" si="13"/>
        <v>2436247</v>
      </c>
      <c r="L180" t="str">
        <f t="shared" si="14"/>
        <v>GRI-SGED</v>
      </c>
    </row>
    <row r="181" spans="1:12" ht="72" x14ac:dyDescent="0.2">
      <c r="A181" s="37">
        <v>136</v>
      </c>
      <c r="B181" s="37" t="s">
        <v>661</v>
      </c>
      <c r="C181" s="37" t="s">
        <v>415</v>
      </c>
      <c r="D181" s="39" t="s">
        <v>243</v>
      </c>
      <c r="E181" s="38">
        <f>IF([2]AA!D80&lt;&gt;"",[2]AA!D80,"")</f>
        <v>2513964</v>
      </c>
      <c r="F181" s="38">
        <f>IF([2]AA!E80&lt;&gt;"",[2]AA!E80,"")</f>
        <v>0</v>
      </c>
      <c r="G181" s="38">
        <f>IF([2]AA!F80&lt;&gt;"",[2]AA!F80,"")</f>
        <v>2513964</v>
      </c>
      <c r="H181" s="38">
        <f>IF([2]AA!G80&lt;&gt;"",[2]AA!G80,"")</f>
        <v>0</v>
      </c>
      <c r="I181" s="38">
        <f>IF([2]AA!H80&lt;&gt;"",[2]AA!H80,"")</f>
        <v>2513964</v>
      </c>
      <c r="J181" s="58">
        <f t="shared" si="15"/>
        <v>0</v>
      </c>
      <c r="K181" t="str">
        <f t="shared" si="13"/>
        <v>2447465</v>
      </c>
      <c r="L181" t="str">
        <f t="shared" si="14"/>
        <v>GRI-SGED</v>
      </c>
    </row>
    <row r="182" spans="1:12" ht="45" x14ac:dyDescent="0.2">
      <c r="A182" s="37">
        <v>137</v>
      </c>
      <c r="B182" s="37" t="s">
        <v>662</v>
      </c>
      <c r="C182" s="37" t="s">
        <v>415</v>
      </c>
      <c r="D182" s="39" t="s">
        <v>245</v>
      </c>
      <c r="E182" s="38">
        <f>IF([2]AA!D84&lt;&gt;"",[2]AA!D84,"")</f>
        <v>350000</v>
      </c>
      <c r="F182" s="38">
        <f>IF([2]AA!E84&lt;&gt;"",[2]AA!E84,"")</f>
        <v>167637.03</v>
      </c>
      <c r="G182" s="38">
        <f>IF([2]AA!F84&lt;&gt;"",[2]AA!F84,"")</f>
        <v>182362.97</v>
      </c>
      <c r="H182" s="38">
        <f>IF([2]AA!G84&lt;&gt;"",[2]AA!G84,"")</f>
        <v>109933.32</v>
      </c>
      <c r="I182" s="38">
        <f>IF([2]AA!H84&lt;&gt;"",[2]AA!H84,"")</f>
        <v>240066.68</v>
      </c>
      <c r="J182" s="58">
        <f t="shared" si="15"/>
        <v>0.31409520000000002</v>
      </c>
      <c r="K182" t="str">
        <f t="shared" si="13"/>
        <v>2470024</v>
      </c>
      <c r="L182" t="str">
        <f t="shared" si="14"/>
        <v>GRI-SGED</v>
      </c>
    </row>
    <row r="183" spans="1:12" ht="63" x14ac:dyDescent="0.2">
      <c r="A183" s="37">
        <v>138</v>
      </c>
      <c r="B183" s="37" t="s">
        <v>663</v>
      </c>
      <c r="C183" s="37" t="s">
        <v>415</v>
      </c>
      <c r="D183" s="39" t="s">
        <v>496</v>
      </c>
      <c r="E183" s="38">
        <f>IF([2]AA!D88&lt;&gt;"",[2]AA!D88,"")</f>
        <v>0</v>
      </c>
      <c r="F183" s="38">
        <f>IF([2]AA!E88&lt;&gt;"",[2]AA!E88,"")</f>
        <v>0</v>
      </c>
      <c r="G183" s="38">
        <f>IF([2]AA!F88&lt;&gt;"",[2]AA!F88,"")</f>
        <v>0</v>
      </c>
      <c r="H183" s="38">
        <f>IF([2]AA!G88&lt;&gt;"",[2]AA!G88,"")</f>
        <v>0</v>
      </c>
      <c r="I183" s="38">
        <f>IF([2]AA!H88&lt;&gt;"",[2]AA!H88,"")</f>
        <v>0</v>
      </c>
      <c r="J183" s="58" t="e">
        <f t="shared" si="15"/>
        <v>#DIV/0!</v>
      </c>
      <c r="K183" t="str">
        <f t="shared" si="13"/>
        <v>2585398</v>
      </c>
      <c r="L183" t="str">
        <f t="shared" si="14"/>
        <v>GRI-SGED</v>
      </c>
    </row>
    <row r="184" spans="1:12" ht="63" x14ac:dyDescent="0.2">
      <c r="A184" s="37">
        <v>139</v>
      </c>
      <c r="B184" s="37" t="s">
        <v>664</v>
      </c>
      <c r="C184" s="37" t="s">
        <v>415</v>
      </c>
      <c r="D184" s="39" t="s">
        <v>489</v>
      </c>
      <c r="E184" s="38">
        <f>IF([2]AA!D89&lt;&gt;"",[2]AA!D89,"")</f>
        <v>6000000</v>
      </c>
      <c r="F184" s="38">
        <f>IF([2]AA!E89&lt;&gt;"",[2]AA!E89,"")</f>
        <v>3991499</v>
      </c>
      <c r="G184" s="38">
        <f>IF([2]AA!F89&lt;&gt;"",[2]AA!F89,"")</f>
        <v>2008501</v>
      </c>
      <c r="H184" s="38">
        <f>IF([2]AA!G89&lt;&gt;"",[2]AA!G89,"")</f>
        <v>0</v>
      </c>
      <c r="I184" s="38">
        <f>IF([2]AA!H89&lt;&gt;"",[2]AA!H89,"")</f>
        <v>6000000</v>
      </c>
      <c r="J184" s="58">
        <f t="shared" si="15"/>
        <v>0</v>
      </c>
      <c r="K184" t="str">
        <f t="shared" ref="K184:K215" si="16">MID(D184,1,7)</f>
        <v>2585540</v>
      </c>
      <c r="L184" t="str">
        <f t="shared" ref="L184:L215" si="17">C184</f>
        <v>GRI-SGED</v>
      </c>
    </row>
    <row r="185" spans="1:12" ht="63" x14ac:dyDescent="0.2">
      <c r="A185" s="37">
        <v>140</v>
      </c>
      <c r="B185" s="37" t="s">
        <v>665</v>
      </c>
      <c r="C185" s="37" t="s">
        <v>415</v>
      </c>
      <c r="D185" s="39" t="s">
        <v>497</v>
      </c>
      <c r="E185" s="38">
        <f>IF([2]AA!D90&lt;&gt;"",[2]AA!D90,"")</f>
        <v>23727945</v>
      </c>
      <c r="F185" s="38">
        <f>IF([2]AA!E90&lt;&gt;"",[2]AA!E90,"")</f>
        <v>23425477.93</v>
      </c>
      <c r="G185" s="38">
        <f>IF([2]AA!F90&lt;&gt;"",[2]AA!F90,"")</f>
        <v>302467.07000000053</v>
      </c>
      <c r="H185" s="38">
        <f>IF([2]AA!G90&lt;&gt;"",[2]AA!G90,"")</f>
        <v>9825481.4199999999</v>
      </c>
      <c r="I185" s="38">
        <f>IF([2]AA!H90&lt;&gt;"",[2]AA!H90,"")</f>
        <v>13902463.58</v>
      </c>
      <c r="J185" s="58">
        <f t="shared" si="15"/>
        <v>0.41408901697976797</v>
      </c>
      <c r="K185" t="str">
        <f t="shared" si="16"/>
        <v>2585541</v>
      </c>
      <c r="L185" t="str">
        <f t="shared" si="17"/>
        <v>GRI-SGED</v>
      </c>
    </row>
    <row r="186" spans="1:12" ht="63" x14ac:dyDescent="0.2">
      <c r="A186" s="37">
        <v>141</v>
      </c>
      <c r="B186" s="37" t="s">
        <v>666</v>
      </c>
      <c r="C186" s="37" t="s">
        <v>415</v>
      </c>
      <c r="D186" s="39" t="s">
        <v>474</v>
      </c>
      <c r="E186" s="38">
        <f>IF([2]AA!D92&lt;&gt;"",[2]AA!D92,"")</f>
        <v>3602457</v>
      </c>
      <c r="F186" s="38">
        <f>IF([2]AA!E92&lt;&gt;"",[2]AA!E92,"")</f>
        <v>3297811.5</v>
      </c>
      <c r="G186" s="38">
        <f>IF([2]AA!F92&lt;&gt;"",[2]AA!F92,"")</f>
        <v>304645.50000000012</v>
      </c>
      <c r="H186" s="38">
        <f>IF([2]AA!G92&lt;&gt;"",[2]AA!G92,"")</f>
        <v>3183814.91</v>
      </c>
      <c r="I186" s="38">
        <f>IF([2]AA!H92&lt;&gt;"",[2]AA!H92,"")</f>
        <v>418642.09000000008</v>
      </c>
      <c r="J186" s="58">
        <f t="shared" si="15"/>
        <v>0.88378984398703442</v>
      </c>
      <c r="K186" t="str">
        <f t="shared" si="16"/>
        <v>2591732</v>
      </c>
      <c r="L186" t="str">
        <f t="shared" si="17"/>
        <v>GRI-SGED</v>
      </c>
    </row>
    <row r="187" spans="1:12" ht="63" x14ac:dyDescent="0.2">
      <c r="A187" s="37">
        <v>142</v>
      </c>
      <c r="B187" s="37" t="s">
        <v>667</v>
      </c>
      <c r="C187" s="37" t="s">
        <v>415</v>
      </c>
      <c r="D187" s="39" t="s">
        <v>490</v>
      </c>
      <c r="E187" s="38">
        <f>IF([2]AA!D93&lt;&gt;"",[2]AA!D93,"")</f>
        <v>228677</v>
      </c>
      <c r="F187" s="38">
        <f>IF([2]AA!E93&lt;&gt;"",[2]AA!E93,"")</f>
        <v>48391.68</v>
      </c>
      <c r="G187" s="38">
        <f>IF([2]AA!F93&lt;&gt;"",[2]AA!F93,"")</f>
        <v>180285.32</v>
      </c>
      <c r="H187" s="38">
        <f>IF([2]AA!G93&lt;&gt;"",[2]AA!G93,"")</f>
        <v>46362.079999999994</v>
      </c>
      <c r="I187" s="38">
        <f>IF([2]AA!H93&lt;&gt;"",[2]AA!H93,"")</f>
        <v>182314.91999999998</v>
      </c>
      <c r="J187" s="58">
        <f t="shared" si="15"/>
        <v>0.2027404592503837</v>
      </c>
      <c r="K187" t="str">
        <f t="shared" si="16"/>
        <v>2602159</v>
      </c>
      <c r="L187" t="str">
        <f t="shared" si="17"/>
        <v>GRI-SGED</v>
      </c>
    </row>
    <row r="188" spans="1:12" ht="81" x14ac:dyDescent="0.2">
      <c r="A188" s="37">
        <v>143</v>
      </c>
      <c r="B188" s="37" t="s">
        <v>668</v>
      </c>
      <c r="C188" s="37" t="s">
        <v>415</v>
      </c>
      <c r="D188" s="39" t="s">
        <v>389</v>
      </c>
      <c r="E188" s="38">
        <f>IF([2]AA!D94&lt;&gt;"",[2]AA!D94,"")</f>
        <v>936343</v>
      </c>
      <c r="F188" s="38">
        <f>IF([2]AA!E94&lt;&gt;"",[2]AA!E94,"")</f>
        <v>889908.22</v>
      </c>
      <c r="G188" s="38">
        <f>IF([2]AA!F94&lt;&gt;"",[2]AA!F94,"")</f>
        <v>46434.77999999997</v>
      </c>
      <c r="H188" s="38">
        <f>IF([2]AA!G94&lt;&gt;"",[2]AA!G94,"")</f>
        <v>866828.77</v>
      </c>
      <c r="I188" s="38">
        <f>IF([2]AA!H94&lt;&gt;"",[2]AA!H94,"")</f>
        <v>69514.229999999981</v>
      </c>
      <c r="J188" s="58">
        <f t="shared" si="15"/>
        <v>0.9257598657756827</v>
      </c>
      <c r="K188" t="str">
        <f t="shared" si="16"/>
        <v>2602163</v>
      </c>
      <c r="L188" t="str">
        <f t="shared" si="17"/>
        <v>GRI-SGED</v>
      </c>
    </row>
    <row r="189" spans="1:12" ht="108" x14ac:dyDescent="0.2">
      <c r="A189" s="37">
        <v>144</v>
      </c>
      <c r="B189" s="37" t="s">
        <v>669</v>
      </c>
      <c r="C189" s="37" t="s">
        <v>415</v>
      </c>
      <c r="D189" s="39" t="s">
        <v>491</v>
      </c>
      <c r="E189" s="38">
        <f>IF([2]AA!D95&lt;&gt;"",[2]AA!D95,"")</f>
        <v>100000</v>
      </c>
      <c r="F189" s="38">
        <f>IF([2]AA!E95&lt;&gt;"",[2]AA!E95,"")</f>
        <v>60000</v>
      </c>
      <c r="G189" s="38">
        <f>IF([2]AA!F95&lt;&gt;"",[2]AA!F95,"")</f>
        <v>40000</v>
      </c>
      <c r="H189" s="38">
        <f>IF([2]AA!G95&lt;&gt;"",[2]AA!G95,"")</f>
        <v>0</v>
      </c>
      <c r="I189" s="38">
        <f>IF([2]AA!H95&lt;&gt;"",[2]AA!H95,"")</f>
        <v>100000</v>
      </c>
      <c r="J189" s="58">
        <f t="shared" si="15"/>
        <v>0</v>
      </c>
      <c r="K189" t="str">
        <f t="shared" si="16"/>
        <v>2603164</v>
      </c>
      <c r="L189" t="str">
        <f t="shared" si="17"/>
        <v>GRI-SGED</v>
      </c>
    </row>
    <row r="190" spans="1:12" ht="54" x14ac:dyDescent="0.2">
      <c r="A190" s="37">
        <v>145</v>
      </c>
      <c r="B190" s="37" t="s">
        <v>670</v>
      </c>
      <c r="C190" s="37" t="s">
        <v>415</v>
      </c>
      <c r="D190" s="39" t="s">
        <v>409</v>
      </c>
      <c r="E190" s="38">
        <f>IF([2]AA!D96&lt;&gt;"",[2]AA!D96,"")</f>
        <v>6830102</v>
      </c>
      <c r="F190" s="38">
        <f>IF([2]AA!E96&lt;&gt;"",[2]AA!E96,"")</f>
        <v>5645017.1799999997</v>
      </c>
      <c r="G190" s="38">
        <f>IF([2]AA!F96&lt;&gt;"",[2]AA!F96,"")</f>
        <v>1185084.8200000003</v>
      </c>
      <c r="H190" s="38">
        <f>IF([2]AA!G96&lt;&gt;"",[2]AA!G96,"")</f>
        <v>969466.66000000015</v>
      </c>
      <c r="I190" s="38">
        <f>IF([2]AA!H96&lt;&gt;"",[2]AA!H96,"")</f>
        <v>5860635.3400000008</v>
      </c>
      <c r="J190" s="58">
        <f t="shared" si="15"/>
        <v>0.14194029020357238</v>
      </c>
      <c r="K190" t="str">
        <f t="shared" si="16"/>
        <v>2603165</v>
      </c>
      <c r="L190" t="str">
        <f t="shared" si="17"/>
        <v>GRI-SGED</v>
      </c>
    </row>
    <row r="191" spans="1:12" ht="81" x14ac:dyDescent="0.2">
      <c r="A191" s="37">
        <v>146</v>
      </c>
      <c r="B191" s="37" t="s">
        <v>671</v>
      </c>
      <c r="C191" s="37" t="s">
        <v>415</v>
      </c>
      <c r="D191" s="39" t="s">
        <v>372</v>
      </c>
      <c r="E191" s="38">
        <f>IF([2]AA!D97&lt;&gt;"",[2]AA!D97,"")</f>
        <v>391951</v>
      </c>
      <c r="F191" s="38">
        <f>IF([2]AA!E97&lt;&gt;"",[2]AA!E97,"")</f>
        <v>130000</v>
      </c>
      <c r="G191" s="38">
        <f>IF([2]AA!F97&lt;&gt;"",[2]AA!F97,"")</f>
        <v>261951</v>
      </c>
      <c r="H191" s="38">
        <f>IF([2]AA!G97&lt;&gt;"",[2]AA!G97,"")</f>
        <v>0</v>
      </c>
      <c r="I191" s="38">
        <f>IF([2]AA!H97&lt;&gt;"",[2]AA!H97,"")</f>
        <v>391951</v>
      </c>
      <c r="J191" s="58">
        <f t="shared" si="15"/>
        <v>0</v>
      </c>
      <c r="K191" t="str">
        <f t="shared" si="16"/>
        <v>2603167</v>
      </c>
      <c r="L191" t="str">
        <f t="shared" si="17"/>
        <v>GRI-SGED</v>
      </c>
    </row>
    <row r="192" spans="1:12" ht="72" x14ac:dyDescent="0.2">
      <c r="A192" s="37">
        <v>147</v>
      </c>
      <c r="B192" s="37" t="s">
        <v>672</v>
      </c>
      <c r="C192" s="37" t="s">
        <v>415</v>
      </c>
      <c r="D192" s="39" t="s">
        <v>473</v>
      </c>
      <c r="E192" s="38">
        <f>IF([2]AA!D98&lt;&gt;"",[2]AA!D98,"")</f>
        <v>0</v>
      </c>
      <c r="F192" s="38">
        <f>IF([2]AA!E98&lt;&gt;"",[2]AA!E98,"")</f>
        <v>0</v>
      </c>
      <c r="G192" s="38">
        <f>IF([2]AA!F98&lt;&gt;"",[2]AA!F98,"")</f>
        <v>0</v>
      </c>
      <c r="H192" s="38">
        <f>IF([2]AA!G98&lt;&gt;"",[2]AA!G98,"")</f>
        <v>0</v>
      </c>
      <c r="I192" s="38">
        <f>IF([2]AA!H98&lt;&gt;"",[2]AA!H98,"")</f>
        <v>0</v>
      </c>
      <c r="J192" s="58" t="e">
        <f t="shared" si="15"/>
        <v>#DIV/0!</v>
      </c>
      <c r="K192" t="str">
        <f t="shared" si="16"/>
        <v>2603281</v>
      </c>
      <c r="L192" t="str">
        <f t="shared" si="17"/>
        <v>GRI-SGED</v>
      </c>
    </row>
    <row r="193" spans="1:12" ht="63" x14ac:dyDescent="0.2">
      <c r="A193" s="37">
        <v>148</v>
      </c>
      <c r="B193" s="37" t="s">
        <v>673</v>
      </c>
      <c r="C193" s="37" t="s">
        <v>415</v>
      </c>
      <c r="D193" s="39" t="s">
        <v>498</v>
      </c>
      <c r="E193" s="38">
        <f>IF([2]AA!D99&lt;&gt;"",[2]AA!D99,"")</f>
        <v>5998406</v>
      </c>
      <c r="F193" s="38">
        <f>IF([2]AA!E99&lt;&gt;"",[2]AA!E99,"")</f>
        <v>5414291.79</v>
      </c>
      <c r="G193" s="38">
        <f>IF([2]AA!F99&lt;&gt;"",[2]AA!F99,"")</f>
        <v>584114.21</v>
      </c>
      <c r="H193" s="38">
        <f>IF([2]AA!G99&lt;&gt;"",[2]AA!G99,"")</f>
        <v>1933545.52</v>
      </c>
      <c r="I193" s="38">
        <f>IF([2]AA!H99&lt;&gt;"",[2]AA!H99,"")</f>
        <v>4064860.48</v>
      </c>
      <c r="J193" s="58">
        <f t="shared" si="15"/>
        <v>0.32234322251611514</v>
      </c>
      <c r="K193" t="str">
        <f t="shared" si="16"/>
        <v>2607527</v>
      </c>
      <c r="L193" t="str">
        <f t="shared" si="17"/>
        <v>GRI-SGED</v>
      </c>
    </row>
    <row r="194" spans="1:12" ht="63" x14ac:dyDescent="0.2">
      <c r="A194" s="37">
        <v>149</v>
      </c>
      <c r="B194" s="37" t="s">
        <v>674</v>
      </c>
      <c r="C194" s="37" t="s">
        <v>415</v>
      </c>
      <c r="D194" s="39" t="s">
        <v>380</v>
      </c>
      <c r="E194" s="38">
        <f>IF([2]AA!D100&lt;&gt;"",[2]AA!D100,"")</f>
        <v>171047</v>
      </c>
      <c r="F194" s="38">
        <f>IF([2]AA!E100&lt;&gt;"",[2]AA!E100,"")</f>
        <v>171047</v>
      </c>
      <c r="G194" s="38">
        <f>IF([2]AA!F100&lt;&gt;"",[2]AA!F100,"")</f>
        <v>0</v>
      </c>
      <c r="H194" s="38">
        <f>IF([2]AA!G100&lt;&gt;"",[2]AA!G100,"")</f>
        <v>104642.82</v>
      </c>
      <c r="I194" s="38">
        <f>IF([2]AA!H100&lt;&gt;"",[2]AA!H100,"")</f>
        <v>66404.179999999993</v>
      </c>
      <c r="J194" s="58">
        <f t="shared" si="15"/>
        <v>0.61177816623501147</v>
      </c>
      <c r="K194" t="str">
        <f t="shared" si="16"/>
        <v>2614553</v>
      </c>
      <c r="L194" t="str">
        <f t="shared" si="17"/>
        <v>GRI-SGED</v>
      </c>
    </row>
    <row r="195" spans="1:12" ht="54" x14ac:dyDescent="0.2">
      <c r="A195" s="37">
        <v>150</v>
      </c>
      <c r="B195" s="37" t="s">
        <v>675</v>
      </c>
      <c r="C195" s="37" t="s">
        <v>415</v>
      </c>
      <c r="D195" s="39" t="s">
        <v>376</v>
      </c>
      <c r="E195" s="38">
        <f>IF([2]AA!D103&lt;&gt;"",[2]AA!D103,"")</f>
        <v>4516874</v>
      </c>
      <c r="F195" s="38">
        <f>IF([2]AA!E103&lt;&gt;"",[2]AA!E103,"")</f>
        <v>4034994.71</v>
      </c>
      <c r="G195" s="38">
        <f>IF([2]AA!F103&lt;&gt;"",[2]AA!F103,"")</f>
        <v>481879.29</v>
      </c>
      <c r="H195" s="38">
        <f>IF([2]AA!G103&lt;&gt;"",[2]AA!G103,"")</f>
        <v>1728895.3099999998</v>
      </c>
      <c r="I195" s="38">
        <f>IF([2]AA!H103&lt;&gt;"",[2]AA!H103,"")</f>
        <v>2787978.69</v>
      </c>
      <c r="J195" s="58">
        <f t="shared" si="15"/>
        <v>0.38276367903997316</v>
      </c>
      <c r="K195" t="str">
        <f t="shared" si="16"/>
        <v>2403888</v>
      </c>
      <c r="L195" t="str">
        <f t="shared" si="17"/>
        <v>GRI-SGED</v>
      </c>
    </row>
    <row r="196" spans="1:12" ht="54" x14ac:dyDescent="0.2">
      <c r="A196" s="37">
        <v>151</v>
      </c>
      <c r="B196" s="37" t="s">
        <v>676</v>
      </c>
      <c r="C196" s="37" t="s">
        <v>415</v>
      </c>
      <c r="D196" s="39" t="s">
        <v>361</v>
      </c>
      <c r="E196" s="38">
        <f>IF([2]AA!D104&lt;&gt;"",[2]AA!D104,"")</f>
        <v>6379172</v>
      </c>
      <c r="F196" s="38">
        <f>IF([2]AA!E104&lt;&gt;"",[2]AA!E104,"")</f>
        <v>5481422.71</v>
      </c>
      <c r="G196" s="38">
        <f>IF([2]AA!F104&lt;&gt;"",[2]AA!F104,"")</f>
        <v>897749.29</v>
      </c>
      <c r="H196" s="38">
        <f>IF([2]AA!G104&lt;&gt;"",[2]AA!G104,"")</f>
        <v>1491520.44</v>
      </c>
      <c r="I196" s="38">
        <f>IF([2]AA!H104&lt;&gt;"",[2]AA!H104,"")</f>
        <v>4887651.5600000005</v>
      </c>
      <c r="J196" s="58">
        <f t="shared" si="15"/>
        <v>0.23381097734941148</v>
      </c>
      <c r="K196" t="str">
        <f t="shared" si="16"/>
        <v>2566572</v>
      </c>
      <c r="L196" t="str">
        <f t="shared" si="17"/>
        <v>GRI-SGED</v>
      </c>
    </row>
    <row r="197" spans="1:12" ht="45" x14ac:dyDescent="0.2">
      <c r="A197" s="37">
        <v>152</v>
      </c>
      <c r="B197" s="37" t="s">
        <v>677</v>
      </c>
      <c r="C197" s="37" t="s">
        <v>415</v>
      </c>
      <c r="D197" s="39" t="s">
        <v>370</v>
      </c>
      <c r="E197" s="38">
        <f>IF([2]AA!D105&lt;&gt;"",[2]AA!D105,"")</f>
        <v>174368</v>
      </c>
      <c r="F197" s="38">
        <f>IF([2]AA!E105&lt;&gt;"",[2]AA!E105,"")</f>
        <v>155114</v>
      </c>
      <c r="G197" s="38">
        <f>IF([2]AA!F105&lt;&gt;"",[2]AA!F105,"")</f>
        <v>19254</v>
      </c>
      <c r="H197" s="38">
        <f>IF([2]AA!G105&lt;&gt;"",[2]AA!G105,"")</f>
        <v>97687.86</v>
      </c>
      <c r="I197" s="38">
        <f>IF([2]AA!H105&lt;&gt;"",[2]AA!H105,"")</f>
        <v>76680.14</v>
      </c>
      <c r="J197" s="58">
        <f t="shared" si="15"/>
        <v>0.56023960818498808</v>
      </c>
      <c r="K197" t="str">
        <f t="shared" si="16"/>
        <v>2570033</v>
      </c>
      <c r="L197" t="str">
        <f t="shared" si="17"/>
        <v>GRI-SGED</v>
      </c>
    </row>
    <row r="198" spans="1:12" ht="45" x14ac:dyDescent="0.2">
      <c r="A198" s="37">
        <v>153</v>
      </c>
      <c r="B198" s="37" t="s">
        <v>678</v>
      </c>
      <c r="C198" s="37" t="s">
        <v>415</v>
      </c>
      <c r="D198" s="39" t="s">
        <v>527</v>
      </c>
      <c r="E198" s="38">
        <f>IF([2]AA!D106&lt;&gt;"",[2]AA!D106,"")</f>
        <v>520686</v>
      </c>
      <c r="F198" s="38">
        <f>IF([2]AA!E106&lt;&gt;"",[2]AA!E106,"")</f>
        <v>505986</v>
      </c>
      <c r="G198" s="38">
        <f>IF([2]AA!F106&lt;&gt;"",[2]AA!F106,"")</f>
        <v>14700</v>
      </c>
      <c r="H198" s="38">
        <f>IF([2]AA!G106&lt;&gt;"",[2]AA!G106,"")</f>
        <v>317740.95000000007</v>
      </c>
      <c r="I198" s="38">
        <f>IF([2]AA!H106&lt;&gt;"",[2]AA!H106,"")</f>
        <v>202945.04999999993</v>
      </c>
      <c r="J198" s="58">
        <f t="shared" si="15"/>
        <v>0.61023524734676959</v>
      </c>
      <c r="K198" t="str">
        <f t="shared" si="16"/>
        <v>2570369</v>
      </c>
      <c r="L198" t="str">
        <f t="shared" si="17"/>
        <v>GRI-SGED</v>
      </c>
    </row>
    <row r="199" spans="1:12" ht="63" x14ac:dyDescent="0.2">
      <c r="A199" s="37">
        <v>154</v>
      </c>
      <c r="B199" s="37" t="s">
        <v>679</v>
      </c>
      <c r="C199" s="37" t="s">
        <v>415</v>
      </c>
      <c r="D199" s="39" t="s">
        <v>360</v>
      </c>
      <c r="E199" s="38">
        <f>IF([2]AA!D107&lt;&gt;"",[2]AA!D107,"")</f>
        <v>157636</v>
      </c>
      <c r="F199" s="38">
        <f>IF([2]AA!E107&lt;&gt;"",[2]AA!E107,"")</f>
        <v>157636</v>
      </c>
      <c r="G199" s="38">
        <f>IF([2]AA!F107&lt;&gt;"",[2]AA!F107,"")</f>
        <v>0</v>
      </c>
      <c r="H199" s="38">
        <f>IF([2]AA!G107&lt;&gt;"",[2]AA!G107,"")</f>
        <v>136413.5</v>
      </c>
      <c r="I199" s="38">
        <f>IF([2]AA!H107&lt;&gt;"",[2]AA!H107,"")</f>
        <v>21222.5</v>
      </c>
      <c r="J199" s="58">
        <f t="shared" si="15"/>
        <v>0.86537022000050745</v>
      </c>
      <c r="K199" t="str">
        <f t="shared" si="16"/>
        <v>2585543</v>
      </c>
      <c r="L199" t="str">
        <f t="shared" si="17"/>
        <v>GRI-SGED</v>
      </c>
    </row>
    <row r="200" spans="1:12" ht="63" x14ac:dyDescent="0.2">
      <c r="A200" s="37">
        <v>155</v>
      </c>
      <c r="B200" s="37" t="s">
        <v>680</v>
      </c>
      <c r="C200" s="37" t="s">
        <v>415</v>
      </c>
      <c r="D200" s="39" t="s">
        <v>382</v>
      </c>
      <c r="E200" s="38">
        <f>IF([2]AA!D108&lt;&gt;"",[2]AA!D108,"")</f>
        <v>4106961</v>
      </c>
      <c r="F200" s="38">
        <f>IF([2]AA!E108&lt;&gt;"",[2]AA!E108,"")</f>
        <v>3202666.74</v>
      </c>
      <c r="G200" s="38">
        <f>IF([2]AA!F108&lt;&gt;"",[2]AA!F108,"")</f>
        <v>904294.26</v>
      </c>
      <c r="H200" s="38">
        <f>IF([2]AA!G108&lt;&gt;"",[2]AA!G108,"")</f>
        <v>1764492.71</v>
      </c>
      <c r="I200" s="38">
        <f>IF([2]AA!H108&lt;&gt;"",[2]AA!H108,"")</f>
        <v>2342468.29</v>
      </c>
      <c r="J200" s="58">
        <f t="shared" si="15"/>
        <v>0.42963463982248673</v>
      </c>
      <c r="K200" t="str">
        <f t="shared" si="16"/>
        <v>2591926</v>
      </c>
      <c r="L200" t="str">
        <f t="shared" si="17"/>
        <v>GRI-SGED</v>
      </c>
    </row>
    <row r="201" spans="1:12" ht="45" x14ac:dyDescent="0.2">
      <c r="A201" s="37">
        <v>156</v>
      </c>
      <c r="B201" s="53" t="s">
        <v>583</v>
      </c>
      <c r="C201" s="53" t="s">
        <v>415</v>
      </c>
      <c r="D201" s="54" t="s">
        <v>268</v>
      </c>
      <c r="E201" s="55">
        <f>IF([2]AA!D115&lt;&gt;"",[2]AA!D115,"")</f>
        <v>490000</v>
      </c>
      <c r="F201" s="55">
        <f>IF([2]AA!E115&lt;&gt;"",[2]AA!E115,"")</f>
        <v>490000</v>
      </c>
      <c r="G201" s="55">
        <f>IF([2]AA!F115&lt;&gt;"",[2]AA!F115,"")</f>
        <v>0</v>
      </c>
      <c r="H201" s="55">
        <f>IF([2]AA!G115&lt;&gt;"",[2]AA!G115,"")</f>
        <v>328860.41000000003</v>
      </c>
      <c r="I201" s="55">
        <f>IF([2]AA!H115&lt;&gt;"",[2]AA!H115,"")</f>
        <v>161139.58999999997</v>
      </c>
      <c r="J201" s="59">
        <f t="shared" si="15"/>
        <v>0.67114369387755113</v>
      </c>
      <c r="K201" t="str">
        <f t="shared" si="16"/>
        <v>2250307</v>
      </c>
      <c r="L201" t="str">
        <f t="shared" si="17"/>
        <v>GRI-SGED</v>
      </c>
    </row>
    <row r="202" spans="1:12" ht="45" x14ac:dyDescent="0.2">
      <c r="A202" s="37">
        <v>157</v>
      </c>
      <c r="B202" s="53" t="s">
        <v>585</v>
      </c>
      <c r="C202" s="53" t="s">
        <v>415</v>
      </c>
      <c r="D202" s="54" t="s">
        <v>270</v>
      </c>
      <c r="E202" s="55">
        <f>IF([2]AA!D117&lt;&gt;"",[2]AA!D117,"")</f>
        <v>350000</v>
      </c>
      <c r="F202" s="55">
        <f>IF([2]AA!E117&lt;&gt;"",[2]AA!E117,"")</f>
        <v>336963.1</v>
      </c>
      <c r="G202" s="55">
        <f>IF([2]AA!F117&lt;&gt;"",[2]AA!F117,"")</f>
        <v>13036.900000000023</v>
      </c>
      <c r="H202" s="55">
        <f>IF([2]AA!G117&lt;&gt;"",[2]AA!G117,"")</f>
        <v>133392.76999999999</v>
      </c>
      <c r="I202" s="55">
        <f>IF([2]AA!H117&lt;&gt;"",[2]AA!H117,"")</f>
        <v>216607.23</v>
      </c>
      <c r="J202" s="59">
        <f t="shared" si="15"/>
        <v>0.38112219999999997</v>
      </c>
      <c r="K202" t="str">
        <f t="shared" si="16"/>
        <v>2250460</v>
      </c>
      <c r="L202" t="str">
        <f t="shared" si="17"/>
        <v>GRI-SGED</v>
      </c>
    </row>
    <row r="203" spans="1:12" ht="45" x14ac:dyDescent="0.2">
      <c r="A203" s="37">
        <v>158</v>
      </c>
      <c r="B203" s="53" t="s">
        <v>590</v>
      </c>
      <c r="C203" s="53" t="s">
        <v>415</v>
      </c>
      <c r="D203" s="54" t="s">
        <v>524</v>
      </c>
      <c r="E203" s="55">
        <f>IF([2]AA!D132&lt;&gt;"",[2]AA!D132,"")</f>
        <v>30000</v>
      </c>
      <c r="F203" s="55">
        <f>IF([2]AA!E132&lt;&gt;"",[2]AA!E132,"")</f>
        <v>0</v>
      </c>
      <c r="G203" s="55">
        <f>IF([2]AA!F132&lt;&gt;"",[2]AA!F132,"")</f>
        <v>30000</v>
      </c>
      <c r="H203" s="55">
        <f>IF([2]AA!G132&lt;&gt;"",[2]AA!G132,"")</f>
        <v>0</v>
      </c>
      <c r="I203" s="55">
        <f>IF([2]AA!H132&lt;&gt;"",[2]AA!H132,"")</f>
        <v>30000</v>
      </c>
      <c r="J203" s="59">
        <f t="shared" si="15"/>
        <v>0</v>
      </c>
      <c r="K203" t="str">
        <f t="shared" si="16"/>
        <v>2334606</v>
      </c>
      <c r="L203" t="str">
        <f t="shared" si="17"/>
        <v>GRI-SGED</v>
      </c>
    </row>
    <row r="204" spans="1:12" ht="27" x14ac:dyDescent="0.2">
      <c r="A204" s="37">
        <v>159</v>
      </c>
      <c r="B204" s="37" t="s">
        <v>681</v>
      </c>
      <c r="C204" s="37" t="s">
        <v>415</v>
      </c>
      <c r="D204" s="39" t="s">
        <v>223</v>
      </c>
      <c r="E204" s="38">
        <f>IF([2]AA!D134&lt;&gt;"",[2]AA!D134,"")</f>
        <v>90586</v>
      </c>
      <c r="F204" s="38">
        <f>IF([2]AA!E134&lt;&gt;"",[2]AA!E134,"")</f>
        <v>90435.199999999997</v>
      </c>
      <c r="G204" s="38">
        <f>IF([2]AA!F134&lt;&gt;"",[2]AA!F134,"")</f>
        <v>150.80000000000291</v>
      </c>
      <c r="H204" s="38">
        <f>IF([2]AA!G134&lt;&gt;"",[2]AA!G134,"")</f>
        <v>11955</v>
      </c>
      <c r="I204" s="38">
        <f>IF([2]AA!H134&lt;&gt;"",[2]AA!H134,"")</f>
        <v>78631</v>
      </c>
      <c r="J204" s="60">
        <f t="shared" si="15"/>
        <v>0.1319740357229594</v>
      </c>
      <c r="K204" t="str">
        <f t="shared" si="16"/>
        <v>2343538</v>
      </c>
      <c r="L204" t="str">
        <f t="shared" si="17"/>
        <v>GRI-SGED</v>
      </c>
    </row>
    <row r="205" spans="1:12" ht="45" x14ac:dyDescent="0.2">
      <c r="A205" s="37">
        <v>160</v>
      </c>
      <c r="B205" s="53" t="s">
        <v>629</v>
      </c>
      <c r="C205" s="53" t="s">
        <v>415</v>
      </c>
      <c r="D205" s="54" t="s">
        <v>156</v>
      </c>
      <c r="E205" s="55">
        <f>IF([2]AA!D136&lt;&gt;"",[2]AA!D136,"")</f>
        <v>1479604</v>
      </c>
      <c r="F205" s="55">
        <f>IF([2]AA!E136&lt;&gt;"",[2]AA!E136,"")</f>
        <v>19462.03</v>
      </c>
      <c r="G205" s="55">
        <f>IF([2]AA!F136&lt;&gt;"",[2]AA!F136,"")</f>
        <v>1460141.97</v>
      </c>
      <c r="H205" s="55">
        <f>IF([2]AA!G136&lt;&gt;"",[2]AA!G136,"")</f>
        <v>7416.86</v>
      </c>
      <c r="I205" s="55">
        <f>IF([2]AA!H136&lt;&gt;"",[2]AA!H136,"")</f>
        <v>1472187.14</v>
      </c>
      <c r="J205" s="59">
        <f t="shared" si="15"/>
        <v>5.0127331367041447E-3</v>
      </c>
      <c r="K205" t="str">
        <f t="shared" si="16"/>
        <v>2357091</v>
      </c>
      <c r="L205" t="str">
        <f t="shared" si="17"/>
        <v>GRI-SGED</v>
      </c>
    </row>
    <row r="206" spans="1:12" ht="54" x14ac:dyDescent="0.2">
      <c r="A206" s="37">
        <v>161</v>
      </c>
      <c r="B206" s="37" t="s">
        <v>682</v>
      </c>
      <c r="C206" s="37" t="s">
        <v>415</v>
      </c>
      <c r="D206" s="39" t="s">
        <v>343</v>
      </c>
      <c r="E206" s="38">
        <f>IF([2]AA!D139&lt;&gt;"",[2]AA!D139,"")</f>
        <v>5931027</v>
      </c>
      <c r="F206" s="38">
        <f>IF([2]AA!E139&lt;&gt;"",[2]AA!E139,"")</f>
        <v>5660459</v>
      </c>
      <c r="G206" s="38">
        <f>IF([2]AA!F139&lt;&gt;"",[2]AA!F139,"")</f>
        <v>270568</v>
      </c>
      <c r="H206" s="38">
        <f>IF([2]AA!G139&lt;&gt;"",[2]AA!G139,"")</f>
        <v>0</v>
      </c>
      <c r="I206" s="38">
        <f>IF([2]AA!H139&lt;&gt;"",[2]AA!H139,"")</f>
        <v>5931027</v>
      </c>
      <c r="J206" s="60">
        <f t="shared" si="15"/>
        <v>0</v>
      </c>
      <c r="K206" t="str">
        <f t="shared" si="16"/>
        <v>2380088</v>
      </c>
      <c r="L206" t="str">
        <f t="shared" si="17"/>
        <v>GRI-SGED</v>
      </c>
    </row>
    <row r="207" spans="1:12" ht="45" x14ac:dyDescent="0.2">
      <c r="A207" s="37">
        <v>162</v>
      </c>
      <c r="B207" s="37" t="s">
        <v>683</v>
      </c>
      <c r="C207" s="37" t="s">
        <v>415</v>
      </c>
      <c r="D207" s="39" t="s">
        <v>219</v>
      </c>
      <c r="E207" s="38">
        <f>IF([2]AA!D140&lt;&gt;"",[2]AA!D140,"")</f>
        <v>9222405</v>
      </c>
      <c r="F207" s="38">
        <f>IF([2]AA!E140&lt;&gt;"",[2]AA!E140,"")</f>
        <v>6243156.4199999999</v>
      </c>
      <c r="G207" s="38">
        <f>IF([2]AA!F140&lt;&gt;"",[2]AA!F140,"")</f>
        <v>2979248.5800000005</v>
      </c>
      <c r="H207" s="38">
        <f>IF([2]AA!G140&lt;&gt;"",[2]AA!G140,"")</f>
        <v>3328680.31</v>
      </c>
      <c r="I207" s="38">
        <f>IF([2]AA!H140&lt;&gt;"",[2]AA!H140,"")</f>
        <v>5893724.6899999995</v>
      </c>
      <c r="J207" s="60">
        <f t="shared" si="15"/>
        <v>0.36093408498108681</v>
      </c>
      <c r="K207" t="str">
        <f t="shared" si="16"/>
        <v>2411317</v>
      </c>
      <c r="L207" t="str">
        <f t="shared" si="17"/>
        <v>GRI-SGED</v>
      </c>
    </row>
    <row r="208" spans="1:12" ht="45" x14ac:dyDescent="0.2">
      <c r="A208" s="37">
        <v>163</v>
      </c>
      <c r="B208" s="53" t="s">
        <v>631</v>
      </c>
      <c r="C208" s="53" t="s">
        <v>415</v>
      </c>
      <c r="D208" s="54" t="s">
        <v>255</v>
      </c>
      <c r="E208" s="55">
        <f>IF([2]AA!D142&lt;&gt;"",[2]AA!D142,"")</f>
        <v>5194033</v>
      </c>
      <c r="F208" s="55">
        <f>IF([2]AA!E142&lt;&gt;"",[2]AA!E142,"")</f>
        <v>5103556.7699999996</v>
      </c>
      <c r="G208" s="55">
        <f>IF([2]AA!F142&lt;&gt;"",[2]AA!F142,"")</f>
        <v>90476.230000000447</v>
      </c>
      <c r="H208" s="55">
        <f>IF([2]AA!G142&lt;&gt;"",[2]AA!G142,"")</f>
        <v>0</v>
      </c>
      <c r="I208" s="55">
        <f>IF([2]AA!H142&lt;&gt;"",[2]AA!H142,"")</f>
        <v>5194033</v>
      </c>
      <c r="J208" s="59">
        <f t="shared" si="15"/>
        <v>0</v>
      </c>
      <c r="K208" t="str">
        <f t="shared" si="16"/>
        <v>2436751</v>
      </c>
      <c r="L208" t="str">
        <f t="shared" si="17"/>
        <v>GRI-SGED</v>
      </c>
    </row>
    <row r="209" spans="1:12" ht="45" x14ac:dyDescent="0.2">
      <c r="A209" s="37">
        <v>164</v>
      </c>
      <c r="B209" s="37" t="s">
        <v>684</v>
      </c>
      <c r="C209" s="37" t="s">
        <v>415</v>
      </c>
      <c r="D209" s="39" t="s">
        <v>249</v>
      </c>
      <c r="E209" s="38">
        <f>IF([2]AA!D145&lt;&gt;"",[2]AA!D145,"")</f>
        <v>57442</v>
      </c>
      <c r="F209" s="38">
        <f>IF([2]AA!E145&lt;&gt;"",[2]AA!E145,"")</f>
        <v>57136.9</v>
      </c>
      <c r="G209" s="38">
        <f>IF([2]AA!F145&lt;&gt;"",[2]AA!F145,"")</f>
        <v>305.09999999999854</v>
      </c>
      <c r="H209" s="38">
        <f>IF([2]AA!G145&lt;&gt;"",[2]AA!G145,"")</f>
        <v>54415.03</v>
      </c>
      <c r="I209" s="38">
        <f>IF([2]AA!H145&lt;&gt;"",[2]AA!H145,"")</f>
        <v>3026.9700000000012</v>
      </c>
      <c r="J209" s="60">
        <f t="shared" si="15"/>
        <v>0.94730388914035024</v>
      </c>
      <c r="K209" t="str">
        <f t="shared" si="16"/>
        <v>2462296</v>
      </c>
      <c r="L209" t="str">
        <f t="shared" si="17"/>
        <v>GRI-SGED</v>
      </c>
    </row>
    <row r="210" spans="1:12" ht="45" x14ac:dyDescent="0.2">
      <c r="A210" s="37">
        <v>165</v>
      </c>
      <c r="B210" s="37" t="s">
        <v>685</v>
      </c>
      <c r="C210" s="37" t="s">
        <v>415</v>
      </c>
      <c r="D210" s="39" t="s">
        <v>337</v>
      </c>
      <c r="E210" s="38">
        <f>IF([2]AA!D150&lt;&gt;"",[2]AA!D150,"")</f>
        <v>159740</v>
      </c>
      <c r="F210" s="38">
        <f>IF([2]AA!E150&lt;&gt;"",[2]AA!E150,"")</f>
        <v>46163.79</v>
      </c>
      <c r="G210" s="38">
        <f>IF([2]AA!F150&lt;&gt;"",[2]AA!F150,"")</f>
        <v>113576.21</v>
      </c>
      <c r="H210" s="38">
        <f>IF([2]AA!G150&lt;&gt;"",[2]AA!G150,"")</f>
        <v>46163.519999999997</v>
      </c>
      <c r="I210" s="38">
        <f>IF([2]AA!H150&lt;&gt;"",[2]AA!H150,"")</f>
        <v>113576.48000000001</v>
      </c>
      <c r="J210" s="60">
        <f t="shared" si="15"/>
        <v>0.28899161136847373</v>
      </c>
      <c r="K210" t="str">
        <f t="shared" si="16"/>
        <v>2506927</v>
      </c>
      <c r="L210" t="str">
        <f t="shared" si="17"/>
        <v>GRI-SGED</v>
      </c>
    </row>
    <row r="211" spans="1:12" ht="45" x14ac:dyDescent="0.2">
      <c r="A211" s="37">
        <v>166</v>
      </c>
      <c r="B211" s="37" t="s">
        <v>686</v>
      </c>
      <c r="C211" s="37" t="s">
        <v>415</v>
      </c>
      <c r="D211" s="39" t="s">
        <v>261</v>
      </c>
      <c r="E211" s="38">
        <f>IF([2]AA!D151&lt;&gt;"",[2]AA!D151,"")</f>
        <v>0</v>
      </c>
      <c r="F211" s="38">
        <f>IF([2]AA!E151&lt;&gt;"",[2]AA!E151,"")</f>
        <v>0</v>
      </c>
      <c r="G211" s="38">
        <f>IF([2]AA!F151&lt;&gt;"",[2]AA!F151,"")</f>
        <v>0</v>
      </c>
      <c r="H211" s="38">
        <f>IF([2]AA!G151&lt;&gt;"",[2]AA!G151,"")</f>
        <v>0</v>
      </c>
      <c r="I211" s="38">
        <f>IF([2]AA!H151&lt;&gt;"",[2]AA!H151,"")</f>
        <v>0</v>
      </c>
      <c r="J211" s="60" t="e">
        <f t="shared" si="15"/>
        <v>#DIV/0!</v>
      </c>
      <c r="K211" t="str">
        <f t="shared" si="16"/>
        <v>2517448</v>
      </c>
      <c r="L211" t="str">
        <f t="shared" si="17"/>
        <v>GRI-SGED</v>
      </c>
    </row>
    <row r="212" spans="1:12" ht="45" x14ac:dyDescent="0.2">
      <c r="A212" s="37">
        <v>167</v>
      </c>
      <c r="B212" s="37" t="s">
        <v>687</v>
      </c>
      <c r="C212" s="37" t="s">
        <v>415</v>
      </c>
      <c r="D212" s="39" t="s">
        <v>344</v>
      </c>
      <c r="E212" s="38">
        <f>IF([2]AA!D161&lt;&gt;"",[2]AA!D161,"")</f>
        <v>1142346</v>
      </c>
      <c r="F212" s="38">
        <f>IF([2]AA!E161&lt;&gt;"",[2]AA!E161,"")</f>
        <v>0</v>
      </c>
      <c r="G212" s="38">
        <f>IF([2]AA!F161&lt;&gt;"",[2]AA!F161,"")</f>
        <v>1142346</v>
      </c>
      <c r="H212" s="38">
        <f>IF([2]AA!G161&lt;&gt;"",[2]AA!G161,"")</f>
        <v>0</v>
      </c>
      <c r="I212" s="38">
        <f>IF([2]AA!H161&lt;&gt;"",[2]AA!H161,"")</f>
        <v>1142346</v>
      </c>
      <c r="J212" s="60">
        <f t="shared" si="15"/>
        <v>0</v>
      </c>
      <c r="K212" t="str">
        <f t="shared" si="16"/>
        <v>2570943</v>
      </c>
      <c r="L212" t="str">
        <f t="shared" si="17"/>
        <v>GRI-SGED</v>
      </c>
    </row>
    <row r="213" spans="1:12" ht="54" x14ac:dyDescent="0.2">
      <c r="A213" s="37">
        <v>168</v>
      </c>
      <c r="B213" s="37" t="s">
        <v>688</v>
      </c>
      <c r="C213" s="37" t="s">
        <v>415</v>
      </c>
      <c r="D213" s="39" t="s">
        <v>492</v>
      </c>
      <c r="E213" s="38">
        <f>IF([2]AA!D163&lt;&gt;"",[2]AA!D163,"")</f>
        <v>0</v>
      </c>
      <c r="F213" s="38">
        <f>IF([2]AA!E163&lt;&gt;"",[2]AA!E163,"")</f>
        <v>0</v>
      </c>
      <c r="G213" s="38">
        <f>IF([2]AA!F163&lt;&gt;"",[2]AA!F163,"")</f>
        <v>0</v>
      </c>
      <c r="H213" s="38">
        <f>IF([2]AA!G163&lt;&gt;"",[2]AA!G163,"")</f>
        <v>0</v>
      </c>
      <c r="I213" s="38">
        <f>IF([2]AA!H163&lt;&gt;"",[2]AA!H163,"")</f>
        <v>0</v>
      </c>
      <c r="J213" s="60" t="e">
        <f t="shared" si="15"/>
        <v>#DIV/0!</v>
      </c>
      <c r="K213" t="str">
        <f t="shared" si="16"/>
        <v>2577453</v>
      </c>
      <c r="L213" t="str">
        <f t="shared" si="17"/>
        <v>GRI-SGED</v>
      </c>
    </row>
    <row r="214" spans="1:12" ht="45" x14ac:dyDescent="0.2">
      <c r="A214" s="37">
        <v>169</v>
      </c>
      <c r="B214" s="37" t="s">
        <v>689</v>
      </c>
      <c r="C214" s="37" t="s">
        <v>415</v>
      </c>
      <c r="D214" s="39" t="s">
        <v>500</v>
      </c>
      <c r="E214" s="38">
        <f>IF([2]AA!D164&lt;&gt;"",[2]AA!D164,"")</f>
        <v>33556</v>
      </c>
      <c r="F214" s="38">
        <f>IF([2]AA!E164&lt;&gt;"",[2]AA!E164,"")</f>
        <v>33489.5</v>
      </c>
      <c r="G214" s="38">
        <f>IF([2]AA!F164&lt;&gt;"",[2]AA!F164,"")</f>
        <v>66.5</v>
      </c>
      <c r="H214" s="38">
        <f>IF([2]AA!G164&lt;&gt;"",[2]AA!G164,"")</f>
        <v>22684.6</v>
      </c>
      <c r="I214" s="38">
        <f>IF([2]AA!H164&lt;&gt;"",[2]AA!H164,"")</f>
        <v>10871.400000000001</v>
      </c>
      <c r="J214" s="60">
        <f t="shared" si="15"/>
        <v>0.67602217189176295</v>
      </c>
      <c r="K214" t="str">
        <f t="shared" si="16"/>
        <v>2578405</v>
      </c>
      <c r="L214" t="str">
        <f t="shared" si="17"/>
        <v>GRI-SGED</v>
      </c>
    </row>
    <row r="215" spans="1:12" ht="45" x14ac:dyDescent="0.2">
      <c r="A215" s="37">
        <v>170</v>
      </c>
      <c r="B215" s="37" t="s">
        <v>690</v>
      </c>
      <c r="C215" s="37" t="s">
        <v>415</v>
      </c>
      <c r="D215" s="39" t="s">
        <v>501</v>
      </c>
      <c r="E215" s="38">
        <f>IF([2]AA!D165&lt;&gt;"",[2]AA!D165,"")</f>
        <v>0</v>
      </c>
      <c r="F215" s="38">
        <f>IF([2]AA!E165&lt;&gt;"",[2]AA!E165,"")</f>
        <v>0</v>
      </c>
      <c r="G215" s="38">
        <f>IF([2]AA!F165&lt;&gt;"",[2]AA!F165,"")</f>
        <v>0</v>
      </c>
      <c r="H215" s="38">
        <f>IF([2]AA!G165&lt;&gt;"",[2]AA!G165,"")</f>
        <v>0</v>
      </c>
      <c r="I215" s="38">
        <f>IF([2]AA!H165&lt;&gt;"",[2]AA!H165,"")</f>
        <v>0</v>
      </c>
      <c r="J215" s="60" t="e">
        <f t="shared" si="15"/>
        <v>#DIV/0!</v>
      </c>
      <c r="K215" t="str">
        <f t="shared" si="16"/>
        <v>2585395</v>
      </c>
      <c r="L215" t="str">
        <f t="shared" si="17"/>
        <v>GRI-SGED</v>
      </c>
    </row>
    <row r="216" spans="1:12" ht="45" x14ac:dyDescent="0.2">
      <c r="A216" s="37">
        <v>171</v>
      </c>
      <c r="B216" s="37" t="s">
        <v>691</v>
      </c>
      <c r="C216" s="37" t="s">
        <v>415</v>
      </c>
      <c r="D216" s="39" t="s">
        <v>502</v>
      </c>
      <c r="E216" s="38">
        <f>IF([2]AA!D168&lt;&gt;"",[2]AA!D168,"")</f>
        <v>100000</v>
      </c>
      <c r="F216" s="38">
        <f>IF([2]AA!E168&lt;&gt;"",[2]AA!E168,"")</f>
        <v>28122</v>
      </c>
      <c r="G216" s="38">
        <f>IF([2]AA!F168&lt;&gt;"",[2]AA!F168,"")</f>
        <v>71878</v>
      </c>
      <c r="H216" s="38">
        <f>IF([2]AA!G168&lt;&gt;"",[2]AA!G168,"")</f>
        <v>24506.97</v>
      </c>
      <c r="I216" s="38">
        <f>IF([2]AA!H168&lt;&gt;"",[2]AA!H168,"")</f>
        <v>75493.03</v>
      </c>
      <c r="J216" s="60">
        <f t="shared" si="15"/>
        <v>0.2450697</v>
      </c>
      <c r="K216" t="str">
        <f t="shared" ref="K216:K247" si="18">MID(D216,1,7)</f>
        <v>2594994</v>
      </c>
      <c r="L216" t="str">
        <f t="shared" ref="L216:L247" si="19">C216</f>
        <v>GRI-SGED</v>
      </c>
    </row>
    <row r="217" spans="1:12" ht="36" x14ac:dyDescent="0.2">
      <c r="A217" s="37">
        <v>172</v>
      </c>
      <c r="B217" s="37" t="s">
        <v>692</v>
      </c>
      <c r="C217" s="37" t="s">
        <v>415</v>
      </c>
      <c r="D217" s="39" t="s">
        <v>503</v>
      </c>
      <c r="E217" s="38">
        <f>IF([2]AA!D169&lt;&gt;"",[2]AA!D169,"")</f>
        <v>106670</v>
      </c>
      <c r="F217" s="38">
        <f>IF([2]AA!E169&lt;&gt;"",[2]AA!E169,"")</f>
        <v>106670</v>
      </c>
      <c r="G217" s="38">
        <f>IF([2]AA!F169&lt;&gt;"",[2]AA!F169,"")</f>
        <v>0</v>
      </c>
      <c r="H217" s="38">
        <f>IF([2]AA!G169&lt;&gt;"",[2]AA!G169,"")</f>
        <v>96622.29</v>
      </c>
      <c r="I217" s="38">
        <f>IF([2]AA!H169&lt;&gt;"",[2]AA!H169,"")</f>
        <v>10047.710000000006</v>
      </c>
      <c r="J217" s="60">
        <f t="shared" si="15"/>
        <v>0.90580566232305237</v>
      </c>
      <c r="K217" t="str">
        <f t="shared" si="18"/>
        <v>2597167</v>
      </c>
      <c r="L217" t="str">
        <f t="shared" si="19"/>
        <v>GRI-SGED</v>
      </c>
    </row>
    <row r="218" spans="1:12" ht="45" x14ac:dyDescent="0.2">
      <c r="A218" s="37">
        <v>173</v>
      </c>
      <c r="B218" s="37" t="s">
        <v>693</v>
      </c>
      <c r="C218" s="37" t="s">
        <v>415</v>
      </c>
      <c r="D218" s="39" t="s">
        <v>468</v>
      </c>
      <c r="E218" s="38">
        <f>IF([2]AA!D170&lt;&gt;"",[2]AA!D170,"")</f>
        <v>200000</v>
      </c>
      <c r="F218" s="38">
        <f>IF([2]AA!E170&lt;&gt;"",[2]AA!E170,"")</f>
        <v>200000</v>
      </c>
      <c r="G218" s="38">
        <f>IF([2]AA!F170&lt;&gt;"",[2]AA!F170,"")</f>
        <v>0</v>
      </c>
      <c r="H218" s="38">
        <f>IF([2]AA!G170&lt;&gt;"",[2]AA!G170,"")</f>
        <v>126950.09</v>
      </c>
      <c r="I218" s="38">
        <f>IF([2]AA!H170&lt;&gt;"",[2]AA!H170,"")</f>
        <v>73049.91</v>
      </c>
      <c r="J218" s="60">
        <f t="shared" si="15"/>
        <v>0.63475044999999997</v>
      </c>
      <c r="K218" t="str">
        <f t="shared" si="18"/>
        <v>2599489</v>
      </c>
      <c r="L218" t="str">
        <f t="shared" si="19"/>
        <v>GRI-SGED</v>
      </c>
    </row>
    <row r="219" spans="1:12" ht="36" x14ac:dyDescent="0.2">
      <c r="A219" s="37">
        <v>174</v>
      </c>
      <c r="B219" s="37" t="s">
        <v>694</v>
      </c>
      <c r="C219" s="37" t="s">
        <v>415</v>
      </c>
      <c r="D219" s="39" t="s">
        <v>504</v>
      </c>
      <c r="E219" s="38">
        <f>IF([2]AA!D173&lt;&gt;"",[2]AA!D173,"")</f>
        <v>1410000</v>
      </c>
      <c r="F219" s="38">
        <f>IF([2]AA!E173&lt;&gt;"",[2]AA!E173,"")</f>
        <v>1012169.41</v>
      </c>
      <c r="G219" s="38">
        <f>IF([2]AA!F173&lt;&gt;"",[2]AA!F173,"")</f>
        <v>397830.58999999997</v>
      </c>
      <c r="H219" s="38">
        <f>IF([2]AA!G173&lt;&gt;"",[2]AA!G173,"")</f>
        <v>406362.05000000005</v>
      </c>
      <c r="I219" s="38">
        <f>IF([2]AA!H173&lt;&gt;"",[2]AA!H173,"")</f>
        <v>1003637.9500000001</v>
      </c>
      <c r="J219" s="60">
        <f t="shared" si="15"/>
        <v>0.28820003546099293</v>
      </c>
      <c r="K219" t="str">
        <f t="shared" si="18"/>
        <v>2603161</v>
      </c>
      <c r="L219" t="str">
        <f t="shared" si="19"/>
        <v>GRI-SGED</v>
      </c>
    </row>
    <row r="220" spans="1:12" ht="90" x14ac:dyDescent="0.2">
      <c r="A220" s="37">
        <v>175</v>
      </c>
      <c r="B220" s="37" t="s">
        <v>695</v>
      </c>
      <c r="C220" s="37" t="s">
        <v>415</v>
      </c>
      <c r="D220" s="39" t="s">
        <v>493</v>
      </c>
      <c r="E220" s="38">
        <f>IF([2]AA!D174&lt;&gt;"",[2]AA!D174,"")</f>
        <v>50467</v>
      </c>
      <c r="F220" s="38">
        <f>IF([2]AA!E174&lt;&gt;"",[2]AA!E174,"")</f>
        <v>50466.81</v>
      </c>
      <c r="G220" s="38">
        <f>IF([2]AA!F174&lt;&gt;"",[2]AA!F174,"")</f>
        <v>0.19000000000232831</v>
      </c>
      <c r="H220" s="38">
        <f>IF([2]AA!G174&lt;&gt;"",[2]AA!G174,"")</f>
        <v>48902.8</v>
      </c>
      <c r="I220" s="38">
        <f>IF([2]AA!H174&lt;&gt;"",[2]AA!H174,"")</f>
        <v>1564.1999999999971</v>
      </c>
      <c r="J220" s="60">
        <f t="shared" si="15"/>
        <v>0.96900548873521319</v>
      </c>
      <c r="K220" t="str">
        <f t="shared" si="18"/>
        <v>2606768</v>
      </c>
      <c r="L220" t="str">
        <f t="shared" si="19"/>
        <v>GRI-SGED</v>
      </c>
    </row>
    <row r="221" spans="1:12" ht="45" x14ac:dyDescent="0.2">
      <c r="A221" s="37">
        <v>176</v>
      </c>
      <c r="B221" s="37" t="s">
        <v>696</v>
      </c>
      <c r="C221" s="37" t="s">
        <v>415</v>
      </c>
      <c r="D221" s="39" t="s">
        <v>505</v>
      </c>
      <c r="E221" s="38">
        <f>IF([2]AA!D180&lt;&gt;"",[2]AA!D180,"")</f>
        <v>0</v>
      </c>
      <c r="F221" s="38">
        <f>IF([2]AA!E180&lt;&gt;"",[2]AA!E180,"")</f>
        <v>0</v>
      </c>
      <c r="G221" s="38">
        <f>IF([2]AA!F180&lt;&gt;"",[2]AA!F180,"")</f>
        <v>0</v>
      </c>
      <c r="H221" s="38">
        <f>IF([2]AA!G180&lt;&gt;"",[2]AA!G180,"")</f>
        <v>0</v>
      </c>
      <c r="I221" s="38">
        <f>IF([2]AA!H180&lt;&gt;"",[2]AA!H180,"")</f>
        <v>0</v>
      </c>
      <c r="J221" s="60" t="e">
        <f t="shared" si="15"/>
        <v>#DIV/0!</v>
      </c>
      <c r="K221" t="str">
        <f t="shared" si="18"/>
        <v>2623878</v>
      </c>
      <c r="L221" t="str">
        <f t="shared" si="19"/>
        <v>GRI-SGED</v>
      </c>
    </row>
    <row r="222" spans="1:12" ht="45" x14ac:dyDescent="0.2">
      <c r="A222" s="37">
        <v>177</v>
      </c>
      <c r="B222" s="37" t="s">
        <v>697</v>
      </c>
      <c r="C222" s="37" t="s">
        <v>415</v>
      </c>
      <c r="D222" s="39" t="s">
        <v>506</v>
      </c>
      <c r="E222" s="38">
        <f>IF([2]AA!D181&lt;&gt;"",[2]AA!D181,"")</f>
        <v>928209</v>
      </c>
      <c r="F222" s="38">
        <f>IF([2]AA!E181&lt;&gt;"",[2]AA!E181,"")</f>
        <v>879625.49</v>
      </c>
      <c r="G222" s="38">
        <f>IF([2]AA!F181&lt;&gt;"",[2]AA!F181,"")</f>
        <v>48583.510000000009</v>
      </c>
      <c r="H222" s="38">
        <f>IF([2]AA!G181&lt;&gt;"",[2]AA!G181,"")</f>
        <v>414106.81</v>
      </c>
      <c r="I222" s="38">
        <f>IF([2]AA!H181&lt;&gt;"",[2]AA!H181,"")</f>
        <v>514102.19</v>
      </c>
      <c r="J222" s="60">
        <f t="shared" si="15"/>
        <v>0.44613531004331997</v>
      </c>
      <c r="K222" t="str">
        <f t="shared" si="18"/>
        <v>2623879</v>
      </c>
      <c r="L222" t="str">
        <f t="shared" si="19"/>
        <v>GRI-SGED</v>
      </c>
    </row>
    <row r="223" spans="1:12" ht="45" x14ac:dyDescent="0.2">
      <c r="A223" s="37">
        <v>178</v>
      </c>
      <c r="B223" s="37" t="s">
        <v>698</v>
      </c>
      <c r="C223" s="37" t="s">
        <v>415</v>
      </c>
      <c r="D223" s="39" t="s">
        <v>507</v>
      </c>
      <c r="E223" s="38">
        <f>IF([2]AA!D182&lt;&gt;"",[2]AA!D182,"")</f>
        <v>6269000</v>
      </c>
      <c r="F223" s="38">
        <f>IF([2]AA!E182&lt;&gt;"",[2]AA!E182,"")</f>
        <v>5142276.4800000004</v>
      </c>
      <c r="G223" s="38">
        <f>IF([2]AA!F182&lt;&gt;"",[2]AA!F182,"")</f>
        <v>1126723.52</v>
      </c>
      <c r="H223" s="38">
        <f>IF([2]AA!G182&lt;&gt;"",[2]AA!G182,"")</f>
        <v>934429.17999999993</v>
      </c>
      <c r="I223" s="38">
        <f>IF([2]AA!H182&lt;&gt;"",[2]AA!H182,"")</f>
        <v>5334570.82</v>
      </c>
      <c r="J223" s="60">
        <f t="shared" si="15"/>
        <v>0.14905553995852608</v>
      </c>
      <c r="K223" t="str">
        <f t="shared" si="18"/>
        <v>2632832</v>
      </c>
      <c r="L223" t="str">
        <f t="shared" si="19"/>
        <v>GRI-SGED</v>
      </c>
    </row>
    <row r="224" spans="1:12" ht="45" x14ac:dyDescent="0.2">
      <c r="A224" s="37">
        <v>179</v>
      </c>
      <c r="B224" s="37" t="s">
        <v>699</v>
      </c>
      <c r="C224" s="37" t="s">
        <v>415</v>
      </c>
      <c r="D224" s="39" t="s">
        <v>494</v>
      </c>
      <c r="E224" s="38">
        <f>IF([2]AA!D184&lt;&gt;"",[2]AA!D184,"")</f>
        <v>56150305</v>
      </c>
      <c r="F224" s="38">
        <f>IF([2]AA!E184&lt;&gt;"",[2]AA!E184,"")</f>
        <v>54439970.839999996</v>
      </c>
      <c r="G224" s="38">
        <f>IF([2]AA!F184&lt;&gt;"",[2]AA!F184,"")</f>
        <v>1710334.1600000015</v>
      </c>
      <c r="H224" s="38">
        <f>IF([2]AA!G184&lt;&gt;"",[2]AA!G184,"")</f>
        <v>13120953.74</v>
      </c>
      <c r="I224" s="38">
        <f>IF([2]AA!H184&lt;&gt;"",[2]AA!H184,"")</f>
        <v>43029351.260000005</v>
      </c>
      <c r="J224" s="60">
        <f t="shared" si="15"/>
        <v>0.23367555599208234</v>
      </c>
      <c r="K224" t="str">
        <f t="shared" si="18"/>
        <v>2645524</v>
      </c>
      <c r="L224" t="str">
        <f t="shared" si="19"/>
        <v>GRI-SGED</v>
      </c>
    </row>
    <row r="225" spans="1:12" ht="36" x14ac:dyDescent="0.2">
      <c r="A225" s="37">
        <v>180</v>
      </c>
      <c r="B225" s="37">
        <v>246</v>
      </c>
      <c r="C225" s="40" t="s">
        <v>416</v>
      </c>
      <c r="D225" s="39" t="s">
        <v>478</v>
      </c>
      <c r="E225" s="38">
        <f>IF([2]AA!D198&lt;&gt;"",[2]AA!D198,"")</f>
        <v>1333346</v>
      </c>
      <c r="F225" s="38">
        <f>IF([2]AA!E198&lt;&gt;"",[2]AA!E198,"")</f>
        <v>743690.36</v>
      </c>
      <c r="G225" s="38">
        <f>IF([2]AA!F198&lt;&gt;"",[2]AA!F198,"")</f>
        <v>589655.64</v>
      </c>
      <c r="H225" s="38">
        <f>IF([2]AA!G198&lt;&gt;"",[2]AA!G198,"")</f>
        <v>3128.7</v>
      </c>
      <c r="I225" s="38">
        <f>IF([2]AA!H198&lt;&gt;"",[2]AA!H198,"")</f>
        <v>1330217.3</v>
      </c>
      <c r="J225" s="58">
        <f t="shared" si="15"/>
        <v>2.3465027082242716E-3</v>
      </c>
      <c r="K225" t="str">
        <f t="shared" si="18"/>
        <v>2637997</v>
      </c>
      <c r="L225" t="str">
        <f t="shared" si="19"/>
        <v>PY-SinExpTec</v>
      </c>
    </row>
    <row r="226" spans="1:12" ht="45" x14ac:dyDescent="0.2">
      <c r="A226" s="37">
        <v>181</v>
      </c>
      <c r="B226" s="37">
        <v>247</v>
      </c>
      <c r="C226" s="37" t="s">
        <v>416</v>
      </c>
      <c r="D226" s="39" t="s">
        <v>477</v>
      </c>
      <c r="E226" s="38">
        <f>IF([2]AA!D199&lt;&gt;"",[2]AA!D199,"")</f>
        <v>16210021</v>
      </c>
      <c r="F226" s="38">
        <f>IF([2]AA!E199&lt;&gt;"",[2]AA!E199,"")</f>
        <v>1004711.34</v>
      </c>
      <c r="G226" s="38">
        <f>IF([2]AA!F199&lt;&gt;"",[2]AA!F199,"")</f>
        <v>15205309.66</v>
      </c>
      <c r="H226" s="38">
        <f>IF([2]AA!G199&lt;&gt;"",[2]AA!G199,"")</f>
        <v>0</v>
      </c>
      <c r="I226" s="38">
        <f>IF([2]AA!H199&lt;&gt;"",[2]AA!H199,"")</f>
        <v>16210021</v>
      </c>
      <c r="J226" s="58">
        <f t="shared" si="15"/>
        <v>0</v>
      </c>
      <c r="K226" t="str">
        <f t="shared" si="18"/>
        <v>2638009</v>
      </c>
      <c r="L226" t="str">
        <f t="shared" si="19"/>
        <v>PY-SinExpTec</v>
      </c>
    </row>
    <row r="227" spans="1:12" ht="36" x14ac:dyDescent="0.2">
      <c r="A227" s="37">
        <v>182</v>
      </c>
      <c r="B227" s="37">
        <v>248</v>
      </c>
      <c r="C227" s="37" t="s">
        <v>416</v>
      </c>
      <c r="D227" s="39" t="s">
        <v>229</v>
      </c>
      <c r="E227" s="38">
        <f>IF([2]AA!D200&lt;&gt;"",[2]AA!D200,"")</f>
        <v>0</v>
      </c>
      <c r="F227" s="38">
        <f>IF([2]AA!E200&lt;&gt;"",[2]AA!E200,"")</f>
        <v>0</v>
      </c>
      <c r="G227" s="38">
        <f>IF([2]AA!F200&lt;&gt;"",[2]AA!F200,"")</f>
        <v>0</v>
      </c>
      <c r="H227" s="38">
        <f>IF([2]AA!G200&lt;&gt;"",[2]AA!G200,"")</f>
        <v>0</v>
      </c>
      <c r="I227" s="38">
        <f>IF([2]AA!H200&lt;&gt;"",[2]AA!H200,"")</f>
        <v>0</v>
      </c>
      <c r="J227" s="58" t="e">
        <f t="shared" si="15"/>
        <v>#DIV/0!</v>
      </c>
      <c r="K227" t="str">
        <f t="shared" si="18"/>
        <v>2131661</v>
      </c>
      <c r="L227" t="str">
        <f t="shared" si="19"/>
        <v>PY-SinExpTec</v>
      </c>
    </row>
    <row r="228" spans="1:12" ht="45" x14ac:dyDescent="0.2">
      <c r="A228" s="37">
        <v>183</v>
      </c>
      <c r="B228" s="37">
        <v>249</v>
      </c>
      <c r="C228" s="37" t="s">
        <v>416</v>
      </c>
      <c r="D228" s="39" t="s">
        <v>485</v>
      </c>
      <c r="E228" s="38">
        <f>IF([2]AA!D201&lt;&gt;"",[2]AA!D201,"")</f>
        <v>0</v>
      </c>
      <c r="F228" s="38">
        <f>IF([2]AA!E201&lt;&gt;"",[2]AA!E201,"")</f>
        <v>0</v>
      </c>
      <c r="G228" s="38">
        <f>IF([2]AA!F201&lt;&gt;"",[2]AA!F201,"")</f>
        <v>0</v>
      </c>
      <c r="H228" s="38">
        <f>IF([2]AA!G201&lt;&gt;"",[2]AA!G201,"")</f>
        <v>0</v>
      </c>
      <c r="I228" s="38">
        <f>IF([2]AA!H201&lt;&gt;"",[2]AA!H201,"")</f>
        <v>0</v>
      </c>
      <c r="J228" s="58" t="e">
        <f t="shared" si="15"/>
        <v>#DIV/0!</v>
      </c>
      <c r="K228" t="str">
        <f t="shared" si="18"/>
        <v>2649221</v>
      </c>
      <c r="L228" t="str">
        <f t="shared" si="19"/>
        <v>PY-SinExpTec</v>
      </c>
    </row>
    <row r="229" spans="1:12" ht="45" x14ac:dyDescent="0.2">
      <c r="A229" s="37">
        <v>184</v>
      </c>
      <c r="B229" s="37">
        <v>250</v>
      </c>
      <c r="C229" s="37" t="s">
        <v>416</v>
      </c>
      <c r="D229" s="39" t="s">
        <v>411</v>
      </c>
      <c r="E229" s="38">
        <f>IF([2]AA!D202&lt;&gt;"",[2]AA!D202,"")</f>
        <v>6655043</v>
      </c>
      <c r="F229" s="38">
        <f>IF([2]AA!E202&lt;&gt;"",[2]AA!E202,"")</f>
        <v>0</v>
      </c>
      <c r="G229" s="38">
        <f>IF([2]AA!F202&lt;&gt;"",[2]AA!F202,"")</f>
        <v>6655043</v>
      </c>
      <c r="H229" s="38">
        <f>IF([2]AA!G202&lt;&gt;"",[2]AA!G202,"")</f>
        <v>0</v>
      </c>
      <c r="I229" s="38">
        <f>IF([2]AA!H202&lt;&gt;"",[2]AA!H202,"")</f>
        <v>6655043</v>
      </c>
      <c r="J229" s="58">
        <f t="shared" si="15"/>
        <v>0</v>
      </c>
      <c r="K229" t="str">
        <f t="shared" si="18"/>
        <v>2575299</v>
      </c>
      <c r="L229" t="str">
        <f t="shared" si="19"/>
        <v>PY-SinExpTec</v>
      </c>
    </row>
    <row r="230" spans="1:12" ht="63" x14ac:dyDescent="0.2">
      <c r="A230" s="37">
        <v>185</v>
      </c>
      <c r="B230" s="37">
        <v>252</v>
      </c>
      <c r="C230" s="37" t="s">
        <v>416</v>
      </c>
      <c r="D230" s="39" t="s">
        <v>486</v>
      </c>
      <c r="E230" s="38">
        <f>IF([2]AA!D203&lt;&gt;"",[2]AA!D203,"")</f>
        <v>5217703</v>
      </c>
      <c r="F230" s="38">
        <f>IF([2]AA!E203&lt;&gt;"",[2]AA!E203,"")</f>
        <v>184669</v>
      </c>
      <c r="G230" s="38">
        <f>IF([2]AA!F203&lt;&gt;"",[2]AA!F203,"")</f>
        <v>5033034</v>
      </c>
      <c r="H230" s="38">
        <f>IF([2]AA!G203&lt;&gt;"",[2]AA!G203,"")</f>
        <v>0</v>
      </c>
      <c r="I230" s="38">
        <f>IF([2]AA!H203&lt;&gt;"",[2]AA!H203,"")</f>
        <v>5217703</v>
      </c>
      <c r="J230" s="58">
        <f t="shared" si="15"/>
        <v>0</v>
      </c>
      <c r="K230" t="str">
        <f t="shared" si="18"/>
        <v>2645503</v>
      </c>
      <c r="L230" t="str">
        <f t="shared" si="19"/>
        <v>PY-SinExpTec</v>
      </c>
    </row>
    <row r="231" spans="1:12" ht="72" x14ac:dyDescent="0.2">
      <c r="A231" s="37">
        <v>186</v>
      </c>
      <c r="B231" s="37">
        <v>253</v>
      </c>
      <c r="C231" s="37" t="s">
        <v>416</v>
      </c>
      <c r="D231" s="39" t="s">
        <v>476</v>
      </c>
      <c r="E231" s="38">
        <f>IF([2]AA!D204&lt;&gt;"",[2]AA!D204,"")</f>
        <v>0</v>
      </c>
      <c r="F231" s="38">
        <f>IF([2]AA!E204&lt;&gt;"",[2]AA!E204,"")</f>
        <v>0</v>
      </c>
      <c r="G231" s="38">
        <f>IF([2]AA!F204&lt;&gt;"",[2]AA!F204,"")</f>
        <v>0</v>
      </c>
      <c r="H231" s="38">
        <f>IF([2]AA!G204&lt;&gt;"",[2]AA!G204,"")</f>
        <v>0</v>
      </c>
      <c r="I231" s="38">
        <f>IF([2]AA!H204&lt;&gt;"",[2]AA!H204,"")</f>
        <v>0</v>
      </c>
      <c r="J231" s="58" t="e">
        <f t="shared" si="15"/>
        <v>#DIV/0!</v>
      </c>
      <c r="K231" t="str">
        <f t="shared" si="18"/>
        <v>2651270</v>
      </c>
      <c r="L231" t="str">
        <f t="shared" si="19"/>
        <v>PY-SinExpTec</v>
      </c>
    </row>
    <row r="232" spans="1:12" ht="54" x14ac:dyDescent="0.2">
      <c r="A232" s="37">
        <v>187</v>
      </c>
      <c r="B232" s="37">
        <v>254</v>
      </c>
      <c r="C232" s="37" t="s">
        <v>416</v>
      </c>
      <c r="D232" s="39" t="s">
        <v>470</v>
      </c>
      <c r="E232" s="38">
        <f>IF([2]AA!D205&lt;&gt;"",[2]AA!D205,"")</f>
        <v>10023590</v>
      </c>
      <c r="F232" s="38">
        <f>IF([2]AA!E205&lt;&gt;"",[2]AA!E205,"")</f>
        <v>8257729.3100000005</v>
      </c>
      <c r="G232" s="38">
        <f>IF([2]AA!F205&lt;&gt;"",[2]AA!F205,"")</f>
        <v>1765860.69</v>
      </c>
      <c r="H232" s="38">
        <f>IF([2]AA!G205&lt;&gt;"",[2]AA!G205,"")</f>
        <v>2552784.9800000004</v>
      </c>
      <c r="I232" s="38">
        <f>IF([2]AA!H205&lt;&gt;"",[2]AA!H205,"")</f>
        <v>7470805.0199999996</v>
      </c>
      <c r="J232" s="58">
        <f t="shared" si="15"/>
        <v>0.25467771327438576</v>
      </c>
      <c r="K232" t="str">
        <f t="shared" si="18"/>
        <v>2652984</v>
      </c>
      <c r="L232" t="str">
        <f t="shared" si="19"/>
        <v>PY-SinExpTec</v>
      </c>
    </row>
    <row r="233" spans="1:12" ht="45" x14ac:dyDescent="0.2">
      <c r="A233" s="37">
        <v>188</v>
      </c>
      <c r="B233" s="37">
        <v>256</v>
      </c>
      <c r="C233" s="37" t="s">
        <v>416</v>
      </c>
      <c r="D233" s="39" t="s">
        <v>388</v>
      </c>
      <c r="E233" s="38">
        <f>IF([2]AA!D206&lt;&gt;"",[2]AA!D206,"")</f>
        <v>6688287</v>
      </c>
      <c r="F233" s="38">
        <f>IF([2]AA!E206&lt;&gt;"",[2]AA!E206,"")</f>
        <v>5067798.8699999992</v>
      </c>
      <c r="G233" s="38">
        <f>IF([2]AA!F206&lt;&gt;"",[2]AA!F206,"")</f>
        <v>1620488.1300000001</v>
      </c>
      <c r="H233" s="38">
        <f>IF([2]AA!G206&lt;&gt;"",[2]AA!G206,"")</f>
        <v>2026168.8700000003</v>
      </c>
      <c r="I233" s="38">
        <f>IF([2]AA!H206&lt;&gt;"",[2]AA!H206,"")</f>
        <v>4662118.129999999</v>
      </c>
      <c r="J233" s="58">
        <f t="shared" si="15"/>
        <v>0.30294287162019218</v>
      </c>
      <c r="K233" t="str">
        <f t="shared" si="18"/>
        <v>2570365</v>
      </c>
      <c r="L233" t="str">
        <f t="shared" si="19"/>
        <v>PY-SinExpTec</v>
      </c>
    </row>
    <row r="234" spans="1:12" ht="63" x14ac:dyDescent="0.2">
      <c r="A234" s="37">
        <v>189</v>
      </c>
      <c r="B234" s="37">
        <v>257</v>
      </c>
      <c r="C234" s="37" t="s">
        <v>416</v>
      </c>
      <c r="D234" s="39" t="s">
        <v>488</v>
      </c>
      <c r="E234" s="38">
        <f>IF([2]AA!D207&lt;&gt;"",[2]AA!D207,"")</f>
        <v>9468125</v>
      </c>
      <c r="F234" s="38">
        <f>IF([2]AA!E207&lt;&gt;"",[2]AA!E207,"")</f>
        <v>5776412.1999999993</v>
      </c>
      <c r="G234" s="38">
        <f>IF([2]AA!F207&lt;&gt;"",[2]AA!F207,"")</f>
        <v>3691712.8000000003</v>
      </c>
      <c r="H234" s="38">
        <f>IF([2]AA!G207&lt;&gt;"",[2]AA!G207,"")</f>
        <v>2429256.1399999997</v>
      </c>
      <c r="I234" s="38">
        <f>IF([2]AA!H207&lt;&gt;"",[2]AA!H207,"")</f>
        <v>7038868.8599999994</v>
      </c>
      <c r="J234" s="58">
        <f t="shared" si="15"/>
        <v>0.25657203934253081</v>
      </c>
      <c r="K234" t="str">
        <f t="shared" si="18"/>
        <v>2623875</v>
      </c>
      <c r="L234" t="str">
        <f t="shared" si="19"/>
        <v>PY-SinExpTec</v>
      </c>
    </row>
    <row r="235" spans="1:12" ht="54" x14ac:dyDescent="0.2">
      <c r="A235" s="37">
        <v>190</v>
      </c>
      <c r="B235" s="37">
        <v>258</v>
      </c>
      <c r="C235" s="37" t="s">
        <v>416</v>
      </c>
      <c r="D235" s="39" t="s">
        <v>475</v>
      </c>
      <c r="E235" s="38">
        <f>IF([2]AA!D208&lt;&gt;"",[2]AA!D208,"")</f>
        <v>0</v>
      </c>
      <c r="F235" s="38">
        <f>IF([2]AA!E208&lt;&gt;"",[2]AA!E208,"")</f>
        <v>0</v>
      </c>
      <c r="G235" s="38">
        <f>IF([2]AA!F208&lt;&gt;"",[2]AA!F208,"")</f>
        <v>0</v>
      </c>
      <c r="H235" s="38">
        <f>IF([2]AA!G208&lt;&gt;"",[2]AA!G208,"")</f>
        <v>0</v>
      </c>
      <c r="I235" s="38">
        <f>IF([2]AA!H208&lt;&gt;"",[2]AA!H208,"")</f>
        <v>0</v>
      </c>
      <c r="J235" s="58" t="e">
        <f t="shared" si="15"/>
        <v>#DIV/0!</v>
      </c>
      <c r="K235" t="str">
        <f t="shared" si="18"/>
        <v>2623876</v>
      </c>
      <c r="L235" t="str">
        <f t="shared" si="19"/>
        <v>PY-SinExpTec</v>
      </c>
    </row>
    <row r="236" spans="1:12" ht="45" x14ac:dyDescent="0.2">
      <c r="A236" s="37">
        <v>191</v>
      </c>
      <c r="B236" s="37">
        <v>262</v>
      </c>
      <c r="C236" s="37" t="s">
        <v>416</v>
      </c>
      <c r="D236" s="39" t="s">
        <v>381</v>
      </c>
      <c r="E236" s="38">
        <f>IF([2]AA!D209&lt;&gt;"",[2]AA!D209,"")</f>
        <v>200000</v>
      </c>
      <c r="F236" s="38">
        <f>IF([2]AA!E209&lt;&gt;"",[2]AA!E209,"")</f>
        <v>50000</v>
      </c>
      <c r="G236" s="38">
        <f>IF([2]AA!F209&lt;&gt;"",[2]AA!F209,"")</f>
        <v>150000</v>
      </c>
      <c r="H236" s="38">
        <f>IF([2]AA!G209&lt;&gt;"",[2]AA!G209,"")</f>
        <v>0</v>
      </c>
      <c r="I236" s="38">
        <f>IF([2]AA!H209&lt;&gt;"",[2]AA!H209,"")</f>
        <v>200000</v>
      </c>
      <c r="J236" s="58">
        <f t="shared" si="15"/>
        <v>0</v>
      </c>
      <c r="K236" t="str">
        <f t="shared" si="18"/>
        <v>2476464</v>
      </c>
      <c r="L236" t="str">
        <f t="shared" si="19"/>
        <v>PY-SinExpTec</v>
      </c>
    </row>
    <row r="237" spans="1:12" ht="45" x14ac:dyDescent="0.2">
      <c r="A237" s="37">
        <v>192</v>
      </c>
      <c r="B237" s="37">
        <v>264</v>
      </c>
      <c r="C237" s="37" t="s">
        <v>416</v>
      </c>
      <c r="D237" s="39" t="s">
        <v>480</v>
      </c>
      <c r="E237" s="38">
        <f>IF([2]AA!D210&lt;&gt;"",[2]AA!D210,"")</f>
        <v>11203165</v>
      </c>
      <c r="F237" s="38">
        <f>IF([2]AA!E210&lt;&gt;"",[2]AA!E210,"")</f>
        <v>8687600.3499999996</v>
      </c>
      <c r="G237" s="38">
        <f>IF([2]AA!F210&lt;&gt;"",[2]AA!F210,"")</f>
        <v>2515564.65</v>
      </c>
      <c r="H237" s="38">
        <f>IF([2]AA!G210&lt;&gt;"",[2]AA!G210,"")</f>
        <v>3343892.5100000002</v>
      </c>
      <c r="I237" s="38">
        <f>IF([2]AA!H210&lt;&gt;"",[2]AA!H210,"")</f>
        <v>7859272.4900000002</v>
      </c>
      <c r="J237" s="58">
        <f t="shared" si="15"/>
        <v>0.29847748471079383</v>
      </c>
      <c r="K237" t="str">
        <f t="shared" si="18"/>
        <v>2625645</v>
      </c>
      <c r="L237" t="str">
        <f t="shared" si="19"/>
        <v>PY-SinExpTec</v>
      </c>
    </row>
    <row r="238" spans="1:12" ht="36" x14ac:dyDescent="0.2">
      <c r="A238" s="37">
        <v>193</v>
      </c>
      <c r="B238" s="37">
        <v>296</v>
      </c>
      <c r="C238" s="37" t="s">
        <v>416</v>
      </c>
      <c r="D238" s="39" t="s">
        <v>363</v>
      </c>
      <c r="E238" s="38">
        <f>IF([2]AA!D227&lt;&gt;"",[2]AA!D227,"")</f>
        <v>1750696</v>
      </c>
      <c r="F238" s="38">
        <f>IF([2]AA!E227&lt;&gt;"",[2]AA!E227,"")</f>
        <v>379449</v>
      </c>
      <c r="G238" s="38">
        <f>IF([2]AA!F227&lt;&gt;"",[2]AA!F227,"")</f>
        <v>1371247</v>
      </c>
      <c r="H238" s="38">
        <f>IF([2]AA!G227&lt;&gt;"",[2]AA!G227,"")</f>
        <v>0</v>
      </c>
      <c r="I238" s="38">
        <f>IF([2]AA!H227&lt;&gt;"",[2]AA!H227,"")</f>
        <v>1750696</v>
      </c>
      <c r="J238" s="58">
        <f t="shared" si="15"/>
        <v>0</v>
      </c>
      <c r="K238" t="str">
        <f t="shared" si="18"/>
        <v>2527207</v>
      </c>
      <c r="L238" t="str">
        <f t="shared" si="19"/>
        <v>PY-SinExpTec</v>
      </c>
    </row>
    <row r="239" spans="1:12" ht="63" x14ac:dyDescent="0.2">
      <c r="A239" s="37">
        <v>194</v>
      </c>
      <c r="B239" s="37">
        <v>297</v>
      </c>
      <c r="C239" s="37" t="s">
        <v>416</v>
      </c>
      <c r="D239" s="39" t="s">
        <v>387</v>
      </c>
      <c r="E239" s="38">
        <f>IF([2]AA!D228&lt;&gt;"",[2]AA!D228,"")</f>
        <v>1967860</v>
      </c>
      <c r="F239" s="38">
        <f>IF([2]AA!E228&lt;&gt;"",[2]AA!E228,"")</f>
        <v>1950515.1</v>
      </c>
      <c r="G239" s="38">
        <f>IF([2]AA!F228&lt;&gt;"",[2]AA!F228,"")</f>
        <v>17344.900000000001</v>
      </c>
      <c r="H239" s="38">
        <f>IF([2]AA!G228&lt;&gt;"",[2]AA!G228,"")</f>
        <v>98487.84</v>
      </c>
      <c r="I239" s="38">
        <f>IF([2]AA!H228&lt;&gt;"",[2]AA!H228,"")</f>
        <v>1869372.16</v>
      </c>
      <c r="J239" s="58">
        <f t="shared" si="15"/>
        <v>5.0048194485380053E-2</v>
      </c>
      <c r="K239" t="str">
        <f t="shared" si="18"/>
        <v>2518131</v>
      </c>
      <c r="L239" t="str">
        <f t="shared" si="19"/>
        <v>PY-SinExpTec</v>
      </c>
    </row>
    <row r="240" spans="1:12" ht="54" x14ac:dyDescent="0.2">
      <c r="A240" s="37">
        <v>195</v>
      </c>
      <c r="B240" s="37">
        <v>299</v>
      </c>
      <c r="C240" s="37" t="s">
        <v>416</v>
      </c>
      <c r="D240" s="39" t="s">
        <v>741</v>
      </c>
      <c r="E240" s="38">
        <f>IF([2]AA!D229&lt;&gt;"",[2]AA!D229,"")</f>
        <v>3196845</v>
      </c>
      <c r="F240" s="38">
        <f>IF([2]AA!E229&lt;&gt;"",[2]AA!E229,"")</f>
        <v>1848345.8900000001</v>
      </c>
      <c r="G240" s="38">
        <f>IF([2]AA!F229&lt;&gt;"",[2]AA!F229,"")</f>
        <v>1348499.1099999999</v>
      </c>
      <c r="H240" s="38">
        <f>IF([2]AA!G229&lt;&gt;"",[2]AA!G229,"")</f>
        <v>752439.03</v>
      </c>
      <c r="I240" s="38">
        <f>IF([2]AA!H229&lt;&gt;"",[2]AA!H229,"")</f>
        <v>2444405.9699999997</v>
      </c>
      <c r="J240" s="58">
        <f t="shared" ref="J240:J316" si="20">H240/E240</f>
        <v>0.23536925625108507</v>
      </c>
      <c r="K240" t="str">
        <f t="shared" si="18"/>
        <v>2453224</v>
      </c>
      <c r="L240" t="str">
        <f t="shared" si="19"/>
        <v>PY-SinExpTec</v>
      </c>
    </row>
    <row r="241" spans="1:12" ht="54" x14ac:dyDescent="0.2">
      <c r="A241" s="37">
        <v>196</v>
      </c>
      <c r="B241" s="37">
        <v>300</v>
      </c>
      <c r="C241" s="37" t="s">
        <v>416</v>
      </c>
      <c r="D241" s="39" t="s">
        <v>743</v>
      </c>
      <c r="E241" s="38">
        <f>IF([2]AA!D230&lt;&gt;"",[2]AA!D230,"")</f>
        <v>0</v>
      </c>
      <c r="F241" s="38">
        <f>IF([2]AA!E230&lt;&gt;"",[2]AA!E230,"")</f>
        <v>0</v>
      </c>
      <c r="G241" s="38">
        <f>IF([2]AA!F230&lt;&gt;"",[2]AA!F230,"")</f>
        <v>0</v>
      </c>
      <c r="H241" s="38">
        <f>IF([2]AA!G230&lt;&gt;"",[2]AA!G230,"")</f>
        <v>0</v>
      </c>
      <c r="I241" s="38">
        <f>IF([2]AA!H230&lt;&gt;"",[2]AA!H230,"")</f>
        <v>0</v>
      </c>
      <c r="J241" s="58" t="e">
        <f t="shared" si="20"/>
        <v>#DIV/0!</v>
      </c>
      <c r="K241" t="str">
        <f t="shared" si="18"/>
        <v>2662467</v>
      </c>
      <c r="L241" t="str">
        <f t="shared" si="19"/>
        <v>PY-SinExpTec</v>
      </c>
    </row>
    <row r="242" spans="1:12" ht="36" x14ac:dyDescent="0.2">
      <c r="A242" s="37">
        <v>197</v>
      </c>
      <c r="B242" s="37">
        <v>301</v>
      </c>
      <c r="C242" s="37" t="s">
        <v>416</v>
      </c>
      <c r="D242" s="39" t="s">
        <v>744</v>
      </c>
      <c r="E242" s="38">
        <f>IF([2]AA!D231&lt;&gt;"",[2]AA!D231,"")</f>
        <v>49574</v>
      </c>
      <c r="F242" s="38">
        <f>IF([2]AA!E231&lt;&gt;"",[2]AA!E231,"")</f>
        <v>0</v>
      </c>
      <c r="G242" s="38">
        <f>IF([2]AA!F231&lt;&gt;"",[2]AA!F231,"")</f>
        <v>49574</v>
      </c>
      <c r="H242" s="38">
        <f>IF([2]AA!G231&lt;&gt;"",[2]AA!G231,"")</f>
        <v>0</v>
      </c>
      <c r="I242" s="38">
        <f>IF([2]AA!H231&lt;&gt;"",[2]AA!H231,"")</f>
        <v>49574</v>
      </c>
      <c r="J242" s="58">
        <f t="shared" si="20"/>
        <v>0</v>
      </c>
      <c r="K242" t="str">
        <f t="shared" si="18"/>
        <v>2652473</v>
      </c>
      <c r="L242" t="str">
        <f t="shared" si="19"/>
        <v>PY-SinExpTec</v>
      </c>
    </row>
    <row r="243" spans="1:12" ht="54" x14ac:dyDescent="0.2">
      <c r="A243" s="37">
        <v>198</v>
      </c>
      <c r="B243" s="37">
        <v>302</v>
      </c>
      <c r="C243" s="37" t="s">
        <v>416</v>
      </c>
      <c r="D243" s="39" t="s">
        <v>745</v>
      </c>
      <c r="E243" s="38">
        <f>IF([2]AA!D232&lt;&gt;"",[2]AA!D232,"")</f>
        <v>656461</v>
      </c>
      <c r="F243" s="38">
        <f>IF([2]AA!E232&lt;&gt;"",[2]AA!E232,"")</f>
        <v>606460.53</v>
      </c>
      <c r="G243" s="38">
        <f>IF([2]AA!F232&lt;&gt;"",[2]AA!F232,"")</f>
        <v>50000.469999999972</v>
      </c>
      <c r="H243" s="38">
        <f>IF([2]AA!G232&lt;&gt;"",[2]AA!G232,"")</f>
        <v>0</v>
      </c>
      <c r="I243" s="38">
        <f>IF([2]AA!H232&lt;&gt;"",[2]AA!H232,"")</f>
        <v>656461</v>
      </c>
      <c r="J243" s="58">
        <f t="shared" si="20"/>
        <v>0</v>
      </c>
      <c r="K243" t="str">
        <f t="shared" si="18"/>
        <v>2624292</v>
      </c>
      <c r="L243" t="str">
        <f t="shared" si="19"/>
        <v>PY-SinExpTec</v>
      </c>
    </row>
    <row r="244" spans="1:12" ht="72" x14ac:dyDescent="0.2">
      <c r="A244" s="37">
        <v>199</v>
      </c>
      <c r="B244" s="37">
        <v>303</v>
      </c>
      <c r="C244" s="37" t="s">
        <v>416</v>
      </c>
      <c r="D244" s="39" t="s">
        <v>746</v>
      </c>
      <c r="E244" s="38">
        <f>IF([2]AA!D233&lt;&gt;"",[2]AA!D233,"")</f>
        <v>706461</v>
      </c>
      <c r="F244" s="38">
        <f>IF([2]AA!E233&lt;&gt;"",[2]AA!E233,"")</f>
        <v>606460.53</v>
      </c>
      <c r="G244" s="38">
        <f>IF([2]AA!F233&lt;&gt;"",[2]AA!F233,"")</f>
        <v>100000.46999999997</v>
      </c>
      <c r="H244" s="38">
        <f>IF([2]AA!G233&lt;&gt;"",[2]AA!G233,"")</f>
        <v>0</v>
      </c>
      <c r="I244" s="38">
        <f>IF([2]AA!H233&lt;&gt;"",[2]AA!H233,"")</f>
        <v>706461</v>
      </c>
      <c r="J244" s="58">
        <f t="shared" si="20"/>
        <v>0</v>
      </c>
      <c r="K244" t="str">
        <f t="shared" si="18"/>
        <v>2651271</v>
      </c>
      <c r="L244" t="str">
        <f t="shared" si="19"/>
        <v>PY-SinExpTec</v>
      </c>
    </row>
    <row r="245" spans="1:12" ht="63" x14ac:dyDescent="0.2">
      <c r="A245" s="37">
        <v>200</v>
      </c>
      <c r="B245" s="37">
        <v>305</v>
      </c>
      <c r="C245" s="37" t="s">
        <v>416</v>
      </c>
      <c r="D245" s="39" t="s">
        <v>364</v>
      </c>
      <c r="E245" s="38">
        <f>IF([2]AA!D234&lt;&gt;"",[2]AA!D234,"")</f>
        <v>0</v>
      </c>
      <c r="F245" s="38">
        <f>IF([2]AA!E234&lt;&gt;"",[2]AA!E234,"")</f>
        <v>0</v>
      </c>
      <c r="G245" s="38">
        <f>IF([2]AA!F234&lt;&gt;"",[2]AA!F234,"")</f>
        <v>0</v>
      </c>
      <c r="H245" s="38">
        <f>IF([2]AA!G234&lt;&gt;"",[2]AA!G234,"")</f>
        <v>0</v>
      </c>
      <c r="I245" s="38">
        <f>IF([2]AA!H234&lt;&gt;"",[2]AA!H234,"")</f>
        <v>0</v>
      </c>
      <c r="J245" s="58" t="e">
        <f t="shared" si="20"/>
        <v>#DIV/0!</v>
      </c>
      <c r="K245" t="str">
        <f t="shared" si="18"/>
        <v>2618422</v>
      </c>
      <c r="L245" t="str">
        <f t="shared" si="19"/>
        <v>PY-SinExpTec</v>
      </c>
    </row>
    <row r="246" spans="1:12" ht="36" x14ac:dyDescent="0.2">
      <c r="A246" s="37">
        <v>201</v>
      </c>
      <c r="B246" s="37">
        <v>357</v>
      </c>
      <c r="C246" s="37" t="s">
        <v>416</v>
      </c>
      <c r="D246" s="39" t="s">
        <v>787</v>
      </c>
      <c r="E246" s="38">
        <f>IF([2]AA!D312&lt;&gt;"",[2]AA!D312,"")</f>
        <v>57400</v>
      </c>
      <c r="F246" s="38">
        <f>IF([2]AA!E312&lt;&gt;"",[2]AA!E312,"")</f>
        <v>57400</v>
      </c>
      <c r="G246" s="38">
        <f>IF([2]AA!F312&lt;&gt;"",[2]AA!F312,"")</f>
        <v>0</v>
      </c>
      <c r="H246" s="38">
        <f>IF([2]AA!G312&lt;&gt;"",[2]AA!G312,"")</f>
        <v>57400</v>
      </c>
      <c r="I246" s="38">
        <f>IF([2]AA!H312&lt;&gt;"",[2]AA!H312,"")</f>
        <v>0</v>
      </c>
      <c r="J246" s="58">
        <f t="shared" si="20"/>
        <v>1</v>
      </c>
      <c r="K246" t="str">
        <f t="shared" si="18"/>
        <v>2650268</v>
      </c>
      <c r="L246" t="str">
        <f t="shared" si="19"/>
        <v>PY-SinExpTec</v>
      </c>
    </row>
    <row r="247" spans="1:12" ht="36" x14ac:dyDescent="0.2">
      <c r="A247" s="37">
        <v>202</v>
      </c>
      <c r="B247" s="37">
        <v>358</v>
      </c>
      <c r="C247" s="37" t="s">
        <v>416</v>
      </c>
      <c r="D247" s="39" t="s">
        <v>788</v>
      </c>
      <c r="E247" s="38">
        <f>IF([2]AA!D313&lt;&gt;"",[2]AA!D313,"")</f>
        <v>5898</v>
      </c>
      <c r="F247" s="38">
        <f>IF([2]AA!E313&lt;&gt;"",[2]AA!E313,"")</f>
        <v>5898</v>
      </c>
      <c r="G247" s="38">
        <f>IF([2]AA!F313&lt;&gt;"",[2]AA!F313,"")</f>
        <v>0</v>
      </c>
      <c r="H247" s="38">
        <f>IF([2]AA!G313&lt;&gt;"",[2]AA!G313,"")</f>
        <v>5898</v>
      </c>
      <c r="I247" s="38">
        <f>IF([2]AA!H313&lt;&gt;"",[2]AA!H313,"")</f>
        <v>0</v>
      </c>
      <c r="J247" s="58">
        <f t="shared" si="20"/>
        <v>1</v>
      </c>
      <c r="K247" t="str">
        <f t="shared" si="18"/>
        <v>2651636</v>
      </c>
      <c r="L247" t="str">
        <f t="shared" si="19"/>
        <v>PY-SinExpTec</v>
      </c>
    </row>
    <row r="248" spans="1:12" ht="45" x14ac:dyDescent="0.2">
      <c r="A248" s="37">
        <v>203</v>
      </c>
      <c r="B248" s="37" t="s">
        <v>809</v>
      </c>
      <c r="C248" s="37" t="s">
        <v>416</v>
      </c>
      <c r="D248" s="39" t="s">
        <v>358</v>
      </c>
      <c r="E248" s="38">
        <f>IF([2]AA!D327&lt;&gt;"",[2]AA!D327,"")</f>
        <v>158642</v>
      </c>
      <c r="F248" s="38">
        <f>IF([2]AA!E327&lt;&gt;"",[2]AA!E327,"")</f>
        <v>0</v>
      </c>
      <c r="G248" s="38">
        <f>IF([2]AA!F327&lt;&gt;"",[2]AA!F327,"")</f>
        <v>158642</v>
      </c>
      <c r="H248" s="38">
        <f>IF([2]AA!G327&lt;&gt;"",[2]AA!G327,"")</f>
        <v>0</v>
      </c>
      <c r="I248" s="38">
        <f>IF([2]AA!H327&lt;&gt;"",[2]AA!H327,"")</f>
        <v>158642</v>
      </c>
      <c r="J248" s="58">
        <f t="shared" si="20"/>
        <v>0</v>
      </c>
      <c r="K248" t="str">
        <f t="shared" ref="K248:K270" si="21">MID(D248,1,7)</f>
        <v>2427364</v>
      </c>
      <c r="L248" t="str">
        <f t="shared" ref="L248:L270" si="22">C248</f>
        <v>PY-SinExpTec</v>
      </c>
    </row>
    <row r="249" spans="1:12" ht="45" x14ac:dyDescent="0.2">
      <c r="A249" s="37">
        <v>204</v>
      </c>
      <c r="B249" s="37" t="s">
        <v>810</v>
      </c>
      <c r="C249" s="37" t="s">
        <v>416</v>
      </c>
      <c r="D249" s="39" t="s">
        <v>823</v>
      </c>
      <c r="E249" s="38">
        <f>IF([2]AA!D328&lt;&gt;"",[2]AA!D328,"")</f>
        <v>159345</v>
      </c>
      <c r="F249" s="38">
        <f>IF([2]AA!E328&lt;&gt;"",[2]AA!E328,"")</f>
        <v>148490</v>
      </c>
      <c r="G249" s="38">
        <f>IF([2]AA!F328&lt;&gt;"",[2]AA!F328,"")</f>
        <v>10855</v>
      </c>
      <c r="H249" s="38">
        <f>IF([2]AA!G328&lt;&gt;"",[2]AA!G328,"")</f>
        <v>30190</v>
      </c>
      <c r="I249" s="38">
        <f>IF([2]AA!H328&lt;&gt;"",[2]AA!H328,"")</f>
        <v>129155</v>
      </c>
      <c r="J249" s="58">
        <f t="shared" si="20"/>
        <v>0.18946311462549814</v>
      </c>
      <c r="K249" t="str">
        <f t="shared" si="21"/>
        <v>2551456</v>
      </c>
      <c r="L249" t="str">
        <f t="shared" si="22"/>
        <v>PY-SinExpTec</v>
      </c>
    </row>
    <row r="250" spans="1:12" ht="45" x14ac:dyDescent="0.2">
      <c r="A250" s="37">
        <v>205</v>
      </c>
      <c r="B250" s="37" t="s">
        <v>811</v>
      </c>
      <c r="C250" s="37" t="s">
        <v>416</v>
      </c>
      <c r="D250" s="39" t="s">
        <v>807</v>
      </c>
      <c r="E250" s="38">
        <f>IF([2]AA!D329&lt;&gt;"",[2]AA!D329,"")</f>
        <v>269980</v>
      </c>
      <c r="F250" s="38">
        <f>IF([2]AA!E329&lt;&gt;"",[2]AA!E329,"")</f>
        <v>255749</v>
      </c>
      <c r="G250" s="38">
        <f>IF([2]AA!F329&lt;&gt;"",[2]AA!F329,"")</f>
        <v>14231</v>
      </c>
      <c r="H250" s="38">
        <f>IF([2]AA!G329&lt;&gt;"",[2]AA!G329,"")</f>
        <v>27200</v>
      </c>
      <c r="I250" s="38">
        <f>IF([2]AA!H329&lt;&gt;"",[2]AA!H329,"")</f>
        <v>242780</v>
      </c>
      <c r="J250" s="58">
        <f t="shared" si="20"/>
        <v>0.10074820357063487</v>
      </c>
      <c r="K250" t="str">
        <f t="shared" si="21"/>
        <v>2657043</v>
      </c>
      <c r="L250" t="str">
        <f t="shared" si="22"/>
        <v>PY-SinExpTec</v>
      </c>
    </row>
    <row r="251" spans="1:12" ht="63" x14ac:dyDescent="0.2">
      <c r="A251" s="37">
        <v>206</v>
      </c>
      <c r="B251" s="37" t="s">
        <v>812</v>
      </c>
      <c r="C251" s="37" t="s">
        <v>416</v>
      </c>
      <c r="D251" s="39" t="s">
        <v>806</v>
      </c>
      <c r="E251" s="38">
        <f>IF([2]AA!D330&lt;&gt;"",[2]AA!D330,"")</f>
        <v>159352</v>
      </c>
      <c r="F251" s="38">
        <f>IF([2]AA!E330&lt;&gt;"",[2]AA!E330,"")</f>
        <v>149000</v>
      </c>
      <c r="G251" s="38">
        <f>IF([2]AA!F330&lt;&gt;"",[2]AA!F330,"")</f>
        <v>10352</v>
      </c>
      <c r="H251" s="38">
        <f>IF([2]AA!G330&lt;&gt;"",[2]AA!G330,"")</f>
        <v>22250</v>
      </c>
      <c r="I251" s="38">
        <f>IF([2]AA!H330&lt;&gt;"",[2]AA!H330,"")</f>
        <v>137102</v>
      </c>
      <c r="J251" s="58">
        <f t="shared" si="20"/>
        <v>0.13962799337316131</v>
      </c>
      <c r="K251" t="str">
        <f t="shared" si="21"/>
        <v>2673441</v>
      </c>
      <c r="L251" t="str">
        <f t="shared" si="22"/>
        <v>PY-SinExpTec</v>
      </c>
    </row>
    <row r="252" spans="1:12" ht="81" x14ac:dyDescent="0.2">
      <c r="A252" s="37">
        <v>207</v>
      </c>
      <c r="B252" s="37" t="s">
        <v>813</v>
      </c>
      <c r="C252" s="37" t="s">
        <v>416</v>
      </c>
      <c r="D252" s="39" t="s">
        <v>805</v>
      </c>
      <c r="E252" s="38">
        <f>IF([2]AA!D331&lt;&gt;"",[2]AA!D331,"")</f>
        <v>159613</v>
      </c>
      <c r="F252" s="38">
        <f>IF([2]AA!E331&lt;&gt;"",[2]AA!E331,"")</f>
        <v>89133.25</v>
      </c>
      <c r="G252" s="38">
        <f>IF([2]AA!F331&lt;&gt;"",[2]AA!F331,"")</f>
        <v>70479.75</v>
      </c>
      <c r="H252" s="38">
        <f>IF([2]AA!G331&lt;&gt;"",[2]AA!G331,"")</f>
        <v>3566.63</v>
      </c>
      <c r="I252" s="38">
        <f>IF([2]AA!H331&lt;&gt;"",[2]AA!H331,"")</f>
        <v>156046.37</v>
      </c>
      <c r="J252" s="58">
        <f t="shared" si="20"/>
        <v>2.2345485643399974E-2</v>
      </c>
      <c r="K252" t="str">
        <f t="shared" si="21"/>
        <v>2656599</v>
      </c>
      <c r="L252" t="str">
        <f t="shared" si="22"/>
        <v>PY-SinExpTec</v>
      </c>
    </row>
    <row r="253" spans="1:12" ht="45" x14ac:dyDescent="0.2">
      <c r="A253" s="37">
        <v>208</v>
      </c>
      <c r="B253" s="37" t="s">
        <v>814</v>
      </c>
      <c r="C253" s="37" t="s">
        <v>416</v>
      </c>
      <c r="D253" s="39" t="s">
        <v>824</v>
      </c>
      <c r="E253" s="38">
        <f>IF([2]AA!D332&lt;&gt;"",[2]AA!D332,"")</f>
        <v>159555</v>
      </c>
      <c r="F253" s="38">
        <f>IF([2]AA!E332&lt;&gt;"",[2]AA!E332,"")</f>
        <v>100345</v>
      </c>
      <c r="G253" s="38">
        <f>IF([2]AA!F332&lt;&gt;"",[2]AA!F332,"")</f>
        <v>59210</v>
      </c>
      <c r="H253" s="38">
        <f>IF([2]AA!G332&lt;&gt;"",[2]AA!G332,"")</f>
        <v>62850</v>
      </c>
      <c r="I253" s="38">
        <f>IF([2]AA!H332&lt;&gt;"",[2]AA!H332,"")</f>
        <v>96705</v>
      </c>
      <c r="J253" s="58">
        <f t="shared" si="20"/>
        <v>0.39390805678292751</v>
      </c>
      <c r="K253" t="str">
        <f t="shared" si="21"/>
        <v>2649856</v>
      </c>
      <c r="L253" t="str">
        <f t="shared" si="22"/>
        <v>PY-SinExpTec</v>
      </c>
    </row>
    <row r="254" spans="1:12" ht="36" x14ac:dyDescent="0.2">
      <c r="A254" s="37">
        <v>209</v>
      </c>
      <c r="B254" s="37" t="s">
        <v>815</v>
      </c>
      <c r="C254" s="37" t="s">
        <v>416</v>
      </c>
      <c r="D254" s="39" t="s">
        <v>825</v>
      </c>
      <c r="E254" s="38">
        <f>IF([2]AA!D333&lt;&gt;"",[2]AA!D333,"")</f>
        <v>154799</v>
      </c>
      <c r="F254" s="38">
        <f>IF([2]AA!E333&lt;&gt;"",[2]AA!E333,"")</f>
        <v>144492</v>
      </c>
      <c r="G254" s="38">
        <f>IF([2]AA!F333&lt;&gt;"",[2]AA!F333,"")</f>
        <v>10307</v>
      </c>
      <c r="H254" s="38">
        <f>IF([2]AA!G333&lt;&gt;"",[2]AA!G333,"")</f>
        <v>136700</v>
      </c>
      <c r="I254" s="38">
        <f>IF([2]AA!H333&lt;&gt;"",[2]AA!H333,"")</f>
        <v>18099</v>
      </c>
      <c r="J254" s="58">
        <f t="shared" si="20"/>
        <v>0.88308064005581433</v>
      </c>
      <c r="K254" t="str">
        <f t="shared" si="21"/>
        <v>2649798</v>
      </c>
      <c r="L254" t="str">
        <f t="shared" si="22"/>
        <v>PY-SinExpTec</v>
      </c>
    </row>
    <row r="255" spans="1:12" ht="36" x14ac:dyDescent="0.2">
      <c r="A255" s="37">
        <v>210</v>
      </c>
      <c r="B255" s="37" t="s">
        <v>816</v>
      </c>
      <c r="C255" s="37" t="s">
        <v>416</v>
      </c>
      <c r="D255" s="39" t="s">
        <v>826</v>
      </c>
      <c r="E255" s="38">
        <f>IF([2]AA!D334&lt;&gt;"",[2]AA!D334,"")</f>
        <v>160000</v>
      </c>
      <c r="F255" s="38">
        <f>IF([2]AA!E334&lt;&gt;"",[2]AA!E334,"")</f>
        <v>118401</v>
      </c>
      <c r="G255" s="38">
        <f>IF([2]AA!F334&lt;&gt;"",[2]AA!F334,"")</f>
        <v>41599</v>
      </c>
      <c r="H255" s="38">
        <f>IF([2]AA!G334&lt;&gt;"",[2]AA!G334,"")</f>
        <v>113671</v>
      </c>
      <c r="I255" s="38">
        <f>IF([2]AA!H334&lt;&gt;"",[2]AA!H334,"")</f>
        <v>46329</v>
      </c>
      <c r="J255" s="58">
        <f t="shared" si="20"/>
        <v>0.71044375000000004</v>
      </c>
      <c r="K255" t="str">
        <f t="shared" si="21"/>
        <v>2649804</v>
      </c>
      <c r="L255" t="str">
        <f t="shared" si="22"/>
        <v>PY-SinExpTec</v>
      </c>
    </row>
    <row r="256" spans="1:12" ht="45" x14ac:dyDescent="0.2">
      <c r="A256" s="37">
        <v>211</v>
      </c>
      <c r="B256" s="37" t="s">
        <v>817</v>
      </c>
      <c r="C256" s="37" t="s">
        <v>416</v>
      </c>
      <c r="D256" s="39" t="s">
        <v>827</v>
      </c>
      <c r="E256" s="38">
        <f>IF([2]AA!D335&lt;&gt;"",[2]AA!D335,"")</f>
        <v>160000</v>
      </c>
      <c r="F256" s="38">
        <f>IF([2]AA!E335&lt;&gt;"",[2]AA!E335,"")</f>
        <v>134540</v>
      </c>
      <c r="G256" s="38">
        <f>IF([2]AA!F335&lt;&gt;"",[2]AA!F335,"")</f>
        <v>25460</v>
      </c>
      <c r="H256" s="38">
        <f>IF([2]AA!G335&lt;&gt;"",[2]AA!G335,"")</f>
        <v>12740</v>
      </c>
      <c r="I256" s="38">
        <f>IF([2]AA!H335&lt;&gt;"",[2]AA!H335,"")</f>
        <v>147260</v>
      </c>
      <c r="J256" s="58">
        <f t="shared" si="20"/>
        <v>7.9625000000000001E-2</v>
      </c>
      <c r="K256" t="str">
        <f t="shared" si="21"/>
        <v>2649854</v>
      </c>
      <c r="L256" t="str">
        <f t="shared" si="22"/>
        <v>PY-SinExpTec</v>
      </c>
    </row>
    <row r="257" spans="1:12" ht="36" x14ac:dyDescent="0.2">
      <c r="A257" s="37">
        <v>212</v>
      </c>
      <c r="B257" s="37" t="s">
        <v>818</v>
      </c>
      <c r="C257" s="37" t="s">
        <v>416</v>
      </c>
      <c r="D257" s="39" t="s">
        <v>828</v>
      </c>
      <c r="E257" s="38">
        <f>IF([2]AA!D336&lt;&gt;"",[2]AA!D336,"")</f>
        <v>349792</v>
      </c>
      <c r="F257" s="38">
        <f>IF([2]AA!E336&lt;&gt;"",[2]AA!E336,"")</f>
        <v>321500</v>
      </c>
      <c r="G257" s="38">
        <f>IF([2]AA!F336&lt;&gt;"",[2]AA!F336,"")</f>
        <v>28292</v>
      </c>
      <c r="H257" s="38">
        <f>IF([2]AA!G336&lt;&gt;"",[2]AA!G336,"")</f>
        <v>0</v>
      </c>
      <c r="I257" s="38">
        <f>IF([2]AA!H336&lt;&gt;"",[2]AA!H336,"")</f>
        <v>349792</v>
      </c>
      <c r="J257" s="58">
        <f t="shared" si="20"/>
        <v>0</v>
      </c>
      <c r="K257" t="str">
        <f t="shared" si="21"/>
        <v>2649858</v>
      </c>
      <c r="L257" t="str">
        <f t="shared" si="22"/>
        <v>PY-SinExpTec</v>
      </c>
    </row>
    <row r="258" spans="1:12" ht="36" x14ac:dyDescent="0.2">
      <c r="A258" s="37">
        <v>213</v>
      </c>
      <c r="B258" s="37" t="s">
        <v>819</v>
      </c>
      <c r="C258" s="37" t="s">
        <v>416</v>
      </c>
      <c r="D258" s="39" t="s">
        <v>829</v>
      </c>
      <c r="E258" s="38">
        <f>IF([2]AA!D337&lt;&gt;"",[2]AA!D337,"")</f>
        <v>155278</v>
      </c>
      <c r="F258" s="38">
        <f>IF([2]AA!E337&lt;&gt;"",[2]AA!E337,"")</f>
        <v>147260</v>
      </c>
      <c r="G258" s="38">
        <f>IF([2]AA!F337&lt;&gt;"",[2]AA!F337,"")</f>
        <v>8018</v>
      </c>
      <c r="H258" s="38">
        <f>IF([2]AA!G337&lt;&gt;"",[2]AA!G337,"")</f>
        <v>86900</v>
      </c>
      <c r="I258" s="38">
        <f>IF([2]AA!H337&lt;&gt;"",[2]AA!H337,"")</f>
        <v>68378</v>
      </c>
      <c r="J258" s="58">
        <f t="shared" si="20"/>
        <v>0.5596414173289197</v>
      </c>
      <c r="K258" t="str">
        <f t="shared" si="21"/>
        <v>2649855</v>
      </c>
      <c r="L258" t="str">
        <f t="shared" si="22"/>
        <v>PY-SinExpTec</v>
      </c>
    </row>
    <row r="259" spans="1:12" ht="45" x14ac:dyDescent="0.2">
      <c r="A259" s="37">
        <v>214</v>
      </c>
      <c r="B259" s="37" t="s">
        <v>820</v>
      </c>
      <c r="C259" s="37" t="s">
        <v>416</v>
      </c>
      <c r="D259" s="39" t="s">
        <v>830</v>
      </c>
      <c r="E259" s="38">
        <f>IF([2]AA!D338&lt;&gt;"",[2]AA!D338,"")</f>
        <v>159890</v>
      </c>
      <c r="F259" s="38">
        <f>IF([2]AA!E338&lt;&gt;"",[2]AA!E338,"")</f>
        <v>5349</v>
      </c>
      <c r="G259" s="38">
        <f>IF([2]AA!F338&lt;&gt;"",[2]AA!F338,"")</f>
        <v>154541</v>
      </c>
      <c r="H259" s="38">
        <f>IF([2]AA!G338&lt;&gt;"",[2]AA!G338,"")</f>
        <v>1783</v>
      </c>
      <c r="I259" s="38">
        <f>IF([2]AA!H338&lt;&gt;"",[2]AA!H338,"")</f>
        <v>158107</v>
      </c>
      <c r="J259" s="58">
        <f t="shared" si="20"/>
        <v>1.1151416598911753E-2</v>
      </c>
      <c r="K259" t="str">
        <f t="shared" si="21"/>
        <v>2649797</v>
      </c>
      <c r="L259" t="str">
        <f t="shared" si="22"/>
        <v>PY-SinExpTec</v>
      </c>
    </row>
    <row r="260" spans="1:12" ht="45" x14ac:dyDescent="0.2">
      <c r="A260" s="37">
        <v>215</v>
      </c>
      <c r="B260" s="37" t="s">
        <v>821</v>
      </c>
      <c r="C260" s="37" t="s">
        <v>416</v>
      </c>
      <c r="D260" s="39" t="s">
        <v>831</v>
      </c>
      <c r="E260" s="38">
        <f>IF([2]AA!D339&lt;&gt;"",[2]AA!D339,"")</f>
        <v>160000</v>
      </c>
      <c r="F260" s="38">
        <f>IF([2]AA!E339&lt;&gt;"",[2]AA!E339,"")</f>
        <v>148960</v>
      </c>
      <c r="G260" s="38">
        <f>IF([2]AA!F339&lt;&gt;"",[2]AA!F339,"")</f>
        <v>11040</v>
      </c>
      <c r="H260" s="38">
        <f>IF([2]AA!G339&lt;&gt;"",[2]AA!G339,"")</f>
        <v>23000</v>
      </c>
      <c r="I260" s="38">
        <f>IF([2]AA!H339&lt;&gt;"",[2]AA!H339,"")</f>
        <v>137000</v>
      </c>
      <c r="J260" s="58">
        <f t="shared" si="20"/>
        <v>0.14374999999999999</v>
      </c>
      <c r="K260" t="str">
        <f t="shared" si="21"/>
        <v>2653339</v>
      </c>
      <c r="L260" t="str">
        <f t="shared" si="22"/>
        <v>PY-SinExpTec</v>
      </c>
    </row>
    <row r="261" spans="1:12" ht="36" x14ac:dyDescent="0.2">
      <c r="A261" s="37">
        <v>216</v>
      </c>
      <c r="B261" s="37" t="s">
        <v>822</v>
      </c>
      <c r="C261" s="37" t="s">
        <v>416</v>
      </c>
      <c r="D261" s="39" t="s">
        <v>832</v>
      </c>
      <c r="E261" s="38">
        <f>IF([2]AA!D341&lt;&gt;"",[2]AA!D341,"")</f>
        <v>160000</v>
      </c>
      <c r="F261" s="38">
        <f>IF([2]AA!E341&lt;&gt;"",[2]AA!E341,"")</f>
        <v>0</v>
      </c>
      <c r="G261" s="38">
        <f>IF([2]AA!F341&lt;&gt;"",[2]AA!F341,"")</f>
        <v>160000</v>
      </c>
      <c r="H261" s="38">
        <f>IF([2]AA!G341&lt;&gt;"",[2]AA!G341,"")</f>
        <v>0</v>
      </c>
      <c r="I261" s="38">
        <f>IF([2]AA!H341&lt;&gt;"",[2]AA!H341,"")</f>
        <v>160000</v>
      </c>
      <c r="J261" s="58">
        <f t="shared" si="20"/>
        <v>0</v>
      </c>
      <c r="K261" t="str">
        <f t="shared" si="21"/>
        <v>2649805</v>
      </c>
      <c r="L261" t="str">
        <f t="shared" si="22"/>
        <v>PY-SinExpTec</v>
      </c>
    </row>
    <row r="262" spans="1:12" ht="36" x14ac:dyDescent="0.2">
      <c r="A262" s="37"/>
      <c r="B262" s="37">
        <v>395</v>
      </c>
      <c r="C262" s="37" t="s">
        <v>416</v>
      </c>
      <c r="D262" s="39" t="s">
        <v>836</v>
      </c>
      <c r="E262" s="38">
        <f>IF([2]AA!D346&lt;&gt;"",[2]AA!D346,"")</f>
        <v>160000</v>
      </c>
      <c r="F262" s="38">
        <f>IF([2]AA!E346&lt;&gt;"",[2]AA!E346,"")</f>
        <v>144870</v>
      </c>
      <c r="G262" s="38">
        <f>IF([2]AA!F346&lt;&gt;"",[2]AA!F346,"")</f>
        <v>15130</v>
      </c>
      <c r="H262" s="38">
        <f>IF([2]AA!G346&lt;&gt;"",[2]AA!G346,"")</f>
        <v>45270</v>
      </c>
      <c r="I262" s="38">
        <f>IF([2]AA!H346&lt;&gt;"",[2]AA!H346,"")</f>
        <v>114730</v>
      </c>
      <c r="J262" s="58">
        <f t="shared" si="20"/>
        <v>0.28293750000000001</v>
      </c>
      <c r="K262" t="str">
        <f t="shared" si="21"/>
        <v>2618450</v>
      </c>
      <c r="L262" t="str">
        <f t="shared" si="22"/>
        <v>PY-SinExpTec</v>
      </c>
    </row>
    <row r="263" spans="1:12" ht="36" x14ac:dyDescent="0.2">
      <c r="A263" s="37"/>
      <c r="B263" s="37">
        <v>396</v>
      </c>
      <c r="C263" s="37" t="s">
        <v>416</v>
      </c>
      <c r="D263" s="39" t="s">
        <v>837</v>
      </c>
      <c r="E263" s="38">
        <f>IF([2]AA!D347&lt;&gt;"",[2]AA!D347,"")</f>
        <v>157300</v>
      </c>
      <c r="F263" s="38">
        <f>IF([2]AA!E347&lt;&gt;"",[2]AA!E347,"")</f>
        <v>149830</v>
      </c>
      <c r="G263" s="38">
        <f>IF([2]AA!F347&lt;&gt;"",[2]AA!F347,"")</f>
        <v>7470</v>
      </c>
      <c r="H263" s="38">
        <f>IF([2]AA!G347&lt;&gt;"",[2]AA!G347,"")</f>
        <v>86425</v>
      </c>
      <c r="I263" s="38">
        <f>IF([2]AA!H347&lt;&gt;"",[2]AA!H347,"")</f>
        <v>70875</v>
      </c>
      <c r="J263" s="58">
        <f t="shared" si="20"/>
        <v>0.54942784488239038</v>
      </c>
      <c r="K263" t="str">
        <f t="shared" si="21"/>
        <v>2649852</v>
      </c>
      <c r="L263" t="str">
        <f t="shared" si="22"/>
        <v>PY-SinExpTec</v>
      </c>
    </row>
    <row r="264" spans="1:12" ht="36" x14ac:dyDescent="0.2">
      <c r="A264" s="37"/>
      <c r="B264" s="37">
        <v>397</v>
      </c>
      <c r="C264" s="37" t="s">
        <v>416</v>
      </c>
      <c r="D264" s="39" t="s">
        <v>838</v>
      </c>
      <c r="E264" s="38">
        <f>IF([2]AA!D348&lt;&gt;"",[2]AA!D348,"")</f>
        <v>159720</v>
      </c>
      <c r="F264" s="38">
        <f>IF([2]AA!E348&lt;&gt;"",[2]AA!E348,"")</f>
        <v>150040</v>
      </c>
      <c r="G264" s="38">
        <f>IF([2]AA!F348&lt;&gt;"",[2]AA!F348,"")</f>
        <v>9680</v>
      </c>
      <c r="H264" s="38">
        <f>IF([2]AA!G348&lt;&gt;"",[2]AA!G348,"")</f>
        <v>65990</v>
      </c>
      <c r="I264" s="38">
        <f>IF([2]AA!H348&lt;&gt;"",[2]AA!H348,"")</f>
        <v>93730</v>
      </c>
      <c r="J264" s="58">
        <f t="shared" si="20"/>
        <v>0.41316053092912597</v>
      </c>
      <c r="K264" t="str">
        <f t="shared" si="21"/>
        <v>2652119</v>
      </c>
      <c r="L264" t="str">
        <f t="shared" si="22"/>
        <v>PY-SinExpTec</v>
      </c>
    </row>
    <row r="265" spans="1:12" ht="36" x14ac:dyDescent="0.2">
      <c r="A265" s="37"/>
      <c r="B265" s="37">
        <v>398</v>
      </c>
      <c r="C265" s="37" t="s">
        <v>416</v>
      </c>
      <c r="D265" s="39" t="s">
        <v>839</v>
      </c>
      <c r="E265" s="38">
        <f>IF([2]AA!D349&lt;&gt;"",[2]AA!D349,"")</f>
        <v>160000</v>
      </c>
      <c r="F265" s="38">
        <f>IF([2]AA!E349&lt;&gt;"",[2]AA!E349,"")</f>
        <v>151322</v>
      </c>
      <c r="G265" s="38">
        <f>IF([2]AA!F349&lt;&gt;"",[2]AA!F349,"")</f>
        <v>8678</v>
      </c>
      <c r="H265" s="38">
        <f>IF([2]AA!G349&lt;&gt;"",[2]AA!G349,"")</f>
        <v>93222</v>
      </c>
      <c r="I265" s="38">
        <f>IF([2]AA!H349&lt;&gt;"",[2]AA!H349,"")</f>
        <v>66778</v>
      </c>
      <c r="J265" s="58">
        <f t="shared" si="20"/>
        <v>0.58263750000000003</v>
      </c>
      <c r="K265" t="str">
        <f t="shared" si="21"/>
        <v>2651383</v>
      </c>
      <c r="L265" t="str">
        <f t="shared" si="22"/>
        <v>PY-SinExpTec</v>
      </c>
    </row>
    <row r="266" spans="1:12" ht="63" x14ac:dyDescent="0.2">
      <c r="A266" s="37"/>
      <c r="B266" s="37">
        <v>399</v>
      </c>
      <c r="C266" s="37" t="s">
        <v>416</v>
      </c>
      <c r="D266" s="39" t="s">
        <v>840</v>
      </c>
      <c r="E266" s="38">
        <f>IF([2]AA!D350&lt;&gt;"",[2]AA!D350,"")</f>
        <v>349792</v>
      </c>
      <c r="F266" s="38">
        <f>IF([2]AA!E350&lt;&gt;"",[2]AA!E350,"")</f>
        <v>166000</v>
      </c>
      <c r="G266" s="38">
        <f>IF([2]AA!F350&lt;&gt;"",[2]AA!F350,"")</f>
        <v>183792</v>
      </c>
      <c r="H266" s="38">
        <f>IF([2]AA!G350&lt;&gt;"",[2]AA!G350,"")</f>
        <v>0</v>
      </c>
      <c r="I266" s="38">
        <f>IF([2]AA!H350&lt;&gt;"",[2]AA!H350,"")</f>
        <v>349792</v>
      </c>
      <c r="J266" s="58">
        <f t="shared" si="20"/>
        <v>0</v>
      </c>
      <c r="K266" t="str">
        <f t="shared" si="21"/>
        <v>2646859</v>
      </c>
      <c r="L266" t="str">
        <f t="shared" si="22"/>
        <v>PY-SinExpTec</v>
      </c>
    </row>
    <row r="267" spans="1:12" ht="45" x14ac:dyDescent="0.2">
      <c r="A267" s="37"/>
      <c r="B267" s="37">
        <v>403</v>
      </c>
      <c r="C267" s="37" t="s">
        <v>416</v>
      </c>
      <c r="D267" s="39" t="s">
        <v>479</v>
      </c>
      <c r="E267" s="38">
        <f>IF([2]AA!D354&lt;&gt;"",[2]AA!D354,"")</f>
        <v>160000</v>
      </c>
      <c r="F267" s="38">
        <f>IF([2]AA!E354&lt;&gt;"",[2]AA!E354,"")</f>
        <v>14120</v>
      </c>
      <c r="G267" s="38">
        <f>IF([2]AA!F354&lt;&gt;"",[2]AA!F354,"")</f>
        <v>145880</v>
      </c>
      <c r="H267" s="38">
        <f>IF([2]AA!G354&lt;&gt;"",[2]AA!G354,"")</f>
        <v>6970</v>
      </c>
      <c r="I267" s="38">
        <f>IF([2]AA!H354&lt;&gt;"",[2]AA!H354,"")</f>
        <v>153030</v>
      </c>
      <c r="J267" s="58">
        <f t="shared" si="20"/>
        <v>4.3562499999999997E-2</v>
      </c>
      <c r="K267" t="str">
        <f t="shared" si="21"/>
        <v>2637985</v>
      </c>
      <c r="L267" t="str">
        <f t="shared" si="22"/>
        <v>PY-SinExpTec</v>
      </c>
    </row>
    <row r="268" spans="1:12" ht="36" x14ac:dyDescent="0.2">
      <c r="A268" s="37"/>
      <c r="B268" s="37">
        <v>404</v>
      </c>
      <c r="C268" s="37" t="s">
        <v>416</v>
      </c>
      <c r="D268" s="39" t="s">
        <v>843</v>
      </c>
      <c r="E268" s="38">
        <f>IF([2]AA!D355&lt;&gt;"",[2]AA!D355,"")</f>
        <v>349899</v>
      </c>
      <c r="F268" s="38">
        <f>IF([2]AA!E355&lt;&gt;"",[2]AA!E355,"")</f>
        <v>307070</v>
      </c>
      <c r="G268" s="38">
        <f>IF([2]AA!F355&lt;&gt;"",[2]AA!F355,"")</f>
        <v>42829</v>
      </c>
      <c r="H268" s="38">
        <f>IF([2]AA!G355&lt;&gt;"",[2]AA!G355,"")</f>
        <v>3500</v>
      </c>
      <c r="I268" s="38">
        <f>IF([2]AA!H355&lt;&gt;"",[2]AA!H355,"")</f>
        <v>346399</v>
      </c>
      <c r="J268" s="58">
        <f t="shared" si="20"/>
        <v>1.0002886547260781E-2</v>
      </c>
      <c r="K268" t="str">
        <f t="shared" si="21"/>
        <v>2659573</v>
      </c>
      <c r="L268" t="str">
        <f t="shared" si="22"/>
        <v>PY-SinExpTec</v>
      </c>
    </row>
    <row r="269" spans="1:12" ht="54" x14ac:dyDescent="0.2">
      <c r="A269" s="37"/>
      <c r="B269" s="37">
        <v>405</v>
      </c>
      <c r="C269" s="37" t="s">
        <v>416</v>
      </c>
      <c r="D269" s="39" t="s">
        <v>844</v>
      </c>
      <c r="E269" s="38">
        <f>IF([2]AA!D356&lt;&gt;"",[2]AA!D356,"")</f>
        <v>158527</v>
      </c>
      <c r="F269" s="38">
        <f>IF([2]AA!E356&lt;&gt;"",[2]AA!E356,"")</f>
        <v>137504</v>
      </c>
      <c r="G269" s="38">
        <f>IF([2]AA!F356&lt;&gt;"",[2]AA!F356,"")</f>
        <v>21023</v>
      </c>
      <c r="H269" s="38">
        <f>IF([2]AA!G356&lt;&gt;"",[2]AA!G356,"")</f>
        <v>39500</v>
      </c>
      <c r="I269" s="38">
        <f>IF([2]AA!H356&lt;&gt;"",[2]AA!H356,"")</f>
        <v>119027</v>
      </c>
      <c r="J269" s="58">
        <f t="shared" si="20"/>
        <v>0.24916891128955951</v>
      </c>
      <c r="K269" t="str">
        <f t="shared" si="21"/>
        <v>2673614</v>
      </c>
      <c r="L269" t="str">
        <f t="shared" si="22"/>
        <v>PY-SinExpTec</v>
      </c>
    </row>
    <row r="270" spans="1:12" ht="45" x14ac:dyDescent="0.2">
      <c r="A270" s="37"/>
      <c r="B270" s="37">
        <v>406</v>
      </c>
      <c r="C270" s="37" t="s">
        <v>416</v>
      </c>
      <c r="D270" s="39" t="s">
        <v>845</v>
      </c>
      <c r="E270" s="38">
        <f>IF([2]AA!D357&lt;&gt;"",[2]AA!D357,"")</f>
        <v>158640</v>
      </c>
      <c r="F270" s="38">
        <f>IF([2]AA!E357&lt;&gt;"",[2]AA!E357,"")</f>
        <v>82875</v>
      </c>
      <c r="G270" s="38">
        <f>IF([2]AA!F357&lt;&gt;"",[2]AA!F357,"")</f>
        <v>75765</v>
      </c>
      <c r="H270" s="38">
        <f>IF([2]AA!G357&lt;&gt;"",[2]AA!G357,"")</f>
        <v>0</v>
      </c>
      <c r="I270" s="38">
        <f>IF([2]AA!H357&lt;&gt;"",[2]AA!H357,"")</f>
        <v>158640</v>
      </c>
      <c r="J270" s="58">
        <f t="shared" si="20"/>
        <v>0</v>
      </c>
      <c r="K270" t="str">
        <f t="shared" si="21"/>
        <v>2621243</v>
      </c>
      <c r="L270" t="str">
        <f t="shared" si="22"/>
        <v>PY-SinExpTec</v>
      </c>
    </row>
    <row r="271" spans="1:12" ht="54" x14ac:dyDescent="0.2">
      <c r="A271" s="37"/>
      <c r="B271" s="37">
        <v>408</v>
      </c>
      <c r="C271" s="37" t="s">
        <v>416</v>
      </c>
      <c r="D271" s="39" t="s">
        <v>846</v>
      </c>
      <c r="E271" s="38">
        <f>IF([2]AA!D358&lt;&gt;"",[2]AA!D358,"")</f>
        <v>159041</v>
      </c>
      <c r="F271" s="38">
        <f>IF([2]AA!E358&lt;&gt;"",[2]AA!E358,"")</f>
        <v>139000</v>
      </c>
      <c r="G271" s="38">
        <f>IF([2]AA!F358&lt;&gt;"",[2]AA!F358,"")</f>
        <v>20041</v>
      </c>
      <c r="H271" s="38">
        <f>IF([2]AA!G358&lt;&gt;"",[2]AA!G358,"")</f>
        <v>0</v>
      </c>
      <c r="I271" s="38">
        <f>IF([2]AA!H358&lt;&gt;"",[2]AA!H358,"")</f>
        <v>159041</v>
      </c>
      <c r="J271" s="58">
        <f t="shared" si="20"/>
        <v>0</v>
      </c>
    </row>
    <row r="272" spans="1:12" ht="45" x14ac:dyDescent="0.2">
      <c r="A272" s="37"/>
      <c r="B272" s="37">
        <v>410</v>
      </c>
      <c r="C272" s="37" t="s">
        <v>416</v>
      </c>
      <c r="D272" s="39" t="s">
        <v>847</v>
      </c>
      <c r="E272" s="38">
        <f>IF([2]AA!D360&lt;&gt;"",[2]AA!D360,"")</f>
        <v>350000</v>
      </c>
      <c r="F272" s="38">
        <f>IF([2]AA!E360&lt;&gt;"",[2]AA!E360,"")</f>
        <v>321160</v>
      </c>
      <c r="G272" s="38">
        <f>IF([2]AA!F360&lt;&gt;"",[2]AA!F360,"")</f>
        <v>28840</v>
      </c>
      <c r="H272" s="38">
        <f>IF([2]AA!G360&lt;&gt;"",[2]AA!G360,"")</f>
        <v>62360</v>
      </c>
      <c r="I272" s="38">
        <f>IF([2]AA!H360&lt;&gt;"",[2]AA!H360,"")</f>
        <v>287640</v>
      </c>
      <c r="J272" s="58">
        <f t="shared" si="20"/>
        <v>0.17817142857142856</v>
      </c>
    </row>
    <row r="273" spans="1:10" ht="45" x14ac:dyDescent="0.2">
      <c r="A273" s="37"/>
      <c r="B273" s="37">
        <v>413</v>
      </c>
      <c r="C273" s="37" t="s">
        <v>416</v>
      </c>
      <c r="D273" s="39" t="s">
        <v>849</v>
      </c>
      <c r="E273" s="38">
        <f>IF([2]AA!D363&lt;&gt;"",[2]AA!D363,"")</f>
        <v>346711</v>
      </c>
      <c r="F273" s="38">
        <f>IF([2]AA!E363&lt;&gt;"",[2]AA!E363,"")</f>
        <v>312200</v>
      </c>
      <c r="G273" s="38">
        <f>IF([2]AA!F363&lt;&gt;"",[2]AA!F363,"")</f>
        <v>34511</v>
      </c>
      <c r="H273" s="38">
        <f>IF([2]AA!G363&lt;&gt;"",[2]AA!G363,"")</f>
        <v>40200</v>
      </c>
      <c r="I273" s="38">
        <f>IF([2]AA!H363&lt;&gt;"",[2]AA!H363,"")</f>
        <v>306511</v>
      </c>
      <c r="J273" s="58">
        <f t="shared" si="20"/>
        <v>0.11594671066104047</v>
      </c>
    </row>
    <row r="274" spans="1:10" ht="45" x14ac:dyDescent="0.2">
      <c r="A274" s="37"/>
      <c r="B274" s="37">
        <v>414</v>
      </c>
      <c r="C274" s="37" t="s">
        <v>416</v>
      </c>
      <c r="D274" s="39" t="s">
        <v>850</v>
      </c>
      <c r="E274" s="38">
        <f>IF([2]AA!D364&lt;&gt;"",[2]AA!D364,"")</f>
        <v>159830</v>
      </c>
      <c r="F274" s="38">
        <f>IF([2]AA!E364&lt;&gt;"",[2]AA!E364,"")</f>
        <v>97085</v>
      </c>
      <c r="G274" s="38">
        <f>IF([2]AA!F364&lt;&gt;"",[2]AA!F364,"")</f>
        <v>62745</v>
      </c>
      <c r="H274" s="38">
        <f>IF([2]AA!G364&lt;&gt;"",[2]AA!G364,"")</f>
        <v>31742.5</v>
      </c>
      <c r="I274" s="38">
        <f>IF([2]AA!H364&lt;&gt;"",[2]AA!H364,"")</f>
        <v>128087.5</v>
      </c>
      <c r="J274" s="58">
        <f t="shared" si="20"/>
        <v>0.1986016392416943</v>
      </c>
    </row>
    <row r="275" spans="1:10" ht="45" x14ac:dyDescent="0.2">
      <c r="A275" s="37"/>
      <c r="B275" s="37">
        <v>415</v>
      </c>
      <c r="C275" s="37" t="s">
        <v>416</v>
      </c>
      <c r="D275" s="39" t="s">
        <v>851</v>
      </c>
      <c r="E275" s="38">
        <f>IF([2]AA!D365&lt;&gt;"",[2]AA!D365,"")</f>
        <v>160000</v>
      </c>
      <c r="F275" s="38">
        <f>IF([2]AA!E365&lt;&gt;"",[2]AA!E365,"")</f>
        <v>0</v>
      </c>
      <c r="G275" s="38">
        <f>IF([2]AA!F365&lt;&gt;"",[2]AA!F365,"")</f>
        <v>160000</v>
      </c>
      <c r="H275" s="38">
        <f>IF([2]AA!G365&lt;&gt;"",[2]AA!G365,"")</f>
        <v>0</v>
      </c>
      <c r="I275" s="38">
        <f>IF([2]AA!H365&lt;&gt;"",[2]AA!H365,"")</f>
        <v>160000</v>
      </c>
      <c r="J275" s="58">
        <f t="shared" si="20"/>
        <v>0</v>
      </c>
    </row>
    <row r="276" spans="1:10" ht="36" x14ac:dyDescent="0.2">
      <c r="A276" s="37"/>
      <c r="B276" s="37">
        <v>416</v>
      </c>
      <c r="C276" s="37" t="s">
        <v>416</v>
      </c>
      <c r="D276" s="39" t="s">
        <v>852</v>
      </c>
      <c r="E276" s="38">
        <f>IF([2]AA!D366&lt;&gt;"",[2]AA!D366,"")</f>
        <v>349950</v>
      </c>
      <c r="F276" s="38">
        <f>IF([2]AA!E366&lt;&gt;"",[2]AA!E366,"")</f>
        <v>189470</v>
      </c>
      <c r="G276" s="38">
        <f>IF([2]AA!F366&lt;&gt;"",[2]AA!F366,"")</f>
        <v>160480</v>
      </c>
      <c r="H276" s="38">
        <f>IF([2]AA!G366&lt;&gt;"",[2]AA!G366,"")</f>
        <v>93470</v>
      </c>
      <c r="I276" s="38">
        <f>IF([2]AA!H366&lt;&gt;"",[2]AA!H366,"")</f>
        <v>256480</v>
      </c>
      <c r="J276" s="58">
        <f t="shared" si="20"/>
        <v>0.26709529932847548</v>
      </c>
    </row>
    <row r="277" spans="1:10" ht="36" x14ac:dyDescent="0.2">
      <c r="A277" s="37"/>
      <c r="B277" s="37">
        <v>417</v>
      </c>
      <c r="C277" s="37" t="s">
        <v>416</v>
      </c>
      <c r="D277" s="39" t="s">
        <v>853</v>
      </c>
      <c r="E277" s="38">
        <f>IF([2]AA!D367&lt;&gt;"",[2]AA!D367,"")</f>
        <v>160000</v>
      </c>
      <c r="F277" s="38">
        <f>IF([2]AA!E367&lt;&gt;"",[2]AA!E367,"")</f>
        <v>75350</v>
      </c>
      <c r="G277" s="38">
        <f>IF([2]AA!F367&lt;&gt;"",[2]AA!F367,"")</f>
        <v>84650</v>
      </c>
      <c r="H277" s="38">
        <f>IF([2]AA!G367&lt;&gt;"",[2]AA!G367,"")</f>
        <v>25920</v>
      </c>
      <c r="I277" s="38">
        <f>IF([2]AA!H367&lt;&gt;"",[2]AA!H367,"")</f>
        <v>134080</v>
      </c>
      <c r="J277" s="58">
        <f t="shared" si="20"/>
        <v>0.16200000000000001</v>
      </c>
    </row>
    <row r="278" spans="1:10" ht="36" x14ac:dyDescent="0.2">
      <c r="A278" s="37"/>
      <c r="B278" s="37">
        <v>428</v>
      </c>
      <c r="C278" s="37" t="s">
        <v>416</v>
      </c>
      <c r="D278" s="39" t="s">
        <v>868</v>
      </c>
      <c r="E278" s="38">
        <f>IF([2]AA!D379&lt;&gt;"",[2]AA!D379,"")</f>
        <v>80738</v>
      </c>
      <c r="F278" s="38">
        <f>IF([2]AA!E379&lt;&gt;"",[2]AA!E379,"")</f>
        <v>0</v>
      </c>
      <c r="G278" s="38">
        <f>IF([2]AA!F379&lt;&gt;"",[2]AA!F379,"")</f>
        <v>80738</v>
      </c>
      <c r="H278" s="38">
        <f>IF([2]AA!G379&lt;&gt;"",[2]AA!G379,"")</f>
        <v>0</v>
      </c>
      <c r="I278" s="38">
        <f>IF([2]AA!H379&lt;&gt;"",[2]AA!H379,"")</f>
        <v>80738</v>
      </c>
      <c r="J278" s="58">
        <f t="shared" si="20"/>
        <v>0</v>
      </c>
    </row>
    <row r="279" spans="1:10" ht="45" x14ac:dyDescent="0.2">
      <c r="A279" s="37"/>
      <c r="B279" s="37">
        <v>429</v>
      </c>
      <c r="C279" s="37" t="s">
        <v>416</v>
      </c>
      <c r="D279" s="39" t="s">
        <v>869</v>
      </c>
      <c r="E279" s="38">
        <f>IF([2]AA!D380&lt;&gt;"",[2]AA!D380,"")</f>
        <v>4265759</v>
      </c>
      <c r="F279" s="38">
        <f>IF([2]AA!E380&lt;&gt;"",[2]AA!E380,"")</f>
        <v>2900834.3899999997</v>
      </c>
      <c r="G279" s="38">
        <f>IF([2]AA!F380&lt;&gt;"",[2]AA!F380,"")</f>
        <v>1364924.6099999999</v>
      </c>
      <c r="H279" s="38">
        <f>IF([2]AA!G380&lt;&gt;"",[2]AA!G380,"")</f>
        <v>895927.55999999994</v>
      </c>
      <c r="I279" s="38">
        <f>IF([2]AA!H380&lt;&gt;"",[2]AA!H380,"")</f>
        <v>3369831.44</v>
      </c>
      <c r="J279" s="58">
        <f t="shared" si="20"/>
        <v>0.21002770198691487</v>
      </c>
    </row>
    <row r="280" spans="1:10" ht="75.75" customHeight="1" x14ac:dyDescent="0.2">
      <c r="A280" s="37"/>
      <c r="B280" s="37">
        <v>433</v>
      </c>
      <c r="C280" s="37" t="s">
        <v>416</v>
      </c>
      <c r="D280" s="39" t="s">
        <v>872</v>
      </c>
      <c r="E280" s="38">
        <f>IF([2]AA!D384&lt;&gt;"",[2]AA!D384,"")</f>
        <v>4437995</v>
      </c>
      <c r="F280" s="38">
        <f>IF([2]AA!E384&lt;&gt;"",[2]AA!E384,"")</f>
        <v>2739092.42</v>
      </c>
      <c r="G280" s="38">
        <f>IF([2]AA!F384&lt;&gt;"",[2]AA!F384,"")</f>
        <v>1698902.58</v>
      </c>
      <c r="H280" s="38">
        <f>IF([2]AA!G384&lt;&gt;"",[2]AA!G384,"")</f>
        <v>936112.25</v>
      </c>
      <c r="I280" s="38">
        <f>IF([2]AA!H384&lt;&gt;"",[2]AA!H384,"")</f>
        <v>3501882.75</v>
      </c>
      <c r="J280" s="58">
        <f t="shared" si="20"/>
        <v>0.210931343996557</v>
      </c>
    </row>
    <row r="281" spans="1:10" ht="45" x14ac:dyDescent="0.2">
      <c r="A281" s="37"/>
      <c r="B281" s="37">
        <v>434</v>
      </c>
      <c r="C281" s="37" t="s">
        <v>416</v>
      </c>
      <c r="D281" s="39" t="s">
        <v>873</v>
      </c>
      <c r="E281" s="38">
        <f>IF([2]AA!D387&lt;&gt;"",[2]AA!D387,"")</f>
        <v>1827737</v>
      </c>
      <c r="F281" s="38">
        <f>IF([2]AA!E387&lt;&gt;"",[2]AA!E387,"")</f>
        <v>0</v>
      </c>
      <c r="G281" s="38">
        <f>IF([2]AA!F387&lt;&gt;"",[2]AA!F387,"")</f>
        <v>1827737</v>
      </c>
      <c r="H281" s="38">
        <f>IF([2]AA!G387&lt;&gt;"",[2]AA!G387,"")</f>
        <v>0</v>
      </c>
      <c r="I281" s="38">
        <f>IF([2]AA!H387&lt;&gt;"",[2]AA!H387,"")</f>
        <v>1827737</v>
      </c>
      <c r="J281" s="58">
        <f t="shared" si="20"/>
        <v>0</v>
      </c>
    </row>
    <row r="282" spans="1:10" ht="72" x14ac:dyDescent="0.2">
      <c r="A282" s="37"/>
      <c r="B282" s="37">
        <v>436</v>
      </c>
      <c r="C282" s="37" t="s">
        <v>416</v>
      </c>
      <c r="D282" s="39" t="s">
        <v>874</v>
      </c>
      <c r="E282" s="38">
        <f>IF([2]AA!D390&lt;&gt;"",[2]AA!D390,"")</f>
        <v>11000</v>
      </c>
      <c r="F282" s="38">
        <f>IF([2]AA!E390&lt;&gt;"",[2]AA!E390,"")</f>
        <v>11000</v>
      </c>
      <c r="G282" s="38">
        <f>IF([2]AA!F390&lt;&gt;"",[2]AA!F390,"")</f>
        <v>0</v>
      </c>
      <c r="H282" s="38">
        <f>IF([2]AA!G390&lt;&gt;"",[2]AA!G390,"")</f>
        <v>0</v>
      </c>
      <c r="I282" s="38">
        <f>IF([2]AA!H390&lt;&gt;"",[2]AA!H390,"")</f>
        <v>11000</v>
      </c>
      <c r="J282" s="58">
        <f t="shared" si="20"/>
        <v>0</v>
      </c>
    </row>
    <row r="283" spans="1:10" ht="54" x14ac:dyDescent="0.2">
      <c r="A283" s="37"/>
      <c r="B283" s="37">
        <v>437</v>
      </c>
      <c r="C283" s="37" t="s">
        <v>416</v>
      </c>
      <c r="D283" s="39" t="s">
        <v>875</v>
      </c>
      <c r="E283" s="38">
        <f>IF([2]AA!D391&lt;&gt;"",[2]AA!D391,"")</f>
        <v>11000</v>
      </c>
      <c r="F283" s="38">
        <f>IF([2]AA!E391&lt;&gt;"",[2]AA!E391,"")</f>
        <v>11000</v>
      </c>
      <c r="G283" s="38">
        <f>IF([2]AA!F391&lt;&gt;"",[2]AA!F391,"")</f>
        <v>0</v>
      </c>
      <c r="H283" s="38">
        <f>IF([2]AA!G391&lt;&gt;"",[2]AA!G391,"")</f>
        <v>0</v>
      </c>
      <c r="I283" s="38">
        <f>IF([2]AA!H391&lt;&gt;"",[2]AA!H391,"")</f>
        <v>11000</v>
      </c>
      <c r="J283" s="58">
        <f t="shared" si="20"/>
        <v>0</v>
      </c>
    </row>
    <row r="284" spans="1:10" ht="63" x14ac:dyDescent="0.2">
      <c r="A284" s="37"/>
      <c r="B284" s="37">
        <v>438</v>
      </c>
      <c r="C284" s="37" t="s">
        <v>416</v>
      </c>
      <c r="D284" s="39" t="s">
        <v>876</v>
      </c>
      <c r="E284" s="38">
        <f>IF([2]AA!D392&lt;&gt;"",[2]AA!D392,"")</f>
        <v>160000</v>
      </c>
      <c r="F284" s="38">
        <f>IF([2]AA!E392&lt;&gt;"",[2]AA!E392,"")</f>
        <v>41950</v>
      </c>
      <c r="G284" s="38">
        <f>IF([2]AA!F392&lt;&gt;"",[2]AA!F392,"")</f>
        <v>118050</v>
      </c>
      <c r="H284" s="38">
        <f>IF([2]AA!G392&lt;&gt;"",[2]AA!G392,"")</f>
        <v>0</v>
      </c>
      <c r="I284" s="38">
        <f>IF([2]AA!H392&lt;&gt;"",[2]AA!H392,"")</f>
        <v>160000</v>
      </c>
      <c r="J284" s="58">
        <f t="shared" si="20"/>
        <v>0</v>
      </c>
    </row>
    <row r="285" spans="1:10" ht="54" x14ac:dyDescent="0.2">
      <c r="A285" s="37"/>
      <c r="B285" s="37">
        <v>439</v>
      </c>
      <c r="C285" s="37" t="s">
        <v>416</v>
      </c>
      <c r="D285" s="39" t="s">
        <v>877</v>
      </c>
      <c r="E285" s="38">
        <f>IF([2]AA!D393&lt;&gt;"",[2]AA!D393,"")</f>
        <v>349668</v>
      </c>
      <c r="F285" s="38">
        <f>IF([2]AA!E393&lt;&gt;"",[2]AA!E393,"")</f>
        <v>20700</v>
      </c>
      <c r="G285" s="38">
        <f>IF([2]AA!F393&lt;&gt;"",[2]AA!F393,"")</f>
        <v>328968</v>
      </c>
      <c r="H285" s="38">
        <f>IF([2]AA!G393&lt;&gt;"",[2]AA!G393,"")</f>
        <v>0</v>
      </c>
      <c r="I285" s="38">
        <f>IF([2]AA!H393&lt;&gt;"",[2]AA!H393,"")</f>
        <v>349668</v>
      </c>
      <c r="J285" s="58">
        <f t="shared" si="20"/>
        <v>0</v>
      </c>
    </row>
    <row r="286" spans="1:10" ht="63" x14ac:dyDescent="0.2">
      <c r="A286" s="37"/>
      <c r="B286" s="37">
        <v>440</v>
      </c>
      <c r="C286" s="37" t="s">
        <v>416</v>
      </c>
      <c r="D286" s="39" t="s">
        <v>878</v>
      </c>
      <c r="E286" s="38">
        <f>IF([2]AA!D394&lt;&gt;"",[2]AA!D394,"")</f>
        <v>159560</v>
      </c>
      <c r="F286" s="38">
        <f>IF([2]AA!E394&lt;&gt;"",[2]AA!E394,"")</f>
        <v>0</v>
      </c>
      <c r="G286" s="38">
        <f>IF([2]AA!F394&lt;&gt;"",[2]AA!F394,"")</f>
        <v>159560</v>
      </c>
      <c r="H286" s="38">
        <f>IF([2]AA!G394&lt;&gt;"",[2]AA!G394,"")</f>
        <v>0</v>
      </c>
      <c r="I286" s="38">
        <f>IF([2]AA!H394&lt;&gt;"",[2]AA!H394,"")</f>
        <v>159560</v>
      </c>
      <c r="J286" s="58">
        <f t="shared" si="20"/>
        <v>0</v>
      </c>
    </row>
    <row r="287" spans="1:10" ht="81" x14ac:dyDescent="0.2">
      <c r="A287" s="37"/>
      <c r="B287" s="37">
        <v>441</v>
      </c>
      <c r="C287" s="37" t="s">
        <v>416</v>
      </c>
      <c r="D287" s="39" t="s">
        <v>879</v>
      </c>
      <c r="E287" s="38">
        <f>IF([2]AA!D395&lt;&gt;"",[2]AA!D395,"")</f>
        <v>141150</v>
      </c>
      <c r="F287" s="38">
        <f>IF([2]AA!E395&lt;&gt;"",[2]AA!E395,"")</f>
        <v>0</v>
      </c>
      <c r="G287" s="38">
        <f>IF([2]AA!F395&lt;&gt;"",[2]AA!F395,"")</f>
        <v>141150</v>
      </c>
      <c r="H287" s="38">
        <f>IF([2]AA!G395&lt;&gt;"",[2]AA!G395,"")</f>
        <v>0</v>
      </c>
      <c r="I287" s="38">
        <f>IF([2]AA!H395&lt;&gt;"",[2]AA!H395,"")</f>
        <v>141150</v>
      </c>
      <c r="J287" s="58">
        <f t="shared" si="20"/>
        <v>0</v>
      </c>
    </row>
    <row r="288" spans="1:10" ht="54" x14ac:dyDescent="0.2">
      <c r="A288" s="37"/>
      <c r="B288" s="37">
        <v>442</v>
      </c>
      <c r="C288" s="37" t="s">
        <v>416</v>
      </c>
      <c r="D288" s="39" t="s">
        <v>880</v>
      </c>
      <c r="E288" s="38">
        <f>IF([2]AA!D396&lt;&gt;"",[2]AA!D396,"")</f>
        <v>350000</v>
      </c>
      <c r="F288" s="38">
        <f>IF([2]AA!E396&lt;&gt;"",[2]AA!E396,"")</f>
        <v>22400</v>
      </c>
      <c r="G288" s="38">
        <f>IF([2]AA!F396&lt;&gt;"",[2]AA!F396,"")</f>
        <v>327600</v>
      </c>
      <c r="H288" s="38">
        <f>IF([2]AA!G396&lt;&gt;"",[2]AA!G396,"")</f>
        <v>0</v>
      </c>
      <c r="I288" s="38">
        <f>IF([2]AA!H396&lt;&gt;"",[2]AA!H396,"")</f>
        <v>350000</v>
      </c>
      <c r="J288" s="58">
        <f t="shared" si="20"/>
        <v>0</v>
      </c>
    </row>
    <row r="289" spans="1:10" ht="81" x14ac:dyDescent="0.2">
      <c r="A289" s="37"/>
      <c r="B289" s="37">
        <v>443</v>
      </c>
      <c r="C289" s="37" t="s">
        <v>416</v>
      </c>
      <c r="D289" s="39" t="s">
        <v>881</v>
      </c>
      <c r="E289" s="38">
        <f>IF([2]AA!D397&lt;&gt;"",[2]AA!D397,"")</f>
        <v>159978</v>
      </c>
      <c r="F289" s="38">
        <f>IF([2]AA!E397&lt;&gt;"",[2]AA!E397,"")</f>
        <v>132250</v>
      </c>
      <c r="G289" s="38">
        <f>IF([2]AA!F397&lt;&gt;"",[2]AA!F397,"")</f>
        <v>27728</v>
      </c>
      <c r="H289" s="38">
        <f>IF([2]AA!G397&lt;&gt;"",[2]AA!G397,"")</f>
        <v>0</v>
      </c>
      <c r="I289" s="38">
        <f>IF([2]AA!H397&lt;&gt;"",[2]AA!H397,"")</f>
        <v>159978</v>
      </c>
      <c r="J289" s="58">
        <f t="shared" si="20"/>
        <v>0</v>
      </c>
    </row>
    <row r="290" spans="1:10" ht="45" x14ac:dyDescent="0.2">
      <c r="A290" s="37"/>
      <c r="B290" s="37">
        <v>444</v>
      </c>
      <c r="C290" s="37" t="s">
        <v>416</v>
      </c>
      <c r="D290" s="39" t="s">
        <v>882</v>
      </c>
      <c r="E290" s="38">
        <f>IF([2]AA!D398&lt;&gt;"",[2]AA!D398,"")</f>
        <v>442669</v>
      </c>
      <c r="F290" s="38">
        <f>IF([2]AA!E398&lt;&gt;"",[2]AA!E398,"")</f>
        <v>442669</v>
      </c>
      <c r="G290" s="38">
        <f>IF([2]AA!F398&lt;&gt;"",[2]AA!F398,"")</f>
        <v>0</v>
      </c>
      <c r="H290" s="38">
        <f>IF([2]AA!G398&lt;&gt;"",[2]AA!G398,"")</f>
        <v>119014.34</v>
      </c>
      <c r="I290" s="38">
        <f>IF([2]AA!H398&lt;&gt;"",[2]AA!H398,"")</f>
        <v>323654.66000000003</v>
      </c>
      <c r="J290" s="58">
        <f t="shared" si="20"/>
        <v>0.26885627861901329</v>
      </c>
    </row>
    <row r="291" spans="1:10" ht="81" x14ac:dyDescent="0.2">
      <c r="A291" s="37"/>
      <c r="B291" s="37">
        <v>445</v>
      </c>
      <c r="C291" s="37" t="s">
        <v>416</v>
      </c>
      <c r="D291" s="39" t="s">
        <v>883</v>
      </c>
      <c r="E291" s="38">
        <f>IF([2]AA!D399&lt;&gt;"",[2]AA!D399,"")</f>
        <v>677644</v>
      </c>
      <c r="F291" s="38">
        <f>IF([2]AA!E399&lt;&gt;"",[2]AA!E399,"")</f>
        <v>277926.16000000003</v>
      </c>
      <c r="G291" s="38">
        <f>IF([2]AA!F399&lt;&gt;"",[2]AA!F399,"")</f>
        <v>399717.83999999997</v>
      </c>
      <c r="H291" s="38">
        <f>IF([2]AA!G399&lt;&gt;"",[2]AA!G399,"")</f>
        <v>40110</v>
      </c>
      <c r="I291" s="38">
        <f>IF([2]AA!H399&lt;&gt;"",[2]AA!H399,"")</f>
        <v>637534</v>
      </c>
      <c r="J291" s="58">
        <f t="shared" si="20"/>
        <v>5.9190371345426214E-2</v>
      </c>
    </row>
    <row r="292" spans="1:10" ht="36" x14ac:dyDescent="0.2">
      <c r="A292" s="37"/>
      <c r="B292" s="37">
        <v>446</v>
      </c>
      <c r="C292" s="37" t="s">
        <v>416</v>
      </c>
      <c r="D292" s="39" t="s">
        <v>884</v>
      </c>
      <c r="E292" s="38">
        <f>IF([2]AA!D400&lt;&gt;"",[2]AA!D400,"")</f>
        <v>84425</v>
      </c>
      <c r="F292" s="38">
        <f>IF([2]AA!E400&lt;&gt;"",[2]AA!E400,"")</f>
        <v>79219.88</v>
      </c>
      <c r="G292" s="38">
        <f>IF([2]AA!F400&lt;&gt;"",[2]AA!F400,"")</f>
        <v>5205.1199999999953</v>
      </c>
      <c r="H292" s="38">
        <f>IF([2]AA!G400&lt;&gt;"",[2]AA!G400,"")</f>
        <v>79219.88</v>
      </c>
      <c r="I292" s="38">
        <f>IF([2]AA!H400&lt;&gt;"",[2]AA!H400,"")</f>
        <v>5205.1199999999953</v>
      </c>
      <c r="J292" s="58">
        <f t="shared" si="20"/>
        <v>0.9383462244595796</v>
      </c>
    </row>
    <row r="293" spans="1:10" ht="36" x14ac:dyDescent="0.2">
      <c r="A293" s="37"/>
      <c r="B293" s="37">
        <v>447</v>
      </c>
      <c r="C293" s="37" t="s">
        <v>416</v>
      </c>
      <c r="D293" s="39" t="s">
        <v>885</v>
      </c>
      <c r="E293" s="38">
        <f>IF([2]AA!D401&lt;&gt;"",[2]AA!D401,"")</f>
        <v>13758</v>
      </c>
      <c r="F293" s="38">
        <f>IF([2]AA!E401&lt;&gt;"",[2]AA!E401,"")</f>
        <v>13758</v>
      </c>
      <c r="G293" s="38">
        <f>IF([2]AA!F401&lt;&gt;"",[2]AA!F401,"")</f>
        <v>0</v>
      </c>
      <c r="H293" s="38">
        <f>IF([2]AA!G401&lt;&gt;"",[2]AA!G401,"")</f>
        <v>13212.64</v>
      </c>
      <c r="I293" s="38">
        <f>IF([2]AA!H401&lt;&gt;"",[2]AA!H401,"")</f>
        <v>545.36000000000058</v>
      </c>
      <c r="J293" s="58">
        <f t="shared" si="20"/>
        <v>0.96036051751708096</v>
      </c>
    </row>
    <row r="294" spans="1:10" ht="45" x14ac:dyDescent="0.2">
      <c r="A294" s="37"/>
      <c r="B294" s="37">
        <v>449</v>
      </c>
      <c r="C294" s="37" t="s">
        <v>416</v>
      </c>
      <c r="D294" s="39" t="s">
        <v>886</v>
      </c>
      <c r="E294" s="38">
        <f>IF([2]AA!D404&lt;&gt;"",[2]AA!D404,"")</f>
        <v>44000</v>
      </c>
      <c r="F294" s="38">
        <f>IF([2]AA!E404&lt;&gt;"",[2]AA!E404,"")</f>
        <v>43500</v>
      </c>
      <c r="G294" s="38">
        <f>IF([2]AA!F404&lt;&gt;"",[2]AA!F404,"")</f>
        <v>500</v>
      </c>
      <c r="H294" s="38">
        <f>IF([2]AA!G404&lt;&gt;"",[2]AA!G404,"")</f>
        <v>0</v>
      </c>
      <c r="I294" s="38">
        <f>IF([2]AA!H404&lt;&gt;"",[2]AA!H404,"")</f>
        <v>44000</v>
      </c>
      <c r="J294" s="58">
        <f t="shared" si="20"/>
        <v>0</v>
      </c>
    </row>
    <row r="295" spans="1:10" ht="72" x14ac:dyDescent="0.2">
      <c r="A295" s="37"/>
      <c r="B295" s="37">
        <v>452</v>
      </c>
      <c r="C295" s="37" t="s">
        <v>416</v>
      </c>
      <c r="D295" s="39" t="s">
        <v>888</v>
      </c>
      <c r="E295" s="38">
        <f>IF([2]AA!D406&lt;&gt;"",[2]AA!D406,"")</f>
        <v>28700</v>
      </c>
      <c r="F295" s="38">
        <f>IF([2]AA!E406&lt;&gt;"",[2]AA!E406,"")</f>
        <v>0</v>
      </c>
      <c r="G295" s="38">
        <f>IF([2]AA!F406&lt;&gt;"",[2]AA!F406,"")</f>
        <v>28700</v>
      </c>
      <c r="H295" s="38">
        <f>IF([2]AA!G406&lt;&gt;"",[2]AA!G406,"")</f>
        <v>0</v>
      </c>
      <c r="I295" s="38">
        <f>IF([2]AA!H406&lt;&gt;"",[2]AA!H406,"")</f>
        <v>28700</v>
      </c>
      <c r="J295" s="58">
        <f t="shared" si="20"/>
        <v>0</v>
      </c>
    </row>
    <row r="296" spans="1:10" ht="54" x14ac:dyDescent="0.2">
      <c r="A296" s="37"/>
      <c r="B296" s="37">
        <v>456</v>
      </c>
      <c r="C296" s="37" t="s">
        <v>416</v>
      </c>
      <c r="D296" s="39" t="s">
        <v>891</v>
      </c>
      <c r="E296" s="38">
        <f>IF([2]AA!D409&lt;&gt;"",[2]AA!D409,"")</f>
        <v>170000</v>
      </c>
      <c r="F296" s="38">
        <f>IF([2]AA!E409&lt;&gt;"",[2]AA!E409,"")</f>
        <v>19100</v>
      </c>
      <c r="G296" s="38">
        <f>IF([2]AA!F409&lt;&gt;"",[2]AA!F409,"")</f>
        <v>150900</v>
      </c>
      <c r="H296" s="38">
        <f>IF([2]AA!G409&lt;&gt;"",[2]AA!G409,"")</f>
        <v>19100</v>
      </c>
      <c r="I296" s="38">
        <f>IF([2]AA!H409&lt;&gt;"",[2]AA!H409,"")</f>
        <v>150900</v>
      </c>
      <c r="J296" s="58">
        <f t="shared" si="20"/>
        <v>0.11235294117647059</v>
      </c>
    </row>
    <row r="297" spans="1:10" ht="45" x14ac:dyDescent="0.2">
      <c r="A297" s="37"/>
      <c r="B297" s="37">
        <v>461</v>
      </c>
      <c r="C297" s="37" t="s">
        <v>416</v>
      </c>
      <c r="D297" s="39" t="s">
        <v>896</v>
      </c>
      <c r="E297" s="38">
        <f>IF([2]AA!D414&lt;&gt;"",[2]AA!D414,"")</f>
        <v>39485</v>
      </c>
      <c r="F297" s="38">
        <f>IF([2]AA!E414&lt;&gt;"",[2]AA!E414,"")</f>
        <v>0</v>
      </c>
      <c r="G297" s="38">
        <f>IF([2]AA!F414&lt;&gt;"",[2]AA!F414,"")</f>
        <v>39485</v>
      </c>
      <c r="H297" s="38">
        <f>IF([2]AA!G414&lt;&gt;"",[2]AA!G414,"")</f>
        <v>0</v>
      </c>
      <c r="I297" s="38">
        <f>IF([2]AA!H414&lt;&gt;"",[2]AA!H414,"")</f>
        <v>39485</v>
      </c>
      <c r="J297" s="58">
        <f t="shared" si="20"/>
        <v>0</v>
      </c>
    </row>
    <row r="298" spans="1:10" ht="72" x14ac:dyDescent="0.2">
      <c r="A298" s="37"/>
      <c r="B298" s="37">
        <v>462</v>
      </c>
      <c r="C298" s="37" t="s">
        <v>416</v>
      </c>
      <c r="D298" s="39" t="s">
        <v>897</v>
      </c>
      <c r="E298" s="38">
        <f>IF([2]AA!D415&lt;&gt;"",[2]AA!D415,"")</f>
        <v>20166</v>
      </c>
      <c r="F298" s="38">
        <f>IF([2]AA!E415&lt;&gt;"",[2]AA!E415,"")</f>
        <v>19362</v>
      </c>
      <c r="G298" s="38">
        <f>IF([2]AA!F415&lt;&gt;"",[2]AA!F415,"")</f>
        <v>804</v>
      </c>
      <c r="H298" s="38">
        <f>IF([2]AA!G415&lt;&gt;"",[2]AA!G415,"")</f>
        <v>7211.37</v>
      </c>
      <c r="I298" s="38">
        <f>IF([2]AA!H415&lt;&gt;"",[2]AA!H415,"")</f>
        <v>12954.630000000001</v>
      </c>
      <c r="J298" s="58">
        <f t="shared" si="20"/>
        <v>0.35760041654269564</v>
      </c>
    </row>
    <row r="299" spans="1:10" ht="72" x14ac:dyDescent="0.2">
      <c r="A299" s="37"/>
      <c r="B299" s="37">
        <v>463</v>
      </c>
      <c r="C299" s="37" t="s">
        <v>416</v>
      </c>
      <c r="D299" s="39" t="s">
        <v>898</v>
      </c>
      <c r="E299" s="38">
        <f>IF([2]AA!D416&lt;&gt;"",[2]AA!D416,"")</f>
        <v>287709</v>
      </c>
      <c r="F299" s="38">
        <f>IF([2]AA!E416&lt;&gt;"",[2]AA!E416,"")</f>
        <v>0</v>
      </c>
      <c r="G299" s="38">
        <f>IF([2]AA!F416&lt;&gt;"",[2]AA!F416,"")</f>
        <v>287709</v>
      </c>
      <c r="H299" s="38">
        <f>IF([2]AA!G416&lt;&gt;"",[2]AA!G416,"")</f>
        <v>0</v>
      </c>
      <c r="I299" s="38">
        <f>IF([2]AA!H416&lt;&gt;"",[2]AA!H416,"")</f>
        <v>287709</v>
      </c>
      <c r="J299" s="58">
        <f t="shared" si="20"/>
        <v>0</v>
      </c>
    </row>
    <row r="300" spans="1:10" ht="54" x14ac:dyDescent="0.2">
      <c r="A300" s="37"/>
      <c r="B300" s="37">
        <v>467</v>
      </c>
      <c r="C300" s="37" t="s">
        <v>416</v>
      </c>
      <c r="D300" s="39" t="s">
        <v>899</v>
      </c>
      <c r="E300" s="38">
        <f>IF([2]AA!D420&lt;&gt;"",[2]AA!D420,"")</f>
        <v>1038097</v>
      </c>
      <c r="F300" s="38">
        <f>IF([2]AA!E420&lt;&gt;"",[2]AA!E420,"")</f>
        <v>0</v>
      </c>
      <c r="G300" s="38">
        <f>IF([2]AA!F420&lt;&gt;"",[2]AA!F420,"")</f>
        <v>1038097</v>
      </c>
      <c r="H300" s="38">
        <f>IF([2]AA!G420&lt;&gt;"",[2]AA!G420,"")</f>
        <v>0</v>
      </c>
      <c r="I300" s="38">
        <f>IF([2]AA!H420&lt;&gt;"",[2]AA!H420,"")</f>
        <v>1038097</v>
      </c>
      <c r="J300" s="58">
        <f t="shared" si="20"/>
        <v>0</v>
      </c>
    </row>
    <row r="301" spans="1:10" ht="72" x14ac:dyDescent="0.2">
      <c r="A301" s="37"/>
      <c r="B301" s="37">
        <v>468</v>
      </c>
      <c r="C301" s="37" t="s">
        <v>416</v>
      </c>
      <c r="D301" s="39" t="s">
        <v>900</v>
      </c>
      <c r="E301" s="38" t="str">
        <f>IF([2]AA!D421&lt;&gt;"",[2]AA!D421,"")</f>
        <v/>
      </c>
      <c r="F301" s="38" t="str">
        <f>IF([2]AA!E421&lt;&gt;"",[2]AA!E421,"")</f>
        <v/>
      </c>
      <c r="G301" s="38" t="str">
        <f>IF([2]AA!F421&lt;&gt;"",[2]AA!F421,"")</f>
        <v/>
      </c>
      <c r="H301" s="38" t="str">
        <f>IF([2]AA!G421&lt;&gt;"",[2]AA!G421,"")</f>
        <v/>
      </c>
      <c r="I301" s="38" t="str">
        <f>IF([2]AA!H421&lt;&gt;"",[2]AA!H421,"")</f>
        <v/>
      </c>
      <c r="J301" s="58" t="e">
        <f t="shared" si="20"/>
        <v>#VALUE!</v>
      </c>
    </row>
    <row r="302" spans="1:10" ht="72" x14ac:dyDescent="0.2">
      <c r="A302" s="37"/>
      <c r="B302" s="37">
        <v>469</v>
      </c>
      <c r="C302" s="37" t="s">
        <v>416</v>
      </c>
      <c r="D302" s="39" t="s">
        <v>901</v>
      </c>
      <c r="E302" s="38" t="str">
        <f>IF([2]AA!D422&lt;&gt;"",[2]AA!D422,"")</f>
        <v/>
      </c>
      <c r="F302" s="38" t="str">
        <f>IF([2]AA!E422&lt;&gt;"",[2]AA!E422,"")</f>
        <v/>
      </c>
      <c r="G302" s="38" t="str">
        <f>IF([2]AA!F422&lt;&gt;"",[2]AA!F422,"")</f>
        <v/>
      </c>
      <c r="H302" s="38" t="str">
        <f>IF([2]AA!G422&lt;&gt;"",[2]AA!G422,"")</f>
        <v/>
      </c>
      <c r="I302" s="38" t="str">
        <f>IF([2]AA!H422&lt;&gt;"",[2]AA!H422,"")</f>
        <v/>
      </c>
      <c r="J302" s="58" t="e">
        <f t="shared" si="20"/>
        <v>#VALUE!</v>
      </c>
    </row>
    <row r="303" spans="1:10" ht="45" x14ac:dyDescent="0.2">
      <c r="A303" s="37"/>
      <c r="B303" s="37">
        <v>471</v>
      </c>
      <c r="C303" s="37" t="s">
        <v>416</v>
      </c>
      <c r="D303" s="39" t="s">
        <v>906</v>
      </c>
      <c r="E303" s="38" t="str">
        <f>IF([2]AA!D424&lt;&gt;"",[2]AA!D424,"")</f>
        <v/>
      </c>
      <c r="F303" s="38" t="str">
        <f>IF([2]AA!E424&lt;&gt;"",[2]AA!E424,"")</f>
        <v/>
      </c>
      <c r="G303" s="38" t="str">
        <f>IF([2]AA!F424&lt;&gt;"",[2]AA!F424,"")</f>
        <v/>
      </c>
      <c r="H303" s="38" t="str">
        <f>IF([2]AA!G424&lt;&gt;"",[2]AA!G424,"")</f>
        <v/>
      </c>
      <c r="I303" s="38" t="str">
        <f>IF([2]AA!H424&lt;&gt;"",[2]AA!H424,"")</f>
        <v/>
      </c>
      <c r="J303" s="58" t="e">
        <f t="shared" si="20"/>
        <v>#VALUE!</v>
      </c>
    </row>
    <row r="304" spans="1:10" ht="72" x14ac:dyDescent="0.2">
      <c r="A304" s="37"/>
      <c r="B304" s="37">
        <v>473</v>
      </c>
      <c r="C304" s="37" t="s">
        <v>416</v>
      </c>
      <c r="D304" s="39" t="s">
        <v>908</v>
      </c>
      <c r="E304" s="38" t="str">
        <f>IF([2]AA!D426&lt;&gt;"",[2]AA!D426,"")</f>
        <v/>
      </c>
      <c r="F304" s="38" t="str">
        <f>IF([2]AA!E426&lt;&gt;"",[2]AA!E426,"")</f>
        <v/>
      </c>
      <c r="G304" s="38" t="str">
        <f>IF([2]AA!F426&lt;&gt;"",[2]AA!F426,"")</f>
        <v/>
      </c>
      <c r="H304" s="38" t="str">
        <f>IF([2]AA!G426&lt;&gt;"",[2]AA!G426,"")</f>
        <v/>
      </c>
      <c r="I304" s="38" t="str">
        <f>IF([2]AA!H426&lt;&gt;"",[2]AA!H426,"")</f>
        <v/>
      </c>
      <c r="J304" s="58" t="e">
        <f>H304/E304</f>
        <v>#VALUE!</v>
      </c>
    </row>
    <row r="305" spans="1:12" ht="36" x14ac:dyDescent="0.2">
      <c r="A305" s="37"/>
      <c r="B305" s="37">
        <v>475</v>
      </c>
      <c r="C305" s="37" t="s">
        <v>416</v>
      </c>
      <c r="D305" s="39" t="s">
        <v>909</v>
      </c>
      <c r="E305" s="38" t="str">
        <f>IF([2]AA!D427&lt;&gt;"",[2]AA!D427,"")</f>
        <v/>
      </c>
      <c r="F305" s="38" t="str">
        <f>IF([2]AA!E427&lt;&gt;"",[2]AA!E427,"")</f>
        <v/>
      </c>
      <c r="G305" s="38" t="str">
        <f>IF([2]AA!F427&lt;&gt;"",[2]AA!F427,"")</f>
        <v/>
      </c>
      <c r="H305" s="38" t="str">
        <f>IF([2]AA!G427&lt;&gt;"",[2]AA!G427,"")</f>
        <v/>
      </c>
      <c r="I305" s="38" t="str">
        <f>IF([2]AA!H427&lt;&gt;"",[2]AA!H427,"")</f>
        <v/>
      </c>
      <c r="J305" s="58" t="e">
        <f>H305/E305</f>
        <v>#VALUE!</v>
      </c>
    </row>
    <row r="306" spans="1:12" ht="36" x14ac:dyDescent="0.2">
      <c r="A306" s="37"/>
      <c r="B306" s="37">
        <v>476</v>
      </c>
      <c r="C306" s="37" t="s">
        <v>416</v>
      </c>
      <c r="D306" s="39" t="s">
        <v>910</v>
      </c>
      <c r="E306" s="38" t="str">
        <f>IF([2]AA!D428&lt;&gt;"",[2]AA!D428,"")</f>
        <v/>
      </c>
      <c r="F306" s="38" t="str">
        <f>IF([2]AA!E428&lt;&gt;"",[2]AA!E428,"")</f>
        <v/>
      </c>
      <c r="G306" s="38" t="str">
        <f>IF([2]AA!F428&lt;&gt;"",[2]AA!F428,"")</f>
        <v/>
      </c>
      <c r="H306" s="38" t="str">
        <f>IF([2]AA!G428&lt;&gt;"",[2]AA!G428,"")</f>
        <v/>
      </c>
      <c r="I306" s="38" t="str">
        <f>IF([2]AA!H428&lt;&gt;"",[2]AA!H428,"")</f>
        <v/>
      </c>
      <c r="J306" s="58" t="e">
        <f>H306/E306</f>
        <v>#VALUE!</v>
      </c>
    </row>
    <row r="307" spans="1:12" ht="54" x14ac:dyDescent="0.2">
      <c r="A307" s="37"/>
      <c r="B307" s="37">
        <v>480</v>
      </c>
      <c r="C307" s="37" t="s">
        <v>416</v>
      </c>
      <c r="D307" s="39" t="s">
        <v>911</v>
      </c>
      <c r="E307" s="38" t="str">
        <f>IF([2]AA!D429&lt;&gt;"",[2]AA!D429,"")</f>
        <v/>
      </c>
      <c r="F307" s="38" t="str">
        <f>IF([2]AA!E429&lt;&gt;"",[2]AA!E429,"")</f>
        <v/>
      </c>
      <c r="G307" s="38" t="str">
        <f>IF([2]AA!F429&lt;&gt;"",[2]AA!F429,"")</f>
        <v/>
      </c>
      <c r="H307" s="38" t="str">
        <f>IF([2]AA!G429&lt;&gt;"",[2]AA!G429,"")</f>
        <v/>
      </c>
      <c r="I307" s="38" t="str">
        <f>IF([2]AA!H429&lt;&gt;"",[2]AA!H429,"")</f>
        <v/>
      </c>
      <c r="J307" s="58" t="e">
        <f>H307/E307</f>
        <v>#VALUE!</v>
      </c>
    </row>
    <row r="308" spans="1:12" ht="36" x14ac:dyDescent="0.2">
      <c r="A308" s="37">
        <v>217</v>
      </c>
      <c r="B308" s="37" t="s">
        <v>700</v>
      </c>
      <c r="C308" s="40" t="s">
        <v>417</v>
      </c>
      <c r="D308" s="39" t="s">
        <v>224</v>
      </c>
      <c r="E308" s="38">
        <f>IF([2]AA!D10&lt;&gt;"",[2]AA!D10,"")</f>
        <v>0</v>
      </c>
      <c r="F308" s="38">
        <f>IF([2]AA!E10&lt;&gt;"",[2]AA!E10,"")</f>
        <v>0</v>
      </c>
      <c r="G308" s="38">
        <f>IF([2]AA!F10&lt;&gt;"",[2]AA!F10,"")</f>
        <v>0</v>
      </c>
      <c r="H308" s="38">
        <f>IF([2]AA!G10&lt;&gt;"",[2]AA!G10,"")</f>
        <v>0</v>
      </c>
      <c r="I308" s="38">
        <f>IF([2]AA!H10&lt;&gt;"",[2]AA!H10,"")</f>
        <v>0</v>
      </c>
      <c r="J308" s="58" t="e">
        <f t="shared" si="20"/>
        <v>#DIV/0!</v>
      </c>
      <c r="K308" t="str">
        <f t="shared" ref="K308:K339" si="23">MID(D308,1,7)</f>
        <v>2526527</v>
      </c>
      <c r="L308" t="str">
        <f t="shared" ref="L308:L339" si="24">C308</f>
        <v>DE</v>
      </c>
    </row>
    <row r="309" spans="1:12" x14ac:dyDescent="0.2">
      <c r="A309" s="37">
        <v>218</v>
      </c>
      <c r="B309" s="37" t="s">
        <v>701</v>
      </c>
      <c r="C309" s="37" t="s">
        <v>417</v>
      </c>
      <c r="D309" s="39" t="s">
        <v>222</v>
      </c>
      <c r="E309" s="38">
        <f>IF([2]AA!D123&lt;&gt;"",[2]AA!D123,"")</f>
        <v>50000</v>
      </c>
      <c r="F309" s="38">
        <f>IF([2]AA!E123&lt;&gt;"",[2]AA!E123,"")</f>
        <v>49980</v>
      </c>
      <c r="G309" s="38">
        <f>IF([2]AA!F123&lt;&gt;"",[2]AA!F123,"")</f>
        <v>20</v>
      </c>
      <c r="H309" s="38">
        <f>IF([2]AA!G123&lt;&gt;"",[2]AA!G123,"")</f>
        <v>49974.770000000004</v>
      </c>
      <c r="I309" s="38">
        <f>IF([2]AA!H123&lt;&gt;"",[2]AA!H123,"")</f>
        <v>25.229999999995925</v>
      </c>
      <c r="J309" s="58">
        <f t="shared" si="20"/>
        <v>0.99949540000000003</v>
      </c>
      <c r="K309" t="str">
        <f t="shared" si="23"/>
        <v>2016766</v>
      </c>
      <c r="L309" t="str">
        <f t="shared" si="24"/>
        <v>DE</v>
      </c>
    </row>
    <row r="310" spans="1:12" ht="63" x14ac:dyDescent="0.2">
      <c r="A310" s="37">
        <v>219</v>
      </c>
      <c r="B310" s="37" t="s">
        <v>702</v>
      </c>
      <c r="C310" s="37" t="s">
        <v>417</v>
      </c>
      <c r="D310" s="39" t="s">
        <v>532</v>
      </c>
      <c r="E310" s="38">
        <f>IF([2]AA!D211&lt;&gt;"",[2]AA!D211,"")</f>
        <v>582593</v>
      </c>
      <c r="F310" s="38">
        <f>IF([2]AA!E211&lt;&gt;"",[2]AA!E211,"")</f>
        <v>140000</v>
      </c>
      <c r="G310" s="38">
        <f>IF([2]AA!F211&lt;&gt;"",[2]AA!F211,"")</f>
        <v>442593</v>
      </c>
      <c r="H310" s="38">
        <f>IF([2]AA!G211&lt;&gt;"",[2]AA!G211,"")</f>
        <v>140000</v>
      </c>
      <c r="I310" s="38">
        <f>IF([2]AA!H211&lt;&gt;"",[2]AA!H211,"")</f>
        <v>442593</v>
      </c>
      <c r="J310" s="58">
        <f t="shared" si="20"/>
        <v>0.24030498135061698</v>
      </c>
      <c r="K310" t="str">
        <f t="shared" si="23"/>
        <v>2326588</v>
      </c>
      <c r="L310" t="str">
        <f t="shared" si="24"/>
        <v>DE</v>
      </c>
    </row>
    <row r="311" spans="1:12" ht="63" x14ac:dyDescent="0.2">
      <c r="A311" s="37">
        <v>220</v>
      </c>
      <c r="B311" s="53" t="s">
        <v>614</v>
      </c>
      <c r="C311" s="53" t="s">
        <v>417</v>
      </c>
      <c r="D311" s="54" t="s">
        <v>327</v>
      </c>
      <c r="E311" s="55">
        <f>IF([2]AA!D223&lt;&gt;"",[2]AA!D223,"")</f>
        <v>0</v>
      </c>
      <c r="F311" s="55">
        <f>IF([2]AA!E223&lt;&gt;"",[2]AA!E223,"")</f>
        <v>0</v>
      </c>
      <c r="G311" s="55">
        <f>IF([2]AA!F223&lt;&gt;"",[2]AA!F223,"")</f>
        <v>0</v>
      </c>
      <c r="H311" s="55">
        <f>IF([2]AA!G223&lt;&gt;"",[2]AA!G223,"")</f>
        <v>0</v>
      </c>
      <c r="I311" s="55">
        <f>IF([2]AA!H223&lt;&gt;"",[2]AA!H223,"")</f>
        <v>0</v>
      </c>
      <c r="J311" s="59" t="e">
        <f t="shared" si="20"/>
        <v>#DIV/0!</v>
      </c>
      <c r="K311" t="str">
        <f t="shared" si="23"/>
        <v>2612522</v>
      </c>
      <c r="L311" t="str">
        <f t="shared" si="24"/>
        <v>DE</v>
      </c>
    </row>
    <row r="312" spans="1:12" ht="72" x14ac:dyDescent="0.2">
      <c r="A312" s="37">
        <v>221</v>
      </c>
      <c r="B312" s="37" t="s">
        <v>703</v>
      </c>
      <c r="C312" s="37" t="s">
        <v>417</v>
      </c>
      <c r="D312" s="39" t="s">
        <v>328</v>
      </c>
      <c r="E312" s="38">
        <f>IF([2]AA!D224&lt;&gt;"",[2]AA!D224,"")</f>
        <v>7516000</v>
      </c>
      <c r="F312" s="38">
        <f>IF([2]AA!E224&lt;&gt;"",[2]AA!E224,"")</f>
        <v>7496556</v>
      </c>
      <c r="G312" s="38">
        <f>IF([2]AA!F224&lt;&gt;"",[2]AA!F224,"")</f>
        <v>19444</v>
      </c>
      <c r="H312" s="38">
        <f>IF([2]AA!G224&lt;&gt;"",[2]AA!G224,"")</f>
        <v>7466683.5700000003</v>
      </c>
      <c r="I312" s="38">
        <f>IF([2]AA!H224&lt;&gt;"",[2]AA!H224,"")</f>
        <v>49316.429999999993</v>
      </c>
      <c r="J312" s="58">
        <f t="shared" si="20"/>
        <v>0.99343847392229911</v>
      </c>
      <c r="K312" t="str">
        <f t="shared" si="23"/>
        <v>2612541</v>
      </c>
      <c r="L312" t="str">
        <f t="shared" si="24"/>
        <v>DE</v>
      </c>
    </row>
    <row r="313" spans="1:12" ht="54" x14ac:dyDescent="0.2">
      <c r="A313" s="37">
        <v>222</v>
      </c>
      <c r="B313" s="37">
        <v>308</v>
      </c>
      <c r="C313" s="37" t="s">
        <v>417</v>
      </c>
      <c r="D313" s="39" t="s">
        <v>748</v>
      </c>
      <c r="E313" s="38">
        <f>IF([2]AA!D237&lt;&gt;"",[2]AA!D237,"")</f>
        <v>0</v>
      </c>
      <c r="F313" s="38">
        <f>IF([2]AA!E237&lt;&gt;"",[2]AA!E237,"")</f>
        <v>0</v>
      </c>
      <c r="G313" s="38">
        <f>IF([2]AA!F237&lt;&gt;"",[2]AA!F237,"")</f>
        <v>0</v>
      </c>
      <c r="H313" s="38">
        <f>IF([2]AA!G237&lt;&gt;"",[2]AA!G237,"")</f>
        <v>0</v>
      </c>
      <c r="I313" s="38">
        <f>IF([2]AA!H237&lt;&gt;"",[2]AA!H237,"")</f>
        <v>0</v>
      </c>
      <c r="J313" s="58" t="e">
        <f t="shared" si="20"/>
        <v>#DIV/0!</v>
      </c>
      <c r="K313" t="str">
        <f t="shared" si="23"/>
        <v>2680577</v>
      </c>
      <c r="L313" t="str">
        <f t="shared" si="24"/>
        <v>DE</v>
      </c>
    </row>
    <row r="314" spans="1:12" ht="63" x14ac:dyDescent="0.2">
      <c r="A314" s="37">
        <v>223</v>
      </c>
      <c r="B314" s="37">
        <v>309</v>
      </c>
      <c r="C314" s="37" t="s">
        <v>417</v>
      </c>
      <c r="D314" s="39" t="s">
        <v>749</v>
      </c>
      <c r="E314" s="38">
        <f>IF([2]AA!D238&lt;&gt;"",[2]AA!D238,"")</f>
        <v>82042</v>
      </c>
      <c r="F314" s="38">
        <f>IF([2]AA!E238&lt;&gt;"",[2]AA!E238,"")</f>
        <v>73137.02</v>
      </c>
      <c r="G314" s="38">
        <f>IF([2]AA!F238&lt;&gt;"",[2]AA!F238,"")</f>
        <v>8904.9799999999959</v>
      </c>
      <c r="H314" s="38">
        <f>IF([2]AA!G238&lt;&gt;"",[2]AA!G238,"")</f>
        <v>48346.770000000004</v>
      </c>
      <c r="I314" s="38">
        <f>IF([2]AA!H238&lt;&gt;"",[2]AA!H238,"")</f>
        <v>33695.229999999996</v>
      </c>
      <c r="J314" s="58">
        <f t="shared" si="20"/>
        <v>0.58929292313692994</v>
      </c>
      <c r="K314" t="str">
        <f t="shared" si="23"/>
        <v>2680578</v>
      </c>
      <c r="L314" t="str">
        <f t="shared" si="24"/>
        <v>DE</v>
      </c>
    </row>
    <row r="315" spans="1:12" ht="54" x14ac:dyDescent="0.2">
      <c r="A315" s="37">
        <v>224</v>
      </c>
      <c r="B315" s="37">
        <v>310</v>
      </c>
      <c r="C315" s="37" t="s">
        <v>417</v>
      </c>
      <c r="D315" s="39" t="s">
        <v>750</v>
      </c>
      <c r="E315" s="38">
        <f>IF([2]AA!D239&lt;&gt;"",[2]AA!D239,"")</f>
        <v>0</v>
      </c>
      <c r="F315" s="38">
        <f>IF([2]AA!E239&lt;&gt;"",[2]AA!E239,"")</f>
        <v>0</v>
      </c>
      <c r="G315" s="38">
        <f>IF([2]AA!F239&lt;&gt;"",[2]AA!F239,"")</f>
        <v>0</v>
      </c>
      <c r="H315" s="38">
        <f>IF([2]AA!G239&lt;&gt;"",[2]AA!G239,"")</f>
        <v>0</v>
      </c>
      <c r="I315" s="38">
        <f>IF([2]AA!H239&lt;&gt;"",[2]AA!H239,"")</f>
        <v>0</v>
      </c>
      <c r="J315" s="58" t="e">
        <f t="shared" si="20"/>
        <v>#DIV/0!</v>
      </c>
      <c r="K315" t="str">
        <f t="shared" si="23"/>
        <v>2676417</v>
      </c>
      <c r="L315" t="str">
        <f t="shared" si="24"/>
        <v>DE</v>
      </c>
    </row>
    <row r="316" spans="1:12" ht="63" x14ac:dyDescent="0.2">
      <c r="A316" s="37">
        <v>225</v>
      </c>
      <c r="B316" s="37">
        <v>311</v>
      </c>
      <c r="C316" s="37" t="s">
        <v>417</v>
      </c>
      <c r="D316" s="39" t="s">
        <v>751</v>
      </c>
      <c r="E316" s="38">
        <f>IF([2]AA!D240&lt;&gt;"",[2]AA!D240,"")</f>
        <v>72190</v>
      </c>
      <c r="F316" s="38">
        <f>IF([2]AA!E240&lt;&gt;"",[2]AA!E240,"")</f>
        <v>62384.34</v>
      </c>
      <c r="G316" s="38">
        <f>IF([2]AA!F240&lt;&gt;"",[2]AA!F240,"")</f>
        <v>9805.6600000000035</v>
      </c>
      <c r="H316" s="38">
        <f>IF([2]AA!G240&lt;&gt;"",[2]AA!G240,"")</f>
        <v>55271.61</v>
      </c>
      <c r="I316" s="38">
        <f>IF([2]AA!H240&lt;&gt;"",[2]AA!H240,"")</f>
        <v>16918.39</v>
      </c>
      <c r="J316" s="58">
        <f t="shared" si="20"/>
        <v>0.76564080897631248</v>
      </c>
      <c r="K316" t="str">
        <f t="shared" si="23"/>
        <v>2680581</v>
      </c>
      <c r="L316" t="str">
        <f t="shared" si="24"/>
        <v>DE</v>
      </c>
    </row>
    <row r="317" spans="1:12" ht="72" x14ac:dyDescent="0.2">
      <c r="A317" s="37">
        <v>226</v>
      </c>
      <c r="B317" s="37">
        <v>312</v>
      </c>
      <c r="C317" s="37" t="s">
        <v>417</v>
      </c>
      <c r="D317" s="39" t="s">
        <v>752</v>
      </c>
      <c r="E317" s="38">
        <f>IF([2]AA!D241&lt;&gt;"",[2]AA!D241,"")</f>
        <v>69837</v>
      </c>
      <c r="F317" s="38">
        <f>IF([2]AA!E241&lt;&gt;"",[2]AA!E241,"")</f>
        <v>30000</v>
      </c>
      <c r="G317" s="38">
        <f>IF([2]AA!F241&lt;&gt;"",[2]AA!F241,"")</f>
        <v>39837</v>
      </c>
      <c r="H317" s="38">
        <f>IF([2]AA!G241&lt;&gt;"",[2]AA!G241,"")</f>
        <v>24166.33</v>
      </c>
      <c r="I317" s="38">
        <f>IF([2]AA!H241&lt;&gt;"",[2]AA!H241,"")</f>
        <v>45670.67</v>
      </c>
      <c r="J317" s="58">
        <f t="shared" ref="J317:J381" si="25">H317/E317</f>
        <v>0.34603906238813237</v>
      </c>
      <c r="K317" t="str">
        <f t="shared" si="23"/>
        <v>2681273</v>
      </c>
      <c r="L317" t="str">
        <f t="shared" si="24"/>
        <v>DE</v>
      </c>
    </row>
    <row r="318" spans="1:12" ht="63" x14ac:dyDescent="0.2">
      <c r="A318" s="37">
        <v>227</v>
      </c>
      <c r="B318" s="37">
        <v>313</v>
      </c>
      <c r="C318" s="37" t="s">
        <v>417</v>
      </c>
      <c r="D318" s="39" t="s">
        <v>753</v>
      </c>
      <c r="E318" s="38">
        <f>IF([2]AA!D242&lt;&gt;"",[2]AA!D242,"")</f>
        <v>50000</v>
      </c>
      <c r="F318" s="38">
        <f>IF([2]AA!E242&lt;&gt;"",[2]AA!E242,"")</f>
        <v>50000</v>
      </c>
      <c r="G318" s="38">
        <f>IF([2]AA!F242&lt;&gt;"",[2]AA!F242,"")</f>
        <v>0</v>
      </c>
      <c r="H318" s="38">
        <f>IF([2]AA!G242&lt;&gt;"",[2]AA!G242,"")</f>
        <v>48541.71</v>
      </c>
      <c r="I318" s="38">
        <f>IF([2]AA!H242&lt;&gt;"",[2]AA!H242,"")</f>
        <v>1458.2900000000009</v>
      </c>
      <c r="J318" s="58">
        <f t="shared" si="25"/>
        <v>0.97083419999999998</v>
      </c>
      <c r="K318" t="str">
        <f t="shared" si="23"/>
        <v>2676418</v>
      </c>
      <c r="L318" t="str">
        <f t="shared" si="24"/>
        <v>DE</v>
      </c>
    </row>
    <row r="319" spans="1:12" ht="63" x14ac:dyDescent="0.2">
      <c r="A319" s="37">
        <v>228</v>
      </c>
      <c r="B319" s="37">
        <v>314</v>
      </c>
      <c r="C319" s="37" t="s">
        <v>417</v>
      </c>
      <c r="D319" s="39" t="s">
        <v>754</v>
      </c>
      <c r="E319" s="38">
        <f>IF([2]AA!D243&lt;&gt;"",[2]AA!D243,"")</f>
        <v>304060</v>
      </c>
      <c r="F319" s="38">
        <f>IF([2]AA!E243&lt;&gt;"",[2]AA!E243,"")</f>
        <v>291997.5</v>
      </c>
      <c r="G319" s="38">
        <f>IF([2]AA!F243&lt;&gt;"",[2]AA!F243,"")</f>
        <v>12062.5</v>
      </c>
      <c r="H319" s="38">
        <f>IF([2]AA!G243&lt;&gt;"",[2]AA!G243,"")</f>
        <v>177994.32</v>
      </c>
      <c r="I319" s="38">
        <f>IF([2]AA!H243&lt;&gt;"",[2]AA!H243,"")</f>
        <v>126065.68</v>
      </c>
      <c r="J319" s="58">
        <f t="shared" si="25"/>
        <v>0.58539209366572387</v>
      </c>
      <c r="K319" t="str">
        <f t="shared" si="23"/>
        <v>2676420</v>
      </c>
      <c r="L319" t="str">
        <f t="shared" si="24"/>
        <v>DE</v>
      </c>
    </row>
    <row r="320" spans="1:12" ht="45" x14ac:dyDescent="0.2">
      <c r="A320" s="37">
        <v>229</v>
      </c>
      <c r="B320" s="37">
        <v>315</v>
      </c>
      <c r="C320" s="37" t="s">
        <v>417</v>
      </c>
      <c r="D320" s="39" t="s">
        <v>755</v>
      </c>
      <c r="E320" s="38">
        <f>IF([2]AA!D244&lt;&gt;"",[2]AA!D244,"")</f>
        <v>0</v>
      </c>
      <c r="F320" s="38">
        <f>IF([2]AA!E244&lt;&gt;"",[2]AA!E244,"")</f>
        <v>0</v>
      </c>
      <c r="G320" s="38">
        <f>IF([2]AA!F244&lt;&gt;"",[2]AA!F244,"")</f>
        <v>0</v>
      </c>
      <c r="H320" s="38">
        <f>IF([2]AA!G244&lt;&gt;"",[2]AA!G244,"")</f>
        <v>0</v>
      </c>
      <c r="I320" s="38">
        <f>IF([2]AA!H244&lt;&gt;"",[2]AA!H244,"")</f>
        <v>0</v>
      </c>
      <c r="J320" s="58" t="e">
        <f t="shared" si="25"/>
        <v>#DIV/0!</v>
      </c>
      <c r="K320" t="str">
        <f t="shared" si="23"/>
        <v>2680582</v>
      </c>
      <c r="L320" t="str">
        <f t="shared" si="24"/>
        <v>DE</v>
      </c>
    </row>
    <row r="321" spans="1:12" ht="63" x14ac:dyDescent="0.2">
      <c r="A321" s="37">
        <v>230</v>
      </c>
      <c r="B321" s="37">
        <v>316</v>
      </c>
      <c r="C321" s="37" t="s">
        <v>417</v>
      </c>
      <c r="D321" s="39" t="s">
        <v>756</v>
      </c>
      <c r="E321" s="38">
        <f>IF([2]AA!D245&lt;&gt;"",[2]AA!D245,"")</f>
        <v>0</v>
      </c>
      <c r="F321" s="38">
        <f>IF([2]AA!E245&lt;&gt;"",[2]AA!E245,"")</f>
        <v>0</v>
      </c>
      <c r="G321" s="38">
        <f>IF([2]AA!F245&lt;&gt;"",[2]AA!F245,"")</f>
        <v>0</v>
      </c>
      <c r="H321" s="38">
        <f>IF([2]AA!G245&lt;&gt;"",[2]AA!G245,"")</f>
        <v>0</v>
      </c>
      <c r="I321" s="38">
        <f>IF([2]AA!H245&lt;&gt;"",[2]AA!H245,"")</f>
        <v>0</v>
      </c>
      <c r="J321" s="58" t="e">
        <f t="shared" si="25"/>
        <v>#DIV/0!</v>
      </c>
      <c r="K321" t="str">
        <f t="shared" si="23"/>
        <v>2680584</v>
      </c>
      <c r="L321" t="str">
        <f t="shared" si="24"/>
        <v>DE</v>
      </c>
    </row>
    <row r="322" spans="1:12" ht="54" x14ac:dyDescent="0.2">
      <c r="A322" s="37">
        <v>231</v>
      </c>
      <c r="B322" s="37">
        <v>317</v>
      </c>
      <c r="C322" s="37" t="s">
        <v>417</v>
      </c>
      <c r="D322" s="39" t="s">
        <v>757</v>
      </c>
      <c r="E322" s="38">
        <f>IF([2]AA!D246&lt;&gt;"",[2]AA!D246,"")</f>
        <v>2170829</v>
      </c>
      <c r="F322" s="38">
        <f>IF([2]AA!E246&lt;&gt;"",[2]AA!E246,"")</f>
        <v>97983</v>
      </c>
      <c r="G322" s="38">
        <f>IF([2]AA!F246&lt;&gt;"",[2]AA!F246,"")</f>
        <v>2072846</v>
      </c>
      <c r="H322" s="38">
        <f>IF([2]AA!G246&lt;&gt;"",[2]AA!G246,"")</f>
        <v>91311.81</v>
      </c>
      <c r="I322" s="38">
        <f>IF([2]AA!H246&lt;&gt;"",[2]AA!H246,"")</f>
        <v>2079517.19</v>
      </c>
      <c r="J322" s="58">
        <f t="shared" si="25"/>
        <v>4.2063105845739114E-2</v>
      </c>
      <c r="K322" t="str">
        <f t="shared" si="23"/>
        <v>2681120</v>
      </c>
      <c r="L322" t="str">
        <f t="shared" si="24"/>
        <v>DE</v>
      </c>
    </row>
    <row r="323" spans="1:12" ht="63" x14ac:dyDescent="0.2">
      <c r="A323" s="37">
        <v>232</v>
      </c>
      <c r="B323" s="37">
        <v>318</v>
      </c>
      <c r="C323" s="37" t="s">
        <v>417</v>
      </c>
      <c r="D323" s="39" t="s">
        <v>758</v>
      </c>
      <c r="E323" s="38">
        <f>IF([2]AA!D247&lt;&gt;"",[2]AA!D247,"")</f>
        <v>1588917</v>
      </c>
      <c r="F323" s="38">
        <f>IF([2]AA!E247&lt;&gt;"",[2]AA!E247,"")</f>
        <v>1382455.8</v>
      </c>
      <c r="G323" s="38">
        <f>IF([2]AA!F247&lt;&gt;"",[2]AA!F247,"")</f>
        <v>206461.19999999995</v>
      </c>
      <c r="H323" s="38">
        <f>IF([2]AA!G247&lt;&gt;"",[2]AA!G247,"")</f>
        <v>0</v>
      </c>
      <c r="I323" s="38">
        <f>IF([2]AA!H247&lt;&gt;"",[2]AA!H247,"")</f>
        <v>1588917</v>
      </c>
      <c r="J323" s="58">
        <f t="shared" si="25"/>
        <v>0</v>
      </c>
      <c r="K323" t="str">
        <f t="shared" si="23"/>
        <v>2676421</v>
      </c>
      <c r="L323" t="str">
        <f t="shared" si="24"/>
        <v>DE</v>
      </c>
    </row>
    <row r="324" spans="1:12" ht="72" x14ac:dyDescent="0.2">
      <c r="A324" s="37">
        <v>233</v>
      </c>
      <c r="B324" s="37">
        <v>319</v>
      </c>
      <c r="C324" s="37" t="s">
        <v>417</v>
      </c>
      <c r="D324" s="39" t="s">
        <v>759</v>
      </c>
      <c r="E324" s="38">
        <f>IF([2]AA!D248&lt;&gt;"",[2]AA!D248,"")</f>
        <v>340317</v>
      </c>
      <c r="F324" s="38">
        <f>IF([2]AA!E248&lt;&gt;"",[2]AA!E248,"")</f>
        <v>335271.5</v>
      </c>
      <c r="G324" s="38">
        <f>IF([2]AA!F248&lt;&gt;"",[2]AA!F248,"")</f>
        <v>5045.5</v>
      </c>
      <c r="H324" s="38">
        <f>IF([2]AA!G248&lt;&gt;"",[2]AA!G248,"")</f>
        <v>185179.12000000002</v>
      </c>
      <c r="I324" s="38">
        <f>IF([2]AA!H248&lt;&gt;"",[2]AA!H248,"")</f>
        <v>155137.87999999998</v>
      </c>
      <c r="J324" s="58">
        <f t="shared" si="25"/>
        <v>0.54413714272281444</v>
      </c>
      <c r="K324" t="str">
        <f t="shared" si="23"/>
        <v>2676422</v>
      </c>
      <c r="L324" t="str">
        <f t="shared" si="24"/>
        <v>DE</v>
      </c>
    </row>
    <row r="325" spans="1:12" ht="63" x14ac:dyDescent="0.2">
      <c r="A325" s="37">
        <v>234</v>
      </c>
      <c r="B325" s="37">
        <v>320</v>
      </c>
      <c r="C325" s="37" t="s">
        <v>417</v>
      </c>
      <c r="D325" s="39" t="s">
        <v>760</v>
      </c>
      <c r="E325" s="38">
        <f>IF([2]AA!D249&lt;&gt;"",[2]AA!D249,"")</f>
        <v>50000</v>
      </c>
      <c r="F325" s="38">
        <f>IF([2]AA!E249&lt;&gt;"",[2]AA!E249,"")</f>
        <v>0</v>
      </c>
      <c r="G325" s="38">
        <f>IF([2]AA!F249&lt;&gt;"",[2]AA!F249,"")</f>
        <v>50000</v>
      </c>
      <c r="H325" s="38">
        <f>IF([2]AA!G249&lt;&gt;"",[2]AA!G249,"")</f>
        <v>0</v>
      </c>
      <c r="I325" s="38">
        <f>IF([2]AA!H249&lt;&gt;"",[2]AA!H249,"")</f>
        <v>50000</v>
      </c>
      <c r="J325" s="58">
        <f t="shared" si="25"/>
        <v>0</v>
      </c>
      <c r="K325" t="str">
        <f t="shared" si="23"/>
        <v>2676423</v>
      </c>
      <c r="L325" t="str">
        <f t="shared" si="24"/>
        <v>DE</v>
      </c>
    </row>
    <row r="326" spans="1:12" ht="63" x14ac:dyDescent="0.2">
      <c r="A326" s="37">
        <v>235</v>
      </c>
      <c r="B326" s="37">
        <v>321</v>
      </c>
      <c r="C326" s="37" t="s">
        <v>417</v>
      </c>
      <c r="D326" s="39" t="s">
        <v>761</v>
      </c>
      <c r="E326" s="38">
        <f>IF([2]AA!D250&lt;&gt;"",[2]AA!D250,"")</f>
        <v>31336</v>
      </c>
      <c r="F326" s="38">
        <f>IF([2]AA!E250&lt;&gt;"",[2]AA!E250,"")</f>
        <v>0</v>
      </c>
      <c r="G326" s="38">
        <f>IF([2]AA!F250&lt;&gt;"",[2]AA!F250,"")</f>
        <v>31336</v>
      </c>
      <c r="H326" s="38">
        <f>IF([2]AA!G250&lt;&gt;"",[2]AA!G250,"")</f>
        <v>0</v>
      </c>
      <c r="I326" s="38">
        <f>IF([2]AA!H250&lt;&gt;"",[2]AA!H250,"")</f>
        <v>31336</v>
      </c>
      <c r="J326" s="58">
        <f t="shared" si="25"/>
        <v>0</v>
      </c>
      <c r="K326" t="str">
        <f t="shared" si="23"/>
        <v>2676424</v>
      </c>
      <c r="L326" t="str">
        <f t="shared" si="24"/>
        <v>DE</v>
      </c>
    </row>
    <row r="327" spans="1:12" ht="45" x14ac:dyDescent="0.2">
      <c r="A327" s="37">
        <v>236</v>
      </c>
      <c r="B327" s="37">
        <v>322</v>
      </c>
      <c r="C327" s="37" t="s">
        <v>417</v>
      </c>
      <c r="D327" s="39" t="s">
        <v>762</v>
      </c>
      <c r="E327" s="38">
        <f>IF([2]AA!D251&lt;&gt;"",[2]AA!D251,"")</f>
        <v>6575108</v>
      </c>
      <c r="F327" s="38">
        <f>IF([2]AA!E251&lt;&gt;"",[2]AA!E251,"")</f>
        <v>6229287.5</v>
      </c>
      <c r="G327" s="38">
        <f>IF([2]AA!F251&lt;&gt;"",[2]AA!F251,"")</f>
        <v>345820.5</v>
      </c>
      <c r="H327" s="38">
        <f>IF([2]AA!G251&lt;&gt;"",[2]AA!G251,"")</f>
        <v>100865.04000000001</v>
      </c>
      <c r="I327" s="38">
        <f>IF([2]AA!H251&lt;&gt;"",[2]AA!H251,"")</f>
        <v>6474242.96</v>
      </c>
      <c r="J327" s="58">
        <f t="shared" si="25"/>
        <v>1.534043851447003E-2</v>
      </c>
      <c r="K327" t="str">
        <f t="shared" si="23"/>
        <v>2681121</v>
      </c>
      <c r="L327" t="str">
        <f t="shared" si="24"/>
        <v>DE</v>
      </c>
    </row>
    <row r="328" spans="1:12" ht="54" x14ac:dyDescent="0.2">
      <c r="A328" s="37">
        <v>237</v>
      </c>
      <c r="B328" s="37">
        <v>323</v>
      </c>
      <c r="C328" s="37" t="s">
        <v>417</v>
      </c>
      <c r="D328" s="39" t="s">
        <v>763</v>
      </c>
      <c r="E328" s="38">
        <f>IF([2]AA!D252&lt;&gt;"",[2]AA!D252,"")</f>
        <v>236702</v>
      </c>
      <c r="F328" s="38">
        <f>IF([2]AA!E252&lt;&gt;"",[2]AA!E252,"")</f>
        <v>130645.3</v>
      </c>
      <c r="G328" s="38">
        <f>IF([2]AA!F252&lt;&gt;"",[2]AA!F252,"")</f>
        <v>106056.7</v>
      </c>
      <c r="H328" s="38">
        <f>IF([2]AA!G252&lt;&gt;"",[2]AA!G252,"")</f>
        <v>112990.07</v>
      </c>
      <c r="I328" s="38">
        <f>IF([2]AA!H252&lt;&gt;"",[2]AA!H252,"")</f>
        <v>123711.93</v>
      </c>
      <c r="J328" s="58">
        <f t="shared" si="25"/>
        <v>0.47735156441432691</v>
      </c>
      <c r="K328" t="str">
        <f t="shared" si="23"/>
        <v>2676425</v>
      </c>
      <c r="L328" t="str">
        <f t="shared" si="24"/>
        <v>DE</v>
      </c>
    </row>
    <row r="329" spans="1:12" ht="72" x14ac:dyDescent="0.2">
      <c r="A329" s="37">
        <v>238</v>
      </c>
      <c r="B329" s="37">
        <v>324</v>
      </c>
      <c r="C329" s="37" t="s">
        <v>417</v>
      </c>
      <c r="D329" s="39" t="s">
        <v>764</v>
      </c>
      <c r="E329" s="38">
        <f>IF([2]AA!D253&lt;&gt;"",[2]AA!D253,"")</f>
        <v>3235672</v>
      </c>
      <c r="F329" s="38">
        <f>IF([2]AA!E253&lt;&gt;"",[2]AA!E253,"")</f>
        <v>3072609.46</v>
      </c>
      <c r="G329" s="38">
        <f>IF([2]AA!F253&lt;&gt;"",[2]AA!F253,"")</f>
        <v>163062.54000000004</v>
      </c>
      <c r="H329" s="38">
        <f>IF([2]AA!G253&lt;&gt;"",[2]AA!G253,"")</f>
        <v>910683.16</v>
      </c>
      <c r="I329" s="38">
        <f>IF([2]AA!H253&lt;&gt;"",[2]AA!H253,"")</f>
        <v>2324988.8400000003</v>
      </c>
      <c r="J329" s="58">
        <f t="shared" si="25"/>
        <v>0.28145101233994052</v>
      </c>
      <c r="K329" t="str">
        <f t="shared" si="23"/>
        <v>2676426</v>
      </c>
      <c r="L329" t="str">
        <f t="shared" si="24"/>
        <v>DE</v>
      </c>
    </row>
    <row r="330" spans="1:12" ht="63" x14ac:dyDescent="0.2">
      <c r="A330" s="37">
        <v>239</v>
      </c>
      <c r="B330" s="37">
        <v>325</v>
      </c>
      <c r="C330" s="37" t="s">
        <v>417</v>
      </c>
      <c r="D330" s="39" t="s">
        <v>765</v>
      </c>
      <c r="E330" s="38">
        <f>IF([2]AA!D254&lt;&gt;"",[2]AA!D254,"")</f>
        <v>350000</v>
      </c>
      <c r="F330" s="38">
        <f>IF([2]AA!E254&lt;&gt;"",[2]AA!E254,"")</f>
        <v>333117</v>
      </c>
      <c r="G330" s="38">
        <f>IF([2]AA!F254&lt;&gt;"",[2]AA!F254,"")</f>
        <v>16883</v>
      </c>
      <c r="H330" s="38">
        <f>IF([2]AA!G254&lt;&gt;"",[2]AA!G254,"")</f>
        <v>189727.76</v>
      </c>
      <c r="I330" s="38">
        <f>IF([2]AA!H254&lt;&gt;"",[2]AA!H254,"")</f>
        <v>160272.24</v>
      </c>
      <c r="J330" s="58">
        <f t="shared" si="25"/>
        <v>0.54207931428571432</v>
      </c>
      <c r="K330" t="str">
        <f t="shared" si="23"/>
        <v>2676427</v>
      </c>
      <c r="L330" t="str">
        <f t="shared" si="24"/>
        <v>DE</v>
      </c>
    </row>
    <row r="331" spans="1:12" ht="72" x14ac:dyDescent="0.2">
      <c r="A331" s="37">
        <v>240</v>
      </c>
      <c r="B331" s="37">
        <v>326</v>
      </c>
      <c r="C331" s="37" t="s">
        <v>417</v>
      </c>
      <c r="D331" s="39" t="s">
        <v>766</v>
      </c>
      <c r="E331" s="38">
        <f>IF([2]AA!D255&lt;&gt;"",[2]AA!D255,"")</f>
        <v>0</v>
      </c>
      <c r="F331" s="38">
        <f>IF([2]AA!E255&lt;&gt;"",[2]AA!E255,"")</f>
        <v>0</v>
      </c>
      <c r="G331" s="38">
        <f>IF([2]AA!F255&lt;&gt;"",[2]AA!F255,"")</f>
        <v>0</v>
      </c>
      <c r="H331" s="38">
        <f>IF([2]AA!G255&lt;&gt;"",[2]AA!G255,"")</f>
        <v>0</v>
      </c>
      <c r="I331" s="38">
        <f>IF([2]AA!H255&lt;&gt;"",[2]AA!H255,"")</f>
        <v>0</v>
      </c>
      <c r="J331" s="58" t="e">
        <f t="shared" si="25"/>
        <v>#DIV/0!</v>
      </c>
      <c r="K331" t="str">
        <f t="shared" si="23"/>
        <v>2676428</v>
      </c>
      <c r="L331" t="str">
        <f t="shared" si="24"/>
        <v>DE</v>
      </c>
    </row>
    <row r="332" spans="1:12" ht="54" x14ac:dyDescent="0.2">
      <c r="A332" s="37">
        <v>241</v>
      </c>
      <c r="B332" s="37">
        <v>327</v>
      </c>
      <c r="C332" s="37" t="s">
        <v>417</v>
      </c>
      <c r="D332" s="39" t="s">
        <v>767</v>
      </c>
      <c r="E332" s="38">
        <f>IF([2]AA!D256&lt;&gt;"",[2]AA!D256,"")</f>
        <v>3252523</v>
      </c>
      <c r="F332" s="38">
        <f>IF([2]AA!E256&lt;&gt;"",[2]AA!E256,"")</f>
        <v>2551505.9299999997</v>
      </c>
      <c r="G332" s="38">
        <f>IF([2]AA!F256&lt;&gt;"",[2]AA!F256,"")</f>
        <v>701017.07000000007</v>
      </c>
      <c r="H332" s="38">
        <f>IF([2]AA!G256&lt;&gt;"",[2]AA!G256,"")</f>
        <v>1786302.12</v>
      </c>
      <c r="I332" s="38">
        <f>IF([2]AA!H256&lt;&gt;"",[2]AA!H256,"")</f>
        <v>1466220.88</v>
      </c>
      <c r="J332" s="58">
        <f t="shared" si="25"/>
        <v>0.54920506941841762</v>
      </c>
      <c r="K332" t="str">
        <f t="shared" si="23"/>
        <v>2676429</v>
      </c>
      <c r="L332" t="str">
        <f t="shared" si="24"/>
        <v>DE</v>
      </c>
    </row>
    <row r="333" spans="1:12" ht="63" x14ac:dyDescent="0.2">
      <c r="A333" s="37">
        <v>242</v>
      </c>
      <c r="B333" s="37">
        <v>328</v>
      </c>
      <c r="C333" s="37" t="s">
        <v>417</v>
      </c>
      <c r="D333" s="39" t="s">
        <v>768</v>
      </c>
      <c r="E333" s="38">
        <f>IF([2]AA!D257&lt;&gt;"",[2]AA!D257,"")</f>
        <v>1272735</v>
      </c>
      <c r="F333" s="38">
        <f>IF([2]AA!E257&lt;&gt;"",[2]AA!E257,"")</f>
        <v>1247006.76</v>
      </c>
      <c r="G333" s="38">
        <f>IF([2]AA!F257&lt;&gt;"",[2]AA!F257,"")</f>
        <v>25728.240000000005</v>
      </c>
      <c r="H333" s="38">
        <f>IF([2]AA!G257&lt;&gt;"",[2]AA!G257,"")</f>
        <v>1159870.4799999997</v>
      </c>
      <c r="I333" s="38">
        <f>IF([2]AA!H257&lt;&gt;"",[2]AA!H257,"")</f>
        <v>112864.52000000005</v>
      </c>
      <c r="J333" s="58">
        <f t="shared" si="25"/>
        <v>0.9113212726922727</v>
      </c>
      <c r="K333" t="str">
        <f t="shared" si="23"/>
        <v>2676430</v>
      </c>
      <c r="L333" t="str">
        <f t="shared" si="24"/>
        <v>DE</v>
      </c>
    </row>
    <row r="334" spans="1:12" ht="63" x14ac:dyDescent="0.2">
      <c r="A334" s="37">
        <v>243</v>
      </c>
      <c r="B334" s="37">
        <v>329</v>
      </c>
      <c r="C334" s="37" t="s">
        <v>417</v>
      </c>
      <c r="D334" s="39" t="s">
        <v>769</v>
      </c>
      <c r="E334" s="38">
        <f>IF([2]AA!D261&lt;&gt;"",[2]AA!D261,"")</f>
        <v>3714096</v>
      </c>
      <c r="F334" s="38">
        <f>IF([2]AA!E261&lt;&gt;"",[2]AA!E261,"")</f>
        <v>2816309.79</v>
      </c>
      <c r="G334" s="38">
        <f>IF([2]AA!F261&lt;&gt;"",[2]AA!F261,"")</f>
        <v>897786.21</v>
      </c>
      <c r="H334" s="38">
        <f>IF([2]AA!G261&lt;&gt;"",[2]AA!G261,"")</f>
        <v>2077380.8699999999</v>
      </c>
      <c r="I334" s="38">
        <f>IF([2]AA!H261&lt;&gt;"",[2]AA!H261,"")</f>
        <v>1636715.1300000001</v>
      </c>
      <c r="J334" s="58">
        <f t="shared" si="25"/>
        <v>0.55932341813458775</v>
      </c>
      <c r="K334" t="str">
        <f t="shared" si="23"/>
        <v>2676431</v>
      </c>
      <c r="L334" t="str">
        <f t="shared" si="24"/>
        <v>DE</v>
      </c>
    </row>
    <row r="335" spans="1:12" ht="54" x14ac:dyDescent="0.2">
      <c r="A335" s="37">
        <v>244</v>
      </c>
      <c r="B335" s="37">
        <v>330</v>
      </c>
      <c r="C335" s="37" t="s">
        <v>417</v>
      </c>
      <c r="D335" s="39" t="s">
        <v>770</v>
      </c>
      <c r="E335" s="38">
        <f>IF([2]AA!D262&lt;&gt;"",[2]AA!D262,"")</f>
        <v>8483998</v>
      </c>
      <c r="F335" s="38">
        <f>IF([2]AA!E262&lt;&gt;"",[2]AA!E262,"")</f>
        <v>7232228</v>
      </c>
      <c r="G335" s="38">
        <f>IF([2]AA!F262&lt;&gt;"",[2]AA!F262,"")</f>
        <v>1251770</v>
      </c>
      <c r="H335" s="38">
        <f>IF([2]AA!G262&lt;&gt;"",[2]AA!G262,"")</f>
        <v>5241779.8099999996</v>
      </c>
      <c r="I335" s="38">
        <f>IF([2]AA!H262&lt;&gt;"",[2]AA!H262,"")</f>
        <v>3242218.1900000004</v>
      </c>
      <c r="J335" s="58">
        <f t="shared" si="25"/>
        <v>0.61784312183949119</v>
      </c>
      <c r="K335" t="str">
        <f t="shared" si="23"/>
        <v>2681122</v>
      </c>
      <c r="L335" t="str">
        <f t="shared" si="24"/>
        <v>DE</v>
      </c>
    </row>
    <row r="336" spans="1:12" ht="63" x14ac:dyDescent="0.2">
      <c r="A336" s="37">
        <v>245</v>
      </c>
      <c r="B336" s="37">
        <v>331</v>
      </c>
      <c r="C336" s="37" t="s">
        <v>417</v>
      </c>
      <c r="D336" s="39" t="s">
        <v>771</v>
      </c>
      <c r="E336" s="38">
        <f>IF([2]AA!D263&lt;&gt;"",[2]AA!D263,"")</f>
        <v>3431878</v>
      </c>
      <c r="F336" s="38">
        <f>IF([2]AA!E263&lt;&gt;"",[2]AA!E263,"")</f>
        <v>3396126.53</v>
      </c>
      <c r="G336" s="38">
        <f>IF([2]AA!F263&lt;&gt;"",[2]AA!F263,"")</f>
        <v>35751.47</v>
      </c>
      <c r="H336" s="38">
        <f>IF([2]AA!G263&lt;&gt;"",[2]AA!G263,"")</f>
        <v>3066640.11</v>
      </c>
      <c r="I336" s="38">
        <f>IF([2]AA!H263&lt;&gt;"",[2]AA!H263,"")</f>
        <v>365237.89</v>
      </c>
      <c r="J336" s="58">
        <f t="shared" si="25"/>
        <v>0.89357492020403984</v>
      </c>
      <c r="K336" t="str">
        <f t="shared" si="23"/>
        <v>2676432</v>
      </c>
      <c r="L336" t="str">
        <f t="shared" si="24"/>
        <v>DE</v>
      </c>
    </row>
    <row r="337" spans="1:12" ht="72" x14ac:dyDescent="0.2">
      <c r="A337" s="37">
        <v>246</v>
      </c>
      <c r="B337" s="37">
        <v>332</v>
      </c>
      <c r="C337" s="37" t="s">
        <v>417</v>
      </c>
      <c r="D337" s="39" t="s">
        <v>772</v>
      </c>
      <c r="E337" s="38">
        <f>IF([2]AA!D264&lt;&gt;"",[2]AA!D264,"")</f>
        <v>1445268</v>
      </c>
      <c r="F337" s="38">
        <f>IF([2]AA!E264&lt;&gt;"",[2]AA!E264,"")</f>
        <v>1222493.1299999999</v>
      </c>
      <c r="G337" s="38">
        <f>IF([2]AA!F264&lt;&gt;"",[2]AA!F264,"")</f>
        <v>222774.87000000002</v>
      </c>
      <c r="H337" s="38">
        <f>IF([2]AA!G264&lt;&gt;"",[2]AA!G264,"")</f>
        <v>979738.35</v>
      </c>
      <c r="I337" s="38">
        <f>IF([2]AA!H264&lt;&gt;"",[2]AA!H264,"")</f>
        <v>465529.65</v>
      </c>
      <c r="J337" s="58">
        <f t="shared" si="25"/>
        <v>0.67789389234384212</v>
      </c>
      <c r="K337" t="str">
        <f t="shared" si="23"/>
        <v>2681125</v>
      </c>
      <c r="L337" t="str">
        <f t="shared" si="24"/>
        <v>DE</v>
      </c>
    </row>
    <row r="338" spans="1:12" ht="63" x14ac:dyDescent="0.2">
      <c r="A338" s="37">
        <v>247</v>
      </c>
      <c r="B338" s="37">
        <v>333</v>
      </c>
      <c r="C338" s="37" t="s">
        <v>417</v>
      </c>
      <c r="D338" s="39" t="s">
        <v>773</v>
      </c>
      <c r="E338" s="38">
        <f>IF([2]AA!D287&lt;&gt;"",[2]AA!D287,"")</f>
        <v>8468830</v>
      </c>
      <c r="F338" s="38">
        <f>IF([2]AA!E287&lt;&gt;"",[2]AA!E287,"")</f>
        <v>7635696</v>
      </c>
      <c r="G338" s="38">
        <f>IF([2]AA!F287&lt;&gt;"",[2]AA!F287,"")</f>
        <v>833134</v>
      </c>
      <c r="H338" s="38">
        <f>IF([2]AA!G287&lt;&gt;"",[2]AA!G287,"")</f>
        <v>113879.13</v>
      </c>
      <c r="I338" s="38">
        <f>IF([2]AA!H287&lt;&gt;"",[2]AA!H287,"")</f>
        <v>8354950.8699999992</v>
      </c>
      <c r="J338" s="58">
        <f t="shared" si="25"/>
        <v>1.3446855114578993E-2</v>
      </c>
      <c r="K338" t="str">
        <f t="shared" si="23"/>
        <v>2681126</v>
      </c>
      <c r="L338" t="str">
        <f t="shared" si="24"/>
        <v>DE</v>
      </c>
    </row>
    <row r="339" spans="1:12" ht="63" x14ac:dyDescent="0.2">
      <c r="A339" s="37">
        <v>248</v>
      </c>
      <c r="B339" s="37">
        <v>334</v>
      </c>
      <c r="C339" s="37" t="s">
        <v>417</v>
      </c>
      <c r="D339" s="39" t="s">
        <v>774</v>
      </c>
      <c r="E339" s="38">
        <f>IF([2]AA!D288&lt;&gt;"",[2]AA!D288,"")</f>
        <v>1044621</v>
      </c>
      <c r="F339" s="38">
        <f>IF([2]AA!E288&lt;&gt;"",[2]AA!E288,"")</f>
        <v>267854.94</v>
      </c>
      <c r="G339" s="38">
        <f>IF([2]AA!F288&lt;&gt;"",[2]AA!F288,"")</f>
        <v>776766.06</v>
      </c>
      <c r="H339" s="38">
        <f>IF([2]AA!G288&lt;&gt;"",[2]AA!G288,"")</f>
        <v>248158.12</v>
      </c>
      <c r="I339" s="38">
        <f>IF([2]AA!H288&lt;&gt;"",[2]AA!H288,"")</f>
        <v>796462.88</v>
      </c>
      <c r="J339" s="58">
        <f t="shared" si="25"/>
        <v>0.23755804258195076</v>
      </c>
      <c r="K339" t="str">
        <f t="shared" si="23"/>
        <v>2681128</v>
      </c>
      <c r="L339" t="str">
        <f t="shared" si="24"/>
        <v>DE</v>
      </c>
    </row>
    <row r="340" spans="1:12" ht="54" x14ac:dyDescent="0.2">
      <c r="A340" s="37">
        <v>249</v>
      </c>
      <c r="B340" s="37">
        <v>335</v>
      </c>
      <c r="C340" s="37" t="s">
        <v>417</v>
      </c>
      <c r="D340" s="39" t="s">
        <v>775</v>
      </c>
      <c r="E340" s="38">
        <f>IF([2]AA!D292&lt;&gt;"",[2]AA!D292,"")</f>
        <v>70958</v>
      </c>
      <c r="F340" s="38">
        <f>IF([2]AA!E292&lt;&gt;"",[2]AA!E292,"")</f>
        <v>70057.899999999994</v>
      </c>
      <c r="G340" s="38">
        <f>IF([2]AA!F292&lt;&gt;"",[2]AA!F292,"")</f>
        <v>900.10000000000036</v>
      </c>
      <c r="H340" s="38">
        <f>IF([2]AA!G292&lt;&gt;"",[2]AA!G292,"")</f>
        <v>70029.94</v>
      </c>
      <c r="I340" s="38">
        <f>IF([2]AA!H292&lt;&gt;"",[2]AA!H292,"")</f>
        <v>928.05999999999949</v>
      </c>
      <c r="J340" s="58">
        <f t="shared" si="25"/>
        <v>0.98692099551847579</v>
      </c>
      <c r="K340" t="str">
        <f t="shared" ref="K340:K372" si="26">MID(D340,1,7)</f>
        <v>2681129</v>
      </c>
      <c r="L340" t="str">
        <f t="shared" ref="L340:L372" si="27">C340</f>
        <v>DE</v>
      </c>
    </row>
    <row r="341" spans="1:12" ht="72" x14ac:dyDescent="0.2">
      <c r="A341" s="37">
        <v>250</v>
      </c>
      <c r="B341" s="37">
        <v>336</v>
      </c>
      <c r="C341" s="37" t="s">
        <v>417</v>
      </c>
      <c r="D341" s="39" t="s">
        <v>776</v>
      </c>
      <c r="E341" s="38">
        <f>IF([2]AA!D293&lt;&gt;"",[2]AA!D293,"")</f>
        <v>102687</v>
      </c>
      <c r="F341" s="38">
        <f>IF([2]AA!E293&lt;&gt;"",[2]AA!E293,"")</f>
        <v>100785.22</v>
      </c>
      <c r="G341" s="38">
        <f>IF([2]AA!F293&lt;&gt;"",[2]AA!F293,"")</f>
        <v>1901.7799999999988</v>
      </c>
      <c r="H341" s="38">
        <f>IF([2]AA!G293&lt;&gt;"",[2]AA!G293,"")</f>
        <v>88859.24</v>
      </c>
      <c r="I341" s="38">
        <f>IF([2]AA!H293&lt;&gt;"",[2]AA!H293,"")</f>
        <v>13827.759999999998</v>
      </c>
      <c r="J341" s="58">
        <f t="shared" si="25"/>
        <v>0.86534069551160331</v>
      </c>
      <c r="K341" t="str">
        <f t="shared" si="26"/>
        <v>2676434</v>
      </c>
      <c r="L341" t="str">
        <f t="shared" si="27"/>
        <v>DE</v>
      </c>
    </row>
    <row r="342" spans="1:12" ht="72" x14ac:dyDescent="0.2">
      <c r="A342" s="37">
        <v>251</v>
      </c>
      <c r="B342" s="37">
        <v>337</v>
      </c>
      <c r="C342" s="37" t="s">
        <v>417</v>
      </c>
      <c r="D342" s="39" t="s">
        <v>777</v>
      </c>
      <c r="E342" s="38">
        <f>IF([2]AA!D294&lt;&gt;"",[2]AA!D294,"")</f>
        <v>61500</v>
      </c>
      <c r="F342" s="38">
        <f>IF([2]AA!E294&lt;&gt;"",[2]AA!E294,"")</f>
        <v>59000</v>
      </c>
      <c r="G342" s="38">
        <f>IF([2]AA!F294&lt;&gt;"",[2]AA!F294,"")</f>
        <v>2500</v>
      </c>
      <c r="H342" s="38">
        <f>IF([2]AA!G294&lt;&gt;"",[2]AA!G294,"")</f>
        <v>0</v>
      </c>
      <c r="I342" s="38">
        <f>IF([2]AA!H294&lt;&gt;"",[2]AA!H294,"")</f>
        <v>61500</v>
      </c>
      <c r="J342" s="58">
        <f t="shared" si="25"/>
        <v>0</v>
      </c>
      <c r="K342" t="str">
        <f t="shared" si="26"/>
        <v>2681278</v>
      </c>
      <c r="L342" t="str">
        <f t="shared" si="27"/>
        <v>DE</v>
      </c>
    </row>
    <row r="343" spans="1:12" ht="63" x14ac:dyDescent="0.2">
      <c r="A343" s="37">
        <v>252</v>
      </c>
      <c r="B343" s="37">
        <v>338</v>
      </c>
      <c r="C343" s="37" t="s">
        <v>417</v>
      </c>
      <c r="D343" s="39" t="s">
        <v>778</v>
      </c>
      <c r="E343" s="38">
        <f>IF([2]AA!D295&lt;&gt;"",[2]AA!D295,"")</f>
        <v>62000</v>
      </c>
      <c r="F343" s="38">
        <f>IF([2]AA!E295&lt;&gt;"",[2]AA!E295,"")</f>
        <v>61766.67</v>
      </c>
      <c r="G343" s="38">
        <f>IF([2]AA!F295&lt;&gt;"",[2]AA!F295,"")</f>
        <v>233.33000000000175</v>
      </c>
      <c r="H343" s="38">
        <f>IF([2]AA!G295&lt;&gt;"",[2]AA!G295,"")</f>
        <v>0</v>
      </c>
      <c r="I343" s="38">
        <f>IF([2]AA!H295&lt;&gt;"",[2]AA!H295,"")</f>
        <v>62000</v>
      </c>
      <c r="J343" s="58">
        <f t="shared" si="25"/>
        <v>0</v>
      </c>
      <c r="K343" t="str">
        <f t="shared" si="26"/>
        <v>2676435</v>
      </c>
      <c r="L343" t="str">
        <f t="shared" si="27"/>
        <v>DE</v>
      </c>
    </row>
    <row r="344" spans="1:12" ht="63" x14ac:dyDescent="0.2">
      <c r="A344" s="37">
        <v>253</v>
      </c>
      <c r="B344" s="37">
        <v>339</v>
      </c>
      <c r="C344" s="37" t="s">
        <v>417</v>
      </c>
      <c r="D344" s="39" t="s">
        <v>779</v>
      </c>
      <c r="E344" s="38">
        <f>IF([2]AA!D296&lt;&gt;"",[2]AA!D296,"")</f>
        <v>63755</v>
      </c>
      <c r="F344" s="38">
        <f>IF([2]AA!E296&lt;&gt;"",[2]AA!E296,"")</f>
        <v>60139.48</v>
      </c>
      <c r="G344" s="38">
        <f>IF([2]AA!F296&lt;&gt;"",[2]AA!F296,"")</f>
        <v>3615.52</v>
      </c>
      <c r="H344" s="38">
        <f>IF([2]AA!G296&lt;&gt;"",[2]AA!G296,"")</f>
        <v>0</v>
      </c>
      <c r="I344" s="38">
        <f>IF([2]AA!H296&lt;&gt;"",[2]AA!H296,"")</f>
        <v>63755</v>
      </c>
      <c r="J344" s="58">
        <f t="shared" si="25"/>
        <v>0</v>
      </c>
      <c r="K344" t="str">
        <f t="shared" si="26"/>
        <v>2676436</v>
      </c>
      <c r="L344" t="str">
        <f t="shared" si="27"/>
        <v>DE</v>
      </c>
    </row>
    <row r="345" spans="1:12" ht="63" x14ac:dyDescent="0.2">
      <c r="A345" s="37">
        <v>254</v>
      </c>
      <c r="B345" s="37">
        <v>340</v>
      </c>
      <c r="C345" s="37" t="s">
        <v>417</v>
      </c>
      <c r="D345" s="39" t="s">
        <v>780</v>
      </c>
      <c r="E345" s="38">
        <f>IF([2]AA!D297&lt;&gt;"",[2]AA!D297,"")</f>
        <v>65438</v>
      </c>
      <c r="F345" s="38">
        <f>IF([2]AA!E297&lt;&gt;"",[2]AA!E297,"")</f>
        <v>0</v>
      </c>
      <c r="G345" s="38">
        <f>IF([2]AA!F297&lt;&gt;"",[2]AA!F297,"")</f>
        <v>65438</v>
      </c>
      <c r="H345" s="38">
        <f>IF([2]AA!G297&lt;&gt;"",[2]AA!G297,"")</f>
        <v>0</v>
      </c>
      <c r="I345" s="38">
        <f>IF([2]AA!H297&lt;&gt;"",[2]AA!H297,"")</f>
        <v>65438</v>
      </c>
      <c r="J345" s="58">
        <f t="shared" si="25"/>
        <v>0</v>
      </c>
      <c r="K345" t="str">
        <f t="shared" si="26"/>
        <v>2681276</v>
      </c>
      <c r="L345" t="str">
        <f t="shared" si="27"/>
        <v>DE</v>
      </c>
    </row>
    <row r="346" spans="1:12" ht="45" x14ac:dyDescent="0.2">
      <c r="A346" s="37">
        <v>255</v>
      </c>
      <c r="B346" s="37">
        <v>341</v>
      </c>
      <c r="C346" s="37" t="s">
        <v>417</v>
      </c>
      <c r="D346" s="39" t="s">
        <v>781</v>
      </c>
      <c r="E346" s="38">
        <f>IF([2]AA!D298&lt;&gt;"",[2]AA!D298,"")</f>
        <v>61200</v>
      </c>
      <c r="F346" s="38">
        <f>IF([2]AA!E298&lt;&gt;"",[2]AA!E298,"")</f>
        <v>59150</v>
      </c>
      <c r="G346" s="38">
        <f>IF([2]AA!F298&lt;&gt;"",[2]AA!F298,"")</f>
        <v>2050</v>
      </c>
      <c r="H346" s="38">
        <f>IF([2]AA!G298&lt;&gt;"",[2]AA!G298,"")</f>
        <v>59150</v>
      </c>
      <c r="I346" s="38">
        <f>IF([2]AA!H298&lt;&gt;"",[2]AA!H298,"")</f>
        <v>2050</v>
      </c>
      <c r="J346" s="58">
        <f t="shared" si="25"/>
        <v>0.96650326797385622</v>
      </c>
      <c r="K346" t="str">
        <f t="shared" si="26"/>
        <v>2676437</v>
      </c>
      <c r="L346" t="str">
        <f t="shared" si="27"/>
        <v>DE</v>
      </c>
    </row>
    <row r="347" spans="1:12" ht="63" x14ac:dyDescent="0.2">
      <c r="A347" s="37">
        <v>256</v>
      </c>
      <c r="B347" s="37">
        <v>342</v>
      </c>
      <c r="C347" s="37" t="s">
        <v>417</v>
      </c>
      <c r="D347" s="39" t="s">
        <v>782</v>
      </c>
      <c r="E347" s="38">
        <f>IF([2]AA!D299&lt;&gt;"",[2]AA!D299,"")</f>
        <v>5365</v>
      </c>
      <c r="F347" s="38">
        <f>IF([2]AA!E299&lt;&gt;"",[2]AA!E299,"")</f>
        <v>5364</v>
      </c>
      <c r="G347" s="38">
        <f>IF([2]AA!F299&lt;&gt;"",[2]AA!F299,"")</f>
        <v>1</v>
      </c>
      <c r="H347" s="38">
        <f>IF([2]AA!G299&lt;&gt;"",[2]AA!G299,"")</f>
        <v>5364</v>
      </c>
      <c r="I347" s="38">
        <f>IF([2]AA!H299&lt;&gt;"",[2]AA!H299,"")</f>
        <v>1</v>
      </c>
      <c r="J347" s="58">
        <f t="shared" si="25"/>
        <v>0.9998136067101584</v>
      </c>
      <c r="K347" t="str">
        <f t="shared" si="26"/>
        <v>2681132</v>
      </c>
      <c r="L347" t="str">
        <f t="shared" si="27"/>
        <v>DE</v>
      </c>
    </row>
    <row r="348" spans="1:12" ht="63" x14ac:dyDescent="0.2">
      <c r="A348" s="37">
        <v>257</v>
      </c>
      <c r="B348" s="37">
        <v>343</v>
      </c>
      <c r="C348" s="37" t="s">
        <v>417</v>
      </c>
      <c r="D348" s="39" t="s">
        <v>783</v>
      </c>
      <c r="E348" s="38">
        <f>IF([2]AA!D300&lt;&gt;"",[2]AA!D300,"")</f>
        <v>2936</v>
      </c>
      <c r="F348" s="38">
        <f>IF([2]AA!E300&lt;&gt;"",[2]AA!E300,"")</f>
        <v>2936</v>
      </c>
      <c r="G348" s="38">
        <f>IF([2]AA!F300&lt;&gt;"",[2]AA!F300,"")</f>
        <v>0</v>
      </c>
      <c r="H348" s="38">
        <f>IF([2]AA!G300&lt;&gt;"",[2]AA!G300,"")</f>
        <v>2936</v>
      </c>
      <c r="I348" s="38">
        <f>IF([2]AA!H300&lt;&gt;"",[2]AA!H300,"")</f>
        <v>0</v>
      </c>
      <c r="J348" s="58">
        <f t="shared" si="25"/>
        <v>1</v>
      </c>
      <c r="K348" t="str">
        <f t="shared" si="26"/>
        <v>2676438</v>
      </c>
      <c r="L348" t="str">
        <f t="shared" si="27"/>
        <v>DE</v>
      </c>
    </row>
    <row r="349" spans="1:12" ht="72" x14ac:dyDescent="0.2">
      <c r="A349" s="37">
        <v>258</v>
      </c>
      <c r="B349" s="37">
        <v>344</v>
      </c>
      <c r="C349" s="37" t="s">
        <v>417</v>
      </c>
      <c r="D349" s="39" t="s">
        <v>784</v>
      </c>
      <c r="E349" s="38">
        <f>IF([2]AA!D301&lt;&gt;"",[2]AA!D301,"")</f>
        <v>10692</v>
      </c>
      <c r="F349" s="38">
        <f>IF([2]AA!E301&lt;&gt;"",[2]AA!E301,"")</f>
        <v>10691.76</v>
      </c>
      <c r="G349" s="38">
        <f>IF([2]AA!F301&lt;&gt;"",[2]AA!F301,"")</f>
        <v>0.23999999999978172</v>
      </c>
      <c r="H349" s="38">
        <f>IF([2]AA!G301&lt;&gt;"",[2]AA!G301,"")</f>
        <v>5600</v>
      </c>
      <c r="I349" s="38">
        <f>IF([2]AA!H301&lt;&gt;"",[2]AA!H301,"")</f>
        <v>5092</v>
      </c>
      <c r="J349" s="58">
        <f t="shared" si="25"/>
        <v>0.52375607931163481</v>
      </c>
      <c r="K349" t="str">
        <f t="shared" si="26"/>
        <v>2676439</v>
      </c>
      <c r="L349" t="str">
        <f t="shared" si="27"/>
        <v>DE</v>
      </c>
    </row>
    <row r="350" spans="1:12" ht="63" x14ac:dyDescent="0.2">
      <c r="A350" s="37">
        <v>259</v>
      </c>
      <c r="B350" s="37">
        <v>345</v>
      </c>
      <c r="C350" s="37" t="s">
        <v>417</v>
      </c>
      <c r="D350" s="39" t="s">
        <v>785</v>
      </c>
      <c r="E350" s="38">
        <f>IF([2]AA!D302&lt;&gt;"",[2]AA!D302,"")</f>
        <v>7816</v>
      </c>
      <c r="F350" s="38">
        <f>IF([2]AA!E302&lt;&gt;"",[2]AA!E302,"")</f>
        <v>0</v>
      </c>
      <c r="G350" s="38">
        <f>IF([2]AA!F302&lt;&gt;"",[2]AA!F302,"")</f>
        <v>7816</v>
      </c>
      <c r="H350" s="38">
        <f>IF([2]AA!G302&lt;&gt;"",[2]AA!G302,"")</f>
        <v>0</v>
      </c>
      <c r="I350" s="38">
        <f>IF([2]AA!H302&lt;&gt;"",[2]AA!H302,"")</f>
        <v>7816</v>
      </c>
      <c r="J350" s="58">
        <f t="shared" si="25"/>
        <v>0</v>
      </c>
      <c r="K350" t="str">
        <f t="shared" si="26"/>
        <v>2681133</v>
      </c>
      <c r="L350" t="str">
        <f t="shared" si="27"/>
        <v>DE</v>
      </c>
    </row>
    <row r="351" spans="1:12" ht="54" x14ac:dyDescent="0.2">
      <c r="A351" s="37">
        <v>260</v>
      </c>
      <c r="B351" s="37">
        <v>349</v>
      </c>
      <c r="C351" s="37" t="s">
        <v>417</v>
      </c>
      <c r="D351" s="39" t="s">
        <v>798</v>
      </c>
      <c r="E351" s="38">
        <f>IF([2]AA!D304&lt;&gt;"",[2]AA!D304,"")</f>
        <v>2555</v>
      </c>
      <c r="F351" s="38">
        <f>IF([2]AA!E304&lt;&gt;"",[2]AA!E304,"")</f>
        <v>2550</v>
      </c>
      <c r="G351" s="38">
        <f>IF([2]AA!F304&lt;&gt;"",[2]AA!F304,"")</f>
        <v>5</v>
      </c>
      <c r="H351" s="38">
        <f>IF([2]AA!G304&lt;&gt;"",[2]AA!G304,"")</f>
        <v>2550</v>
      </c>
      <c r="I351" s="38">
        <f>IF([2]AA!H304&lt;&gt;"",[2]AA!H304,"")</f>
        <v>5</v>
      </c>
      <c r="J351" s="58">
        <f t="shared" si="25"/>
        <v>0.99804305283757333</v>
      </c>
      <c r="K351" t="str">
        <f t="shared" si="26"/>
        <v>2676419</v>
      </c>
      <c r="L351" t="str">
        <f t="shared" si="27"/>
        <v>DE</v>
      </c>
    </row>
    <row r="352" spans="1:12" ht="45" x14ac:dyDescent="0.2">
      <c r="A352" s="37">
        <v>261</v>
      </c>
      <c r="B352" s="37">
        <v>350</v>
      </c>
      <c r="C352" s="37" t="s">
        <v>417</v>
      </c>
      <c r="D352" s="39" t="s">
        <v>799</v>
      </c>
      <c r="E352" s="38">
        <f>IF([2]AA!D305&lt;&gt;"",[2]AA!D305,"")</f>
        <v>73376</v>
      </c>
      <c r="F352" s="38">
        <f>IF([2]AA!E305&lt;&gt;"",[2]AA!E305,"")</f>
        <v>69875.75</v>
      </c>
      <c r="G352" s="38">
        <f>IF([2]AA!F305&lt;&gt;"",[2]AA!F305,"")</f>
        <v>3500.25</v>
      </c>
      <c r="H352" s="38">
        <f>IF([2]AA!G305&lt;&gt;"",[2]AA!G305,"")</f>
        <v>61500</v>
      </c>
      <c r="I352" s="38">
        <f>IF([2]AA!H305&lt;&gt;"",[2]AA!H305,"")</f>
        <v>11876</v>
      </c>
      <c r="J352" s="58">
        <f t="shared" si="25"/>
        <v>0.83814871347579589</v>
      </c>
      <c r="K352" t="str">
        <f t="shared" si="26"/>
        <v>2681274</v>
      </c>
      <c r="L352" t="str">
        <f t="shared" si="27"/>
        <v>DE</v>
      </c>
    </row>
    <row r="353" spans="1:12" ht="45" x14ac:dyDescent="0.2">
      <c r="A353" s="37">
        <v>262</v>
      </c>
      <c r="B353" s="37">
        <v>351</v>
      </c>
      <c r="C353" s="37" t="s">
        <v>417</v>
      </c>
      <c r="D353" s="39" t="s">
        <v>800</v>
      </c>
      <c r="E353" s="38">
        <f>IF([2]AA!D306&lt;&gt;"",[2]AA!D306,"")</f>
        <v>54964</v>
      </c>
      <c r="F353" s="38">
        <f>IF([2]AA!E306&lt;&gt;"",[2]AA!E306,"")</f>
        <v>1977.5</v>
      </c>
      <c r="G353" s="38">
        <f>IF([2]AA!F306&lt;&gt;"",[2]AA!F306,"")</f>
        <v>52986.5</v>
      </c>
      <c r="H353" s="38">
        <f>IF([2]AA!G306&lt;&gt;"",[2]AA!G306,"")</f>
        <v>1977.5</v>
      </c>
      <c r="I353" s="38">
        <f>IF([2]AA!H306&lt;&gt;"",[2]AA!H306,"")</f>
        <v>52986.5</v>
      </c>
      <c r="J353" s="58">
        <f t="shared" si="25"/>
        <v>3.5978094752929193E-2</v>
      </c>
      <c r="K353" t="str">
        <f t="shared" si="26"/>
        <v>2681123</v>
      </c>
      <c r="L353" t="str">
        <f t="shared" si="27"/>
        <v>DE</v>
      </c>
    </row>
    <row r="354" spans="1:12" ht="45" x14ac:dyDescent="0.2">
      <c r="A354" s="37">
        <v>263</v>
      </c>
      <c r="B354" s="37">
        <v>352</v>
      </c>
      <c r="C354" s="37" t="s">
        <v>417</v>
      </c>
      <c r="D354" s="39" t="s">
        <v>801</v>
      </c>
      <c r="E354" s="38">
        <f>IF([2]AA!D307&lt;&gt;"",[2]AA!D307,"")</f>
        <v>76710</v>
      </c>
      <c r="F354" s="38">
        <f>IF([2]AA!E307&lt;&gt;"",[2]AA!E307,"")</f>
        <v>69710</v>
      </c>
      <c r="G354" s="38">
        <f>IF([2]AA!F307&lt;&gt;"",[2]AA!F307,"")</f>
        <v>7000</v>
      </c>
      <c r="H354" s="38">
        <f>IF([2]AA!G307&lt;&gt;"",[2]AA!G307,"")</f>
        <v>69710</v>
      </c>
      <c r="I354" s="38">
        <f>IF([2]AA!H307&lt;&gt;"",[2]AA!H307,"")</f>
        <v>7000</v>
      </c>
      <c r="J354" s="58">
        <f t="shared" si="25"/>
        <v>0.90874722982661971</v>
      </c>
      <c r="K354" t="str">
        <f t="shared" si="26"/>
        <v>2676433</v>
      </c>
      <c r="L354" t="str">
        <f t="shared" si="27"/>
        <v>DE</v>
      </c>
    </row>
    <row r="355" spans="1:12" ht="54" x14ac:dyDescent="0.2">
      <c r="A355" s="37">
        <v>264</v>
      </c>
      <c r="B355" s="37">
        <v>353</v>
      </c>
      <c r="C355" s="37" t="s">
        <v>417</v>
      </c>
      <c r="D355" s="39" t="s">
        <v>802</v>
      </c>
      <c r="E355" s="38">
        <f>IF([2]AA!D308&lt;&gt;"",[2]AA!D308,"")</f>
        <v>5098</v>
      </c>
      <c r="F355" s="38">
        <f>IF([2]AA!E308&lt;&gt;"",[2]AA!E308,"")</f>
        <v>5097</v>
      </c>
      <c r="G355" s="38">
        <f>IF([2]AA!F308&lt;&gt;"",[2]AA!F308,"")</f>
        <v>1</v>
      </c>
      <c r="H355" s="38">
        <f>IF([2]AA!G308&lt;&gt;"",[2]AA!G308,"")</f>
        <v>5097</v>
      </c>
      <c r="I355" s="38">
        <f>IF([2]AA!H308&lt;&gt;"",[2]AA!H308,"")</f>
        <v>1</v>
      </c>
      <c r="J355" s="58">
        <f t="shared" si="25"/>
        <v>0.99980384464495886</v>
      </c>
      <c r="K355" t="str">
        <f t="shared" si="26"/>
        <v>2681130</v>
      </c>
      <c r="L355" t="str">
        <f t="shared" si="27"/>
        <v>DE</v>
      </c>
    </row>
    <row r="356" spans="1:12" ht="63" x14ac:dyDescent="0.2">
      <c r="A356" s="37">
        <v>265</v>
      </c>
      <c r="B356" s="37">
        <v>354</v>
      </c>
      <c r="C356" s="37" t="s">
        <v>417</v>
      </c>
      <c r="D356" s="39" t="s">
        <v>803</v>
      </c>
      <c r="E356" s="38">
        <f>IF([2]AA!D309&lt;&gt;"",[2]AA!D309,"")</f>
        <v>4800</v>
      </c>
      <c r="F356" s="38">
        <f>IF([2]AA!E309&lt;&gt;"",[2]AA!E309,"")</f>
        <v>4800</v>
      </c>
      <c r="G356" s="38">
        <f>IF([2]AA!F309&lt;&gt;"",[2]AA!F309,"")</f>
        <v>0</v>
      </c>
      <c r="H356" s="38">
        <f>IF([2]AA!G309&lt;&gt;"",[2]AA!G309,"")</f>
        <v>4800</v>
      </c>
      <c r="I356" s="38">
        <f>IF([2]AA!H309&lt;&gt;"",[2]AA!H309,"")</f>
        <v>0</v>
      </c>
      <c r="J356" s="58">
        <f t="shared" si="25"/>
        <v>1</v>
      </c>
      <c r="K356" t="str">
        <f t="shared" si="26"/>
        <v>2676440</v>
      </c>
      <c r="L356" t="str">
        <f t="shared" si="27"/>
        <v>DE</v>
      </c>
    </row>
    <row r="357" spans="1:12" ht="63" x14ac:dyDescent="0.2">
      <c r="A357" s="37">
        <v>266</v>
      </c>
      <c r="B357" s="37" t="s">
        <v>704</v>
      </c>
      <c r="C357" s="40" t="s">
        <v>418</v>
      </c>
      <c r="D357" s="39" t="s">
        <v>220</v>
      </c>
      <c r="E357" s="38">
        <f>IF([2]AA!D5&lt;&gt;"",[2]AA!D5,"")</f>
        <v>10918999</v>
      </c>
      <c r="F357" s="38">
        <f>IF([2]AA!E5&lt;&gt;"",[2]AA!E5,"")</f>
        <v>10898179.49</v>
      </c>
      <c r="G357" s="38">
        <f>IF([2]AA!F5&lt;&gt;"",[2]AA!F5,"")</f>
        <v>20819.509999999776</v>
      </c>
      <c r="H357" s="38">
        <f>IF([2]AA!G5&lt;&gt;"",[2]AA!G5,"")</f>
        <v>1805867.62</v>
      </c>
      <c r="I357" s="38">
        <f>IF([2]AA!H5&lt;&gt;"",[2]AA!H5,"")</f>
        <v>9113131.379999999</v>
      </c>
      <c r="J357" s="58">
        <f t="shared" si="25"/>
        <v>0.16538765320887017</v>
      </c>
      <c r="K357" t="str">
        <f t="shared" si="26"/>
        <v>2183634</v>
      </c>
      <c r="L357" t="str">
        <f t="shared" si="27"/>
        <v>RNyGA</v>
      </c>
    </row>
    <row r="358" spans="1:12" ht="72" x14ac:dyDescent="0.2">
      <c r="A358" s="37">
        <v>267</v>
      </c>
      <c r="B358" s="37" t="s">
        <v>705</v>
      </c>
      <c r="C358" s="37" t="s">
        <v>418</v>
      </c>
      <c r="D358" s="39" t="s">
        <v>341</v>
      </c>
      <c r="E358" s="38">
        <f>IF([2]AA!D6&lt;&gt;"",[2]AA!D6,"")</f>
        <v>300000</v>
      </c>
      <c r="F358" s="38">
        <f>IF([2]AA!E6&lt;&gt;"",[2]AA!E6,"")</f>
        <v>26893</v>
      </c>
      <c r="G358" s="38">
        <f>IF([2]AA!F6&lt;&gt;"",[2]AA!F6,"")</f>
        <v>273107</v>
      </c>
      <c r="H358" s="38">
        <f>IF([2]AA!G6&lt;&gt;"",[2]AA!G6,"")</f>
        <v>26892.69</v>
      </c>
      <c r="I358" s="38">
        <f>IF([2]AA!H6&lt;&gt;"",[2]AA!H6,"")</f>
        <v>273107.31</v>
      </c>
      <c r="J358" s="58">
        <f t="shared" si="25"/>
        <v>8.9642299999999994E-2</v>
      </c>
      <c r="K358" t="str">
        <f t="shared" si="26"/>
        <v>2357438</v>
      </c>
      <c r="L358" t="str">
        <f t="shared" si="27"/>
        <v>RNyGA</v>
      </c>
    </row>
    <row r="359" spans="1:12" ht="72" x14ac:dyDescent="0.2">
      <c r="A359" s="37">
        <v>268</v>
      </c>
      <c r="B359" s="37" t="s">
        <v>706</v>
      </c>
      <c r="C359" s="37" t="s">
        <v>418</v>
      </c>
      <c r="D359" s="39" t="s">
        <v>221</v>
      </c>
      <c r="E359" s="38">
        <f>IF([2]AA!D7&lt;&gt;"",[2]AA!D7,"")</f>
        <v>19658</v>
      </c>
      <c r="F359" s="38">
        <f>IF([2]AA!E7&lt;&gt;"",[2]AA!E7,"")</f>
        <v>3612</v>
      </c>
      <c r="G359" s="38">
        <f>IF([2]AA!F7&lt;&gt;"",[2]AA!F7,"")</f>
        <v>16046</v>
      </c>
      <c r="H359" s="38">
        <f>IF([2]AA!G7&lt;&gt;"",[2]AA!G7,"")</f>
        <v>0</v>
      </c>
      <c r="I359" s="38">
        <f>IF([2]AA!H7&lt;&gt;"",[2]AA!H7,"")</f>
        <v>19658</v>
      </c>
      <c r="J359" s="58">
        <f t="shared" si="25"/>
        <v>0</v>
      </c>
      <c r="K359" t="str">
        <f t="shared" si="26"/>
        <v>2520451</v>
      </c>
      <c r="L359" t="str">
        <f t="shared" si="27"/>
        <v>RNyGA</v>
      </c>
    </row>
    <row r="360" spans="1:12" ht="81" x14ac:dyDescent="0.2">
      <c r="A360" s="37">
        <v>269</v>
      </c>
      <c r="B360" s="37" t="s">
        <v>707</v>
      </c>
      <c r="C360" s="37" t="s">
        <v>418</v>
      </c>
      <c r="D360" s="39" t="s">
        <v>528</v>
      </c>
      <c r="E360" s="38">
        <f>IF([2]AA!D8&lt;&gt;"",[2]AA!D8,"")</f>
        <v>32099</v>
      </c>
      <c r="F360" s="38">
        <f>IF([2]AA!E8&lt;&gt;"",[2]AA!E8,"")</f>
        <v>0</v>
      </c>
      <c r="G360" s="38">
        <f>IF([2]AA!F8&lt;&gt;"",[2]AA!F8,"")</f>
        <v>32099</v>
      </c>
      <c r="H360" s="38">
        <f>IF([2]AA!G8&lt;&gt;"",[2]AA!G8,"")</f>
        <v>0</v>
      </c>
      <c r="I360" s="38">
        <f>IF([2]AA!H8&lt;&gt;"",[2]AA!H8,"")</f>
        <v>32099</v>
      </c>
      <c r="J360" s="58">
        <f t="shared" si="25"/>
        <v>0</v>
      </c>
      <c r="K360" t="str">
        <f t="shared" si="26"/>
        <v>2532916</v>
      </c>
      <c r="L360" t="str">
        <f t="shared" si="27"/>
        <v>RNyGA</v>
      </c>
    </row>
    <row r="361" spans="1:12" ht="72" x14ac:dyDescent="0.2">
      <c r="A361" s="37">
        <v>270</v>
      </c>
      <c r="B361" s="37" t="s">
        <v>708</v>
      </c>
      <c r="C361" s="37" t="s">
        <v>418</v>
      </c>
      <c r="D361" s="39" t="s">
        <v>150</v>
      </c>
      <c r="E361" s="38">
        <f>IF([2]AA!D9&lt;&gt;"",[2]AA!D9,"")</f>
        <v>3659376</v>
      </c>
      <c r="F361" s="38">
        <f>IF([2]AA!E9&lt;&gt;"",[2]AA!E9,"")</f>
        <v>1696574.6600000001</v>
      </c>
      <c r="G361" s="38">
        <f>IF([2]AA!F9&lt;&gt;"",[2]AA!F9,"")</f>
        <v>1962801.3399999999</v>
      </c>
      <c r="H361" s="38">
        <f>IF([2]AA!G9&lt;&gt;"",[2]AA!G9,"")</f>
        <v>928088.22</v>
      </c>
      <c r="I361" s="38">
        <f>IF([2]AA!H9&lt;&gt;"",[2]AA!H9,"")</f>
        <v>2731287.78</v>
      </c>
      <c r="J361" s="58">
        <f t="shared" si="25"/>
        <v>0.25361925639781208</v>
      </c>
      <c r="K361" t="str">
        <f t="shared" si="26"/>
        <v>2533866</v>
      </c>
      <c r="L361" t="str">
        <f t="shared" si="27"/>
        <v>RNyGA</v>
      </c>
    </row>
    <row r="362" spans="1:12" ht="72" x14ac:dyDescent="0.2">
      <c r="A362" s="37">
        <v>271</v>
      </c>
      <c r="B362" s="37" t="s">
        <v>709</v>
      </c>
      <c r="C362" s="37" t="s">
        <v>418</v>
      </c>
      <c r="D362" s="39" t="s">
        <v>247</v>
      </c>
      <c r="E362" s="38">
        <f>IF([2]AA!D101&lt;&gt;"",[2]AA!D101,"")</f>
        <v>4408286</v>
      </c>
      <c r="F362" s="38">
        <f>IF([2]AA!E101&lt;&gt;"",[2]AA!E101,"")</f>
        <v>0</v>
      </c>
      <c r="G362" s="38">
        <f>IF([2]AA!F101&lt;&gt;"",[2]AA!F101,"")</f>
        <v>4408286</v>
      </c>
      <c r="H362" s="38">
        <f>IF([2]AA!G101&lt;&gt;"",[2]AA!G101,"")</f>
        <v>0</v>
      </c>
      <c r="I362" s="38">
        <f>IF([2]AA!H101&lt;&gt;"",[2]AA!H101,"")</f>
        <v>4408286</v>
      </c>
      <c r="J362" s="58">
        <f t="shared" si="25"/>
        <v>0</v>
      </c>
      <c r="K362" t="str">
        <f t="shared" si="26"/>
        <v>2250970</v>
      </c>
      <c r="L362" t="str">
        <f t="shared" si="27"/>
        <v>RNyGA</v>
      </c>
    </row>
    <row r="363" spans="1:12" ht="45" x14ac:dyDescent="0.2">
      <c r="A363" s="37">
        <v>272</v>
      </c>
      <c r="B363" s="37" t="s">
        <v>710</v>
      </c>
      <c r="C363" s="37" t="s">
        <v>418</v>
      </c>
      <c r="D363" s="39" t="s">
        <v>499</v>
      </c>
      <c r="E363" s="38">
        <f>IF([2]AA!D102&lt;&gt;"",[2]AA!D102,"")</f>
        <v>528334</v>
      </c>
      <c r="F363" s="38">
        <f>IF([2]AA!E102&lt;&gt;"",[2]AA!E102,"")</f>
        <v>490460</v>
      </c>
      <c r="G363" s="38">
        <f>IF([2]AA!F102&lt;&gt;"",[2]AA!F102,"")</f>
        <v>37874</v>
      </c>
      <c r="H363" s="38">
        <f>IF([2]AA!G102&lt;&gt;"",[2]AA!G102,"")</f>
        <v>340882.28</v>
      </c>
      <c r="I363" s="38">
        <f>IF([2]AA!H102&lt;&gt;"",[2]AA!H102,"")</f>
        <v>187451.71999999997</v>
      </c>
      <c r="J363" s="58">
        <f t="shared" si="25"/>
        <v>0.64520223949244238</v>
      </c>
      <c r="K363" t="str">
        <f t="shared" si="26"/>
        <v>2625216</v>
      </c>
      <c r="L363" t="str">
        <f t="shared" si="27"/>
        <v>RNyGA</v>
      </c>
    </row>
    <row r="364" spans="1:12" ht="27" x14ac:dyDescent="0.2">
      <c r="A364" s="37">
        <v>273</v>
      </c>
      <c r="B364" s="37" t="s">
        <v>711</v>
      </c>
      <c r="C364" s="37" t="s">
        <v>418</v>
      </c>
      <c r="D364" s="39" t="s">
        <v>248</v>
      </c>
      <c r="E364" s="38">
        <f>IF([2]AA!D127&lt;&gt;"",[2]AA!D127,"")</f>
        <v>612293</v>
      </c>
      <c r="F364" s="38">
        <f>IF([2]AA!E127&lt;&gt;"",[2]AA!E127,"")</f>
        <v>612201</v>
      </c>
      <c r="G364" s="38">
        <f>IF([2]AA!F127&lt;&gt;"",[2]AA!F127,"")</f>
        <v>92</v>
      </c>
      <c r="H364" s="38">
        <f>IF([2]AA!G127&lt;&gt;"",[2]AA!G127,"")</f>
        <v>343940.07</v>
      </c>
      <c r="I364" s="38">
        <f>IF([2]AA!H127&lt;&gt;"",[2]AA!H127,"")</f>
        <v>268352.93</v>
      </c>
      <c r="J364" s="58">
        <f t="shared" si="25"/>
        <v>0.561724648166809</v>
      </c>
      <c r="K364" t="str">
        <f t="shared" si="26"/>
        <v>2260735</v>
      </c>
      <c r="L364" t="str">
        <f t="shared" si="27"/>
        <v>RNyGA</v>
      </c>
    </row>
    <row r="365" spans="1:12" ht="63" x14ac:dyDescent="0.2">
      <c r="A365" s="37">
        <v>274</v>
      </c>
      <c r="B365" s="37" t="s">
        <v>712</v>
      </c>
      <c r="C365" s="37" t="s">
        <v>418</v>
      </c>
      <c r="D365" s="39" t="s">
        <v>290</v>
      </c>
      <c r="E365" s="38">
        <f>IF([2]AA!D156&lt;&gt;"",[2]AA!D156,"")</f>
        <v>80000</v>
      </c>
      <c r="F365" s="38">
        <f>IF([2]AA!E156&lt;&gt;"",[2]AA!E156,"")</f>
        <v>55480</v>
      </c>
      <c r="G365" s="38">
        <f>IF([2]AA!F156&lt;&gt;"",[2]AA!F156,"")</f>
        <v>24520</v>
      </c>
      <c r="H365" s="38">
        <f>IF([2]AA!G156&lt;&gt;"",[2]AA!G156,"")</f>
        <v>33156.76</v>
      </c>
      <c r="I365" s="38">
        <f>IF([2]AA!H156&lt;&gt;"",[2]AA!H156,"")</f>
        <v>46843.24</v>
      </c>
      <c r="J365" s="58">
        <f t="shared" si="25"/>
        <v>0.41445950000000004</v>
      </c>
      <c r="K365" t="str">
        <f t="shared" si="26"/>
        <v>2549395</v>
      </c>
      <c r="L365" t="str">
        <f t="shared" si="27"/>
        <v>RNyGA</v>
      </c>
    </row>
    <row r="366" spans="1:12" ht="45" x14ac:dyDescent="0.2">
      <c r="A366" s="37">
        <v>275</v>
      </c>
      <c r="B366" s="37" t="s">
        <v>713</v>
      </c>
      <c r="C366" s="37" t="s">
        <v>418</v>
      </c>
      <c r="D366" s="39" t="s">
        <v>291</v>
      </c>
      <c r="E366" s="38">
        <f>IF([2]AA!D158&lt;&gt;"",[2]AA!D158,"")</f>
        <v>171495</v>
      </c>
      <c r="F366" s="38">
        <f>IF([2]AA!E158&lt;&gt;"",[2]AA!E158,"")</f>
        <v>50000</v>
      </c>
      <c r="G366" s="38">
        <f>IF([2]AA!F158&lt;&gt;"",[2]AA!F158,"")</f>
        <v>121495</v>
      </c>
      <c r="H366" s="38">
        <f>IF([2]AA!G158&lt;&gt;"",[2]AA!G158,"")</f>
        <v>47904.75</v>
      </c>
      <c r="I366" s="38">
        <f>IF([2]AA!H158&lt;&gt;"",[2]AA!H158,"")</f>
        <v>123590.25</v>
      </c>
      <c r="J366" s="58">
        <f t="shared" si="25"/>
        <v>0.27933613224875359</v>
      </c>
      <c r="K366" t="str">
        <f t="shared" si="26"/>
        <v>2566295</v>
      </c>
      <c r="L366" t="str">
        <f t="shared" si="27"/>
        <v>RNyGA</v>
      </c>
    </row>
    <row r="367" spans="1:12" ht="36" x14ac:dyDescent="0.2">
      <c r="A367" s="37">
        <v>276</v>
      </c>
      <c r="B367" s="37">
        <v>232</v>
      </c>
      <c r="C367" s="37" t="s">
        <v>418</v>
      </c>
      <c r="D367" s="39" t="s">
        <v>481</v>
      </c>
      <c r="E367" s="38">
        <f>IF([2]AA!D185&lt;&gt;"",[2]AA!D185,"")</f>
        <v>54666680</v>
      </c>
      <c r="F367" s="38">
        <f>IF([2]AA!E185&lt;&gt;"",[2]AA!E185,"")</f>
        <v>53669896.899999999</v>
      </c>
      <c r="G367" s="38">
        <f>IF([2]AA!F185&lt;&gt;"",[2]AA!F185,"")</f>
        <v>996783.1</v>
      </c>
      <c r="H367" s="38">
        <f>IF([2]AA!G185&lt;&gt;"",[2]AA!G185,"")</f>
        <v>94005.53</v>
      </c>
      <c r="I367" s="38">
        <f>IF([2]AA!H185&lt;&gt;"",[2]AA!H185,"")</f>
        <v>54572674.469999999</v>
      </c>
      <c r="J367" s="58">
        <f t="shared" si="25"/>
        <v>1.7196129342407476E-3</v>
      </c>
      <c r="K367" t="str">
        <f t="shared" si="26"/>
        <v>2631070</v>
      </c>
      <c r="L367" t="str">
        <f t="shared" si="27"/>
        <v>RNyGA</v>
      </c>
    </row>
    <row r="368" spans="1:12" ht="36" x14ac:dyDescent="0.2">
      <c r="A368" s="37"/>
      <c r="B368" s="37">
        <v>460</v>
      </c>
      <c r="C368" s="37" t="s">
        <v>418</v>
      </c>
      <c r="D368" s="39" t="s">
        <v>894</v>
      </c>
      <c r="E368" s="38">
        <f>IF([2]AA!D413&lt;&gt;"",[2]AA!D413,"")</f>
        <v>36445</v>
      </c>
      <c r="F368" s="38">
        <f>IF([2]AA!E413&lt;&gt;"",[2]AA!E413,"")</f>
        <v>0</v>
      </c>
      <c r="G368" s="38">
        <f>IF([2]AA!F413&lt;&gt;"",[2]AA!F413,"")</f>
        <v>36445</v>
      </c>
      <c r="H368" s="38">
        <f>IF([2]AA!G413&lt;&gt;"",[2]AA!G413,"")</f>
        <v>0</v>
      </c>
      <c r="I368" s="38">
        <f>IF([2]AA!H413&lt;&gt;"",[2]AA!H413,"")</f>
        <v>36445</v>
      </c>
      <c r="J368" s="58">
        <f t="shared" si="25"/>
        <v>0</v>
      </c>
    </row>
    <row r="369" spans="1:12" ht="27" x14ac:dyDescent="0.2">
      <c r="A369" s="37">
        <v>277</v>
      </c>
      <c r="B369" s="37" t="s">
        <v>714</v>
      </c>
      <c r="C369" s="40" t="s">
        <v>419</v>
      </c>
      <c r="D369" s="39" t="s">
        <v>495</v>
      </c>
      <c r="E369" s="38">
        <f>IF([2]AA!D36&lt;&gt;"",[2]AA!D36,"")</f>
        <v>200000</v>
      </c>
      <c r="F369" s="38">
        <f>IF([2]AA!E36&lt;&gt;"",[2]AA!E36,"")</f>
        <v>0</v>
      </c>
      <c r="G369" s="38">
        <f>IF([2]AA!F36&lt;&gt;"",[2]AA!F36,"")</f>
        <v>200000</v>
      </c>
      <c r="H369" s="38">
        <f>IF([2]AA!G36&lt;&gt;"",[2]AA!G36,"")</f>
        <v>0</v>
      </c>
      <c r="I369" s="38">
        <f>IF([2]AA!H36&lt;&gt;"",[2]AA!H36,"")</f>
        <v>200000</v>
      </c>
      <c r="J369" s="58">
        <f t="shared" si="25"/>
        <v>0</v>
      </c>
      <c r="K369" t="str">
        <f t="shared" si="26"/>
        <v>2026782</v>
      </c>
      <c r="L369" t="str">
        <f t="shared" si="27"/>
        <v>PETT</v>
      </c>
    </row>
    <row r="370" spans="1:12" ht="36" x14ac:dyDescent="0.2">
      <c r="A370" s="37">
        <v>278</v>
      </c>
      <c r="B370" s="37" t="s">
        <v>715</v>
      </c>
      <c r="C370" s="37" t="s">
        <v>419</v>
      </c>
      <c r="D370" s="39" t="s">
        <v>226</v>
      </c>
      <c r="E370" s="38">
        <f>IF([2]AA!D37&lt;&gt;"",[2]AA!D37,"")</f>
        <v>250000</v>
      </c>
      <c r="F370" s="38">
        <f>IF([2]AA!E37&lt;&gt;"",[2]AA!E37,"")</f>
        <v>250000</v>
      </c>
      <c r="G370" s="38">
        <f>IF([2]AA!F37&lt;&gt;"",[2]AA!F37,"")</f>
        <v>0</v>
      </c>
      <c r="H370" s="38">
        <f>IF([2]AA!G37&lt;&gt;"",[2]AA!G37,"")</f>
        <v>172068.84</v>
      </c>
      <c r="I370" s="38">
        <f>IF([2]AA!H37&lt;&gt;"",[2]AA!H37,"")</f>
        <v>77931.16</v>
      </c>
      <c r="J370" s="58">
        <f t="shared" si="25"/>
        <v>0.68827536</v>
      </c>
      <c r="K370" t="str">
        <f t="shared" si="26"/>
        <v>2324613</v>
      </c>
      <c r="L370" t="str">
        <f t="shared" si="27"/>
        <v>PETT</v>
      </c>
    </row>
    <row r="371" spans="1:12" ht="45" x14ac:dyDescent="0.2">
      <c r="A371" s="37">
        <v>279</v>
      </c>
      <c r="B371" s="37" t="s">
        <v>716</v>
      </c>
      <c r="C371" s="37" t="s">
        <v>419</v>
      </c>
      <c r="D371" s="39" t="s">
        <v>460</v>
      </c>
      <c r="E371" s="38">
        <f>IF([2]AA!D38&lt;&gt;"",[2]AA!D38,"")</f>
        <v>100000</v>
      </c>
      <c r="F371" s="38">
        <f>IF([2]AA!E38&lt;&gt;"",[2]AA!E38,"")</f>
        <v>50000</v>
      </c>
      <c r="G371" s="38">
        <f>IF([2]AA!F38&lt;&gt;"",[2]AA!F38,"")</f>
        <v>50000</v>
      </c>
      <c r="H371" s="38">
        <f>IF([2]AA!G38&lt;&gt;"",[2]AA!G38,"")</f>
        <v>0</v>
      </c>
      <c r="I371" s="38">
        <f>IF([2]AA!H38&lt;&gt;"",[2]AA!H38,"")</f>
        <v>100000</v>
      </c>
      <c r="J371" s="58">
        <f t="shared" si="25"/>
        <v>0</v>
      </c>
      <c r="K371" t="str">
        <f t="shared" si="26"/>
        <v>2603148</v>
      </c>
      <c r="L371" t="str">
        <f t="shared" si="27"/>
        <v>PETT</v>
      </c>
    </row>
    <row r="372" spans="1:12" ht="45" x14ac:dyDescent="0.2">
      <c r="A372" s="37">
        <v>280</v>
      </c>
      <c r="B372" s="37">
        <v>364</v>
      </c>
      <c r="C372" s="37" t="s">
        <v>419</v>
      </c>
      <c r="D372" s="39" t="s">
        <v>793</v>
      </c>
      <c r="E372" s="38">
        <f>IF([2]AA!D316&lt;&gt;"",[2]AA!D316,"")</f>
        <v>83160</v>
      </c>
      <c r="F372" s="38">
        <f>IF([2]AA!E316&lt;&gt;"",[2]AA!E316,"")</f>
        <v>83160</v>
      </c>
      <c r="G372" s="38">
        <f>IF([2]AA!F316&lt;&gt;"",[2]AA!F316,"")</f>
        <v>0</v>
      </c>
      <c r="H372" s="38">
        <f>IF([2]AA!G316&lt;&gt;"",[2]AA!G316,"")</f>
        <v>83100.399999999994</v>
      </c>
      <c r="I372" s="38">
        <f>IF([2]AA!H316&lt;&gt;"",[2]AA!H316,"")</f>
        <v>59.600000000005821</v>
      </c>
      <c r="J372" s="58">
        <f t="shared" si="25"/>
        <v>0.99928330928330922</v>
      </c>
      <c r="K372" t="str">
        <f t="shared" si="26"/>
        <v>2603160</v>
      </c>
      <c r="L372" t="str">
        <f t="shared" si="27"/>
        <v>PETT</v>
      </c>
    </row>
    <row r="373" spans="1:12" ht="27" x14ac:dyDescent="0.2">
      <c r="A373" s="37">
        <v>281</v>
      </c>
      <c r="B373" s="37" t="s">
        <v>717</v>
      </c>
      <c r="C373" s="40" t="s">
        <v>420</v>
      </c>
      <c r="D373" s="39" t="s">
        <v>225</v>
      </c>
      <c r="E373" s="38">
        <f>IF([2]AA!D125&lt;&gt;"",[2]AA!D125,"")</f>
        <v>316902</v>
      </c>
      <c r="F373" s="38">
        <f>IF([2]AA!E125&lt;&gt;"",[2]AA!E125,"")</f>
        <v>316214.59999999998</v>
      </c>
      <c r="G373" s="38">
        <f>IF([2]AA!F125&lt;&gt;"",[2]AA!F125,"")</f>
        <v>687.40000000002328</v>
      </c>
      <c r="H373" s="38">
        <f>IF([2]AA!G125&lt;&gt;"",[2]AA!G125,"")</f>
        <v>140423.94</v>
      </c>
      <c r="I373" s="38">
        <f>IF([2]AA!H125&lt;&gt;"",[2]AA!H125,"")</f>
        <v>176478.06</v>
      </c>
      <c r="J373" s="58">
        <f t="shared" si="25"/>
        <v>0.44311471685252857</v>
      </c>
      <c r="K373" t="str">
        <f t="shared" ref="K373:K396" si="28">MID(D373,1,7)</f>
        <v>2187217</v>
      </c>
      <c r="L373" t="str">
        <f t="shared" ref="L373:L396" si="29">C373</f>
        <v>PECSA</v>
      </c>
    </row>
    <row r="374" spans="1:12" ht="45" x14ac:dyDescent="0.2">
      <c r="A374" s="37">
        <v>282</v>
      </c>
      <c r="B374" s="37" t="s">
        <v>718</v>
      </c>
      <c r="C374" s="37" t="s">
        <v>420</v>
      </c>
      <c r="D374" s="39" t="s">
        <v>529</v>
      </c>
      <c r="E374" s="38">
        <f>IF([2]AA!D172&lt;&gt;"",[2]AA!D172,"")</f>
        <v>159574</v>
      </c>
      <c r="F374" s="38">
        <f>IF([2]AA!E172&lt;&gt;"",[2]AA!E172,"")</f>
        <v>125168.92</v>
      </c>
      <c r="G374" s="38">
        <f>IF([2]AA!F172&lt;&gt;"",[2]AA!F172,"")</f>
        <v>34405.08</v>
      </c>
      <c r="H374" s="38">
        <f>IF([2]AA!G172&lt;&gt;"",[2]AA!G172,"")</f>
        <v>80461.59</v>
      </c>
      <c r="I374" s="38">
        <f>IF([2]AA!H172&lt;&gt;"",[2]AA!H172,"")</f>
        <v>79112.41</v>
      </c>
      <c r="J374" s="58">
        <f t="shared" si="25"/>
        <v>0.50422744306716627</v>
      </c>
      <c r="K374" t="str">
        <f t="shared" si="28"/>
        <v>2603155</v>
      </c>
      <c r="L374" t="str">
        <f t="shared" si="29"/>
        <v>PECSA</v>
      </c>
    </row>
    <row r="375" spans="1:12" ht="45" x14ac:dyDescent="0.2">
      <c r="A375" s="37">
        <v>283</v>
      </c>
      <c r="B375" s="37" t="s">
        <v>719</v>
      </c>
      <c r="C375" s="40" t="s">
        <v>421</v>
      </c>
      <c r="D375" s="39" t="s">
        <v>174</v>
      </c>
      <c r="E375" s="38">
        <f>IF([2]AA!D19&lt;&gt;"",[2]AA!D19,"")</f>
        <v>19795501</v>
      </c>
      <c r="F375" s="38">
        <f>IF([2]AA!E19&lt;&gt;"",[2]AA!E19,"")</f>
        <v>14796509.479999999</v>
      </c>
      <c r="G375" s="38">
        <f>IF([2]AA!F19&lt;&gt;"",[2]AA!F19,"")</f>
        <v>4998991.5200000014</v>
      </c>
      <c r="H375" s="38">
        <f>IF([2]AA!G19&lt;&gt;"",[2]AA!G19,"")</f>
        <v>8716701.5899999999</v>
      </c>
      <c r="I375" s="38">
        <f>IF([2]AA!H19&lt;&gt;"",[2]AA!H19,"")</f>
        <v>11078799.41</v>
      </c>
      <c r="J375" s="58">
        <f t="shared" si="25"/>
        <v>0.44033750850761494</v>
      </c>
      <c r="K375" t="str">
        <f t="shared" si="28"/>
        <v>2300786</v>
      </c>
      <c r="L375" t="str">
        <f t="shared" si="29"/>
        <v>DS</v>
      </c>
    </row>
    <row r="376" spans="1:12" ht="36" x14ac:dyDescent="0.2">
      <c r="A376" s="37">
        <v>284</v>
      </c>
      <c r="B376" s="37" t="s">
        <v>720</v>
      </c>
      <c r="C376" s="37" t="s">
        <v>421</v>
      </c>
      <c r="D376" s="39" t="s">
        <v>287</v>
      </c>
      <c r="E376" s="38">
        <f>IF([2]AA!D120&lt;&gt;"",[2]AA!D120,"")</f>
        <v>0</v>
      </c>
      <c r="F376" s="38">
        <f>IF([2]AA!E120&lt;&gt;"",[2]AA!E120,"")</f>
        <v>0</v>
      </c>
      <c r="G376" s="38">
        <f>IF([2]AA!F120&lt;&gt;"",[2]AA!F120,"")</f>
        <v>0</v>
      </c>
      <c r="H376" s="38">
        <f>IF([2]AA!G120&lt;&gt;"",[2]AA!G120,"")</f>
        <v>0</v>
      </c>
      <c r="I376" s="38">
        <f>IF([2]AA!H120&lt;&gt;"",[2]AA!H120,"")</f>
        <v>0</v>
      </c>
      <c r="J376" s="58" t="e">
        <f t="shared" si="25"/>
        <v>#DIV/0!</v>
      </c>
      <c r="K376" t="str">
        <f t="shared" si="28"/>
        <v>2158850</v>
      </c>
      <c r="L376" t="str">
        <f t="shared" si="29"/>
        <v>DS</v>
      </c>
    </row>
    <row r="377" spans="1:12" ht="36" x14ac:dyDescent="0.2">
      <c r="A377" s="37">
        <v>285</v>
      </c>
      <c r="B377" s="37" t="s">
        <v>721</v>
      </c>
      <c r="C377" s="37" t="s">
        <v>421</v>
      </c>
      <c r="D377" s="39" t="s">
        <v>204</v>
      </c>
      <c r="E377" s="38">
        <f>IF([2]AA!D144&lt;&gt;"",[2]AA!D144,"")</f>
        <v>82625</v>
      </c>
      <c r="F377" s="38">
        <f>IF([2]AA!E144&lt;&gt;"",[2]AA!E144,"")</f>
        <v>81593.5</v>
      </c>
      <c r="G377" s="38">
        <f>IF([2]AA!F144&lt;&gt;"",[2]AA!F144,"")</f>
        <v>1031.5</v>
      </c>
      <c r="H377" s="38">
        <f>IF([2]AA!G144&lt;&gt;"",[2]AA!G144,"")</f>
        <v>69050.51999999999</v>
      </c>
      <c r="I377" s="38">
        <f>IF([2]AA!H144&lt;&gt;"",[2]AA!H144,"")</f>
        <v>13574.48000000001</v>
      </c>
      <c r="J377" s="58">
        <f t="shared" si="25"/>
        <v>0.83570977307110428</v>
      </c>
      <c r="K377" t="str">
        <f t="shared" si="28"/>
        <v>2455185</v>
      </c>
      <c r="L377" t="str">
        <f t="shared" si="29"/>
        <v>DS</v>
      </c>
    </row>
    <row r="378" spans="1:12" ht="54" x14ac:dyDescent="0.2">
      <c r="A378" s="37">
        <v>286</v>
      </c>
      <c r="B378" s="37" t="s">
        <v>722</v>
      </c>
      <c r="C378" s="37" t="s">
        <v>421</v>
      </c>
      <c r="D378" s="39" t="s">
        <v>366</v>
      </c>
      <c r="E378" s="38">
        <f>IF([2]AA!D153&lt;&gt;"",[2]AA!D153,"")</f>
        <v>41720</v>
      </c>
      <c r="F378" s="38">
        <f>IF([2]AA!E153&lt;&gt;"",[2]AA!E153,"")</f>
        <v>31883.37</v>
      </c>
      <c r="G378" s="38">
        <f>IF([2]AA!F153&lt;&gt;"",[2]AA!F153,"")</f>
        <v>9836.630000000001</v>
      </c>
      <c r="H378" s="38">
        <f>IF([2]AA!G153&lt;&gt;"",[2]AA!G153,"")</f>
        <v>27893.370000000003</v>
      </c>
      <c r="I378" s="38">
        <f>IF([2]AA!H153&lt;&gt;"",[2]AA!H153,"")</f>
        <v>13826.629999999997</v>
      </c>
      <c r="J378" s="58">
        <f t="shared" si="25"/>
        <v>0.66858509108341324</v>
      </c>
      <c r="K378" t="str">
        <f t="shared" si="28"/>
        <v>2531093</v>
      </c>
      <c r="L378" t="str">
        <f t="shared" si="29"/>
        <v>DS</v>
      </c>
    </row>
    <row r="379" spans="1:12" ht="45" x14ac:dyDescent="0.2">
      <c r="A379" s="37">
        <v>287</v>
      </c>
      <c r="B379" s="37" t="s">
        <v>723</v>
      </c>
      <c r="C379" s="37" t="s">
        <v>421</v>
      </c>
      <c r="D379" s="39" t="s">
        <v>296</v>
      </c>
      <c r="E379" s="38">
        <f>IF([2]AA!D159&lt;&gt;"",[2]AA!D159,"")</f>
        <v>0</v>
      </c>
      <c r="F379" s="38">
        <f>IF([2]AA!E159&lt;&gt;"",[2]AA!E159,"")</f>
        <v>0</v>
      </c>
      <c r="G379" s="38">
        <f>IF([2]AA!F159&lt;&gt;"",[2]AA!F159,"")</f>
        <v>0</v>
      </c>
      <c r="H379" s="38">
        <f>IF([2]AA!G159&lt;&gt;"",[2]AA!G159,"")</f>
        <v>0</v>
      </c>
      <c r="I379" s="38">
        <f>IF([2]AA!H159&lt;&gt;"",[2]AA!H159,"")</f>
        <v>0</v>
      </c>
      <c r="J379" s="58" t="e">
        <f t="shared" si="25"/>
        <v>#DIV/0!</v>
      </c>
      <c r="K379" t="str">
        <f t="shared" si="28"/>
        <v>2567368</v>
      </c>
      <c r="L379" t="str">
        <f t="shared" si="29"/>
        <v>DS</v>
      </c>
    </row>
    <row r="380" spans="1:12" ht="54" x14ac:dyDescent="0.2">
      <c r="A380" s="37">
        <v>288</v>
      </c>
      <c r="B380" s="37" t="s">
        <v>724</v>
      </c>
      <c r="C380" s="37" t="s">
        <v>421</v>
      </c>
      <c r="D380" s="39" t="s">
        <v>297</v>
      </c>
      <c r="E380" s="38">
        <f>IF([2]AA!D160&lt;&gt;"",[2]AA!D160,"")</f>
        <v>704972</v>
      </c>
      <c r="F380" s="38">
        <f>IF([2]AA!E160&lt;&gt;"",[2]AA!E160,"")</f>
        <v>10995</v>
      </c>
      <c r="G380" s="38">
        <f>IF([2]AA!F160&lt;&gt;"",[2]AA!F160,"")</f>
        <v>693977</v>
      </c>
      <c r="H380" s="38">
        <f>IF([2]AA!G160&lt;&gt;"",[2]AA!G160,"")</f>
        <v>0</v>
      </c>
      <c r="I380" s="38">
        <f>IF([2]AA!H160&lt;&gt;"",[2]AA!H160,"")</f>
        <v>704972</v>
      </c>
      <c r="J380" s="58">
        <f t="shared" si="25"/>
        <v>0</v>
      </c>
      <c r="K380" t="str">
        <f t="shared" si="28"/>
        <v>2567375</v>
      </c>
      <c r="L380" t="str">
        <f t="shared" si="29"/>
        <v>DS</v>
      </c>
    </row>
    <row r="381" spans="1:12" ht="63" x14ac:dyDescent="0.2">
      <c r="A381" s="37">
        <v>289</v>
      </c>
      <c r="B381" s="37" t="s">
        <v>725</v>
      </c>
      <c r="C381" s="37" t="s">
        <v>421</v>
      </c>
      <c r="D381" s="39" t="s">
        <v>214</v>
      </c>
      <c r="E381" s="38">
        <f>IF([2]AA!D171&lt;&gt;"",[2]AA!D171,"")</f>
        <v>40486</v>
      </c>
      <c r="F381" s="38">
        <f>IF([2]AA!E171&lt;&gt;"",[2]AA!E171,"")</f>
        <v>27985</v>
      </c>
      <c r="G381" s="38">
        <f>IF([2]AA!F171&lt;&gt;"",[2]AA!F171,"")</f>
        <v>12501</v>
      </c>
      <c r="H381" s="38">
        <f>IF([2]AA!G171&lt;&gt;"",[2]AA!G171,"")</f>
        <v>15934.18</v>
      </c>
      <c r="I381" s="38">
        <f>IF([2]AA!H171&lt;&gt;"",[2]AA!H171,"")</f>
        <v>24551.82</v>
      </c>
      <c r="J381" s="58">
        <f t="shared" si="25"/>
        <v>0.39357259299510944</v>
      </c>
      <c r="K381" t="str">
        <f t="shared" si="28"/>
        <v>2601475</v>
      </c>
      <c r="L381" t="str">
        <f t="shared" si="29"/>
        <v>DS</v>
      </c>
    </row>
    <row r="382" spans="1:12" ht="81" x14ac:dyDescent="0.2">
      <c r="A382" s="37">
        <v>290</v>
      </c>
      <c r="B382" s="37" t="s">
        <v>726</v>
      </c>
      <c r="C382" s="37" t="s">
        <v>421</v>
      </c>
      <c r="D382" s="39" t="s">
        <v>330</v>
      </c>
      <c r="E382" s="38">
        <f>IF([2]AA!D175&lt;&gt;"",[2]AA!D175,"")</f>
        <v>0</v>
      </c>
      <c r="F382" s="38">
        <f>IF([2]AA!E175&lt;&gt;"",[2]AA!E175,"")</f>
        <v>0</v>
      </c>
      <c r="G382" s="38">
        <f>IF([2]AA!F175&lt;&gt;"",[2]AA!F175,"")</f>
        <v>0</v>
      </c>
      <c r="H382" s="38">
        <f>IF([2]AA!G175&lt;&gt;"",[2]AA!G175,"")</f>
        <v>0</v>
      </c>
      <c r="I382" s="38">
        <f>IF([2]AA!H175&lt;&gt;"",[2]AA!H175,"")</f>
        <v>0</v>
      </c>
      <c r="J382" s="58" t="e">
        <f t="shared" ref="J382:J448" si="30">H382/E382</f>
        <v>#DIV/0!</v>
      </c>
      <c r="K382" t="str">
        <f t="shared" si="28"/>
        <v>2608728</v>
      </c>
      <c r="L382" t="str">
        <f t="shared" si="29"/>
        <v>DS</v>
      </c>
    </row>
    <row r="383" spans="1:12" ht="63" x14ac:dyDescent="0.2">
      <c r="A383" s="37">
        <v>291</v>
      </c>
      <c r="B383" s="37" t="s">
        <v>727</v>
      </c>
      <c r="C383" s="37" t="s">
        <v>421</v>
      </c>
      <c r="D383" s="39" t="s">
        <v>298</v>
      </c>
      <c r="E383" s="38">
        <f>IF([2]AA!D176&lt;&gt;"",[2]AA!D176,"")</f>
        <v>0</v>
      </c>
      <c r="F383" s="38">
        <f>IF([2]AA!E176&lt;&gt;"",[2]AA!E176,"")</f>
        <v>0</v>
      </c>
      <c r="G383" s="38">
        <f>IF([2]AA!F176&lt;&gt;"",[2]AA!F176,"")</f>
        <v>0</v>
      </c>
      <c r="H383" s="38">
        <f>IF([2]AA!G176&lt;&gt;"",[2]AA!G176,"")</f>
        <v>0</v>
      </c>
      <c r="I383" s="38">
        <f>IF([2]AA!H176&lt;&gt;"",[2]AA!H176,"")</f>
        <v>0</v>
      </c>
      <c r="J383" s="58" t="e">
        <f t="shared" si="30"/>
        <v>#DIV/0!</v>
      </c>
      <c r="K383" t="str">
        <f t="shared" si="28"/>
        <v>2611130</v>
      </c>
      <c r="L383" t="str">
        <f t="shared" si="29"/>
        <v>DS</v>
      </c>
    </row>
    <row r="384" spans="1:12" ht="63" x14ac:dyDescent="0.2">
      <c r="A384" s="37">
        <v>292</v>
      </c>
      <c r="B384" s="37" t="s">
        <v>728</v>
      </c>
      <c r="C384" s="37" t="s">
        <v>421</v>
      </c>
      <c r="D384" s="39" t="s">
        <v>299</v>
      </c>
      <c r="E384" s="38">
        <f>IF([2]AA!D177&lt;&gt;"",[2]AA!D177,"")</f>
        <v>3866926</v>
      </c>
      <c r="F384" s="38">
        <f>IF([2]AA!E177&lt;&gt;"",[2]AA!E177,"")</f>
        <v>1976433.06</v>
      </c>
      <c r="G384" s="38">
        <f>IF([2]AA!F177&lt;&gt;"",[2]AA!F177,"")</f>
        <v>1890492.94</v>
      </c>
      <c r="H384" s="38">
        <f>IF([2]AA!G177&lt;&gt;"",[2]AA!G177,"")</f>
        <v>1546370.9999999998</v>
      </c>
      <c r="I384" s="38">
        <f>IF([2]AA!H177&lt;&gt;"",[2]AA!H177,"")</f>
        <v>2320555</v>
      </c>
      <c r="J384" s="58">
        <f t="shared" si="30"/>
        <v>0.39989671382384867</v>
      </c>
      <c r="K384" t="str">
        <f t="shared" si="28"/>
        <v>2611144</v>
      </c>
      <c r="L384" t="str">
        <f t="shared" si="29"/>
        <v>DS</v>
      </c>
    </row>
    <row r="385" spans="1:12" ht="45" x14ac:dyDescent="0.2">
      <c r="A385" s="37">
        <v>293</v>
      </c>
      <c r="B385" s="37" t="s">
        <v>729</v>
      </c>
      <c r="C385" s="37" t="s">
        <v>421</v>
      </c>
      <c r="D385" s="39" t="s">
        <v>300</v>
      </c>
      <c r="E385" s="38">
        <f>IF([2]AA!D178&lt;&gt;"",[2]AA!D178,"")</f>
        <v>39135749</v>
      </c>
      <c r="F385" s="38">
        <f>IF([2]AA!E178&lt;&gt;"",[2]AA!E178,"")</f>
        <v>0</v>
      </c>
      <c r="G385" s="38">
        <f>IF([2]AA!F178&lt;&gt;"",[2]AA!F178,"")</f>
        <v>39135749</v>
      </c>
      <c r="H385" s="38">
        <f>IF([2]AA!G178&lt;&gt;"",[2]AA!G178,"")</f>
        <v>0</v>
      </c>
      <c r="I385" s="38">
        <f>IF([2]AA!H178&lt;&gt;"",[2]AA!H178,"")</f>
        <v>39135749</v>
      </c>
      <c r="J385" s="58">
        <f t="shared" si="30"/>
        <v>0</v>
      </c>
      <c r="K385" t="str">
        <f t="shared" si="28"/>
        <v>2613817</v>
      </c>
      <c r="L385" t="str">
        <f t="shared" si="29"/>
        <v>DS</v>
      </c>
    </row>
    <row r="386" spans="1:12" ht="45" x14ac:dyDescent="0.2">
      <c r="A386" s="37">
        <v>294</v>
      </c>
      <c r="B386" s="37" t="s">
        <v>730</v>
      </c>
      <c r="C386" s="37" t="s">
        <v>421</v>
      </c>
      <c r="D386" s="39" t="s">
        <v>367</v>
      </c>
      <c r="E386" s="38">
        <f>IF([2]AA!D183&lt;&gt;"",[2]AA!D183,"")</f>
        <v>1150445</v>
      </c>
      <c r="F386" s="38">
        <f>IF([2]AA!E183&lt;&gt;"",[2]AA!E183,"")</f>
        <v>1051294.8999999999</v>
      </c>
      <c r="G386" s="38">
        <f>IF([2]AA!F183&lt;&gt;"",[2]AA!F183,"")</f>
        <v>99150.1</v>
      </c>
      <c r="H386" s="38">
        <f>IF([2]AA!G183&lt;&gt;"",[2]AA!G183,"")</f>
        <v>860641.51</v>
      </c>
      <c r="I386" s="38">
        <f>IF([2]AA!H183&lt;&gt;"",[2]AA!H183,"")</f>
        <v>289803.49000000005</v>
      </c>
      <c r="J386" s="58">
        <f t="shared" si="30"/>
        <v>0.74809444171603168</v>
      </c>
      <c r="K386" t="str">
        <f t="shared" si="28"/>
        <v>2639523</v>
      </c>
      <c r="L386" t="str">
        <f t="shared" si="29"/>
        <v>DS</v>
      </c>
    </row>
    <row r="387" spans="1:12" ht="45" x14ac:dyDescent="0.2">
      <c r="A387" s="37">
        <v>295</v>
      </c>
      <c r="B387" s="37">
        <v>243</v>
      </c>
      <c r="C387" s="37" t="s">
        <v>421</v>
      </c>
      <c r="D387" s="39" t="s">
        <v>216</v>
      </c>
      <c r="E387" s="38">
        <f>IF([2]AA!D196&lt;&gt;"",[2]AA!D196,"")</f>
        <v>0</v>
      </c>
      <c r="F387" s="38">
        <f>IF([2]AA!E196&lt;&gt;"",[2]AA!E196,"")</f>
        <v>0</v>
      </c>
      <c r="G387" s="38">
        <f>IF([2]AA!F196&lt;&gt;"",[2]AA!F196,"")</f>
        <v>0</v>
      </c>
      <c r="H387" s="38">
        <f>IF([2]AA!G196&lt;&gt;"",[2]AA!G196,"")</f>
        <v>0</v>
      </c>
      <c r="I387" s="38">
        <f>IF([2]AA!H196&lt;&gt;"",[2]AA!H196,"")</f>
        <v>0</v>
      </c>
      <c r="J387" s="58" t="e">
        <f t="shared" si="30"/>
        <v>#DIV/0!</v>
      </c>
      <c r="K387" t="str">
        <f t="shared" si="28"/>
        <v>2468945</v>
      </c>
      <c r="L387" t="str">
        <f t="shared" si="29"/>
        <v>DS</v>
      </c>
    </row>
    <row r="388" spans="1:12" ht="45" x14ac:dyDescent="0.2">
      <c r="A388" s="37">
        <v>296</v>
      </c>
      <c r="B388" s="37">
        <v>268</v>
      </c>
      <c r="C388" s="37" t="s">
        <v>421</v>
      </c>
      <c r="D388" s="39" t="s">
        <v>467</v>
      </c>
      <c r="E388" s="38">
        <f>IF([2]AA!D212&lt;&gt;"",[2]AA!D212,"")</f>
        <v>7546000</v>
      </c>
      <c r="F388" s="38">
        <f>IF([2]AA!E212&lt;&gt;"",[2]AA!E212,"")</f>
        <v>6967921.3200000003</v>
      </c>
      <c r="G388" s="38">
        <f>IF([2]AA!F212&lt;&gt;"",[2]AA!F212,"")</f>
        <v>578078.68000000005</v>
      </c>
      <c r="H388" s="38">
        <f>IF([2]AA!G212&lt;&gt;"",[2]AA!G212,"")</f>
        <v>3307834.5200000005</v>
      </c>
      <c r="I388" s="38">
        <f>IF([2]AA!H212&lt;&gt;"",[2]AA!H212,"")</f>
        <v>4238165.4800000004</v>
      </c>
      <c r="J388" s="58">
        <f t="shared" si="30"/>
        <v>0.4383560190829579</v>
      </c>
      <c r="K388" t="str">
        <f t="shared" si="28"/>
        <v>2657837</v>
      </c>
      <c r="L388" t="str">
        <f t="shared" si="29"/>
        <v>DS</v>
      </c>
    </row>
    <row r="389" spans="1:12" ht="54" x14ac:dyDescent="0.2">
      <c r="A389" s="37">
        <v>297</v>
      </c>
      <c r="B389" s="37">
        <v>291</v>
      </c>
      <c r="C389" s="37" t="s">
        <v>421</v>
      </c>
      <c r="D389" s="39" t="s">
        <v>740</v>
      </c>
      <c r="E389" s="38">
        <f>IF([2]AA!D222&lt;&gt;"",[2]AA!D222,"")</f>
        <v>100000</v>
      </c>
      <c r="F389" s="38">
        <f>IF([2]AA!E222&lt;&gt;"",[2]AA!E222,"")</f>
        <v>100000</v>
      </c>
      <c r="G389" s="38">
        <f>IF([2]AA!F222&lt;&gt;"",[2]AA!F222,"")</f>
        <v>0</v>
      </c>
      <c r="H389" s="38">
        <f>IF([2]AA!G222&lt;&gt;"",[2]AA!G222,"")</f>
        <v>78413.2</v>
      </c>
      <c r="I389" s="38">
        <f>IF([2]AA!H222&lt;&gt;"",[2]AA!H222,"")</f>
        <v>21586.800000000003</v>
      </c>
      <c r="J389" s="58">
        <f t="shared" si="30"/>
        <v>0.78413199999999994</v>
      </c>
      <c r="K389" t="str">
        <f t="shared" si="28"/>
        <v>2488048</v>
      </c>
      <c r="L389" t="str">
        <f t="shared" si="29"/>
        <v>DS</v>
      </c>
    </row>
    <row r="390" spans="1:12" ht="54" x14ac:dyDescent="0.2">
      <c r="A390" s="37">
        <v>298</v>
      </c>
      <c r="B390" s="37">
        <v>355</v>
      </c>
      <c r="C390" s="37" t="s">
        <v>421</v>
      </c>
      <c r="D390" s="39" t="s">
        <v>213</v>
      </c>
      <c r="E390" s="38">
        <f>IF([2]AA!D310&lt;&gt;"",[2]AA!D310,"")</f>
        <v>12800</v>
      </c>
      <c r="F390" s="38">
        <f>IF([2]AA!E310&lt;&gt;"",[2]AA!E310,"")</f>
        <v>12800</v>
      </c>
      <c r="G390" s="38">
        <f>IF([2]AA!F310&lt;&gt;"",[2]AA!F310,"")</f>
        <v>0</v>
      </c>
      <c r="H390" s="38">
        <f>IF([2]AA!G310&lt;&gt;"",[2]AA!G310,"")</f>
        <v>0</v>
      </c>
      <c r="I390" s="38">
        <f>IF([2]AA!H310&lt;&gt;"",[2]AA!H310,"")</f>
        <v>12800</v>
      </c>
      <c r="J390" s="58">
        <f t="shared" si="30"/>
        <v>0</v>
      </c>
      <c r="K390" t="str">
        <f t="shared" si="28"/>
        <v>2544369</v>
      </c>
      <c r="L390" t="str">
        <f t="shared" si="29"/>
        <v>DS</v>
      </c>
    </row>
    <row r="391" spans="1:12" ht="54" x14ac:dyDescent="0.2">
      <c r="A391" s="37">
        <v>299</v>
      </c>
      <c r="B391" s="37">
        <v>365</v>
      </c>
      <c r="C391" s="37" t="s">
        <v>421</v>
      </c>
      <c r="D391" s="39" t="s">
        <v>794</v>
      </c>
      <c r="E391" s="38">
        <f>IF([2]AA!D317&lt;&gt;"",[2]AA!D317,"")</f>
        <v>335890</v>
      </c>
      <c r="F391" s="38">
        <f>IF([2]AA!E317&lt;&gt;"",[2]AA!E317,"")</f>
        <v>314900</v>
      </c>
      <c r="G391" s="38">
        <f>IF([2]AA!F317&lt;&gt;"",[2]AA!F317,"")</f>
        <v>20990</v>
      </c>
      <c r="H391" s="38">
        <f>IF([2]AA!G317&lt;&gt;"",[2]AA!G317,"")</f>
        <v>0</v>
      </c>
      <c r="I391" s="38">
        <f>IF([2]AA!H317&lt;&gt;"",[2]AA!H317,"")</f>
        <v>335890</v>
      </c>
      <c r="J391" s="58">
        <f t="shared" si="30"/>
        <v>0</v>
      </c>
      <c r="K391" t="str">
        <f t="shared" si="28"/>
        <v>2683535</v>
      </c>
      <c r="L391" t="str">
        <f t="shared" si="29"/>
        <v>DS</v>
      </c>
    </row>
    <row r="392" spans="1:12" ht="36" x14ac:dyDescent="0.2">
      <c r="A392" s="37">
        <v>300</v>
      </c>
      <c r="B392" s="37">
        <v>366</v>
      </c>
      <c r="C392" s="37" t="s">
        <v>421</v>
      </c>
      <c r="D392" s="39" t="s">
        <v>795</v>
      </c>
      <c r="E392" s="38">
        <f>IF([2]AA!D318&lt;&gt;"",[2]AA!D318,"")</f>
        <v>175166</v>
      </c>
      <c r="F392" s="38">
        <f>IF([2]AA!E318&lt;&gt;"",[2]AA!E318,"")</f>
        <v>166872</v>
      </c>
      <c r="G392" s="38">
        <f>IF([2]AA!F318&lt;&gt;"",[2]AA!F318,"")</f>
        <v>8294</v>
      </c>
      <c r="H392" s="38">
        <f>IF([2]AA!G318&lt;&gt;"",[2]AA!G318,"")</f>
        <v>5872</v>
      </c>
      <c r="I392" s="38">
        <f>IF([2]AA!H318&lt;&gt;"",[2]AA!H318,"")</f>
        <v>169294</v>
      </c>
      <c r="J392" s="58">
        <f t="shared" si="30"/>
        <v>3.352248724067456E-2</v>
      </c>
      <c r="K392" t="str">
        <f t="shared" si="28"/>
        <v>2668521</v>
      </c>
      <c r="L392" t="str">
        <f t="shared" si="29"/>
        <v>DS</v>
      </c>
    </row>
    <row r="393" spans="1:12" ht="36" x14ac:dyDescent="0.2">
      <c r="A393" s="37">
        <v>301</v>
      </c>
      <c r="B393" s="37">
        <v>367</v>
      </c>
      <c r="C393" s="37" t="s">
        <v>421</v>
      </c>
      <c r="D393" s="39" t="s">
        <v>796</v>
      </c>
      <c r="E393" s="38">
        <f>IF([2]AA!D319&lt;&gt;"",[2]AA!D319,"")</f>
        <v>14715</v>
      </c>
      <c r="F393" s="38">
        <f>IF([2]AA!E319&lt;&gt;"",[2]AA!E319,"")</f>
        <v>14714</v>
      </c>
      <c r="G393" s="38">
        <f>IF([2]AA!F319&lt;&gt;"",[2]AA!F319,"")</f>
        <v>1</v>
      </c>
      <c r="H393" s="38">
        <f>IF([2]AA!G319&lt;&gt;"",[2]AA!G319,"")</f>
        <v>14714</v>
      </c>
      <c r="I393" s="38">
        <f>IF([2]AA!H319&lt;&gt;"",[2]AA!H319,"")</f>
        <v>1</v>
      </c>
      <c r="J393" s="58">
        <f t="shared" si="30"/>
        <v>0.99993204213387699</v>
      </c>
      <c r="K393" t="str">
        <f t="shared" si="28"/>
        <v>2684028</v>
      </c>
      <c r="L393" t="str">
        <f t="shared" si="29"/>
        <v>DS</v>
      </c>
    </row>
    <row r="394" spans="1:12" ht="45" x14ac:dyDescent="0.2">
      <c r="A394" s="37">
        <v>302</v>
      </c>
      <c r="B394" s="37">
        <v>373</v>
      </c>
      <c r="C394" s="37" t="s">
        <v>421</v>
      </c>
      <c r="D394" s="39" t="s">
        <v>804</v>
      </c>
      <c r="E394" s="38">
        <f>IF([2]AA!D326&lt;&gt;"",[2]AA!D326,"")</f>
        <v>159547</v>
      </c>
      <c r="F394" s="38">
        <f>IF([2]AA!E326&lt;&gt;"",[2]AA!E326,"")</f>
        <v>149367</v>
      </c>
      <c r="G394" s="38">
        <f>IF([2]AA!F326&lt;&gt;"",[2]AA!F326,"")</f>
        <v>10180</v>
      </c>
      <c r="H394" s="38">
        <f>IF([2]AA!G326&lt;&gt;"",[2]AA!G326,"")</f>
        <v>21450</v>
      </c>
      <c r="I394" s="38">
        <f>IF([2]AA!H326&lt;&gt;"",[2]AA!H326,"")</f>
        <v>138097</v>
      </c>
      <c r="J394" s="58">
        <f t="shared" si="30"/>
        <v>0.13444314214620143</v>
      </c>
      <c r="K394" t="str">
        <f t="shared" si="28"/>
        <v>2685431</v>
      </c>
      <c r="L394" t="str">
        <f t="shared" si="29"/>
        <v>DS</v>
      </c>
    </row>
    <row r="395" spans="1:12" ht="63" x14ac:dyDescent="0.2">
      <c r="A395" s="37">
        <v>303</v>
      </c>
      <c r="B395" s="37">
        <v>389</v>
      </c>
      <c r="C395" s="37" t="s">
        <v>421</v>
      </c>
      <c r="D395" s="39" t="s">
        <v>808</v>
      </c>
      <c r="E395" s="38">
        <f>IF([2]AA!D342&lt;&gt;"",[2]AA!D342,"")</f>
        <v>146532</v>
      </c>
      <c r="F395" s="38">
        <f>IF([2]AA!E342&lt;&gt;"",[2]AA!E342,"")</f>
        <v>140645</v>
      </c>
      <c r="G395" s="38">
        <f>IF([2]AA!F342&lt;&gt;"",[2]AA!F342,"")</f>
        <v>5887</v>
      </c>
      <c r="H395" s="38">
        <f>IF([2]AA!G342&lt;&gt;"",[2]AA!G342,"")</f>
        <v>105497.5</v>
      </c>
      <c r="I395" s="38">
        <f>IF([2]AA!H342&lt;&gt;"",[2]AA!H342,"")</f>
        <v>41034.5</v>
      </c>
      <c r="J395" s="58">
        <f t="shared" si="30"/>
        <v>0.71996219255862204</v>
      </c>
      <c r="K395" t="str">
        <f t="shared" si="28"/>
        <v>2685776</v>
      </c>
      <c r="L395" t="str">
        <f t="shared" si="29"/>
        <v>DS</v>
      </c>
    </row>
    <row r="396" spans="1:12" ht="72" x14ac:dyDescent="0.2">
      <c r="A396" s="37">
        <v>304</v>
      </c>
      <c r="B396" s="37">
        <v>394</v>
      </c>
      <c r="C396" s="37" t="s">
        <v>421</v>
      </c>
      <c r="D396" s="39" t="s">
        <v>410</v>
      </c>
      <c r="E396" s="38">
        <f>IF([2]AA!D345&lt;&gt;"",[2]AA!D345,"")</f>
        <v>159862</v>
      </c>
      <c r="F396" s="38">
        <f>IF([2]AA!E345&lt;&gt;"",[2]AA!E345,"")</f>
        <v>86882.5</v>
      </c>
      <c r="G396" s="38">
        <f>IF([2]AA!F345&lt;&gt;"",[2]AA!F345,"")</f>
        <v>72979.5</v>
      </c>
      <c r="H396" s="38">
        <f>IF([2]AA!G345&lt;&gt;"",[2]AA!G345,"")</f>
        <v>83431.25</v>
      </c>
      <c r="I396" s="38">
        <f>IF([2]AA!H345&lt;&gt;"",[2]AA!H345,"")</f>
        <v>76430.75</v>
      </c>
      <c r="J396" s="58">
        <f t="shared" si="30"/>
        <v>0.52189544732331639</v>
      </c>
      <c r="K396" t="str">
        <f t="shared" si="28"/>
        <v>2600443</v>
      </c>
      <c r="L396" t="str">
        <f t="shared" si="29"/>
        <v>DS</v>
      </c>
    </row>
    <row r="397" spans="1:12" ht="36" x14ac:dyDescent="0.2">
      <c r="A397" s="37"/>
      <c r="B397" s="37">
        <v>418</v>
      </c>
      <c r="C397" s="37" t="s">
        <v>421</v>
      </c>
      <c r="D397" s="39" t="s">
        <v>856</v>
      </c>
      <c r="E397" s="38">
        <f>IF([2]AA!D368&lt;&gt;"",[2]AA!D368,"")</f>
        <v>159880</v>
      </c>
      <c r="F397" s="38">
        <f>IF([2]AA!E368&lt;&gt;"",[2]AA!E368,"")</f>
        <v>145050</v>
      </c>
      <c r="G397" s="38">
        <f>IF([2]AA!F368&lt;&gt;"",[2]AA!F368,"")</f>
        <v>14830</v>
      </c>
      <c r="H397" s="38">
        <f>IF([2]AA!G368&lt;&gt;"",[2]AA!G368,"")</f>
        <v>0</v>
      </c>
      <c r="I397" s="38">
        <f>IF([2]AA!H368&lt;&gt;"",[2]AA!H368,"")</f>
        <v>159880</v>
      </c>
      <c r="J397" s="58">
        <f t="shared" si="30"/>
        <v>0</v>
      </c>
    </row>
    <row r="398" spans="1:12" ht="36" x14ac:dyDescent="0.2">
      <c r="A398" s="37"/>
      <c r="B398" s="37">
        <v>419</v>
      </c>
      <c r="C398" s="37" t="s">
        <v>421</v>
      </c>
      <c r="D398" s="39" t="s">
        <v>857</v>
      </c>
      <c r="E398" s="38">
        <f>IF([2]AA!D369&lt;&gt;"",[2]AA!D369,"")</f>
        <v>592595</v>
      </c>
      <c r="F398" s="38">
        <f>IF([2]AA!E369&lt;&gt;"",[2]AA!E369,"")</f>
        <v>512793</v>
      </c>
      <c r="G398" s="38">
        <f>IF([2]AA!F369&lt;&gt;"",[2]AA!F369,"")</f>
        <v>79802</v>
      </c>
      <c r="H398" s="38">
        <f>IF([2]AA!G369&lt;&gt;"",[2]AA!G369,"")</f>
        <v>457562.99</v>
      </c>
      <c r="I398" s="38">
        <f>IF([2]AA!H369&lt;&gt;"",[2]AA!H369,"")</f>
        <v>135032.01</v>
      </c>
      <c r="J398" s="58">
        <f t="shared" si="30"/>
        <v>0.77213440882896411</v>
      </c>
    </row>
    <row r="399" spans="1:12" ht="36" x14ac:dyDescent="0.2">
      <c r="A399" s="37"/>
      <c r="B399" s="37">
        <v>420</v>
      </c>
      <c r="C399" s="37" t="s">
        <v>421</v>
      </c>
      <c r="D399" s="39" t="s">
        <v>858</v>
      </c>
      <c r="E399" s="38">
        <f>IF([2]AA!D370&lt;&gt;"",[2]AA!D370,"")</f>
        <v>303086</v>
      </c>
      <c r="F399" s="38">
        <f>IF([2]AA!E370&lt;&gt;"",[2]AA!E370,"")</f>
        <v>276239.45</v>
      </c>
      <c r="G399" s="38">
        <f>IF([2]AA!F370&lt;&gt;"",[2]AA!F370,"")</f>
        <v>26846.549999999988</v>
      </c>
      <c r="H399" s="38">
        <f>IF([2]AA!G370&lt;&gt;"",[2]AA!G370,"")</f>
        <v>251355.56000000003</v>
      </c>
      <c r="I399" s="38">
        <f>IF([2]AA!H370&lt;&gt;"",[2]AA!H370,"")</f>
        <v>51730.439999999973</v>
      </c>
      <c r="J399" s="58">
        <f t="shared" si="30"/>
        <v>0.82932091881512182</v>
      </c>
    </row>
    <row r="400" spans="1:12" ht="63" x14ac:dyDescent="0.2">
      <c r="A400" s="37"/>
      <c r="B400" s="37">
        <v>422</v>
      </c>
      <c r="C400" s="37" t="s">
        <v>421</v>
      </c>
      <c r="D400" s="39" t="s">
        <v>862</v>
      </c>
      <c r="E400" s="38">
        <f>IF([2]AA!D372&lt;&gt;"",[2]AA!D372,"")</f>
        <v>1041737</v>
      </c>
      <c r="F400" s="38">
        <f>IF([2]AA!E372&lt;&gt;"",[2]AA!E372,"")</f>
        <v>744129.26</v>
      </c>
      <c r="G400" s="38">
        <f>IF([2]AA!F372&lt;&gt;"",[2]AA!F372,"")</f>
        <v>297607.74</v>
      </c>
      <c r="H400" s="38">
        <f>IF([2]AA!G372&lt;&gt;"",[2]AA!G372,"")</f>
        <v>656080.49</v>
      </c>
      <c r="I400" s="38">
        <f>IF([2]AA!H372&lt;&gt;"",[2]AA!H372,"")</f>
        <v>385656.51</v>
      </c>
      <c r="J400" s="58">
        <f t="shared" si="30"/>
        <v>0.62979474665870561</v>
      </c>
    </row>
    <row r="401" spans="1:12" ht="63" x14ac:dyDescent="0.2">
      <c r="A401" s="37"/>
      <c r="B401" s="37">
        <v>423</v>
      </c>
      <c r="C401" s="37" t="s">
        <v>421</v>
      </c>
      <c r="D401" s="39" t="s">
        <v>863</v>
      </c>
      <c r="E401" s="38">
        <f>IF([2]AA!D373&lt;&gt;"",[2]AA!D373,"")</f>
        <v>1192344</v>
      </c>
      <c r="F401" s="38">
        <f>IF([2]AA!E373&lt;&gt;"",[2]AA!E373,"")</f>
        <v>1134656.92</v>
      </c>
      <c r="G401" s="38">
        <f>IF([2]AA!F373&lt;&gt;"",[2]AA!F373,"")</f>
        <v>57687.080000000075</v>
      </c>
      <c r="H401" s="38">
        <f>IF([2]AA!G373&lt;&gt;"",[2]AA!G373,"")</f>
        <v>964452.33</v>
      </c>
      <c r="I401" s="38">
        <f>IF([2]AA!H373&lt;&gt;"",[2]AA!H373,"")</f>
        <v>227891.67000000004</v>
      </c>
      <c r="J401" s="58">
        <f t="shared" si="30"/>
        <v>0.80887087115798795</v>
      </c>
    </row>
    <row r="402" spans="1:12" ht="72" x14ac:dyDescent="0.2">
      <c r="A402" s="37"/>
      <c r="B402" s="37">
        <v>424</v>
      </c>
      <c r="C402" s="37" t="s">
        <v>421</v>
      </c>
      <c r="D402" s="39" t="s">
        <v>864</v>
      </c>
      <c r="E402" s="38">
        <f>IF([2]AA!D374&lt;&gt;"",[2]AA!D374,"")</f>
        <v>105000</v>
      </c>
      <c r="F402" s="38">
        <f>IF([2]AA!E374&lt;&gt;"",[2]AA!E374,"")</f>
        <v>41847.300000000003</v>
      </c>
      <c r="G402" s="38">
        <f>IF([2]AA!F374&lt;&gt;"",[2]AA!F374,"")</f>
        <v>63152.7</v>
      </c>
      <c r="H402" s="38">
        <f>IF([2]AA!G374&lt;&gt;"",[2]AA!G374,"")</f>
        <v>30806.95</v>
      </c>
      <c r="I402" s="38">
        <f>IF([2]AA!H374&lt;&gt;"",[2]AA!H374,"")</f>
        <v>74193.05</v>
      </c>
      <c r="J402" s="58">
        <f t="shared" si="30"/>
        <v>0.29339952380952383</v>
      </c>
    </row>
    <row r="403" spans="1:12" ht="72" x14ac:dyDescent="0.2">
      <c r="A403" s="37"/>
      <c r="B403" s="37">
        <v>425</v>
      </c>
      <c r="C403" s="37" t="s">
        <v>421</v>
      </c>
      <c r="D403" s="39" t="s">
        <v>865</v>
      </c>
      <c r="E403" s="38">
        <f>IF([2]AA!D375&lt;&gt;"",[2]AA!D375,"")</f>
        <v>7112293</v>
      </c>
      <c r="F403" s="38">
        <f>IF([2]AA!E375&lt;&gt;"",[2]AA!E375,"")</f>
        <v>7092128.8300000001</v>
      </c>
      <c r="G403" s="38">
        <f>IF([2]AA!F375&lt;&gt;"",[2]AA!F375,"")</f>
        <v>20164.169999999925</v>
      </c>
      <c r="H403" s="38">
        <f>IF([2]AA!G375&lt;&gt;"",[2]AA!G375,"")</f>
        <v>6963811.4800000004</v>
      </c>
      <c r="I403" s="38">
        <f>IF([2]AA!H375&lt;&gt;"",[2]AA!H375,"")</f>
        <v>148481.51999999993</v>
      </c>
      <c r="J403" s="58">
        <f t="shared" si="30"/>
        <v>0.97912325603008765</v>
      </c>
    </row>
    <row r="404" spans="1:12" ht="81" x14ac:dyDescent="0.2">
      <c r="A404" s="37"/>
      <c r="B404" s="37">
        <v>426</v>
      </c>
      <c r="C404" s="37" t="s">
        <v>421</v>
      </c>
      <c r="D404" s="39" t="s">
        <v>866</v>
      </c>
      <c r="E404" s="38">
        <f>IF([2]AA!D376&lt;&gt;"",[2]AA!D376,"")</f>
        <v>768405</v>
      </c>
      <c r="F404" s="38">
        <f>IF([2]AA!E376&lt;&gt;"",[2]AA!E376,"")</f>
        <v>701949</v>
      </c>
      <c r="G404" s="38">
        <f>IF([2]AA!F376&lt;&gt;"",[2]AA!F376,"")</f>
        <v>66456</v>
      </c>
      <c r="H404" s="38">
        <f>IF([2]AA!G376&lt;&gt;"",[2]AA!G376,"")</f>
        <v>218956.35</v>
      </c>
      <c r="I404" s="38">
        <f>IF([2]AA!H376&lt;&gt;"",[2]AA!H376,"")</f>
        <v>549448.65</v>
      </c>
      <c r="J404" s="58">
        <f t="shared" si="30"/>
        <v>0.2849491479102817</v>
      </c>
    </row>
    <row r="405" spans="1:12" ht="72" x14ac:dyDescent="0.2">
      <c r="A405" s="37"/>
      <c r="B405" s="37">
        <v>430</v>
      </c>
      <c r="C405" s="37" t="s">
        <v>421</v>
      </c>
      <c r="D405" s="39" t="s">
        <v>870</v>
      </c>
      <c r="E405" s="38">
        <f>IF([2]AA!D383&lt;&gt;"",[2]AA!D383,"")</f>
        <v>521845</v>
      </c>
      <c r="F405" s="38">
        <f>IF([2]AA!E383&lt;&gt;"",[2]AA!E383,"")</f>
        <v>521845</v>
      </c>
      <c r="G405" s="38">
        <f>IF([2]AA!F383&lt;&gt;"",[2]AA!F383,"")</f>
        <v>0</v>
      </c>
      <c r="H405" s="38">
        <f>IF([2]AA!G383&lt;&gt;"",[2]AA!G383,"")</f>
        <v>109567.98</v>
      </c>
      <c r="I405" s="38">
        <f>IF([2]AA!H383&lt;&gt;"",[2]AA!H383,"")</f>
        <v>412277.02</v>
      </c>
      <c r="J405" s="58">
        <f t="shared" si="30"/>
        <v>0.20996269007080645</v>
      </c>
    </row>
    <row r="406" spans="1:12" ht="45" x14ac:dyDescent="0.2">
      <c r="A406" s="37"/>
      <c r="B406" s="37">
        <v>435</v>
      </c>
      <c r="C406" s="37" t="s">
        <v>421</v>
      </c>
      <c r="D406" s="39" t="s">
        <v>871</v>
      </c>
      <c r="E406" s="38">
        <f>IF([2]AA!D388&lt;&gt;"",[2]AA!D388,"")</f>
        <v>40621</v>
      </c>
      <c r="F406" s="38">
        <f>IF([2]AA!E388&lt;&gt;"",[2]AA!E388,"")</f>
        <v>2454.4</v>
      </c>
      <c r="G406" s="38">
        <f>IF([2]AA!F388&lt;&gt;"",[2]AA!F388,"")</f>
        <v>38166.6</v>
      </c>
      <c r="H406" s="38">
        <f>IF([2]AA!G388&lt;&gt;"",[2]AA!G388,"")</f>
        <v>2454.4</v>
      </c>
      <c r="I406" s="38">
        <f>IF([2]AA!H388&lt;&gt;"",[2]AA!H388,"")</f>
        <v>38166.6</v>
      </c>
      <c r="J406" s="58">
        <f t="shared" si="30"/>
        <v>6.042194923807883E-2</v>
      </c>
    </row>
    <row r="407" spans="1:12" ht="81" x14ac:dyDescent="0.2">
      <c r="A407" s="37"/>
      <c r="B407" s="37">
        <v>450</v>
      </c>
      <c r="C407" s="37" t="s">
        <v>421</v>
      </c>
      <c r="D407" s="39" t="s">
        <v>466</v>
      </c>
      <c r="E407" s="38">
        <f>IF([2]AA!D405&lt;&gt;"",[2]AA!D405,"")</f>
        <v>25000</v>
      </c>
      <c r="F407" s="38">
        <f>IF([2]AA!E405&lt;&gt;"",[2]AA!E405,"")</f>
        <v>0</v>
      </c>
      <c r="G407" s="38">
        <f>IF([2]AA!F405&lt;&gt;"",[2]AA!F405,"")</f>
        <v>25000</v>
      </c>
      <c r="H407" s="38">
        <f>IF([2]AA!G405&lt;&gt;"",[2]AA!G405,"")</f>
        <v>0</v>
      </c>
      <c r="I407" s="38">
        <f>IF([2]AA!H405&lt;&gt;"",[2]AA!H405,"")</f>
        <v>25000</v>
      </c>
      <c r="J407" s="58">
        <f t="shared" si="30"/>
        <v>0</v>
      </c>
    </row>
    <row r="408" spans="1:12" ht="36" x14ac:dyDescent="0.2">
      <c r="A408" s="37"/>
      <c r="B408" s="37">
        <v>457</v>
      </c>
      <c r="C408" s="37" t="s">
        <v>421</v>
      </c>
      <c r="D408" s="39" t="s">
        <v>892</v>
      </c>
      <c r="E408" s="38">
        <f>IF([2]AA!D410&lt;&gt;"",[2]AA!D410,"")</f>
        <v>114255</v>
      </c>
      <c r="F408" s="38">
        <f>IF([2]AA!E410&lt;&gt;"",[2]AA!E410,"")</f>
        <v>0</v>
      </c>
      <c r="G408" s="38">
        <f>IF([2]AA!F410&lt;&gt;"",[2]AA!F410,"")</f>
        <v>114255</v>
      </c>
      <c r="H408" s="38">
        <f>IF([2]AA!G410&lt;&gt;"",[2]AA!G410,"")</f>
        <v>0</v>
      </c>
      <c r="I408" s="38">
        <f>IF([2]AA!H410&lt;&gt;"",[2]AA!H410,"")</f>
        <v>114255</v>
      </c>
      <c r="J408" s="58">
        <f t="shared" si="30"/>
        <v>0</v>
      </c>
    </row>
    <row r="409" spans="1:12" ht="45" x14ac:dyDescent="0.2">
      <c r="A409" s="37"/>
      <c r="B409" s="37">
        <v>472</v>
      </c>
      <c r="C409" s="37" t="s">
        <v>421</v>
      </c>
      <c r="D409" s="39" t="s">
        <v>907</v>
      </c>
      <c r="E409" s="38" t="str">
        <f>IF([2]AA!D425&lt;&gt;"",[2]AA!D425,"")</f>
        <v/>
      </c>
      <c r="F409" s="38" t="str">
        <f>IF([2]AA!E425&lt;&gt;"",[2]AA!E425,"")</f>
        <v/>
      </c>
      <c r="G409" s="38" t="str">
        <f>IF([2]AA!F425&lt;&gt;"",[2]AA!F425,"")</f>
        <v/>
      </c>
      <c r="H409" s="38" t="str">
        <f>IF([2]AA!G425&lt;&gt;"",[2]AA!G425,"")</f>
        <v/>
      </c>
      <c r="I409" s="38" t="str">
        <f>IF([2]AA!H425&lt;&gt;"",[2]AA!H425,"")</f>
        <v/>
      </c>
      <c r="J409" s="58" t="e">
        <f t="shared" si="30"/>
        <v>#VALUE!</v>
      </c>
    </row>
    <row r="410" spans="1:12" ht="18" x14ac:dyDescent="0.2">
      <c r="A410" s="37">
        <v>305</v>
      </c>
      <c r="B410" s="37" t="s">
        <v>731</v>
      </c>
      <c r="C410" s="40" t="s">
        <v>422</v>
      </c>
      <c r="D410" s="39" t="s">
        <v>134</v>
      </c>
      <c r="E410" s="38">
        <f>IF([2]AA!D122&lt;&gt;"",[2]AA!D122,"")</f>
        <v>330710</v>
      </c>
      <c r="F410" s="38">
        <f>IF([2]AA!E122&lt;&gt;"",[2]AA!E122,"")</f>
        <v>273398.95</v>
      </c>
      <c r="G410" s="38">
        <f>IF([2]AA!F122&lt;&gt;"",[2]AA!F122,"")</f>
        <v>57311.049999999988</v>
      </c>
      <c r="H410" s="38">
        <f>IF([2]AA!G122&lt;&gt;"",[2]AA!G122,"")</f>
        <v>144969</v>
      </c>
      <c r="I410" s="38">
        <f>IF([2]AA!H122&lt;&gt;"",[2]AA!H122,"")</f>
        <v>185741</v>
      </c>
      <c r="J410" s="58">
        <f t="shared" si="30"/>
        <v>0.43835686855553202</v>
      </c>
      <c r="K410" t="str">
        <f t="shared" ref="K410:K437" si="31">MID(D410,1,7)</f>
        <v>2001621</v>
      </c>
      <c r="L410" t="str">
        <f t="shared" ref="L410:L437" si="32">C410</f>
        <v>PRE-I</v>
      </c>
    </row>
    <row r="411" spans="1:12" ht="18" x14ac:dyDescent="0.2">
      <c r="A411" s="37">
        <v>306</v>
      </c>
      <c r="B411" s="37" t="s">
        <v>732</v>
      </c>
      <c r="C411" s="37" t="s">
        <v>422</v>
      </c>
      <c r="D411" s="39" t="s">
        <v>134</v>
      </c>
      <c r="E411" s="38">
        <f>IF([2]AA!D186&lt;&gt;"",[2]AA!D186,"")</f>
        <v>3240369</v>
      </c>
      <c r="F411" s="38">
        <f>IF([2]AA!E186&lt;&gt;"",[2]AA!E186,"")</f>
        <v>2944317.4</v>
      </c>
      <c r="G411" s="38">
        <f>IF([2]AA!F186&lt;&gt;"",[2]AA!F186,"")</f>
        <v>296051.59999999998</v>
      </c>
      <c r="H411" s="38">
        <f>IF([2]AA!G186&lt;&gt;"",[2]AA!G186,"")</f>
        <v>1463904.21</v>
      </c>
      <c r="I411" s="38">
        <f>IF([2]AA!H186&lt;&gt;"",[2]AA!H186,"")</f>
        <v>1776464.79</v>
      </c>
      <c r="J411" s="58">
        <f t="shared" si="30"/>
        <v>0.45177083535856566</v>
      </c>
      <c r="K411" t="str">
        <f t="shared" si="31"/>
        <v>2001621</v>
      </c>
      <c r="L411" t="str">
        <f t="shared" si="32"/>
        <v>PRE-I</v>
      </c>
    </row>
    <row r="412" spans="1:12" ht="18" x14ac:dyDescent="0.2">
      <c r="A412" s="37">
        <v>307</v>
      </c>
      <c r="B412" s="37" t="s">
        <v>733</v>
      </c>
      <c r="C412" s="37" t="s">
        <v>422</v>
      </c>
      <c r="D412" s="39" t="s">
        <v>134</v>
      </c>
      <c r="E412" s="38">
        <f>IF([2]AA!D213&lt;&gt;"",[2]AA!D213,"")</f>
        <v>2000000</v>
      </c>
      <c r="F412" s="38">
        <f>IF([2]AA!E213&lt;&gt;"",[2]AA!E213,"")</f>
        <v>1179793</v>
      </c>
      <c r="G412" s="38">
        <f>IF([2]AA!F213&lt;&gt;"",[2]AA!F213,"")</f>
        <v>820207</v>
      </c>
      <c r="H412" s="38">
        <f>IF([2]AA!G213&lt;&gt;"",[2]AA!G213,"")</f>
        <v>0</v>
      </c>
      <c r="I412" s="38">
        <f>IF([2]AA!H213&lt;&gt;"",[2]AA!H213,"")</f>
        <v>2000000</v>
      </c>
      <c r="J412" s="58">
        <f t="shared" si="30"/>
        <v>0</v>
      </c>
      <c r="K412" t="str">
        <f t="shared" si="31"/>
        <v>2001621</v>
      </c>
      <c r="L412" t="str">
        <f t="shared" si="32"/>
        <v>PRE-I</v>
      </c>
    </row>
    <row r="413" spans="1:12" ht="18" x14ac:dyDescent="0.2">
      <c r="A413" s="37">
        <v>308</v>
      </c>
      <c r="B413" s="37" t="s">
        <v>734</v>
      </c>
      <c r="C413" s="37" t="s">
        <v>422</v>
      </c>
      <c r="D413" s="39" t="s">
        <v>134</v>
      </c>
      <c r="E413" s="38">
        <f>IF([2]AA!D214&lt;&gt;"",[2]AA!D214,"")</f>
        <v>0</v>
      </c>
      <c r="F413" s="38">
        <f>IF([2]AA!E214&lt;&gt;"",[2]AA!E214,"")</f>
        <v>0</v>
      </c>
      <c r="G413" s="38">
        <f>IF([2]AA!F214&lt;&gt;"",[2]AA!F214,"")</f>
        <v>0</v>
      </c>
      <c r="H413" s="38">
        <f>IF([2]AA!G214&lt;&gt;"",[2]AA!G214,"")</f>
        <v>0</v>
      </c>
      <c r="I413" s="38">
        <f>IF([2]AA!H214&lt;&gt;"",[2]AA!H214,"")</f>
        <v>0</v>
      </c>
      <c r="J413" s="58" t="e">
        <f t="shared" si="30"/>
        <v>#DIV/0!</v>
      </c>
      <c r="K413" t="str">
        <f t="shared" si="31"/>
        <v>2001621</v>
      </c>
      <c r="L413" t="str">
        <f t="shared" si="32"/>
        <v>PRE-I</v>
      </c>
    </row>
    <row r="414" spans="1:12" ht="18" x14ac:dyDescent="0.2">
      <c r="A414" s="37">
        <v>309</v>
      </c>
      <c r="B414" s="37" t="s">
        <v>735</v>
      </c>
      <c r="C414" s="37" t="s">
        <v>422</v>
      </c>
      <c r="D414" s="39" t="s">
        <v>134</v>
      </c>
      <c r="E414" s="38">
        <f>IF([2]AA!D215&lt;&gt;"",[2]AA!D215,"")</f>
        <v>0</v>
      </c>
      <c r="F414" s="38">
        <f>IF([2]AA!E215&lt;&gt;"",[2]AA!E215,"")</f>
        <v>0</v>
      </c>
      <c r="G414" s="38">
        <f>IF([2]AA!F215&lt;&gt;"",[2]AA!F215,"")</f>
        <v>0</v>
      </c>
      <c r="H414" s="38">
        <f>IF([2]AA!G215&lt;&gt;"",[2]AA!G215,"")</f>
        <v>0</v>
      </c>
      <c r="I414" s="38">
        <f>IF([2]AA!H215&lt;&gt;"",[2]AA!H215,"")</f>
        <v>0</v>
      </c>
      <c r="J414" s="58" t="e">
        <f t="shared" si="30"/>
        <v>#DIV/0!</v>
      </c>
      <c r="K414" t="str">
        <f t="shared" si="31"/>
        <v>2001621</v>
      </c>
      <c r="L414" t="str">
        <f t="shared" si="32"/>
        <v>PRE-I</v>
      </c>
    </row>
    <row r="415" spans="1:12" ht="18" x14ac:dyDescent="0.2">
      <c r="A415" s="37">
        <v>310</v>
      </c>
      <c r="B415" s="37" t="s">
        <v>736</v>
      </c>
      <c r="C415" s="37" t="s">
        <v>422</v>
      </c>
      <c r="D415" s="39" t="s">
        <v>134</v>
      </c>
      <c r="E415" s="38">
        <f>IF([2]AA!D216&lt;&gt;"",[2]AA!D216,"")</f>
        <v>1458166</v>
      </c>
      <c r="F415" s="38">
        <f>IF([2]AA!E216&lt;&gt;"",[2]AA!E216,"")</f>
        <v>480065.3</v>
      </c>
      <c r="G415" s="38">
        <f>IF([2]AA!F216&lt;&gt;"",[2]AA!F216,"")</f>
        <v>978100.7</v>
      </c>
      <c r="H415" s="38">
        <f>IF([2]AA!G216&lt;&gt;"",[2]AA!G216,"")</f>
        <v>0</v>
      </c>
      <c r="I415" s="38">
        <f>IF([2]AA!H216&lt;&gt;"",[2]AA!H216,"")</f>
        <v>1458166</v>
      </c>
      <c r="J415" s="58">
        <f t="shared" si="30"/>
        <v>0</v>
      </c>
      <c r="K415" t="str">
        <f t="shared" si="31"/>
        <v>2001621</v>
      </c>
      <c r="L415" t="str">
        <f t="shared" si="32"/>
        <v>PRE-I</v>
      </c>
    </row>
    <row r="416" spans="1:12" ht="18" x14ac:dyDescent="0.2">
      <c r="A416" s="37">
        <v>311</v>
      </c>
      <c r="B416" s="37" t="s">
        <v>737</v>
      </c>
      <c r="C416" s="37" t="s">
        <v>422</v>
      </c>
      <c r="D416" s="39" t="s">
        <v>134</v>
      </c>
      <c r="E416" s="38">
        <f>IF([2]AA!D217&lt;&gt;"",[2]AA!D217,"")</f>
        <v>327863</v>
      </c>
      <c r="F416" s="38">
        <f>IF([2]AA!E217&lt;&gt;"",[2]AA!E217,"")</f>
        <v>327863</v>
      </c>
      <c r="G416" s="38">
        <f>IF([2]AA!F217&lt;&gt;"",[2]AA!F217,"")</f>
        <v>0</v>
      </c>
      <c r="H416" s="38">
        <f>IF([2]AA!G217&lt;&gt;"",[2]AA!G217,"")</f>
        <v>0</v>
      </c>
      <c r="I416" s="38">
        <f>IF([2]AA!H217&lt;&gt;"",[2]AA!H217,"")</f>
        <v>327863</v>
      </c>
      <c r="J416" s="58">
        <f t="shared" si="30"/>
        <v>0</v>
      </c>
      <c r="K416" t="str">
        <f t="shared" si="31"/>
        <v>2001621</v>
      </c>
      <c r="L416" t="str">
        <f t="shared" si="32"/>
        <v>PRE-I</v>
      </c>
    </row>
    <row r="417" spans="1:12" ht="18" x14ac:dyDescent="0.2">
      <c r="A417" s="37">
        <v>312</v>
      </c>
      <c r="B417" s="37" t="s">
        <v>738</v>
      </c>
      <c r="C417" s="37" t="s">
        <v>422</v>
      </c>
      <c r="D417" s="39" t="s">
        <v>134</v>
      </c>
      <c r="E417" s="38">
        <f>IF([2]AA!D218&lt;&gt;"",[2]AA!D218,"")</f>
        <v>0</v>
      </c>
      <c r="F417" s="38">
        <f>IF([2]AA!E218&lt;&gt;"",[2]AA!E218,"")</f>
        <v>0</v>
      </c>
      <c r="G417" s="38">
        <f>IF([2]AA!F218&lt;&gt;"",[2]AA!F218,"")</f>
        <v>0</v>
      </c>
      <c r="H417" s="38">
        <f>IF([2]AA!G218&lt;&gt;"",[2]AA!G218,"")</f>
        <v>0</v>
      </c>
      <c r="I417" s="38">
        <f>IF([2]AA!H218&lt;&gt;"",[2]AA!H218,"")</f>
        <v>0</v>
      </c>
      <c r="J417" s="58" t="e">
        <f t="shared" si="30"/>
        <v>#DIV/0!</v>
      </c>
      <c r="K417" t="str">
        <f t="shared" si="31"/>
        <v>2001621</v>
      </c>
      <c r="L417" t="str">
        <f t="shared" si="32"/>
        <v>PRE-I</v>
      </c>
    </row>
    <row r="418" spans="1:12" ht="18" x14ac:dyDescent="0.2">
      <c r="A418" s="37">
        <v>313</v>
      </c>
      <c r="B418" s="37" t="s">
        <v>739</v>
      </c>
      <c r="C418" s="37" t="s">
        <v>422</v>
      </c>
      <c r="D418" s="39" t="s">
        <v>134</v>
      </c>
      <c r="E418" s="38">
        <f>IF([2]AA!D219&lt;&gt;"",[2]AA!D219,"")</f>
        <v>2390440</v>
      </c>
      <c r="F418" s="38">
        <f>IF([2]AA!E219&lt;&gt;"",[2]AA!E219,"")</f>
        <v>2268240</v>
      </c>
      <c r="G418" s="38">
        <f>IF([2]AA!F219&lt;&gt;"",[2]AA!F219,"")</f>
        <v>122200</v>
      </c>
      <c r="H418" s="38">
        <f>IF([2]AA!G219&lt;&gt;"",[2]AA!G219,"")</f>
        <v>64557.45</v>
      </c>
      <c r="I418" s="38">
        <f>IF([2]AA!H219&lt;&gt;"",[2]AA!H219,"")</f>
        <v>2325882.5499999998</v>
      </c>
      <c r="J418" s="58">
        <f t="shared" si="30"/>
        <v>2.7006513445223472E-2</v>
      </c>
      <c r="K418" t="str">
        <f t="shared" si="31"/>
        <v>2001621</v>
      </c>
      <c r="L418" t="str">
        <f t="shared" si="32"/>
        <v>PRE-I</v>
      </c>
    </row>
    <row r="419" spans="1:12" ht="18" x14ac:dyDescent="0.2">
      <c r="A419" s="37">
        <v>314</v>
      </c>
      <c r="B419" s="37">
        <v>369</v>
      </c>
      <c r="C419" s="37" t="s">
        <v>422</v>
      </c>
      <c r="D419" s="39" t="s">
        <v>134</v>
      </c>
      <c r="E419" s="38">
        <f>IF([2]AA!D321&lt;&gt;"",[2]AA!D321,"")</f>
        <v>209400</v>
      </c>
      <c r="F419" s="38">
        <f>IF([2]AA!E321&lt;&gt;"",[2]AA!E321,"")</f>
        <v>136550</v>
      </c>
      <c r="G419" s="38">
        <f>IF([2]AA!F321&lt;&gt;"",[2]AA!F321,"")</f>
        <v>72850</v>
      </c>
      <c r="H419" s="38">
        <f>IF([2]AA!G321&lt;&gt;"",[2]AA!G321,"")</f>
        <v>131850</v>
      </c>
      <c r="I419" s="38">
        <f>IF([2]AA!H321&lt;&gt;"",[2]AA!H321,"")</f>
        <v>77550</v>
      </c>
      <c r="J419" s="58">
        <f t="shared" si="30"/>
        <v>0.62965616045845274</v>
      </c>
      <c r="K419" t="str">
        <f t="shared" si="31"/>
        <v>2001621</v>
      </c>
      <c r="L419" t="str">
        <f t="shared" si="32"/>
        <v>PRE-I</v>
      </c>
    </row>
    <row r="420" spans="1:12" ht="18" x14ac:dyDescent="0.2">
      <c r="A420" s="37">
        <v>315</v>
      </c>
      <c r="B420" s="37">
        <v>370</v>
      </c>
      <c r="C420" s="37" t="s">
        <v>422</v>
      </c>
      <c r="D420" s="39" t="s">
        <v>134</v>
      </c>
      <c r="E420" s="38">
        <f>IF([2]AA!D322&lt;&gt;"",[2]AA!D322,"")</f>
        <v>167074</v>
      </c>
      <c r="F420" s="38">
        <f>IF([2]AA!E322&lt;&gt;"",[2]AA!E322,"")</f>
        <v>98119.94</v>
      </c>
      <c r="G420" s="38">
        <f>IF([2]AA!F322&lt;&gt;"",[2]AA!F322,"")</f>
        <v>68954.06</v>
      </c>
      <c r="H420" s="38">
        <f>IF([2]AA!G322&lt;&gt;"",[2]AA!G322,"")</f>
        <v>61985.670000000006</v>
      </c>
      <c r="I420" s="38">
        <f>IF([2]AA!H322&lt;&gt;"",[2]AA!H322,"")</f>
        <v>105088.32999999999</v>
      </c>
      <c r="J420" s="58">
        <f t="shared" si="30"/>
        <v>0.37100727821204976</v>
      </c>
      <c r="K420" t="str">
        <f t="shared" si="31"/>
        <v>2001621</v>
      </c>
      <c r="L420" t="str">
        <f t="shared" si="32"/>
        <v>PRE-I</v>
      </c>
    </row>
    <row r="421" spans="1:12" ht="18" x14ac:dyDescent="0.2">
      <c r="A421" s="37">
        <v>316</v>
      </c>
      <c r="B421" s="37">
        <v>371</v>
      </c>
      <c r="C421" s="37" t="s">
        <v>422</v>
      </c>
      <c r="D421" s="39" t="s">
        <v>134</v>
      </c>
      <c r="E421" s="38">
        <f>IF([2]AA!D323&lt;&gt;"",[2]AA!D323,"")</f>
        <v>2967206</v>
      </c>
      <c r="F421" s="38">
        <f>IF([2]AA!E323&lt;&gt;"",[2]AA!E323,"")</f>
        <v>1373205.5</v>
      </c>
      <c r="G421" s="38">
        <f>IF([2]AA!F323&lt;&gt;"",[2]AA!F323,"")</f>
        <v>1594000.5</v>
      </c>
      <c r="H421" s="38">
        <f>IF([2]AA!G323&lt;&gt;"",[2]AA!G323,"")</f>
        <v>206343.90000000002</v>
      </c>
      <c r="I421" s="38">
        <f>IF([2]AA!H323&lt;&gt;"",[2]AA!H323,"")</f>
        <v>2760862.1</v>
      </c>
      <c r="J421" s="58">
        <f t="shared" si="30"/>
        <v>6.9541481110512726E-2</v>
      </c>
      <c r="K421" t="str">
        <f t="shared" si="31"/>
        <v>2001621</v>
      </c>
      <c r="L421" t="str">
        <f t="shared" si="32"/>
        <v>PRE-I</v>
      </c>
    </row>
    <row r="422" spans="1:12" ht="36" x14ac:dyDescent="0.2">
      <c r="A422" s="37">
        <v>317</v>
      </c>
      <c r="B422" s="37" t="s">
        <v>429</v>
      </c>
      <c r="C422" s="41" t="s">
        <v>423</v>
      </c>
      <c r="D422" s="39" t="s">
        <v>10</v>
      </c>
      <c r="E422" s="38">
        <f>IF([2]PRODUCCION!C7&lt;&gt;"",[2]PRODUCCION!C7,"")</f>
        <v>1217454</v>
      </c>
      <c r="F422" s="38">
        <f>IF([2]PRODUCCION!D7&lt;&gt;"",[2]PRODUCCION!D7,"")</f>
        <v>1148881.3999999999</v>
      </c>
      <c r="G422" s="38">
        <f>IF([2]PRODUCCION!E7&lt;&gt;"",[2]PRODUCCION!E7,"")</f>
        <v>68572.600000000093</v>
      </c>
      <c r="H422" s="38">
        <f>IF([2]PRODUCCION!F7&lt;&gt;"",[2]PRODUCCION!F7,"")</f>
        <v>1055655.94</v>
      </c>
      <c r="I422" s="38">
        <f>IF([2]PRODUCCION!G7&lt;&gt;"",[2]PRODUCCION!G7,"")</f>
        <v>161798.06000000006</v>
      </c>
      <c r="J422" s="58">
        <f t="shared" si="30"/>
        <v>0.86710129499759325</v>
      </c>
      <c r="K422" t="str">
        <f t="shared" si="31"/>
        <v>2336682</v>
      </c>
      <c r="L422" t="str">
        <f t="shared" si="32"/>
        <v>UE-903</v>
      </c>
    </row>
    <row r="423" spans="1:12" ht="54" x14ac:dyDescent="0.2">
      <c r="A423" s="37">
        <v>318</v>
      </c>
      <c r="B423" s="37" t="s">
        <v>428</v>
      </c>
      <c r="C423" s="37" t="s">
        <v>423</v>
      </c>
      <c r="D423" s="39" t="s">
        <v>187</v>
      </c>
      <c r="E423" s="38">
        <f>IF([2]PRODUCCION!C6&lt;&gt;"",[2]PRODUCCION!C6,"")</f>
        <v>119950</v>
      </c>
      <c r="F423" s="38">
        <f>IF([2]PRODUCCION!D6&lt;&gt;"",[2]PRODUCCION!D6,"")</f>
        <v>119950</v>
      </c>
      <c r="G423" s="38">
        <f>IF([2]PRODUCCION!E6&lt;&gt;"",[2]PRODUCCION!E6,"")</f>
        <v>0</v>
      </c>
      <c r="H423" s="38">
        <f>IF([2]PRODUCCION!F6&lt;&gt;"",[2]PRODUCCION!F6,"")</f>
        <v>70291.22</v>
      </c>
      <c r="I423" s="38">
        <f>IF([2]PRODUCCION!G6&lt;&gt;"",[2]PRODUCCION!G6,"")</f>
        <v>49658.78</v>
      </c>
      <c r="J423" s="58">
        <f t="shared" si="30"/>
        <v>0.58600433513964156</v>
      </c>
      <c r="K423" t="str">
        <f t="shared" si="31"/>
        <v>2230619</v>
      </c>
      <c r="L423" t="str">
        <f t="shared" si="32"/>
        <v>UE-903</v>
      </c>
    </row>
    <row r="424" spans="1:12" ht="18" x14ac:dyDescent="0.2">
      <c r="A424" s="37">
        <v>319</v>
      </c>
      <c r="B424" s="37">
        <v>2001621</v>
      </c>
      <c r="C424" s="41" t="s">
        <v>424</v>
      </c>
      <c r="D424" s="39" t="s">
        <v>134</v>
      </c>
      <c r="E424" s="38">
        <f>IF([2]PRORRIDRE!C5&lt;&gt;"",[2]PRORRIDRE!C5,"")</f>
        <v>496511</v>
      </c>
      <c r="F424" s="38">
        <f>IF([2]PRORRIDRE!D5&lt;&gt;"",[2]PRORRIDRE!D5,"")</f>
        <v>101658.34</v>
      </c>
      <c r="G424" s="38">
        <f>IF([2]PRORRIDRE!E5&lt;&gt;"",[2]PRORRIDRE!E5,"")</f>
        <v>394852.66000000003</v>
      </c>
      <c r="H424" s="38">
        <f>IF([2]PRORRIDRE!F5&lt;&gt;"",[2]PRORRIDRE!F5,"")</f>
        <v>28465.339999999997</v>
      </c>
      <c r="I424" s="38">
        <f>IF([2]PRORRIDRE!G5&lt;&gt;"",[2]PRORRIDRE!G5,"")</f>
        <v>468045.66000000003</v>
      </c>
      <c r="J424" s="58">
        <f t="shared" si="30"/>
        <v>5.7330733860881222E-2</v>
      </c>
      <c r="K424" t="str">
        <f t="shared" si="31"/>
        <v>2001621</v>
      </c>
      <c r="L424" t="str">
        <f t="shared" si="32"/>
        <v>UE-904</v>
      </c>
    </row>
    <row r="425" spans="1:12" ht="45" x14ac:dyDescent="0.2">
      <c r="A425" s="37">
        <v>320</v>
      </c>
      <c r="B425" s="37" t="s">
        <v>435</v>
      </c>
      <c r="C425" s="37" t="s">
        <v>424</v>
      </c>
      <c r="D425" s="39" t="s">
        <v>56</v>
      </c>
      <c r="E425" s="38" t="e">
        <f>IF([2]PRORRIDRE!#REF!&lt;&gt;"",[2]PRORRIDRE!#REF!,"")</f>
        <v>#REF!</v>
      </c>
      <c r="F425" s="38" t="e">
        <f>IF([2]PRORRIDRE!#REF!&lt;&gt;"",[2]PRORRIDRE!#REF!,"")</f>
        <v>#REF!</v>
      </c>
      <c r="G425" s="38" t="e">
        <f>IF([2]PRORRIDRE!#REF!&lt;&gt;"",[2]PRORRIDRE!#REF!,"")</f>
        <v>#REF!</v>
      </c>
      <c r="H425" s="38" t="e">
        <f>IF([2]PRORRIDRE!#REF!&lt;&gt;"",[2]PRORRIDRE!#REF!,"")</f>
        <v>#REF!</v>
      </c>
      <c r="I425" s="38" t="e">
        <f>IF([2]PRORRIDRE!#REF!&lt;&gt;"",[2]PRORRIDRE!#REF!,"")</f>
        <v>#REF!</v>
      </c>
      <c r="J425" s="58" t="e">
        <f t="shared" si="30"/>
        <v>#REF!</v>
      </c>
      <c r="K425" t="str">
        <f t="shared" si="31"/>
        <v>2160311</v>
      </c>
      <c r="L425" t="str">
        <f t="shared" si="32"/>
        <v>UE-904</v>
      </c>
    </row>
    <row r="426" spans="1:12" ht="63" x14ac:dyDescent="0.2">
      <c r="A426" s="37"/>
      <c r="B426" s="37">
        <v>2232349</v>
      </c>
      <c r="C426" s="37" t="s">
        <v>424</v>
      </c>
      <c r="D426" s="39" t="s">
        <v>58</v>
      </c>
      <c r="E426" s="38" t="e">
        <f>IF([2]PRORRIDRE!#REF!&lt;&gt;"",[2]PRORRIDRE!#REF!,"")</f>
        <v>#REF!</v>
      </c>
      <c r="F426" s="38" t="e">
        <f>IF([2]PRORRIDRE!#REF!&lt;&gt;"",[2]PRORRIDRE!#REF!,"")</f>
        <v>#REF!</v>
      </c>
      <c r="G426" s="38" t="e">
        <f>IF([2]PRORRIDRE!#REF!&lt;&gt;"",[2]PRORRIDRE!#REF!,"")</f>
        <v>#REF!</v>
      </c>
      <c r="H426" s="38" t="e">
        <f>IF([2]PRORRIDRE!#REF!&lt;&gt;"",[2]PRORRIDRE!#REF!,"")</f>
        <v>#REF!</v>
      </c>
      <c r="I426" s="38" t="e">
        <f>IF([2]PRORRIDRE!#REF!&lt;&gt;"",[2]PRORRIDRE!#REF!,"")</f>
        <v>#REF!</v>
      </c>
      <c r="J426" s="58" t="e">
        <f t="shared" si="30"/>
        <v>#REF!</v>
      </c>
      <c r="K426" t="str">
        <f t="shared" si="31"/>
        <v>2232349</v>
      </c>
      <c r="L426" t="str">
        <f t="shared" si="32"/>
        <v>UE-904</v>
      </c>
    </row>
    <row r="427" spans="1:12" ht="54" x14ac:dyDescent="0.2">
      <c r="A427" s="37">
        <v>321</v>
      </c>
      <c r="B427" s="37" t="s">
        <v>440</v>
      </c>
      <c r="C427" s="37" t="s">
        <v>424</v>
      </c>
      <c r="D427" s="39" t="s">
        <v>47</v>
      </c>
      <c r="E427" s="38" t="e">
        <f>IF([2]PRORRIDRE!#REF!&lt;&gt;"",[2]PRORRIDRE!#REF!,"")</f>
        <v>#REF!</v>
      </c>
      <c r="F427" s="38" t="e">
        <f>IF([2]PRORRIDRE!#REF!&lt;&gt;"",[2]PRORRIDRE!#REF!,"")</f>
        <v>#REF!</v>
      </c>
      <c r="G427" s="38" t="e">
        <f>IF([2]PRORRIDRE!#REF!&lt;&gt;"",[2]PRORRIDRE!#REF!,"")</f>
        <v>#REF!</v>
      </c>
      <c r="H427" s="38" t="e">
        <f>IF([2]PRORRIDRE!#REF!&lt;&gt;"",[2]PRORRIDRE!#REF!,"")</f>
        <v>#REF!</v>
      </c>
      <c r="I427" s="38" t="e">
        <f>IF([2]PRORRIDRE!#REF!&lt;&gt;"",[2]PRORRIDRE!#REF!,"")</f>
        <v>#REF!</v>
      </c>
      <c r="J427" s="58" t="e">
        <f t="shared" si="30"/>
        <v>#REF!</v>
      </c>
      <c r="K427" t="str">
        <f t="shared" si="31"/>
        <v>2357498</v>
      </c>
      <c r="L427" t="str">
        <f t="shared" si="32"/>
        <v>UE-904</v>
      </c>
    </row>
    <row r="428" spans="1:12" ht="54" x14ac:dyDescent="0.2">
      <c r="A428" s="37">
        <v>322</v>
      </c>
      <c r="B428" s="37" t="s">
        <v>439</v>
      </c>
      <c r="C428" s="37" t="s">
        <v>424</v>
      </c>
      <c r="D428" s="39" t="s">
        <v>48</v>
      </c>
      <c r="E428" s="38">
        <f>IF([2]PRORRIDRE!C6&lt;&gt;"",[2]PRORRIDRE!C6,"")</f>
        <v>34081</v>
      </c>
      <c r="F428" s="38">
        <f>IF([2]PRORRIDRE!D6&lt;&gt;"",[2]PRORRIDRE!D6,"")</f>
        <v>33741.480000000003</v>
      </c>
      <c r="G428" s="38">
        <f>IF([2]PRORRIDRE!E6&lt;&gt;"",[2]PRORRIDRE!E6,"")</f>
        <v>339.5199999999968</v>
      </c>
      <c r="H428" s="38">
        <f>IF([2]PRORRIDRE!F6&lt;&gt;"",[2]PRORRIDRE!F6,"")</f>
        <v>33314.799999999996</v>
      </c>
      <c r="I428" s="38">
        <f>IF([2]PRORRIDRE!G6&lt;&gt;"",[2]PRORRIDRE!G6,"")</f>
        <v>766.20000000000437</v>
      </c>
      <c r="J428" s="58">
        <f t="shared" si="30"/>
        <v>0.97751826530911634</v>
      </c>
      <c r="K428" t="str">
        <f t="shared" si="31"/>
        <v>2429723</v>
      </c>
      <c r="L428" t="str">
        <f t="shared" si="32"/>
        <v>UE-904</v>
      </c>
    </row>
    <row r="429" spans="1:12" ht="45" x14ac:dyDescent="0.2">
      <c r="A429" s="37">
        <v>323</v>
      </c>
      <c r="B429" s="37" t="s">
        <v>438</v>
      </c>
      <c r="C429" s="37" t="s">
        <v>424</v>
      </c>
      <c r="D429" s="39" t="s">
        <v>49</v>
      </c>
      <c r="E429" s="38" t="e">
        <f>IF([2]PRORRIDRE!#REF!&lt;&gt;"",[2]PRORRIDRE!#REF!,"")</f>
        <v>#REF!</v>
      </c>
      <c r="F429" s="38" t="e">
        <f>IF([2]PRORRIDRE!#REF!&lt;&gt;"",[2]PRORRIDRE!#REF!,"")</f>
        <v>#REF!</v>
      </c>
      <c r="G429" s="38" t="e">
        <f>IF([2]PRORRIDRE!#REF!&lt;&gt;"",[2]PRORRIDRE!#REF!,"")</f>
        <v>#REF!</v>
      </c>
      <c r="H429" s="38" t="e">
        <f>IF([2]PRORRIDRE!#REF!&lt;&gt;"",[2]PRORRIDRE!#REF!,"")</f>
        <v>#REF!</v>
      </c>
      <c r="I429" s="38" t="e">
        <f>IF([2]PRORRIDRE!#REF!&lt;&gt;"",[2]PRORRIDRE!#REF!,"")</f>
        <v>#REF!</v>
      </c>
      <c r="J429" s="58" t="e">
        <f t="shared" si="30"/>
        <v>#REF!</v>
      </c>
      <c r="K429" t="str">
        <f t="shared" si="31"/>
        <v>2435576</v>
      </c>
      <c r="L429" t="str">
        <f t="shared" si="32"/>
        <v>UE-904</v>
      </c>
    </row>
    <row r="430" spans="1:12" ht="45" x14ac:dyDescent="0.2">
      <c r="A430" s="37">
        <v>324</v>
      </c>
      <c r="B430" s="37" t="s">
        <v>430</v>
      </c>
      <c r="C430" s="37" t="s">
        <v>424</v>
      </c>
      <c r="D430" s="39" t="s">
        <v>13</v>
      </c>
      <c r="E430" s="38">
        <f>IF([2]PRORRIDRE!C7&lt;&gt;"",[2]PRORRIDRE!C7,"")</f>
        <v>2780000</v>
      </c>
      <c r="F430" s="38">
        <f>IF([2]PRORRIDRE!D7&lt;&gt;"",[2]PRORRIDRE!D7,"")</f>
        <v>2540807.52</v>
      </c>
      <c r="G430" s="38">
        <f>IF([2]PRORRIDRE!E7&lt;&gt;"",[2]PRORRIDRE!E7,"")</f>
        <v>239192.47999999998</v>
      </c>
      <c r="H430" s="38">
        <f>IF([2]PRORRIDRE!F7&lt;&gt;"",[2]PRORRIDRE!F7,"")</f>
        <v>1399109.84</v>
      </c>
      <c r="I430" s="38">
        <f>IF([2]PRORRIDRE!G7&lt;&gt;"",[2]PRORRIDRE!G7,"")</f>
        <v>1380890.16</v>
      </c>
      <c r="J430" s="58">
        <f t="shared" si="30"/>
        <v>0.50327692086330933</v>
      </c>
      <c r="K430" t="str">
        <f t="shared" si="31"/>
        <v>2454391</v>
      </c>
      <c r="L430" t="str">
        <f t="shared" si="32"/>
        <v>UE-904</v>
      </c>
    </row>
    <row r="431" spans="1:12" ht="54" x14ac:dyDescent="0.2">
      <c r="A431" s="37">
        <v>325</v>
      </c>
      <c r="B431" s="37" t="s">
        <v>431</v>
      </c>
      <c r="C431" s="37" t="s">
        <v>424</v>
      </c>
      <c r="D431" s="39" t="s">
        <v>19</v>
      </c>
      <c r="E431" s="38">
        <f>IF([2]PRORRIDRE!C8&lt;&gt;"",[2]PRORRIDRE!C8,"")</f>
        <v>2343799</v>
      </c>
      <c r="F431" s="38">
        <f>IF([2]PRORRIDRE!D8&lt;&gt;"",[2]PRORRIDRE!D8,"")</f>
        <v>2131358.5699999998</v>
      </c>
      <c r="G431" s="38">
        <f>IF([2]PRORRIDRE!E8&lt;&gt;"",[2]PRORRIDRE!E8,"")</f>
        <v>212440.43000000017</v>
      </c>
      <c r="H431" s="38">
        <f>IF([2]PRORRIDRE!F8&lt;&gt;"",[2]PRORRIDRE!F8,"")</f>
        <v>1983248.7100000002</v>
      </c>
      <c r="I431" s="38">
        <f>IF([2]PRORRIDRE!G8&lt;&gt;"",[2]PRORRIDRE!G8,"")</f>
        <v>360550.2899999998</v>
      </c>
      <c r="J431" s="58">
        <f t="shared" si="30"/>
        <v>0.8461684257054467</v>
      </c>
      <c r="K431" t="str">
        <f t="shared" si="31"/>
        <v>2470845</v>
      </c>
      <c r="L431" t="str">
        <f t="shared" si="32"/>
        <v>UE-904</v>
      </c>
    </row>
    <row r="432" spans="1:12" ht="63" x14ac:dyDescent="0.2">
      <c r="A432" s="37">
        <v>326</v>
      </c>
      <c r="B432" s="37" t="s">
        <v>432</v>
      </c>
      <c r="C432" s="37" t="s">
        <v>424</v>
      </c>
      <c r="D432" s="39" t="s">
        <v>14</v>
      </c>
      <c r="E432" s="38">
        <f>IF([2]PRORRIDRE!C9&lt;&gt;"",[2]PRORRIDRE!C9,"")</f>
        <v>6071731</v>
      </c>
      <c r="F432" s="38">
        <f>IF([2]PRORRIDRE!D9&lt;&gt;"",[2]PRORRIDRE!D9,"")</f>
        <v>4513090.8399999989</v>
      </c>
      <c r="G432" s="38">
        <f>IF([2]PRORRIDRE!E9&lt;&gt;"",[2]PRORRIDRE!E9,"")</f>
        <v>1558640.1600000011</v>
      </c>
      <c r="H432" s="38">
        <f>IF([2]PRORRIDRE!F9&lt;&gt;"",[2]PRORRIDRE!F9,"")</f>
        <v>4281593.92</v>
      </c>
      <c r="I432" s="38">
        <f>IF([2]PRORRIDRE!G9&lt;&gt;"",[2]PRORRIDRE!G9,"")</f>
        <v>1790137.08</v>
      </c>
      <c r="J432" s="58">
        <f t="shared" si="30"/>
        <v>0.70516857877926409</v>
      </c>
      <c r="K432" t="str">
        <f t="shared" si="31"/>
        <v>2477014</v>
      </c>
      <c r="L432" t="str">
        <f t="shared" si="32"/>
        <v>UE-904</v>
      </c>
    </row>
    <row r="433" spans="1:12" ht="63" x14ac:dyDescent="0.2">
      <c r="A433" s="37">
        <v>327</v>
      </c>
      <c r="B433" s="37" t="s">
        <v>433</v>
      </c>
      <c r="C433" s="37" t="s">
        <v>424</v>
      </c>
      <c r="D433" s="39" t="s">
        <v>20</v>
      </c>
      <c r="E433" s="38" t="e">
        <f>IF([2]PRORRIDRE!#REF!&lt;&gt;"",[2]PRORRIDRE!#REF!,"")</f>
        <v>#REF!</v>
      </c>
      <c r="F433" s="38" t="e">
        <f>IF([2]PRORRIDRE!#REF!&lt;&gt;"",[2]PRORRIDRE!#REF!,"")</f>
        <v>#REF!</v>
      </c>
      <c r="G433" s="38" t="e">
        <f>IF([2]PRORRIDRE!#REF!&lt;&gt;"",[2]PRORRIDRE!#REF!,"")</f>
        <v>#REF!</v>
      </c>
      <c r="H433" s="38" t="e">
        <f>IF([2]PRORRIDRE!#REF!&lt;&gt;"",[2]PRORRIDRE!#REF!,"")</f>
        <v>#REF!</v>
      </c>
      <c r="I433" s="38" t="e">
        <f>IF([2]PRORRIDRE!#REF!&lt;&gt;"",[2]PRORRIDRE!#REF!,"")</f>
        <v>#REF!</v>
      </c>
      <c r="J433" s="58" t="e">
        <f t="shared" si="30"/>
        <v>#REF!</v>
      </c>
      <c r="K433" t="str">
        <f t="shared" si="31"/>
        <v>2477103</v>
      </c>
      <c r="L433" t="str">
        <f t="shared" si="32"/>
        <v>UE-904</v>
      </c>
    </row>
    <row r="434" spans="1:12" ht="54" x14ac:dyDescent="0.2">
      <c r="A434" s="37">
        <v>328</v>
      </c>
      <c r="B434" s="37" t="s">
        <v>434</v>
      </c>
      <c r="C434" s="37" t="s">
        <v>424</v>
      </c>
      <c r="D434" s="39" t="s">
        <v>21</v>
      </c>
      <c r="E434" s="38">
        <f>IF([2]PRORRIDRE!C10&lt;&gt;"",[2]PRORRIDRE!C10,"")</f>
        <v>7512362</v>
      </c>
      <c r="F434" s="38">
        <f>IF([2]PRORRIDRE!D10&lt;&gt;"",[2]PRORRIDRE!D10,"")</f>
        <v>6453680.3700000001</v>
      </c>
      <c r="G434" s="38">
        <f>IF([2]PRORRIDRE!E10&lt;&gt;"",[2]PRORRIDRE!E10,"")</f>
        <v>1058681.6299999999</v>
      </c>
      <c r="H434" s="38">
        <f>IF([2]PRORRIDRE!F10&lt;&gt;"",[2]PRORRIDRE!F10,"")</f>
        <v>5914242.0099999998</v>
      </c>
      <c r="I434" s="38">
        <f>IF([2]PRORRIDRE!G10&lt;&gt;"",[2]PRORRIDRE!G10,"")</f>
        <v>1598119.9900000002</v>
      </c>
      <c r="J434" s="58">
        <f t="shared" si="30"/>
        <v>0.7872679737744267</v>
      </c>
      <c r="K434" t="str">
        <f t="shared" si="31"/>
        <v>2540745</v>
      </c>
      <c r="L434" t="str">
        <f t="shared" si="32"/>
        <v>UE-904</v>
      </c>
    </row>
    <row r="435" spans="1:12" ht="54" x14ac:dyDescent="0.2">
      <c r="A435" s="37">
        <v>329</v>
      </c>
      <c r="B435" s="37" t="s">
        <v>437</v>
      </c>
      <c r="C435" s="37" t="s">
        <v>424</v>
      </c>
      <c r="D435" s="39" t="s">
        <v>339</v>
      </c>
      <c r="E435" s="38">
        <f>IF([2]PRORRIDRE!C11&lt;&gt;"",[2]PRORRIDRE!C11,"")</f>
        <v>265000</v>
      </c>
      <c r="F435" s="38">
        <f>IF([2]PRORRIDRE!D11&lt;&gt;"",[2]PRORRIDRE!D11,"")</f>
        <v>0</v>
      </c>
      <c r="G435" s="38">
        <f>IF([2]PRORRIDRE!E11&lt;&gt;"",[2]PRORRIDRE!E11,"")</f>
        <v>265000</v>
      </c>
      <c r="H435" s="38">
        <f>IF([2]PRORRIDRE!F11&lt;&gt;"",[2]PRORRIDRE!F11,"")</f>
        <v>0</v>
      </c>
      <c r="I435" s="38">
        <f>IF([2]PRORRIDRE!G11&lt;&gt;"",[2]PRORRIDRE!G11,"")</f>
        <v>265000</v>
      </c>
      <c r="J435" s="58">
        <f t="shared" si="30"/>
        <v>0</v>
      </c>
      <c r="K435" t="str">
        <f t="shared" si="31"/>
        <v>2541758</v>
      </c>
      <c r="L435" t="str">
        <f t="shared" si="32"/>
        <v>UE-904</v>
      </c>
    </row>
    <row r="436" spans="1:12" ht="36" x14ac:dyDescent="0.2">
      <c r="A436" s="37">
        <v>330</v>
      </c>
      <c r="B436" s="37" t="s">
        <v>436</v>
      </c>
      <c r="C436" s="37" t="s">
        <v>424</v>
      </c>
      <c r="D436" s="39" t="s">
        <v>340</v>
      </c>
      <c r="E436" s="38">
        <f>IF([2]PRORRIDRE!C12&lt;&gt;"",[2]PRORRIDRE!C12,"")</f>
        <v>6565000</v>
      </c>
      <c r="F436" s="38">
        <f>IF([2]PRORRIDRE!D12&lt;&gt;"",[2]PRORRIDRE!D12,"")</f>
        <v>5060262.290000001</v>
      </c>
      <c r="G436" s="38">
        <f>IF([2]PRORRIDRE!E12&lt;&gt;"",[2]PRORRIDRE!E12,"")</f>
        <v>1504737.709999999</v>
      </c>
      <c r="H436" s="38">
        <f>IF([2]PRORRIDRE!F12&lt;&gt;"",[2]PRORRIDRE!F12,"")</f>
        <v>3501657.0399999991</v>
      </c>
      <c r="I436" s="38">
        <f>IF([2]PRORRIDRE!G12&lt;&gt;"",[2]PRORRIDRE!G12,"")</f>
        <v>3063342.9600000009</v>
      </c>
      <c r="J436" s="58">
        <f t="shared" si="30"/>
        <v>0.5333826412795124</v>
      </c>
      <c r="K436" t="str">
        <f t="shared" si="31"/>
        <v>2566500</v>
      </c>
      <c r="L436" t="str">
        <f t="shared" si="32"/>
        <v>UE-904</v>
      </c>
    </row>
    <row r="437" spans="1:12" ht="51" customHeight="1" x14ac:dyDescent="0.2">
      <c r="A437" s="37">
        <v>331</v>
      </c>
      <c r="B437" s="37">
        <v>2634779</v>
      </c>
      <c r="C437" s="37" t="s">
        <v>424</v>
      </c>
      <c r="D437" s="39" t="s">
        <v>791</v>
      </c>
      <c r="E437" s="38">
        <f>IF([2]PRORRIDRE!C14&lt;&gt;"",[2]PRORRIDRE!C14,"")</f>
        <v>267289</v>
      </c>
      <c r="F437" s="38">
        <f>IF([2]PRORRIDRE!D14&lt;&gt;"",[2]PRORRIDRE!D14,"")</f>
        <v>267284.07</v>
      </c>
      <c r="G437" s="38">
        <f>IF([2]PRORRIDRE!E14&lt;&gt;"",[2]PRORRIDRE!E14,"")</f>
        <v>4.9299999999930151</v>
      </c>
      <c r="H437" s="38">
        <f>IF([2]PRORRIDRE!F14&lt;&gt;"",[2]PRORRIDRE!F14,"")</f>
        <v>245284.07</v>
      </c>
      <c r="I437" s="38">
        <f>IF([2]PRORRIDRE!G14&lt;&gt;"",[2]PRORRIDRE!G14,"")</f>
        <v>22004.929999999993</v>
      </c>
      <c r="J437" s="58">
        <f t="shared" si="30"/>
        <v>0.91767364163882537</v>
      </c>
      <c r="K437" t="str">
        <f t="shared" si="31"/>
        <v>2634779</v>
      </c>
      <c r="L437" t="str">
        <f t="shared" si="32"/>
        <v>UE-904</v>
      </c>
    </row>
    <row r="438" spans="1:12" ht="51" customHeight="1" x14ac:dyDescent="0.2">
      <c r="A438" s="37"/>
      <c r="B438" s="37">
        <v>2651727</v>
      </c>
      <c r="C438" s="37" t="s">
        <v>424</v>
      </c>
      <c r="D438" s="39" t="s">
        <v>842</v>
      </c>
      <c r="E438" s="38">
        <f>IF([2]PRORRIDRE!C15&lt;&gt;"",[2]PRORRIDRE!C15,"")</f>
        <v>2505054</v>
      </c>
      <c r="F438" s="38">
        <f>IF([2]PRORRIDRE!D15&lt;&gt;"",[2]PRORRIDRE!D15,"")</f>
        <v>262882.90000000002</v>
      </c>
      <c r="G438" s="38">
        <f>IF([2]PRORRIDRE!E15&lt;&gt;"",[2]PRORRIDRE!E15,"")</f>
        <v>2242171.1</v>
      </c>
      <c r="H438" s="38">
        <f>IF([2]PRORRIDRE!F15&lt;&gt;"",[2]PRORRIDRE!F15,"")</f>
        <v>262822.90000000002</v>
      </c>
      <c r="I438" s="38">
        <f>IF([2]PRORRIDRE!G15&lt;&gt;"",[2]PRORRIDRE!G15,"")</f>
        <v>2242231.1</v>
      </c>
      <c r="J438" s="58">
        <f t="shared" si="30"/>
        <v>0.10491705967216676</v>
      </c>
    </row>
    <row r="439" spans="1:12" ht="54" x14ac:dyDescent="0.2">
      <c r="A439" s="37">
        <v>332</v>
      </c>
      <c r="B439" s="37">
        <v>2651742</v>
      </c>
      <c r="C439" s="37" t="s">
        <v>424</v>
      </c>
      <c r="D439" s="39" t="s">
        <v>483</v>
      </c>
      <c r="E439" s="38">
        <f>IF([2]PRORRIDRE!C16&lt;&gt;"",[2]PRORRIDRE!C16,"")</f>
        <v>5730000</v>
      </c>
      <c r="F439" s="38">
        <f>IF([2]PRORRIDRE!D16&lt;&gt;"",[2]PRORRIDRE!D16,"")</f>
        <v>1480640.4300000002</v>
      </c>
      <c r="G439" s="38">
        <f>IF([2]PRORRIDRE!E16&lt;&gt;"",[2]PRORRIDRE!E16,"")</f>
        <v>4249359.57</v>
      </c>
      <c r="H439" s="38">
        <f>IF([2]PRORRIDRE!F16&lt;&gt;"",[2]PRORRIDRE!F16,"")</f>
        <v>594563.65</v>
      </c>
      <c r="I439" s="38">
        <f>IF([2]PRORRIDRE!G16&lt;&gt;"",[2]PRORRIDRE!G16,"")</f>
        <v>5135436.3499999996</v>
      </c>
      <c r="J439" s="58">
        <f t="shared" si="30"/>
        <v>0.10376328970331589</v>
      </c>
      <c r="K439" t="str">
        <f t="shared" ref="K439:K456" si="33">MID(D439,1,7)</f>
        <v>2651742</v>
      </c>
      <c r="L439" t="str">
        <f t="shared" ref="L439:L456" si="34">C439</f>
        <v>UE-904</v>
      </c>
    </row>
    <row r="440" spans="1:12" ht="72" x14ac:dyDescent="0.2">
      <c r="A440" s="37">
        <v>333</v>
      </c>
      <c r="B440" s="37" t="s">
        <v>441</v>
      </c>
      <c r="C440" s="37" t="s">
        <v>424</v>
      </c>
      <c r="D440" s="39" t="s">
        <v>326</v>
      </c>
      <c r="E440" s="38">
        <f>IF([2]PRORRIDRE!C13&lt;&gt;"",[2]PRORRIDRE!C13,"")</f>
        <v>0</v>
      </c>
      <c r="F440" s="38">
        <f>IF([2]PRORRIDRE!D13&lt;&gt;"",[2]PRORRIDRE!D13,"")</f>
        <v>0</v>
      </c>
      <c r="G440" s="38">
        <f>IF([2]PRORRIDRE!E13&lt;&gt;"",[2]PRORRIDRE!E13,"")</f>
        <v>0</v>
      </c>
      <c r="H440" s="38">
        <f>IF([2]PRORRIDRE!F13&lt;&gt;"",[2]PRORRIDRE!F13,"")</f>
        <v>0</v>
      </c>
      <c r="I440" s="38">
        <f>IF([2]PRORRIDRE!G13&lt;&gt;"",[2]PRORRIDRE!G13,"")</f>
        <v>0</v>
      </c>
      <c r="J440" s="58" t="e">
        <f t="shared" si="30"/>
        <v>#DIV/0!</v>
      </c>
      <c r="K440" t="str">
        <f t="shared" si="33"/>
        <v>2616977</v>
      </c>
      <c r="L440" t="str">
        <f t="shared" si="34"/>
        <v>UE-904</v>
      </c>
    </row>
    <row r="441" spans="1:12" ht="72" x14ac:dyDescent="0.2">
      <c r="A441" s="37"/>
      <c r="B441" s="37">
        <v>2668257</v>
      </c>
      <c r="C441" s="37" t="s">
        <v>424</v>
      </c>
      <c r="D441" s="39" t="s">
        <v>895</v>
      </c>
      <c r="E441" s="38" t="e">
        <f>IF([2]PRORRIDRE!#REF!&lt;&gt;"",[2]PRORRIDRE!#REF!,"")</f>
        <v>#REF!</v>
      </c>
      <c r="F441" s="38" t="e">
        <f>IF([2]PRORRIDRE!#REF!&lt;&gt;"",[2]PRORRIDRE!#REF!,"")</f>
        <v>#REF!</v>
      </c>
      <c r="G441" s="38" t="e">
        <f>IF([2]PRORRIDRE!#REF!&lt;&gt;"",[2]PRORRIDRE!#REF!,"")</f>
        <v>#REF!</v>
      </c>
      <c r="H441" s="38" t="e">
        <f>IF([2]PRORRIDRE!#REF!&lt;&gt;"",[2]PRORRIDRE!#REF!,"")</f>
        <v>#REF!</v>
      </c>
      <c r="I441" s="38" t="e">
        <f>IF([2]PRORRIDRE!#REF!&lt;&gt;"",[2]PRORRIDRE!#REF!,"")</f>
        <v>#REF!</v>
      </c>
      <c r="J441" s="58" t="e">
        <f t="shared" si="30"/>
        <v>#REF!</v>
      </c>
    </row>
    <row r="442" spans="1:12" ht="36" x14ac:dyDescent="0.2">
      <c r="A442" s="37">
        <v>334</v>
      </c>
      <c r="B442" s="37">
        <v>2325694</v>
      </c>
      <c r="C442" s="41" t="s">
        <v>425</v>
      </c>
      <c r="D442" s="39" t="s">
        <v>50</v>
      </c>
      <c r="E442" s="38">
        <f>IF([2]PRADERA!C6&lt;&gt;"",[2]PRADERA!C6,"")</f>
        <v>30000</v>
      </c>
      <c r="F442" s="38">
        <f>IF([2]PRADERA!D6&lt;&gt;"",[2]PRADERA!D6,"")</f>
        <v>0</v>
      </c>
      <c r="G442" s="38">
        <f>IF([2]PRADERA!E6&lt;&gt;"",[2]PRADERA!E6,"")</f>
        <v>30000</v>
      </c>
      <c r="H442" s="38">
        <f>IF([2]PRADERA!F6&lt;&gt;"",[2]PRADERA!F6,"")</f>
        <v>0</v>
      </c>
      <c r="I442" s="38">
        <f>IF([2]PRADERA!G6&lt;&gt;"",[2]PRADERA!G6,"")</f>
        <v>30000</v>
      </c>
      <c r="J442" s="58">
        <f t="shared" si="30"/>
        <v>0</v>
      </c>
      <c r="K442" t="str">
        <f t="shared" si="33"/>
        <v>2325694</v>
      </c>
      <c r="L442" t="str">
        <f t="shared" si="34"/>
        <v>UE-906</v>
      </c>
    </row>
    <row r="443" spans="1:12" ht="54" x14ac:dyDescent="0.2">
      <c r="A443" s="37">
        <v>335</v>
      </c>
      <c r="B443" s="37" t="s">
        <v>442</v>
      </c>
      <c r="C443" s="37" t="s">
        <v>425</v>
      </c>
      <c r="D443" s="39" t="s">
        <v>51</v>
      </c>
      <c r="E443" s="38">
        <f>IF([2]PRADERA!C7&lt;&gt;"",[2]PRADERA!C7,"")</f>
        <v>3265787</v>
      </c>
      <c r="F443" s="38">
        <f>IF([2]PRADERA!D7&lt;&gt;"",[2]PRADERA!D7,"")</f>
        <v>3036279.54</v>
      </c>
      <c r="G443" s="38">
        <f>IF([2]PRADERA!E7&lt;&gt;"",[2]PRADERA!E7,"")</f>
        <v>229507.45999999996</v>
      </c>
      <c r="H443" s="38">
        <f>IF([2]PRADERA!F7&lt;&gt;"",[2]PRADERA!F7,"")</f>
        <v>2402411.39</v>
      </c>
      <c r="I443" s="38">
        <f>IF([2]PRADERA!G7&lt;&gt;"",[2]PRADERA!G7,"")</f>
        <v>863375.60999999987</v>
      </c>
      <c r="J443" s="58">
        <f t="shared" si="30"/>
        <v>0.7356301528544269</v>
      </c>
      <c r="K443" t="str">
        <f t="shared" si="33"/>
        <v>2479852</v>
      </c>
      <c r="L443" t="str">
        <f t="shared" si="34"/>
        <v>UE-906</v>
      </c>
    </row>
    <row r="444" spans="1:12" ht="54" x14ac:dyDescent="0.2">
      <c r="A444" s="37">
        <v>336</v>
      </c>
      <c r="B444" s="37" t="s">
        <v>443</v>
      </c>
      <c r="C444" s="37" t="s">
        <v>425</v>
      </c>
      <c r="D444" s="39" t="s">
        <v>22</v>
      </c>
      <c r="E444" s="38">
        <f>IF([2]PRADERA!C8&lt;&gt;"",[2]PRADERA!C8,"")</f>
        <v>301762</v>
      </c>
      <c r="F444" s="38">
        <f>IF([2]PRADERA!D8&lt;&gt;"",[2]PRADERA!D8,"")</f>
        <v>0</v>
      </c>
      <c r="G444" s="38">
        <f>IF([2]PRADERA!E8&lt;&gt;"",[2]PRADERA!E8,"")</f>
        <v>301762</v>
      </c>
      <c r="H444" s="38">
        <f>IF([2]PRADERA!F8&lt;&gt;"",[2]PRADERA!F8,"")</f>
        <v>0</v>
      </c>
      <c r="I444" s="38">
        <f>IF([2]PRADERA!G8&lt;&gt;"",[2]PRADERA!G8,"")</f>
        <v>301762</v>
      </c>
      <c r="J444" s="58">
        <f t="shared" si="30"/>
        <v>0</v>
      </c>
      <c r="K444" t="str">
        <f t="shared" si="33"/>
        <v>2538654</v>
      </c>
      <c r="L444" t="str">
        <f t="shared" si="34"/>
        <v>UE-906</v>
      </c>
    </row>
    <row r="445" spans="1:12" ht="36" x14ac:dyDescent="0.2">
      <c r="A445" s="37">
        <v>337</v>
      </c>
      <c r="B445" s="37" t="s">
        <v>444</v>
      </c>
      <c r="C445" s="37" t="s">
        <v>425</v>
      </c>
      <c r="D445" s="39" t="s">
        <v>264</v>
      </c>
      <c r="E445" s="38">
        <f>IF([2]PRADERA!C9&lt;&gt;"",[2]PRADERA!C9,"")</f>
        <v>9372234</v>
      </c>
      <c r="F445" s="38">
        <f>IF([2]PRADERA!D9&lt;&gt;"",[2]PRADERA!D9,"")</f>
        <v>8684341.2300000004</v>
      </c>
      <c r="G445" s="38">
        <f>IF([2]PRADERA!E9&lt;&gt;"",[2]PRADERA!E9,"")</f>
        <v>687892.76999999955</v>
      </c>
      <c r="H445" s="38">
        <f>IF([2]PRADERA!F9&lt;&gt;"",[2]PRADERA!F9,"")</f>
        <v>6668256.9999999991</v>
      </c>
      <c r="I445" s="38">
        <f>IF([2]PRADERA!G9&lt;&gt;"",[2]PRADERA!G9,"")</f>
        <v>2703977.0000000009</v>
      </c>
      <c r="J445" s="58">
        <f t="shared" si="30"/>
        <v>0.71149066487243051</v>
      </c>
      <c r="K445" t="str">
        <f t="shared" si="33"/>
        <v>2559663</v>
      </c>
      <c r="L445" t="str">
        <f t="shared" si="34"/>
        <v>UE-906</v>
      </c>
    </row>
    <row r="446" spans="1:12" ht="63" x14ac:dyDescent="0.2">
      <c r="A446" s="37">
        <v>338</v>
      </c>
      <c r="B446" s="37">
        <v>2631496</v>
      </c>
      <c r="C446" s="37" t="s">
        <v>425</v>
      </c>
      <c r="D446" s="39" t="s">
        <v>786</v>
      </c>
      <c r="E446" s="38">
        <f>IF([2]PRADERA!C10&lt;&gt;"",[2]PRADERA!C10,"")</f>
        <v>5141948</v>
      </c>
      <c r="F446" s="38">
        <f>IF([2]PRADERA!D10&lt;&gt;"",[2]PRADERA!D10,"")</f>
        <v>4508551</v>
      </c>
      <c r="G446" s="38">
        <f>IF([2]PRADERA!E10&lt;&gt;"",[2]PRADERA!E10,"")</f>
        <v>633397</v>
      </c>
      <c r="H446" s="38">
        <f>IF([2]PRADERA!F10&lt;&gt;"",[2]PRADERA!F10,"")</f>
        <v>602651.11</v>
      </c>
      <c r="I446" s="38">
        <f>IF([2]PRADERA!G10&lt;&gt;"",[2]PRADERA!G10,"")</f>
        <v>4539296.8899999997</v>
      </c>
      <c r="J446" s="58">
        <f t="shared" si="30"/>
        <v>0.11720287914230171</v>
      </c>
      <c r="K446" t="str">
        <f t="shared" si="33"/>
        <v>2631496</v>
      </c>
      <c r="L446" t="str">
        <f t="shared" si="34"/>
        <v>UE-906</v>
      </c>
    </row>
    <row r="447" spans="1:12" ht="18" x14ac:dyDescent="0.2">
      <c r="A447" s="37">
        <v>339</v>
      </c>
      <c r="B447" s="37">
        <v>2001621</v>
      </c>
      <c r="C447" s="37" t="s">
        <v>425</v>
      </c>
      <c r="D447" s="39" t="s">
        <v>789</v>
      </c>
      <c r="E447" s="38" t="str">
        <f>IF([2]PRADERA!C5&lt;&gt;"",[2]PRADERA!C5,"")</f>
        <v/>
      </c>
      <c r="F447" s="38" t="str">
        <f>IF([2]PRADERA!D5&lt;&gt;"",[2]PRADERA!D5,"")</f>
        <v/>
      </c>
      <c r="G447" s="38">
        <f>IF([2]PRADERA!E5&lt;&gt;"",[2]PRADERA!E5,"")</f>
        <v>0</v>
      </c>
      <c r="H447" s="38" t="str">
        <f>IF([2]PRADERA!F5&lt;&gt;"",[2]PRADERA!F5,"")</f>
        <v/>
      </c>
      <c r="I447" s="38">
        <f>IF([2]PRADERA!G5&lt;&gt;"",[2]PRADERA!G5,"")</f>
        <v>0</v>
      </c>
      <c r="J447" s="58" t="e">
        <f t="shared" si="30"/>
        <v>#VALUE!</v>
      </c>
      <c r="K447" t="str">
        <f t="shared" si="33"/>
        <v>2001621</v>
      </c>
      <c r="L447" t="str">
        <f t="shared" si="34"/>
        <v>UE-906</v>
      </c>
    </row>
    <row r="448" spans="1:12" ht="36" x14ac:dyDescent="0.2">
      <c r="A448" s="37">
        <v>340</v>
      </c>
      <c r="B448" s="37">
        <v>2318520</v>
      </c>
      <c r="C448" s="41" t="s">
        <v>426</v>
      </c>
      <c r="D448" s="39" t="s">
        <v>54</v>
      </c>
      <c r="E448" s="38">
        <f>IF([2]AGRICULTURA!C7&lt;&gt;"",[2]AGRICULTURA!C7,"")</f>
        <v>30892</v>
      </c>
      <c r="F448" s="38">
        <f>IF([2]AGRICULTURA!D7&lt;&gt;"",[2]AGRICULTURA!D7,"")</f>
        <v>30000</v>
      </c>
      <c r="G448" s="38">
        <f>IF([2]AGRICULTURA!E7&lt;&gt;"",[2]AGRICULTURA!E7,"")</f>
        <v>892</v>
      </c>
      <c r="H448" s="38">
        <f>IF([2]AGRICULTURA!F7&lt;&gt;"",[2]AGRICULTURA!F7,"")</f>
        <v>0</v>
      </c>
      <c r="I448" s="38">
        <f>IF([2]AGRICULTURA!G7&lt;&gt;"",[2]AGRICULTURA!G7,"")</f>
        <v>30892</v>
      </c>
      <c r="J448" s="58">
        <f t="shared" si="30"/>
        <v>0</v>
      </c>
      <c r="K448" t="str">
        <f t="shared" si="33"/>
        <v>2318520</v>
      </c>
      <c r="L448" t="str">
        <f t="shared" si="34"/>
        <v>UE-908</v>
      </c>
    </row>
    <row r="449" spans="1:12" ht="45" x14ac:dyDescent="0.2">
      <c r="A449" s="37">
        <v>341</v>
      </c>
      <c r="B449" s="37" t="s">
        <v>445</v>
      </c>
      <c r="C449" s="37" t="s">
        <v>426</v>
      </c>
      <c r="D449" s="39" t="s">
        <v>17</v>
      </c>
      <c r="E449" s="38">
        <f>IF([2]AGRICULTURA!C8&lt;&gt;"",[2]AGRICULTURA!C8,"")</f>
        <v>3480030</v>
      </c>
      <c r="F449" s="38">
        <f>IF([2]AGRICULTURA!D8&lt;&gt;"",[2]AGRICULTURA!D8,"")</f>
        <v>3278955.9</v>
      </c>
      <c r="G449" s="38">
        <f>IF([2]AGRICULTURA!E8&lt;&gt;"",[2]AGRICULTURA!E8,"")</f>
        <v>201074.10000000009</v>
      </c>
      <c r="H449" s="38">
        <f>IF([2]AGRICULTURA!F8&lt;&gt;"",[2]AGRICULTURA!F8,"")</f>
        <v>2611455.3499999996</v>
      </c>
      <c r="I449" s="38">
        <f>IF([2]AGRICULTURA!G8&lt;&gt;"",[2]AGRICULTURA!G8,"")</f>
        <v>868574.65000000037</v>
      </c>
      <c r="J449" s="58">
        <f t="shared" ref="J449:J457" si="35">H449/E449</f>
        <v>0.75041173495630775</v>
      </c>
      <c r="K449" t="str">
        <f t="shared" si="33"/>
        <v>2470873</v>
      </c>
      <c r="L449" t="str">
        <f t="shared" si="34"/>
        <v>UE-908</v>
      </c>
    </row>
    <row r="450" spans="1:12" ht="45" x14ac:dyDescent="0.2">
      <c r="A450" s="37">
        <v>342</v>
      </c>
      <c r="B450" s="37" t="s">
        <v>446</v>
      </c>
      <c r="C450" s="37" t="s">
        <v>426</v>
      </c>
      <c r="D450" s="39" t="s">
        <v>18</v>
      </c>
      <c r="E450" s="38">
        <f>IF([2]AGRICULTURA!C9&lt;&gt;"",[2]AGRICULTURA!C9,"")</f>
        <v>2000000</v>
      </c>
      <c r="F450" s="38">
        <f>IF([2]AGRICULTURA!D9&lt;&gt;"",[2]AGRICULTURA!D9,"")</f>
        <v>1837086.53</v>
      </c>
      <c r="G450" s="38">
        <f>IF([2]AGRICULTURA!E9&lt;&gt;"",[2]AGRICULTURA!E9,"")</f>
        <v>162913.46999999997</v>
      </c>
      <c r="H450" s="38">
        <f>IF([2]AGRICULTURA!F9&lt;&gt;"",[2]AGRICULTURA!F9,"")</f>
        <v>1103412.8900000001</v>
      </c>
      <c r="I450" s="38">
        <f>IF([2]AGRICULTURA!G9&lt;&gt;"",[2]AGRICULTURA!G9,"")</f>
        <v>896587.10999999987</v>
      </c>
      <c r="J450" s="58">
        <f t="shared" si="35"/>
        <v>0.5517064450000001</v>
      </c>
      <c r="K450" t="str">
        <f t="shared" si="33"/>
        <v>2511053</v>
      </c>
      <c r="L450" t="str">
        <f t="shared" si="34"/>
        <v>UE-908</v>
      </c>
    </row>
    <row r="451" spans="1:12" ht="27" x14ac:dyDescent="0.2">
      <c r="A451" s="37">
        <v>343</v>
      </c>
      <c r="B451" s="37">
        <v>2313145</v>
      </c>
      <c r="C451" s="37" t="s">
        <v>426</v>
      </c>
      <c r="D451" s="39" t="s">
        <v>53</v>
      </c>
      <c r="E451" s="38" t="str">
        <f>IF([2]AGRICULTURA!C6&lt;&gt;"",[2]AGRICULTURA!C6,"")</f>
        <v/>
      </c>
      <c r="F451" s="38" t="str">
        <f>IF([2]AGRICULTURA!D6&lt;&gt;"",[2]AGRICULTURA!D6,"")</f>
        <v/>
      </c>
      <c r="G451" s="38">
        <f>IF([2]AGRICULTURA!E6&lt;&gt;"",[2]AGRICULTURA!E6,"")</f>
        <v>0</v>
      </c>
      <c r="H451" s="38" t="str">
        <f>IF([2]AGRICULTURA!F6&lt;&gt;"",[2]AGRICULTURA!F6,"")</f>
        <v/>
      </c>
      <c r="I451" s="38">
        <f>IF([2]AGRICULTURA!G6&lt;&gt;"",[2]AGRICULTURA!G6,"")</f>
        <v>0</v>
      </c>
      <c r="J451" s="58" t="e">
        <f t="shared" si="35"/>
        <v>#VALUE!</v>
      </c>
      <c r="K451" t="str">
        <f t="shared" si="33"/>
        <v>2313145</v>
      </c>
      <c r="L451" t="str">
        <f t="shared" si="34"/>
        <v>UE-908</v>
      </c>
    </row>
    <row r="452" spans="1:12" ht="54" x14ac:dyDescent="0.2">
      <c r="A452" s="37">
        <v>344</v>
      </c>
      <c r="B452" s="37" t="s">
        <v>447</v>
      </c>
      <c r="C452" s="37" t="s">
        <v>426</v>
      </c>
      <c r="D452" s="39" t="s">
        <v>203</v>
      </c>
      <c r="E452" s="38">
        <f>IF([2]AGRICULTURA!C10&lt;&gt;"",[2]AGRICULTURA!C10,"")</f>
        <v>5534000</v>
      </c>
      <c r="F452" s="38">
        <f>IF([2]AGRICULTURA!D10&lt;&gt;"",[2]AGRICULTURA!D10,"")</f>
        <v>5352297.4400000004</v>
      </c>
      <c r="G452" s="38">
        <f>IF([2]AGRICULTURA!E10&lt;&gt;"",[2]AGRICULTURA!E10,"")</f>
        <v>181702.55999999959</v>
      </c>
      <c r="H452" s="38">
        <f>IF([2]AGRICULTURA!F10&lt;&gt;"",[2]AGRICULTURA!F10,"")</f>
        <v>3701506.9699999997</v>
      </c>
      <c r="I452" s="38">
        <f>IF([2]AGRICULTURA!G10&lt;&gt;"",[2]AGRICULTURA!G10,"")</f>
        <v>1832493.0300000003</v>
      </c>
      <c r="J452" s="58">
        <f>H452/E452</f>
        <v>0.66886645645102993</v>
      </c>
      <c r="K452" t="str">
        <f t="shared" si="33"/>
        <v>2557255</v>
      </c>
      <c r="L452" t="str">
        <f t="shared" si="34"/>
        <v>UE-908</v>
      </c>
    </row>
    <row r="453" spans="1:12" ht="63" x14ac:dyDescent="0.2">
      <c r="A453" s="37"/>
      <c r="B453" s="37">
        <v>2615902</v>
      </c>
      <c r="C453" s="37" t="s">
        <v>426</v>
      </c>
      <c r="D453" s="39" t="s">
        <v>1074</v>
      </c>
      <c r="E453" s="38">
        <f>[2]AGRICULTURA!C11</f>
        <v>20000</v>
      </c>
      <c r="F453" s="38">
        <f>[2]AGRICULTURA!D11</f>
        <v>17500</v>
      </c>
      <c r="G453" s="38">
        <f>[2]AGRICULTURA!E11</f>
        <v>2500</v>
      </c>
      <c r="H453" s="38">
        <f>[2]AGRICULTURA!F11</f>
        <v>0</v>
      </c>
      <c r="I453" s="38">
        <f>[2]AGRICULTURA!G11</f>
        <v>20000</v>
      </c>
      <c r="J453" s="58">
        <f>H453/E453</f>
        <v>0</v>
      </c>
    </row>
    <row r="454" spans="1:12" ht="45" x14ac:dyDescent="0.2">
      <c r="A454" s="37">
        <v>345</v>
      </c>
      <c r="B454" s="37">
        <v>2629018</v>
      </c>
      <c r="C454" s="37" t="s">
        <v>426</v>
      </c>
      <c r="D454" s="39" t="s">
        <v>482</v>
      </c>
      <c r="E454" s="38">
        <f>IF([2]AGRICULTURA!C12&lt;&gt;"",[2]AGRICULTURA!C12,"")</f>
        <v>500000</v>
      </c>
      <c r="F454" s="38">
        <f>IF([2]AGRICULTURA!D12&lt;&gt;"",[2]AGRICULTURA!D12,"")</f>
        <v>39550</v>
      </c>
      <c r="G454" s="38">
        <f>IF([2]AGRICULTURA!E12&lt;&gt;"",[2]AGRICULTURA!E12,"")</f>
        <v>460450</v>
      </c>
      <c r="H454" s="38">
        <f>IF([2]AGRICULTURA!F12&lt;&gt;"",[2]AGRICULTURA!F12,"")</f>
        <v>5000</v>
      </c>
      <c r="I454" s="38">
        <f>IF([2]AGRICULTURA!G12&lt;&gt;"",[2]AGRICULTURA!G12,"")</f>
        <v>495000</v>
      </c>
      <c r="J454" s="58">
        <f t="shared" si="35"/>
        <v>0.01</v>
      </c>
      <c r="K454" t="str">
        <f t="shared" si="33"/>
        <v>2629018</v>
      </c>
      <c r="L454" t="str">
        <f t="shared" si="34"/>
        <v>UE-908</v>
      </c>
    </row>
    <row r="455" spans="1:12" ht="18" x14ac:dyDescent="0.2">
      <c r="A455" s="37">
        <v>346</v>
      </c>
      <c r="B455" s="37">
        <v>2001621</v>
      </c>
      <c r="C455" s="37" t="s">
        <v>790</v>
      </c>
      <c r="D455" s="39" t="s">
        <v>134</v>
      </c>
      <c r="E455" s="38">
        <f>IF([2]AGRICULTURA!C5&lt;&gt;"",[2]AGRICULTURA!C5,"")</f>
        <v>90000</v>
      </c>
      <c r="F455" s="38">
        <f>IF([2]AGRICULTURA!D5&lt;&gt;"",[2]AGRICULTURA!D5,"")</f>
        <v>0</v>
      </c>
      <c r="G455" s="38">
        <f>IF([2]AGRICULTURA!E5&lt;&gt;"",[2]AGRICULTURA!E5,"")</f>
        <v>90000</v>
      </c>
      <c r="H455" s="38">
        <f>IF([2]AGRICULTURA!F5&lt;&gt;"",[2]AGRICULTURA!F5,"")</f>
        <v>0</v>
      </c>
      <c r="I455" s="38">
        <f>IF([2]AGRICULTURA!G5&lt;&gt;"",[2]AGRICULTURA!G5,"")</f>
        <v>90000</v>
      </c>
      <c r="J455" s="58">
        <f t="shared" si="35"/>
        <v>0</v>
      </c>
      <c r="K455" t="str">
        <f t="shared" si="33"/>
        <v>2001621</v>
      </c>
      <c r="L455" t="str">
        <f t="shared" si="34"/>
        <v>UE-909</v>
      </c>
    </row>
    <row r="456" spans="1:12" ht="45" x14ac:dyDescent="0.2">
      <c r="A456" s="37">
        <v>347</v>
      </c>
      <c r="B456" s="37">
        <v>2393101</v>
      </c>
      <c r="C456" s="41" t="s">
        <v>427</v>
      </c>
      <c r="D456" s="39" t="s">
        <v>196</v>
      </c>
      <c r="E456" s="38">
        <v>32592</v>
      </c>
      <c r="F456" s="38">
        <v>0</v>
      </c>
      <c r="G456" s="42">
        <f>E456-F456</f>
        <v>32592</v>
      </c>
      <c r="H456" s="38">
        <v>0</v>
      </c>
      <c r="I456" s="42">
        <f>E456-H456</f>
        <v>32592</v>
      </c>
      <c r="J456" s="58">
        <f t="shared" si="35"/>
        <v>0</v>
      </c>
      <c r="K456" t="str">
        <f t="shared" si="33"/>
        <v>2393101</v>
      </c>
      <c r="L456" t="str">
        <f t="shared" si="34"/>
        <v>UE-912</v>
      </c>
    </row>
    <row r="457" spans="1:12" x14ac:dyDescent="0.2">
      <c r="A457" s="37"/>
      <c r="B457" s="37" t="s">
        <v>185</v>
      </c>
      <c r="C457" s="37"/>
      <c r="D457" s="37" t="s">
        <v>449</v>
      </c>
      <c r="E457" s="38" t="e">
        <f>SUM(E24:E456)</f>
        <v>#REF!</v>
      </c>
      <c r="F457" s="38" t="e">
        <f>SUM(F24:F456)</f>
        <v>#REF!</v>
      </c>
      <c r="G457" s="38" t="e">
        <f>SUM(G24:G456)</f>
        <v>#REF!</v>
      </c>
      <c r="H457" s="38" t="e">
        <f>SUM(H24:H456)</f>
        <v>#REF!</v>
      </c>
      <c r="I457" s="38" t="e">
        <f>SUM(I24:I456)</f>
        <v>#REF!</v>
      </c>
      <c r="J457" s="58" t="e">
        <f t="shared" si="35"/>
        <v>#REF!</v>
      </c>
    </row>
  </sheetData>
  <phoneticPr fontId="13" type="noConversion"/>
  <pageMargins left="0.27083333333333331" right="0.16304347826086957" top="0.74803149606299213" bottom="0.74803149606299213" header="0.31496062992125984" footer="0.31496062992125984"/>
  <pageSetup paperSize="9" orientation="portrait" r:id="rId1"/>
  <headerFooter>
    <oddHeader>&amp;C&amp;"Arial,Negrita"&amp;UCOMPORTAMIENTO DE EJECUCION DE PROYECTOS DE INVERSION PUBLICA DEL AÑO FISCAL 2025&amp;U
13 AGO 2025</oddHeader>
    <oddFooter>&amp;CPágina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13</vt:i4>
      </vt:variant>
    </vt:vector>
  </HeadingPairs>
  <TitlesOfParts>
    <vt:vector size="30" baseType="lpstr">
      <vt:lpstr>Hoja9</vt:lpstr>
      <vt:lpstr>Gerencia de Infraestructura</vt:lpstr>
      <vt:lpstr>Gerencias y Oficinas</vt:lpstr>
      <vt:lpstr>GRDE</vt:lpstr>
      <vt:lpstr>GRRNyDA</vt:lpstr>
      <vt:lpstr>PETT</vt:lpstr>
      <vt:lpstr>PECSA</vt:lpstr>
      <vt:lpstr>DS</vt:lpstr>
      <vt:lpstr>DEPI</vt:lpstr>
      <vt:lpstr>ABS</vt:lpstr>
      <vt:lpstr>002</vt:lpstr>
      <vt:lpstr>003</vt:lpstr>
      <vt:lpstr>005</vt:lpstr>
      <vt:lpstr>100</vt:lpstr>
      <vt:lpstr>302</vt:lpstr>
      <vt:lpstr>UEs-ABS</vt:lpstr>
      <vt:lpstr>Hoja4</vt:lpstr>
      <vt:lpstr>'Gerencia de Infraestructura'!Área_de_impresión</vt:lpstr>
      <vt:lpstr>'Gerencias y Oficinas'!Área_de_impresión</vt:lpstr>
      <vt:lpstr>PECSA!Área_de_impresión</vt:lpstr>
      <vt:lpstr>DATOS</vt:lpstr>
      <vt:lpstr>DEPI!Títulos_a_imprimir</vt:lpstr>
      <vt:lpstr>DS!Títulos_a_imprimir</vt:lpstr>
      <vt:lpstr>'Gerencia de Infraestructura'!Títulos_a_imprimir</vt:lpstr>
      <vt:lpstr>'Gerencias y Oficinas'!Títulos_a_imprimir</vt:lpstr>
      <vt:lpstr>GRDE!Títulos_a_imprimir</vt:lpstr>
      <vt:lpstr>GRRNyDA!Títulos_a_imprimir</vt:lpstr>
      <vt:lpstr>Hoja4!Títulos_a_imprimir</vt:lpstr>
      <vt:lpstr>PECSA!Títulos_a_imprimir</vt:lpstr>
      <vt:lpstr>PETT!Títulos_a_imprimir</vt:lpstr>
    </vt:vector>
  </TitlesOfParts>
  <Company>InKulpado666</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presupuesto07</dc:creator>
  <cp:lastModifiedBy>maximo pacompia flores</cp:lastModifiedBy>
  <cp:lastPrinted>2026-09-16T22:25:16Z</cp:lastPrinted>
  <dcterms:created xsi:type="dcterms:W3CDTF">2021-12-23T17:45:27Z</dcterms:created>
  <dcterms:modified xsi:type="dcterms:W3CDTF">2026-09-16T23:21:03Z</dcterms:modified>
</cp:coreProperties>
</file>