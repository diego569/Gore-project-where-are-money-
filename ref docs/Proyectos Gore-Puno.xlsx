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ORE-PUNO\Documents\DOCUMENTOS RESPUESTA A OC\docu\"/>
    </mc:Choice>
  </mc:AlternateContent>
  <xr:revisionPtr revIDLastSave="0" documentId="8_{283CBA8B-73F8-4179-9ABD-FA5AEA28790B}" xr6:coauthVersionLast="47" xr6:coauthVersionMax="47" xr10:uidLastSave="{00000000-0000-0000-0000-000000000000}"/>
  <bookViews>
    <workbookView xWindow="-120" yWindow="-120" windowWidth="29040" windowHeight="15720"/>
  </bookViews>
  <sheets>
    <sheet name="Proyectos" sheetId="2" r:id="rId1"/>
    <sheet name="RESUMEN" sheetId="4" r:id="rId2"/>
    <sheet name="Ordenado Segun No Comprometid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4" l="1"/>
  <c r="H3" i="4"/>
  <c r="H4" i="4"/>
  <c r="H5" i="4"/>
  <c r="H7" i="4"/>
  <c r="G8" i="4"/>
  <c r="H8" i="4"/>
  <c r="G9" i="4"/>
  <c r="H9" i="4"/>
  <c r="G10" i="4"/>
  <c r="H10" i="4"/>
  <c r="H11" i="4"/>
  <c r="G12" i="4"/>
  <c r="G15" i="4"/>
  <c r="G16" i="4"/>
  <c r="G18" i="4"/>
  <c r="H20" i="4"/>
  <c r="G21" i="4"/>
  <c r="B492" i="2"/>
  <c r="H21" i="4" s="1"/>
  <c r="B474" i="2"/>
  <c r="B475" i="2"/>
  <c r="B476" i="2"/>
  <c r="B477" i="2"/>
  <c r="H6" i="4" s="1"/>
  <c r="B478" i="2"/>
  <c r="B479" i="2"/>
  <c r="B480" i="2"/>
  <c r="B481" i="2"/>
  <c r="B482" i="2"/>
  <c r="B483" i="2"/>
  <c r="H12" i="4" s="1"/>
  <c r="B484" i="2"/>
  <c r="H13" i="4" s="1"/>
  <c r="B485" i="2"/>
  <c r="H14" i="4" s="1"/>
  <c r="B486" i="2"/>
  <c r="H15" i="4" s="1"/>
  <c r="B487" i="2"/>
  <c r="H16" i="4" s="1"/>
  <c r="B488" i="2"/>
  <c r="H17" i="4" s="1"/>
  <c r="B489" i="2"/>
  <c r="H18" i="4" s="1"/>
  <c r="B490" i="2"/>
  <c r="H19" i="4" s="1"/>
  <c r="B491" i="2"/>
  <c r="A491" i="2"/>
  <c r="G20" i="4" s="1"/>
  <c r="A490" i="2"/>
  <c r="G19" i="4" s="1"/>
  <c r="A489" i="2"/>
  <c r="A488" i="2"/>
  <c r="G17" i="4" s="1"/>
  <c r="A487" i="2"/>
  <c r="A486" i="2"/>
  <c r="A485" i="2"/>
  <c r="G14" i="4" s="1"/>
  <c r="A484" i="2"/>
  <c r="G13" i="4" s="1"/>
  <c r="A483" i="2"/>
  <c r="A482" i="2"/>
  <c r="G11" i="4" s="1"/>
  <c r="A481" i="2"/>
  <c r="A480" i="2"/>
  <c r="A479" i="2"/>
  <c r="A478" i="2"/>
  <c r="G7" i="4" s="1"/>
  <c r="A477" i="2"/>
  <c r="G6" i="4" s="1"/>
  <c r="A476" i="2"/>
  <c r="G5" i="4" s="1"/>
  <c r="A475" i="2"/>
  <c r="G4" i="4" s="1"/>
  <c r="A474" i="2"/>
  <c r="G3" i="4" s="1"/>
  <c r="E2" i="4"/>
  <c r="B2" i="4"/>
  <c r="B5" i="4"/>
  <c r="B6" i="4"/>
  <c r="B8" i="4"/>
  <c r="B9" i="4"/>
  <c r="A10" i="4"/>
  <c r="B10" i="4"/>
  <c r="A11" i="4"/>
  <c r="B11" i="4"/>
  <c r="A12" i="4"/>
  <c r="B12" i="4"/>
  <c r="A13" i="4"/>
  <c r="A17" i="4"/>
  <c r="A19" i="4"/>
  <c r="A20" i="4"/>
  <c r="B20" i="4"/>
  <c r="A21" i="4"/>
  <c r="B21" i="4"/>
  <c r="B22" i="4"/>
  <c r="A23" i="4"/>
  <c r="E4" i="4"/>
  <c r="E5" i="4"/>
  <c r="E7" i="4"/>
  <c r="E8" i="4"/>
  <c r="D9" i="4"/>
  <c r="E9" i="4"/>
  <c r="D10" i="4"/>
  <c r="E10" i="4"/>
  <c r="D11" i="4"/>
  <c r="E11" i="4"/>
  <c r="D12" i="4"/>
  <c r="D16" i="4"/>
  <c r="D17" i="4"/>
  <c r="D18" i="4"/>
  <c r="D19" i="4"/>
  <c r="D20" i="4"/>
  <c r="E20" i="4"/>
  <c r="E21" i="4"/>
  <c r="D22" i="4"/>
  <c r="B450" i="2"/>
  <c r="E3" i="4" s="1"/>
  <c r="B451" i="2"/>
  <c r="B452" i="2"/>
  <c r="B453" i="2"/>
  <c r="E6" i="4" s="1"/>
  <c r="B454" i="2"/>
  <c r="B455" i="2"/>
  <c r="B456" i="2"/>
  <c r="B457" i="2"/>
  <c r="B458" i="2"/>
  <c r="B459" i="2"/>
  <c r="E12" i="4" s="1"/>
  <c r="B460" i="2"/>
  <c r="E13" i="4" s="1"/>
  <c r="B461" i="2"/>
  <c r="E14" i="4" s="1"/>
  <c r="B462" i="2"/>
  <c r="E15" i="4" s="1"/>
  <c r="B463" i="2"/>
  <c r="E16" i="4" s="1"/>
  <c r="B464" i="2"/>
  <c r="E17" i="4" s="1"/>
  <c r="B465" i="2"/>
  <c r="E18" i="4" s="1"/>
  <c r="B466" i="2"/>
  <c r="E19" i="4" s="1"/>
  <c r="B467" i="2"/>
  <c r="B468" i="2"/>
  <c r="A468" i="2"/>
  <c r="D21" i="4" s="1"/>
  <c r="A467" i="2"/>
  <c r="A466" i="2"/>
  <c r="A465" i="2"/>
  <c r="A464" i="2"/>
  <c r="A463" i="2"/>
  <c r="A462" i="2"/>
  <c r="D15" i="4" s="1"/>
  <c r="A461" i="2"/>
  <c r="D14" i="4" s="1"/>
  <c r="A460" i="2"/>
  <c r="D13" i="4" s="1"/>
  <c r="A459" i="2"/>
  <c r="A458" i="2"/>
  <c r="A457" i="2"/>
  <c r="A455" i="2"/>
  <c r="D8" i="4" s="1"/>
  <c r="A456" i="2"/>
  <c r="A454" i="2"/>
  <c r="D7" i="4" s="1"/>
  <c r="A453" i="2"/>
  <c r="D6" i="4" s="1"/>
  <c r="A452" i="2"/>
  <c r="D5" i="4" s="1"/>
  <c r="A451" i="2"/>
  <c r="D4" i="4" s="1"/>
  <c r="A450" i="2"/>
  <c r="D3" i="4" s="1"/>
  <c r="A424" i="2"/>
  <c r="A3" i="4" s="1"/>
  <c r="B424" i="2"/>
  <c r="B3" i="4" s="1"/>
  <c r="B425" i="2"/>
  <c r="B4" i="4" s="1"/>
  <c r="B426" i="2"/>
  <c r="B427" i="2"/>
  <c r="B428" i="2"/>
  <c r="B7" i="4" s="1"/>
  <c r="B429" i="2"/>
  <c r="B430" i="2"/>
  <c r="B431" i="2"/>
  <c r="B432" i="2"/>
  <c r="B433" i="2"/>
  <c r="B434" i="2"/>
  <c r="B13" i="4" s="1"/>
  <c r="B435" i="2"/>
  <c r="B14" i="4" s="1"/>
  <c r="B436" i="2"/>
  <c r="B15" i="4" s="1"/>
  <c r="B437" i="2"/>
  <c r="B16" i="4" s="1"/>
  <c r="B438" i="2"/>
  <c r="B17" i="4" s="1"/>
  <c r="B439" i="2"/>
  <c r="B18" i="4" s="1"/>
  <c r="B440" i="2"/>
  <c r="B19" i="4" s="1"/>
  <c r="B441" i="2"/>
  <c r="B442" i="2"/>
  <c r="B443" i="2"/>
  <c r="A443" i="2"/>
  <c r="A22" i="4" s="1"/>
  <c r="A442" i="2"/>
  <c r="A441" i="2"/>
  <c r="A440" i="2"/>
  <c r="A438" i="2"/>
  <c r="A439" i="2"/>
  <c r="A18" i="4" s="1"/>
  <c r="A437" i="2"/>
  <c r="A16" i="4" s="1"/>
  <c r="A436" i="2"/>
  <c r="A15" i="4" s="1"/>
  <c r="A435" i="2"/>
  <c r="A14" i="4" s="1"/>
  <c r="A434" i="2"/>
  <c r="A433" i="2"/>
  <c r="A432" i="2"/>
  <c r="A431" i="2"/>
  <c r="A430" i="2"/>
  <c r="A9" i="4" s="1"/>
  <c r="A429" i="2"/>
  <c r="A8" i="4" s="1"/>
  <c r="A428" i="2"/>
  <c r="A7" i="4" s="1"/>
  <c r="A427" i="2"/>
  <c r="A6" i="4" s="1"/>
  <c r="A426" i="2"/>
  <c r="A5" i="4" s="1"/>
  <c r="A425" i="2"/>
  <c r="A4" i="4" s="1"/>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16" i="2"/>
  <c r="J18" i="2"/>
  <c r="K18" i="2"/>
  <c r="J12" i="3"/>
  <c r="K245" i="3"/>
  <c r="J245" i="3"/>
  <c r="K136" i="3"/>
  <c r="J136" i="3"/>
  <c r="K261" i="3"/>
  <c r="J261" i="3"/>
  <c r="K114" i="3"/>
  <c r="J114" i="3"/>
  <c r="K142" i="3"/>
  <c r="J142" i="3"/>
  <c r="K237" i="3"/>
  <c r="J237" i="3"/>
  <c r="K256" i="3"/>
  <c r="J256" i="3"/>
  <c r="K182" i="3"/>
  <c r="J182" i="3"/>
  <c r="K243" i="3"/>
  <c r="J243" i="3"/>
  <c r="K260" i="3"/>
  <c r="J260" i="3"/>
  <c r="K246" i="3"/>
  <c r="J246" i="3"/>
  <c r="K254" i="3"/>
  <c r="J254" i="3"/>
  <c r="K138" i="3"/>
  <c r="J138" i="3"/>
  <c r="K202" i="3"/>
  <c r="J202" i="3"/>
  <c r="K163" i="3"/>
  <c r="J163" i="3"/>
  <c r="K197" i="3"/>
  <c r="J197" i="3"/>
  <c r="K201" i="3"/>
  <c r="J201" i="3"/>
  <c r="K34" i="3"/>
  <c r="J34" i="3"/>
  <c r="K110" i="3"/>
  <c r="J110" i="3"/>
  <c r="K156" i="3"/>
  <c r="J156" i="3"/>
  <c r="K402" i="3"/>
  <c r="J402" i="3"/>
  <c r="K401" i="3"/>
  <c r="J401" i="3"/>
  <c r="K310" i="3"/>
  <c r="J310" i="3"/>
  <c r="K255" i="3"/>
  <c r="J255" i="3"/>
  <c r="K158" i="3"/>
  <c r="J158" i="3"/>
  <c r="K143" i="3"/>
  <c r="J143" i="3"/>
  <c r="K205" i="3"/>
  <c r="J205" i="3"/>
  <c r="K207" i="3"/>
  <c r="J207" i="3"/>
  <c r="K19" i="3"/>
  <c r="J19" i="3"/>
  <c r="K309" i="3"/>
  <c r="J309" i="3"/>
  <c r="K16" i="3"/>
  <c r="J16" i="3"/>
  <c r="K145" i="3"/>
  <c r="J145" i="3"/>
  <c r="K264" i="3"/>
  <c r="J264" i="3"/>
  <c r="K400" i="3"/>
  <c r="J400" i="3"/>
  <c r="K5" i="3"/>
  <c r="J5" i="3"/>
  <c r="K47" i="3"/>
  <c r="J47" i="3"/>
  <c r="K399" i="3"/>
  <c r="J399" i="3"/>
  <c r="K66" i="3"/>
  <c r="J66" i="3"/>
  <c r="K8" i="3"/>
  <c r="J8" i="3"/>
  <c r="K250" i="3"/>
  <c r="J250" i="3"/>
  <c r="K215" i="3"/>
  <c r="J215" i="3"/>
  <c r="K74" i="3"/>
  <c r="J74" i="3"/>
  <c r="K398" i="3"/>
  <c r="J398" i="3"/>
  <c r="K199" i="3"/>
  <c r="J199" i="3"/>
  <c r="K131" i="3"/>
  <c r="J131" i="3"/>
  <c r="K397" i="3"/>
  <c r="J397" i="3"/>
  <c r="K229" i="3"/>
  <c r="J229" i="3"/>
  <c r="K219" i="3"/>
  <c r="J219" i="3"/>
  <c r="K149" i="3"/>
  <c r="J149" i="3"/>
  <c r="K273" i="3"/>
  <c r="J273" i="3"/>
  <c r="K293" i="3"/>
  <c r="J293" i="3"/>
  <c r="K396" i="3"/>
  <c r="J396" i="3"/>
  <c r="K395" i="3"/>
  <c r="J395" i="3"/>
  <c r="K394" i="3"/>
  <c r="J394" i="3"/>
  <c r="K308" i="3"/>
  <c r="J308" i="3"/>
  <c r="K240" i="3"/>
  <c r="J240" i="3"/>
  <c r="K272" i="3"/>
  <c r="J272" i="3"/>
  <c r="K277" i="3"/>
  <c r="J277" i="3"/>
  <c r="K289" i="3"/>
  <c r="J289" i="3"/>
  <c r="K230" i="3"/>
  <c r="J230" i="3"/>
  <c r="K393" i="3"/>
  <c r="J393" i="3"/>
  <c r="K392" i="3"/>
  <c r="J392" i="3"/>
  <c r="K391" i="3"/>
  <c r="J391" i="3"/>
  <c r="K242" i="3"/>
  <c r="J242" i="3"/>
  <c r="K137" i="3"/>
  <c r="J137" i="3"/>
  <c r="K211" i="3"/>
  <c r="J211" i="3"/>
  <c r="K133" i="3"/>
  <c r="J133" i="3"/>
  <c r="K390" i="3"/>
  <c r="J390" i="3"/>
  <c r="K257" i="3"/>
  <c r="J257" i="3"/>
  <c r="K210" i="3"/>
  <c r="J210" i="3"/>
  <c r="K298" i="3"/>
  <c r="J298" i="3"/>
  <c r="K389" i="3"/>
  <c r="J389" i="3"/>
  <c r="K388" i="3"/>
  <c r="J388" i="3"/>
  <c r="K307" i="3"/>
  <c r="J307" i="3"/>
  <c r="K268" i="3"/>
  <c r="J268" i="3"/>
  <c r="K180" i="3"/>
  <c r="J180" i="3"/>
  <c r="K269" i="3"/>
  <c r="J269" i="3"/>
  <c r="K303" i="3"/>
  <c r="J303" i="3"/>
  <c r="K387" i="3"/>
  <c r="J387" i="3"/>
  <c r="K386" i="3"/>
  <c r="J386" i="3"/>
  <c r="K385" i="3"/>
  <c r="J385" i="3"/>
  <c r="K306" i="3"/>
  <c r="J306" i="3"/>
  <c r="K167" i="3"/>
  <c r="J167" i="3"/>
  <c r="K384" i="3"/>
  <c r="J384" i="3"/>
  <c r="K383" i="3"/>
  <c r="J383" i="3"/>
  <c r="K168" i="3"/>
  <c r="J168" i="3"/>
  <c r="K160" i="3"/>
  <c r="J160" i="3"/>
  <c r="K148" i="3"/>
  <c r="J148" i="3"/>
  <c r="K382" i="3"/>
  <c r="J382" i="3"/>
  <c r="K179" i="3"/>
  <c r="J179" i="3"/>
  <c r="K75" i="3"/>
  <c r="J75" i="3"/>
  <c r="K299" i="3"/>
  <c r="J299" i="3"/>
  <c r="K381" i="3"/>
  <c r="J381" i="3"/>
  <c r="K105" i="3"/>
  <c r="J105" i="3"/>
  <c r="K154" i="3"/>
  <c r="J154" i="3"/>
  <c r="K119" i="3"/>
  <c r="J119" i="3"/>
  <c r="K301" i="3"/>
  <c r="J301" i="3"/>
  <c r="K304" i="3"/>
  <c r="J304" i="3"/>
  <c r="K380" i="3"/>
  <c r="J380" i="3"/>
  <c r="K295" i="3"/>
  <c r="J295" i="3"/>
  <c r="K153" i="3"/>
  <c r="J153" i="3"/>
  <c r="K191" i="3"/>
  <c r="J191" i="3"/>
  <c r="K218" i="3"/>
  <c r="J218" i="3"/>
  <c r="K209" i="3"/>
  <c r="J209" i="3"/>
  <c r="K379" i="3"/>
  <c r="J379" i="3"/>
  <c r="K155" i="3"/>
  <c r="J155" i="3"/>
  <c r="K57" i="3"/>
  <c r="J57" i="3"/>
  <c r="K263" i="3"/>
  <c r="J263" i="3"/>
  <c r="K198" i="3"/>
  <c r="J198" i="3"/>
  <c r="K378" i="3"/>
  <c r="J378" i="3"/>
  <c r="K300" i="3"/>
  <c r="J300" i="3"/>
  <c r="K189" i="3"/>
  <c r="J189" i="3"/>
  <c r="K117" i="3"/>
  <c r="J117" i="3"/>
  <c r="K377" i="3"/>
  <c r="J377" i="3"/>
  <c r="K376" i="3"/>
  <c r="J376" i="3"/>
  <c r="K375" i="3"/>
  <c r="J375" i="3"/>
  <c r="K374" i="3"/>
  <c r="J374" i="3"/>
  <c r="K280" i="3"/>
  <c r="J280" i="3"/>
  <c r="K373" i="3"/>
  <c r="J373" i="3"/>
  <c r="K162" i="3"/>
  <c r="J162" i="3"/>
  <c r="K239" i="3"/>
  <c r="J239" i="3"/>
  <c r="K372" i="3"/>
  <c r="J372" i="3"/>
  <c r="K371" i="3"/>
  <c r="J371" i="3"/>
  <c r="K193" i="3"/>
  <c r="J193" i="3"/>
  <c r="K370" i="3"/>
  <c r="J370" i="3"/>
  <c r="K369" i="3"/>
  <c r="J369" i="3"/>
  <c r="K186" i="3"/>
  <c r="J186" i="3"/>
  <c r="K279" i="3"/>
  <c r="J279" i="3"/>
  <c r="K174" i="3"/>
  <c r="J174" i="3"/>
  <c r="K20" i="3"/>
  <c r="J20" i="3"/>
  <c r="K92" i="3"/>
  <c r="J92" i="3"/>
  <c r="K292" i="3"/>
  <c r="J292" i="3"/>
  <c r="K86" i="3"/>
  <c r="J86" i="3"/>
  <c r="K200" i="3"/>
  <c r="J200" i="3"/>
  <c r="K208" i="3"/>
  <c r="J208" i="3"/>
  <c r="K368" i="3"/>
  <c r="J368" i="3"/>
  <c r="K367" i="3"/>
  <c r="J367" i="3"/>
  <c r="K115" i="3"/>
  <c r="J115" i="3"/>
  <c r="K27" i="3"/>
  <c r="J27" i="3"/>
  <c r="K9" i="3"/>
  <c r="J9" i="3"/>
  <c r="K366" i="3"/>
  <c r="J366" i="3"/>
  <c r="K222" i="3"/>
  <c r="J222" i="3"/>
  <c r="K76" i="3"/>
  <c r="J76" i="3"/>
  <c r="K365" i="3"/>
  <c r="J365" i="3"/>
  <c r="K364" i="3"/>
  <c r="J364" i="3"/>
  <c r="K297" i="3"/>
  <c r="J297" i="3"/>
  <c r="K363" i="3"/>
  <c r="J363" i="3"/>
  <c r="K216" i="3"/>
  <c r="J216" i="3"/>
  <c r="K103" i="3"/>
  <c r="J103" i="3"/>
  <c r="K102" i="3"/>
  <c r="J102" i="3"/>
  <c r="K107" i="3"/>
  <c r="J107" i="3"/>
  <c r="K206" i="3"/>
  <c r="J206" i="3"/>
  <c r="K362" i="3"/>
  <c r="J362" i="3"/>
  <c r="K228" i="3"/>
  <c r="J228" i="3"/>
  <c r="K220" i="3"/>
  <c r="J220" i="3"/>
  <c r="K361" i="3"/>
  <c r="J361" i="3"/>
  <c r="K360" i="3"/>
  <c r="J360" i="3"/>
  <c r="K244" i="3"/>
  <c r="J244" i="3"/>
  <c r="K359" i="3"/>
  <c r="J359" i="3"/>
  <c r="K232" i="3"/>
  <c r="J232" i="3"/>
  <c r="K252" i="3"/>
  <c r="J252" i="3"/>
  <c r="K358" i="3"/>
  <c r="J358" i="3"/>
  <c r="K221" i="3"/>
  <c r="J221" i="3"/>
  <c r="K357" i="3"/>
  <c r="J357" i="3"/>
  <c r="K356" i="3"/>
  <c r="J356" i="3"/>
  <c r="K223" i="3"/>
  <c r="J223" i="3"/>
  <c r="K178" i="3"/>
  <c r="J178" i="3"/>
  <c r="K12" i="3"/>
  <c r="K116" i="3"/>
  <c r="J116" i="3"/>
  <c r="K31" i="3"/>
  <c r="J31" i="3"/>
  <c r="K225" i="3"/>
  <c r="J225" i="3"/>
  <c r="K58" i="3"/>
  <c r="J58" i="3"/>
  <c r="K296" i="3"/>
  <c r="J296" i="3"/>
  <c r="K67" i="3"/>
  <c r="J67" i="3"/>
  <c r="K187" i="3"/>
  <c r="J187" i="3"/>
  <c r="K100" i="3"/>
  <c r="J100" i="3"/>
  <c r="K104" i="3"/>
  <c r="J104" i="3"/>
  <c r="K258" i="3"/>
  <c r="J258" i="3"/>
  <c r="K195" i="3"/>
  <c r="J195" i="3"/>
  <c r="K288" i="3"/>
  <c r="J288" i="3"/>
  <c r="K96" i="3"/>
  <c r="J96" i="3"/>
  <c r="K118" i="3"/>
  <c r="J118" i="3"/>
  <c r="K355" i="3"/>
  <c r="J355" i="3"/>
  <c r="K302" i="3"/>
  <c r="J302" i="3"/>
  <c r="K59" i="3"/>
  <c r="J59" i="3"/>
  <c r="K354" i="3"/>
  <c r="J354" i="3"/>
  <c r="K71" i="3"/>
  <c r="J71" i="3"/>
  <c r="K294" i="3"/>
  <c r="J294" i="3"/>
  <c r="K112" i="3"/>
  <c r="J112" i="3"/>
  <c r="K91" i="3"/>
  <c r="J91" i="3"/>
  <c r="K101" i="3"/>
  <c r="J101" i="3"/>
  <c r="K172" i="3"/>
  <c r="J172" i="3"/>
  <c r="K147" i="3"/>
  <c r="J147" i="3"/>
  <c r="K175" i="3"/>
  <c r="J175" i="3"/>
  <c r="K88" i="3"/>
  <c r="J88" i="3"/>
  <c r="K87" i="3"/>
  <c r="J87" i="3"/>
  <c r="K224" i="3"/>
  <c r="J224" i="3"/>
  <c r="K353" i="3"/>
  <c r="J353" i="3"/>
  <c r="K181" i="3"/>
  <c r="J181" i="3"/>
  <c r="K283" i="3"/>
  <c r="J283" i="3"/>
  <c r="K282" i="3"/>
  <c r="J282" i="3"/>
  <c r="K125" i="3"/>
  <c r="J125" i="3"/>
  <c r="K352" i="3"/>
  <c r="J352" i="3"/>
  <c r="K185" i="3"/>
  <c r="J185" i="3"/>
  <c r="K276" i="3"/>
  <c r="J276" i="3"/>
  <c r="K278" i="3"/>
  <c r="J278" i="3"/>
  <c r="K159" i="3"/>
  <c r="J159" i="3"/>
  <c r="K170" i="3"/>
  <c r="J170" i="3"/>
  <c r="K171" i="3"/>
  <c r="J171" i="3"/>
  <c r="K113" i="3"/>
  <c r="J113" i="3"/>
  <c r="K351" i="3"/>
  <c r="J351" i="3"/>
  <c r="K287" i="3"/>
  <c r="J287" i="3"/>
  <c r="K135" i="3"/>
  <c r="J135" i="3"/>
  <c r="K95" i="3"/>
  <c r="J95" i="3"/>
  <c r="K21" i="3"/>
  <c r="J21" i="3"/>
  <c r="K35" i="3"/>
  <c r="J35" i="3"/>
  <c r="K134" i="3"/>
  <c r="J134" i="3"/>
  <c r="K350" i="3"/>
  <c r="J350" i="3"/>
  <c r="K146" i="3"/>
  <c r="J146" i="3"/>
  <c r="K50" i="3"/>
  <c r="J50" i="3"/>
  <c r="K7" i="3"/>
  <c r="J7" i="3"/>
  <c r="K30" i="3"/>
  <c r="J30" i="3"/>
  <c r="K291" i="3"/>
  <c r="J291" i="3"/>
  <c r="K60" i="3"/>
  <c r="J60" i="3"/>
  <c r="K40" i="3"/>
  <c r="J40" i="3"/>
  <c r="K349" i="3"/>
  <c r="J349" i="3"/>
  <c r="K120" i="3"/>
  <c r="J120" i="3"/>
  <c r="K241" i="3"/>
  <c r="J241" i="3"/>
  <c r="K45" i="3"/>
  <c r="J45" i="3"/>
  <c r="K73" i="3"/>
  <c r="J73" i="3"/>
  <c r="K348" i="3"/>
  <c r="J348" i="3"/>
  <c r="K79" i="3"/>
  <c r="J79" i="3"/>
  <c r="K347" i="3"/>
  <c r="J347" i="3"/>
  <c r="K13" i="3"/>
  <c r="J13" i="3"/>
  <c r="K108" i="3"/>
  <c r="J108" i="3"/>
  <c r="K65" i="3"/>
  <c r="J65" i="3"/>
  <c r="K157" i="3"/>
  <c r="J157" i="3"/>
  <c r="K346" i="3"/>
  <c r="J346" i="3"/>
  <c r="K345" i="3"/>
  <c r="J345" i="3"/>
  <c r="K235" i="3"/>
  <c r="J235" i="3"/>
  <c r="K28" i="3"/>
  <c r="J28" i="3"/>
  <c r="K231" i="3"/>
  <c r="J231" i="3"/>
  <c r="K121" i="3"/>
  <c r="J121" i="3"/>
  <c r="K265" i="3"/>
  <c r="J265" i="3"/>
  <c r="K226" i="3"/>
  <c r="J226" i="3"/>
  <c r="K344" i="3"/>
  <c r="J344" i="3"/>
  <c r="K267" i="3"/>
  <c r="J267" i="3"/>
  <c r="K52" i="3"/>
  <c r="J52" i="3"/>
  <c r="K84" i="3"/>
  <c r="J84" i="3"/>
  <c r="K343" i="3"/>
  <c r="J343" i="3"/>
  <c r="K69" i="3"/>
  <c r="J69" i="3"/>
  <c r="K49" i="3"/>
  <c r="J49" i="3"/>
  <c r="K41" i="3"/>
  <c r="J41" i="3"/>
  <c r="K132" i="3"/>
  <c r="J132" i="3"/>
  <c r="K342" i="3"/>
  <c r="J342" i="3"/>
  <c r="K341" i="3"/>
  <c r="J341" i="3"/>
  <c r="K340" i="3"/>
  <c r="J340" i="3"/>
  <c r="K77" i="3"/>
  <c r="J77" i="3"/>
  <c r="K188" i="3"/>
  <c r="J188" i="3"/>
  <c r="K33" i="3"/>
  <c r="J33" i="3"/>
  <c r="K54" i="3"/>
  <c r="J54" i="3"/>
  <c r="K339" i="3"/>
  <c r="J339" i="3"/>
  <c r="K22" i="3"/>
  <c r="J22" i="3"/>
  <c r="K213" i="3"/>
  <c r="J213" i="3"/>
  <c r="K233" i="3"/>
  <c r="J233" i="3"/>
  <c r="K338" i="3"/>
  <c r="J338" i="3"/>
  <c r="K124" i="3"/>
  <c r="J124" i="3"/>
  <c r="K164" i="3"/>
  <c r="J164" i="3"/>
  <c r="K78" i="3"/>
  <c r="J78" i="3"/>
  <c r="K337" i="3"/>
  <c r="J337" i="3"/>
  <c r="K26" i="3"/>
  <c r="J26" i="3"/>
  <c r="K89" i="3"/>
  <c r="J89" i="3"/>
  <c r="K166" i="3"/>
  <c r="J166" i="3"/>
  <c r="K97" i="3"/>
  <c r="J97" i="3"/>
  <c r="K126" i="3"/>
  <c r="J126" i="3"/>
  <c r="K173" i="3"/>
  <c r="J173" i="3"/>
  <c r="K177" i="3"/>
  <c r="J177" i="3"/>
  <c r="K238" i="3"/>
  <c r="J238" i="3"/>
  <c r="K53" i="3"/>
  <c r="J53" i="3"/>
  <c r="K336" i="3"/>
  <c r="J336" i="3"/>
  <c r="K25" i="3"/>
  <c r="J25" i="3"/>
  <c r="K70" i="3"/>
  <c r="J70" i="3"/>
  <c r="K62" i="3"/>
  <c r="J62" i="3"/>
  <c r="K37" i="3"/>
  <c r="J37" i="3"/>
  <c r="K196" i="3"/>
  <c r="J196" i="3"/>
  <c r="K249" i="3"/>
  <c r="J249" i="3"/>
  <c r="K247" i="3"/>
  <c r="J247" i="3"/>
  <c r="K10" i="3"/>
  <c r="J10" i="3"/>
  <c r="K129" i="3"/>
  <c r="J129" i="3"/>
  <c r="K335" i="3"/>
  <c r="J335" i="3"/>
  <c r="K248" i="3"/>
  <c r="J248" i="3"/>
  <c r="K140" i="3"/>
  <c r="J140" i="3"/>
  <c r="K111" i="3"/>
  <c r="J111" i="3"/>
  <c r="K130" i="3"/>
  <c r="J130" i="3"/>
  <c r="K334" i="3"/>
  <c r="J334" i="3"/>
  <c r="K38" i="3"/>
  <c r="J38" i="3"/>
  <c r="K122" i="3"/>
  <c r="J122" i="3"/>
  <c r="K141" i="3"/>
  <c r="J141" i="3"/>
  <c r="K6" i="3"/>
  <c r="J6" i="3"/>
  <c r="K333" i="3"/>
  <c r="J333" i="3"/>
  <c r="K274" i="3"/>
  <c r="J274" i="3"/>
  <c r="K332" i="3"/>
  <c r="J332" i="3"/>
  <c r="K14" i="3"/>
  <c r="J14" i="3"/>
  <c r="K94" i="3"/>
  <c r="J94" i="3"/>
  <c r="K90" i="3"/>
  <c r="J90" i="3"/>
  <c r="K331" i="3"/>
  <c r="J331" i="3"/>
  <c r="K39" i="3"/>
  <c r="J39" i="3"/>
  <c r="K330" i="3"/>
  <c r="J330" i="3"/>
  <c r="K329" i="3"/>
  <c r="J329" i="3"/>
  <c r="K328" i="3"/>
  <c r="J328" i="3"/>
  <c r="K18" i="3"/>
  <c r="J18" i="3"/>
  <c r="K63" i="3"/>
  <c r="J63" i="3"/>
  <c r="K286" i="3"/>
  <c r="J286" i="3"/>
  <c r="K72" i="3"/>
  <c r="J72" i="3"/>
  <c r="K46" i="3"/>
  <c r="J46" i="3"/>
  <c r="K56" i="3"/>
  <c r="J56" i="3"/>
  <c r="K234" i="3"/>
  <c r="J234" i="3"/>
  <c r="K327" i="3"/>
  <c r="J327" i="3"/>
  <c r="K326" i="3"/>
  <c r="J326" i="3"/>
  <c r="K190" i="3"/>
  <c r="J190" i="3"/>
  <c r="K93" i="3"/>
  <c r="J93" i="3"/>
  <c r="K212" i="3"/>
  <c r="J212" i="3"/>
  <c r="K61" i="3"/>
  <c r="J61" i="3"/>
  <c r="K29" i="3"/>
  <c r="J29" i="3"/>
  <c r="K23" i="3"/>
  <c r="J23" i="3"/>
  <c r="K204" i="3"/>
  <c r="J204" i="3"/>
  <c r="K325" i="3"/>
  <c r="J325" i="3"/>
  <c r="K305" i="3"/>
  <c r="J305" i="3"/>
  <c r="K184" i="3"/>
  <c r="J184" i="3"/>
  <c r="K15" i="3"/>
  <c r="J15" i="3"/>
  <c r="K42" i="3"/>
  <c r="J42" i="3"/>
  <c r="K44" i="3"/>
  <c r="J44" i="3"/>
  <c r="K80" i="3"/>
  <c r="J80" i="3"/>
  <c r="K48" i="3"/>
  <c r="J48" i="3"/>
  <c r="K150" i="3"/>
  <c r="J150" i="3"/>
  <c r="K36" i="3"/>
  <c r="J36" i="3"/>
  <c r="K194" i="3"/>
  <c r="J194" i="3"/>
  <c r="K55" i="3"/>
  <c r="J55" i="3"/>
  <c r="K324" i="3"/>
  <c r="J324" i="3"/>
  <c r="K85" i="3"/>
  <c r="J85" i="3"/>
  <c r="K123" i="3"/>
  <c r="J123" i="3"/>
  <c r="K290" i="3"/>
  <c r="J290" i="3"/>
  <c r="K217" i="3"/>
  <c r="J217" i="3"/>
  <c r="K214" i="3"/>
  <c r="J214" i="3"/>
  <c r="K32" i="3"/>
  <c r="J32" i="3"/>
  <c r="K82" i="3"/>
  <c r="J82" i="3"/>
  <c r="K284" i="3"/>
  <c r="J284" i="3"/>
  <c r="K323" i="3"/>
  <c r="J323" i="3"/>
  <c r="K203" i="3"/>
  <c r="J203" i="3"/>
  <c r="K151" i="3"/>
  <c r="J151" i="3"/>
  <c r="K128" i="3"/>
  <c r="J128" i="3"/>
  <c r="K152" i="3"/>
  <c r="J152" i="3"/>
  <c r="K68" i="3"/>
  <c r="J68" i="3"/>
  <c r="K98" i="3"/>
  <c r="J98" i="3"/>
  <c r="K127" i="3"/>
  <c r="J127" i="3"/>
  <c r="K106" i="3"/>
  <c r="J106" i="3"/>
  <c r="K11" i="3"/>
  <c r="J11" i="3"/>
  <c r="K3" i="3"/>
  <c r="J3" i="3"/>
  <c r="K4" i="3"/>
  <c r="J4" i="3"/>
  <c r="K176" i="3"/>
  <c r="J176" i="3"/>
  <c r="K81" i="3"/>
  <c r="J81" i="3"/>
  <c r="K259" i="3"/>
  <c r="J259" i="3"/>
  <c r="K322" i="3"/>
  <c r="J322" i="3"/>
  <c r="K251" i="3"/>
  <c r="J251" i="3"/>
  <c r="K109" i="3"/>
  <c r="J109" i="3"/>
  <c r="K321" i="3"/>
  <c r="J321" i="3"/>
  <c r="K320" i="3"/>
  <c r="J320" i="3"/>
  <c r="K285" i="3"/>
  <c r="J285" i="3"/>
  <c r="K275" i="3"/>
  <c r="J275" i="3"/>
  <c r="K262" i="3"/>
  <c r="J262" i="3"/>
  <c r="K227" i="3"/>
  <c r="J227" i="3"/>
  <c r="K192" i="3"/>
  <c r="J192" i="3"/>
  <c r="K319" i="3"/>
  <c r="J319" i="3"/>
  <c r="K83" i="3"/>
  <c r="J83" i="3"/>
  <c r="K271" i="3"/>
  <c r="J271" i="3"/>
  <c r="K253" i="3"/>
  <c r="J253" i="3"/>
  <c r="K139" i="3"/>
  <c r="J139" i="3"/>
  <c r="K64" i="3"/>
  <c r="J64" i="3"/>
  <c r="K318" i="3"/>
  <c r="J318" i="3"/>
  <c r="K317" i="3"/>
  <c r="J317" i="3"/>
  <c r="K281" i="3"/>
  <c r="J281" i="3"/>
  <c r="K17" i="3"/>
  <c r="J17" i="3"/>
  <c r="K316" i="3"/>
  <c r="J316" i="3"/>
  <c r="K270" i="3"/>
  <c r="J270" i="3"/>
  <c r="K161" i="3"/>
  <c r="J161" i="3"/>
  <c r="K165" i="3"/>
  <c r="J165" i="3"/>
  <c r="K315" i="3"/>
  <c r="J315" i="3"/>
  <c r="K99" i="3"/>
  <c r="J99" i="3"/>
  <c r="K24" i="3"/>
  <c r="J24" i="3"/>
  <c r="K183" i="3"/>
  <c r="J183" i="3"/>
  <c r="K169" i="3"/>
  <c r="J169" i="3"/>
  <c r="K314" i="3"/>
  <c r="J314" i="3"/>
  <c r="K313" i="3"/>
  <c r="J313" i="3"/>
  <c r="K51" i="3"/>
  <c r="J51" i="3"/>
  <c r="K312" i="3"/>
  <c r="J312" i="3"/>
  <c r="K236" i="3"/>
  <c r="J236" i="3"/>
  <c r="K311" i="3"/>
  <c r="J311" i="3"/>
  <c r="K266" i="3"/>
  <c r="J266" i="3"/>
  <c r="K144" i="3"/>
  <c r="J144" i="3"/>
  <c r="K43" i="3"/>
  <c r="J43" i="3"/>
  <c r="N18" i="2"/>
  <c r="N39" i="2"/>
  <c r="N43" i="2"/>
  <c r="N47" i="2"/>
  <c r="N48" i="2"/>
  <c r="N68" i="2"/>
  <c r="N79" i="2"/>
  <c r="N83" i="2"/>
  <c r="N84" i="2"/>
  <c r="N85" i="2"/>
  <c r="N88" i="2"/>
  <c r="N95" i="2"/>
  <c r="N118" i="2"/>
  <c r="N144" i="2"/>
  <c r="N163" i="2"/>
  <c r="N184" i="2"/>
  <c r="N188" i="2"/>
  <c r="N199" i="2"/>
  <c r="N208" i="2"/>
  <c r="N218" i="2"/>
  <c r="N219" i="2"/>
  <c r="N228" i="2"/>
  <c r="N264" i="2"/>
  <c r="N278" i="2"/>
  <c r="N288" i="2"/>
  <c r="N299" i="2"/>
  <c r="N318" i="2"/>
  <c r="N319" i="2"/>
  <c r="N328" i="2"/>
  <c r="N335" i="2"/>
  <c r="N338" i="2"/>
  <c r="N339" i="2"/>
  <c r="N403" i="2"/>
  <c r="L16" i="2"/>
  <c r="J17" i="2"/>
  <c r="K17" i="2"/>
  <c r="N17" i="2" s="1"/>
  <c r="L17" i="2"/>
  <c r="M17" i="2"/>
  <c r="L18" i="2"/>
  <c r="M18" i="2"/>
  <c r="J19" i="2"/>
  <c r="K19" i="2"/>
  <c r="N19" i="2" s="1"/>
  <c r="L19" i="2"/>
  <c r="M19" i="2"/>
  <c r="J20" i="2"/>
  <c r="K20" i="2"/>
  <c r="N20" i="2" s="1"/>
  <c r="L20" i="2"/>
  <c r="M20" i="2"/>
  <c r="J21" i="2"/>
  <c r="K21" i="2"/>
  <c r="N21" i="2" s="1"/>
  <c r="L21" i="2"/>
  <c r="M21" i="2"/>
  <c r="J22" i="2"/>
  <c r="K22" i="2"/>
  <c r="N22" i="2" s="1"/>
  <c r="L22" i="2"/>
  <c r="M22" i="2"/>
  <c r="J23" i="2"/>
  <c r="K23" i="2"/>
  <c r="N23" i="2" s="1"/>
  <c r="L23" i="2"/>
  <c r="M23" i="2"/>
  <c r="J24" i="2"/>
  <c r="K24" i="2"/>
  <c r="N24" i="2" s="1"/>
  <c r="L24" i="2"/>
  <c r="M24" i="2"/>
  <c r="J25" i="2"/>
  <c r="K25" i="2"/>
  <c r="N25" i="2" s="1"/>
  <c r="L25" i="2"/>
  <c r="M25" i="2"/>
  <c r="J26" i="2"/>
  <c r="K26" i="2"/>
  <c r="N26" i="2" s="1"/>
  <c r="L26" i="2"/>
  <c r="M26" i="2"/>
  <c r="J27" i="2"/>
  <c r="K27" i="2"/>
  <c r="N27" i="2" s="1"/>
  <c r="L27" i="2"/>
  <c r="M27" i="2"/>
  <c r="J28" i="2"/>
  <c r="K28" i="2"/>
  <c r="N28" i="2" s="1"/>
  <c r="L28" i="2"/>
  <c r="M28" i="2"/>
  <c r="J29" i="2"/>
  <c r="K29" i="2"/>
  <c r="N29" i="2" s="1"/>
  <c r="L29" i="2"/>
  <c r="M29" i="2"/>
  <c r="J30" i="2"/>
  <c r="K30" i="2"/>
  <c r="N30" i="2" s="1"/>
  <c r="L30" i="2"/>
  <c r="M30" i="2"/>
  <c r="J31" i="2"/>
  <c r="K31" i="2"/>
  <c r="N31" i="2" s="1"/>
  <c r="L31" i="2"/>
  <c r="M31" i="2"/>
  <c r="J32" i="2"/>
  <c r="K32" i="2"/>
  <c r="N32" i="2" s="1"/>
  <c r="L32" i="2"/>
  <c r="M32" i="2"/>
  <c r="J33" i="2"/>
  <c r="K33" i="2"/>
  <c r="N33" i="2" s="1"/>
  <c r="L33" i="2"/>
  <c r="M33" i="2"/>
  <c r="J34" i="2"/>
  <c r="K34" i="2"/>
  <c r="N34" i="2" s="1"/>
  <c r="L34" i="2"/>
  <c r="M34" i="2"/>
  <c r="J35" i="2"/>
  <c r="K35" i="2"/>
  <c r="N35" i="2" s="1"/>
  <c r="L35" i="2"/>
  <c r="M35" i="2"/>
  <c r="J36" i="2"/>
  <c r="K36" i="2"/>
  <c r="N36" i="2" s="1"/>
  <c r="L36" i="2"/>
  <c r="M36" i="2"/>
  <c r="J37" i="2"/>
  <c r="K37" i="2"/>
  <c r="N37" i="2" s="1"/>
  <c r="L37" i="2"/>
  <c r="M37" i="2"/>
  <c r="J38" i="2"/>
  <c r="K38" i="2"/>
  <c r="N38" i="2" s="1"/>
  <c r="L38" i="2"/>
  <c r="M38" i="2"/>
  <c r="J39" i="2"/>
  <c r="K39" i="2"/>
  <c r="L39" i="2"/>
  <c r="M39" i="2"/>
  <c r="J40" i="2"/>
  <c r="K40" i="2"/>
  <c r="N40" i="2" s="1"/>
  <c r="L40" i="2"/>
  <c r="M40" i="2"/>
  <c r="J41" i="2"/>
  <c r="K41" i="2"/>
  <c r="N41" i="2" s="1"/>
  <c r="L41" i="2"/>
  <c r="M41" i="2"/>
  <c r="J42" i="2"/>
  <c r="K42" i="2"/>
  <c r="N42" i="2" s="1"/>
  <c r="L42" i="2"/>
  <c r="M42" i="2"/>
  <c r="J43" i="2"/>
  <c r="K43" i="2"/>
  <c r="L43" i="2"/>
  <c r="M43" i="2"/>
  <c r="J44" i="2"/>
  <c r="K44" i="2"/>
  <c r="N44" i="2" s="1"/>
  <c r="L44" i="2"/>
  <c r="M44" i="2"/>
  <c r="J45" i="2"/>
  <c r="K45" i="2"/>
  <c r="N45" i="2" s="1"/>
  <c r="L45" i="2"/>
  <c r="M45" i="2"/>
  <c r="J46" i="2"/>
  <c r="K46" i="2"/>
  <c r="N46" i="2" s="1"/>
  <c r="L46" i="2"/>
  <c r="M46" i="2"/>
  <c r="J47" i="2"/>
  <c r="K47" i="2"/>
  <c r="L47" i="2"/>
  <c r="M47" i="2"/>
  <c r="J48" i="2"/>
  <c r="K48" i="2"/>
  <c r="L48" i="2"/>
  <c r="M48" i="2"/>
  <c r="J49" i="2"/>
  <c r="K49" i="2"/>
  <c r="N49" i="2" s="1"/>
  <c r="L49" i="2"/>
  <c r="M49" i="2"/>
  <c r="J50" i="2"/>
  <c r="K50" i="2"/>
  <c r="N50" i="2" s="1"/>
  <c r="L50" i="2"/>
  <c r="M50" i="2"/>
  <c r="J51" i="2"/>
  <c r="K51" i="2"/>
  <c r="N51" i="2" s="1"/>
  <c r="L51" i="2"/>
  <c r="M51" i="2"/>
  <c r="J52" i="2"/>
  <c r="K52" i="2"/>
  <c r="N52" i="2" s="1"/>
  <c r="L52" i="2"/>
  <c r="M52" i="2"/>
  <c r="J53" i="2"/>
  <c r="K53" i="2"/>
  <c r="N53" i="2" s="1"/>
  <c r="L53" i="2"/>
  <c r="M53" i="2"/>
  <c r="J54" i="2"/>
  <c r="K54" i="2"/>
  <c r="N54" i="2" s="1"/>
  <c r="L54" i="2"/>
  <c r="M54" i="2"/>
  <c r="J55" i="2"/>
  <c r="K55" i="2"/>
  <c r="N55" i="2" s="1"/>
  <c r="L55" i="2"/>
  <c r="M55" i="2"/>
  <c r="J56" i="2"/>
  <c r="K56" i="2"/>
  <c r="N56" i="2" s="1"/>
  <c r="L56" i="2"/>
  <c r="M56" i="2"/>
  <c r="J57" i="2"/>
  <c r="K57" i="2"/>
  <c r="N57" i="2" s="1"/>
  <c r="L57" i="2"/>
  <c r="M57" i="2"/>
  <c r="J58" i="2"/>
  <c r="K58" i="2"/>
  <c r="N58" i="2" s="1"/>
  <c r="L58" i="2"/>
  <c r="M58" i="2"/>
  <c r="J59" i="2"/>
  <c r="K59" i="2"/>
  <c r="N59" i="2" s="1"/>
  <c r="L59" i="2"/>
  <c r="M59" i="2"/>
  <c r="J60" i="2"/>
  <c r="K60" i="2"/>
  <c r="N60" i="2" s="1"/>
  <c r="L60" i="2"/>
  <c r="M60" i="2"/>
  <c r="J61" i="2"/>
  <c r="K61" i="2"/>
  <c r="N61" i="2" s="1"/>
  <c r="L61" i="2"/>
  <c r="M61" i="2"/>
  <c r="J62" i="2"/>
  <c r="K62" i="2"/>
  <c r="N62" i="2" s="1"/>
  <c r="L62" i="2"/>
  <c r="M62" i="2"/>
  <c r="J63" i="2"/>
  <c r="K63" i="2"/>
  <c r="N63" i="2" s="1"/>
  <c r="L63" i="2"/>
  <c r="M63" i="2"/>
  <c r="J64" i="2"/>
  <c r="K64" i="2"/>
  <c r="N64" i="2" s="1"/>
  <c r="L64" i="2"/>
  <c r="M64" i="2"/>
  <c r="J65" i="2"/>
  <c r="K65" i="2"/>
  <c r="N65" i="2" s="1"/>
  <c r="L65" i="2"/>
  <c r="M65" i="2"/>
  <c r="J66" i="2"/>
  <c r="K66" i="2"/>
  <c r="N66" i="2" s="1"/>
  <c r="L66" i="2"/>
  <c r="M66" i="2"/>
  <c r="J67" i="2"/>
  <c r="K67" i="2"/>
  <c r="N67" i="2" s="1"/>
  <c r="L67" i="2"/>
  <c r="M67" i="2"/>
  <c r="J68" i="2"/>
  <c r="K68" i="2"/>
  <c r="L68" i="2"/>
  <c r="M68" i="2"/>
  <c r="J69" i="2"/>
  <c r="K69" i="2"/>
  <c r="N69" i="2" s="1"/>
  <c r="L69" i="2"/>
  <c r="M69" i="2"/>
  <c r="J70" i="2"/>
  <c r="K70" i="2"/>
  <c r="N70" i="2" s="1"/>
  <c r="L70" i="2"/>
  <c r="M70" i="2"/>
  <c r="J71" i="2"/>
  <c r="K71" i="2"/>
  <c r="N71" i="2" s="1"/>
  <c r="L71" i="2"/>
  <c r="M71" i="2"/>
  <c r="J72" i="2"/>
  <c r="K72" i="2"/>
  <c r="N72" i="2" s="1"/>
  <c r="L72" i="2"/>
  <c r="M72" i="2"/>
  <c r="J73" i="2"/>
  <c r="K73" i="2"/>
  <c r="N73" i="2" s="1"/>
  <c r="L73" i="2"/>
  <c r="M73" i="2"/>
  <c r="J74" i="2"/>
  <c r="K74" i="2"/>
  <c r="N74" i="2" s="1"/>
  <c r="L74" i="2"/>
  <c r="M74" i="2"/>
  <c r="J75" i="2"/>
  <c r="K75" i="2"/>
  <c r="N75" i="2" s="1"/>
  <c r="L75" i="2"/>
  <c r="M75" i="2"/>
  <c r="J76" i="2"/>
  <c r="K76" i="2"/>
  <c r="N76" i="2" s="1"/>
  <c r="L76" i="2"/>
  <c r="M76" i="2"/>
  <c r="J77" i="2"/>
  <c r="K77" i="2"/>
  <c r="N77" i="2" s="1"/>
  <c r="L77" i="2"/>
  <c r="M77" i="2"/>
  <c r="J78" i="2"/>
  <c r="K78" i="2"/>
  <c r="N78" i="2" s="1"/>
  <c r="L78" i="2"/>
  <c r="M78" i="2"/>
  <c r="J79" i="2"/>
  <c r="K79" i="2"/>
  <c r="L79" i="2"/>
  <c r="M79" i="2"/>
  <c r="J80" i="2"/>
  <c r="K80" i="2"/>
  <c r="N80" i="2" s="1"/>
  <c r="L80" i="2"/>
  <c r="M80" i="2"/>
  <c r="J81" i="2"/>
  <c r="K81" i="2"/>
  <c r="N81" i="2" s="1"/>
  <c r="L81" i="2"/>
  <c r="M81" i="2"/>
  <c r="J82" i="2"/>
  <c r="K82" i="2"/>
  <c r="N82" i="2" s="1"/>
  <c r="L82" i="2"/>
  <c r="M82" i="2"/>
  <c r="J83" i="2"/>
  <c r="K83" i="2"/>
  <c r="L83" i="2"/>
  <c r="M83" i="2"/>
  <c r="J84" i="2"/>
  <c r="K84" i="2"/>
  <c r="L84" i="2"/>
  <c r="M84" i="2"/>
  <c r="J85" i="2"/>
  <c r="K85" i="2"/>
  <c r="L85" i="2"/>
  <c r="M85" i="2"/>
  <c r="J86" i="2"/>
  <c r="K86" i="2"/>
  <c r="N86" i="2" s="1"/>
  <c r="L86" i="2"/>
  <c r="M86" i="2"/>
  <c r="J87" i="2"/>
  <c r="K87" i="2"/>
  <c r="N87" i="2" s="1"/>
  <c r="L87" i="2"/>
  <c r="M87" i="2"/>
  <c r="J88" i="2"/>
  <c r="K88" i="2"/>
  <c r="L88" i="2"/>
  <c r="M88" i="2"/>
  <c r="J89" i="2"/>
  <c r="K89" i="2"/>
  <c r="N89" i="2" s="1"/>
  <c r="L89" i="2"/>
  <c r="M89" i="2"/>
  <c r="J90" i="2"/>
  <c r="K90" i="2"/>
  <c r="N90" i="2" s="1"/>
  <c r="L90" i="2"/>
  <c r="M90" i="2"/>
  <c r="J91" i="2"/>
  <c r="K91" i="2"/>
  <c r="N91" i="2" s="1"/>
  <c r="L91" i="2"/>
  <c r="M91" i="2"/>
  <c r="J92" i="2"/>
  <c r="K92" i="2"/>
  <c r="N92" i="2" s="1"/>
  <c r="L92" i="2"/>
  <c r="M92" i="2"/>
  <c r="J93" i="2"/>
  <c r="K93" i="2"/>
  <c r="N93" i="2" s="1"/>
  <c r="L93" i="2"/>
  <c r="M93" i="2"/>
  <c r="J94" i="2"/>
  <c r="K94" i="2"/>
  <c r="N94" i="2" s="1"/>
  <c r="L94" i="2"/>
  <c r="M94" i="2"/>
  <c r="J95" i="2"/>
  <c r="K95" i="2"/>
  <c r="L95" i="2"/>
  <c r="M95" i="2"/>
  <c r="J96" i="2"/>
  <c r="K96" i="2"/>
  <c r="N96" i="2" s="1"/>
  <c r="L96" i="2"/>
  <c r="M96" i="2"/>
  <c r="J97" i="2"/>
  <c r="K97" i="2"/>
  <c r="N97" i="2" s="1"/>
  <c r="L97" i="2"/>
  <c r="M97" i="2"/>
  <c r="J98" i="2"/>
  <c r="K98" i="2"/>
  <c r="N98" i="2" s="1"/>
  <c r="L98" i="2"/>
  <c r="M98" i="2"/>
  <c r="J99" i="2"/>
  <c r="K99" i="2"/>
  <c r="N99" i="2" s="1"/>
  <c r="L99" i="2"/>
  <c r="M99" i="2"/>
  <c r="J100" i="2"/>
  <c r="K100" i="2"/>
  <c r="N100" i="2" s="1"/>
  <c r="L100" i="2"/>
  <c r="M100" i="2"/>
  <c r="J101" i="2"/>
  <c r="K101" i="2"/>
  <c r="N101" i="2" s="1"/>
  <c r="L101" i="2"/>
  <c r="M101" i="2"/>
  <c r="J102" i="2"/>
  <c r="K102" i="2"/>
  <c r="N102" i="2" s="1"/>
  <c r="L102" i="2"/>
  <c r="M102" i="2"/>
  <c r="J103" i="2"/>
  <c r="K103" i="2"/>
  <c r="N103" i="2" s="1"/>
  <c r="L103" i="2"/>
  <c r="M103" i="2"/>
  <c r="J104" i="2"/>
  <c r="K104" i="2"/>
  <c r="N104" i="2" s="1"/>
  <c r="L104" i="2"/>
  <c r="M104" i="2"/>
  <c r="J105" i="2"/>
  <c r="K105" i="2"/>
  <c r="N105" i="2" s="1"/>
  <c r="L105" i="2"/>
  <c r="M105" i="2"/>
  <c r="J106" i="2"/>
  <c r="K106" i="2"/>
  <c r="N106" i="2" s="1"/>
  <c r="L106" i="2"/>
  <c r="M106" i="2"/>
  <c r="J107" i="2"/>
  <c r="K107" i="2"/>
  <c r="N107" i="2" s="1"/>
  <c r="L107" i="2"/>
  <c r="M107" i="2"/>
  <c r="J108" i="2"/>
  <c r="K108" i="2"/>
  <c r="N108" i="2" s="1"/>
  <c r="L108" i="2"/>
  <c r="M108" i="2"/>
  <c r="J109" i="2"/>
  <c r="K109" i="2"/>
  <c r="N109" i="2" s="1"/>
  <c r="L109" i="2"/>
  <c r="M109" i="2"/>
  <c r="J110" i="2"/>
  <c r="K110" i="2"/>
  <c r="N110" i="2" s="1"/>
  <c r="L110" i="2"/>
  <c r="M110" i="2"/>
  <c r="J111" i="2"/>
  <c r="K111" i="2"/>
  <c r="N111" i="2" s="1"/>
  <c r="L111" i="2"/>
  <c r="M111" i="2"/>
  <c r="J112" i="2"/>
  <c r="K112" i="2"/>
  <c r="N112" i="2" s="1"/>
  <c r="L112" i="2"/>
  <c r="M112" i="2"/>
  <c r="J113" i="2"/>
  <c r="K113" i="2"/>
  <c r="N113" i="2" s="1"/>
  <c r="L113" i="2"/>
  <c r="M113" i="2"/>
  <c r="J114" i="2"/>
  <c r="K114" i="2"/>
  <c r="N114" i="2" s="1"/>
  <c r="L114" i="2"/>
  <c r="M114" i="2"/>
  <c r="J115" i="2"/>
  <c r="K115" i="2"/>
  <c r="N115" i="2" s="1"/>
  <c r="L115" i="2"/>
  <c r="M115" i="2"/>
  <c r="J116" i="2"/>
  <c r="K116" i="2"/>
  <c r="N116" i="2" s="1"/>
  <c r="L116" i="2"/>
  <c r="M116" i="2"/>
  <c r="J117" i="2"/>
  <c r="K117" i="2"/>
  <c r="N117" i="2" s="1"/>
  <c r="L117" i="2"/>
  <c r="M117" i="2"/>
  <c r="J118" i="2"/>
  <c r="K118" i="2"/>
  <c r="L118" i="2"/>
  <c r="M118" i="2"/>
  <c r="J119" i="2"/>
  <c r="K119" i="2"/>
  <c r="N119" i="2" s="1"/>
  <c r="L119" i="2"/>
  <c r="M119" i="2"/>
  <c r="J120" i="2"/>
  <c r="K120" i="2"/>
  <c r="N120" i="2" s="1"/>
  <c r="L120" i="2"/>
  <c r="M120" i="2"/>
  <c r="J121" i="2"/>
  <c r="K121" i="2"/>
  <c r="N121" i="2" s="1"/>
  <c r="L121" i="2"/>
  <c r="M121" i="2"/>
  <c r="J122" i="2"/>
  <c r="K122" i="2"/>
  <c r="N122" i="2" s="1"/>
  <c r="L122" i="2"/>
  <c r="M122" i="2"/>
  <c r="J123" i="2"/>
  <c r="K123" i="2"/>
  <c r="N123" i="2" s="1"/>
  <c r="L123" i="2"/>
  <c r="M123" i="2"/>
  <c r="J124" i="2"/>
  <c r="K124" i="2"/>
  <c r="N124" i="2" s="1"/>
  <c r="L124" i="2"/>
  <c r="M124" i="2"/>
  <c r="J125" i="2"/>
  <c r="K125" i="2"/>
  <c r="N125" i="2" s="1"/>
  <c r="L125" i="2"/>
  <c r="M125" i="2"/>
  <c r="J126" i="2"/>
  <c r="K126" i="2"/>
  <c r="N126" i="2" s="1"/>
  <c r="L126" i="2"/>
  <c r="M126" i="2"/>
  <c r="J127" i="2"/>
  <c r="K127" i="2"/>
  <c r="N127" i="2" s="1"/>
  <c r="L127" i="2"/>
  <c r="M127" i="2"/>
  <c r="J128" i="2"/>
  <c r="K128" i="2"/>
  <c r="N128" i="2" s="1"/>
  <c r="L128" i="2"/>
  <c r="M128" i="2"/>
  <c r="J129" i="2"/>
  <c r="K129" i="2"/>
  <c r="N129" i="2" s="1"/>
  <c r="L129" i="2"/>
  <c r="M129" i="2"/>
  <c r="J130" i="2"/>
  <c r="K130" i="2"/>
  <c r="N130" i="2" s="1"/>
  <c r="L130" i="2"/>
  <c r="M130" i="2"/>
  <c r="J131" i="2"/>
  <c r="K131" i="2"/>
  <c r="N131" i="2" s="1"/>
  <c r="L131" i="2"/>
  <c r="M131" i="2"/>
  <c r="J132" i="2"/>
  <c r="K132" i="2"/>
  <c r="N132" i="2" s="1"/>
  <c r="L132" i="2"/>
  <c r="M132" i="2"/>
  <c r="J133" i="2"/>
  <c r="K133" i="2"/>
  <c r="N133" i="2" s="1"/>
  <c r="L133" i="2"/>
  <c r="M133" i="2"/>
  <c r="J134" i="2"/>
  <c r="K134" i="2"/>
  <c r="N134" i="2" s="1"/>
  <c r="L134" i="2"/>
  <c r="M134" i="2"/>
  <c r="J135" i="2"/>
  <c r="K135" i="2"/>
  <c r="N135" i="2" s="1"/>
  <c r="L135" i="2"/>
  <c r="M135" i="2"/>
  <c r="J136" i="2"/>
  <c r="K136" i="2"/>
  <c r="N136" i="2" s="1"/>
  <c r="L136" i="2"/>
  <c r="M136" i="2"/>
  <c r="J137" i="2"/>
  <c r="K137" i="2"/>
  <c r="N137" i="2" s="1"/>
  <c r="L137" i="2"/>
  <c r="M137" i="2"/>
  <c r="J138" i="2"/>
  <c r="K138" i="2"/>
  <c r="N138" i="2" s="1"/>
  <c r="L138" i="2"/>
  <c r="M138" i="2"/>
  <c r="J139" i="2"/>
  <c r="K139" i="2"/>
  <c r="N139" i="2" s="1"/>
  <c r="L139" i="2"/>
  <c r="M139" i="2"/>
  <c r="J140" i="2"/>
  <c r="K140" i="2"/>
  <c r="N140" i="2" s="1"/>
  <c r="L140" i="2"/>
  <c r="M140" i="2"/>
  <c r="J141" i="2"/>
  <c r="K141" i="2"/>
  <c r="N141" i="2" s="1"/>
  <c r="L141" i="2"/>
  <c r="M141" i="2"/>
  <c r="J142" i="2"/>
  <c r="K142" i="2"/>
  <c r="N142" i="2" s="1"/>
  <c r="L142" i="2"/>
  <c r="M142" i="2"/>
  <c r="J143" i="2"/>
  <c r="K143" i="2"/>
  <c r="N143" i="2" s="1"/>
  <c r="L143" i="2"/>
  <c r="M143" i="2"/>
  <c r="J144" i="2"/>
  <c r="K144" i="2"/>
  <c r="L144" i="2"/>
  <c r="M144" i="2"/>
  <c r="J145" i="2"/>
  <c r="K145" i="2"/>
  <c r="N145" i="2" s="1"/>
  <c r="L145" i="2"/>
  <c r="M145" i="2"/>
  <c r="J146" i="2"/>
  <c r="K146" i="2"/>
  <c r="N146" i="2" s="1"/>
  <c r="L146" i="2"/>
  <c r="M146" i="2"/>
  <c r="J147" i="2"/>
  <c r="K147" i="2"/>
  <c r="N147" i="2" s="1"/>
  <c r="L147" i="2"/>
  <c r="M147" i="2"/>
  <c r="J148" i="2"/>
  <c r="K148" i="2"/>
  <c r="N148" i="2" s="1"/>
  <c r="L148" i="2"/>
  <c r="M148" i="2"/>
  <c r="J149" i="2"/>
  <c r="K149" i="2"/>
  <c r="N149" i="2" s="1"/>
  <c r="L149" i="2"/>
  <c r="M149" i="2"/>
  <c r="J150" i="2"/>
  <c r="K150" i="2"/>
  <c r="N150" i="2" s="1"/>
  <c r="L150" i="2"/>
  <c r="M150" i="2"/>
  <c r="J151" i="2"/>
  <c r="K151" i="2"/>
  <c r="N151" i="2" s="1"/>
  <c r="L151" i="2"/>
  <c r="M151" i="2"/>
  <c r="J152" i="2"/>
  <c r="K152" i="2"/>
  <c r="N152" i="2" s="1"/>
  <c r="L152" i="2"/>
  <c r="M152" i="2"/>
  <c r="J153" i="2"/>
  <c r="K153" i="2"/>
  <c r="N153" i="2" s="1"/>
  <c r="L153" i="2"/>
  <c r="M153" i="2"/>
  <c r="J154" i="2"/>
  <c r="K154" i="2"/>
  <c r="N154" i="2" s="1"/>
  <c r="L154" i="2"/>
  <c r="M154" i="2"/>
  <c r="J155" i="2"/>
  <c r="K155" i="2"/>
  <c r="N155" i="2" s="1"/>
  <c r="L155" i="2"/>
  <c r="M155" i="2"/>
  <c r="J156" i="2"/>
  <c r="K156" i="2"/>
  <c r="N156" i="2" s="1"/>
  <c r="L156" i="2"/>
  <c r="M156" i="2"/>
  <c r="J157" i="2"/>
  <c r="K157" i="2"/>
  <c r="N157" i="2" s="1"/>
  <c r="L157" i="2"/>
  <c r="M157" i="2"/>
  <c r="J158" i="2"/>
  <c r="K158" i="2"/>
  <c r="N158" i="2" s="1"/>
  <c r="L158" i="2"/>
  <c r="M158" i="2"/>
  <c r="J159" i="2"/>
  <c r="K159" i="2"/>
  <c r="N159" i="2" s="1"/>
  <c r="L159" i="2"/>
  <c r="M159" i="2"/>
  <c r="J160" i="2"/>
  <c r="K160" i="2"/>
  <c r="N160" i="2" s="1"/>
  <c r="L160" i="2"/>
  <c r="M160" i="2"/>
  <c r="J161" i="2"/>
  <c r="K161" i="2"/>
  <c r="N161" i="2" s="1"/>
  <c r="L161" i="2"/>
  <c r="M161" i="2"/>
  <c r="J162" i="2"/>
  <c r="K162" i="2"/>
  <c r="N162" i="2" s="1"/>
  <c r="L162" i="2"/>
  <c r="M162" i="2"/>
  <c r="J163" i="2"/>
  <c r="K163" i="2"/>
  <c r="L163" i="2"/>
  <c r="M163" i="2"/>
  <c r="J164" i="2"/>
  <c r="K164" i="2"/>
  <c r="N164" i="2" s="1"/>
  <c r="L164" i="2"/>
  <c r="M164" i="2"/>
  <c r="J165" i="2"/>
  <c r="K165" i="2"/>
  <c r="N165" i="2" s="1"/>
  <c r="L165" i="2"/>
  <c r="M165" i="2"/>
  <c r="J166" i="2"/>
  <c r="K166" i="2"/>
  <c r="N166" i="2" s="1"/>
  <c r="L166" i="2"/>
  <c r="M166" i="2"/>
  <c r="J167" i="2"/>
  <c r="K167" i="2"/>
  <c r="N167" i="2" s="1"/>
  <c r="L167" i="2"/>
  <c r="M167" i="2"/>
  <c r="J168" i="2"/>
  <c r="K168" i="2"/>
  <c r="N168" i="2" s="1"/>
  <c r="L168" i="2"/>
  <c r="M168" i="2"/>
  <c r="J169" i="2"/>
  <c r="K169" i="2"/>
  <c r="N169" i="2" s="1"/>
  <c r="L169" i="2"/>
  <c r="M169" i="2"/>
  <c r="J170" i="2"/>
  <c r="K170" i="2"/>
  <c r="N170" i="2" s="1"/>
  <c r="L170" i="2"/>
  <c r="M170" i="2"/>
  <c r="J171" i="2"/>
  <c r="K171" i="2"/>
  <c r="N171" i="2" s="1"/>
  <c r="L171" i="2"/>
  <c r="M171" i="2"/>
  <c r="J172" i="2"/>
  <c r="K172" i="2"/>
  <c r="N172" i="2" s="1"/>
  <c r="L172" i="2"/>
  <c r="M172" i="2"/>
  <c r="J173" i="2"/>
  <c r="K173" i="2"/>
  <c r="N173" i="2" s="1"/>
  <c r="L173" i="2"/>
  <c r="M173" i="2"/>
  <c r="J174" i="2"/>
  <c r="K174" i="2"/>
  <c r="N174" i="2" s="1"/>
  <c r="L174" i="2"/>
  <c r="M174" i="2"/>
  <c r="J175" i="2"/>
  <c r="K175" i="2"/>
  <c r="N175" i="2" s="1"/>
  <c r="L175" i="2"/>
  <c r="M175" i="2"/>
  <c r="J176" i="2"/>
  <c r="K176" i="2"/>
  <c r="N176" i="2" s="1"/>
  <c r="L176" i="2"/>
  <c r="M176" i="2"/>
  <c r="J177" i="2"/>
  <c r="K177" i="2"/>
  <c r="N177" i="2" s="1"/>
  <c r="L177" i="2"/>
  <c r="M177" i="2"/>
  <c r="J178" i="2"/>
  <c r="K178" i="2"/>
  <c r="N178" i="2" s="1"/>
  <c r="L178" i="2"/>
  <c r="M178" i="2"/>
  <c r="J179" i="2"/>
  <c r="K179" i="2"/>
  <c r="N179" i="2" s="1"/>
  <c r="L179" i="2"/>
  <c r="M179" i="2"/>
  <c r="J180" i="2"/>
  <c r="K180" i="2"/>
  <c r="N180" i="2" s="1"/>
  <c r="L180" i="2"/>
  <c r="M180" i="2"/>
  <c r="J181" i="2"/>
  <c r="K181" i="2"/>
  <c r="N181" i="2" s="1"/>
  <c r="L181" i="2"/>
  <c r="M181" i="2"/>
  <c r="J182" i="2"/>
  <c r="K182" i="2"/>
  <c r="N182" i="2" s="1"/>
  <c r="L182" i="2"/>
  <c r="M182" i="2"/>
  <c r="J183" i="2"/>
  <c r="K183" i="2"/>
  <c r="N183" i="2" s="1"/>
  <c r="L183" i="2"/>
  <c r="M183" i="2"/>
  <c r="J184" i="2"/>
  <c r="K184" i="2"/>
  <c r="L184" i="2"/>
  <c r="M184" i="2"/>
  <c r="J185" i="2"/>
  <c r="K185" i="2"/>
  <c r="N185" i="2" s="1"/>
  <c r="L185" i="2"/>
  <c r="M185" i="2"/>
  <c r="J186" i="2"/>
  <c r="K186" i="2"/>
  <c r="N186" i="2" s="1"/>
  <c r="L186" i="2"/>
  <c r="M186" i="2"/>
  <c r="J187" i="2"/>
  <c r="K187" i="2"/>
  <c r="N187" i="2" s="1"/>
  <c r="L187" i="2"/>
  <c r="M187" i="2"/>
  <c r="J188" i="2"/>
  <c r="K188" i="2"/>
  <c r="L188" i="2"/>
  <c r="M188" i="2"/>
  <c r="J189" i="2"/>
  <c r="K189" i="2"/>
  <c r="N189" i="2" s="1"/>
  <c r="L189" i="2"/>
  <c r="M189" i="2"/>
  <c r="J190" i="2"/>
  <c r="K190" i="2"/>
  <c r="N190" i="2" s="1"/>
  <c r="L190" i="2"/>
  <c r="M190" i="2"/>
  <c r="J191" i="2"/>
  <c r="K191" i="2"/>
  <c r="N191" i="2" s="1"/>
  <c r="L191" i="2"/>
  <c r="M191" i="2"/>
  <c r="J192" i="2"/>
  <c r="K192" i="2"/>
  <c r="N192" i="2" s="1"/>
  <c r="L192" i="2"/>
  <c r="M192" i="2"/>
  <c r="J193" i="2"/>
  <c r="K193" i="2"/>
  <c r="N193" i="2" s="1"/>
  <c r="L193" i="2"/>
  <c r="M193" i="2"/>
  <c r="J194" i="2"/>
  <c r="K194" i="2"/>
  <c r="N194" i="2" s="1"/>
  <c r="L194" i="2"/>
  <c r="M194" i="2"/>
  <c r="J195" i="2"/>
  <c r="K195" i="2"/>
  <c r="N195" i="2" s="1"/>
  <c r="L195" i="2"/>
  <c r="M195" i="2"/>
  <c r="J196" i="2"/>
  <c r="K196" i="2"/>
  <c r="N196" i="2" s="1"/>
  <c r="L196" i="2"/>
  <c r="M196" i="2"/>
  <c r="J197" i="2"/>
  <c r="K197" i="2"/>
  <c r="N197" i="2" s="1"/>
  <c r="L197" i="2"/>
  <c r="M197" i="2"/>
  <c r="J198" i="2"/>
  <c r="K198" i="2"/>
  <c r="N198" i="2" s="1"/>
  <c r="L198" i="2"/>
  <c r="M198" i="2"/>
  <c r="J199" i="2"/>
  <c r="K199" i="2"/>
  <c r="L199" i="2"/>
  <c r="M199" i="2"/>
  <c r="J200" i="2"/>
  <c r="K200" i="2"/>
  <c r="N200" i="2" s="1"/>
  <c r="L200" i="2"/>
  <c r="M200" i="2"/>
  <c r="J201" i="2"/>
  <c r="K201" i="2"/>
  <c r="N201" i="2" s="1"/>
  <c r="L201" i="2"/>
  <c r="M201" i="2"/>
  <c r="J202" i="2"/>
  <c r="K202" i="2"/>
  <c r="N202" i="2" s="1"/>
  <c r="L202" i="2"/>
  <c r="M202" i="2"/>
  <c r="J203" i="2"/>
  <c r="K203" i="2"/>
  <c r="N203" i="2" s="1"/>
  <c r="L203" i="2"/>
  <c r="M203" i="2"/>
  <c r="J204" i="2"/>
  <c r="K204" i="2"/>
  <c r="N204" i="2" s="1"/>
  <c r="L204" i="2"/>
  <c r="M204" i="2"/>
  <c r="J205" i="2"/>
  <c r="K205" i="2"/>
  <c r="N205" i="2" s="1"/>
  <c r="L205" i="2"/>
  <c r="M205" i="2"/>
  <c r="J206" i="2"/>
  <c r="K206" i="2"/>
  <c r="N206" i="2" s="1"/>
  <c r="L206" i="2"/>
  <c r="M206" i="2"/>
  <c r="J207" i="2"/>
  <c r="K207" i="2"/>
  <c r="N207" i="2" s="1"/>
  <c r="L207" i="2"/>
  <c r="M207" i="2"/>
  <c r="J208" i="2"/>
  <c r="K208" i="2"/>
  <c r="L208" i="2"/>
  <c r="M208" i="2"/>
  <c r="J209" i="2"/>
  <c r="K209" i="2"/>
  <c r="N209" i="2" s="1"/>
  <c r="L209" i="2"/>
  <c r="M209" i="2"/>
  <c r="J210" i="2"/>
  <c r="K210" i="2"/>
  <c r="N210" i="2" s="1"/>
  <c r="L210" i="2"/>
  <c r="M210" i="2"/>
  <c r="J211" i="2"/>
  <c r="K211" i="2"/>
  <c r="N211" i="2" s="1"/>
  <c r="L211" i="2"/>
  <c r="M211" i="2"/>
  <c r="J212" i="2"/>
  <c r="K212" i="2"/>
  <c r="N212" i="2" s="1"/>
  <c r="L212" i="2"/>
  <c r="M212" i="2"/>
  <c r="J213" i="2"/>
  <c r="K213" i="2"/>
  <c r="N213" i="2" s="1"/>
  <c r="L213" i="2"/>
  <c r="M213" i="2"/>
  <c r="J214" i="2"/>
  <c r="K214" i="2"/>
  <c r="N214" i="2" s="1"/>
  <c r="L214" i="2"/>
  <c r="M214" i="2"/>
  <c r="J215" i="2"/>
  <c r="K215" i="2"/>
  <c r="N215" i="2" s="1"/>
  <c r="L215" i="2"/>
  <c r="M215" i="2"/>
  <c r="J216" i="2"/>
  <c r="K216" i="2"/>
  <c r="N216" i="2" s="1"/>
  <c r="L216" i="2"/>
  <c r="M216" i="2"/>
  <c r="J217" i="2"/>
  <c r="K217" i="2"/>
  <c r="N217" i="2" s="1"/>
  <c r="L217" i="2"/>
  <c r="M217" i="2"/>
  <c r="J218" i="2"/>
  <c r="K218" i="2"/>
  <c r="L218" i="2"/>
  <c r="M218" i="2"/>
  <c r="J219" i="2"/>
  <c r="K219" i="2"/>
  <c r="L219" i="2"/>
  <c r="M219" i="2"/>
  <c r="J220" i="2"/>
  <c r="K220" i="2"/>
  <c r="N220" i="2" s="1"/>
  <c r="L220" i="2"/>
  <c r="M220" i="2"/>
  <c r="J221" i="2"/>
  <c r="K221" i="2"/>
  <c r="N221" i="2" s="1"/>
  <c r="L221" i="2"/>
  <c r="M221" i="2"/>
  <c r="J222" i="2"/>
  <c r="K222" i="2"/>
  <c r="N222" i="2" s="1"/>
  <c r="L222" i="2"/>
  <c r="M222" i="2"/>
  <c r="J223" i="2"/>
  <c r="K223" i="2"/>
  <c r="N223" i="2" s="1"/>
  <c r="L223" i="2"/>
  <c r="M223" i="2"/>
  <c r="J224" i="2"/>
  <c r="K224" i="2"/>
  <c r="N224" i="2" s="1"/>
  <c r="L224" i="2"/>
  <c r="M224" i="2"/>
  <c r="J225" i="2"/>
  <c r="K225" i="2"/>
  <c r="N225" i="2" s="1"/>
  <c r="L225" i="2"/>
  <c r="M225" i="2"/>
  <c r="J226" i="2"/>
  <c r="K226" i="2"/>
  <c r="N226" i="2" s="1"/>
  <c r="L226" i="2"/>
  <c r="M226" i="2"/>
  <c r="J227" i="2"/>
  <c r="K227" i="2"/>
  <c r="N227" i="2" s="1"/>
  <c r="L227" i="2"/>
  <c r="M227" i="2"/>
  <c r="J228" i="2"/>
  <c r="K228" i="2"/>
  <c r="L228" i="2"/>
  <c r="M228" i="2"/>
  <c r="J229" i="2"/>
  <c r="K229" i="2"/>
  <c r="N229" i="2" s="1"/>
  <c r="L229" i="2"/>
  <c r="M229" i="2"/>
  <c r="J230" i="2"/>
  <c r="K230" i="2"/>
  <c r="N230" i="2" s="1"/>
  <c r="L230" i="2"/>
  <c r="M230" i="2"/>
  <c r="J231" i="2"/>
  <c r="K231" i="2"/>
  <c r="N231" i="2" s="1"/>
  <c r="L231" i="2"/>
  <c r="M231" i="2"/>
  <c r="J232" i="2"/>
  <c r="K232" i="2"/>
  <c r="N232" i="2" s="1"/>
  <c r="L232" i="2"/>
  <c r="M232" i="2"/>
  <c r="J233" i="2"/>
  <c r="K233" i="2"/>
  <c r="N233" i="2" s="1"/>
  <c r="L233" i="2"/>
  <c r="M233" i="2"/>
  <c r="J234" i="2"/>
  <c r="K234" i="2"/>
  <c r="N234" i="2" s="1"/>
  <c r="L234" i="2"/>
  <c r="M234" i="2"/>
  <c r="J235" i="2"/>
  <c r="K235" i="2"/>
  <c r="N235" i="2" s="1"/>
  <c r="L235" i="2"/>
  <c r="M235" i="2"/>
  <c r="J236" i="2"/>
  <c r="K236" i="2"/>
  <c r="N236" i="2" s="1"/>
  <c r="L236" i="2"/>
  <c r="M236" i="2"/>
  <c r="J237" i="2"/>
  <c r="K237" i="2"/>
  <c r="N237" i="2" s="1"/>
  <c r="L237" i="2"/>
  <c r="M237" i="2"/>
  <c r="J238" i="2"/>
  <c r="K238" i="2"/>
  <c r="N238" i="2" s="1"/>
  <c r="L238" i="2"/>
  <c r="M238" i="2"/>
  <c r="J239" i="2"/>
  <c r="K239" i="2"/>
  <c r="N239" i="2" s="1"/>
  <c r="L239" i="2"/>
  <c r="M239" i="2"/>
  <c r="J240" i="2"/>
  <c r="K240" i="2"/>
  <c r="N240" i="2" s="1"/>
  <c r="L240" i="2"/>
  <c r="M240" i="2"/>
  <c r="J241" i="2"/>
  <c r="K241" i="2"/>
  <c r="N241" i="2" s="1"/>
  <c r="L241" i="2"/>
  <c r="M241" i="2"/>
  <c r="J242" i="2"/>
  <c r="K242" i="2"/>
  <c r="N242" i="2" s="1"/>
  <c r="L242" i="2"/>
  <c r="M242" i="2"/>
  <c r="J243" i="2"/>
  <c r="K243" i="2"/>
  <c r="N243" i="2" s="1"/>
  <c r="L243" i="2"/>
  <c r="M243" i="2"/>
  <c r="J244" i="2"/>
  <c r="K244" i="2"/>
  <c r="N244" i="2" s="1"/>
  <c r="L244" i="2"/>
  <c r="M244" i="2"/>
  <c r="J245" i="2"/>
  <c r="K245" i="2"/>
  <c r="N245" i="2" s="1"/>
  <c r="L245" i="2"/>
  <c r="M245" i="2"/>
  <c r="J246" i="2"/>
  <c r="K246" i="2"/>
  <c r="N246" i="2" s="1"/>
  <c r="L246" i="2"/>
  <c r="M246" i="2"/>
  <c r="J247" i="2"/>
  <c r="K247" i="2"/>
  <c r="N247" i="2" s="1"/>
  <c r="L247" i="2"/>
  <c r="M247" i="2"/>
  <c r="J248" i="2"/>
  <c r="K248" i="2"/>
  <c r="N248" i="2" s="1"/>
  <c r="L248" i="2"/>
  <c r="M248" i="2"/>
  <c r="J249" i="2"/>
  <c r="K249" i="2"/>
  <c r="N249" i="2" s="1"/>
  <c r="L249" i="2"/>
  <c r="M249" i="2"/>
  <c r="J250" i="2"/>
  <c r="K250" i="2"/>
  <c r="N250" i="2" s="1"/>
  <c r="L250" i="2"/>
  <c r="M250" i="2"/>
  <c r="J251" i="2"/>
  <c r="K251" i="2"/>
  <c r="N251" i="2" s="1"/>
  <c r="L251" i="2"/>
  <c r="M251" i="2"/>
  <c r="J252" i="2"/>
  <c r="K252" i="2"/>
  <c r="N252" i="2" s="1"/>
  <c r="L252" i="2"/>
  <c r="M252" i="2"/>
  <c r="J253" i="2"/>
  <c r="K253" i="2"/>
  <c r="N253" i="2" s="1"/>
  <c r="L253" i="2"/>
  <c r="M253" i="2"/>
  <c r="J254" i="2"/>
  <c r="K254" i="2"/>
  <c r="N254" i="2" s="1"/>
  <c r="L254" i="2"/>
  <c r="M254" i="2"/>
  <c r="J255" i="2"/>
  <c r="K255" i="2"/>
  <c r="N255" i="2" s="1"/>
  <c r="L255" i="2"/>
  <c r="M255" i="2"/>
  <c r="J256" i="2"/>
  <c r="K256" i="2"/>
  <c r="N256" i="2" s="1"/>
  <c r="L256" i="2"/>
  <c r="M256" i="2"/>
  <c r="J257" i="2"/>
  <c r="K257" i="2"/>
  <c r="N257" i="2" s="1"/>
  <c r="L257" i="2"/>
  <c r="M257" i="2"/>
  <c r="J258" i="2"/>
  <c r="K258" i="2"/>
  <c r="N258" i="2" s="1"/>
  <c r="L258" i="2"/>
  <c r="M258" i="2"/>
  <c r="J259" i="2"/>
  <c r="K259" i="2"/>
  <c r="N259" i="2" s="1"/>
  <c r="L259" i="2"/>
  <c r="M259" i="2"/>
  <c r="J260" i="2"/>
  <c r="K260" i="2"/>
  <c r="N260" i="2" s="1"/>
  <c r="L260" i="2"/>
  <c r="M260" i="2"/>
  <c r="J261" i="2"/>
  <c r="K261" i="2"/>
  <c r="N261" i="2" s="1"/>
  <c r="L261" i="2"/>
  <c r="M261" i="2"/>
  <c r="J262" i="2"/>
  <c r="K262" i="2"/>
  <c r="N262" i="2" s="1"/>
  <c r="L262" i="2"/>
  <c r="M262" i="2"/>
  <c r="J263" i="2"/>
  <c r="K263" i="2"/>
  <c r="N263" i="2" s="1"/>
  <c r="L263" i="2"/>
  <c r="M263" i="2"/>
  <c r="J264" i="2"/>
  <c r="K264" i="2"/>
  <c r="L264" i="2"/>
  <c r="M264" i="2"/>
  <c r="J265" i="2"/>
  <c r="K265" i="2"/>
  <c r="N265" i="2" s="1"/>
  <c r="L265" i="2"/>
  <c r="M265" i="2"/>
  <c r="J266" i="2"/>
  <c r="K266" i="2"/>
  <c r="N266" i="2" s="1"/>
  <c r="L266" i="2"/>
  <c r="M266" i="2"/>
  <c r="J267" i="2"/>
  <c r="K267" i="2"/>
  <c r="N267" i="2" s="1"/>
  <c r="L267" i="2"/>
  <c r="M267" i="2"/>
  <c r="J268" i="2"/>
  <c r="K268" i="2"/>
  <c r="N268" i="2" s="1"/>
  <c r="L268" i="2"/>
  <c r="M268" i="2"/>
  <c r="J269" i="2"/>
  <c r="K269" i="2"/>
  <c r="N269" i="2" s="1"/>
  <c r="L269" i="2"/>
  <c r="M269" i="2"/>
  <c r="J270" i="2"/>
  <c r="K270" i="2"/>
  <c r="N270" i="2" s="1"/>
  <c r="L270" i="2"/>
  <c r="M270" i="2"/>
  <c r="J271" i="2"/>
  <c r="K271" i="2"/>
  <c r="N271" i="2" s="1"/>
  <c r="L271" i="2"/>
  <c r="M271" i="2"/>
  <c r="J272" i="2"/>
  <c r="K272" i="2"/>
  <c r="N272" i="2" s="1"/>
  <c r="L272" i="2"/>
  <c r="M272" i="2"/>
  <c r="J273" i="2"/>
  <c r="K273" i="2"/>
  <c r="N273" i="2" s="1"/>
  <c r="L273" i="2"/>
  <c r="M273" i="2"/>
  <c r="J274" i="2"/>
  <c r="K274" i="2"/>
  <c r="N274" i="2" s="1"/>
  <c r="L274" i="2"/>
  <c r="M274" i="2"/>
  <c r="J275" i="2"/>
  <c r="K275" i="2"/>
  <c r="N275" i="2" s="1"/>
  <c r="L275" i="2"/>
  <c r="M275" i="2"/>
  <c r="J276" i="2"/>
  <c r="K276" i="2"/>
  <c r="N276" i="2" s="1"/>
  <c r="L276" i="2"/>
  <c r="M276" i="2"/>
  <c r="J277" i="2"/>
  <c r="K277" i="2"/>
  <c r="N277" i="2" s="1"/>
  <c r="L277" i="2"/>
  <c r="M277" i="2"/>
  <c r="J278" i="2"/>
  <c r="K278" i="2"/>
  <c r="L278" i="2"/>
  <c r="M278" i="2"/>
  <c r="J279" i="2"/>
  <c r="K279" i="2"/>
  <c r="N279" i="2" s="1"/>
  <c r="L279" i="2"/>
  <c r="M279" i="2"/>
  <c r="J280" i="2"/>
  <c r="K280" i="2"/>
  <c r="N280" i="2" s="1"/>
  <c r="L280" i="2"/>
  <c r="M280" i="2"/>
  <c r="J281" i="2"/>
  <c r="K281" i="2"/>
  <c r="N281" i="2" s="1"/>
  <c r="L281" i="2"/>
  <c r="M281" i="2"/>
  <c r="J282" i="2"/>
  <c r="K282" i="2"/>
  <c r="N282" i="2" s="1"/>
  <c r="L282" i="2"/>
  <c r="M282" i="2"/>
  <c r="J283" i="2"/>
  <c r="K283" i="2"/>
  <c r="N283" i="2" s="1"/>
  <c r="L283" i="2"/>
  <c r="M283" i="2"/>
  <c r="J284" i="2"/>
  <c r="K284" i="2"/>
  <c r="N284" i="2" s="1"/>
  <c r="L284" i="2"/>
  <c r="M284" i="2"/>
  <c r="J285" i="2"/>
  <c r="K285" i="2"/>
  <c r="N285" i="2" s="1"/>
  <c r="L285" i="2"/>
  <c r="M285" i="2"/>
  <c r="J286" i="2"/>
  <c r="K286" i="2"/>
  <c r="N286" i="2" s="1"/>
  <c r="L286" i="2"/>
  <c r="M286" i="2"/>
  <c r="J287" i="2"/>
  <c r="K287" i="2"/>
  <c r="N287" i="2" s="1"/>
  <c r="L287" i="2"/>
  <c r="M287" i="2"/>
  <c r="J288" i="2"/>
  <c r="K288" i="2"/>
  <c r="L288" i="2"/>
  <c r="M288" i="2"/>
  <c r="J289" i="2"/>
  <c r="K289" i="2"/>
  <c r="N289" i="2" s="1"/>
  <c r="L289" i="2"/>
  <c r="M289" i="2"/>
  <c r="J290" i="2"/>
  <c r="K290" i="2"/>
  <c r="N290" i="2" s="1"/>
  <c r="L290" i="2"/>
  <c r="M290" i="2"/>
  <c r="J291" i="2"/>
  <c r="K291" i="2"/>
  <c r="N291" i="2" s="1"/>
  <c r="L291" i="2"/>
  <c r="M291" i="2"/>
  <c r="J292" i="2"/>
  <c r="K292" i="2"/>
  <c r="N292" i="2" s="1"/>
  <c r="L292" i="2"/>
  <c r="M292" i="2"/>
  <c r="J293" i="2"/>
  <c r="K293" i="2"/>
  <c r="N293" i="2" s="1"/>
  <c r="L293" i="2"/>
  <c r="M293" i="2"/>
  <c r="J294" i="2"/>
  <c r="K294" i="2"/>
  <c r="N294" i="2" s="1"/>
  <c r="L294" i="2"/>
  <c r="M294" i="2"/>
  <c r="J295" i="2"/>
  <c r="K295" i="2"/>
  <c r="N295" i="2" s="1"/>
  <c r="L295" i="2"/>
  <c r="M295" i="2"/>
  <c r="J296" i="2"/>
  <c r="K296" i="2"/>
  <c r="N296" i="2" s="1"/>
  <c r="L296" i="2"/>
  <c r="M296" i="2"/>
  <c r="J297" i="2"/>
  <c r="K297" i="2"/>
  <c r="N297" i="2" s="1"/>
  <c r="L297" i="2"/>
  <c r="M297" i="2"/>
  <c r="J298" i="2"/>
  <c r="K298" i="2"/>
  <c r="N298" i="2" s="1"/>
  <c r="L298" i="2"/>
  <c r="M298" i="2"/>
  <c r="J299" i="2"/>
  <c r="K299" i="2"/>
  <c r="L299" i="2"/>
  <c r="M299" i="2"/>
  <c r="J300" i="2"/>
  <c r="K300" i="2"/>
  <c r="N300" i="2" s="1"/>
  <c r="L300" i="2"/>
  <c r="M300" i="2"/>
  <c r="J301" i="2"/>
  <c r="K301" i="2"/>
  <c r="N301" i="2" s="1"/>
  <c r="L301" i="2"/>
  <c r="M301" i="2"/>
  <c r="J302" i="2"/>
  <c r="K302" i="2"/>
  <c r="N302" i="2" s="1"/>
  <c r="L302" i="2"/>
  <c r="M302" i="2"/>
  <c r="J303" i="2"/>
  <c r="K303" i="2"/>
  <c r="N303" i="2" s="1"/>
  <c r="L303" i="2"/>
  <c r="M303" i="2"/>
  <c r="J304" i="2"/>
  <c r="K304" i="2"/>
  <c r="N304" i="2" s="1"/>
  <c r="L304" i="2"/>
  <c r="M304" i="2"/>
  <c r="J305" i="2"/>
  <c r="K305" i="2"/>
  <c r="N305" i="2" s="1"/>
  <c r="L305" i="2"/>
  <c r="M305" i="2"/>
  <c r="J306" i="2"/>
  <c r="K306" i="2"/>
  <c r="N306" i="2" s="1"/>
  <c r="L306" i="2"/>
  <c r="M306" i="2"/>
  <c r="J307" i="2"/>
  <c r="K307" i="2"/>
  <c r="N307" i="2" s="1"/>
  <c r="L307" i="2"/>
  <c r="M307" i="2"/>
  <c r="J308" i="2"/>
  <c r="K308" i="2"/>
  <c r="N308" i="2" s="1"/>
  <c r="L308" i="2"/>
  <c r="M308" i="2"/>
  <c r="J309" i="2"/>
  <c r="K309" i="2"/>
  <c r="N309" i="2" s="1"/>
  <c r="L309" i="2"/>
  <c r="M309" i="2"/>
  <c r="J310" i="2"/>
  <c r="K310" i="2"/>
  <c r="N310" i="2" s="1"/>
  <c r="L310" i="2"/>
  <c r="M310" i="2"/>
  <c r="J311" i="2"/>
  <c r="K311" i="2"/>
  <c r="N311" i="2" s="1"/>
  <c r="L311" i="2"/>
  <c r="M311" i="2"/>
  <c r="J312" i="2"/>
  <c r="K312" i="2"/>
  <c r="N312" i="2" s="1"/>
  <c r="L312" i="2"/>
  <c r="M312" i="2"/>
  <c r="J313" i="2"/>
  <c r="K313" i="2"/>
  <c r="N313" i="2" s="1"/>
  <c r="L313" i="2"/>
  <c r="M313" i="2"/>
  <c r="J314" i="2"/>
  <c r="K314" i="2"/>
  <c r="N314" i="2" s="1"/>
  <c r="L314" i="2"/>
  <c r="M314" i="2"/>
  <c r="J315" i="2"/>
  <c r="K315" i="2"/>
  <c r="N315" i="2" s="1"/>
  <c r="L315" i="2"/>
  <c r="M315" i="2"/>
  <c r="J316" i="2"/>
  <c r="K316" i="2"/>
  <c r="N316" i="2" s="1"/>
  <c r="L316" i="2"/>
  <c r="M316" i="2"/>
  <c r="J317" i="2"/>
  <c r="K317" i="2"/>
  <c r="N317" i="2" s="1"/>
  <c r="L317" i="2"/>
  <c r="M317" i="2"/>
  <c r="J318" i="2"/>
  <c r="K318" i="2"/>
  <c r="L318" i="2"/>
  <c r="M318" i="2"/>
  <c r="J319" i="2"/>
  <c r="K319" i="2"/>
  <c r="L319" i="2"/>
  <c r="M319" i="2"/>
  <c r="J320" i="2"/>
  <c r="K320" i="2"/>
  <c r="N320" i="2" s="1"/>
  <c r="L320" i="2"/>
  <c r="M320" i="2"/>
  <c r="J321" i="2"/>
  <c r="K321" i="2"/>
  <c r="N321" i="2" s="1"/>
  <c r="L321" i="2"/>
  <c r="M321" i="2"/>
  <c r="J322" i="2"/>
  <c r="K322" i="2"/>
  <c r="N322" i="2" s="1"/>
  <c r="L322" i="2"/>
  <c r="M322" i="2"/>
  <c r="J323" i="2"/>
  <c r="K323" i="2"/>
  <c r="N323" i="2" s="1"/>
  <c r="L323" i="2"/>
  <c r="M323" i="2"/>
  <c r="J324" i="2"/>
  <c r="K324" i="2"/>
  <c r="N324" i="2" s="1"/>
  <c r="L324" i="2"/>
  <c r="M324" i="2"/>
  <c r="J325" i="2"/>
  <c r="K325" i="2"/>
  <c r="N325" i="2" s="1"/>
  <c r="L325" i="2"/>
  <c r="M325" i="2"/>
  <c r="J326" i="2"/>
  <c r="K326" i="2"/>
  <c r="N326" i="2" s="1"/>
  <c r="L326" i="2"/>
  <c r="M326" i="2"/>
  <c r="J327" i="2"/>
  <c r="K327" i="2"/>
  <c r="N327" i="2" s="1"/>
  <c r="L327" i="2"/>
  <c r="M327" i="2"/>
  <c r="J328" i="2"/>
  <c r="K328" i="2"/>
  <c r="L328" i="2"/>
  <c r="M328" i="2"/>
  <c r="J329" i="2"/>
  <c r="K329" i="2"/>
  <c r="N329" i="2" s="1"/>
  <c r="L329" i="2"/>
  <c r="M329" i="2"/>
  <c r="J330" i="2"/>
  <c r="K330" i="2"/>
  <c r="N330" i="2" s="1"/>
  <c r="L330" i="2"/>
  <c r="M330" i="2"/>
  <c r="J331" i="2"/>
  <c r="K331" i="2"/>
  <c r="N331" i="2" s="1"/>
  <c r="L331" i="2"/>
  <c r="M331" i="2"/>
  <c r="J332" i="2"/>
  <c r="K332" i="2"/>
  <c r="N332" i="2" s="1"/>
  <c r="L332" i="2"/>
  <c r="M332" i="2"/>
  <c r="J333" i="2"/>
  <c r="K333" i="2"/>
  <c r="N333" i="2" s="1"/>
  <c r="L333" i="2"/>
  <c r="M333" i="2"/>
  <c r="J334" i="2"/>
  <c r="K334" i="2"/>
  <c r="N334" i="2" s="1"/>
  <c r="L334" i="2"/>
  <c r="M334" i="2"/>
  <c r="J335" i="2"/>
  <c r="K335" i="2"/>
  <c r="L335" i="2"/>
  <c r="M335" i="2"/>
  <c r="J336" i="2"/>
  <c r="K336" i="2"/>
  <c r="N336" i="2" s="1"/>
  <c r="L336" i="2"/>
  <c r="M336" i="2"/>
  <c r="J337" i="2"/>
  <c r="K337" i="2"/>
  <c r="N337" i="2" s="1"/>
  <c r="L337" i="2"/>
  <c r="M337" i="2"/>
  <c r="J338" i="2"/>
  <c r="K338" i="2"/>
  <c r="L338" i="2"/>
  <c r="M338" i="2"/>
  <c r="J339" i="2"/>
  <c r="K339" i="2"/>
  <c r="L339" i="2"/>
  <c r="M339" i="2"/>
  <c r="J340" i="2"/>
  <c r="K340" i="2"/>
  <c r="N340" i="2" s="1"/>
  <c r="L340" i="2"/>
  <c r="M340" i="2"/>
  <c r="J341" i="2"/>
  <c r="K341" i="2"/>
  <c r="N341" i="2" s="1"/>
  <c r="L341" i="2"/>
  <c r="M341" i="2"/>
  <c r="J342" i="2"/>
  <c r="K342" i="2"/>
  <c r="N342" i="2" s="1"/>
  <c r="L342" i="2"/>
  <c r="M342" i="2"/>
  <c r="J343" i="2"/>
  <c r="K343" i="2"/>
  <c r="N343" i="2" s="1"/>
  <c r="L343" i="2"/>
  <c r="M343" i="2"/>
  <c r="J344" i="2"/>
  <c r="K344" i="2"/>
  <c r="N344" i="2" s="1"/>
  <c r="L344" i="2"/>
  <c r="M344" i="2"/>
  <c r="J345" i="2"/>
  <c r="K345" i="2"/>
  <c r="N345" i="2" s="1"/>
  <c r="L345" i="2"/>
  <c r="M345" i="2"/>
  <c r="J346" i="2"/>
  <c r="K346" i="2"/>
  <c r="N346" i="2" s="1"/>
  <c r="L346" i="2"/>
  <c r="M346" i="2"/>
  <c r="J347" i="2"/>
  <c r="K347" i="2"/>
  <c r="N347" i="2" s="1"/>
  <c r="L347" i="2"/>
  <c r="M347" i="2"/>
  <c r="J348" i="2"/>
  <c r="K348" i="2"/>
  <c r="N348" i="2" s="1"/>
  <c r="L348" i="2"/>
  <c r="M348" i="2"/>
  <c r="J349" i="2"/>
  <c r="K349" i="2"/>
  <c r="N349" i="2" s="1"/>
  <c r="L349" i="2"/>
  <c r="M349" i="2"/>
  <c r="J350" i="2"/>
  <c r="K350" i="2"/>
  <c r="N350" i="2" s="1"/>
  <c r="L350" i="2"/>
  <c r="M350" i="2"/>
  <c r="J351" i="2"/>
  <c r="K351" i="2"/>
  <c r="N351" i="2" s="1"/>
  <c r="L351" i="2"/>
  <c r="M351" i="2"/>
  <c r="J352" i="2"/>
  <c r="K352" i="2"/>
  <c r="N352" i="2" s="1"/>
  <c r="L352" i="2"/>
  <c r="M352" i="2"/>
  <c r="J353" i="2"/>
  <c r="K353" i="2"/>
  <c r="N353" i="2" s="1"/>
  <c r="L353" i="2"/>
  <c r="M353" i="2"/>
  <c r="J354" i="2"/>
  <c r="K354" i="2"/>
  <c r="N354" i="2" s="1"/>
  <c r="L354" i="2"/>
  <c r="M354" i="2"/>
  <c r="J355" i="2"/>
  <c r="K355" i="2"/>
  <c r="N355" i="2" s="1"/>
  <c r="L355" i="2"/>
  <c r="M355" i="2"/>
  <c r="J356" i="2"/>
  <c r="K356" i="2"/>
  <c r="N356" i="2" s="1"/>
  <c r="L356" i="2"/>
  <c r="M356" i="2"/>
  <c r="J357" i="2"/>
  <c r="K357" i="2"/>
  <c r="N357" i="2" s="1"/>
  <c r="L357" i="2"/>
  <c r="M357" i="2"/>
  <c r="J358" i="2"/>
  <c r="K358" i="2"/>
  <c r="N358" i="2" s="1"/>
  <c r="L358" i="2"/>
  <c r="M358" i="2"/>
  <c r="J359" i="2"/>
  <c r="K359" i="2"/>
  <c r="N359" i="2" s="1"/>
  <c r="L359" i="2"/>
  <c r="M359" i="2"/>
  <c r="J360" i="2"/>
  <c r="K360" i="2"/>
  <c r="N360" i="2" s="1"/>
  <c r="L360" i="2"/>
  <c r="M360" i="2"/>
  <c r="J361" i="2"/>
  <c r="K361" i="2"/>
  <c r="N361" i="2" s="1"/>
  <c r="L361" i="2"/>
  <c r="M361" i="2"/>
  <c r="J362" i="2"/>
  <c r="K362" i="2"/>
  <c r="N362" i="2" s="1"/>
  <c r="L362" i="2"/>
  <c r="M362" i="2"/>
  <c r="J363" i="2"/>
  <c r="K363" i="2"/>
  <c r="N363" i="2" s="1"/>
  <c r="L363" i="2"/>
  <c r="M363" i="2"/>
  <c r="J364" i="2"/>
  <c r="K364" i="2"/>
  <c r="N364" i="2" s="1"/>
  <c r="L364" i="2"/>
  <c r="M364" i="2"/>
  <c r="J365" i="2"/>
  <c r="K365" i="2"/>
  <c r="N365" i="2" s="1"/>
  <c r="L365" i="2"/>
  <c r="M365" i="2"/>
  <c r="J366" i="2"/>
  <c r="K366" i="2"/>
  <c r="N366" i="2" s="1"/>
  <c r="L366" i="2"/>
  <c r="M366" i="2"/>
  <c r="J367" i="2"/>
  <c r="K367" i="2"/>
  <c r="N367" i="2" s="1"/>
  <c r="L367" i="2"/>
  <c r="M367" i="2"/>
  <c r="J368" i="2"/>
  <c r="K368" i="2"/>
  <c r="N368" i="2" s="1"/>
  <c r="L368" i="2"/>
  <c r="M368" i="2"/>
  <c r="J369" i="2"/>
  <c r="K369" i="2"/>
  <c r="N369" i="2" s="1"/>
  <c r="L369" i="2"/>
  <c r="M369" i="2"/>
  <c r="J370" i="2"/>
  <c r="K370" i="2"/>
  <c r="N370" i="2" s="1"/>
  <c r="L370" i="2"/>
  <c r="M370" i="2"/>
  <c r="J371" i="2"/>
  <c r="K371" i="2"/>
  <c r="N371" i="2" s="1"/>
  <c r="L371" i="2"/>
  <c r="M371" i="2"/>
  <c r="J372" i="2"/>
  <c r="K372" i="2"/>
  <c r="N372" i="2" s="1"/>
  <c r="L372" i="2"/>
  <c r="M372" i="2"/>
  <c r="J373" i="2"/>
  <c r="K373" i="2"/>
  <c r="N373" i="2" s="1"/>
  <c r="L373" i="2"/>
  <c r="M373" i="2"/>
  <c r="J374" i="2"/>
  <c r="K374" i="2"/>
  <c r="N374" i="2" s="1"/>
  <c r="L374" i="2"/>
  <c r="M374" i="2"/>
  <c r="J375" i="2"/>
  <c r="K375" i="2"/>
  <c r="N375" i="2" s="1"/>
  <c r="L375" i="2"/>
  <c r="M375" i="2"/>
  <c r="J376" i="2"/>
  <c r="K376" i="2"/>
  <c r="N376" i="2" s="1"/>
  <c r="L376" i="2"/>
  <c r="M376" i="2"/>
  <c r="J377" i="2"/>
  <c r="K377" i="2"/>
  <c r="N377" i="2" s="1"/>
  <c r="L377" i="2"/>
  <c r="M377" i="2"/>
  <c r="J378" i="2"/>
  <c r="K378" i="2"/>
  <c r="N378" i="2" s="1"/>
  <c r="L378" i="2"/>
  <c r="M378" i="2"/>
  <c r="J379" i="2"/>
  <c r="K379" i="2"/>
  <c r="N379" i="2" s="1"/>
  <c r="L379" i="2"/>
  <c r="M379" i="2"/>
  <c r="J380" i="2"/>
  <c r="K380" i="2"/>
  <c r="N380" i="2" s="1"/>
  <c r="L380" i="2"/>
  <c r="M380" i="2"/>
  <c r="J381" i="2"/>
  <c r="K381" i="2"/>
  <c r="N381" i="2" s="1"/>
  <c r="L381" i="2"/>
  <c r="M381" i="2"/>
  <c r="J382" i="2"/>
  <c r="K382" i="2"/>
  <c r="N382" i="2" s="1"/>
  <c r="L382" i="2"/>
  <c r="M382" i="2"/>
  <c r="J383" i="2"/>
  <c r="K383" i="2"/>
  <c r="N383" i="2" s="1"/>
  <c r="L383" i="2"/>
  <c r="M383" i="2"/>
  <c r="J384" i="2"/>
  <c r="K384" i="2"/>
  <c r="N384" i="2" s="1"/>
  <c r="L384" i="2"/>
  <c r="M384" i="2"/>
  <c r="J385" i="2"/>
  <c r="K385" i="2"/>
  <c r="N385" i="2" s="1"/>
  <c r="L385" i="2"/>
  <c r="M385" i="2"/>
  <c r="J386" i="2"/>
  <c r="K386" i="2"/>
  <c r="N386" i="2" s="1"/>
  <c r="L386" i="2"/>
  <c r="M386" i="2"/>
  <c r="J387" i="2"/>
  <c r="K387" i="2"/>
  <c r="N387" i="2" s="1"/>
  <c r="L387" i="2"/>
  <c r="M387" i="2"/>
  <c r="J388" i="2"/>
  <c r="K388" i="2"/>
  <c r="N388" i="2" s="1"/>
  <c r="L388" i="2"/>
  <c r="M388" i="2"/>
  <c r="J389" i="2"/>
  <c r="K389" i="2"/>
  <c r="N389" i="2" s="1"/>
  <c r="L389" i="2"/>
  <c r="M389" i="2"/>
  <c r="J390" i="2"/>
  <c r="K390" i="2"/>
  <c r="N390" i="2" s="1"/>
  <c r="L390" i="2"/>
  <c r="M390" i="2"/>
  <c r="J391" i="2"/>
  <c r="K391" i="2"/>
  <c r="N391" i="2" s="1"/>
  <c r="L391" i="2"/>
  <c r="M391" i="2"/>
  <c r="J392" i="2"/>
  <c r="K392" i="2"/>
  <c r="N392" i="2" s="1"/>
  <c r="L392" i="2"/>
  <c r="M392" i="2"/>
  <c r="J393" i="2"/>
  <c r="K393" i="2"/>
  <c r="N393" i="2" s="1"/>
  <c r="L393" i="2"/>
  <c r="M393" i="2"/>
  <c r="J394" i="2"/>
  <c r="K394" i="2"/>
  <c r="N394" i="2" s="1"/>
  <c r="L394" i="2"/>
  <c r="M394" i="2"/>
  <c r="J395" i="2"/>
  <c r="K395" i="2"/>
  <c r="N395" i="2" s="1"/>
  <c r="L395" i="2"/>
  <c r="M395" i="2"/>
  <c r="J396" i="2"/>
  <c r="K396" i="2"/>
  <c r="N396" i="2" s="1"/>
  <c r="L396" i="2"/>
  <c r="M396" i="2"/>
  <c r="J397" i="2"/>
  <c r="K397" i="2"/>
  <c r="N397" i="2" s="1"/>
  <c r="L397" i="2"/>
  <c r="M397" i="2"/>
  <c r="J398" i="2"/>
  <c r="K398" i="2"/>
  <c r="N398" i="2" s="1"/>
  <c r="L398" i="2"/>
  <c r="M398" i="2"/>
  <c r="J399" i="2"/>
  <c r="K399" i="2"/>
  <c r="N399" i="2" s="1"/>
  <c r="L399" i="2"/>
  <c r="M399" i="2"/>
  <c r="J400" i="2"/>
  <c r="K400" i="2"/>
  <c r="N400" i="2" s="1"/>
  <c r="L400" i="2"/>
  <c r="M400" i="2"/>
  <c r="J401" i="2"/>
  <c r="K401" i="2"/>
  <c r="N401" i="2" s="1"/>
  <c r="L401" i="2"/>
  <c r="M401" i="2"/>
  <c r="J402" i="2"/>
  <c r="K402" i="2"/>
  <c r="N402" i="2" s="1"/>
  <c r="L402" i="2"/>
  <c r="M402" i="2"/>
  <c r="J403" i="2"/>
  <c r="K403" i="2"/>
  <c r="L403" i="2"/>
  <c r="M403" i="2"/>
  <c r="J404" i="2"/>
  <c r="K404" i="2"/>
  <c r="N404" i="2" s="1"/>
  <c r="L404" i="2"/>
  <c r="M404" i="2"/>
  <c r="J405" i="2"/>
  <c r="K405" i="2"/>
  <c r="N405" i="2" s="1"/>
  <c r="L405" i="2"/>
  <c r="M405" i="2"/>
  <c r="J406" i="2"/>
  <c r="K406" i="2"/>
  <c r="N406" i="2" s="1"/>
  <c r="L406" i="2"/>
  <c r="M406" i="2"/>
  <c r="J407" i="2"/>
  <c r="K407" i="2"/>
  <c r="N407" i="2" s="1"/>
  <c r="L407" i="2"/>
  <c r="M407" i="2"/>
  <c r="J408" i="2"/>
  <c r="K408" i="2"/>
  <c r="N408" i="2" s="1"/>
  <c r="L408" i="2"/>
  <c r="M408" i="2"/>
  <c r="J409" i="2"/>
  <c r="K409" i="2"/>
  <c r="N409" i="2" s="1"/>
  <c r="L409" i="2"/>
  <c r="M409" i="2"/>
  <c r="J410" i="2"/>
  <c r="K410" i="2"/>
  <c r="N410" i="2" s="1"/>
  <c r="L410" i="2"/>
  <c r="M410" i="2"/>
  <c r="J411" i="2"/>
  <c r="K411" i="2"/>
  <c r="N411" i="2" s="1"/>
  <c r="L411" i="2"/>
  <c r="M411" i="2"/>
  <c r="J412" i="2"/>
  <c r="K412" i="2"/>
  <c r="N412" i="2" s="1"/>
  <c r="L412" i="2"/>
  <c r="M412" i="2"/>
  <c r="J413" i="2"/>
  <c r="K413" i="2"/>
  <c r="N413" i="2" s="1"/>
  <c r="L413" i="2"/>
  <c r="M413" i="2"/>
  <c r="J414" i="2"/>
  <c r="K414" i="2"/>
  <c r="N414" i="2" s="1"/>
  <c r="L414" i="2"/>
  <c r="M414" i="2"/>
  <c r="J415" i="2"/>
  <c r="K415" i="2"/>
  <c r="N415" i="2" s="1"/>
  <c r="L415" i="2"/>
  <c r="M415" i="2"/>
  <c r="M16" i="2"/>
  <c r="K16" i="2"/>
  <c r="N16" i="2" s="1"/>
  <c r="J16" i="2"/>
  <c r="B469" i="2" l="1"/>
  <c r="E22" i="4" s="1"/>
  <c r="B444" i="2"/>
  <c r="B23" i="4" s="1"/>
</calcChain>
</file>

<file path=xl/sharedStrings.xml><?xml version="1.0" encoding="utf-8"?>
<sst xmlns="http://schemas.openxmlformats.org/spreadsheetml/2006/main" count="1719" uniqueCount="667">
  <si>
    <t>Consulta Amigable</t>
  </si>
  <si>
    <t>Consulta de Ejecución del Gasto</t>
  </si>
  <si>
    <t>Fecha de la Consulta: 06-octubre-2026</t>
  </si>
  <si>
    <r>
      <t xml:space="preserve">Año de Ejecución: </t>
    </r>
    <r>
      <rPr>
        <b/>
        <sz val="10"/>
        <color theme="1"/>
        <rFont val="Arial"/>
        <family val="2"/>
      </rPr>
      <t>2026</t>
    </r>
  </si>
  <si>
    <r>
      <t xml:space="preserve">Incluye: </t>
    </r>
    <r>
      <rPr>
        <b/>
        <sz val="10"/>
        <color theme="1"/>
        <rFont val="Arial"/>
        <family val="2"/>
      </rPr>
      <t>Sólo Proyectos</t>
    </r>
  </si>
  <si>
    <t>Resultados 1 - 400 de 447, Página 1 de 2</t>
  </si>
  <si>
    <t>Pliego 458: GOBIERNO REGIONAL DEL DEPARTAMENTO DE PUNO</t>
  </si>
  <si>
    <t> 50.1</t>
  </si>
  <si>
    <t>Proyecto</t>
  </si>
  <si>
    <t>PIA</t>
  </si>
  <si>
    <t>PIM</t>
  </si>
  <si>
    <t>Certificación</t>
  </si>
  <si>
    <t>Compromiso Anual</t>
  </si>
  <si>
    <t>Ejecución</t>
  </si>
  <si>
    <t>Avance % </t>
  </si>
  <si>
    <t>Atención de Compromiso Mensual </t>
  </si>
  <si>
    <t>Devengado </t>
  </si>
  <si>
    <t>Girado </t>
  </si>
  <si>
    <t>2001621: ESTUDIOS DE PRE-INVERSION</t>
  </si>
  <si>
    <t>  73.6</t>
  </si>
  <si>
    <t>2016766: INICIATIVA A LA COMPETITIVIDAD</t>
  </si>
  <si>
    <t>  61.7</t>
  </si>
  <si>
    <t>2031310: CONSTRUCCION Y MEJORAMIENTO DE LA CARRETERA SAN JOSE (EMP. R 100) VALLE GRANDE -ISILLUMA DEL DISTRITO DE ALTO INAMBARI</t>
  </si>
  <si>
    <t>  92.8</t>
  </si>
  <si>
    <t>2055915: MEJORAMIENTO DE LA CARRETERA AZANGARO - SAYTOCOCHA - SANDIA - SAN JUAN DEL ORO</t>
  </si>
  <si>
    <t>  0.0</t>
  </si>
  <si>
    <t>2108576: CONSTRUCCION DEL HOSPITAL MATERNO INFANTIL DEL CONO SUR JULIACA</t>
  </si>
  <si>
    <t>  61.4</t>
  </si>
  <si>
    <t>2131389: MEJORAMIENTO DE LA INFRAESTRUCTURA VIAL DEL CIRCUITO TURISTICO LAGO SAGRADO DE LOS INCAS - DISTRITOS CAPACHICA, CHUCUITO, PLATERIA, ACORA, ILAVE</t>
  </si>
  <si>
    <t>2131661: CONSTRUCCION Y MEJORAMIENTO DE LA CARRETERA DESVIO VILQUECHICO-COJATA-SINA-YANAHUAYA</t>
  </si>
  <si>
    <t>  16.5</t>
  </si>
  <si>
    <t>2154443: MEJORAMIENTO DEL ESTADO NUTRICIONAL DEL NIÑO MENOR DE TRES AÑOS Y LA MADRE GESTANTE EN LAS PROVINCIAS DE AZANGARO, LAMPA Y SAN ROMAN DE LA REGION PUNO</t>
  </si>
  <si>
    <t>2159149: MEJORAMIENTO DE LAS CAPACIDADES PARA PREVENIR LA DESNUTRICION CRONICA, EN MENORES DE 3 AÑOS EN LAS PROVINCIAS DE CARABAYA, MELGAR Y SANDIA DE LA REGION PUNO</t>
  </si>
  <si>
    <t>2159836: MEJORAMIENTO Y CREACION DEL CAMINO VECINAL SACO-HUANACURI, DISTRITO DE COASA - CARABAYA - PUNO</t>
  </si>
  <si>
    <t>  72.0</t>
  </si>
  <si>
    <t>2163760: MEJORAMIENTO DE LA INFRAESTRUCTURA VIAL TURISTICO, TRAMO PHUTINI - JAYU JAYU, DISTRITO DE ACORA - PUNO - PUNO</t>
  </si>
  <si>
    <t>  91.9</t>
  </si>
  <si>
    <t>2163853: MEJORAMIENTO DEL ESTADIO MUNICIPAL CESAR RAUL CARRERA DEL DISTRITO DE AZANGARO, PROVINCIA DE AZANGARO - PUNO</t>
  </si>
  <si>
    <t>  19.9</t>
  </si>
  <si>
    <t>2183634: MEJORAMIENTO DE LA DEFENSA RIBEREÑA EN LAS MARGENES DERECHA E IZQUIERDA DEL RIO RAMIS EN LOS TRAMOS DE SACASCO, COLLANA, CHACAMARCA, PATASCACHI, YANAOCO, TUNI GRANDE, RAMIS Y BALSAPATA DE LAS PROVINCIAS DE HUANCANE Y AZANGARO - REGION PUNO</t>
  </si>
  <si>
    <t>  53.6</t>
  </si>
  <si>
    <t>2185111: MEJORAMIENTO DE LA CARRETERA (PU 112) PUTINA - MUÑANI, DISTRITOS DE PUTINA Y MUÑANI, PROVINCIAS DE SAN ANTONIO DE PUTINA Y AZANGARO - PUNO</t>
  </si>
  <si>
    <t>2185578: MEJORAMIENTO DE LA CARRETERA DV. DESAGUADERO (EMP PE 36A) - KELLUYO - PISACOMA, PROVINCIA DE CHUCUITO - PUNO</t>
  </si>
  <si>
    <t>2186641: MEJORAMIENTO DEL SERVICIO DEPORTIVO, CULTURAL Y RECREACIONAL EN LA CAPITAL DE LA REGION PUNO</t>
  </si>
  <si>
    <t>  82.3</t>
  </si>
  <si>
    <t>2187217: MEJORAMIENTO DE LA CADENA DE VALOR DE LA FIBRA DE ALPACA EN LA REGION PUNO</t>
  </si>
  <si>
    <t>  91.0</t>
  </si>
  <si>
    <t>2188379: MEJORAMIENTO DEL SERVICIO EDUCATIVO DE LA INSTITUCION EDUCATIVA PRIMARIA N 70605 DOMINGO SAVIO DE JULIACA, DISTRITO DE JULIACA, PROVINCIA DE SAN ROMAN - PUNO</t>
  </si>
  <si>
    <t>2188542: MEJORAMIENTO DE LA CAPACIDAD DE PRESTACION DE SERVICIOS DEPORTIVOS EN EL ESTADIO GUILLERMO BRICEÑO ROSAMEDINA DE LA CIUDAD DE JULIACA, PROVINCIA DE SAN ROMAN - PUNO</t>
  </si>
  <si>
    <t>  21.5</t>
  </si>
  <si>
    <t>2194462: INSTALACION DEL SERVICIO DE EDUCACION SECUNDARIA THOMAS ALVA EDISON EN LA URBANIZACION CHILLA - LOS ROSALES EN EL DISTRITO DE JULIACA, PROVINCIA DE SAN ROMAN.</t>
  </si>
  <si>
    <t>  98.2</t>
  </si>
  <si>
    <t>2194501: INSTALACION DEL SERVICIO EDUCATIVO DE LA INSTITUCION EDUCATIVA SECUNDARIA SANTA MONICA EN EL DISTRITO DE JULIACA, PROVINCIA DE SAN ROMAN - PUNO.</t>
  </si>
  <si>
    <t>2194504: INSTALACION DEL SERVICIO EDUCATIVO DEL NIVEL SECUNDARIO EN LA I.E.S. RODOLFO DIESEL, DISTRITO DE JULIACA, PROVINCIA SAN ROMAN - PUNO.</t>
  </si>
  <si>
    <t>2194702: MEJORAMIENTO DE LA CARRETERA (PU 675) POMATA - YOROHOCO, PROVINCIA DE CHUCUITO - PUNO</t>
  </si>
  <si>
    <t>  84.1</t>
  </si>
  <si>
    <t>2194989: MEJORAMIENTO DE LOS SERVICIOS EDUCATIVOS EN LA INSTITUCION EDUCATIVA SECUNDARIA DANTE NAVA DEL CENTRO POBLADO SANTA CRUZ DE PUNA AYLLU, DISTRITO DE PATAMBUCO, PROVINCIA DE SANDIA, REGION PUNO</t>
  </si>
  <si>
    <t>2195487: MEJORAMIENTO DEL CAMINO VECINAL (EMP. PE 3S) HUAQUINA ZAPIJICANE - PTO JULI - CHUCASUYO DEL DISTRITO DE JULI - PROVINCIA DE CHUCUITO - DEPARTAMENTO DE PUNO</t>
  </si>
  <si>
    <t>  89.5</t>
  </si>
  <si>
    <t>2196822: INSTALACION DEL SERVICIO DE EDUCACION INICIAL DE LA I.E.I. NRO. 94 DEL CENTRO POBLADO DE UMUCHI, DISTRITO DE MOHO, PROVINCIA DE MOHO, DEPARTAMENTO DE PUNO.</t>
  </si>
  <si>
    <t>  55.0</t>
  </si>
  <si>
    <t>2196834: MEJORAMIENTO DE LOS SERVICIOS DE EDUCACION INICIAL EN LA I.E.I. CUCURAYA DE LA COMUNIDAD DE CUCURAYA, DISTRITO DE TILALI, PROVINCIA DE MOHO - PUNO.</t>
  </si>
  <si>
    <t>2196857: INSTALACION DEL SERVICIO EDUCATIVO EN LA INSTITUCION EDUCATIVA INICIAL N 986 SAN JUAN BAUTISTA DEL DISTRITO DE JULIACA, PROVINCIA DE SAN ROMAN - PUNO</t>
  </si>
  <si>
    <t>2196865: MEJORAMIENTO DEL SERVICIO EDUCATIVO DE NIVEL INICIAL ESCOLARIZADO EN LA I.E.I. LLUNGO, DISTRITO DE ATUNCOLLA, PROVINCIA DE PUNO - PUNO.</t>
  </si>
  <si>
    <t>  59.5</t>
  </si>
  <si>
    <t>2227389: AMPLIACION Y MEJORAMIENTO DE LA CAPACIDAD RESOLUTIVA DEL HOSPITAL DE APOYO SAN MARTIN DE PORRES DE MACUSANI, PROVINCIA DE CARABAYA - PUNO</t>
  </si>
  <si>
    <t>  99.4</t>
  </si>
  <si>
    <t>2230619: MEJORAMIENTO DE LA PRODUCCION Y PRODUCTIVIDAD DE LAS MYPE DE LAS PRINCIPALES LINEAS DE PRODUCCION EN LAS PROVINCIAS DE PUNO, SAN ROMAN Y EL COLLAO DE LA REGION PUNO</t>
  </si>
  <si>
    <t>  58.6</t>
  </si>
  <si>
    <t>2230752: MEJORAMIENTO DE LOS SERVICIOS ASISTENCIALES DE LA ALDEA INFANTIL VIRGEN DE LA CANDELARIA EN EL BARRIO LA RINCONADA DEL CENTRO POBLADO DE SALCEDO, DISTRITO DE PUNO, PROVINCIA DE PUNO, REGION DE PUNO</t>
  </si>
  <si>
    <t>  96.9</t>
  </si>
  <si>
    <t>2231037: MEJORAMIENTO DE LOS SERVICIOS EDUCATIVOS EN LA I.E.I. N 596 MUNAYPATA DEL CENTRO POBLADO DE MUNAYPATA, DISTRITO DE OLLACHEA PROVINCIA DE CARABAYA PUNO</t>
  </si>
  <si>
    <t>  90.0</t>
  </si>
  <si>
    <t>2232371: MEJORAMIENTO Y CONSTRUCCION DE LA CARRETERA PICHACANI - YURACMAYO DISTRITO DE PICHACANI Y SAN ANTONIO, PROVINCIA DE PUNO - PUNO</t>
  </si>
  <si>
    <t>2250307: INSTALACION DEL SERVICIO EDUCATIVO ESCOLARIZADO DEL NIVEL INICIAL DE 3 A 5 AÑOS EN LA I.E.I. PICHACANI QUIRINI, DISTRITO DE MACARI, PROVINCIA MELGAR PUNO</t>
  </si>
  <si>
    <t>2250382: INSTALACION DE LOS SERVICIOS DE EDUCACION INICIAL EN LA I.E.I. CHIA, DEL C.P. DE CHIA, DEL DISTRITO DE OLLACHEA - PROVINCIA CARABAYA - REGION PUNO</t>
  </si>
  <si>
    <t>  48.0</t>
  </si>
  <si>
    <t>2250396: INSTALACION DEL SERVICIO EDUCATIVO DEL NIVEL INICIAL ESCOLARIZADO CICLO II EN LA I.E.I N 707 DEL CENTRO POBLADO DE JACHOCCO HUARACO, DISTRITO ILAVE, PROVINCIA DE EL COLLAO - DEPARTAMENTO PUNO.</t>
  </si>
  <si>
    <t>  76.4</t>
  </si>
  <si>
    <t>2250460: INSTALACION DEL SERVICIO EDUCATIVO DE LA INSTITUCION EDUCATIVA INICIAL CICLO II NUEVA ESPERANZA, DISTRITO DE MACARI, PROVINCIA DE MELGAR - PUNO</t>
  </si>
  <si>
    <t>2250970: MEJORAMIENTO DEL SERVICIO DE CONSERVACION DE LA DIVERSIDAD BIOLOGICA EN SELVA VERDE, SAN GABAN, PUNTA PERDIDA, COTACUCHO, PUNO, JUCUMARINI, CUSHINI, RIO CONDOR, RIO TAVARA, Y PACO PACUNI, DISTRITOS DE AYAPATA, SAN GABAN, SANTA ROSA, VILQUE CHICO-PUNO</t>
  </si>
  <si>
    <t>  43.7</t>
  </si>
  <si>
    <t>2251136: MEJORAMIENTO DE LA CAPACIDAD RESOLUTIVA DEL HOSPITAL LUCIO ALDAZABAL PAUCA DE REDES HUANCANE, PROVINCIA DE HUANCANE - REGION PUNO</t>
  </si>
  <si>
    <t>  52.9</t>
  </si>
  <si>
    <t>2260735: MEJORAMIENTO DE LA GESTION INTEGRADA DE LOS RECURSOS HIDRICOS EN CUENCAS DE LA REGION PUNO</t>
  </si>
  <si>
    <t>  17.8</t>
  </si>
  <si>
    <t>2278822: MEJORAMIENTO DE LOS SERVICIOS DE SALUD DEL HOSPITAL RAFAEL ORTIZ RAVINES DE JULI, PROVINCIA DE CHUCUITO - REGION PUNO</t>
  </si>
  <si>
    <t>  25.7</t>
  </si>
  <si>
    <t>2279375: MEJORAMIENTO DE LOS SERVICIOS DE SALUD DEL HOSPITAL DE APOYO ILAVE, PROVINCIA DE EL COLLAO - REGION PUNO</t>
  </si>
  <si>
    <t>  0.5</t>
  </si>
  <si>
    <t>2284935: MEJORAMIENTO DEL SERVICIO EDUCATIVO EN LA IES POLITECNICO REGIONAL LOS ANDES, DISTRITO DE JULIACA, PROVINCIA DE SAN ROMAN - PUNO</t>
  </si>
  <si>
    <t>  69.2</t>
  </si>
  <si>
    <t>2287700: MEJORAMIENTO DE LA CARRETERA PU N-110: EMP. PE-34I ASIRUNI - ROSASPATA - HUAYRAPATA - EMP. PE-34I NINANTAYA, DISTRITOS DE VILQUECHICO-ROSASPATA-MOHO-HUAYRAPATA, PROVINCIA DE HUANCANE Y MOHO - PUNO</t>
  </si>
  <si>
    <t>  54.7</t>
  </si>
  <si>
    <t>2289661: MEJORAMIENTO DE LOS SERVICIOS EDUCATIVOS EN LA I.E.S. DOS DE MAYO DE CARACOTO, DISTRITO DE CARACOTO - SAN ROMAN - PUNO</t>
  </si>
  <si>
    <t>  90.7</t>
  </si>
  <si>
    <t>2290342: MEJORAMIENTO DE LA CAPACIDAD RESOLUTIVA DE LOS SERVICIOS DEL PUESTO DE SALUD I - 1 DEL CENTRO POBLADO DE CARI CARI DEL DISTRITO DE MAÑAZO - PROVINCIA DE PUNO - DEPARTAMENTO DE PUNO</t>
  </si>
  <si>
    <t>  67.6</t>
  </si>
  <si>
    <t>2292669: MEJORAMIENTO Y AMPLIACION DEL SERVICIO DEPORTIVO DEL ESTADIO MUNICIPAL DE LA LOCALIDAD DE AYAVIRI DEL DISTRITO DE AYAVIRI - PROVINCIA DE MELGAR - DEPARTAMENTO DE PUNO</t>
  </si>
  <si>
    <t>  63.3</t>
  </si>
  <si>
    <t>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</si>
  <si>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  47.6</t>
  </si>
  <si>
    <t>2301117: MEJORAMIENTO DEL SERVICIO EDUCATIVO EN LAS INSTITUCIONES EDUCATIVAS PRIMARIAS N 70511, N 70815 Y N 72637, DISTRITO DE ORURILLO - MELGAR - PUNO</t>
  </si>
  <si>
    <t>  78.7</t>
  </si>
  <si>
    <t>2308220: MEJORAMIENTO DE LA CAPACIDAD RESOLUTIVA DEL PUESTO DE SALUD DE AYMAÑA DEL CENTRO POBLADO DE AYMAÑA DEL DISTRITO DE CORANI - PROVINCIA DE CARABAYA - DEPARTAMENTO DE PUNO</t>
  </si>
  <si>
    <t>  70.7</t>
  </si>
  <si>
    <t>2313145: MEJORAMIENTO DEL MANEJO SOSTENIBLE DE VICUÑAS EN ZONAS ALTOANDINAS DE LA REGION PUNO</t>
  </si>
  <si>
    <t>2316291: MEJORAMIENTO Y AMPLIACION DEL CIRCUITO VIAL ECO TURISTICO, CAPACHICA - SIALE - CCOTOS - PARAMIS, DISTRITOS DE CAPACHICA, AMANTANI, PROVINCIA DE PUNO - PUNO</t>
  </si>
  <si>
    <t>2318520: MEJORAMIENTO DE LA CAPACIDAD AGROPRODUCTIVA DE GRANOS ANDINOS ORGANICOS DE QUINUA, CAÑIHUA, HABA Y TARWI EN LA REGION PUNO</t>
  </si>
  <si>
    <t>2321290: MEJORAMIENTO DE LOS SERVICIOS DE TRANSITABILIDAD DE LA VIA VECINAL PU-595: DV. PAMPA BLANCA - RINCONADA - CERRO LUNAR, DISTRITO DE ANANEA, PROVINCIA DE SAN ANTONIO DE PUTINA - PUNO</t>
  </si>
  <si>
    <t>  8.9</t>
  </si>
  <si>
    <t>2323700: MEJORAMIENTO DEL SERVICIO EDUCATIVO DE LAS CARRERAS DE PRODUCCION, AUTOMOTRIZ, MINERIA, CONTABILIDAD, COMPUTACION, SECRETARIADO, ENFERMERIA, LABORATORIO CLINICO Y PROTESIS DENTAL DEL IST MANUEL NUÑEZ BUTRON, JULIACA, SAN ROMAN - PUNO</t>
  </si>
  <si>
    <t>  72.2</t>
  </si>
  <si>
    <t>2324613: MEJORAMIENTO DE LAS CAPACIDADES TECNOLOGICAS EN EL MANEJO DE CADENA PRODUCTIVA DE TRUCHA EN LA REGION PUNO</t>
  </si>
  <si>
    <t>  94.1</t>
  </si>
  <si>
    <t>2325694: MEJORAMIENTO DE LA TECNIFICACION DE PROCESOS PARA LA CADENA PRODUCTIVA DE LA LECHE EN LA REGION PUNO</t>
  </si>
  <si>
    <t>2326588: MEJORAMIENTO DE LOS SERVICIOS DE APOYO A LA CADENA PRODUCTIVA DE CAFES ESPECIALES EN LOS DISTRITOS DE COASA, ITUATA, OLLACHEA, USICAYOS, LIMBANI, PATAMBUCO Y PHARA DE LAS PROVINCIAS DE CARABAYA Y SANDIA - REGION PUNO</t>
  </si>
  <si>
    <t>  39.5</t>
  </si>
  <si>
    <t>2335880: MEJORAMIENTO DEL SERVICIO EDUCATIVO DE LAS CARRERAS DE CONTABILIDAD, ENFERMERIA TECNICA, COMPUTACION E INFORMATICA, INDUSTRIA ALIMENTARIA Y PRODUCCION AGROPECUARIA DEL ISEPA, PROVINCIA DE MELGAR - PUNO</t>
  </si>
  <si>
    <t>  63.1</t>
  </si>
  <si>
    <t>2336682: RECUPERACION DE LA BIOMASA DEL CARACHI GRIS Y AMARILLO EN ZONAS DE DESOVE DE LA CUENCA DEL LAGO TITICACA DE LA REGION PUNO</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</si>
  <si>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</si>
  <si>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2343199: MEJORAMIENTO DE LA CARRETERA (EMP 34B) AZANGARO - (EMP PU-102) JILA PURINA DE LOS DISTRITO DE AZANGARO - DISTRITO DE TIRAPATA - PROVINCIA DE AZANGARO - REGION PUNO</t>
  </si>
  <si>
    <t>  76.7</t>
  </si>
  <si>
    <t>2343538: CREACION DE LOS SERVICIOS DE PROMOCION DEL COMERCIO EXTERIOR EN LA ZEEDE PUNO - REGION DE PUNO</t>
  </si>
  <si>
    <t>2344253: MEJORAMIENTO DEL SERVICIO EDUCATIVO EN LA I.E.S. JOSE ANTONIO ENCINAS FRANCO, CENTRO POBLADO DE LECHEMAYO DEL DISTRITO DE SAN GABAN - PROVINCIA DE CARABAYA - DEPARTAMENTO DE PUNO</t>
  </si>
  <si>
    <t>  34.5</t>
  </si>
  <si>
    <t>2344324: MEJORAMIENTO DE LOS SERVICIOS EDUCATIVOS DE LA I.E.S. MANUEL GONZALES PRADA, CENTRO POBLADO DE ISANI - DISTRITO DE ZEPITA - PROVINCIA DE CHUCUITO - REGION PUNO</t>
  </si>
  <si>
    <t>  93.6</t>
  </si>
  <si>
    <t>2357089: MEJORAMIENTO DE LOS SERVICIOS DEL CENTRO DE SALUD ESTRATEGICO SIMON BOLIVAR CATEGORIA I-4 RED DE SALUD PUNO, DISTRITO PUNO - PROVINCIA DE PUNO - REGION PUNO DISTRITO DE PUNO - PROVINCIA DE PUNO - DEPARTAMENTO DE PUNO</t>
  </si>
  <si>
    <t>  91.8</t>
  </si>
  <si>
    <t>2357091: MEJORAMIENTO DE LA CAPACIDAD RESOLUTIVA DEL CENTRO DE SALUD COATA I-3 DE LA MICRORED JAE, RED DE SALUD PUNO - DIRESA PUNO, - DISTRITO DE COATA - PROVINCIA DE PUNO - REGION PUNO</t>
  </si>
  <si>
    <t>2357092: MEJORAMIENTO DE LA CAPACIDAD RESOLUTIVA DEL CENTRO DE SALUD COJATA I-4, DE LA MICRO RED COJATA, RED DE SALUD HUANCANE, DIRESA PUNO, DISTRITO DE COJATA - PROVINCIA DE HUANCANE - DEPARTAMENTO DE PUNO</t>
  </si>
  <si>
    <t>  37.6</t>
  </si>
  <si>
    <t>2357322: MEJORAMIENTO SERVICIO EDUCATIVO EN LA IES. 32 MARIANO H. CORNEJO DE LA LOCALIDAD DE JULIACA - DISTRITO DE JULIACA - PROVINCIA DE SAN ROMAN - REGION PUNO</t>
  </si>
  <si>
    <t>  73.5</t>
  </si>
  <si>
    <t>2357330: MEJORAMIENTO DEL SERVICIO EDUCATIVO DE LAS CARRERAS DE PRODUCCION AGROPECUARIA, MECANICA DE PRODUCCION, COMPUTACION E INFORMATICA, ENFERMERIA TECNICA EN EL INSTITUTO SUPERIOR TECNOLOGICO PUBLICO DE HUANCANE DISTRITO DE HUANCANE - PROVINCIA DE HUANCANE - DEPARTAMENTO DE PUNO</t>
  </si>
  <si>
    <t>  49.6</t>
  </si>
  <si>
    <t>2357337: MEJORAMIENTO Y AMPLIACION DEL SERVICIO EDUCATIVO DE LA ESCUELA SUPERIOR DE FORMACION ARTISTICA PUBLICA (ESFAP - PUNO), DISTRITO DE PUNO - PROVINCIA DE PUNO - REGION PUNO</t>
  </si>
  <si>
    <t>2375549: CREACION DE LA INFRAESTRUCTURA DE INTEGRACION VIAL ENTRE SANDIA (CP. QUENEQUE) Y PATAMBUCO (C.P. TIRACA), DISTRITO DE SANDIA Y PATAMBUCO, PROVINCIA DE SANDIA - PUNO</t>
  </si>
  <si>
    <t>  74.4</t>
  </si>
  <si>
    <t>2380088: MEJORAMIENTO Y AMPLIACION DE LOS SERVICIOS DE SALUD DEL HOSPITAL CARLOS CORNEJO ROSELLO VIZCARDO DE LA CIUDAD DE AZANGARO, DISTRITO Y PROVINCIA DE AZANGARO, DEPARTAMENTO DE PUNO</t>
  </si>
  <si>
    <t>2384978: MEJORAMIENTO DE LOS SERVICIOS DE EDUCACION SECUNDARIA EN LA INSTITUCION EDUCATIVA PUBLICA MILITAR INCA MANCO CAPAC , CENTRO POBLADO DE TOTORANI - DISTRITO DE PUNO - PROVINCIA DE PUNO - REGION PUNO</t>
  </si>
  <si>
    <t>  58.7</t>
  </si>
  <si>
    <t>2385051: MEJORAMIENTO DEL SERVICIO EDUCATIVO EN LA I.E.S. SAN JUAN BOSCO DE SALCEDO CON JORNADA ESCOLAR COMPLETA DISTRITO DE PUNO - PROVINCIA DE PUNO - REGION PUNO</t>
  </si>
  <si>
    <t>  35.0</t>
  </si>
  <si>
    <t>2385673: MEJORAMIENTO DEL SERVICIO EDUCATIVO DE LA I.E.S. LAS MERCEDES DE LA CIUDAD DE JULIACA - DISTRITO DE JULIACA - PROVINCIA DE SAN ROMAN - DEPARTAMENTO DE PUNO</t>
  </si>
  <si>
    <t>  67.5</t>
  </si>
  <si>
    <t>2387422: MEJORAMIENTO DE LA CARRETERA TRAMO II (PUENTE CULLCO) - PICHINCUTA - QUELCAHUECO - CORARACA DEL - DISTRITO DE ILAVE - PROVINCIA DE EL COLLAO - DEPARTAMENTO DE PUNO</t>
  </si>
  <si>
    <t>  68.3</t>
  </si>
  <si>
    <t>2393101: MEJORAMIENTO Y AMPLIACION DEL SERVICIO ADMINISTRATIVO DE LA UNIDAD DE GESTION EDUCATIVA LOCAL MELGAR EN EL DISTRITO DE AYAVIRI, PROVINCIA DE MELGAR, REGION PUNO</t>
  </si>
  <si>
    <t>2393398: MEJORAMIENTO DEL SERVICIO EDUCATIVO DE NIVEL SECUNDARIO EN LA I.E. A - 28 PERU BIRF CENTRO POBLADO DE AZANGARO - DISTRITO DE AZANGARO - PROVINCIA DE AZANGARO - REGION PUNO</t>
  </si>
  <si>
    <t>  26.7</t>
  </si>
  <si>
    <t>2399543: MEJORAMIENTO DEL CAMINO VECINAL EMP. R01 (DV. LOANI) - CAMICACHI - EMP. R12 (ROSACANI) DISTRITO DE ILAVE - PROVINCIA DE EL COLLAO - REGION PUNO</t>
  </si>
  <si>
    <t>  99.1</t>
  </si>
  <si>
    <t>2403888: MEJORAMIENTO DE LOS SERVICIOS DE EDUCACION SUPERIOR DEL INSTITUTO DE EDUCACION SUPERIOR TECNOLOGICO PUBLICA DESAGUADERO DEL DISTRITO DE DESAGUADERO - PROVINCIA DE CHUCUITO - DEPARTAMENTO DE PUNO</t>
  </si>
  <si>
    <t>  51.5</t>
  </si>
  <si>
    <t>2411317: MEJORAMIENTO DE LOS SERVICIOS PUBLICOS DEL GOBIERNO REGIONAL PUNO - SEDE CENTRAL, DEL DISTRITO DE PUNO - PROVINCIA DE PUNO - DEPARTAMENTO DE PUNO</t>
  </si>
  <si>
    <t>2411335: MEJORAMIENTO DEL SERVICIO EDUCATIVO EN LA I.E.S. SAN SALVADOR, - DISTRITO DE PUNO - PROVINCIA DE PUNO - DEPARTAMENTO DE PUNO</t>
  </si>
  <si>
    <t>2411336: MEJORAMIENTO SERVICIO INTEGRAL DE LA INSTITUCION EDUCATIVA SECUNDARIA INDUSTRIAL PERU BIRF DISTRITO DE SAN MIGUEL - PROVINCIA DE SAN ROMAN - DEPARTAMENTO DE PUNO</t>
  </si>
  <si>
    <t>  71.0</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</si>
  <si>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</si>
  <si>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  66.4</t>
  </si>
  <si>
    <t>2427364: MEJORAMIENTO DE LOS SERVICIOS DE SALUD DEL HOSPITAL ANTONIO BARRIONUEVO DISTRITO DE LAMPA - PROVINCIA DE LAMPA - DEPARTAMENTO DE PUNO</t>
  </si>
  <si>
    <t>  0.6</t>
  </si>
  <si>
    <t>2429723: MEJORAMIENTO Y AMPLIACION DEL SERVICIO DE AGUA PARA EL SISTEMA DE RIEGO PRESURIZADO EN LA MICROCUENCA YANAMAYO DEL DISTRITO DE AZANGARO - PROVINCIA DE AZANGARO - DEPARTAMENTO DE PUNO</t>
  </si>
  <si>
    <t>  97.8</t>
  </si>
  <si>
    <t>2435272: MEJORAMIENTO Y AMPLIACION DE LOS SERVICIOS DE SALUD DEL CENTRO DE SALUD LA REVOLUCION (NIVEL I-4) DISTRITO DE SAN MIGUEL - PROVINCIA DE SAN ROMAN - DEPARTAMENTO DE PUNO</t>
  </si>
  <si>
    <t>  90.1</t>
  </si>
  <si>
    <t>2436247: MEJORAMIENTO DEL CAMINO VECINAL RUTA PU-713, EMP. PE 3S (AYAVIRI - DESV. CALUYO - TINAJANI - L. PROV. LAMPA), DISTRITO DE AYAVIRI - PROVINCIA DE MELGAR - DEPARTAMENTO DE PUNO</t>
  </si>
  <si>
    <t>  31.8</t>
  </si>
  <si>
    <t>2440946: MEJORAMIENTO DEL SERVICIO DE TRANSITABILIDAD VEHICULAR DE LA CARRETERA TRAMO ACHAYA (PU-140) - ESTRELLA (EMP. PE- 3S) DEL DISTRITO DE ACHAYA - PROVINCIA DE AZANGARO - DEPARTAMENTO DE PUNO</t>
  </si>
  <si>
    <t>  100.0</t>
  </si>
  <si>
    <t>2443679: MEJORAMIENTO DEL SERVICIO DE TRANSITABILIDAD VEHICULAR DE LA CARRETERA TRAMO I: EMP- 34L (COJATA) - HUANCASAYA, TRAMO II: HUANCASAYA - TARUCANI-EMP-PU-115 (INCHUPALLA), DEL DISTRITO DE COJATA - PROVINCIA DE HUANCANE - DEPARTAMENTO DE PUNO</t>
  </si>
  <si>
    <t>2447465: MEJORAMIENTO DE LA INFRAESTRUCTURA VIAL EN LA AV. SACSAYHUAMAN TRAMO (JR. MIRAFLORES - AV. AVIACION), JR. AMANECER TRAMO (AV. INDEPENDENCIA - JR. MIRAFLORES) DE LA CIUDAD DE JULIACA, DISTRITO DE JULIACA - PROVINCIA DE SAN ROMAN - DEPARTAMENTO DE PUNO</t>
  </si>
  <si>
    <t>2450812: MEJORAMIENTO DE LOS SERVICIOS DE SALUD DEL CENTRO DE SALUD ZEPITA, MICRO RED ZEPITA, RED DE SALUD CHUCUITO, DEL DISTRITO DE ZEPITA - PROVINCIA DE CHUCUITO - DEPARTAMENTO DE PUNO</t>
  </si>
  <si>
    <t>  50.7</t>
  </si>
  <si>
    <t>2451529: MEJORAMIENTO DEL SERVICIO DE SALUD EN EL CENTRO DE SALUD PILCUYO DE LA MICRORED PILCUYO, RED DE SALUD EL COLLAO, DEL DISTRITO DE PILCUYO - PROVINCIA DE EL COLLAO - DEPARTAMENTO DE PUNO</t>
  </si>
  <si>
    <t>2453224: MEJORAMIENTO DE LOS SERVICIOS DE EDUCACION SECUNDARIA DE LA INSTITUCION EDUCATIVA LIBERTADOR JOSE DE SAN MARTIN DE HUARISANI DEL DISTRITO DE HUANCANE - PROVINCIA DE HUANCANE - DEPARTAMENTO DE PUNO</t>
  </si>
  <si>
    <t>  64.3</t>
  </si>
  <si>
    <t>2454391: AMPLIACION DEL SERVICIO DE AGUA PARA RIEGO MEDIANTE LA CONSTRUCCION DE LA REPRESA SAPANCCOTA DEL DISTRITO DE PUCARA - PROVINCIA DE LAMPA - DEPARTAMENTO DE PUNO</t>
  </si>
  <si>
    <t>  81.5</t>
  </si>
  <si>
    <t>2456529: MEJORAMIENTO DE LA CARRETERA PU 147, EMP. PE-34I JIPATA - EMP. PE-34I MOHO, DISTRITO DE MOHO - PROVINCIA DE MOHO - DEPARTAMENTO DE PUNO</t>
  </si>
  <si>
    <t>  52.1</t>
  </si>
  <si>
    <t>2462296: CREACION DEL SERVICIO DE TRANSITABILIDAD A TRAVES DE LA INSTALACION DE PUENTES PEATONALES EN LAS PROVINCIAS DE CARABAYA Y SANDIA DEL DEPARTAMENTO DE PUNO</t>
  </si>
  <si>
    <t>2467893: MEJORAMIENTO DEL SERVICIO EDUCATIVO DEL NIVEL SECUNDARIA DE LA I.E.S. TARACO DEL DISTRITO DE TARACO - PROVINCIA DE HUANCANE - DEPARTAMENTO DE PUNO</t>
  </si>
  <si>
    <t>  94.7</t>
  </si>
  <si>
    <t>2470024: MEJORAMIENTO DEL SERVICIO DE TRANSITABILIDAD VEHICULAR A TRAVES DE PUENTES CARROZABLES EN LAS PROVINCIAS DE CARABAYA Y SANDIA DEL DEPARTAMENTO DE PUNO</t>
  </si>
  <si>
    <t>2470517: MEJORAMIENTO DE LOS SERVICIOS DE SALUD DEL CENTRO DE SALUD COPANI DE LA MICRO RED COPANI, RED DE SALUD YUNGUYO, DISTRITO DE COPANI - PROVINCIA DE YUNGUYO - DEPARTAMENTO DE PUNO</t>
  </si>
  <si>
    <t>2470845: MEJORAMIENTO Y AMPLIACION DEL SERVICIO DE AGUA PARA RIEGO TECNIFICADO EN LAS COMUNIDADES DE SAN JUAN DE TAHUACO Y MACHACMARCA DEL DISTRITO DE YUNGUYO - PROVINCIA DE YUNGUYO - DEPARTAMENTO DE PUNO</t>
  </si>
  <si>
    <t>2470873: MEJORAMIENTO DE CAPACIDADES PARA EL DESARROLLO INTEGRAL DE LOS CULTIVOS DE FRUTALES EN LA SELVA DE LAS PROVINCIAS DE SANDIA Y CARABAYA DEL DEPARTAMENTO DE PUNO</t>
  </si>
  <si>
    <t>  83.8</t>
  </si>
  <si>
    <t>2474102: MEJORAMIENTO DEL SERVICIO DE PROTECCION FRENTE A TORMENTAS ELECTRICAS EN 4 PROVINCIAS DEL DEPARTAMENTO DE PUNO</t>
  </si>
  <si>
    <t>  1.5</t>
  </si>
  <si>
    <t>2475053: MEJORAMIENTO DEL SERVICIO DE MOVILIDAD URBANA DE LA AV. ANDRES AVELINO CACERES (TRAMO: AV. TUPAC YUPANQUI - AV. AVIACION), AV. LOS GERANIOS DEL DISTRITO DE JULIACA - PROVINCIA DE SAN ROMAN - DEPARTAMENTO DE PUNO</t>
  </si>
  <si>
    <t>2476464: MEJORAMIENTO Y AMPLIACION DE LOS SERVICIOS DE SALUD DEL CENTRO DE SALUD KELLUYO DEL DISTRITO DE KELLUYO - PROVINCIA DE CHUCUITO - DEPARTAMENTO DE PUNO</t>
  </si>
  <si>
    <t>2477014: CREACION DEL SERVICIO DE AGUA PARA RIEGO TECNIFICADO EN LAS COMUNIDADES DE IPARO, ARICATO, QUENEQUE, MORORIA, CCAPUNA Y APABUCO DEL DISTRITO DE SANDIA - PROVINCIA DE SANDIA - DEPARTAMENTO DE PUNO</t>
  </si>
  <si>
    <t>  93.4</t>
  </si>
  <si>
    <t>2479852: MEJORAMIENTO DE LA TRANSFERENCIA TECNOLOGICA EN LA PRODUCCION Y VALOR AGREGADO DE LA CADENA PRODUCTIVA DE VACUNOS DE CARNE EN LA REGION PUNO 9 PROVINCIAS DEL DEPARTAMENTO DE PUNO</t>
  </si>
  <si>
    <t>  95.7</t>
  </si>
  <si>
    <t>2480499: MEJORAMIENTO DE LA CARRETERA PU 146; EMP PE - 34 I (HUANCANE) - HUERTAPATA - VISCACHANI - QUELLAHUYO - EMP PE - 34 (CACUÑA), DISTRITO DE HUANCANE - PROVINCIA DE HUANCANE - DEPARTAMENTO DE PUNO</t>
  </si>
  <si>
    <t>2488048: CREACION DEL SERVICIO DE ANALISIS DE BIOLOGIA MOLECULAR DE DIAGNOSTICO COVID-19 EN EL LABORATORIO DE REFERENCIA REGIONAL DE LA DIRESA PUNO, DISTRITO DE PUNO - PROVINCIA DE PUNO - DEPARTAMENTO DE PUNO</t>
  </si>
  <si>
    <t>2490075: MEJORAMIENTO DEL SERVICIO EDUCATIVO DEL NIVEL SECUNDARIA DE LA I.E. AGROPECUARIO SAN JUAN DEL ORO EN EL DISTRITO DE SAN JUAN DEL ORO - PROVINCIA DE SANDIA - DEPARTAMENTO DE PUNO</t>
  </si>
  <si>
    <t>  82.1</t>
  </si>
  <si>
    <t>2490087: MEJORAMIENTO Y AMPLIACION DE LOS SERVICIOS DE SALUD DEL ESTABLECIMIENTO DE SALUD NIVEL I- 4 DE LA LOCALIDAD DE TARACO, DISTRITO DE TARACO - PROVINCIA DE HUANCANE - DEPARTAMENTO DE PUNO</t>
  </si>
  <si>
    <t>  43.8</t>
  </si>
  <si>
    <t>2490131: MEJORAMIENTO DEL SERVICIO DE EDUCACION SECUNDARIA DE LA IES CABANILLAS, DISTRITO DE CABANILLAS - PROVINCIA DE SAN ROMAN - DEPARTAMENTO DE PUNO</t>
  </si>
  <si>
    <t>  68.8</t>
  </si>
  <si>
    <t>2492442: MEJORAMIENTO Y AMPLIACION DE LOS SERVICIOS DE AGUA POTABLE Y ALCANTARILLADO SANITARIO EN LA LOCALIDAD DE CARACOTO DEL DISTRITO DE CARACOTO - PROVINCIA DE SAN ROMAN - DEPARTAMENTO DE PUNO</t>
  </si>
  <si>
    <t>2492963: MEJORAMIENTO DE LOS SERVICIO EDUCATIVOS EN LA INSTITUCION EDUCATIVA INICIAL N° 68 DE LA LOCALIDAD DE AYAVIRI DEL DISTRITO DE AYAVIRI - PROVINCIA DE MELGAR - DEPARTAMENTO DE PUNO</t>
  </si>
  <si>
    <t>  79.1</t>
  </si>
  <si>
    <t>2494039: MEJORAMIENTO Y AMPLIACION DE LOS SERVICIOS DE SALUD EN EL ESTABLECIMIENTO DE SALUD UMACHIRI CATEGORIA I-2 DEL DISTRITO DE UMACHIRI - PROVINCIA DE MELGAR - DEPARTAMENTO DE PUNO</t>
  </si>
  <si>
    <t>  55.2</t>
  </si>
  <si>
    <t>2500458: MEJORAMIENTO DEL SERVICIO EDUCATIVO EN LA IEP N° 70477 SAGRADO CORAZON DE JESUS DEL DISTRITO DE AYAVIRI - PROVINCIA DE MELGAR - DEPARTAMENTO DE PUNO</t>
  </si>
  <si>
    <t>  56.2</t>
  </si>
  <si>
    <t>2501244: MEJORAMIENTO DEL SERVICIO EDUCATIVO DEL NIVEL SECUNDARIA DE LA I.E. AGROPECUARIO PAMPA YANAMAYO DEL DISTRITO DE ALTO INAMBARI - PROVINCIA DE SANDIA - DEPARTAMENTO DE PUNO</t>
  </si>
  <si>
    <t>2504553: MEJORAMIENTO DEL SERVICIO DE SALUD EN EL CENTRO DE SALUD YANAPATA DE LA MICRO RED COPANI, RED DE SALUD YUNGUYO, DISTRITO DE YUNGUYO - PROVINCIA DE YUNGUYO - DEPARTAMENTO DE PUNO</t>
  </si>
  <si>
    <t>  54.3</t>
  </si>
  <si>
    <t>2506927: MEJORAMIENTO DE LOS SERVICIOS DE EDUCACION SUPERIOR TECNOLOGICA DEL IESTP JOSE ANTONIO ENCINAS, DISTRITO DE PUNO - PROVINCIA DE PUNO - DEPARTAMENTO DE PUNO</t>
  </si>
  <si>
    <t>2511009: MEJORAMIENTO DEL SERVICIO VIAL URBANO DE LA AVENIDA INDUSTRIAL DEL CENTRO POBLADO DE SALCEDO, DISTRITO DE PUNO - PROVINCIA DE PUNO - DEPARTAMENTO DE PUNO</t>
  </si>
  <si>
    <t>  0.8</t>
  </si>
  <si>
    <t>2511053: MEJORAMIENTO DE CAPACIDADES PRODUCTIVAS PARA PROMOVER LA SEGURIDAD ALIMENTARIA EN LA REACTIVACION ECONOMICA DE LAS 13 PROVINCIAS DEL DEPARTAMENTO DE PUNO</t>
  </si>
  <si>
    <t>2514428: CREACION DEL SERVICIO DE INTERCONEXION DE MOVILIDAD URBANA EN LA VIA TRONCAL DEL PUENTE YARAJA DISTRITO DE AZANGARO - PROVINCIA DE AZANGARO - DEPARTAMENTO DE PUNO</t>
  </si>
  <si>
    <t>  46.3</t>
  </si>
  <si>
    <t>2515272: RECUPERACION DEL PUENTE COLGANTE PEATONAL SOBRE EL RIO INAMBARI EN LA LOCALIDAD SANTA ROSA YANAMAYO DEL DISTRITO DE ALTO INAMBARI - PROVINCIA DE SANDIA - DEPARTAMENTO DE PUNO</t>
  </si>
  <si>
    <t>  38.0</t>
  </si>
  <si>
    <t>2517448: MEJORAMIENTO DEL SERVICIO DE SALUD EN EL CENTRO DE SALUD SAN GABAN, DISTRITO DE SAN GABAN - PROVINCIA DE CARABAYA - DEPARTAMENTO DE PUNO</t>
  </si>
  <si>
    <t>2518131: AMPLIACION Y MEJORAMIENTO DE LOS SERVICIOS DE ADMINISTRACION DE JUSTICIA DE LOS ORGANOS JURISDICCIONALES DE LA SEDE CENTRAL DEL DISTRITO JUDICIAL DE PUNO, DISTRITO DE PUNO - PROVINCIA DE PUNO - DEPARTAMENTO DE PUNO</t>
  </si>
  <si>
    <t>2519621: CREACION DEL SERVICIO DE TRANSITABILIDAD VEHICULAR Y PEATONAL EN EL JR. 7 DE JUNIO Y JR. BOLOGNESI CUADRA 10 DE LA LOCALIDAD DE YUNGUYO DEL DISTRITO DE YUNGUYO - PROVINCIA DE YUNGUYO - DEPARTAMENTO DE PUNO</t>
  </si>
  <si>
    <t>  78.9</t>
  </si>
  <si>
    <t>2520451: CREACION DEL SERVICIO DE PROTECCION EN RIBERAS DEL RIO QUELLOMAYO MARGEN DERECHO VULNERABLES ANTE EL PELIGRO DE INUNDACION EN LA LOCALIDAD DE SAN GABAN, DEL DISTRITO DE SAN GABAN - PROVINCIA DE CARABAYA - DEPARTAMENTO DE PUNO</t>
  </si>
  <si>
    <t>  53.5</t>
  </si>
  <si>
    <t>2521936: MEJORAMIENTO Y AMPLIACION DEL SERVICIO DE EDUCACION SUPERIOR TECNOLOGICA EN EL INSTITUTO SUPERIOR TECNOLOGICO PUBLICO DE MACUSANI DISTRITO DE MACUSANI - PROVINCIA DE CARABAYA - DEPARTAMENTO DE PUNO</t>
  </si>
  <si>
    <t>  57.1</t>
  </si>
  <si>
    <t>2525250: MEJORAMIENTO Y AMPLIACION DEL SERVICIO EDUCATIVO DEL NIVEL PRIMARIA DE LA I.E. Nº 70316 SAGRADO CORAZON DE JESUS DISTRITO DE ILAVE - PROVINCIA DE EL COLLAO - DEPARTAMENTO DE PUNO</t>
  </si>
  <si>
    <t>2526527: MEJORAMIENTO DE LAS CAPACIDADES PARA LA PRODUCTIVIDAD Y LA COMPETITIVIDAD DE ARTESANIAS EN 13 PROVINCIAS DEL DEPARTAMENTO DE PUNO</t>
  </si>
  <si>
    <t>2527184: MEJORAMIENTO DEL SERVICIO DE TRANSITABILIDAD VIAL DEL CAMINO VECINAL TRAMO VILLA PAXA A VENTILLA (PU- 1065) DEL DISTRITO DE PUNO - PROVINCIA DE PUNO - DEPARTAMENTO DE PUNO</t>
  </si>
  <si>
    <t>  92.7</t>
  </si>
  <si>
    <t>2527207: RECUPERACION DEL PUENTE COLONIAL DE LAMPA, DISTRITO DE LAMPA - PROVINCIA DE LAMPA - DEPARTAMENTO DE PUNO</t>
  </si>
  <si>
    <t>  37.9</t>
  </si>
  <si>
    <t>2531093: ADQUISICION DE INCUBADORA NEONATAL Y CUNA DE CALOR RADIANTE; EN EL(LA) EESS YUNGUYO - YUNGUYO EN LA LOCALIDAD YUNGUYO, DISTRITO DE YUNGUYO, PROVINCIA YUNGUYO, DEPARTAMENTO PUNO</t>
  </si>
  <si>
    <t>  96.0</t>
  </si>
  <si>
    <t>2532916: CREACION DEL SERVICIO DE PROTECCION EN RIBERAS DEL RIO LORIPONGO Y MOLLA AMBOS MARGENES VULNERABLES ANTE EL PELIGRO DE INUNDACION EN LA LOCALIDAD DE LARAQUERI Y CENTRO POBLADO DE HUARIJUYO DEL DISTRITO DE PICHACANI - PROVINCIA DE PUNO - DEPARTAMENTO DE PUNO</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</si>
  <si>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</si>
  <si>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2535611: MEJORAMIENTO Y AMPLIACION DEL SERVICIO DE EDUCACION SUPERIOR TECNOLOGICO PUBLICO EN EL INSTITUTO ANDRES AVELINO CACERES DISTRITO DE PUTINA - PROVINCIA DE SAN ANTONIO DE PUTINA - DEPARTAMENTO DE PUNO</t>
  </si>
  <si>
    <t>  57.9</t>
  </si>
  <si>
    <t>2538654: MEJORAMIENTO DE LA PRESTACION DE SERVICIOS DE INNOVACION Y TRANSFERENCIA TECNOLOGICA PARA EL DESARROLLO COMPETITIVO DE LA PRODUCCION PECUARIA 8 PROVINCIAS DEL DEPARTAMENTO DE PUNO</t>
  </si>
  <si>
    <t>2538950: MEJORAMIENTO DEL SERVICIO EDUCATIVO DEL NIVEL PRIMARIO DE LA I.E. 71008 EN EL DISTRITO DE LAMPA - PROVINCIA DE LAMPA - DEPARTAMENTO DE PUNO</t>
  </si>
  <si>
    <t>  61.8</t>
  </si>
  <si>
    <t>2539673: MEJORAMIENTO Y AMPLIACION DEL SERVICIO DE EDUCACION SUPERIOR TECNOLOGICA EN EL INSTITUTO SUPERIOR TECNOLOGICO PUBLICO DE JULI, DISTRITO DE JULI - PROVINCIA DE CHUCUITO - DEPARTAMENTO DE PUNO</t>
  </si>
  <si>
    <t>2539948: MEJORAMIENTO DEL SERVICIO DE TRANSITABILIDAD VIAL INTERURBANA EN EL CAMINO VECINAL R2106057 - TRAMO DESVIO CHUQUIAGUILLO, CUYURAYA, CHICASCO, ISAÑCUYO, SINTICUYO Y HUANCARANI DEL DISTRITO DE VILQUE CHICO DE LA PROVINCIA DE HUANCANE DEL DEPARTAMENTO DE PUNO</t>
  </si>
  <si>
    <t>  46.0</t>
  </si>
  <si>
    <t>2540745: MEJORAMIENTO Y AMPLIACION DEL SERVICIO DE AGUA PARA LOS SISTEMAS DE RIEGO HUALLATIRI, HUAYRAPATA Y HUARANCA GRANDE DEL DISTRITO DE HUAYRAPATA - PROVINCIA DE MOHO - DEPARTAMENTO DE PUNO</t>
  </si>
  <si>
    <t>  87.4</t>
  </si>
  <si>
    <t>2541758: CREACION DEL SERVICIO DE AGUA PARA RIEGO MEDIANTE SIEMBRA Y COSECHA DE AGUA EN LAS COMUNIDADES DE CAYATTOCCO, CARABAYA, QQUETE Y UPINA DEL DISTRITO DE ITUATA - PROVINCIA DE CARABAYA - DEPARTAMENTO DE PUNO</t>
  </si>
  <si>
    <t>2544369: ADQUISICION DE AMBULANCIA RURAL Y AMBULANCIA RURAL; EN CINCUENTA Y CINCO ESTABLECIMIENTOS DE SALUD I.4, ESTABLECIMIENTOS DE SALUD I.2, ESTABLECIMIENTOS DE SALUD I.3 A NIVEL DEPARTAMENTAL (PUNO)</t>
  </si>
  <si>
    <t>2549395: RECUPERACION DE ECOSISTEMAS DEGRADADOS EN LAS UNIDADES HIDROGRAFICAS: LLALLIMAYO DE LA UH 018 PUCARA Y UH 019 AZANGARO, DE LA CUENCA RAMIS DEL DEPARTAMENTO DE PUNO, REGION PUNO 5 PROVINCIAS DEL DEPARTAMENTO DE PUNO</t>
  </si>
  <si>
    <t>2551456: MEJORAMIENTO DE LOS SERVICIOS DE SALUD DEL CENTRO DE SALUD GUADALUPE, DISTRITO DE JULIACA - PROVINCIA DE SAN ROMAN - DEPARTAMENTO DE PUNO</t>
  </si>
  <si>
    <t>2555837: REPARACION DE CAMPO DEPORTIVO; ADQUISICION DE EQUIPO NO DEPORTIVO PARA INSTALACIONES DEPORTIVAS; EN EL(LA) ESTADIO ENRIQUE TORRES BELON DISTRITO DE PUNO, PROVINCIA PUNO, DEPARTAMENTO PUNO</t>
  </si>
  <si>
    <t>  15.5</t>
  </si>
  <si>
    <t>2557255: MEJORAMIENTO DE CAPACIDADES PARA LA CONSERVACION Y MANEJO DE CAMELIDOS SUDAMERICANOS DOMESTICOS DE LAS RAZAS SURI Y HUACAYA DE COLOR EN ZONAS ALTOANDINAS 6 PROVINCIAS DEL DEPARTAMENTO DE PUNO</t>
  </si>
  <si>
    <t>  74.0</t>
  </si>
  <si>
    <t>2559663: AMPLIACION PARA EL MEJORAMIENTO DE LA PRODUCTIVIDAD DE CARNE Y LANA DE OVINOS 6 PROVINCIAS DEL DEPARTAMENTO DE PUNO</t>
  </si>
  <si>
    <t>  82.2</t>
  </si>
  <si>
    <t>2566295: RECUPERACION DE ECOSISTEMAS DEGRADADOS EN ZONAS ALTO ANDINAS EN CABECERA DE CUENCA DE LAS UH0172, UH0178 Y UH0171 CUENCA SUCHES EN 4 PROVINCIAS DEL DEPARTAMENTO DE PUNO</t>
  </si>
  <si>
    <t>2566500: MEJORAMIENTO Y AMPLIACION DEL SISTEMA DE RIEGO CHAJANA DEL DISTRITO DE ACORA - PROVINCIA DE PUNO - DEPARTAMENTO DE PUNO</t>
  </si>
  <si>
    <t>  72.7</t>
  </si>
  <si>
    <t>2566572: MEJORAMIENTO Y AMPLIACION DE LOS SERVICIOS DE EDUCACION SUPERIOR DEL INSTITUTO SUPERIOR TECNOLOGICO PUBLICO DE NUÑOA DEL DISTRITO DE NUÑOA - PROVINCIA DE MELGAR - DEPARTAMENTO DE PUNO</t>
  </si>
  <si>
    <t>2567368: ADQUISICION DE MAMOGRAFO; EN EL(LA) EESS SAN MARTIN DE P. (MACUSANI) - MACUSANI DISTRITO DE MACUSANI, PROVINCIA CARABAYA, DEPARTAMENTO PUNO</t>
  </si>
  <si>
    <t>2567375: ADQUISICION DE TOMOGRAFO COMPUTARIZADO MULTICORTE; EN EL(LA) EESS SAN MARTIN DE P. (MACUSANI) - MACUSANI DISTRITO DE MACUSANI, PROVINCIA CARABAYA, DEPARTAMENTO PUNO</t>
  </si>
  <si>
    <t>  86.3</t>
  </si>
  <si>
    <t>2570033: MEJORAMIENTO DE LOS SERVICIOS DE EDUCACION SUPERIOR DEL INSTITUTO SUPERIOR TECNOLOGICO PUBLICA MUÑANI DEL DISTRITO DE MUÑANI - PROVINCIA DE AZANGARO - DEPARTAMENTO DE PUNO</t>
  </si>
  <si>
    <t>  38.4</t>
  </si>
  <si>
    <t>2570365: MEJORAMIENTO DEL INSTITUTO DE EDUCACION SUPERIOR TECNOLOGICO PUBLICO SANTA LUCIA DEL DISTRITO DE SANTA LUCIA - PROVINCIA DE LAMPA - DEPARTAMENTO DE PUNO</t>
  </si>
  <si>
    <t>2570369: MEJORAMIENTO DE LOS SERVICIOS DE EDUCACION SUPERIOR DEL INSTITUTO SUPERIOR TECNOLOGICO PUBLICA SAN JUAN DEL ORO DEL DISTRITO DE SAN JUAN DEL ORO - PROVINCIA DE SANDIA - DEPARTAMENTO DE PUNO</t>
  </si>
  <si>
    <t>  22.4</t>
  </si>
  <si>
    <t>2570943: MEJORAMIENTO Y AMPLIACION DE LOS SERVICIOS DE SALUD DEL ESTABLECIMIENTO DE SALUD OLLARAYA, DISTRITO DE OLLARAYA - PROVINCIA DE YUNGUYO - DEPARTAMENTO DE PUNO</t>
  </si>
  <si>
    <t>  69.9</t>
  </si>
  <si>
    <t>2570978: MEJORAMIENTO DE LOS SERVICIOS DE EDUCACION SUPERIOR DEL INSTITUTO SUPERIOR TECNOLOGICO PUBLICA DE CABANILLAS DEL DISTRITO DE CABANILLAS - PROVINCIA DE SAN ROMAN - DEPARTAMENTO DE PUNO</t>
  </si>
  <si>
    <t>  58.8</t>
  </si>
  <si>
    <t>2575299: MEJORAMIENTO DEL SERVICIO DE TRANSITABILIDAD VIAL INTERURBANA EN EL TRAMO TIQUILLACA - CONDORIRI DEL DISTRITO DE TIQUILLACA DE LA PROVINCIA DE PUNO DEL DEPARTAMENTO DE PUNO</t>
  </si>
  <si>
    <t>2578405: MEJORAMIENTO Y AMPLIACION DEL SERVICIO DE ATENCION DE SALUD BASICOS EN CHUPA - CHUPA DISTRITO DE CHUPA DE LA PROVINCIA DE AZANGARO DEL DEPARTAMENTO DE PUNO</t>
  </si>
  <si>
    <t>  85.3</t>
  </si>
  <si>
    <t>2585395: MEJORAMIENTO DEL SERVICIO DE ATENCION DE SALUD BASICOS EN CAPACHICA DISTRITO DE CAPACHICA DE LA PROVINCIA DE PUNO DEL DEPARTAMENTO DE PUNO</t>
  </si>
  <si>
    <t>2585398: CREACION DEL SERVICIO DE TRANSITABILIDAD VIAL INTERURBANA EN EL PUENTE CARROZABLE CAMPUCO ENTRE EL DISTRITO SANTIAGO DE PUPUJA Y ARAPA DEL DISTRITO DE SANTIAGO DE PUPUJA DE LA PROVINCIA DE AZANGARO DEL DEPARTAMENTO DE PUNO</t>
  </si>
  <si>
    <t>  13.8</t>
  </si>
  <si>
    <t>2585540: MEJORAMIENTO DEL SERVICIO DE TRANSITABILIDAD VIAL INTERURBANA EN LA CARRETERA PU-139 (HDA. POTONI) - SAN JOSE, - COLLANA - EMP. PU-111 - PUENTE YARAJA (AZANGARO) DISTRITOS DE POTONI, SAN JOSE DE LA PROVINCIA DE AZANGARO DEL DEPARTAMENTO DE PUNO</t>
  </si>
  <si>
    <t>  49.7</t>
  </si>
  <si>
    <t>2585541: CREACION DEL SERVICIO DE TRANSITABILIDAD VIAL INTERURBANA EN EL PUENTE CARROZABLE SANTA ROSA DE HUAYLLATA ENTRE LOS DISTRITOS DE ILAVE Y PILCUYO DEL DISTRITO DE ILAVE DE LA PROVINCIA DE EL COLLAO DEL DEPARTAMENTO DE PUNO</t>
  </si>
  <si>
    <t>2585543: MEJORAMIENTO Y AMPLIACION DEL SERVICIO DE EDUCACION SUPERIOR TECNOLOGICA EN EL INSTITUTO DE EDUCACION SUPERIOR TECNOLOGICO PUBLICO ACORA DEL DISTRITO DE ACORA DE LA PROVINCIA DE PUNO DEL DEPARTAMENTO DE PUNO</t>
  </si>
  <si>
    <t>  61.5</t>
  </si>
  <si>
    <t>2585923: MEJORAMIENTO DEL SERVICIO DE EDUCACION PRIMARIA EN I.E. 71016 MARIA AUXILIADORA DISTRITO DE JULIACA DE LA PROVINCIA DE SAN ROMAN DEL DEPARTAMENTO DE PUNO</t>
  </si>
  <si>
    <t>  87.1</t>
  </si>
  <si>
    <t>2590087: MEJORAMIENTO DEL SERVICIO DE EDUCACION SECUNDARIA EN I.E. JOSE MARIA ARGUEDAS DISTRITO DE LLALLI DE LA PROVINCIA DE MELGAR DEL DEPARTAMENTO DE PUNO</t>
  </si>
  <si>
    <t>  67.0</t>
  </si>
  <si>
    <t>2591732: MEJORAMIENTO DEL SERVICIO DE TRANSITABILIDAD VIAL INTERURBANA EN EL TRAMO DESAGUADERO (EMP PE-36C) - PUENTE CARANCAS - HUANOCOLLO DEL DISTRITO DE DESAGUADERO DE LA PROVINCIA DE CHUCUITO DEL DEPARTAMENTO DE PUNO</t>
  </si>
  <si>
    <t>2591926: MEJORAMIENTO SERVICIO DE EDUCACION SUPERIOR TECNOLOGICA EN EL INSTITUTO SUPERIOR TECNOLOGICO PUBLICO JOSE DOMINGO CHOQUEHUANCA DEL DISTRITO DE JOSE DOMINGO CHOQUEHUANCA DE LA PROVINCIA DE AZANGARO DEL DEPARTAMENTO DE PUNO</t>
  </si>
  <si>
    <t>  37.4</t>
  </si>
  <si>
    <t>2591951: MEJORAMIENTO DEL SERVICIO DE TRANSITABILIDAD VIAL INTERURBANA EN EL CAMINO VECINAL DEL KM0+000 (DESVIO PUENTE OCRA CHUPA) AL KM 6+373 (C.P. PEDRO VILCAPAZA DE MORORCCO), DISTRITO DE MUÑANI DE LA PROVINCIA DE AZANGARO DEL DEPARTAMENTO DE PUNO</t>
  </si>
  <si>
    <t>  58.5</t>
  </si>
  <si>
    <t>2592407: MEJORAMIENTO DE LOS SERVICIOS OPERATIVOS O MISIONALES INSTITUCIONALES EN LA OFICINA DE EQUIPO MECANICO DEL GOBIERNO REGIONAL PUNO DISTRITO DE PUNO DE LA PROVINCIA DE PUNO DEL DEPARTAMENTO DE PUNO</t>
  </si>
  <si>
    <t>  99.5</t>
  </si>
  <si>
    <t>2593683: REPARACION DE PISTA DE ATLETISMO (COMPETENCIA); ADQUISICION DE TORRE DE ILUMINACION; EN EL(LA) ESTADIO ENRIQUE TORRES BELON DEL DISTRITO DE PUNO, PROVINCIA PUNO, DEPARTAMENTO PUNO</t>
  </si>
  <si>
    <t>2594994: MEJORAMIENTO Y AMPLIACION DEL SERVICIO DE ATENCION DE SALUD BASICOS EN ASILLO DISTRITO DE ASILLO DE LA PROVINCIA DE AZANGARO DEL DEPARTAMENTO DE PUNO</t>
  </si>
  <si>
    <t>  99.6</t>
  </si>
  <si>
    <t>2599489: CONSTRUCCION DE CONSULTORIO; ADQUISICION DE EQUIPOS BIOMEDICOS Y MOBILIARIO CLINICO; EN EL(LA) HOSPITAL SANDIA DISTRITO DE SANDIA, PROVINCIA SANDIA, DEPARTAMENTO PUNO</t>
  </si>
  <si>
    <t>2600443: ADQUISICION DE SISTEMA DE CIRUGIA LAPAROSCOPICA, TOMOGRAFO, MESA DE OPERACIONES HIDRAULICA/ELECTRICA Y LAMPARA QUIRURGICA DE TECHO; ADEMAS DE OTROS ACTIVOS EN EL(LA) YUNGUYO DISTRITO DE YUNGUYO, PROVINCIA YUNGUYO, DEPARTAMENTO PUNO</t>
  </si>
  <si>
    <t>  62.0</t>
  </si>
  <si>
    <t>2602159: MEJORAMIENTO DEL SERVICIO DE TRANSITABILIDAD VIAL INTERURBANA EN PU-138: EMP PE-34 B - PASANOCOLLO, - PUCATILLANA - EMP PU-100 (NUÑOA) DISTRITOS DE ORURILLO, NUÑOA DE LA PROVINCIA DE MELGAR DEL DEPARTAMENTO DE PUNO</t>
  </si>
  <si>
    <t>  83.2</t>
  </si>
  <si>
    <t>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</si>
  <si>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2603148: MEJORAMIENTO DE LOS SERVICIOS DE APOYO AL DESARROLLO PRODUCTIVO EN 19 UNIDADES PRODUCTORAS 19 DISTRITOS DE 7 PROVINCIAS DEL DEPARTAMENTO DE PUNO</t>
  </si>
  <si>
    <t>  25.5</t>
  </si>
  <si>
    <t>2603155: MEJORAMIENTO DE LOS SERVICIOS DE APOYO AL DESARROLLO PRODUCTIVO EN 37 UNIDADES PRODUCTORAS 37 DISTRITOS DE 11 PROVINCIAS DEL DEPARTAMENTO DE PUNO</t>
  </si>
  <si>
    <t>2603160: MEJORAMIENTO DE LOS SERVICIOS DE APOYO AL DESARROLLO PRODUCTIVO EN 4 UNIDADES PRODUCTORAS 4 DISTRITOS DE LAS PROVINCIAS DE SANDIA, CARABAYA DEL DEPARTAMENTO DE PUNO</t>
  </si>
  <si>
    <t>2603161: MEJORAMIENTO DEL SERVICIO DE ATENCION DE SALUD BASICOS EN MAÑAZO DISTRITO DE MAÑAZO DE LA PROVINCIA DE PUNO DEL DEPARTAMENTO DE PUNO</t>
  </si>
  <si>
    <t>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</si>
  <si>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  63.7</t>
  </si>
  <si>
    <t>2603165: MEJORAMIENTO DEL SERVICIO DE TRANSITABILIDAD VIAL INTERURBANA EN LA CARRETERA TRAMO ACHAYA - EMP. PU 113(ARAPA), DE LOS DISTRITOS DE ACHAYA, ARAPA DE LA PROVINCIA DE AZANGARO DEL DEPARTAMENTO DE PUNO</t>
  </si>
  <si>
    <t>2603167: MEJORAMIENTO DEL SERVICIO DE TRANSITABILIDAD VIAL INTERURBANA EN LA CARRETERA PU - 1233 (ILAVE) - ANOKARIRI (EMP. - 1234), ANOKARIRI - SACUYO - SECTOR NUEVA ALIANZA, PU 1103 (SECTOR NUEVA ALIANZA) - EMP. PE 36P (LARAQUERI PICHACANI) DISTRITOS DE ILAVE, ACORA DE LAS PROVINCIAS DE EL COLLAO, PUNO DEL DEPARTAMENTO DE PUNO</t>
  </si>
  <si>
    <t>  60.1</t>
  </si>
  <si>
    <t>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</si>
  <si>
    <t>  14.5</t>
  </si>
  <si>
    <t>2606991: MEJORAMIENTO DEL SERVICIO DE EDUCACION INICIAL EN I.E. 69 DISTRITO DE ANTAUTA DE LA PROVINCIA DE MELGAR DEL DEPARTAMENTO DE PUNO</t>
  </si>
  <si>
    <t>  78.8</t>
  </si>
  <si>
    <t>2607527: MEJORAMIENTO DEL SERVICIO DE TRANSITABILIDAD VIAL INTERURBANA EN LA CARRETERA PU - 985 (EMP. PE - 34A; DV. CHOROMA) - C.C. COARITA, PU - 992 (C.C. COARITA) - PALCA DISTRITOS DE PARATIA, PALCA DE LA PROVINCIA DE LAMPA DEL DEPARTAMENTO DE PUNO</t>
  </si>
  <si>
    <t>  89.9</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</si>
  <si>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</si>
  <si>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2611144: ADQUISICION DE ANALIZADOR DE GASES Y ELECTROLITOS, ASPIRADOR DE SECRECIONES, BOMBA DE INFUSION Y COCHE DE PARO EQUIPADO; ADEMAS DE OTROS ACTIVOS EN EL(LA) CARLOS MONJE MEDRANO DISTRITO DE JULIACA, PROVINCIA SAN ROMAN, DEPARTAMENTO PUNO</t>
  </si>
  <si>
    <t>  90.8</t>
  </si>
  <si>
    <t>2612522: MEJORAMIENTO DE LA PRODUCCION Y TRANSFORMACION DE QUESOS EN LA ASOCIACION DE PRODUCTORES LACTI SUR DE HUAPACA SANTIAGO DEL DISTRITO DE POMATA, PROVINCIA DE CHUCUITO Y DEPARTAMENTO DE PUN</t>
  </si>
  <si>
    <t>2612541: MEJORAMIENTO DE LA PRODUCCION Y COMERCIALIZACION DE DERIVADOS LACTEOS EN LA ASOCIACION DE PRODUCTORES AGROPECUARIOS EMPRENDEDORES LOS CLAVELES DE SAN SALVADOR HUATASANI, DEL DISTRITO DE HUATASANI, PROVINCIA DE HUANCANE Y REGION DE PUNO</t>
  </si>
  <si>
    <t>2613817: ADQUISICION DE ECOCARDIOGRAFO, ARCO EN C, BOMBA DE INFUSION Y EQUIPO ECOGRAFO; ADEMAS DE OTROS ACTIVOS EN SIETE ESTABLECIMIENTOS DE SALUD II.1 A NIVEL DEPARTAMENTAL (PUNO)</t>
  </si>
  <si>
    <t>  75.9</t>
  </si>
  <si>
    <t>2614553: MEJORAMIENTO DEL SERVICIO DE TRANSITABILIDAD VIAL INTERURBANA EN LA CARRETERA MAÑAZO PU 1077 - PU 1091, - EMP PE 34 C(LLAPAPATA - CABANILLAS) DISTRITOS DE MAÑAZO, CABANILLAS DE LAS PROVINCIAS DE PUNO, SAN ROMAN DEL DEPARTAMENTO DE PUNO</t>
  </si>
  <si>
    <t>2615902: REMODELACION DE AUDITORIO; ADQUISICION DE EQUIPOS COMPLEMENTARIOS; REPARACION DE ESCALERA DE ACCESO Y ; EN EL(LA) DIRECCION REGIONAL AGRARIA SEDE CENTRAL DISTRITO DE PUNO, PROVINCIA PUNO, DEPARTAMENTO PUNO</t>
  </si>
  <si>
    <t>2616445: MEJORAMIENTO DEL SERVICIO DE EDUCACION SECUNDARIA EN I.E. CRFA LUPAKAS JULI DISTRITO DE JULI DE LA PROVINCIA DE CHUCUITO DEL DEPARTAMENTO DE PUNO</t>
  </si>
  <si>
    <t>  45.5</t>
  </si>
  <si>
    <t>2616977: ADQUISICION DE MAQUINA PERFORADORA; EN EL(LA) REGION PUNO - PROGRAMA REGIONAL DE RIEGO Y DRENAJE, PARA LA EXPLORACION Y CAPTACION DE AGUAS SUBTERRANEAS MEDIANTE POZOS TUBULARES PARA RIEGO, EN EL DISTRITO DE PUNO, PROVINCIA PUNO, DEPARTAMENTO PUNO</t>
  </si>
  <si>
    <t>2617364: MEJORAMIENTO Y AMPLIACION DEL SERVICIO DE EDUCACION INICIAL, SERVICIO DE EDUCACION PRIMARIA Y SERVICIO DE EDUCACION SECUNDARIA EN I.E. 27 SANTA LUCIA FE Y ALEGRIA DISTRITO DE MACARI DE LA PROVINCIA DE MELGAR DEL DEPARTAMENTO DE PUNO</t>
  </si>
  <si>
    <t>2618450: MEJORAMIENTO DEL SERVICIO DE EDUCACION PRIMARIA EN I.E. 70001 DISTRITO DE PUNO DE LA PROVINCIA DE PUNO DEL DEPARTAMENTO DE PUNO</t>
  </si>
  <si>
    <t>2623682: RENOVACION DE AULA DE EDUCACION SUPERIOR PEDAGOGICA, LABORATORIO Y/O TALLER Y AMBIENTE COMPLEMENTARIO; REPARACION DE CERCO Y/O PORTADA; ADEMAS DE OTROS ACTIVOS EN EL(LA) INSTITUTO DE EDUCACION SUPERIOR PEDAGOGICO HUANCANE DEL DISTRITO DE HUANCANE, PROVINCIA HUANCANE, DEPARTAMENTO PUNO</t>
  </si>
  <si>
    <t>  60.6</t>
  </si>
  <si>
    <t>2623873: MEJORAMIENTO DE LOS SERVICIOS EDUCACION SUPERIOR PEDAGOGICA EN EL INSTITUTO DE EDUCACION SUPERIOR PEDAGOGICO DE EDUCACION FISICA DE LAMPA DEL DISTRITO DE LAMPA DE LA PROVINCIA DE LAMPA DEL DEPARTAMENTO DE PUNO</t>
  </si>
  <si>
    <t>  59.3</t>
  </si>
  <si>
    <t>2623875: MEJORAMIENTO DEL SERVICIO DE EDUCACION SUPERIOR TECNOLOGICA EN INSTITUTO DE EDUCACION SUPERIOR TECNOLOGICO PUBLICO SAN SALVADOR DE CAPACHICA DISTRITO DE CAPACHICA DE LA PROVINCIA DE PUNO DEL DEPARTAMENTO DE PUNO</t>
  </si>
  <si>
    <t>  68.7</t>
  </si>
  <si>
    <t>2623876: MEJORAMIENTO DEL SERVICIO DE EDUCACION SUPERIOR TECNOLOGICA EN EL INSTITUTO SUPERIOR TECNOLOGICO PUBLICO SANTA ROSA DEL DISTRITO DE SANTA ROSA DE LA PROVINCIA DE MELGAR DEL DEPARTAMENTO DE PUNO</t>
  </si>
  <si>
    <t>  36.5</t>
  </si>
  <si>
    <t>2623878: MEJORAMIENTO DEL SERVICIO DE ATENCION DE SALUD BASICOS EN CABANILLA DISTRITO DE CABANILLA DE LA PROVINCIA DE LAMPA DEL DEPARTAMENTO DE PUNO</t>
  </si>
  <si>
    <t>2623879: MEJORAMIENTO DEL SERVICIO DE ATENCION DE SALUD BASICOS EN LARAQUERI DISTRITO DE PICHACANI DE LA PROVINCIA DE PUNO DEL DEPARTAMENTO DE PUNO</t>
  </si>
  <si>
    <t>2624292: MEJORAMIENTO DE LOS SERVICIOS EDUCACION SUPERIOR PEDAGOGICA EN EL INSTITUTO DE EDUCACION SUPERIOR PEDAGOGICO PUBLICO DE AYAVIRI DEL DISTRITO DE AYAVIRI DE LA PROVINCIA DE MELGAR DEL DEPARTAMENTO DE PUNO</t>
  </si>
  <si>
    <t>2625216: MEJORAMIENTO DE LOS SERVICIOS ECOSISTEMICOS EN EL RIO TOROCOCHA DE LA LOCALIDAD DE JULIACA DISTRITO DE JULIACA DE LA PROVINCIA DE SAN ROMAN DEL DEPARTAMENTO DE PUNO</t>
  </si>
  <si>
    <t>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</si>
  <si>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2629018: MEJORAMIENTO DE LOS SERVICIOS DE APOYO AL DESARROLLO PRODUCTIVO DE PASTOS Y FORRAJES EN 14 UNIDADES PRODUCTORAS DE 84 DISTRITOS DE 13 PROVINCIAS DEL DEPARTAMENTO DE PUNO</t>
  </si>
  <si>
    <t>  7.1</t>
  </si>
  <si>
    <t>2629119: MEJORAMIENTO DEL SERVICIO DE EDUCACION SECUNDARIA EN I.E. ROSASPATA DE CENTRO POBLADO ROSASPATA DISTRITO DE ROSASPATA DE LA PROVINCIA DE HUANCANE DEL DEPARTAMENTO DE PUNO</t>
  </si>
  <si>
    <t>  58.1</t>
  </si>
  <si>
    <t>2630072: CREACION DEL SERVICIO DE PRACTICA DEPORTIVA Y/O RECREATIVA EN COLISEO CERRADO DE AYAPATA DISTRITO DE AYAPATA DE LA PROVINCIA DE CARABAYA DEL DEPARTAMENTO DE PUNO</t>
  </si>
  <si>
    <t>  20.8</t>
  </si>
  <si>
    <t>2631070: RECUPERACION DE LOS SERVICIOS ECOSISTEMICOS EN 19 UNIDADES PRODUCTORAS 19 DISTRITOS DE 13 PROVINCIAS DEL DEPARTAMENTO DE PUNO</t>
  </si>
  <si>
    <t>  86.4</t>
  </si>
  <si>
    <t>2631496: MEJORAMIENTO DE LOS SERVICIOS DE APOYO AL DESARROLLO PRODUCTIVO EN CAPACIDADES DE TRANSFORMACION Y COMERCIALIZACION DE LA CADENA PRODUCTIVA DE OVINOS EN LAS 5 PROVINCIAS DE LA ZONA SUR DEL DEPARTAMENTO DE PUNO DE PRADERA EN EL DISTRITO DE JULIACA DE LA PROVINCIA DE SAN ROMAN DEL DEPARTAMENTO DE PUNO</t>
  </si>
  <si>
    <t>  49.1</t>
  </si>
  <si>
    <t>2632832: MEJORAMIENTO DEL SERVICIO DE ATENCION DE SALUD BASICOS EN VALLECITO DISTRITO DE PUNO DE LA PROVINCIA DE PUNO DEL DEPARTAMENTO DE PUNO</t>
  </si>
  <si>
    <t>2634040: MEJORAMIENTO DEL SERVICIO DE TRANSITABILIDAD VIAL INTERURBANA EN EL CAMINO VECINAL, TRAMO DESVIO PUCARA - POBLACION SALINAS - ASILLO SALINAS (KM 0+000 - 1+900) DEL DISTRITO DE SAN JUAN DE SALINAS DE LA PROVINCIA DE AZANGARO DEL DEPARTAMENTO DE PUNO</t>
  </si>
  <si>
    <t>  44.6</t>
  </si>
  <si>
    <t>2634779: CREACION DEL SERVICIO DE PROVISION DE AGUA PARA RIEGO EN LAS COMUNIDADES, MEDIANTE POZOS TUBULARES EN LOS DISTRITOS DE HUANCANE, VILQUE CHICO DE LA PROVINCIA DE HUANCANE DEL DEPARTAMENTO DE PUNO</t>
  </si>
  <si>
    <t>2637985: MEJORAMIENTO DEL SERVICIO DE EDUCACION SECUNDARIA EN I.E. LLAULLI DE CENTRO POBLADO LLAULLI DISTRITO DE MOHO DE LA PROVINCIA DE MOHO DEL DEPARTAMENTO DE PUNO</t>
  </si>
  <si>
    <t>2637997: MEJORAMIENTO DEL SERVICIO DE EDUCACION SECUNDARIA EN I.E. UMUCHI DISTRITO DE MOHO DE LA PROVINCIA DE MOHO DEL DEPARTAMENTO DE PUNO</t>
  </si>
  <si>
    <t>2638009: MEJORAMIENTO DEL SERVICIO DE EDUCACION SECUNDARIA EN I.E. HUARAYA DE CENTRO POBLADO HUARAYA DISTRITO DE MOHO DE LA PROVINCIA DE MOHO DEL DEPARTAMENTO DE PUNO</t>
  </si>
  <si>
    <t>2639523: ADQUISICION DE TOMOGRAFO COMPUTARIZADO MULTICORTE; EN EL(LA) CARLOS MONJE MEDRANO DISTRITO DE JULIACA, PROVINCIA SAN ROMAN, DEPARTAMENTO PUNO</t>
  </si>
  <si>
    <t>  93.1</t>
  </si>
  <si>
    <t>2642160: MEJORAMIENTO DEL SERVICIO DE TRANSITABILIDAD VIAL INTERURBANA EN EN LA VIA VECINAL PU-713, L. PROV. LAMPA - QUISHUARANI - SALLAPATA - HUERTA -EMP. PU-124 (VILAVILA), DISTRITO DE VILAVILA DE LA PROVINCIA DE LAMPA DEL DEPARTAMENTO DE PUNO</t>
  </si>
  <si>
    <t>  79.9</t>
  </si>
  <si>
    <t>2645340: REPARACION DE TRIBUNA Y/O PALCO Y SERVICIOS HIGIENICOS Y/O VESTIDORES; CONSTRUCCION DE CAMPO DEPORTIVO; EN EL(LA) ESTADIO MUNICIPAL CRUCERO DISTRITO DE CRUCERO, PROVINCIA CARABAYA, DEPARTAMENTO PUNO</t>
  </si>
  <si>
    <t>  84.0</t>
  </si>
  <si>
    <t>2645376: REPARACION DE TRIBUNA Y/O PALCO Y CAMPO DEPORTIVO; CONSTRUCCION DE TRIBUNA Y/O PALCO Y PISTA DE ATLETISMO (DEPORTE RECREATIVO); ADEMAS DE OTROS ACTIVOS EN EL(LA) ESTADIO MUNICIPAL DE PUTINA DISTRITO DE PUTINA, PROVINCIA SAN ANTONIO DE PUTINA, DEPARTAMENTO PUNO</t>
  </si>
  <si>
    <t>  50.0</t>
  </si>
  <si>
    <t>2645380: CONSTRUCCION DE TRIBUNA Y/O PALCO, CAMPO DEPORTIVO Y PISTA DE ATLETISMO (DEPORTE RECREATIVO); REPARACION DE SERVICIOS HIGIENICOS Y/O VESTIDORES; ADEMAS DE OTROS ACTIVOS EN EL(LA) ESTADIO MUNICIPAL FERNANDO ROMERO CARREON DISTRITO DE LAMPA, PROVINCIA LAMPA, DEPARTAMENTO PUNO</t>
  </si>
  <si>
    <t>  0.9</t>
  </si>
  <si>
    <t>2645444: REPARACION DE TRIBUNA Y/O PALCO; CONSTRUCCION DE CAMPO DEPORTIVO; EN EL(LA) ESTADIO MUNICIPAL DE PILCUYO DISTRITO DE PILCUYO, PROVINCIA EL COLLAO, DEPARTAMENTO PUNO</t>
  </si>
  <si>
    <t>2645446: REPARACION DE TRIBUNA Y/O PALCO Y PISTA DE ATLETISMO (DEPORTE RECREATIVO); CONSTRUCCION DE CAMPO DEPORTIVO; EN EL(LA) ESTADIO DE LA GRAN UNIDAD SAN CARLOS DISTRITO DE PUNO, PROVINCIA PUNO, DEPARTAMENTO PUNO</t>
  </si>
  <si>
    <t>  1.9</t>
  </si>
  <si>
    <t>2645503: MEJORAMIENTO DEL SERVICIO DE TRANSITABILIDAD VIAL INTERURBANA EN LA CARRETERA PU-1040 EMP. PU 122 (VILQUE) - EMP. PU - 1039, - EMP. PU 1035 - EMP. PU 121 (CABANA) DISTRITOS DE VILQUE, CABANA DE LAS PROVINCIAS DE PUNO, SAN ROMAN DEL DEPARTAMENTO DE PUNO</t>
  </si>
  <si>
    <t>  77.3</t>
  </si>
  <si>
    <t>2645524: MEJORAMIENTO DE LOS SERVICIOS TURISTICOS PUBLICOS EN RECURSOS TURISTICOS EN 4 UNIDADES PRODUCTORAS 4 DISTRITOS DE 3 PROVINCIAS DEL DEPARTAMENTO DE PUNO</t>
  </si>
  <si>
    <t>2646095: CONSTRUCCION DE CAMPO DEPORTIVO Y SERVICIOS HIGIENICOS Y/O VESTIDORES; REPARACION DE SERVICIOS HIGIENICOS Y/O VESTIDORES Y TRIBUNA Y/O PALCO; ADEMAS DE OTROS ACTIVOS EN EL(LA) ESTADIO MUNICIPAL DE CONIMA DISTRITO DE CONIMA, PROVINCIA MOHO, DEPARTAMENTO PUNO</t>
  </si>
  <si>
    <t>2646096: CONSTRUCCION DE TRIBUNA Y/O PALCO; REPARACION DE TRIBUNA Y/O PALCO Y CAMPO DEPORTIVO; EN EL(LA) ESTADIO JOSE CARLOS MARIATEGUI DISTRITO DE YUNGUYO, PROVINCIA YUNGUYO, DEPARTAMENTO PUNO</t>
  </si>
  <si>
    <t>2646100: CONSTRUCCION DE CAMPO DEPORTIVO Y SERVICIOS HIGIENICOS Y/O VESTIDORES PARA PERSONAL; REPARACION DE TRIBUNA Y/O PALCO; EN EL(LA) ESTADIO MUNICIPAL DE SAN PEDRO DE PUTINA PUNCO DISTRITO DE SAN PEDRO DE PUTINA PUNCO, PROVINCIA SANDIA, DEPARTAMENTO PUNO</t>
  </si>
  <si>
    <t>2646109: REPARACION DE TRIBUNA Y/O PALCO; CONSTRUCCION DE CAMPO DEPORTIVO Y TRIBUNA Y/O PALCO; EN EL(LA) ESTADIO MUNICIPAL DE JULI DISTRITO DE JULI, PROVINCIA CHUCUITO, DEPARTAMENTO PUNO</t>
  </si>
  <si>
    <t>2646859: MEJORAMIENTO DEL SERVICIO DE TRANSITABILIDAD VIAL INTERURBANA EN LA PU - 145 (EMP. PE - 34 I: HUANCANE, - EMP. PE - 34 H: HUATASANI) DE LOS DISTRITOS DE HUANCANE, HUATASANI DE LA PROVINCIA DE HUANCANE DEL DEPARTAMENTO DE PUNO</t>
  </si>
  <si>
    <t>  80.6</t>
  </si>
  <si>
    <t>2649221: MEJORAMIENTO DEL SERVICIO DE TRANSITABILIDAD VIAL INTERURBANA EN POQUERA CHICO - QUIACA - HUERTAPATA EN EL DISTRITO DE QUIACA DE LA PROVINCIA DE SANDIA DEL DEPARTAMENTO DE PUNO</t>
  </si>
  <si>
    <t>  39.7</t>
  </si>
  <si>
    <t>2649778: MEJORAMIENTO DEL SERVICIO DE ATENCION DE SALUD BASICOS EN CHIJNAYA DISTRITO DE PUCARA DE LA PROVINCIA DE LAMPA DEL DEPARTAMENTO DE PUNO</t>
  </si>
  <si>
    <t>  95.9</t>
  </si>
  <si>
    <t>2649779: MEJORAMIENTO DEL SERVICIO DE ATENCION DE SALUD BASICOS EN HUAYCHO DISTRITO DE NUÑOA DE LA PROVINCIA DE MELGAR DEL DEPARTAMENTO DE PUNO</t>
  </si>
  <si>
    <t>2649780: MEJORAMIENTO DEL SERVICIO DE ATENCION DE SALUD BASICOS EN ACOCOLLO DISTRITO DE HUANCANE DE LA PROVINCIA DE HUANCANE DEL DEPARTAMENTO DE PUNO</t>
  </si>
  <si>
    <t>  58.9</t>
  </si>
  <si>
    <t>2649782: MEJORAMIENTO DEL SERVICIO DE ATENCION DE SALUD BASICOS EN CAYARANI DISTRITO DE ORURILLO DE LA PROVINCIA DE MELGAR DEL DEPARTAMENTO DE PUNO</t>
  </si>
  <si>
    <t>2649786: MEJORAMIENTO DEL SERVICIO DE ATENCION DE SALUD BASICOS EN PASIRI DISTRITO DE JULI DE LA PROVINCIA DE CHUCUITO DEL DEPARTAMENTO DE PUNO</t>
  </si>
  <si>
    <t>2649788: MEJORAMIENTO DEL SERVICIO DE ATENCION DE SALUD BASICOS EN CALLAZA DISTRITO DE HUACULLANI DE LA PROVINCIA DE CHUCUITO DEL DEPARTAMENTO DE PUNO</t>
  </si>
  <si>
    <t>  34.6</t>
  </si>
  <si>
    <t>2649789: MEJORAMIENTO DEL SERVICIO DE ATENCION DE SALUD BASICOS EN CALLACAMI DISTRITO DE JULI DE LA PROVINCIA DE CHUCUITO DEL DEPARTAMENTO DE PUNO</t>
  </si>
  <si>
    <t>  97.1</t>
  </si>
  <si>
    <t>2649790: MEJORAMIENTO DEL SERVICIO DE ATENCION DE SALUD BASICOS EN CHEJANI DISTRITO DE PHARA DE LA PROVINCIA DE SANDIA DEL DEPARTAMENTO DE PUNO</t>
  </si>
  <si>
    <t>  88.0</t>
  </si>
  <si>
    <t>2649793: MEJORAMIENTO DEL SERVICIO DE ATENCION DE SALUD BASICOS EN NINANTAYA DISTRITO DE MOHO DE LA PROVINCIA DE MOHO DEL DEPARTAMENTO DE PUNO</t>
  </si>
  <si>
    <t>2649794: MEJORAMIENTO DEL SERVICIO DE ATENCION DE SALUD BASICOS EN SACUYO RIO GRANDE DISTRITO DE ACORA DE LA PROVINCIA DE PUNO DEL DEPARTAMENTO DE PUNO</t>
  </si>
  <si>
    <t>2649797: MEJORAMIENTO DEL SERVICIO DE EDUCACION INICIAL EN I.E. 1450 HUELLITAS DE MONTESSORI MIRAMAR DISTRITO DE MOHO DE LA PROVINCIA DE MOHO DEL DEPARTAMENTO DE PUNO</t>
  </si>
  <si>
    <t>2649798: MEJORAMIENTO DEL SERVICIO DE EDUCACION INICIAL EN I.E. 056 DISTRITO DE CRUCERO DE LA PROVINCIA DE CARABAYA DEL DEPARTAMENTO DE PUNO</t>
  </si>
  <si>
    <t>  41.4</t>
  </si>
  <si>
    <t>2649800: MEJORAMIENTO DEL SERVICIO DE EDUCACION INICIAL EN I.E. 1337 VISTA ALEGRE DISTRITO DE JULIACA DE LA PROVINCIA DE SAN ROMAN DEL DEPARTAMENTO DE PUNO</t>
  </si>
  <si>
    <t>2649803: MEJORAMIENTO DEL SERVICIO DE EDUCACION INICIAL EN I.E. 72 DISTRITO DE PEDRO VILCA APAZA DE LA PROVINCIA DE SAN ANTONIO DE PUTINA DEL DEPARTAMENTO DE PUNO</t>
  </si>
  <si>
    <t>  46.8</t>
  </si>
  <si>
    <t>2649804: MEJORAMIENTO DEL SERVICIO DE EDUCACION INICIAL EN I.E. 50 DISTRITO DE ORURILLO DE LA PROVINCIA DE MELGAR DEL DEPARTAMENTO DE PUNO</t>
  </si>
  <si>
    <t>2649805: MEJORAMIENTO DEL SERVICIO DE EDUCACION INICIAL EN I.E. 881 DISTRITO DE CABANILLA DE LA PROVINCIA DE LAMPA DEL DEPARTAMENTO DE PUNO</t>
  </si>
  <si>
    <t>  2.2</t>
  </si>
  <si>
    <t>2649852: MEJORAMIENTO DEL SERVICIO DE EDUCACION INICIAL EN I.E. 325 DISTRITO DE PUNO DE LA PROVINCIA DE PUNO DEL DEPARTAMENTO DE PUNO</t>
  </si>
  <si>
    <t>  1.6</t>
  </si>
  <si>
    <t>2649853: MEJORAMIENTO DEL SERVICIO DE EDUCACION INICIAL EN I.E. 1240 NIÑO JESUS DISTRITO DE VILQUE DE LA PROVINCIA DE PUNO DEL DEPARTAMENTO DE PUNO</t>
  </si>
  <si>
    <t>  76.2</t>
  </si>
  <si>
    <t>2649854: MEJORAMIENTO DEL SERVICIO DE EDUCACION INICIAL EN I.E. 1291 CORAZON DE JESUS DISTRITO DE ACORA DE LA PROVINCIA DE PUNO DEL DEPARTAMENTO DE PUNO</t>
  </si>
  <si>
    <t>2649855: MEJORAMIENTO DEL SERVICIO DE EDUCACION INICIAL EN I.E. 258 DISTRITO DE ACORA DE LA PROVINCIA DE PUNO DEL DEPARTAMENTO DE PUNO</t>
  </si>
  <si>
    <t>  84.7</t>
  </si>
  <si>
    <t>2649856: MEJORAMIENTO DEL SERVICIO DE EDUCACION INICIAL EN I.E. 312 DE CENTRO POBLADO JAYU JAYU DISTRITO DE ACORA DE LA PROVINCIA DE PUNO DEL DEPARTAMENTO DE PUNO</t>
  </si>
  <si>
    <t>2649857: MEJORAMIENTO DEL SERVICIO DE EDUCACION INICIAL EN I.E. SAN JERONIMO DISTRITO DE ATUNCOLLA DE LA PROVINCIA DE PUNO DEL DEPARTAMENTO DE PUNO</t>
  </si>
  <si>
    <t>2649858: MEJORAMIENTO DEL SERVICIO DE EDUCACION INICIAL EN I.E. EDUARDITOS DISTRITO DE PICHACANI DE LA PROVINCIA DE PUNO DEL DEPARTAMENTO DE PUNO</t>
  </si>
  <si>
    <t>  44.9</t>
  </si>
  <si>
    <t>2650268: MEJORAMIENTO DEL SERVICIO DE EDUCACION INICIAL EN I.E. 1243 DISTRITO DE MAÑAZO DE LA PROVINCIA DE PUNO DEL DEPARTAMENTO DE PUNO</t>
  </si>
  <si>
    <t>  46.2</t>
  </si>
  <si>
    <t>2650271: MEJORAMIENTO DEL SERVICIO DE EDUCACION INICIAL EN I.E. 335 DISTRITO DE MOHO DE LA PROVINCIA DE MOHO DEL DEPARTAMENTO DE PUNO</t>
  </si>
  <si>
    <t>2650340: ADQUISICION DE MESA DE OPERACIONES HIDRAULICA/ELECTRICA, ESTERILIZADOR CON GENERADOR ELECTRICO DE VAPOR (INS), EQUIPOS BIOMEDICOS Y COCHE DE PARO; ADEMAS DE OTROS ACTIVOS EN EL(LA) PUTINA DISTRITO DE PUTINA, PROVINCIA SAN ANTONIO DE PUTINA, DEPARTAMENTO PUNO</t>
  </si>
  <si>
    <t>  33.6</t>
  </si>
  <si>
    <t>2650473: CONSTRUCCION DE AULA DE EDUCACION SECUNDARIA, LABORATORIO Y/O TALLER, CERCO Y/O PORTADA Y SERVICIOS HIGIENICOS Y/O VESTIDORES; ADEMAS DE OTROS ACTIVOS EN EL(LA) I.E. AGROINDUSTRIAL DISTRITO DE PUTINA, PROVINCIA SAN ANTONIO DE PUTINA, DEPARTAMENTO PUNO</t>
  </si>
  <si>
    <t>2650476: ADQUISICION DE EQUIPAMIENTO DE AMBIENTES COMPLEMENTARIOS Y MOBILIARIO DE AULA; EN EL(LA) I.E. EL CENTENARIO DISTRITO DE PUTINA, PROVINCIA SAN ANTONIO DE PUTINA, DEPARTAMENTO PUNO</t>
  </si>
  <si>
    <t>  19.4</t>
  </si>
  <si>
    <t>2650804: MEJORAMIENTO DEL SERVICIO DE EDUCACION PRIMARIA EN I.E. 73010 DISTRITO DE SAN PEDRO DE PUTINA PUNCO DE LA PROVINCIA DE SANDIA DEL DEPARTAMENTO DE PUNO</t>
  </si>
  <si>
    <t>2651086: MEJORAMIENTO DEL SERVICIO DE EDUCACION INICIAL EN I.E. 1226 DISTRITO DE MAÑAZO DE LA PROVINCIA DE PUNO DEL DEPARTAMENTO DE PUNO</t>
  </si>
  <si>
    <t>  90.6</t>
  </si>
  <si>
    <t>2651270: MEJORAMIENTO DEL SERVICIO DE TRANSITABILIDAD VIAL INTERURBANA EN EL TRAMO ALMOZANCHE (EMP. PU 118), - SAMUCHACA - SANTA CRUZ CAPARA -ESCALLANI (EMP. PU 118) DE LOS DISTRITOS DE COATA, PUSI DE LAS PROVINCIAS DE PUNO, HUANCANE DEL DEPARTAMENTO DE PUNO</t>
  </si>
  <si>
    <t>  64.2</t>
  </si>
  <si>
    <t>2651271: MEJORAMIENTO DEL SERVICIO DE TRANSITABILIDAD VIAL INTERURBANA EN EL TRAMO ALMOZANCHE (EMP PU 118) - SUCASCO - SORAZA, - COYLATA URCUNIMUNI - HATUN AYLLU (EMP PU 118) DE LOS DISTRITOS DE COATA, PUSI DE LAS PROVINCIAS DE PUNO, HUANCANE DEL DEPARTAMENTO DE PUNO</t>
  </si>
  <si>
    <t>  64.8</t>
  </si>
  <si>
    <t>2651383: MEJORAMIENTO DEL SERVICIO DE EDUCACION INICIAL EN I.E. 941 DISTRITO DE CABANILLAS DE LA PROVINCIA DE SAN ROMAN DEL DEPARTAMENTO DE PUNO</t>
  </si>
  <si>
    <t>2651636: MEJORAMIENTO DEL SERVICIO DE EDUCACION INICIAL EN I.E. ARICATO DISTRITO DE PHARA DE LA PROVINCIA DE SANDIA DEL DEPARTAMENTO DE PUNO</t>
  </si>
  <si>
    <t>2651727: MEJORAMIENTO Y AMPLIACION DEL SERVICIO DE PROVISION DE AGUA PARA RIEGO EN 16 UNIDADES PRODUCTORAS 3 DISTRITOS DE LA PROVINCIA DE MOHO DEL DEPARTAMENTO DE PUNO</t>
  </si>
  <si>
    <t>  33.7</t>
  </si>
  <si>
    <t>2651742: MEJORAMIENTO Y AMPLIACION DEL SERVICIO DE PROVISION DE AGUA PARA RIEGO EN LA MICROCUENCA DEL RIO CONDORIRI DISTRITO DE AZANGARO DE LA PROVINCIA DE AZANGARO DEL DEPARTAMENTO DE PUNO</t>
  </si>
  <si>
    <t>  36.7</t>
  </si>
  <si>
    <t>2652118: MEJORAMIENTO DEL SERVICIO DE EDUCACION PRIMARIA EN I.E. 70726 DISTRITO DE PUNO DE LA PROVINCIA DE PUNO DEL DEPARTAMENTO DE PUNO</t>
  </si>
  <si>
    <t>  77.7</t>
  </si>
  <si>
    <t>2652119: MEJORAMIENTO DEL SERVICIO DE EDUCACION PRIMARIA EN I.E. 70802 DISTRITO DE PUNO DE LA PROVINCIA DE PUNO DEL DEPARTAMENTO DE PUNO</t>
  </si>
  <si>
    <t>  19.8</t>
  </si>
  <si>
    <t>2652120: MEJORAMIENTO DEL SERVICIO DE EDUCACION PRIMARIA EN I.E. 70682 DISTRITO DE PUNO DE LA PROVINCIA DE PUNO DEL DEPARTAMENTO DE PUNO</t>
  </si>
  <si>
    <t>  82.5</t>
  </si>
  <si>
    <t>2652121: MEJORAMIENTO DEL SERVICIO DE EDUCACION INICIAL EN I.E. 1205 DISTRITO DE PUNO DE LA PROVINCIA DE PUNO DEL DEPARTAMENTO DE PUNO</t>
  </si>
  <si>
    <t>  87.7</t>
  </si>
  <si>
    <t>2652473: MEJORAMIENTO DEL SERVICIO DE EDUCACION INICIAL EN I.E. 944 DISTRITO DE JULIACA DE LA PROVINCIA DE SAN ROMAN DEL DEPARTAMENTO DE PUNO</t>
  </si>
  <si>
    <t>  62.7</t>
  </si>
  <si>
    <t>2652984: MEJORAMIENTO DEL SERVICIO DE TRANSITABILIDAD VIAL INTERURBANA EN LA CARRETERA YOROHOCO (HUACULLANI), - KELLUYO - HITO 31 DISTRITO DE HUACULLANI DE LA PROVINCIA DE CHUCUITO DEL DEPARTAMENTO DE PUNO</t>
  </si>
  <si>
    <t>  63.5</t>
  </si>
  <si>
    <t>2653737: MEJORAMIENTO DEL SERVICIO DE TRANSITABILIDAD VIAL INTERURBANA EN LA CARRETRA PU-144 (EMP. PE-34L: SOLITARIO, - EMP. PU-115: INCHUPALLA) DE LOS DISTRITOS DE VILQUE CHICO, INCHUPALLA DE LA PROVINCIA DE HUANCANE DEL DEPARTAMENTO DE PUNO</t>
  </si>
  <si>
    <t>  75.5</t>
  </si>
  <si>
    <t>2653926: MEJORAMIENTO DEL SERVICIO DE TRANSITABILIDAD VIAL INTERURBANA EN LA CARRETERA PU 672 (EMP PE 3S-PTE. SANTA ROSA) - QUISHUARA - SANTA CRUZ- PU 673 (SANTA CRUZ-EMP. PU 680), PU 683 (MACARI, - LLALLI) DE LOS DISTRITOS DE MACARI, CUPI DE LA PROVINCIA DE MELGAR DEL DEPARTAMENTO DE PUNO</t>
  </si>
  <si>
    <t>2654204: MEJORAMIENTO DEL SERVICIO DE TRANSITABILIDAD VIAL INTERURBANA EN LA CARRETERA PU - 1068 (CONDORIRI, - JUNCAL) DE LOS DISTRITOS DE TIQUILLACA, SAN ANTONIO DE LA PROVINCIA DE PUNO DEL DEPARTAMENTO DE PUNO</t>
  </si>
  <si>
    <t>  83.9</t>
  </si>
  <si>
    <t>2654509: MEJORAMIENTO DEL SERVICIO DE TRANSITABILIDAD VIAL INTERURBANA EN LA CARRETERA PU 141: EMP. PU-111 (DV CAMBRIA) - CAMBRIA, - EMP PU - 112 (DV COLLPANI) DE LOS DISTRITOS DE PUTINA, MUÑANI DE LAS PROVINCIAS DE SAN ANTONIO DE PUTINA, AZANGARO DEL DEPARTAMENTO DE PUNO</t>
  </si>
  <si>
    <t>  40.3</t>
  </si>
  <si>
    <t>2654549: MEJORAMIENTO DEL SERVICIO DE TRANSITABILIDAD VIAL INTERURBANA EN LA CARRETERA PU-1376 (EMP PE-38 - CUIPACUIPA) - CUIPACUIPA - EMP PU - 132 (FRONTERA CON TACNA) DEL DISTRITO DE SANTA ROSA DE LA PROVINCIA DE EL COLLAO DEL DEPARTAMENTO DE PUNO</t>
  </si>
  <si>
    <t>  45.0</t>
  </si>
  <si>
    <t>2655389: CREACION DEL SERVICIO DE TRANSITABILIDAD VIAL INTERURBANA EN EL PUENTE CHOQUENASA DE LA CARRETERA PU-1243 DEL DISTRITO DE ILAVE DE LA PROVINCIA DE EL COLLAO DEL DEPARTAMENTO DE PUNO</t>
  </si>
  <si>
    <t>  98.4</t>
  </si>
  <si>
    <t>2655774: MEJORAMIENTO DEL SERVICIO DE EDUCACION SECUNDARIA EN I.E. SOLLOCOTA DE CENTRO POBLADO VIRGEN DEL ROSARIO SOLLOCOTA DISTRITO DE SAN JOSE DE LA PROVINCIA DE AZANGARO DEL DEPARTAMENTO DE PUNO</t>
  </si>
  <si>
    <t>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</si>
  <si>
    <t>2656878: MEJORAMIENTO DEL SERVICIO DE TRANSITABILIDAD VIAL INTERURBANA EN LA CARRETERA PU 535(COASA - TAMBILLO), - PU 534 (EMP PU 100 -TAYACUCHO - TAMBILLO) DE LOS DISTRITOS DE COASA, ITUATA DE LA PROVINCIA DE CARABAYA DEL DEPARTAMENTO DE PUNO</t>
  </si>
  <si>
    <t>2656882: MEJORAMIENTO DEL SERVICIO DE EDUCACION SECUNDARIA EN I.E. AGROINDUSTRIAL MAXIMO SAN ROMAN CACERES DE AJJATIRA, DE CENTRO POBLADO SANTIAGO AJJATIRA DISTRITO DE PEDRO VILCA APAZA DE LA PROVINCIA DE SAN ANTONIO DE PUTINA DEL DEPARTAMENTO DE PUNO</t>
  </si>
  <si>
    <t>  94.8</t>
  </si>
  <si>
    <t>2657043: MEJORAMIENTO Y AMPLIACION DEL SERVICIO DE ATENCION DE SALUD BASICOS EN MOHO DISTRITO DE MOHO DE LA PROVINCIA DE MOHO DEL DEPARTAMENTO DE PUNO</t>
  </si>
  <si>
    <t>  15.6</t>
  </si>
  <si>
    <t>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</si>
  <si>
    <t>  58.0</t>
  </si>
  <si>
    <t>2657484: CONSTRUCCION DE PUENTE; EN EL(LA) CARRETERA PU-111 (PUENTE TINTIRI) DEL DISTRITO DE AZANGARO, PROVINCIA AZANGARO, DEPARTAMENTO PUNO</t>
  </si>
  <si>
    <t>2657867: 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</si>
  <si>
    <t>  72.8</t>
  </si>
  <si>
    <t>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</si>
  <si>
    <t>2658003: MEJORAMIENTO DEL SERVICIO DE ATENCION DE SALUD BASICOS EN ACCASO DISTRITO DE PILCUYO DE LA PROVINCIA DE EL COLLAO DEL DEPARTAMENTO DE PUNO</t>
  </si>
  <si>
    <t>  67.2</t>
  </si>
  <si>
    <t>2658446: PROYECTOS PARA EL DESARROLLO LOCAL</t>
  </si>
  <si>
    <t>2659573: MEJORAMIENTO DEL SERVICIO DE EDUCACION PRIMARIA EN I.E. 73003 DISTRITO DE HUANCANE DE LA PROVINCIA DE HUANCANE DEL DEPARTAMENTO DE PUNO</t>
  </si>
  <si>
    <t>2659574: MEJORAMIENTO DEL SERVICIO DE EDUCACION SECUNDARIA EN I.E. JOSE ABELARDO QUIÑONES GONZALES DISTRITO DE MOHO DE LA PROVINCIA DE MOHO DEL DEPARTAMENTO DE PUNO</t>
  </si>
  <si>
    <t>2659575: MEJORAMIENTO DEL SERVICIO DE EDUCACION INICIAL EN I.E. 1223 DIVINO NIÑO JESUS DISTRITO DE COATA DE LA PROVINCIA DE PUNO DEL DEPARTAMENTO DE PUNO</t>
  </si>
  <si>
    <t>  50.4</t>
  </si>
  <si>
    <t>2660479: MEJORAMIENTO DEL SERVICIO DE EDUCACION SECUNDARIA EN I.E. 20 DE ENERO DISTRITO DE JULIACA DE LA PROVINCIA DE SAN ROMAN DEL DEPARTAMENTO DE PUNO</t>
  </si>
  <si>
    <t>  69.5</t>
  </si>
  <si>
    <t>2661648: CREACION DEL SERVICIO DE TRANSITABILIDAD VIAL INTERURBANA EN EL PUENTE COLGANTE PEATONAL DE CENTRO POBLADO COHASIA DISTRITO DE HUANCANE DE LA PROVINCIA DE HUANCANE DEL DEPARTAMENTO DE PUNO</t>
  </si>
  <si>
    <t>  7.5</t>
  </si>
  <si>
    <t>2661660: MEJORAMIENTO DEL SERVICIO DE TRANSITABILIDAD VIAL INTERURBANA EN LA CARRETERA DESAGUADERO - LLALLAHUA, - VISTA ALEGRE - CHIMU - ANCOPUTO - ALTO PATACOLLO - HUAPACA SAN MIGUEL DE LOS DISTRITOS DE DESAGUADERO, ZEPITA DE LA PROVINCIA DE CHUCUITO DEL DEPARTAMENTO DE PUNO</t>
  </si>
  <si>
    <t>  81.8</t>
  </si>
  <si>
    <t>2662467: MEJORAMIENTO DEL SERVICIO DE EDUCACION SUPERIOR TECNOLOGICA EN EL INSTITUTO SUPERIOR TECNOLOGICO PUBLICA CHUPA DEL DISTRITO DE CHUPA DE LA PROVINCIA DE AZANGARO DEL DEPARTAMENTO DE PUNO</t>
  </si>
  <si>
    <t>2662519: MEJORAMIENTO DEL SERVICIO DE ATENCION DE SALUD BASICOS EN C.S. CLAS PUSI DISTRITO DE PUSI DE LA PROVINCIA DE HUANCANE DEL DEPARTAMENTO DE PUNO</t>
  </si>
  <si>
    <t>2662668: MEJORAMIENTO DEL SERVICIO DE EDUCACION PRIMARIA EN I.E. 72060 DE CENTRO POBLADO YURAJCHUPA DISTRITO DE SAN JUAN DE SALINAS DE LA PROVINCIA DE AZANGARO DEL DEPARTAMENTO DE PUNO</t>
  </si>
  <si>
    <t>  92.4</t>
  </si>
  <si>
    <t>2662786: MEJORAMIENTO DEL SERVICIO DE EDUCACION PRIMARIA EN I.E. 72662 DE CENTRO POBLADO CALLA DISTRITO DE SAN JUAN DE SALINAS DE LA PROVINCIA DE AZANGARO DEL DEPARTAMENTO DE PUNO</t>
  </si>
  <si>
    <t>  91.7</t>
  </si>
  <si>
    <t>2663002: MEJORAMIENTO DEL SERVICIO DE EDUCACION SECUNDARIA EN I.E. HUAPACA SAN MIGUEL DE CENTRO POBLADO HUAPACA SAN MIGUEL DISTRITO DE POMATA DE LA PROVINCIA DE CHUCUITO DEL DEPARTAMENTO DE PUNO</t>
  </si>
  <si>
    <t>2664647: MEJORAMIENTO DEL SERVICIO DE EDUCACION SECUNDARIA EN I.E. JOSE CARLOS MARIATEGUI DISTRITO DE SAN JUAN DE SALINAS DE LA PROVINCIA DE AZANGARO DEL DEPARTAMENTO DE PUNO</t>
  </si>
  <si>
    <t>  49.8</t>
  </si>
  <si>
    <t>2664940: MEJORAMIENTO DEL SERVICIO DE EDUCACION INICIAL EN I.E. 1099 INMACULADA DISTRITO DE PUTINA DE LA PROVINCIA DE SAN ANTONIO DE PUTINA DEL DEPARTAMENTO DE PUNO</t>
  </si>
  <si>
    <t>  62.6</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</si>
  <si>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</si>
  <si>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2668257: MEJORAMIENTO DEL SERVICIO DE PROVISION DE AGUA PARA RIEGO EN LA COMUNIDAD CAMPESINA DE SAN JOSE DE ANCOMARCA Y EL GRUPO DE AGRICULTORES SIN TIERRA SAN SALVADOR DE TIRACOLLO DISTRITO DE CAPAZO - PROVINCIA DE EL COLLAO - DEPARTAMENTO DE PUNO</t>
  </si>
  <si>
    <t>2668521: ADQUISICION DE AMBULANCIA ACUATICA; EN DOS ESTABLECIMIENTOS DE SALUD I.2 A NIVEL PROVINCIAL (PUNO - YUNGUYO)</t>
  </si>
  <si>
    <t>  23.7</t>
  </si>
  <si>
    <t>2669470: MEJORAMIENTO DEL SERVICIO DE TRANSITABILIDAD VIAL INTERURBANA EN LA CARRETERA PU-617 (SAN JOSE - SAN ANTON), PU-624 (EMP. PE-34 B: SAN ANTON - EMP. PU-622: VILLAPAMPA) -PU-622 (EMP. PU-624: VILLAPAMPA - LARIMAYO) DE LOS DISTRITOS DE SAN JOSE, ANTAUTA DE LAS PROVINCIAS DE AZANGARO, MELGAR DEL DEPARTAMENTO DE PUNO</t>
  </si>
  <si>
    <t>  68.2</t>
  </si>
  <si>
    <t>2669946: MEJORAMIENTO DEL SERVICIO DE PRACTICA DEPORTIVA Y/O RECREATIVA EN ESTADIO MUNICIPAL DE MOHO DISTRITO DE MOHO DE LA PROVINCIA DE MOHO DEL DEPARTAMENTO DE PUNO</t>
  </si>
  <si>
    <t>2670402: MEJORAMIENTO DEL SERVICIO DE EDUCACION SECUNDARIA EN I.E. SAN AGUSTIN DISTRITO DE COATA DE LA PROVINCIA DE PUNO DEL DEPARTAMENTO DE PUNO</t>
  </si>
  <si>
    <t>  63.8</t>
  </si>
  <si>
    <t>2670620: MEJORAMIENTO DEL SERVICIO DE TRANSITABILIDAD VIAL INTERURBANA EN LA CARRETERA JOSE DOMINGO CHOQUEHUANCA - QUEQUERANA, - PRIMER CHIMPA JILAHUATA - DV CAYRAHUIRE DE LOS DISTRITOS DE JOSE DOMINGO CHOQUEHUANCA, AZANGARO DE LA PROVINCIA DE AZANGARO DEL DEPARTAMENTO DE PUNO</t>
  </si>
  <si>
    <t>  56.4</t>
  </si>
  <si>
    <t>2673441: MEJORAMIENTO DEL SERVICIO DE TRANSITABILIDAD VIAL INTERURBANA EN LA CARRETERA PU-1115 (EMP. PE-3S: INGENIO - EMP. PU-1116: ICHU) - PU-1116 (EMP. PU-1115: ICHU - EMP. PE-3S: SALLIHUA CALLEJON) DEL DISTRITO DE PUNO DE LA PROVINCIA DE PUNO DEL DEPARTAMENTO DE PUNO</t>
  </si>
  <si>
    <t>  54.2</t>
  </si>
  <si>
    <t>2673614: MEJORAMIENTO DEL SERVICIO DE EDUCACION INICIAL EN I.E. HUARISANI RENJACHI DE CENTRO POBLADO HUARISANI DISTRITO DE HUANCANE DE LA PROVINCIA DE HUANCANE DEL DEPARTAMENTO DE PUNO</t>
  </si>
  <si>
    <t>2673628: MEJORAMIENTO DEL SERVICIO DE EDUCACION PRIMARIA EN I.E. 72289 DE CENTRO POBLADO HUARISANI DISTRITO DE HUANCANE DE LA PROVINCIA DE HUANCANE DEL DEPARTAMENTO DE PUNO</t>
  </si>
  <si>
    <t>2676418: MEJORAMIENTO DE UNA PLANTA PROCESADORA DE LECHE PARA LA ELABORACION DE QUESOS FRESCOS TIPO PARIA DE LA ASOCIACION DE PRODUCTORES AGROPECUARIOS VILLA ACASSO APROAVA, DISTRITO DE PILCUYO, PROVINCIA DE EL COLLAO, REGION DE PUNO</t>
  </si>
  <si>
    <t>2676422: MEJORAMIENTO DE LA COMPETITIVIDAD PRODUCTIVA DE LA CERAMICA TRADICIONAL DE CHECCA PUPUJA EN LA ASOCIACION CERAMICA TRADICIONAL ANCESTRAL CHACCA PUPUJA, DISTRITO DE JOSE DOMINGO CHOQUEHUANCA, PROVINCIA DE AZANGARO, REGION PUNO.</t>
  </si>
  <si>
    <t>2676423: MEJORAMIENTO EN LA PRODUCCION DE QUESOS TIPO PARIA EN LA ASOCIACION DE PRODUCTORES DE LECHE Y SUS DERIVADOS PIAS MILAN DE LA COMUNIDAD DE HUAYTA, DISTRITO DE LAMPA, PROVINCIA DE LAMPA DEL DEPARTAMENTO DE PUNO.</t>
  </si>
  <si>
    <t>2676424: MEJORAMIENTO DE LA PLANTA PROCESADORA DE CAFE PARA LA ELABORACION DE CAFE TOSTADO MOLIDO DE LA COOPERATIVA AGRARIA CAFETALERA SAN IGNACIO LTDA., DISTRITO DE SAN PEDRO DE PUTINA PUNCO, PROVINCIA DE SANDIA, REGION DE PUNO</t>
  </si>
  <si>
    <t>2676426: MEJORAMIENTO DE LA PRODUCTIVIDAD Y GENERACION DE VALOR AGREGADO DEL GRANO DE QUINUA PARA SU COMERCIALIZACION EN LA ASOCIACION DE PRODUCTORES AGROPECUARIOS AGROINDUSTRIALES KAPIA DEL DISTRITO DE YUNGUYO, PROVINCIA DE YUNGUYO, DEPARTAMENTO DE PUNO.</t>
  </si>
  <si>
    <t>2676427: MEJORAMIENTO DE LA PRODUCCION DE LECHE FRESCA EN LA ASOCIACION DE PRODUCTORES AGROPECUARIOS, AGROINDUSTRIALES, ARTESANALES CCACCALLACTA AMPATUIRE ORURILLO, DISTRITO ORURILLO, PROVINCIA MELGAR, REGION PUNO</t>
  </si>
  <si>
    <t>  99.8</t>
  </si>
  <si>
    <t>2676430: MEJORAMIENTO DEL PROCESO DE PANIFICACION DE GRANOS ANDINOS EN LA ASOCIACION DE PRODUCTORES AGROPECUARIOS AGROINDUSTRIALES Y SERVICIOS MULTIPLES JC3 APAASM JC3 EN EL DISTRITO DE ILAVE PROVINCIA EL COLLAO REGION PUNO</t>
  </si>
  <si>
    <t>  95.2</t>
  </si>
  <si>
    <t>2676431: MEJORAMIENTO DE LA PRODUCCION TEXTIL DE FIBRA DE ALPACA EN LA ASOCIACION DE PRODUCTORES AGROPECUARIOS AGROINDUSTRIALES Y ARTESANOS HUAYLLAPUJO, DISTRITO DE SANTA ROSA, PROVINCIA DE EL COLLAO, REGION PUNO</t>
  </si>
  <si>
    <t>  3.6</t>
  </si>
  <si>
    <t>2676432: CREACION DE LA PLANTA DE PROCESO DE ELABORACION DE PAN DE QUINUA DE LA ASOCIACION DE TRANSFORMADORES DE GRANOS ANDINOS EN PANADERIA Y PASTELERIA ARTESANAL EL SOL DE LAMPA, DEL DISTRITO DE LAMPA, PROVINCIA DE LAMPA, REGION PUNO.</t>
  </si>
  <si>
    <t>  94.3</t>
  </si>
  <si>
    <t>2676433: MEJORAMIENTO DE LA CAPACIDAD PRODUCTIVA DE PRENDAS A BASE DE FIBRA DE ALPACA DE LA EMPRESA JOMATEX SRL, DISTRITO JULIACA, PROVINCIA SAN ROMAN, REGION PUNO.</t>
  </si>
  <si>
    <t>2676435: MEJORAMIENTO DEL PROCESO DE ENGORDE Y COMERCIALIZACION DE GANADO VACUNO EN LA ASOCIACION DE PRODUCTORES AGROPECUARIOS STMA. TRINIDAD DE CCACCAPUNCO EN EL DISTRITO DE VILQUE, PROVINCIA PUNO Y REGION PUNO</t>
  </si>
  <si>
    <t>2676436: AMPLIACION DE LA PLANTA PROCESADORA DE LECHE PARA LA ELABORACION DE QUESOS DE LA ASOCIACION DE PRODUCTORES DE LECHE Y DERIVADOS LACTEOS VIRGEN DE ASUNCION ROSASPATA, DISTRITO DE ROSASPATA, PROVINCIA DE HUANCANE, REGION PUNO</t>
  </si>
  <si>
    <t>2676438: MEJORAMIENTO DE LA PRODUCCION DE MIEL DE ABEJA DE LA ASOCIACION DE APICULTORES Y PRODUCTORES AGROPECUARIOS DEL VALLE YANAHUAYA, DEL DISTRITO DE YANAHUARA PROVINCIA DE SANDIA DEPARTAMENTO DE PUNO</t>
  </si>
  <si>
    <t>  99.9</t>
  </si>
  <si>
    <t>2676440: MEJORAMIENTO DE LA PRODUCCION Y LA PRODUCTIVIDAD DE QUESO TIPO PARIA PASTEURIZADO DE LA EMPRESA DE PRODUCCION AGROPECUARIA MICA ASUNCION SAC DEL, DISTRITO DE AZANGARO, PROVINCIA AZANGARO, DEPARTAMENTO PUNO.</t>
  </si>
  <si>
    <t>  65.2</t>
  </si>
  <si>
    <t>2680578: MEJORAMIENTO DEL PROCESO Y CALIDAD DEL QUESO TIPO PARIA DE LA ASOCIACION LACTEOS LIKHA QUINSACHATA SOCIEDAD COMERCIAL DE RESPONSABILIDAD LIMITADA, DISTRITO CABANILLA, PROVINCIA LAMPA, REGION PUNO.</t>
  </si>
  <si>
    <t>  3.4</t>
  </si>
  <si>
    <t>2681015: CREACION DEL SERVICIO DE EDUCACION SUPERIOR TECNOLOGICA EN INSTITUTO SUPERIOR TECNOLOGICO MARIANO CHANCATUMA EN LA LOCALIDAD DE ASILLO DISTRITO DE ASILLO DE LA PROVINCIA DE AZANGARO DEL DEPARTAMENTO DE PUNO</t>
  </si>
  <si>
    <t>  15.4</t>
  </si>
  <si>
    <t>2681019: MEJORAMIENTO DEL SERVICIO DE EDUCACION SECUNDARIA EN I.E. JOSE OLAYA BALANDRA DISTRITO DE JULIACA DE LA PROVINCIA DE SAN ROMAN DEL DEPARTAMENTO DE PUNO</t>
  </si>
  <si>
    <t>  34.2</t>
  </si>
  <si>
    <t>2681028: MEJORAMIENTO DEL SERVICIO DE EDUCACION SECUNDARIA EN I.E. JOSE CARLOS MARIATEGUI DISTRITO DE ILAVE DE LA PROVINCIA DE EL COLLAO DEL DEPARTAMENTO DE PUNO</t>
  </si>
  <si>
    <t>  86.5</t>
  </si>
  <si>
    <t>2681029: MEJORAMIENTO DEL SERVICIO DE EDUCACION SECUNDARIA EN I.E. CESAR VALLEJO DISTRITO DE HUANCANE DE LA PROVINCIA DE HUANCANE DEL DEPARTAMENTO DE PUNO</t>
  </si>
  <si>
    <t>  80.5</t>
  </si>
  <si>
    <t>2681037: MEJORAMIENTO DEL SERVICIO DE EDUCACION SECUNDARIA EN I.E. CENTENARIO PATAMBUCO DISTRITO DE PATAMBUCO DE LA PROVINCIA DE SANDIA DEL DEPARTAMENTO DE PUNO</t>
  </si>
  <si>
    <t>  91.5</t>
  </si>
  <si>
    <t>2681042: MEJORAMIENTO DEL SERVICIO DE EDUCACION SUPERIOR TECNOLOGICA EN EL INSTITUTO SUPERIOR TECNOLOGICO PUBLICA MAÑAZO DEL DISTRITO DE MAÑAZO DE LA PROVINCIA DE PUNO DEL DEPARTAMENTO DE PUNO</t>
  </si>
  <si>
    <t>  46.6</t>
  </si>
  <si>
    <t>2681054: MEJORAMIENTO DEL SERVICIO DE EDUCACION PRIMARIA EN I.E. 70291 DISTRITO DE HUACULLANI DE LA PROVINCIA DE CHUCUITO DEL DEPARTAMENTO DE PUNO</t>
  </si>
  <si>
    <t>  37.8</t>
  </si>
  <si>
    <t>2681074: MEJORAMIENTO DEL SERVICIO DE ATENCION DE SALUD BASICOS EN ALTO PAVITA DISTRITO DE ZEPITA DE LA PROVINCIA DE CHUCUITO DEL DEPARTAMENTO DE PUNO</t>
  </si>
  <si>
    <t>2681092: MEJORAMIENTO DEL SERVICIO DE TRANSITABILIDAD VIAL INTERURBANA EN LA CARRETERA EMP. PU 115: VIZCACHANI, - TOQUEPANI - LLOCOLLOCO - EMP. PU 115: INCHUPALLA DISTRITOS DE HUATASANI, INCHUPALLA DE LA PROVINCIA DE HUANCANE DEL DEPARTAMENTO DE PUNO</t>
  </si>
  <si>
    <t>2681096: MEJORAMIENTO DEL SERVICIO DE TRANSITABILIDAD VIAL INTERURBANA EN LA CARRETERA EMP. PE-3S (CHUA CHUA) - MOLINO - CHALLAPAMPA SANTA ROSA - EMP. PU-130 (TACAPISI), QUECCUANI - COPANI DE LOS DISTRITOS DE ZEPITA, COPANI DE LAS PROVINCIAS DE CHUCUITO, YUNGUYO DEL DEPARTAMENTO DE PUNO</t>
  </si>
  <si>
    <t>  40.7</t>
  </si>
  <si>
    <t>2681120: MEJORAMIENTO TECNOLOGICO DEL VALOR AGREGADO DE HABAS EN LA ASOCIACION DE PRODUCTORES AGRARIOS Y PECUARIOS NUEVO PROGRESO TAUCAMAYA, DISTRITO DE COPANI, PROVINCIA DE YUNGUYO, REGION PUNO.</t>
  </si>
  <si>
    <t>  96.7</t>
  </si>
  <si>
    <t>2681121: MEJORAMIENTO DE LA PRODUCCION DE PRENDAS DE ARTESANIA TEXTIL EN LA ASOCIACION DE PRODUCTORES RITA POMA DEL TAWANTINSUYO PUNO, DISTRITO PUNO, PROVINCIA PUNO Y REGION PUNO</t>
  </si>
  <si>
    <t>2681123: MEJORAMIENTO EN EL PROCESO DE VALOR AGREGADO DE TRUCHAS EN LA EMPRESA AMERICAN TROUT FARO S.R.L. EN EL DISTRITO DE POMATA, PROVINCIA DE CHUCUITO Y DEPARTAMENTO DE PUNO.</t>
  </si>
  <si>
    <t>2681125: MEJORAMIENTO DE LA PRODUCTIVIDAD Y CALIDAD DE LECHE FRESCA EN LA ASOCIACION DE PRODUCTORES AGROPECUARIOS DE GANADO VACUNO LECHERO ARTESANAL KANCHAQ WASI DE COMUNIDAD COLCA ATUNCOLLA, DISTRITO DE ATUNCOLLA, PROVINCIA DE PUNO, REGION PUNO</t>
  </si>
  <si>
    <t>2681128: MEJORAMIENTO DE LA PRODUCCION DE QUESOS TIPO PARIA DE LA ASOCIACION DE PRODUCTORES ORGANICOS AGROPECUARIOS Y AGROINDUSTRIALES LA LIBERTAD NUNOA, DISTRITO DE NUNOA, PROVINCIA DE MELGAR, REGION PUNO</t>
  </si>
  <si>
    <t>2681129: CREACION DE UN TALLER TEXTIL PARA LA ELABORACION DE PRENDAS DE VESTIR Y ARTICULOS DE FIBRA DE ALPACA, DE LA ASOCIACION 24 DE JUNIO CHAJANA EN EL DISTRITO DE COJATA, PROVINCIA DE HUANCANE, DEPARTAMENTO DE PUNO</t>
  </si>
  <si>
    <t>2681130: MEJORAMIENTO DE LA PRODUCCION DEL ENVASADO DE AGUA DE MESA DE LA EMPRESA GRUPO ANCCASI SOCIEDAD ANONIMA CERRADA DEL DISTRITO DE CORANI, PROVINCIA CARABAYA, DEPARTAMENTO PUNO</t>
  </si>
  <si>
    <t>2681132: MEJORAMIENTO DE LA CAPACIDAD PRODUCTIVA DE CAFE TOSTADO Y MOLIDO EN LA COOPERATIVA AGRARIA EN INNOVACION TECNOLOGICA MONTANA AZUL LIMITADA, DISTRITO DE SAN PEDRO DE PUTINA PUNCO, PROVINCIA DE SANDIA, REGION PUNO.</t>
  </si>
  <si>
    <t>  88.8</t>
  </si>
  <si>
    <t>2681133: MEJORAMIENTO DE LA PRODUCCION DE QUESOS TIPO PARIA PASTEURIZADO DE LA CENTRAL DE ASOCIACIONES GANADEROS LECHEROS Y AGRARIOS DEL DISTRITO DE VILQUE, DISTRITO DE VILQUE, PROVINCIA DE PUNO, REGION PUNO</t>
  </si>
  <si>
    <t>2681141: MEJORAMIENTO DEL SERVICIO DE ATENCION DE SALUD BASICOS EN HUACULLANI DISTRITO DE HUACULLANI DE LA PROVINCIA DE CHUCUITO DEL DEPARTAMENTO DE PUNO</t>
  </si>
  <si>
    <t>2681264: MEJORAMIENTO DEL SERVICIO DE TRANSITABILIDAD VIAL INTERURBANA EN LA CARRETERA PU-727 (PUCARA - CHIJNAYA) DEL DISTRITO DE PUCARA DE LA PROVINCIA DE LAMPA DEL DEPARTAMENTO DE PUNO</t>
  </si>
  <si>
    <t>  86.7</t>
  </si>
  <si>
    <t>2681274: MEJORAMIENTO DEL PROCESO DE PRODUCCION DE ARTICULOS MECANICOS EN LA CORPORACION MARSAD S.A.C. DEL DISTRITO DE PUNO, PROVINCIA DE PUNO, REGION DE PUNO</t>
  </si>
  <si>
    <t>2681276: MEJORAMIENTO EN LA CAPACIDAD TECNICA DE PRODUCCION DE PRENDAS DE TEXTIL DE TEJIDO A MANO DE ALTO RELIEVE DE FIBRA DE ALPACA DE LA ASOCIACION DE MUJERES ARTESANAS VIRGEN DE CANDELARIA PICHACANI QUIRINE DISTRITO MACARI, PROVINCIA MELGAR, REGION PUNO</t>
  </si>
  <si>
    <t>2681278: MEJORAMIENTO DEL PROCESO DE PRODUCCION DE SELECCIONADOR DE TRUCHAS EN MAQUINARIAS ACUITROUT SOCIEDAD COMERCIAL DE RESPONSABILIDAD DE LA COMUNIDAD DE KOLLPAJAHUIRA, DISTRITO DE JULI, PROVINCIA DE CHUCUITO, DEPARTAMENTO DE PUNO</t>
  </si>
  <si>
    <t>  2.1</t>
  </si>
  <si>
    <t>2681358: MEJORAMIENTO Y AMPLIACION DEL SERVICIO DE PROVISION DE AGUA PARA RIEGO EN LOS SECTORES DE ALBERTONI Y AGUADA DE LA COMUNIDAD DE LLUSTA, DISTRITO DE SANTA ROSA DE LA PROVINCIA DE EL COLLAO DEL DEPARTAMENTO DE PUNO</t>
  </si>
  <si>
    <t>  59.1</t>
  </si>
  <si>
    <t>2682870: MEJORAMIENTO DEL SERVICIO DE TRANSITABILIDAD VIAL INTERURBANA EN LA CARRETERA EMP. PE 34L (PUENTE ANTAJARANI) - C.P. MACHACAMARCA YAPUTIRA, - C.P. HALLA - ALTOGRANDE - EMP. PU-148 (C.C. UMABAMBA) DISTRITOS DE VILQUE CHICO, COJATA DE LA PROVINCIA DE HUANCANE DEL DEPARTAMENTO DE PUNO</t>
  </si>
  <si>
    <t>  71.3</t>
  </si>
  <si>
    <t>2683535: MEJORAMIENTO DEL SERVICIO DE SEGURIDAD CIUDADANA LOCAL EN 73 UNIDADES PRODUCTORAS 73 DISTRITOS DE 11 PROVINCIAS DEL DEPARTAMENTO DE PUNO 11 PROVINCIAS DEL DEPARTAMENTO DE PUNO</t>
  </si>
  <si>
    <t>  86.0</t>
  </si>
  <si>
    <t>2684028: ADQUISICION DE AMBULANCIA URBANA; EN ONCE ESTABLECIMIENTOS DE SALUD II.1, ESTABLECIMIENTOS DE SALUD II.2 A NIVEL DEPARTAMENTAL (PUNO)</t>
  </si>
  <si>
    <t>2684838: MEJORAMIENTO Y AMPLIACION DEL SERVICIO DE LIMPIEZA PUBLICA EN 7 UNIDADES PRODUCTORAS 7 DISTRITOS DE LA PROVINCIA DE MELGAR DEL DEPARTAMENTO DE PUNO</t>
  </si>
  <si>
    <t>2685431: ADQUISICION DE AMBULANCIA URBANA, CAMIONETA, CAMION PLATAFORMA Y CAMION CISTERNA; ADEMAS DE OTROS ACTIVOS EN CINCO COMPAÑIA DE BOMBEROS A NIVEL DEPARTAMENTAL (PUNO)</t>
  </si>
  <si>
    <t>  2.7</t>
  </si>
  <si>
    <t>2685776: ADQUISICION DE ANALIZADOR DE GASES Y ELECTROLITOS, ESPECTROFOTOMETRO, EQUIPO DE RAYOS X DENTAL Y BIDESTILADOR DE AGUA; ADEMAS DE OTROS ACTIVOS EN EL(LA) MOHO DISTRITO DE MOHO, PROVINCIA MOHO, DEPARTAMENTO PUNO</t>
  </si>
  <si>
    <t>  11.6</t>
  </si>
  <si>
    <t>2690009: CONSTRUCCION DE LOSA DEPORTIVA; ADQUISICION DE EQUIPAMIENTO DE AULA DE INNOVACION PEDAGOGICA Y MOBILIARIO DE AULA DE INNOVACION PEDAGOGICA; EN EL(LA) I.E. 70064 SAN MARTIN DE PORRES DISTRITO DE PUNO, PROVINCIA PUNO, DEPARTAMENTO PUNO</t>
  </si>
  <si>
    <t>  68.1</t>
  </si>
  <si>
    <t>2691682: ADQUISICION DE MESA DE OPERACIONES HIDRAULICA/ELECTRICA, EQUIPO ECOGRAFO - ULTRASONIDO, EQUIPO ECOGRAFO Y ELECTROENCEFALOGRAFO; ADEMAS DE OTROS ACTIVOS EN EL(LA) ANTONIO BARRIONUEVO (LAMPA) DISTRITO DE LAMPA, PROVINCIA LAMPA, DEPARTAMENTO PUNO</t>
  </si>
  <si>
    <t>  29.9</t>
  </si>
  <si>
    <t>2692290: ADQUISICION DE EQUIPO DE ANESTESIA, VENTILADOR MECANICO, SISTEMA DE CIRUGIA LAPAROSCOPICA Y SISTEMA DE VIDEO GASTROENDOSCOPIA; ADEMAS DE OTROS ACTIVOS EN EL(LA) HOSPITAL SAN MARTIN DE PORRES DISTRITO DE MACUSANI, PROVINCIA CARABAYA, DEPARTAMENTO PUNO</t>
  </si>
  <si>
    <t>  1.3</t>
  </si>
  <si>
    <t>2692317: CONSTRUCCION DE PLATAFORMA Y DRENAJE TRANSVERSAL; REPARACION DE PLATAFORMA; ADQUISICION DE DISPOSITIVO DE CONTROL DE TRANSITO; EN EL(LA) CARRETERA PU-111 (EMP. JR. SULLANA - EMP. JR. LIMA) DISTRITO DE AZANGARO, PROVINCIA AZANGARO, DEPARTAMENTO PUNO</t>
  </si>
  <si>
    <t>  53.3</t>
  </si>
  <si>
    <t>2692840: ADQUISICION DE EQUIPO DE AULA DE EDUCACION PRIMARIA; EN EL(LA) I.E. GLORIOSO SAN CARLOS DISTRITO DE PUNO, PROVINCIA PUNO, DEPARTAMENTO PUNO</t>
  </si>
  <si>
    <t>  88.3</t>
  </si>
  <si>
    <t>2692846: ADQUISICION DE EQUIPO ECOGRAFO, MESA HIDRAULICA PARA OPERACION QUIRURGICA, LAVADORA SECADORA AUTOMATICA Y INCUBADORA DE TRANSPORTE (SAMU); ADEMAS DE OTROS ACTIVOS EN EL(LA) CARLOS CORNEJO ROSELLO DISTRITO DE AZANGARO, PROVINCIA AZANGARO, DEPARTAMENTO PUNO</t>
  </si>
  <si>
    <t>  37.3</t>
  </si>
  <si>
    <t>2693367: ADQUISICION DE EQUIPO DE ANESTESIA, ELECTROBISTURI, ELECTROBISTURI Y ELECTROBISTURI; ADEMAS DE OTROS ACTIVOS EN EL(LA) SAN JUAN DE DIOS (AYAVIRI) JR SANTA ROSA DISTRITO DE AYAVIRI, PROVINCIA MELGAR, DEPARTAMENTO PUNO</t>
  </si>
  <si>
    <t>2693441: ADQUISICION DE EQUIPO DE AULA DE EDUCACION SECUNDARIA; EN EL(LA) I.E. GLORIOSO SAN CARLOS DISTRITO DE PUNO, PROVINCIA PUNO, DEPARTAMENTO PUNO</t>
  </si>
  <si>
    <t>2694246: ADQUISICION DE MAMOGRAFO, COLONOVIDEOENDOSCOPIO, MESA DE OPERACIONES HIDRAULICA/ELECTRICA Y CALDERO; ADEMAS DE OTROS ACTIVOS EN EL(LA) HOSPITAL REGIONAL MANUEL NUÑEZ BUTRON HOSPITAL REGIONAL MANUEL NUÑEZ BUTRON DISTRITO DE PUNO, PROVINCIA PUNO, DEPARTAMENTO PUNO</t>
  </si>
  <si>
    <t>2694640: ADQUISICION DE EQUIPO ECOGRAFO, EQUIPO ECOGRAFO, EQUIPO ECOGRAFO Y EQUIPO ECOGRAFO; ADEMAS DE OTROS ACTIVOS EN NUEVE ESTABLECIMIENTOS DE SALUD I.2, ESTABLECIMIENTOS DE SALUD I.3, ESTABLECIMIENTOS DE SALUD I.1 A NIVEL PROVINCIAL (PUNO - MELGAR)</t>
  </si>
  <si>
    <t>2694772: 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t>
  </si>
  <si>
    <t>2695768: REPARACION DE SALA DE CUIDADOS INTENSIVOS; EN EL(LA) CARLOS MONJE MEDRANO DISTRITO DE JULIACA, PROVINCIA SAN ROMAN, DEPARTAMENTO PUNO</t>
  </si>
  <si>
    <t>2695845: MEJORAMIENTO DEL SERVICIO DE EDUCACION SECUNDARIA EN I.E. SAN FRANCISCO DE BORJA DISTRITO DE TARACO DE LA PROVINCIA DE HUANCANE DEL DEPARTAMENTO DE PUNO</t>
  </si>
  <si>
    <t>  43.0</t>
  </si>
  <si>
    <t>2699544: ADQUISICION DE EQUIPAMIENTO DE AULA; EN SIETE II.EE. INICIAL DISTRITO DE SAN JUAN DE SALINAS, PROVINCIA AZANGARO, DEPARTAMENTO PUNO</t>
  </si>
  <si>
    <t>2699546: ADQUISICION DE EQUIPAMIENTO DE AULA DE INNOVACION PEDAGOGICA; EN OCHO II.EE. PRIMARIA DISTRITO DE SAN JUAN DE SALINAS, PROVINCIA AZANGARO, DEPARTAMENTO PUNO</t>
  </si>
  <si>
    <t>  99.7</t>
  </si>
  <si>
    <t>2699927: CONSTRUCCION DE INSTALACIONES EXTERIORES DE SERVICIOS BASICOS Y CASA DE FUERZA; EN EL(LA) HOSPITAL SANDIA EN EL CENTRO POBLADO SANDIA, DISTRITO DE SANDIA, PROVINCIA SANDIA, DEPARTAMENTO PUNO</t>
  </si>
  <si>
    <t>  92.0</t>
  </si>
  <si>
    <t>2700348: MEJORAMIENTO DEL SERVICIO DE EDUCACION PRIMARIA EN I.E. 70288 DISTRITO DE DESAGUADERO DE LA PROVINCIA DE CHUCUITO DEL DEPARTAMENTO DE PUNO</t>
  </si>
  <si>
    <t>  93.9</t>
  </si>
  <si>
    <t>2707256: ADQUISICION DE SISTEMA DE VIDEO GASTROENDOSCOPIA, GRUPO ELECTROGENO, EQUIPO ECOGRAFO - ULTRASONIDO Y LAVADORA SECADORA AUTOMATICA; ADEMAS DE OTROS ACTIVOS EN EL(LA) CARLOS MONJE MEDRANO DISTRITO DE JULIACA, PROVINCIA SAN ROMAN, DEPARTAMENTO PUNO</t>
  </si>
  <si>
    <t>2710291: MEJORAMIENTO DEL SERVICIO DE TRANSITABILIDAD VIAL INTERURBANA EN LA CARRETERA SAMAN (EMP. PU 804) - JUCCHILLY (DV. CHUCARIPO),PESQUERIA (EMP. PU - 113), CHUCARIPO-TITIHUE (EMP. PU 154), DV. QUEJON MOCCO (EMP. PU - 804) - QUEJON MOCCO -HOCUATA DE LOS DISTRITOS DE SAMAN, HUANCANE DE LAS PROVINCIAS DE AZANGARO, HUANCANE DEL DEPARTAMENTO DE PUNO</t>
  </si>
  <si>
    <t>2711034: ADQUISICION DE ESTERILIZADOR; EN SIETE ESTABLECIMIENTOS DE SALUD II.1, ESTABLECIMIENTOS DE SALUD II.2 DISTRITO DE PUNO, PROVINCIA PUNO, DEPARTAMENTO PUNO</t>
  </si>
  <si>
    <t>2714049: REPARACION DE CAMPO DEPORTIVO; EN EL(LA) POLIDEPORTIVO AZANGARO DISTRITO DE AZANGARO, PROVINCIA AZANGARO, DEPARTAMENTO PUNO</t>
  </si>
  <si>
    <t>  48.2</t>
  </si>
  <si>
    <t>2714101: REMODELACION DE AMBIENTE ADMINISTRATIVO; CONSTRUCCION DE AMBIENTE COMPLEMENTARIO; ADQUISICION DE EMBARCACION Y BARCAZA; ADEMAS DE OTROS ACTIVOS EN EL(LA) CENTRO ACUICOLA DE LLAQUEPA Y BARCO - DIREPRO DISTRITO DE CHUCUITO, PROVINCIA PUNO, DEPARTAMENTO PUNO</t>
  </si>
  <si>
    <t>2717147: MEJORAMIENTO DE LOS SERVICIOS TURISTICOS DE AVENTURA Y ALOJAMIENTO RURAL EN LA ASOCIACION DE TURISMO VIVENCIAL COMUNITARIO LUQUINA CHICO, DISTRITO CHUCUITO, PROVINCIA PUNO, REGION PUNO.</t>
  </si>
  <si>
    <t>2717148: MEJORAMIENTO DE LA PRODUCCION DE LECHE FRESCA EN LA ASOCIACION DE PRODUCTORES AGROPECUARIOS FORUNTANI SAMAN, DISTRITO DE SAMAN, PROVINCIA DE AZANGARO Y REGION DE PUNO</t>
  </si>
  <si>
    <t>  73.2</t>
  </si>
  <si>
    <t>2717149: MEJORAMIENTO EN LA PRODUCCION DE HILOS ARTESANALES DE LA ASOCIACION DE PRODUCTORES DE CAMELIDOS SUDAMERICANOS, ARTESANAL Y AGRICOLA TIKARIY PAMPA DEL DIST, DISTRITO MACUSANI, PROVINCIA CARABAYA, REGION PUNO</t>
  </si>
  <si>
    <t>2717150: MEJORAMIENTO DEL PROCESO PRODUCTIVO Y EL VALOR CULTURAL DE LAS CERAMICAS DE LA ASOCIACION DE ARTESANOS PRODUCTORES MUSUQ PAQARIY PUKARA, DEL DISTRITO DE PUCARA, PROVINCIA DE LAMPA, DEPARTAMENTO DE PUNO</t>
  </si>
  <si>
    <t>2717151: MEJORAMIENTO DE LA PRODUCCION DE LECHE FRESCA EN LA ASOCIACION DE PRODUCTORES AGROPECUARIOS SUMAC KANCHAY DE LA LIBERTAD NUNOA MELGAR PUNO, DISTRITO DE NUNOA, PROVINCIA DE MELGAR Y REGION PUNO</t>
  </si>
  <si>
    <t>  94.5</t>
  </si>
  <si>
    <t>2717152: MEJORAMIENTO DE LA PRODUCCION DE LECHE EN LA ASOCIACION DE PRODUCTORES AGROPECUARIOS LUZ Y VIDA DE LA COMUNIDAD DE NAUPAPAMPA DE DISTRITO DE ASILLO, PROVINCIA DE AZANGARO, REGION PUNO.</t>
  </si>
  <si>
    <t>2717153: MEJORAMIENTO Y AMPLIACION DE LA PRODUCCION Y COMERCIALIZACION DE CAFE TOSTADO MOLIDO Y FILTRANTE DE LA COOPERATIVA AGRARIA CAFETALERA SAN JORGE LTDA., DISTRITO DE SAN PEDRO DE PUTINA PUNCO, PROVINCIA DE SANDIA, REGION DE PUNO</t>
  </si>
  <si>
    <t>  4.5</t>
  </si>
  <si>
    <t>2717154: MEJORAMIENTO DE LA CAPACIDAD PRODUCTIVA DE QUESO PARIA PASTEURIZADO EN LA ASOCIACION DE PRODUCTORES AGROPECUARIOS VIRGEN DEL CARMEN BALSAPATA, DISTRITO ORURILLO, PROVINCIA MELGAR, REGION PUNO</t>
  </si>
  <si>
    <t>2717155: MEJORAMIENTO DE LA PRODUCCION DE LECHE FRESCA EN LA ASOCIACION DE PRODUCTORES AGROPECUARIOS Y AGROINDUSTRIALES SAN JUAN DE LA PROVINCIA DE MELGAR PUNO DE DISTRITO DE ORURILLO, PROVINCIA DE MELGAR, REGION PUNO.</t>
  </si>
  <si>
    <t>  92.5</t>
  </si>
  <si>
    <t>2717156: MEJORAMIENTO DE LA PRODUCCION Y LA COMERCIALIZACION DE LECHE FRESCA EN LA ORGANIZACION DE PRODUCTORES SAN JUAN DE FAON DEL DISTRITO DE HUATA, PROVINCIA DE PUNO, DEPARTAMENTO DE PUNO.</t>
  </si>
  <si>
    <t>  89.6</t>
  </si>
  <si>
    <t>2717157: MEJORAMIENTO DE LA PRODUCCION Y ENGORDE DE GANADO VACUNO A TRAVES DE LA OPTIMIZACION DE LA ALIMENTACION EN LA ASOCIACION DE PRODUCTORES AGROPECUARIOS EL TORITO BRAVO DEL DISTRITO DE QUILCAPUNCO, PROVINCIA DE SAN ANTONIO DE PUTINA, REGION PUNO.</t>
  </si>
  <si>
    <t>  11.7</t>
  </si>
  <si>
    <t>2717158: MEJORAMIENTO DE LA PRODUCCION DE PACAS EN LA ASOCIACION DE PRODUCTORES AGROPECUARIOS Y FORESTALES SAN PEDRO DE FRAYLIMA, DISTRITO DE AZANGARO, PROVINCIA AZANGARO Y DEPARTAMENTO DE PUNO</t>
  </si>
  <si>
    <t>2717159: MEJORAMIENTO DEL PROCESO DE PRODUCCION DE QUESO PARIA DE LA ASOCIACION DE PRODUCTORES AGROPECUARIOS DE DERIVADOS LACTEOS VILLA ORURILLO EN EL DISTRITO DE ORURILLO, PROVINCIA DE MELGAR, REGION DE PUNO.</t>
  </si>
  <si>
    <t>  72.9</t>
  </si>
  <si>
    <t>2717160: MEJORAMIENTO DEL SISTEMA PRODUCTIVO DEL CULTIVO DE QUINUA EN LA ASOCIACION AGROPECUARIA ECOLOGICA SURPERU, DISTRITO DE PILCUYO, PROVINCIA DE EL COLLAO REGION PUNO</t>
  </si>
  <si>
    <t>  3.3</t>
  </si>
  <si>
    <t>2717161: MEJORAMIENTO DE LA CAPACIDAD DE TRANSFORMACION DE CHIPS DE PAPA NATIVA, EN LA AEO ASOCIACION DE PRODUCTORES MULTIPLES SAN ISIDRO DE TANTAMACO DEL DISTRITO DE MACUSANI, PROVINCIA DE CARABAYA, REGION DE PUNO</t>
  </si>
  <si>
    <t>  16.3</t>
  </si>
  <si>
    <t xml:space="preserve">Saldo No Certificado </t>
  </si>
  <si>
    <t xml:space="preserve">Saldo No Comprometido </t>
  </si>
  <si>
    <t>Saldo No Devengado</t>
  </si>
  <si>
    <t>Saldo Certificado No Comprometido</t>
  </si>
  <si>
    <t>% Saldo No Comprometido</t>
  </si>
  <si>
    <t xml:space="preserve">% Devengado </t>
  </si>
  <si>
    <t>SI-PMI</t>
  </si>
  <si>
    <t>NO-PMI</t>
  </si>
  <si>
    <t>Proyectos que NO-PMI</t>
  </si>
  <si>
    <t xml:space="preserve">PIM </t>
  </si>
  <si>
    <t>Proyectos que NO-Cert-Comp</t>
  </si>
  <si>
    <t xml:space="preserve">Proyectos que Solo Certificaron </t>
  </si>
  <si>
    <t>Registra en la PMI</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</si>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</sst>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quot;S/&quot;\ #,##0.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
      <b/>
      <sz val="11"/>
      <color theme="4" tint="-0.249977111117893"/>
      <name val="Arial"/>
      <family val="2"/>
    </font>
    <font>
      <b/>
      <sz val="11"/>
      <color theme="1"/>
      <name val="Arial"/>
      <family val="2"/>
    </font>
    <font>
      <i/>
      <sz val="11"/>
      <color theme="1"/>
      <name val="Arial"/>
      <family val="2"/>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
      <patternFill patternType="solid">
        <fgColor theme="0" tint="-4.9989318521683403E-2"/>
        <bgColor indexed="64"/>
      </patternFill>
    </fill>
    <fill>
      <patternFill patternType="solid">
        <fgColor theme="9"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top style="medium">
        <color rgb="FFDDDDDD"/>
      </top>
      <bottom/>
      <diagonal/>
    </border>
    <border>
      <left style="medium">
        <color rgb="FFDDDDDD"/>
      </left>
      <right/>
      <top/>
      <bottom style="medium">
        <color rgb="FFDDDDDD"/>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6" fillId="34" borderId="10" xfId="0" applyFont="1" applyFill="1" applyBorder="1" applyAlignment="1">
      <alignment horizontal="center" vertical="center" wrapText="1"/>
    </xf>
    <xf numFmtId="0" fontId="26" fillId="34" borderId="10" xfId="0" applyFont="1" applyFill="1" applyBorder="1" applyAlignment="1">
      <alignment horizontal="center" vertical="center"/>
    </xf>
    <xf numFmtId="0" fontId="26" fillId="34" borderId="11" xfId="0" applyFont="1" applyFill="1" applyBorder="1" applyAlignment="1">
      <alignment horizontal="center" vertical="center" wrapText="1"/>
    </xf>
    <xf numFmtId="0" fontId="26" fillId="34" borderId="12"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wrapText="1"/>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3" fontId="25" fillId="33" borderId="10" xfId="0" applyNumberFormat="1" applyFont="1" applyFill="1" applyBorder="1" applyAlignment="1">
      <alignment horizontal="right" wrapText="1"/>
    </xf>
    <xf numFmtId="0" fontId="25" fillId="33" borderId="10" xfId="0" applyFont="1" applyFill="1" applyBorder="1" applyAlignment="1">
      <alignment horizontal="right" wrapText="1"/>
    </xf>
    <xf numFmtId="0" fontId="25" fillId="33" borderId="10" xfId="0" applyFont="1" applyFill="1" applyBorder="1" applyAlignment="1">
      <alignment horizontal="left" vertical="top" wrapText="1"/>
    </xf>
    <xf numFmtId="0" fontId="26" fillId="34" borderId="16" xfId="0" applyFont="1" applyFill="1" applyBorder="1" applyAlignment="1">
      <alignment horizontal="center" vertical="center" wrapText="1"/>
    </xf>
    <xf numFmtId="0" fontId="26" fillId="34" borderId="17" xfId="0" applyFont="1" applyFill="1" applyBorder="1" applyAlignment="1">
      <alignment horizontal="center" vertical="center" wrapText="1"/>
    </xf>
    <xf numFmtId="0" fontId="25" fillId="33" borderId="13" xfId="0" applyFont="1" applyFill="1" applyBorder="1" applyAlignment="1">
      <alignment horizontal="right"/>
    </xf>
    <xf numFmtId="0" fontId="25" fillId="33" borderId="13" xfId="0" applyFont="1" applyFill="1" applyBorder="1" applyAlignment="1">
      <alignment horizontal="right" wrapText="1"/>
    </xf>
    <xf numFmtId="0" fontId="27" fillId="35" borderId="18" xfId="0" applyFont="1" applyFill="1" applyBorder="1" applyAlignment="1">
      <alignment horizontal="center" vertical="center" wrapText="1"/>
    </xf>
    <xf numFmtId="3" fontId="25" fillId="35" borderId="18" xfId="0" applyNumberFormat="1" applyFont="1" applyFill="1" applyBorder="1"/>
    <xf numFmtId="3" fontId="6" fillId="2" borderId="10" xfId="7" applyNumberFormat="1" applyBorder="1" applyAlignment="1">
      <alignment horizontal="right" wrapText="1"/>
    </xf>
    <xf numFmtId="0" fontId="6" fillId="2" borderId="10" xfId="7" applyBorder="1" applyAlignment="1">
      <alignment horizontal="right" wrapText="1"/>
    </xf>
    <xf numFmtId="10" fontId="25" fillId="35" borderId="18" xfId="1" applyNumberFormat="1" applyFont="1" applyFill="1" applyBorder="1"/>
    <xf numFmtId="0" fontId="29" fillId="36" borderId="10" xfId="0" applyFont="1" applyFill="1" applyBorder="1" applyAlignment="1">
      <alignment horizontal="left" vertical="top" wrapText="1"/>
    </xf>
    <xf numFmtId="3" fontId="29" fillId="36" borderId="10" xfId="0" applyNumberFormat="1" applyFont="1" applyFill="1" applyBorder="1" applyAlignment="1">
      <alignment horizontal="right" wrapText="1"/>
    </xf>
    <xf numFmtId="0" fontId="29" fillId="36" borderId="13" xfId="0" applyFont="1" applyFill="1" applyBorder="1" applyAlignment="1">
      <alignment horizontal="right" wrapText="1"/>
    </xf>
    <xf numFmtId="3" fontId="29" fillId="36" borderId="18" xfId="0" applyNumberFormat="1" applyFont="1" applyFill="1" applyBorder="1"/>
    <xf numFmtId="0" fontId="29" fillId="36" borderId="10" xfId="0" applyFont="1" applyFill="1" applyBorder="1" applyAlignment="1">
      <alignment horizontal="right" wrapText="1"/>
    </xf>
    <xf numFmtId="3" fontId="8" fillId="4" borderId="10" xfId="9" applyNumberFormat="1" applyBorder="1" applyAlignment="1">
      <alignment horizontal="right" wrapText="1"/>
    </xf>
    <xf numFmtId="0" fontId="8" fillId="4" borderId="10" xfId="9" applyBorder="1" applyAlignment="1">
      <alignment horizontal="right" wrapText="1"/>
    </xf>
    <xf numFmtId="0" fontId="25" fillId="33" borderId="0" xfId="0" applyFont="1" applyFill="1"/>
    <xf numFmtId="0" fontId="28" fillId="33" borderId="0" xfId="0" applyFont="1" applyFill="1"/>
    <xf numFmtId="4" fontId="28" fillId="33" borderId="0" xfId="0" applyNumberFormat="1" applyFont="1" applyFill="1"/>
    <xf numFmtId="0" fontId="25" fillId="35" borderId="18" xfId="0" applyFont="1" applyFill="1" applyBorder="1" applyAlignment="1">
      <alignment horizontal="left" vertical="top" wrapText="1"/>
    </xf>
    <xf numFmtId="171" fontId="25" fillId="35" borderId="18" xfId="0" applyNumberFormat="1" applyFont="1" applyFill="1" applyBorder="1" applyAlignment="1">
      <alignment horizontal="right" vertical="center" wrapText="1"/>
    </xf>
    <xf numFmtId="0" fontId="27" fillId="33" borderId="18" xfId="0" applyFont="1" applyFill="1" applyBorder="1" applyAlignment="1">
      <alignment horizontal="center"/>
    </xf>
    <xf numFmtId="171" fontId="27" fillId="33" borderId="18" xfId="0" applyNumberFormat="1" applyFont="1" applyFill="1" applyBorder="1" applyAlignment="1">
      <alignment horizontal="center" vertical="center"/>
    </xf>
    <xf numFmtId="0" fontId="25" fillId="33" borderId="0" xfId="0" applyFont="1" applyFill="1" applyAlignment="1">
      <alignment horizontal="left" vertical="top"/>
    </xf>
    <xf numFmtId="171" fontId="25" fillId="35" borderId="18" xfId="0" applyNumberFormat="1" applyFont="1" applyFill="1" applyBorder="1" applyAlignment="1">
      <alignment horizontal="right" vertical="top" wrapText="1"/>
    </xf>
    <xf numFmtId="3" fontId="25" fillId="35" borderId="18" xfId="0" applyNumberFormat="1" applyFont="1" applyFill="1" applyBorder="1" applyAlignment="1">
      <alignment horizontal="left" vertical="top" wrapText="1"/>
    </xf>
    <xf numFmtId="0" fontId="30" fillId="0" borderId="0" xfId="0" applyFont="1"/>
    <xf numFmtId="171" fontId="27" fillId="33" borderId="18" xfId="0" applyNumberFormat="1" applyFont="1" applyFill="1" applyBorder="1" applyAlignment="1">
      <alignment horizontal="center"/>
    </xf>
    <xf numFmtId="0" fontId="30" fillId="35" borderId="18" xfId="0" applyFont="1" applyFill="1" applyBorder="1"/>
    <xf numFmtId="171" fontId="30" fillId="35" borderId="18" xfId="0" applyNumberFormat="1" applyFont="1" applyFill="1" applyBorder="1"/>
    <xf numFmtId="0" fontId="25" fillId="35" borderId="18" xfId="0" applyFont="1" applyFill="1" applyBorder="1" applyAlignment="1">
      <alignment horizontal="center" vertical="center"/>
    </xf>
    <xf numFmtId="0" fontId="25" fillId="35" borderId="18" xfId="0" applyFont="1" applyFill="1" applyBorder="1"/>
    <xf numFmtId="0" fontId="27" fillId="33" borderId="19" xfId="0" applyFont="1" applyFill="1" applyBorder="1" applyAlignment="1">
      <alignment horizontal="center"/>
    </xf>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Neutral" xfId="9" builtinId="28" customBuiltin="1"/>
    <cellStyle name="Normal" xfId="0" builtinId="0"/>
    <cellStyle name="Notas" xfId="16" builtinId="10" customBuiltin="1"/>
    <cellStyle name="Porcentaje" xfId="1" builtinId="5"/>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8">
    <dxf>
      <font>
        <b/>
        <i/>
      </font>
      <fill>
        <patternFill>
          <bgColor theme="9"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font>
      <fill>
        <patternFill>
          <bgColor theme="9" tint="0.59996337778862885"/>
        </patternFill>
      </fill>
    </dxf>
    <dxf>
      <font>
        <color rgb="FF006100"/>
      </font>
      <fill>
        <patternFill>
          <bgColor rgb="FFC6EFCE"/>
        </patternFill>
      </fill>
    </dxf>
    <dxf>
      <font>
        <color rgb="FF006100"/>
      </font>
      <fill>
        <patternFill>
          <bgColor rgb="FFC6EFCE"/>
        </patternFill>
      </fill>
    </dxf>
    <dxf>
      <font>
        <b/>
        <i/>
      </font>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file:///C:\Users\GORE-PUN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66675</xdr:rowOff>
    </xdr:to>
    <xdr:pic>
      <xdr:nvPicPr>
        <xdr:cNvPr id="2049" name="Picture 1">
          <a:extLst>
            <a:ext uri="{FF2B5EF4-FFF2-40B4-BE49-F238E27FC236}">
              <a16:creationId xmlns:a16="http://schemas.microsoft.com/office/drawing/2014/main" id="{DBB48E53-67E6-4D5A-8663-A853302CC7ED}"/>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2"/>
  <sheetViews>
    <sheetView showGridLines="0" tabSelected="1" topLeftCell="A414" zoomScaleNormal="100" workbookViewId="0">
      <selection activeCell="A492" sqref="A492"/>
    </sheetView>
  </sheetViews>
  <sheetFormatPr baseColWidth="10" defaultRowHeight="9.75" x14ac:dyDescent="0.15"/>
  <cols>
    <col min="1" max="1" width="27.85546875" style="1" customWidth="1"/>
    <col min="2" max="2" width="16.85546875" style="1" bestFit="1" customWidth="1"/>
    <col min="3" max="3" width="22.7109375" style="1" customWidth="1"/>
    <col min="4" max="4" width="13.85546875" style="1" customWidth="1"/>
    <col min="5" max="5" width="20" style="1" customWidth="1"/>
    <col min="6" max="6" width="36.7109375" style="1" customWidth="1"/>
    <col min="7" max="7" width="13.28515625" style="1" customWidth="1"/>
    <col min="8" max="8" width="12.42578125" style="1" customWidth="1"/>
    <col min="9" max="9" width="11.42578125" style="1" customWidth="1"/>
    <col min="10" max="10" width="14.140625" style="1" customWidth="1"/>
    <col min="11" max="11" width="15.7109375" style="1" customWidth="1"/>
    <col min="12" max="12" width="19.5703125" style="1" customWidth="1"/>
    <col min="13" max="13" width="13.7109375" style="1" customWidth="1"/>
    <col min="14" max="14" width="16.85546875" style="1" customWidth="1"/>
    <col min="15" max="15" width="15.7109375" style="1" customWidth="1"/>
    <col min="16" max="16" width="13" style="1" bestFit="1" customWidth="1"/>
    <col min="17" max="16384" width="11.42578125" style="1"/>
  </cols>
  <sheetData>
    <row r="1" spans="1:16" ht="15" x14ac:dyDescent="0.2">
      <c r="A1" s="2"/>
      <c r="B1" s="2"/>
      <c r="C1" s="2"/>
      <c r="D1" s="2"/>
      <c r="E1" s="2"/>
      <c r="F1" s="2"/>
      <c r="G1" s="2"/>
      <c r="H1" s="2"/>
      <c r="I1" s="2"/>
    </row>
    <row r="2" spans="1:16" x14ac:dyDescent="0.15">
      <c r="A2" s="3"/>
      <c r="B2" s="3"/>
      <c r="C2" s="3"/>
      <c r="D2" s="3"/>
      <c r="E2" s="3"/>
      <c r="F2" s="3"/>
      <c r="G2" s="3"/>
      <c r="H2" s="3"/>
      <c r="I2" s="3"/>
    </row>
    <row r="3" spans="1:16" x14ac:dyDescent="0.15">
      <c r="A3" s="3"/>
      <c r="B3" s="3"/>
      <c r="C3" s="3"/>
      <c r="D3" s="3"/>
      <c r="E3" s="3"/>
      <c r="F3" s="3"/>
      <c r="G3" s="3"/>
      <c r="H3" s="3"/>
      <c r="I3" s="3"/>
    </row>
    <row r="4" spans="1:16" ht="15" customHeight="1" x14ac:dyDescent="0.2">
      <c r="A4" s="2" t="s">
        <v>0</v>
      </c>
      <c r="B4" s="2"/>
      <c r="C4" s="2"/>
      <c r="D4" s="2"/>
      <c r="E4" s="2"/>
      <c r="F4" s="2"/>
      <c r="G4" s="2"/>
      <c r="H4" s="2"/>
      <c r="I4" s="2"/>
    </row>
    <row r="5" spans="1:16" ht="10.5" customHeight="1" x14ac:dyDescent="0.15">
      <c r="A5" s="4" t="s">
        <v>1</v>
      </c>
      <c r="B5" s="4"/>
      <c r="C5" s="4"/>
      <c r="D5" s="4"/>
      <c r="E5" s="4"/>
      <c r="F5" s="4"/>
      <c r="G5" s="4"/>
      <c r="H5" s="4"/>
      <c r="I5" s="4"/>
    </row>
    <row r="6" spans="1:16" x14ac:dyDescent="0.15">
      <c r="A6" s="3"/>
      <c r="B6" s="3"/>
      <c r="C6" s="3"/>
      <c r="D6" s="3"/>
      <c r="E6" s="3"/>
      <c r="F6" s="3"/>
      <c r="G6" s="3"/>
      <c r="H6" s="3"/>
      <c r="I6" s="3"/>
    </row>
    <row r="7" spans="1:16" ht="11.25" customHeight="1" x14ac:dyDescent="0.2">
      <c r="A7" s="5" t="s">
        <v>2</v>
      </c>
      <c r="B7" s="5"/>
      <c r="C7" s="5"/>
      <c r="D7" s="5"/>
      <c r="E7" s="5"/>
      <c r="F7" s="5"/>
      <c r="G7" s="5"/>
      <c r="H7" s="5"/>
      <c r="I7" s="5"/>
    </row>
    <row r="8" spans="1:16" x14ac:dyDescent="0.15">
      <c r="A8" s="3"/>
      <c r="B8" s="3"/>
      <c r="C8" s="3"/>
      <c r="D8" s="3"/>
      <c r="E8" s="3"/>
      <c r="F8" s="3"/>
      <c r="G8" s="3"/>
      <c r="H8" s="3"/>
      <c r="I8" s="3"/>
    </row>
    <row r="9" spans="1:16" ht="12.75" customHeight="1" x14ac:dyDescent="0.2">
      <c r="A9" s="6" t="s">
        <v>3</v>
      </c>
      <c r="B9" s="6"/>
      <c r="C9" s="6"/>
      <c r="D9" s="6"/>
      <c r="E9" s="6"/>
      <c r="F9" s="6"/>
      <c r="G9" s="6"/>
      <c r="H9" s="6"/>
      <c r="I9" s="6"/>
    </row>
    <row r="10" spans="1:16" ht="12.75" customHeight="1" x14ac:dyDescent="0.2">
      <c r="A10" s="6" t="s">
        <v>4</v>
      </c>
      <c r="B10" s="6"/>
      <c r="C10" s="6"/>
      <c r="D10" s="6"/>
      <c r="E10" s="6"/>
      <c r="F10" s="6"/>
      <c r="G10" s="6"/>
      <c r="H10" s="6"/>
      <c r="I10" s="6"/>
    </row>
    <row r="11" spans="1:16" ht="11.25" x14ac:dyDescent="0.2">
      <c r="A11" s="6"/>
      <c r="B11" s="6"/>
      <c r="C11" s="6"/>
      <c r="D11" s="6"/>
      <c r="E11" s="6"/>
      <c r="F11" s="6"/>
      <c r="G11" s="6"/>
      <c r="H11" s="6"/>
      <c r="I11" s="6"/>
    </row>
    <row r="12" spans="1:16" ht="12" thickBot="1" x14ac:dyDescent="0.25">
      <c r="A12" s="6" t="s">
        <v>5</v>
      </c>
      <c r="B12" s="6"/>
      <c r="C12" s="6"/>
      <c r="D12" s="6"/>
      <c r="E12" s="6"/>
      <c r="F12" s="6"/>
      <c r="G12" s="6"/>
      <c r="H12" s="6"/>
      <c r="I12" s="6"/>
    </row>
    <row r="13" spans="1:16" ht="15" customHeight="1" thickBot="1" x14ac:dyDescent="0.25">
      <c r="A13" s="7" t="s">
        <v>6</v>
      </c>
      <c r="B13" s="8">
        <v>797237434</v>
      </c>
      <c r="C13" s="8">
        <v>987989928</v>
      </c>
      <c r="D13" s="8">
        <v>919370470</v>
      </c>
      <c r="E13" s="8">
        <v>687283682</v>
      </c>
      <c r="F13" s="8">
        <v>562422558</v>
      </c>
      <c r="G13" s="8">
        <v>495107472</v>
      </c>
      <c r="H13" s="8">
        <v>462867242</v>
      </c>
      <c r="I13" s="9" t="s">
        <v>7</v>
      </c>
    </row>
    <row r="14" spans="1:16" ht="13.5" customHeight="1" thickBot="1" x14ac:dyDescent="0.2">
      <c r="A14" s="12" t="s">
        <v>8</v>
      </c>
      <c r="B14" s="14" t="s">
        <v>9</v>
      </c>
      <c r="C14" s="14" t="s">
        <v>10</v>
      </c>
      <c r="D14" s="12" t="s">
        <v>11</v>
      </c>
      <c r="E14" s="12" t="s">
        <v>12</v>
      </c>
      <c r="F14" s="16" t="s">
        <v>13</v>
      </c>
      <c r="G14" s="17"/>
      <c r="H14" s="18"/>
      <c r="I14" s="22" t="s">
        <v>14</v>
      </c>
      <c r="J14" s="26" t="s">
        <v>653</v>
      </c>
      <c r="K14" s="26" t="s">
        <v>654</v>
      </c>
      <c r="L14" s="26" t="s">
        <v>656</v>
      </c>
      <c r="M14" s="26" t="s">
        <v>655</v>
      </c>
      <c r="N14" s="26" t="s">
        <v>657</v>
      </c>
      <c r="O14" s="26" t="s">
        <v>658</v>
      </c>
      <c r="P14" s="26" t="s">
        <v>665</v>
      </c>
    </row>
    <row r="15" spans="1:16" ht="15.75" thickBot="1" x14ac:dyDescent="0.2">
      <c r="A15" s="13"/>
      <c r="B15" s="15"/>
      <c r="C15" s="15"/>
      <c r="D15" s="13"/>
      <c r="E15" s="13"/>
      <c r="F15" s="10" t="s">
        <v>15</v>
      </c>
      <c r="G15" s="11" t="s">
        <v>16</v>
      </c>
      <c r="H15" s="11" t="s">
        <v>17</v>
      </c>
      <c r="I15" s="23"/>
      <c r="J15" s="26"/>
      <c r="K15" s="26"/>
      <c r="L15" s="26"/>
      <c r="M15" s="26"/>
      <c r="N15" s="26"/>
      <c r="O15" s="26"/>
      <c r="P15" s="26"/>
    </row>
    <row r="16" spans="1:16" ht="16.5" customHeight="1" thickBot="1" x14ac:dyDescent="0.25">
      <c r="A16" s="21" t="s">
        <v>18</v>
      </c>
      <c r="B16" s="8">
        <v>34651774</v>
      </c>
      <c r="C16" s="8">
        <v>7962753</v>
      </c>
      <c r="D16" s="8">
        <v>6442206</v>
      </c>
      <c r="E16" s="8">
        <v>6317905</v>
      </c>
      <c r="F16" s="8">
        <v>6097967</v>
      </c>
      <c r="G16" s="8">
        <v>5860251</v>
      </c>
      <c r="H16" s="8">
        <v>5788002</v>
      </c>
      <c r="I16" s="24" t="s">
        <v>19</v>
      </c>
      <c r="J16" s="27">
        <f>C16-D16</f>
        <v>1520547</v>
      </c>
      <c r="K16" s="27">
        <f>C16-E16</f>
        <v>1644848</v>
      </c>
      <c r="L16" s="27">
        <f>D16-E16</f>
        <v>124301</v>
      </c>
      <c r="M16" s="27">
        <f>C16-G16</f>
        <v>2102502</v>
      </c>
      <c r="N16" s="30">
        <f>IFERROR(K16/C16, " ")</f>
        <v>0.20656775363997854</v>
      </c>
      <c r="O16" s="30">
        <f>IFERROR(G16/C16, "ERROR")</f>
        <v>0.73595790300163777</v>
      </c>
      <c r="P16" s="52"/>
    </row>
    <row r="17" spans="1:16" ht="16.5" customHeight="1" thickBot="1" x14ac:dyDescent="0.25">
      <c r="A17" s="21" t="s">
        <v>20</v>
      </c>
      <c r="B17" s="19">
        <v>11000000</v>
      </c>
      <c r="C17" s="19">
        <v>1098209</v>
      </c>
      <c r="D17" s="19">
        <v>995606</v>
      </c>
      <c r="E17" s="19">
        <v>993027</v>
      </c>
      <c r="F17" s="19">
        <v>784755</v>
      </c>
      <c r="G17" s="19">
        <v>677102</v>
      </c>
      <c r="H17" s="19">
        <v>675102</v>
      </c>
      <c r="I17" s="25" t="s">
        <v>21</v>
      </c>
      <c r="J17" s="27">
        <f t="shared" ref="J17:J80" si="0">C17-D17</f>
        <v>102603</v>
      </c>
      <c r="K17" s="27">
        <f t="shared" ref="K17:K80" si="1">C17-E17</f>
        <v>105182</v>
      </c>
      <c r="L17" s="27">
        <f t="shared" ref="L17:L80" si="2">D17-E17</f>
        <v>2579</v>
      </c>
      <c r="M17" s="27">
        <f t="shared" ref="M17:M80" si="3">C17-G17</f>
        <v>421107</v>
      </c>
      <c r="N17" s="30">
        <f t="shared" ref="N17:N80" si="4">IFERROR(K17/C17, " ")</f>
        <v>9.5775940645177735E-2</v>
      </c>
      <c r="O17" s="30">
        <f t="shared" ref="O17:O80" si="5">IFERROR(G17/C17, "ERROR")</f>
        <v>0.61655113006722762</v>
      </c>
      <c r="P17" s="52"/>
    </row>
    <row r="18" spans="1:16" ht="16.5" customHeight="1" thickBot="1" x14ac:dyDescent="0.25">
      <c r="A18" s="21" t="s">
        <v>22</v>
      </c>
      <c r="B18" s="19">
        <v>1404195</v>
      </c>
      <c r="C18" s="19">
        <v>1122559</v>
      </c>
      <c r="D18" s="19">
        <v>1117871</v>
      </c>
      <c r="E18" s="19">
        <v>1117871</v>
      </c>
      <c r="F18" s="19">
        <v>1117453</v>
      </c>
      <c r="G18" s="19">
        <v>1042099</v>
      </c>
      <c r="H18" s="19">
        <v>1031699</v>
      </c>
      <c r="I18" s="25" t="s">
        <v>23</v>
      </c>
      <c r="J18" s="27">
        <f>C18-D18</f>
        <v>4688</v>
      </c>
      <c r="K18" s="27">
        <f>C18-E18</f>
        <v>4688</v>
      </c>
      <c r="L18" s="27">
        <f t="shared" si="2"/>
        <v>0</v>
      </c>
      <c r="M18" s="27">
        <f t="shared" si="3"/>
        <v>80460</v>
      </c>
      <c r="N18" s="30">
        <f t="shared" si="4"/>
        <v>4.1761724773486291E-3</v>
      </c>
      <c r="O18" s="30">
        <f t="shared" si="5"/>
        <v>0.928324480049601</v>
      </c>
      <c r="P18" s="52"/>
    </row>
    <row r="19" spans="1:16" ht="16.5" customHeight="1" thickBot="1" x14ac:dyDescent="0.25">
      <c r="A19" s="21" t="s">
        <v>24</v>
      </c>
      <c r="B19" s="19">
        <v>7600000</v>
      </c>
      <c r="C19" s="20">
        <v>0</v>
      </c>
      <c r="D19" s="20">
        <v>0</v>
      </c>
      <c r="E19" s="20">
        <v>0</v>
      </c>
      <c r="F19" s="20">
        <v>0</v>
      </c>
      <c r="G19" s="20">
        <v>0</v>
      </c>
      <c r="H19" s="20">
        <v>0</v>
      </c>
      <c r="I19" s="25" t="s">
        <v>25</v>
      </c>
      <c r="J19" s="27">
        <f t="shared" si="0"/>
        <v>0</v>
      </c>
      <c r="K19" s="27">
        <f t="shared" si="1"/>
        <v>0</v>
      </c>
      <c r="L19" s="27">
        <f t="shared" si="2"/>
        <v>0</v>
      </c>
      <c r="M19" s="27">
        <f t="shared" si="3"/>
        <v>0</v>
      </c>
      <c r="N19" s="30" t="str">
        <f t="shared" si="4"/>
        <v xml:space="preserve"> </v>
      </c>
      <c r="O19" s="30" t="str">
        <f t="shared" si="5"/>
        <v>ERROR</v>
      </c>
      <c r="P19" s="52"/>
    </row>
    <row r="20" spans="1:16" ht="16.5" customHeight="1" thickBot="1" x14ac:dyDescent="0.25">
      <c r="A20" s="21" t="s">
        <v>26</v>
      </c>
      <c r="B20" s="19">
        <v>12460540</v>
      </c>
      <c r="C20" s="19">
        <v>167354</v>
      </c>
      <c r="D20" s="19">
        <v>149951</v>
      </c>
      <c r="E20" s="19">
        <v>149951</v>
      </c>
      <c r="F20" s="19">
        <v>102781</v>
      </c>
      <c r="G20" s="19">
        <v>102781</v>
      </c>
      <c r="H20" s="19">
        <v>102781</v>
      </c>
      <c r="I20" s="25" t="s">
        <v>27</v>
      </c>
      <c r="J20" s="27">
        <f t="shared" si="0"/>
        <v>17403</v>
      </c>
      <c r="K20" s="27">
        <f t="shared" si="1"/>
        <v>17403</v>
      </c>
      <c r="L20" s="27">
        <f t="shared" si="2"/>
        <v>0</v>
      </c>
      <c r="M20" s="27">
        <f t="shared" si="3"/>
        <v>64573</v>
      </c>
      <c r="N20" s="30">
        <f t="shared" si="4"/>
        <v>0.10398914875055272</v>
      </c>
      <c r="O20" s="30">
        <f t="shared" si="5"/>
        <v>0.61415323207093941</v>
      </c>
      <c r="P20" s="52"/>
    </row>
    <row r="21" spans="1:16" ht="16.5" customHeight="1" thickBot="1" x14ac:dyDescent="0.25">
      <c r="A21" s="21" t="s">
        <v>28</v>
      </c>
      <c r="B21" s="19">
        <v>3778561</v>
      </c>
      <c r="C21" s="20">
        <v>0</v>
      </c>
      <c r="D21" s="20">
        <v>0</v>
      </c>
      <c r="E21" s="20">
        <v>0</v>
      </c>
      <c r="F21" s="20">
        <v>0</v>
      </c>
      <c r="G21" s="20">
        <v>0</v>
      </c>
      <c r="H21" s="20">
        <v>0</v>
      </c>
      <c r="I21" s="25" t="s">
        <v>25</v>
      </c>
      <c r="J21" s="27">
        <f t="shared" si="0"/>
        <v>0</v>
      </c>
      <c r="K21" s="27">
        <f t="shared" si="1"/>
        <v>0</v>
      </c>
      <c r="L21" s="27">
        <f t="shared" si="2"/>
        <v>0</v>
      </c>
      <c r="M21" s="27">
        <f t="shared" si="3"/>
        <v>0</v>
      </c>
      <c r="N21" s="30" t="str">
        <f t="shared" si="4"/>
        <v xml:space="preserve"> </v>
      </c>
      <c r="O21" s="30" t="str">
        <f t="shared" si="5"/>
        <v>ERROR</v>
      </c>
      <c r="P21" s="52"/>
    </row>
    <row r="22" spans="1:16" ht="16.5" customHeight="1" thickBot="1" x14ac:dyDescent="0.25">
      <c r="A22" s="21" t="s">
        <v>29</v>
      </c>
      <c r="B22" s="19">
        <v>4800690</v>
      </c>
      <c r="C22" s="19">
        <v>1868752</v>
      </c>
      <c r="D22" s="19">
        <v>1642733</v>
      </c>
      <c r="E22" s="19">
        <v>353547</v>
      </c>
      <c r="F22" s="19">
        <v>308433</v>
      </c>
      <c r="G22" s="19">
        <v>308433</v>
      </c>
      <c r="H22" s="19">
        <v>308433</v>
      </c>
      <c r="I22" s="25" t="s">
        <v>30</v>
      </c>
      <c r="J22" s="27">
        <f t="shared" si="0"/>
        <v>226019</v>
      </c>
      <c r="K22" s="27">
        <f t="shared" si="1"/>
        <v>1515205</v>
      </c>
      <c r="L22" s="27">
        <f t="shared" si="2"/>
        <v>1289186</v>
      </c>
      <c r="M22" s="27">
        <f t="shared" si="3"/>
        <v>1560319</v>
      </c>
      <c r="N22" s="30">
        <f t="shared" si="4"/>
        <v>0.81081117237600275</v>
      </c>
      <c r="O22" s="30">
        <f t="shared" si="5"/>
        <v>0.16504758255777119</v>
      </c>
      <c r="P22" s="52"/>
    </row>
    <row r="23" spans="1:16" ht="16.5" customHeight="1" thickBot="1" x14ac:dyDescent="0.25">
      <c r="A23" s="21" t="s">
        <v>31</v>
      </c>
      <c r="B23" s="19">
        <v>4098</v>
      </c>
      <c r="C23" s="20">
        <v>0</v>
      </c>
      <c r="D23" s="20">
        <v>0</v>
      </c>
      <c r="E23" s="20">
        <v>0</v>
      </c>
      <c r="F23" s="20">
        <v>0</v>
      </c>
      <c r="G23" s="20">
        <v>0</v>
      </c>
      <c r="H23" s="20">
        <v>0</v>
      </c>
      <c r="I23" s="25" t="s">
        <v>25</v>
      </c>
      <c r="J23" s="27">
        <f t="shared" si="0"/>
        <v>0</v>
      </c>
      <c r="K23" s="27">
        <f t="shared" si="1"/>
        <v>0</v>
      </c>
      <c r="L23" s="27">
        <f t="shared" si="2"/>
        <v>0</v>
      </c>
      <c r="M23" s="27">
        <f t="shared" si="3"/>
        <v>0</v>
      </c>
      <c r="N23" s="30" t="str">
        <f t="shared" si="4"/>
        <v xml:space="preserve"> </v>
      </c>
      <c r="O23" s="30" t="str">
        <f t="shared" si="5"/>
        <v>ERROR</v>
      </c>
      <c r="P23" s="52"/>
    </row>
    <row r="24" spans="1:16" ht="16.5" customHeight="1" thickBot="1" x14ac:dyDescent="0.25">
      <c r="A24" s="21" t="s">
        <v>32</v>
      </c>
      <c r="B24" s="19">
        <v>87917</v>
      </c>
      <c r="C24" s="20">
        <v>0</v>
      </c>
      <c r="D24" s="20">
        <v>0</v>
      </c>
      <c r="E24" s="20">
        <v>0</v>
      </c>
      <c r="F24" s="20">
        <v>0</v>
      </c>
      <c r="G24" s="20">
        <v>0</v>
      </c>
      <c r="H24" s="20">
        <v>0</v>
      </c>
      <c r="I24" s="25" t="s">
        <v>25</v>
      </c>
      <c r="J24" s="27">
        <f t="shared" si="0"/>
        <v>0</v>
      </c>
      <c r="K24" s="27">
        <f t="shared" si="1"/>
        <v>0</v>
      </c>
      <c r="L24" s="27">
        <f t="shared" si="2"/>
        <v>0</v>
      </c>
      <c r="M24" s="27">
        <f t="shared" si="3"/>
        <v>0</v>
      </c>
      <c r="N24" s="30" t="str">
        <f t="shared" si="4"/>
        <v xml:space="preserve"> </v>
      </c>
      <c r="O24" s="30" t="str">
        <f t="shared" si="5"/>
        <v>ERROR</v>
      </c>
      <c r="P24" s="52"/>
    </row>
    <row r="25" spans="1:16" ht="16.5" customHeight="1" thickBot="1" x14ac:dyDescent="0.25">
      <c r="A25" s="21" t="s">
        <v>33</v>
      </c>
      <c r="B25" s="19">
        <v>100000</v>
      </c>
      <c r="C25" s="19">
        <v>350198</v>
      </c>
      <c r="D25" s="19">
        <v>287570</v>
      </c>
      <c r="E25" s="19">
        <v>287570</v>
      </c>
      <c r="F25" s="19">
        <v>273287</v>
      </c>
      <c r="G25" s="19">
        <v>252137</v>
      </c>
      <c r="H25" s="19">
        <v>252137</v>
      </c>
      <c r="I25" s="25" t="s">
        <v>34</v>
      </c>
      <c r="J25" s="27">
        <f t="shared" si="0"/>
        <v>62628</v>
      </c>
      <c r="K25" s="27">
        <f t="shared" si="1"/>
        <v>62628</v>
      </c>
      <c r="L25" s="27">
        <f t="shared" si="2"/>
        <v>0</v>
      </c>
      <c r="M25" s="27">
        <f t="shared" si="3"/>
        <v>98061</v>
      </c>
      <c r="N25" s="30">
        <f t="shared" si="4"/>
        <v>0.17883597279253452</v>
      </c>
      <c r="O25" s="30">
        <f t="shared" si="5"/>
        <v>0.71998412326740868</v>
      </c>
      <c r="P25" s="52"/>
    </row>
    <row r="26" spans="1:16" ht="16.5" customHeight="1" thickBot="1" x14ac:dyDescent="0.25">
      <c r="A26" s="21" t="s">
        <v>35</v>
      </c>
      <c r="B26" s="19">
        <v>2596051</v>
      </c>
      <c r="C26" s="19">
        <v>1202934</v>
      </c>
      <c r="D26" s="19">
        <v>1151624</v>
      </c>
      <c r="E26" s="19">
        <v>1151624</v>
      </c>
      <c r="F26" s="19">
        <v>1137287</v>
      </c>
      <c r="G26" s="19">
        <v>1105100</v>
      </c>
      <c r="H26" s="19">
        <v>1105100</v>
      </c>
      <c r="I26" s="25" t="s">
        <v>36</v>
      </c>
      <c r="J26" s="27">
        <f t="shared" si="0"/>
        <v>51310</v>
      </c>
      <c r="K26" s="27">
        <f t="shared" si="1"/>
        <v>51310</v>
      </c>
      <c r="L26" s="27">
        <f t="shared" si="2"/>
        <v>0</v>
      </c>
      <c r="M26" s="27">
        <f t="shared" si="3"/>
        <v>97834</v>
      </c>
      <c r="N26" s="30">
        <f t="shared" si="4"/>
        <v>4.2654044195275881E-2</v>
      </c>
      <c r="O26" s="30">
        <f t="shared" si="5"/>
        <v>0.91867051725198556</v>
      </c>
      <c r="P26" s="52"/>
    </row>
    <row r="27" spans="1:16" ht="16.5" customHeight="1" thickBot="1" x14ac:dyDescent="0.25">
      <c r="A27" s="21" t="s">
        <v>37</v>
      </c>
      <c r="B27" s="19">
        <v>6269000</v>
      </c>
      <c r="C27" s="19">
        <v>5810277</v>
      </c>
      <c r="D27" s="19">
        <v>5204424</v>
      </c>
      <c r="E27" s="19">
        <v>3160250</v>
      </c>
      <c r="F27" s="19">
        <v>2836806</v>
      </c>
      <c r="G27" s="19">
        <v>1157373</v>
      </c>
      <c r="H27" s="19">
        <v>1109853</v>
      </c>
      <c r="I27" s="25" t="s">
        <v>38</v>
      </c>
      <c r="J27" s="27">
        <f t="shared" si="0"/>
        <v>605853</v>
      </c>
      <c r="K27" s="27">
        <f t="shared" si="1"/>
        <v>2650027</v>
      </c>
      <c r="L27" s="27">
        <f t="shared" si="2"/>
        <v>2044174</v>
      </c>
      <c r="M27" s="27">
        <f t="shared" si="3"/>
        <v>4652904</v>
      </c>
      <c r="N27" s="30">
        <f t="shared" si="4"/>
        <v>0.45609305718126691</v>
      </c>
      <c r="O27" s="30">
        <f t="shared" si="5"/>
        <v>0.19919411759542618</v>
      </c>
      <c r="P27" s="52"/>
    </row>
    <row r="28" spans="1:16" ht="16.5" customHeight="1" thickBot="1" x14ac:dyDescent="0.25">
      <c r="A28" s="21" t="s">
        <v>39</v>
      </c>
      <c r="B28" s="19">
        <v>10517000</v>
      </c>
      <c r="C28" s="19">
        <v>10918999</v>
      </c>
      <c r="D28" s="19">
        <v>10451686</v>
      </c>
      <c r="E28" s="19">
        <v>10451103</v>
      </c>
      <c r="F28" s="19">
        <v>9527231</v>
      </c>
      <c r="G28" s="19">
        <v>5853518</v>
      </c>
      <c r="H28" s="19">
        <v>5269575</v>
      </c>
      <c r="I28" s="25" t="s">
        <v>40</v>
      </c>
      <c r="J28" s="27">
        <f t="shared" si="0"/>
        <v>467313</v>
      </c>
      <c r="K28" s="27">
        <f t="shared" si="1"/>
        <v>467896</v>
      </c>
      <c r="L28" s="27">
        <f t="shared" si="2"/>
        <v>583</v>
      </c>
      <c r="M28" s="27">
        <f t="shared" si="3"/>
        <v>5065481</v>
      </c>
      <c r="N28" s="30">
        <f t="shared" si="4"/>
        <v>4.2851547106103775E-2</v>
      </c>
      <c r="O28" s="30">
        <f t="shared" si="5"/>
        <v>0.53608558806535289</v>
      </c>
      <c r="P28" s="52"/>
    </row>
    <row r="29" spans="1:16" ht="16.5" customHeight="1" thickBot="1" x14ac:dyDescent="0.25">
      <c r="A29" s="21" t="s">
        <v>41</v>
      </c>
      <c r="B29" s="19">
        <v>100000</v>
      </c>
      <c r="C29" s="20">
        <v>0</v>
      </c>
      <c r="D29" s="20">
        <v>0</v>
      </c>
      <c r="E29" s="20">
        <v>0</v>
      </c>
      <c r="F29" s="20">
        <v>0</v>
      </c>
      <c r="G29" s="20">
        <v>0</v>
      </c>
      <c r="H29" s="20">
        <v>0</v>
      </c>
      <c r="I29" s="25" t="s">
        <v>25</v>
      </c>
      <c r="J29" s="27">
        <f t="shared" si="0"/>
        <v>0</v>
      </c>
      <c r="K29" s="27">
        <f t="shared" si="1"/>
        <v>0</v>
      </c>
      <c r="L29" s="27">
        <f t="shared" si="2"/>
        <v>0</v>
      </c>
      <c r="M29" s="27">
        <f t="shared" si="3"/>
        <v>0</v>
      </c>
      <c r="N29" s="30" t="str">
        <f t="shared" si="4"/>
        <v xml:space="preserve"> </v>
      </c>
      <c r="O29" s="30" t="str">
        <f t="shared" si="5"/>
        <v>ERROR</v>
      </c>
      <c r="P29" s="52"/>
    </row>
    <row r="30" spans="1:16" ht="16.5" customHeight="1" thickBot="1" x14ac:dyDescent="0.3">
      <c r="A30" s="21" t="s">
        <v>42</v>
      </c>
      <c r="B30" s="19">
        <v>1732548</v>
      </c>
      <c r="C30" s="28">
        <v>67139</v>
      </c>
      <c r="D30" s="29">
        <v>0</v>
      </c>
      <c r="E30" s="29">
        <v>0</v>
      </c>
      <c r="F30" s="29">
        <v>0</v>
      </c>
      <c r="G30" s="29">
        <v>0</v>
      </c>
      <c r="H30" s="20">
        <v>0</v>
      </c>
      <c r="I30" s="25" t="s">
        <v>25</v>
      </c>
      <c r="J30" s="27">
        <f t="shared" si="0"/>
        <v>67139</v>
      </c>
      <c r="K30" s="27">
        <f t="shared" si="1"/>
        <v>67139</v>
      </c>
      <c r="L30" s="27">
        <f t="shared" si="2"/>
        <v>0</v>
      </c>
      <c r="M30" s="27">
        <f t="shared" si="3"/>
        <v>67139</v>
      </c>
      <c r="N30" s="30">
        <f t="shared" si="4"/>
        <v>1</v>
      </c>
      <c r="O30" s="30">
        <f t="shared" si="5"/>
        <v>0</v>
      </c>
      <c r="P30" s="52" t="s">
        <v>659</v>
      </c>
    </row>
    <row r="31" spans="1:16" ht="16.5" customHeight="1" thickBot="1" x14ac:dyDescent="0.25">
      <c r="A31" s="21" t="s">
        <v>43</v>
      </c>
      <c r="B31" s="19">
        <v>11675669</v>
      </c>
      <c r="C31" s="19">
        <v>1506514</v>
      </c>
      <c r="D31" s="19">
        <v>1436013</v>
      </c>
      <c r="E31" s="19">
        <v>1436013</v>
      </c>
      <c r="F31" s="19">
        <v>1240537</v>
      </c>
      <c r="G31" s="19">
        <v>1240537</v>
      </c>
      <c r="H31" s="19">
        <v>1240537</v>
      </c>
      <c r="I31" s="25" t="s">
        <v>44</v>
      </c>
      <c r="J31" s="27">
        <f t="shared" si="0"/>
        <v>70501</v>
      </c>
      <c r="K31" s="27">
        <f t="shared" si="1"/>
        <v>70501</v>
      </c>
      <c r="L31" s="27">
        <f t="shared" si="2"/>
        <v>0</v>
      </c>
      <c r="M31" s="27">
        <f t="shared" si="3"/>
        <v>265977</v>
      </c>
      <c r="N31" s="30">
        <f t="shared" si="4"/>
        <v>4.6797440979639088E-2</v>
      </c>
      <c r="O31" s="30">
        <f t="shared" si="5"/>
        <v>0.82344870343056886</v>
      </c>
      <c r="P31" s="52"/>
    </row>
    <row r="32" spans="1:16" ht="16.5" customHeight="1" thickBot="1" x14ac:dyDescent="0.25">
      <c r="A32" s="21" t="s">
        <v>45</v>
      </c>
      <c r="B32" s="19">
        <v>630478</v>
      </c>
      <c r="C32" s="19">
        <v>1332387</v>
      </c>
      <c r="D32" s="19">
        <v>1332217</v>
      </c>
      <c r="E32" s="19">
        <v>1328895</v>
      </c>
      <c r="F32" s="19">
        <v>1275973</v>
      </c>
      <c r="G32" s="19">
        <v>1212326</v>
      </c>
      <c r="H32" s="19">
        <v>1197867</v>
      </c>
      <c r="I32" s="25" t="s">
        <v>46</v>
      </c>
      <c r="J32" s="27">
        <f t="shared" si="0"/>
        <v>170</v>
      </c>
      <c r="K32" s="27">
        <f t="shared" si="1"/>
        <v>3492</v>
      </c>
      <c r="L32" s="27">
        <f t="shared" si="2"/>
        <v>3322</v>
      </c>
      <c r="M32" s="27">
        <f t="shared" si="3"/>
        <v>120061</v>
      </c>
      <c r="N32" s="30">
        <f t="shared" si="4"/>
        <v>2.6208601554953627E-3</v>
      </c>
      <c r="O32" s="30">
        <f t="shared" si="5"/>
        <v>0.9098902946366183</v>
      </c>
      <c r="P32" s="52"/>
    </row>
    <row r="33" spans="1:16" ht="16.5" customHeight="1" thickBot="1" x14ac:dyDescent="0.25">
      <c r="A33" s="21" t="s">
        <v>47</v>
      </c>
      <c r="B33" s="19">
        <v>1792000</v>
      </c>
      <c r="C33" s="20">
        <v>0</v>
      </c>
      <c r="D33" s="20">
        <v>0</v>
      </c>
      <c r="E33" s="20">
        <v>0</v>
      </c>
      <c r="F33" s="20">
        <v>0</v>
      </c>
      <c r="G33" s="20">
        <v>0</v>
      </c>
      <c r="H33" s="20">
        <v>0</v>
      </c>
      <c r="I33" s="25" t="s">
        <v>25</v>
      </c>
      <c r="J33" s="27">
        <f t="shared" si="0"/>
        <v>0</v>
      </c>
      <c r="K33" s="27">
        <f t="shared" si="1"/>
        <v>0</v>
      </c>
      <c r="L33" s="27">
        <f t="shared" si="2"/>
        <v>0</v>
      </c>
      <c r="M33" s="27">
        <f t="shared" si="3"/>
        <v>0</v>
      </c>
      <c r="N33" s="30" t="str">
        <f t="shared" si="4"/>
        <v xml:space="preserve"> </v>
      </c>
      <c r="O33" s="30" t="str">
        <f t="shared" si="5"/>
        <v>ERROR</v>
      </c>
      <c r="P33" s="52"/>
    </row>
    <row r="34" spans="1:16" ht="16.5" customHeight="1" thickBot="1" x14ac:dyDescent="0.25">
      <c r="A34" s="21" t="s">
        <v>48</v>
      </c>
      <c r="B34" s="19">
        <v>1139986</v>
      </c>
      <c r="C34" s="19">
        <v>5921783</v>
      </c>
      <c r="D34" s="19">
        <v>5612636</v>
      </c>
      <c r="E34" s="19">
        <v>2263180</v>
      </c>
      <c r="F34" s="19">
        <v>2211564</v>
      </c>
      <c r="G34" s="19">
        <v>1271807</v>
      </c>
      <c r="H34" s="19">
        <v>1239120</v>
      </c>
      <c r="I34" s="25" t="s">
        <v>49</v>
      </c>
      <c r="J34" s="27">
        <f t="shared" si="0"/>
        <v>309147</v>
      </c>
      <c r="K34" s="27">
        <f t="shared" si="1"/>
        <v>3658603</v>
      </c>
      <c r="L34" s="27">
        <f t="shared" si="2"/>
        <v>3349456</v>
      </c>
      <c r="M34" s="27">
        <f t="shared" si="3"/>
        <v>4649976</v>
      </c>
      <c r="N34" s="30">
        <f t="shared" si="4"/>
        <v>0.61782118662571728</v>
      </c>
      <c r="O34" s="30">
        <f t="shared" si="5"/>
        <v>0.21476757929157486</v>
      </c>
      <c r="P34" s="52"/>
    </row>
    <row r="35" spans="1:16" ht="16.5" customHeight="1" thickBot="1" x14ac:dyDescent="0.25">
      <c r="A35" s="21" t="s">
        <v>50</v>
      </c>
      <c r="B35" s="19">
        <v>357505</v>
      </c>
      <c r="C35" s="19">
        <v>77590</v>
      </c>
      <c r="D35" s="19">
        <v>76159</v>
      </c>
      <c r="E35" s="19">
        <v>76159</v>
      </c>
      <c r="F35" s="19">
        <v>76159</v>
      </c>
      <c r="G35" s="19">
        <v>76159</v>
      </c>
      <c r="H35" s="19">
        <v>76159</v>
      </c>
      <c r="I35" s="25" t="s">
        <v>51</v>
      </c>
      <c r="J35" s="27">
        <f t="shared" si="0"/>
        <v>1431</v>
      </c>
      <c r="K35" s="27">
        <f t="shared" si="1"/>
        <v>1431</v>
      </c>
      <c r="L35" s="27">
        <f t="shared" si="2"/>
        <v>0</v>
      </c>
      <c r="M35" s="27">
        <f t="shared" si="3"/>
        <v>1431</v>
      </c>
      <c r="N35" s="30">
        <f t="shared" si="4"/>
        <v>1.8443098337414615E-2</v>
      </c>
      <c r="O35" s="30">
        <f t="shared" si="5"/>
        <v>0.98155690166258536</v>
      </c>
      <c r="P35" s="52"/>
    </row>
    <row r="36" spans="1:16" ht="16.5" customHeight="1" thickBot="1" x14ac:dyDescent="0.25">
      <c r="A36" s="21" t="s">
        <v>52</v>
      </c>
      <c r="B36" s="19">
        <v>144908</v>
      </c>
      <c r="C36" s="20">
        <v>0</v>
      </c>
      <c r="D36" s="20">
        <v>0</v>
      </c>
      <c r="E36" s="20">
        <v>0</v>
      </c>
      <c r="F36" s="20">
        <v>0</v>
      </c>
      <c r="G36" s="20">
        <v>0</v>
      </c>
      <c r="H36" s="20">
        <v>0</v>
      </c>
      <c r="I36" s="25" t="s">
        <v>25</v>
      </c>
      <c r="J36" s="27">
        <f t="shared" si="0"/>
        <v>0</v>
      </c>
      <c r="K36" s="27">
        <f t="shared" si="1"/>
        <v>0</v>
      </c>
      <c r="L36" s="27">
        <f t="shared" si="2"/>
        <v>0</v>
      </c>
      <c r="M36" s="27">
        <f t="shared" si="3"/>
        <v>0</v>
      </c>
      <c r="N36" s="30" t="str">
        <f t="shared" si="4"/>
        <v xml:space="preserve"> </v>
      </c>
      <c r="O36" s="30" t="str">
        <f t="shared" si="5"/>
        <v>ERROR</v>
      </c>
      <c r="P36" s="52"/>
    </row>
    <row r="37" spans="1:16" ht="16.5" customHeight="1" thickBot="1" x14ac:dyDescent="0.25">
      <c r="A37" s="21" t="s">
        <v>53</v>
      </c>
      <c r="B37" s="19">
        <v>17477</v>
      </c>
      <c r="C37" s="20">
        <v>0</v>
      </c>
      <c r="D37" s="20">
        <v>0</v>
      </c>
      <c r="E37" s="20">
        <v>0</v>
      </c>
      <c r="F37" s="20">
        <v>0</v>
      </c>
      <c r="G37" s="20">
        <v>0</v>
      </c>
      <c r="H37" s="20">
        <v>0</v>
      </c>
      <c r="I37" s="25" t="s">
        <v>25</v>
      </c>
      <c r="J37" s="27">
        <f t="shared" si="0"/>
        <v>0</v>
      </c>
      <c r="K37" s="27">
        <f t="shared" si="1"/>
        <v>0</v>
      </c>
      <c r="L37" s="27">
        <f t="shared" si="2"/>
        <v>0</v>
      </c>
      <c r="M37" s="27">
        <f t="shared" si="3"/>
        <v>0</v>
      </c>
      <c r="N37" s="30" t="str">
        <f t="shared" si="4"/>
        <v xml:space="preserve"> </v>
      </c>
      <c r="O37" s="30" t="str">
        <f t="shared" si="5"/>
        <v>ERROR</v>
      </c>
      <c r="P37" s="52"/>
    </row>
    <row r="38" spans="1:16" ht="16.5" customHeight="1" thickBot="1" x14ac:dyDescent="0.25">
      <c r="A38" s="21" t="s">
        <v>54</v>
      </c>
      <c r="B38" s="19">
        <v>9922902</v>
      </c>
      <c r="C38" s="19">
        <v>18401182</v>
      </c>
      <c r="D38" s="19">
        <v>17764558</v>
      </c>
      <c r="E38" s="19">
        <v>17200007</v>
      </c>
      <c r="F38" s="19">
        <v>16692676</v>
      </c>
      <c r="G38" s="19">
        <v>15484260</v>
      </c>
      <c r="H38" s="19">
        <v>15232468</v>
      </c>
      <c r="I38" s="25" t="s">
        <v>55</v>
      </c>
      <c r="J38" s="27">
        <f t="shared" si="0"/>
        <v>636624</v>
      </c>
      <c r="K38" s="27">
        <f t="shared" si="1"/>
        <v>1201175</v>
      </c>
      <c r="L38" s="27">
        <f t="shared" si="2"/>
        <v>564551</v>
      </c>
      <c r="M38" s="27">
        <f t="shared" si="3"/>
        <v>2916922</v>
      </c>
      <c r="N38" s="30">
        <f t="shared" si="4"/>
        <v>6.5277056658642904E-2</v>
      </c>
      <c r="O38" s="30">
        <f t="shared" si="5"/>
        <v>0.84148181350524109</v>
      </c>
      <c r="P38" s="52"/>
    </row>
    <row r="39" spans="1:16" ht="16.5" customHeight="1" thickBot="1" x14ac:dyDescent="0.3">
      <c r="A39" s="21" t="s">
        <v>56</v>
      </c>
      <c r="B39" s="20">
        <v>0</v>
      </c>
      <c r="C39" s="28">
        <v>133512</v>
      </c>
      <c r="D39" s="29">
        <v>0</v>
      </c>
      <c r="E39" s="29">
        <v>0</v>
      </c>
      <c r="F39" s="29">
        <v>0</v>
      </c>
      <c r="G39" s="29">
        <v>0</v>
      </c>
      <c r="H39" s="20">
        <v>0</v>
      </c>
      <c r="I39" s="25" t="s">
        <v>25</v>
      </c>
      <c r="J39" s="27">
        <f t="shared" si="0"/>
        <v>133512</v>
      </c>
      <c r="K39" s="27">
        <f t="shared" si="1"/>
        <v>133512</v>
      </c>
      <c r="L39" s="27">
        <f t="shared" si="2"/>
        <v>0</v>
      </c>
      <c r="M39" s="27">
        <f t="shared" si="3"/>
        <v>133512</v>
      </c>
      <c r="N39" s="30">
        <f t="shared" si="4"/>
        <v>1</v>
      </c>
      <c r="O39" s="30">
        <f t="shared" si="5"/>
        <v>0</v>
      </c>
      <c r="P39" s="52" t="s">
        <v>660</v>
      </c>
    </row>
    <row r="40" spans="1:16" ht="16.5" customHeight="1" thickBot="1" x14ac:dyDescent="0.25">
      <c r="A40" s="21" t="s">
        <v>57</v>
      </c>
      <c r="B40" s="19">
        <v>774665</v>
      </c>
      <c r="C40" s="19">
        <v>91759</v>
      </c>
      <c r="D40" s="19">
        <v>91759</v>
      </c>
      <c r="E40" s="19">
        <v>82309</v>
      </c>
      <c r="F40" s="19">
        <v>82095</v>
      </c>
      <c r="G40" s="19">
        <v>82095</v>
      </c>
      <c r="H40" s="19">
        <v>82095</v>
      </c>
      <c r="I40" s="25" t="s">
        <v>58</v>
      </c>
      <c r="J40" s="27">
        <f t="shared" si="0"/>
        <v>0</v>
      </c>
      <c r="K40" s="27">
        <f t="shared" si="1"/>
        <v>9450</v>
      </c>
      <c r="L40" s="27">
        <f t="shared" si="2"/>
        <v>9450</v>
      </c>
      <c r="M40" s="27">
        <f t="shared" si="3"/>
        <v>9664</v>
      </c>
      <c r="N40" s="30">
        <f t="shared" si="4"/>
        <v>0.10298717292036748</v>
      </c>
      <c r="O40" s="30">
        <f t="shared" si="5"/>
        <v>0.89468063078281146</v>
      </c>
      <c r="P40" s="52"/>
    </row>
    <row r="41" spans="1:16" ht="16.5" customHeight="1" thickBot="1" x14ac:dyDescent="0.25">
      <c r="A41" s="21" t="s">
        <v>59</v>
      </c>
      <c r="B41" s="20">
        <v>0</v>
      </c>
      <c r="C41" s="19">
        <v>17714</v>
      </c>
      <c r="D41" s="19">
        <v>14229</v>
      </c>
      <c r="E41" s="19">
        <v>14229</v>
      </c>
      <c r="F41" s="19">
        <v>13548</v>
      </c>
      <c r="G41" s="19">
        <v>9750</v>
      </c>
      <c r="H41" s="19">
        <v>9750</v>
      </c>
      <c r="I41" s="25" t="s">
        <v>60</v>
      </c>
      <c r="J41" s="27">
        <f t="shared" si="0"/>
        <v>3485</v>
      </c>
      <c r="K41" s="27">
        <f t="shared" si="1"/>
        <v>3485</v>
      </c>
      <c r="L41" s="27">
        <f t="shared" si="2"/>
        <v>0</v>
      </c>
      <c r="M41" s="27">
        <f t="shared" si="3"/>
        <v>7964</v>
      </c>
      <c r="N41" s="30">
        <f t="shared" si="4"/>
        <v>0.19673704414587331</v>
      </c>
      <c r="O41" s="30">
        <f t="shared" si="5"/>
        <v>0.55041210342102287</v>
      </c>
      <c r="P41" s="52"/>
    </row>
    <row r="42" spans="1:16" ht="16.5" customHeight="1" thickBot="1" x14ac:dyDescent="0.3">
      <c r="A42" s="21" t="s">
        <v>61</v>
      </c>
      <c r="B42" s="19">
        <v>699403</v>
      </c>
      <c r="C42" s="28">
        <v>728529</v>
      </c>
      <c r="D42" s="29">
        <v>0</v>
      </c>
      <c r="E42" s="29">
        <v>0</v>
      </c>
      <c r="F42" s="29">
        <v>0</v>
      </c>
      <c r="G42" s="29">
        <v>0</v>
      </c>
      <c r="H42" s="20">
        <v>0</v>
      </c>
      <c r="I42" s="25" t="s">
        <v>25</v>
      </c>
      <c r="J42" s="27">
        <f t="shared" si="0"/>
        <v>728529</v>
      </c>
      <c r="K42" s="27">
        <f t="shared" si="1"/>
        <v>728529</v>
      </c>
      <c r="L42" s="27">
        <f t="shared" si="2"/>
        <v>0</v>
      </c>
      <c r="M42" s="27">
        <f t="shared" si="3"/>
        <v>728529</v>
      </c>
      <c r="N42" s="30">
        <f t="shared" si="4"/>
        <v>1</v>
      </c>
      <c r="O42" s="30">
        <f t="shared" si="5"/>
        <v>0</v>
      </c>
      <c r="P42" s="52" t="s">
        <v>659</v>
      </c>
    </row>
    <row r="43" spans="1:16" ht="16.5" customHeight="1" thickBot="1" x14ac:dyDescent="0.25">
      <c r="A43" s="21" t="s">
        <v>62</v>
      </c>
      <c r="B43" s="19">
        <v>2878733</v>
      </c>
      <c r="C43" s="20">
        <v>0</v>
      </c>
      <c r="D43" s="20">
        <v>0</v>
      </c>
      <c r="E43" s="20">
        <v>0</v>
      </c>
      <c r="F43" s="20">
        <v>0</v>
      </c>
      <c r="G43" s="20">
        <v>0</v>
      </c>
      <c r="H43" s="20">
        <v>0</v>
      </c>
      <c r="I43" s="25" t="s">
        <v>25</v>
      </c>
      <c r="J43" s="27">
        <f t="shared" si="0"/>
        <v>0</v>
      </c>
      <c r="K43" s="27">
        <f t="shared" si="1"/>
        <v>0</v>
      </c>
      <c r="L43" s="27">
        <f t="shared" si="2"/>
        <v>0</v>
      </c>
      <c r="M43" s="27">
        <f t="shared" si="3"/>
        <v>0</v>
      </c>
      <c r="N43" s="30" t="str">
        <f t="shared" si="4"/>
        <v xml:space="preserve"> </v>
      </c>
      <c r="O43" s="30" t="str">
        <f t="shared" si="5"/>
        <v>ERROR</v>
      </c>
      <c r="P43" s="52"/>
    </row>
    <row r="44" spans="1:16" ht="16.5" customHeight="1" thickBot="1" x14ac:dyDescent="0.25">
      <c r="A44" s="21" t="s">
        <v>63</v>
      </c>
      <c r="B44" s="19">
        <v>159740</v>
      </c>
      <c r="C44" s="19">
        <v>118539</v>
      </c>
      <c r="D44" s="19">
        <v>70562</v>
      </c>
      <c r="E44" s="19">
        <v>70562</v>
      </c>
      <c r="F44" s="19">
        <v>70562</v>
      </c>
      <c r="G44" s="19">
        <v>70562</v>
      </c>
      <c r="H44" s="19">
        <v>70562</v>
      </c>
      <c r="I44" s="25" t="s">
        <v>64</v>
      </c>
      <c r="J44" s="27">
        <f t="shared" si="0"/>
        <v>47977</v>
      </c>
      <c r="K44" s="27">
        <f t="shared" si="1"/>
        <v>47977</v>
      </c>
      <c r="L44" s="27">
        <f t="shared" si="2"/>
        <v>0</v>
      </c>
      <c r="M44" s="27">
        <f t="shared" si="3"/>
        <v>47977</v>
      </c>
      <c r="N44" s="30">
        <f t="shared" si="4"/>
        <v>0.40473599406102634</v>
      </c>
      <c r="O44" s="30">
        <f t="shared" si="5"/>
        <v>0.59526400593897366</v>
      </c>
      <c r="P44" s="52"/>
    </row>
    <row r="45" spans="1:16" ht="16.5" customHeight="1" thickBot="1" x14ac:dyDescent="0.25">
      <c r="A45" s="21" t="s">
        <v>65</v>
      </c>
      <c r="B45" s="19">
        <v>100000</v>
      </c>
      <c r="C45" s="19">
        <v>4068561</v>
      </c>
      <c r="D45" s="19">
        <v>4043454</v>
      </c>
      <c r="E45" s="19">
        <v>4043454</v>
      </c>
      <c r="F45" s="19">
        <v>4043454</v>
      </c>
      <c r="G45" s="19">
        <v>4043454</v>
      </c>
      <c r="H45" s="20">
        <v>0</v>
      </c>
      <c r="I45" s="25" t="s">
        <v>66</v>
      </c>
      <c r="J45" s="27">
        <f t="shared" si="0"/>
        <v>25107</v>
      </c>
      <c r="K45" s="27">
        <f t="shared" si="1"/>
        <v>25107</v>
      </c>
      <c r="L45" s="27">
        <f t="shared" si="2"/>
        <v>0</v>
      </c>
      <c r="M45" s="27">
        <f t="shared" si="3"/>
        <v>25107</v>
      </c>
      <c r="N45" s="30">
        <f t="shared" si="4"/>
        <v>6.1709778961160965E-3</v>
      </c>
      <c r="O45" s="30">
        <f t="shared" si="5"/>
        <v>0.99382902210388391</v>
      </c>
      <c r="P45" s="52"/>
    </row>
    <row r="46" spans="1:16" ht="16.5" customHeight="1" thickBot="1" x14ac:dyDescent="0.25">
      <c r="A46" s="21" t="s">
        <v>67</v>
      </c>
      <c r="B46" s="19">
        <v>287404</v>
      </c>
      <c r="C46" s="19">
        <v>119950</v>
      </c>
      <c r="D46" s="19">
        <v>114291</v>
      </c>
      <c r="E46" s="19">
        <v>114291</v>
      </c>
      <c r="F46" s="19">
        <v>114291</v>
      </c>
      <c r="G46" s="19">
        <v>70291</v>
      </c>
      <c r="H46" s="19">
        <v>70291</v>
      </c>
      <c r="I46" s="25" t="s">
        <v>68</v>
      </c>
      <c r="J46" s="27">
        <f t="shared" si="0"/>
        <v>5659</v>
      </c>
      <c r="K46" s="27">
        <f t="shared" si="1"/>
        <v>5659</v>
      </c>
      <c r="L46" s="27">
        <f t="shared" si="2"/>
        <v>0</v>
      </c>
      <c r="M46" s="27">
        <f t="shared" si="3"/>
        <v>49659</v>
      </c>
      <c r="N46" s="30">
        <f t="shared" si="4"/>
        <v>4.7177990829512295E-2</v>
      </c>
      <c r="O46" s="30">
        <f t="shared" si="5"/>
        <v>0.58600250104210083</v>
      </c>
      <c r="P46" s="52"/>
    </row>
    <row r="47" spans="1:16" ht="16.5" customHeight="1" thickBot="1" x14ac:dyDescent="0.25">
      <c r="A47" s="21" t="s">
        <v>69</v>
      </c>
      <c r="B47" s="20">
        <v>0</v>
      </c>
      <c r="C47" s="19">
        <v>99230</v>
      </c>
      <c r="D47" s="19">
        <v>99008</v>
      </c>
      <c r="E47" s="19">
        <v>96668</v>
      </c>
      <c r="F47" s="19">
        <v>96199</v>
      </c>
      <c r="G47" s="19">
        <v>96199</v>
      </c>
      <c r="H47" s="19">
        <v>96199</v>
      </c>
      <c r="I47" s="25" t="s">
        <v>70</v>
      </c>
      <c r="J47" s="27">
        <f t="shared" si="0"/>
        <v>222</v>
      </c>
      <c r="K47" s="27">
        <f t="shared" si="1"/>
        <v>2562</v>
      </c>
      <c r="L47" s="27">
        <f t="shared" si="2"/>
        <v>2340</v>
      </c>
      <c r="M47" s="27">
        <f t="shared" si="3"/>
        <v>3031</v>
      </c>
      <c r="N47" s="30">
        <f t="shared" si="4"/>
        <v>2.581880479693641E-2</v>
      </c>
      <c r="O47" s="30">
        <f t="shared" si="5"/>
        <v>0.96945480197520906</v>
      </c>
      <c r="P47" s="52"/>
    </row>
    <row r="48" spans="1:16" ht="16.5" customHeight="1" thickBot="1" x14ac:dyDescent="0.25">
      <c r="A48" s="21" t="s">
        <v>71</v>
      </c>
      <c r="B48" s="20">
        <v>0</v>
      </c>
      <c r="C48" s="19">
        <v>20166</v>
      </c>
      <c r="D48" s="19">
        <v>19362</v>
      </c>
      <c r="E48" s="19">
        <v>19362</v>
      </c>
      <c r="F48" s="19">
        <v>18148</v>
      </c>
      <c r="G48" s="19">
        <v>18148</v>
      </c>
      <c r="H48" s="19">
        <v>18148</v>
      </c>
      <c r="I48" s="25" t="s">
        <v>72</v>
      </c>
      <c r="J48" s="27">
        <f t="shared" si="0"/>
        <v>804</v>
      </c>
      <c r="K48" s="27">
        <f t="shared" si="1"/>
        <v>804</v>
      </c>
      <c r="L48" s="27">
        <f t="shared" si="2"/>
        <v>0</v>
      </c>
      <c r="M48" s="27">
        <f t="shared" si="3"/>
        <v>2018</v>
      </c>
      <c r="N48" s="30">
        <f t="shared" si="4"/>
        <v>3.9869086581374592E-2</v>
      </c>
      <c r="O48" s="30">
        <f t="shared" si="5"/>
        <v>0.89993057621739558</v>
      </c>
      <c r="P48" s="52"/>
    </row>
    <row r="49" spans="1:16" ht="16.5" customHeight="1" thickBot="1" x14ac:dyDescent="0.25">
      <c r="A49" s="21" t="s">
        <v>73</v>
      </c>
      <c r="B49" s="19">
        <v>1023926</v>
      </c>
      <c r="C49" s="20">
        <v>0</v>
      </c>
      <c r="D49" s="20">
        <v>0</v>
      </c>
      <c r="E49" s="20">
        <v>0</v>
      </c>
      <c r="F49" s="20">
        <v>0</v>
      </c>
      <c r="G49" s="20">
        <v>0</v>
      </c>
      <c r="H49" s="20">
        <v>0</v>
      </c>
      <c r="I49" s="25" t="s">
        <v>25</v>
      </c>
      <c r="J49" s="27">
        <f t="shared" si="0"/>
        <v>0</v>
      </c>
      <c r="K49" s="27">
        <f t="shared" si="1"/>
        <v>0</v>
      </c>
      <c r="L49" s="27">
        <f t="shared" si="2"/>
        <v>0</v>
      </c>
      <c r="M49" s="27">
        <f t="shared" si="3"/>
        <v>0</v>
      </c>
      <c r="N49" s="30" t="str">
        <f t="shared" si="4"/>
        <v xml:space="preserve"> </v>
      </c>
      <c r="O49" s="30" t="str">
        <f t="shared" si="5"/>
        <v>ERROR</v>
      </c>
      <c r="P49" s="52"/>
    </row>
    <row r="50" spans="1:16" ht="16.5" customHeight="1" thickBot="1" x14ac:dyDescent="0.25">
      <c r="A50" s="21" t="s">
        <v>74</v>
      </c>
      <c r="B50" s="19">
        <v>100000</v>
      </c>
      <c r="C50" s="20">
        <v>0</v>
      </c>
      <c r="D50" s="20">
        <v>0</v>
      </c>
      <c r="E50" s="20">
        <v>0</v>
      </c>
      <c r="F50" s="20">
        <v>0</v>
      </c>
      <c r="G50" s="20">
        <v>0</v>
      </c>
      <c r="H50" s="20">
        <v>0</v>
      </c>
      <c r="I50" s="25" t="s">
        <v>25</v>
      </c>
      <c r="J50" s="27">
        <f t="shared" si="0"/>
        <v>0</v>
      </c>
      <c r="K50" s="27">
        <f t="shared" si="1"/>
        <v>0</v>
      </c>
      <c r="L50" s="27">
        <f t="shared" si="2"/>
        <v>0</v>
      </c>
      <c r="M50" s="27">
        <f t="shared" si="3"/>
        <v>0</v>
      </c>
      <c r="N50" s="30" t="str">
        <f t="shared" si="4"/>
        <v xml:space="preserve"> </v>
      </c>
      <c r="O50" s="30" t="str">
        <f t="shared" si="5"/>
        <v>ERROR</v>
      </c>
      <c r="P50" s="52"/>
    </row>
    <row r="51" spans="1:16" ht="16.5" customHeight="1" thickBot="1" x14ac:dyDescent="0.25">
      <c r="A51" s="21" t="s">
        <v>75</v>
      </c>
      <c r="B51" s="19">
        <v>800000</v>
      </c>
      <c r="C51" s="19">
        <v>2342684</v>
      </c>
      <c r="D51" s="19">
        <v>2159343</v>
      </c>
      <c r="E51" s="19">
        <v>1958588</v>
      </c>
      <c r="F51" s="19">
        <v>1715249</v>
      </c>
      <c r="G51" s="19">
        <v>1123789</v>
      </c>
      <c r="H51" s="19">
        <v>997142</v>
      </c>
      <c r="I51" s="25" t="s">
        <v>76</v>
      </c>
      <c r="J51" s="27">
        <f t="shared" si="0"/>
        <v>183341</v>
      </c>
      <c r="K51" s="27">
        <f t="shared" si="1"/>
        <v>384096</v>
      </c>
      <c r="L51" s="27">
        <f t="shared" si="2"/>
        <v>200755</v>
      </c>
      <c r="M51" s="27">
        <f t="shared" si="3"/>
        <v>1218895</v>
      </c>
      <c r="N51" s="30">
        <f t="shared" si="4"/>
        <v>0.1639555313478045</v>
      </c>
      <c r="O51" s="30">
        <f t="shared" si="5"/>
        <v>0.47970148769531018</v>
      </c>
      <c r="P51" s="52"/>
    </row>
    <row r="52" spans="1:16" ht="16.5" customHeight="1" thickBot="1" x14ac:dyDescent="0.25">
      <c r="A52" s="21" t="s">
        <v>77</v>
      </c>
      <c r="B52" s="19">
        <v>120201</v>
      </c>
      <c r="C52" s="19">
        <v>41720</v>
      </c>
      <c r="D52" s="19">
        <v>31883</v>
      </c>
      <c r="E52" s="19">
        <v>31883</v>
      </c>
      <c r="F52" s="19">
        <v>31883</v>
      </c>
      <c r="G52" s="19">
        <v>31883</v>
      </c>
      <c r="H52" s="19">
        <v>31883</v>
      </c>
      <c r="I52" s="25" t="s">
        <v>78</v>
      </c>
      <c r="J52" s="27">
        <f t="shared" si="0"/>
        <v>9837</v>
      </c>
      <c r="K52" s="27">
        <f t="shared" si="1"/>
        <v>9837</v>
      </c>
      <c r="L52" s="27">
        <f t="shared" si="2"/>
        <v>0</v>
      </c>
      <c r="M52" s="27">
        <f t="shared" si="3"/>
        <v>9837</v>
      </c>
      <c r="N52" s="30">
        <f t="shared" si="4"/>
        <v>0.23578619367209971</v>
      </c>
      <c r="O52" s="30">
        <f t="shared" si="5"/>
        <v>0.76421380632790026</v>
      </c>
      <c r="P52" s="52"/>
    </row>
    <row r="53" spans="1:16" ht="16.5" customHeight="1" thickBot="1" x14ac:dyDescent="0.25">
      <c r="A53" s="21" t="s">
        <v>79</v>
      </c>
      <c r="B53" s="19">
        <v>60000</v>
      </c>
      <c r="C53" s="20">
        <v>0</v>
      </c>
      <c r="D53" s="20">
        <v>0</v>
      </c>
      <c r="E53" s="20">
        <v>0</v>
      </c>
      <c r="F53" s="20">
        <v>0</v>
      </c>
      <c r="G53" s="20">
        <v>0</v>
      </c>
      <c r="H53" s="20">
        <v>0</v>
      </c>
      <c r="I53" s="25" t="s">
        <v>25</v>
      </c>
      <c r="J53" s="27">
        <f t="shared" si="0"/>
        <v>0</v>
      </c>
      <c r="K53" s="27">
        <f t="shared" si="1"/>
        <v>0</v>
      </c>
      <c r="L53" s="27">
        <f t="shared" si="2"/>
        <v>0</v>
      </c>
      <c r="M53" s="27">
        <f t="shared" si="3"/>
        <v>0</v>
      </c>
      <c r="N53" s="30" t="str">
        <f t="shared" si="4"/>
        <v xml:space="preserve"> </v>
      </c>
      <c r="O53" s="30" t="str">
        <f t="shared" si="5"/>
        <v>ERROR</v>
      </c>
      <c r="P53" s="52"/>
    </row>
    <row r="54" spans="1:16" ht="16.5" customHeight="1" thickBot="1" x14ac:dyDescent="0.25">
      <c r="A54" s="21" t="s">
        <v>80</v>
      </c>
      <c r="B54" s="19">
        <v>2080646</v>
      </c>
      <c r="C54" s="19">
        <v>30000</v>
      </c>
      <c r="D54" s="19">
        <v>23434</v>
      </c>
      <c r="E54" s="19">
        <v>23434</v>
      </c>
      <c r="F54" s="19">
        <v>13106</v>
      </c>
      <c r="G54" s="19">
        <v>13106</v>
      </c>
      <c r="H54" s="19">
        <v>13106</v>
      </c>
      <c r="I54" s="25" t="s">
        <v>81</v>
      </c>
      <c r="J54" s="27">
        <f t="shared" si="0"/>
        <v>6566</v>
      </c>
      <c r="K54" s="27">
        <f t="shared" si="1"/>
        <v>6566</v>
      </c>
      <c r="L54" s="27">
        <f t="shared" si="2"/>
        <v>0</v>
      </c>
      <c r="M54" s="27">
        <f t="shared" si="3"/>
        <v>16894</v>
      </c>
      <c r="N54" s="30">
        <f t="shared" si="4"/>
        <v>0.21886666666666665</v>
      </c>
      <c r="O54" s="30">
        <f t="shared" si="5"/>
        <v>0.43686666666666668</v>
      </c>
      <c r="P54" s="52"/>
    </row>
    <row r="55" spans="1:16" ht="16.5" customHeight="1" thickBot="1" x14ac:dyDescent="0.25">
      <c r="A55" s="21" t="s">
        <v>82</v>
      </c>
      <c r="B55" s="19">
        <v>56150305</v>
      </c>
      <c r="C55" s="19">
        <v>56150305</v>
      </c>
      <c r="D55" s="19">
        <v>56150304</v>
      </c>
      <c r="E55" s="19">
        <v>55370048</v>
      </c>
      <c r="F55" s="19">
        <v>29724124</v>
      </c>
      <c r="G55" s="19">
        <v>29724124</v>
      </c>
      <c r="H55" s="19">
        <v>29041154</v>
      </c>
      <c r="I55" s="25" t="s">
        <v>83</v>
      </c>
      <c r="J55" s="27">
        <f t="shared" si="0"/>
        <v>1</v>
      </c>
      <c r="K55" s="27">
        <f t="shared" si="1"/>
        <v>780257</v>
      </c>
      <c r="L55" s="27">
        <f t="shared" si="2"/>
        <v>780256</v>
      </c>
      <c r="M55" s="27">
        <f t="shared" si="3"/>
        <v>26426181</v>
      </c>
      <c r="N55" s="30">
        <f t="shared" si="4"/>
        <v>1.3895863967257168E-2</v>
      </c>
      <c r="O55" s="30">
        <f t="shared" si="5"/>
        <v>0.52936709782787461</v>
      </c>
      <c r="P55" s="52"/>
    </row>
    <row r="56" spans="1:16" ht="16.5" customHeight="1" thickBot="1" x14ac:dyDescent="0.25">
      <c r="A56" s="21" t="s">
        <v>84</v>
      </c>
      <c r="B56" s="20">
        <v>0</v>
      </c>
      <c r="C56" s="19">
        <v>70632</v>
      </c>
      <c r="D56" s="19">
        <v>12544</v>
      </c>
      <c r="E56" s="19">
        <v>12544</v>
      </c>
      <c r="F56" s="19">
        <v>12544</v>
      </c>
      <c r="G56" s="19">
        <v>12544</v>
      </c>
      <c r="H56" s="19">
        <v>1505</v>
      </c>
      <c r="I56" s="25" t="s">
        <v>85</v>
      </c>
      <c r="J56" s="27">
        <f t="shared" si="0"/>
        <v>58088</v>
      </c>
      <c r="K56" s="27">
        <f t="shared" si="1"/>
        <v>58088</v>
      </c>
      <c r="L56" s="27">
        <f t="shared" si="2"/>
        <v>0</v>
      </c>
      <c r="M56" s="27">
        <f t="shared" si="3"/>
        <v>58088</v>
      </c>
      <c r="N56" s="30">
        <f t="shared" si="4"/>
        <v>0.82240344319855019</v>
      </c>
      <c r="O56" s="30">
        <f t="shared" si="5"/>
        <v>0.17759655680144976</v>
      </c>
      <c r="P56" s="52"/>
    </row>
    <row r="57" spans="1:16" ht="16.5" customHeight="1" thickBot="1" x14ac:dyDescent="0.25">
      <c r="A57" s="21" t="s">
        <v>86</v>
      </c>
      <c r="B57" s="20">
        <v>0</v>
      </c>
      <c r="C57" s="19">
        <v>41519761</v>
      </c>
      <c r="D57" s="19">
        <v>39201249</v>
      </c>
      <c r="E57" s="19">
        <v>10839279</v>
      </c>
      <c r="F57" s="19">
        <v>10652960</v>
      </c>
      <c r="G57" s="19">
        <v>10652960</v>
      </c>
      <c r="H57" s="19">
        <v>10642217</v>
      </c>
      <c r="I57" s="25" t="s">
        <v>87</v>
      </c>
      <c r="J57" s="27">
        <f t="shared" si="0"/>
        <v>2318512</v>
      </c>
      <c r="K57" s="27">
        <f t="shared" si="1"/>
        <v>30680482</v>
      </c>
      <c r="L57" s="27">
        <f t="shared" si="2"/>
        <v>28361970</v>
      </c>
      <c r="M57" s="27">
        <f t="shared" si="3"/>
        <v>30866801</v>
      </c>
      <c r="N57" s="30">
        <f t="shared" si="4"/>
        <v>0.73893686430420447</v>
      </c>
      <c r="O57" s="30">
        <f t="shared" si="5"/>
        <v>0.25657565803425508</v>
      </c>
      <c r="P57" s="52"/>
    </row>
    <row r="58" spans="1:16" ht="16.5" customHeight="1" thickBot="1" x14ac:dyDescent="0.25">
      <c r="A58" s="21" t="s">
        <v>88</v>
      </c>
      <c r="B58" s="19">
        <v>54666680</v>
      </c>
      <c r="C58" s="19">
        <v>53759397</v>
      </c>
      <c r="D58" s="19">
        <v>53759397</v>
      </c>
      <c r="E58" s="19">
        <v>262914</v>
      </c>
      <c r="F58" s="19">
        <v>261343</v>
      </c>
      <c r="G58" s="19">
        <v>261343</v>
      </c>
      <c r="H58" s="19">
        <v>261343</v>
      </c>
      <c r="I58" s="25" t="s">
        <v>89</v>
      </c>
      <c r="J58" s="27">
        <f t="shared" si="0"/>
        <v>0</v>
      </c>
      <c r="K58" s="27">
        <f t="shared" si="1"/>
        <v>53496483</v>
      </c>
      <c r="L58" s="27">
        <f t="shared" si="2"/>
        <v>53496483</v>
      </c>
      <c r="M58" s="27">
        <f t="shared" si="3"/>
        <v>53498054</v>
      </c>
      <c r="N58" s="30">
        <f t="shared" si="4"/>
        <v>0.99510943175199673</v>
      </c>
      <c r="O58" s="30">
        <f t="shared" si="5"/>
        <v>4.8613454499870975E-3</v>
      </c>
      <c r="P58" s="52"/>
    </row>
    <row r="59" spans="1:16" ht="16.5" customHeight="1" thickBot="1" x14ac:dyDescent="0.25">
      <c r="A59" s="21" t="s">
        <v>90</v>
      </c>
      <c r="B59" s="19">
        <v>15800000</v>
      </c>
      <c r="C59" s="19">
        <v>22276780</v>
      </c>
      <c r="D59" s="19">
        <v>17912911</v>
      </c>
      <c r="E59" s="19">
        <v>17717779</v>
      </c>
      <c r="F59" s="19">
        <v>16334346</v>
      </c>
      <c r="G59" s="19">
        <v>15417466</v>
      </c>
      <c r="H59" s="19">
        <v>14634837</v>
      </c>
      <c r="I59" s="25" t="s">
        <v>91</v>
      </c>
      <c r="J59" s="27">
        <f t="shared" si="0"/>
        <v>4363869</v>
      </c>
      <c r="K59" s="27">
        <f t="shared" si="1"/>
        <v>4559001</v>
      </c>
      <c r="L59" s="27">
        <f t="shared" si="2"/>
        <v>195132</v>
      </c>
      <c r="M59" s="27">
        <f t="shared" si="3"/>
        <v>6859314</v>
      </c>
      <c r="N59" s="30">
        <f t="shared" si="4"/>
        <v>0.20465260239585792</v>
      </c>
      <c r="O59" s="30">
        <f t="shared" si="5"/>
        <v>0.69208682762948681</v>
      </c>
      <c r="P59" s="52"/>
    </row>
    <row r="60" spans="1:16" ht="16.5" customHeight="1" thickBot="1" x14ac:dyDescent="0.25">
      <c r="A60" s="21" t="s">
        <v>92</v>
      </c>
      <c r="B60" s="19">
        <v>4289351</v>
      </c>
      <c r="C60" s="19">
        <v>10002053</v>
      </c>
      <c r="D60" s="19">
        <v>9636351</v>
      </c>
      <c r="E60" s="19">
        <v>9595158</v>
      </c>
      <c r="F60" s="19">
        <v>7006663</v>
      </c>
      <c r="G60" s="19">
        <v>5473965</v>
      </c>
      <c r="H60" s="19">
        <v>4924482</v>
      </c>
      <c r="I60" s="25" t="s">
        <v>93</v>
      </c>
      <c r="J60" s="27">
        <f t="shared" si="0"/>
        <v>365702</v>
      </c>
      <c r="K60" s="27">
        <f t="shared" si="1"/>
        <v>406895</v>
      </c>
      <c r="L60" s="27">
        <f t="shared" si="2"/>
        <v>41193</v>
      </c>
      <c r="M60" s="27">
        <f t="shared" si="3"/>
        <v>4528088</v>
      </c>
      <c r="N60" s="30">
        <f t="shared" si="4"/>
        <v>4.0681148160282697E-2</v>
      </c>
      <c r="O60" s="30">
        <f t="shared" si="5"/>
        <v>0.54728414256553126</v>
      </c>
      <c r="P60" s="52"/>
    </row>
    <row r="61" spans="1:16" ht="16.5" customHeight="1" thickBot="1" x14ac:dyDescent="0.25">
      <c r="A61" s="21" t="s">
        <v>94</v>
      </c>
      <c r="B61" s="19">
        <v>993581</v>
      </c>
      <c r="C61" s="19">
        <v>4291327</v>
      </c>
      <c r="D61" s="19">
        <v>4093667</v>
      </c>
      <c r="E61" s="19">
        <v>4092926</v>
      </c>
      <c r="F61" s="19">
        <v>4092735</v>
      </c>
      <c r="G61" s="19">
        <v>3891387</v>
      </c>
      <c r="H61" s="19">
        <v>3585841</v>
      </c>
      <c r="I61" s="25" t="s">
        <v>95</v>
      </c>
      <c r="J61" s="27">
        <f t="shared" si="0"/>
        <v>197660</v>
      </c>
      <c r="K61" s="27">
        <f t="shared" si="1"/>
        <v>198401</v>
      </c>
      <c r="L61" s="27">
        <f t="shared" si="2"/>
        <v>741</v>
      </c>
      <c r="M61" s="27">
        <f t="shared" si="3"/>
        <v>399940</v>
      </c>
      <c r="N61" s="30">
        <f t="shared" si="4"/>
        <v>4.623301836471562E-2</v>
      </c>
      <c r="O61" s="30">
        <f t="shared" si="5"/>
        <v>0.90680272092991288</v>
      </c>
      <c r="P61" s="52"/>
    </row>
    <row r="62" spans="1:16" ht="16.5" customHeight="1" thickBot="1" x14ac:dyDescent="0.25">
      <c r="A62" s="21" t="s">
        <v>96</v>
      </c>
      <c r="B62" s="19">
        <v>821892</v>
      </c>
      <c r="C62" s="19">
        <v>3318026</v>
      </c>
      <c r="D62" s="19">
        <v>3154442</v>
      </c>
      <c r="E62" s="19">
        <v>2828127</v>
      </c>
      <c r="F62" s="19">
        <v>2772106</v>
      </c>
      <c r="G62" s="19">
        <v>2243367</v>
      </c>
      <c r="H62" s="19">
        <v>2103048</v>
      </c>
      <c r="I62" s="25" t="s">
        <v>97</v>
      </c>
      <c r="J62" s="27">
        <f t="shared" si="0"/>
        <v>163584</v>
      </c>
      <c r="K62" s="27">
        <f t="shared" si="1"/>
        <v>489899</v>
      </c>
      <c r="L62" s="27">
        <f t="shared" si="2"/>
        <v>326315</v>
      </c>
      <c r="M62" s="27">
        <f t="shared" si="3"/>
        <v>1074659</v>
      </c>
      <c r="N62" s="30">
        <f t="shared" si="4"/>
        <v>0.14764772789604422</v>
      </c>
      <c r="O62" s="30">
        <f t="shared" si="5"/>
        <v>0.67611495509679553</v>
      </c>
      <c r="P62" s="52"/>
    </row>
    <row r="63" spans="1:16" ht="16.5" customHeight="1" thickBot="1" x14ac:dyDescent="0.25">
      <c r="A63" s="21" t="s">
        <v>98</v>
      </c>
      <c r="B63" s="19">
        <v>3160785</v>
      </c>
      <c r="C63" s="19">
        <v>6912542</v>
      </c>
      <c r="D63" s="19">
        <v>6855594</v>
      </c>
      <c r="E63" s="19">
        <v>5864789</v>
      </c>
      <c r="F63" s="19">
        <v>4379519</v>
      </c>
      <c r="G63" s="19">
        <v>4377039</v>
      </c>
      <c r="H63" s="19">
        <v>4373474</v>
      </c>
      <c r="I63" s="25" t="s">
        <v>99</v>
      </c>
      <c r="J63" s="27">
        <f t="shared" si="0"/>
        <v>56948</v>
      </c>
      <c r="K63" s="27">
        <f t="shared" si="1"/>
        <v>1047753</v>
      </c>
      <c r="L63" s="27">
        <f t="shared" si="2"/>
        <v>990805</v>
      </c>
      <c r="M63" s="27">
        <f t="shared" si="3"/>
        <v>2535503</v>
      </c>
      <c r="N63" s="30">
        <f t="shared" si="4"/>
        <v>0.15157274993772191</v>
      </c>
      <c r="O63" s="30">
        <f t="shared" si="5"/>
        <v>0.63320251797385096</v>
      </c>
      <c r="P63" s="52"/>
    </row>
    <row r="64" spans="1:16" ht="16.5" customHeight="1" thickBot="1" x14ac:dyDescent="0.25">
      <c r="A64" s="21" t="s">
        <v>100</v>
      </c>
      <c r="B64" s="19">
        <v>3545977</v>
      </c>
      <c r="C64" s="19">
        <v>2394023</v>
      </c>
      <c r="D64" s="19">
        <v>2316939</v>
      </c>
      <c r="E64" s="19">
        <v>2310744</v>
      </c>
      <c r="F64" s="19">
        <v>1301156</v>
      </c>
      <c r="G64" s="19">
        <v>1138699</v>
      </c>
      <c r="H64" s="19">
        <v>1138699</v>
      </c>
      <c r="I64" s="25" t="s">
        <v>101</v>
      </c>
      <c r="J64" s="27">
        <f t="shared" si="0"/>
        <v>77084</v>
      </c>
      <c r="K64" s="27">
        <f t="shared" si="1"/>
        <v>83279</v>
      </c>
      <c r="L64" s="27">
        <f t="shared" si="2"/>
        <v>6195</v>
      </c>
      <c r="M64" s="27">
        <f t="shared" si="3"/>
        <v>1255324</v>
      </c>
      <c r="N64" s="30">
        <f t="shared" si="4"/>
        <v>3.4786215504195236E-2</v>
      </c>
      <c r="O64" s="30">
        <f t="shared" si="5"/>
        <v>0.47564246458785064</v>
      </c>
      <c r="P64" s="52"/>
    </row>
    <row r="65" spans="1:16" ht="16.5" customHeight="1" thickBot="1" x14ac:dyDescent="0.25">
      <c r="A65" s="21" t="s">
        <v>102</v>
      </c>
      <c r="B65" s="19">
        <v>539829</v>
      </c>
      <c r="C65" s="19">
        <v>909086</v>
      </c>
      <c r="D65" s="19">
        <v>725859</v>
      </c>
      <c r="E65" s="19">
        <v>718410</v>
      </c>
      <c r="F65" s="19">
        <v>718410</v>
      </c>
      <c r="G65" s="19">
        <v>715666</v>
      </c>
      <c r="H65" s="19">
        <v>690796</v>
      </c>
      <c r="I65" s="25" t="s">
        <v>103</v>
      </c>
      <c r="J65" s="27">
        <f t="shared" si="0"/>
        <v>183227</v>
      </c>
      <c r="K65" s="27">
        <f t="shared" si="1"/>
        <v>190676</v>
      </c>
      <c r="L65" s="27">
        <f t="shared" si="2"/>
        <v>7449</v>
      </c>
      <c r="M65" s="27">
        <f t="shared" si="3"/>
        <v>193420</v>
      </c>
      <c r="N65" s="30">
        <f t="shared" si="4"/>
        <v>0.20974473262155616</v>
      </c>
      <c r="O65" s="30">
        <f t="shared" si="5"/>
        <v>0.78723685107899588</v>
      </c>
      <c r="P65" s="52"/>
    </row>
    <row r="66" spans="1:16" ht="16.5" customHeight="1" thickBot="1" x14ac:dyDescent="0.25">
      <c r="A66" s="21" t="s">
        <v>104</v>
      </c>
      <c r="B66" s="19">
        <v>1199085</v>
      </c>
      <c r="C66" s="19">
        <v>407088</v>
      </c>
      <c r="D66" s="19">
        <v>327566</v>
      </c>
      <c r="E66" s="19">
        <v>323566</v>
      </c>
      <c r="F66" s="19">
        <v>316522</v>
      </c>
      <c r="G66" s="19">
        <v>287714</v>
      </c>
      <c r="H66" s="19">
        <v>287714</v>
      </c>
      <c r="I66" s="25" t="s">
        <v>105</v>
      </c>
      <c r="J66" s="27">
        <f t="shared" si="0"/>
        <v>79522</v>
      </c>
      <c r="K66" s="27">
        <f t="shared" si="1"/>
        <v>83522</v>
      </c>
      <c r="L66" s="27">
        <f t="shared" si="2"/>
        <v>4000</v>
      </c>
      <c r="M66" s="27">
        <f t="shared" si="3"/>
        <v>119374</v>
      </c>
      <c r="N66" s="30">
        <f t="shared" si="4"/>
        <v>0.20516939826278346</v>
      </c>
      <c r="O66" s="30">
        <f t="shared" si="5"/>
        <v>0.7067611916833707</v>
      </c>
      <c r="P66" s="52"/>
    </row>
    <row r="67" spans="1:16" ht="16.5" customHeight="1" thickBot="1" x14ac:dyDescent="0.3">
      <c r="A67" s="21" t="s">
        <v>106</v>
      </c>
      <c r="B67" s="20">
        <v>0</v>
      </c>
      <c r="C67" s="28">
        <v>40000</v>
      </c>
      <c r="D67" s="29">
        <v>0</v>
      </c>
      <c r="E67" s="29">
        <v>0</v>
      </c>
      <c r="F67" s="29">
        <v>0</v>
      </c>
      <c r="G67" s="29">
        <v>0</v>
      </c>
      <c r="H67" s="20">
        <v>0</v>
      </c>
      <c r="I67" s="25" t="s">
        <v>25</v>
      </c>
      <c r="J67" s="27">
        <f t="shared" si="0"/>
        <v>40000</v>
      </c>
      <c r="K67" s="27">
        <f t="shared" si="1"/>
        <v>40000</v>
      </c>
      <c r="L67" s="27">
        <f t="shared" si="2"/>
        <v>0</v>
      </c>
      <c r="M67" s="27">
        <f t="shared" si="3"/>
        <v>40000</v>
      </c>
      <c r="N67" s="30">
        <f t="shared" si="4"/>
        <v>1</v>
      </c>
      <c r="O67" s="30">
        <f t="shared" si="5"/>
        <v>0</v>
      </c>
      <c r="P67" s="52" t="s">
        <v>660</v>
      </c>
    </row>
    <row r="68" spans="1:16" ht="16.5" customHeight="1" thickBot="1" x14ac:dyDescent="0.25">
      <c r="A68" s="21" t="s">
        <v>107</v>
      </c>
      <c r="B68" s="19">
        <v>7946662</v>
      </c>
      <c r="C68" s="20">
        <v>0</v>
      </c>
      <c r="D68" s="20">
        <v>0</v>
      </c>
      <c r="E68" s="20">
        <v>0</v>
      </c>
      <c r="F68" s="20">
        <v>0</v>
      </c>
      <c r="G68" s="20">
        <v>0</v>
      </c>
      <c r="H68" s="20">
        <v>0</v>
      </c>
      <c r="I68" s="25" t="s">
        <v>25</v>
      </c>
      <c r="J68" s="27">
        <f t="shared" si="0"/>
        <v>0</v>
      </c>
      <c r="K68" s="27">
        <f t="shared" si="1"/>
        <v>0</v>
      </c>
      <c r="L68" s="27">
        <f t="shared" si="2"/>
        <v>0</v>
      </c>
      <c r="M68" s="27">
        <f t="shared" si="3"/>
        <v>0</v>
      </c>
      <c r="N68" s="30" t="str">
        <f t="shared" si="4"/>
        <v xml:space="preserve"> </v>
      </c>
      <c r="O68" s="30" t="str">
        <f t="shared" si="5"/>
        <v>ERROR</v>
      </c>
      <c r="P68" s="52"/>
    </row>
    <row r="69" spans="1:16" ht="16.5" customHeight="1" thickBot="1" x14ac:dyDescent="0.3">
      <c r="A69" s="21" t="s">
        <v>108</v>
      </c>
      <c r="B69" s="20">
        <v>0</v>
      </c>
      <c r="C69" s="36">
        <v>30892</v>
      </c>
      <c r="D69" s="36">
        <v>30000</v>
      </c>
      <c r="E69" s="36">
        <v>30000</v>
      </c>
      <c r="F69" s="36">
        <v>30000</v>
      </c>
      <c r="G69" s="37">
        <v>0</v>
      </c>
      <c r="H69" s="20">
        <v>0</v>
      </c>
      <c r="I69" s="25" t="s">
        <v>25</v>
      </c>
      <c r="J69" s="27">
        <f t="shared" si="0"/>
        <v>892</v>
      </c>
      <c r="K69" s="27">
        <f t="shared" si="1"/>
        <v>892</v>
      </c>
      <c r="L69" s="27">
        <f t="shared" si="2"/>
        <v>0</v>
      </c>
      <c r="M69" s="27">
        <f t="shared" si="3"/>
        <v>30892</v>
      </c>
      <c r="N69" s="30">
        <f t="shared" si="4"/>
        <v>2.8874789589537743E-2</v>
      </c>
      <c r="O69" s="30">
        <f t="shared" si="5"/>
        <v>0</v>
      </c>
      <c r="P69" s="52" t="s">
        <v>659</v>
      </c>
    </row>
    <row r="70" spans="1:16" ht="16.5" customHeight="1" thickBot="1" x14ac:dyDescent="0.25">
      <c r="A70" s="21" t="s">
        <v>109</v>
      </c>
      <c r="B70" s="19">
        <v>1050000</v>
      </c>
      <c r="C70" s="19">
        <v>844818</v>
      </c>
      <c r="D70" s="19">
        <v>75387</v>
      </c>
      <c r="E70" s="19">
        <v>75387</v>
      </c>
      <c r="F70" s="19">
        <v>75387</v>
      </c>
      <c r="G70" s="19">
        <v>75387</v>
      </c>
      <c r="H70" s="19">
        <v>75387</v>
      </c>
      <c r="I70" s="25" t="s">
        <v>110</v>
      </c>
      <c r="J70" s="27">
        <f t="shared" si="0"/>
        <v>769431</v>
      </c>
      <c r="K70" s="27">
        <f t="shared" si="1"/>
        <v>769431</v>
      </c>
      <c r="L70" s="27">
        <f t="shared" si="2"/>
        <v>0</v>
      </c>
      <c r="M70" s="27">
        <f t="shared" si="3"/>
        <v>769431</v>
      </c>
      <c r="N70" s="30">
        <f t="shared" si="4"/>
        <v>0.91076539562367276</v>
      </c>
      <c r="O70" s="30">
        <f t="shared" si="5"/>
        <v>8.9234604376327215E-2</v>
      </c>
      <c r="P70" s="52"/>
    </row>
    <row r="71" spans="1:16" ht="16.5" customHeight="1" thickBot="1" x14ac:dyDescent="0.25">
      <c r="A71" s="21" t="s">
        <v>111</v>
      </c>
      <c r="B71" s="19">
        <v>2546207</v>
      </c>
      <c r="C71" s="19">
        <v>10519577</v>
      </c>
      <c r="D71" s="19">
        <v>10386241</v>
      </c>
      <c r="E71" s="19">
        <v>8483089</v>
      </c>
      <c r="F71" s="19">
        <v>8382186</v>
      </c>
      <c r="G71" s="19">
        <v>7596373</v>
      </c>
      <c r="H71" s="19">
        <v>6861807</v>
      </c>
      <c r="I71" s="25" t="s">
        <v>112</v>
      </c>
      <c r="J71" s="27">
        <f t="shared" si="0"/>
        <v>133336</v>
      </c>
      <c r="K71" s="27">
        <f t="shared" si="1"/>
        <v>2036488</v>
      </c>
      <c r="L71" s="27">
        <f t="shared" si="2"/>
        <v>1903152</v>
      </c>
      <c r="M71" s="27">
        <f t="shared" si="3"/>
        <v>2923204</v>
      </c>
      <c r="N71" s="30">
        <f t="shared" si="4"/>
        <v>0.19359029360210966</v>
      </c>
      <c r="O71" s="30">
        <f t="shared" si="5"/>
        <v>0.72211772393509743</v>
      </c>
      <c r="P71" s="52"/>
    </row>
    <row r="72" spans="1:16" ht="16.5" customHeight="1" thickBot="1" x14ac:dyDescent="0.25">
      <c r="A72" s="21" t="s">
        <v>113</v>
      </c>
      <c r="B72" s="19">
        <v>100560</v>
      </c>
      <c r="C72" s="19">
        <v>550560</v>
      </c>
      <c r="D72" s="19">
        <v>519500</v>
      </c>
      <c r="E72" s="19">
        <v>519159</v>
      </c>
      <c r="F72" s="19">
        <v>517920</v>
      </c>
      <c r="G72" s="19">
        <v>517920</v>
      </c>
      <c r="H72" s="19">
        <v>104420</v>
      </c>
      <c r="I72" s="25" t="s">
        <v>114</v>
      </c>
      <c r="J72" s="27">
        <f t="shared" si="0"/>
        <v>31060</v>
      </c>
      <c r="K72" s="27">
        <f t="shared" si="1"/>
        <v>31401</v>
      </c>
      <c r="L72" s="27">
        <f t="shared" si="2"/>
        <v>341</v>
      </c>
      <c r="M72" s="27">
        <f t="shared" si="3"/>
        <v>32640</v>
      </c>
      <c r="N72" s="30">
        <f t="shared" si="4"/>
        <v>5.70346556233653E-2</v>
      </c>
      <c r="O72" s="30">
        <f t="shared" si="5"/>
        <v>0.94071490845684391</v>
      </c>
      <c r="P72" s="52"/>
    </row>
    <row r="73" spans="1:16" ht="16.5" customHeight="1" thickBot="1" x14ac:dyDescent="0.3">
      <c r="A73" s="21" t="s">
        <v>115</v>
      </c>
      <c r="B73" s="19">
        <v>2215165</v>
      </c>
      <c r="C73" s="28">
        <v>30000</v>
      </c>
      <c r="D73" s="29">
        <v>0</v>
      </c>
      <c r="E73" s="29">
        <v>0</v>
      </c>
      <c r="F73" s="29">
        <v>0</v>
      </c>
      <c r="G73" s="29">
        <v>0</v>
      </c>
      <c r="H73" s="20">
        <v>0</v>
      </c>
      <c r="I73" s="25" t="s">
        <v>25</v>
      </c>
      <c r="J73" s="27">
        <f t="shared" si="0"/>
        <v>30000</v>
      </c>
      <c r="K73" s="27">
        <f t="shared" si="1"/>
        <v>30000</v>
      </c>
      <c r="L73" s="27">
        <f t="shared" si="2"/>
        <v>0</v>
      </c>
      <c r="M73" s="27">
        <f t="shared" si="3"/>
        <v>30000</v>
      </c>
      <c r="N73" s="30">
        <f t="shared" si="4"/>
        <v>1</v>
      </c>
      <c r="O73" s="30">
        <f t="shared" si="5"/>
        <v>0</v>
      </c>
      <c r="P73" s="52" t="s">
        <v>659</v>
      </c>
    </row>
    <row r="74" spans="1:16" ht="16.5" customHeight="1" thickBot="1" x14ac:dyDescent="0.25">
      <c r="A74" s="21" t="s">
        <v>116</v>
      </c>
      <c r="B74" s="20">
        <v>0</v>
      </c>
      <c r="C74" s="19">
        <v>44000</v>
      </c>
      <c r="D74" s="19">
        <v>43500</v>
      </c>
      <c r="E74" s="19">
        <v>43500</v>
      </c>
      <c r="F74" s="19">
        <v>43500</v>
      </c>
      <c r="G74" s="19">
        <v>17400</v>
      </c>
      <c r="H74" s="19">
        <v>17400</v>
      </c>
      <c r="I74" s="25" t="s">
        <v>117</v>
      </c>
      <c r="J74" s="27">
        <f t="shared" si="0"/>
        <v>500</v>
      </c>
      <c r="K74" s="27">
        <f t="shared" si="1"/>
        <v>500</v>
      </c>
      <c r="L74" s="27">
        <f t="shared" si="2"/>
        <v>0</v>
      </c>
      <c r="M74" s="27">
        <f t="shared" si="3"/>
        <v>26600</v>
      </c>
      <c r="N74" s="30">
        <f t="shared" si="4"/>
        <v>1.1363636363636364E-2</v>
      </c>
      <c r="O74" s="30">
        <f t="shared" si="5"/>
        <v>0.39545454545454545</v>
      </c>
      <c r="P74" s="52"/>
    </row>
    <row r="75" spans="1:16" ht="16.5" customHeight="1" thickBot="1" x14ac:dyDescent="0.25">
      <c r="A75" s="21" t="s">
        <v>118</v>
      </c>
      <c r="B75" s="19">
        <v>5597990</v>
      </c>
      <c r="C75" s="19">
        <v>10208307</v>
      </c>
      <c r="D75" s="19">
        <v>9968470</v>
      </c>
      <c r="E75" s="19">
        <v>9948238</v>
      </c>
      <c r="F75" s="19">
        <v>8344366</v>
      </c>
      <c r="G75" s="19">
        <v>6440724</v>
      </c>
      <c r="H75" s="19">
        <v>4826056</v>
      </c>
      <c r="I75" s="25" t="s">
        <v>119</v>
      </c>
      <c r="J75" s="27">
        <f t="shared" si="0"/>
        <v>239837</v>
      </c>
      <c r="K75" s="27">
        <f t="shared" si="1"/>
        <v>260069</v>
      </c>
      <c r="L75" s="27">
        <f t="shared" si="2"/>
        <v>20232</v>
      </c>
      <c r="M75" s="27">
        <f t="shared" si="3"/>
        <v>3767583</v>
      </c>
      <c r="N75" s="30">
        <f t="shared" si="4"/>
        <v>2.5476212657005712E-2</v>
      </c>
      <c r="O75" s="30">
        <f t="shared" si="5"/>
        <v>0.63092969284720768</v>
      </c>
      <c r="P75" s="52"/>
    </row>
    <row r="76" spans="1:16" ht="16.5" customHeight="1" thickBot="1" x14ac:dyDescent="0.25">
      <c r="A76" s="21" t="s">
        <v>120</v>
      </c>
      <c r="B76" s="19">
        <v>1050000</v>
      </c>
      <c r="C76" s="19">
        <v>2417454</v>
      </c>
      <c r="D76" s="19">
        <v>1739635</v>
      </c>
      <c r="E76" s="19">
        <v>1715135</v>
      </c>
      <c r="F76" s="19">
        <v>1568544</v>
      </c>
      <c r="G76" s="19">
        <v>1492104</v>
      </c>
      <c r="H76" s="19">
        <v>1441585</v>
      </c>
      <c r="I76" s="25" t="s">
        <v>21</v>
      </c>
      <c r="J76" s="27">
        <f t="shared" si="0"/>
        <v>677819</v>
      </c>
      <c r="K76" s="27">
        <f t="shared" si="1"/>
        <v>702319</v>
      </c>
      <c r="L76" s="27">
        <f t="shared" si="2"/>
        <v>24500</v>
      </c>
      <c r="M76" s="27">
        <f t="shared" si="3"/>
        <v>925350</v>
      </c>
      <c r="N76" s="30">
        <f t="shared" si="4"/>
        <v>0.29052010917270815</v>
      </c>
      <c r="O76" s="30">
        <f t="shared" si="5"/>
        <v>0.61722125839829833</v>
      </c>
      <c r="P76" s="52"/>
    </row>
    <row r="77" spans="1:16" ht="16.5" customHeight="1" thickBot="1" x14ac:dyDescent="0.25">
      <c r="A77" s="21" t="s">
        <v>121</v>
      </c>
      <c r="B77" s="19">
        <v>1000000</v>
      </c>
      <c r="C77" s="20">
        <v>0</v>
      </c>
      <c r="D77" s="20">
        <v>0</v>
      </c>
      <c r="E77" s="20">
        <v>0</v>
      </c>
      <c r="F77" s="20">
        <v>0</v>
      </c>
      <c r="G77" s="20">
        <v>0</v>
      </c>
      <c r="H77" s="20">
        <v>0</v>
      </c>
      <c r="I77" s="25" t="s">
        <v>25</v>
      </c>
      <c r="J77" s="27">
        <f t="shared" si="0"/>
        <v>0</v>
      </c>
      <c r="K77" s="27">
        <f t="shared" si="1"/>
        <v>0</v>
      </c>
      <c r="L77" s="27">
        <f t="shared" si="2"/>
        <v>0</v>
      </c>
      <c r="M77" s="27">
        <f t="shared" si="3"/>
        <v>0</v>
      </c>
      <c r="N77" s="30" t="str">
        <f t="shared" si="4"/>
        <v xml:space="preserve"> </v>
      </c>
      <c r="O77" s="30" t="str">
        <f t="shared" si="5"/>
        <v>ERROR</v>
      </c>
      <c r="P77" s="52"/>
    </row>
    <row r="78" spans="1:16" ht="16.5" customHeight="1" thickBot="1" x14ac:dyDescent="0.25">
      <c r="A78" s="21" t="s">
        <v>122</v>
      </c>
      <c r="B78" s="19">
        <v>12491498</v>
      </c>
      <c r="C78" s="19">
        <v>14991498</v>
      </c>
      <c r="D78" s="19">
        <v>14685003</v>
      </c>
      <c r="E78" s="19">
        <v>13584705</v>
      </c>
      <c r="F78" s="19">
        <v>12187900</v>
      </c>
      <c r="G78" s="19">
        <v>11502167</v>
      </c>
      <c r="H78" s="19">
        <v>10437635</v>
      </c>
      <c r="I78" s="25" t="s">
        <v>123</v>
      </c>
      <c r="J78" s="27">
        <f t="shared" si="0"/>
        <v>306495</v>
      </c>
      <c r="K78" s="27">
        <f t="shared" si="1"/>
        <v>1406793</v>
      </c>
      <c r="L78" s="27">
        <f t="shared" si="2"/>
        <v>1100298</v>
      </c>
      <c r="M78" s="27">
        <f t="shared" si="3"/>
        <v>3489331</v>
      </c>
      <c r="N78" s="30">
        <f t="shared" si="4"/>
        <v>9.3839388165212048E-2</v>
      </c>
      <c r="O78" s="30">
        <f t="shared" si="5"/>
        <v>0.76724600837087797</v>
      </c>
      <c r="P78" s="52"/>
    </row>
    <row r="79" spans="1:16" ht="16.5" customHeight="1" thickBot="1" x14ac:dyDescent="0.3">
      <c r="A79" s="21" t="s">
        <v>124</v>
      </c>
      <c r="B79" s="19">
        <v>800000</v>
      </c>
      <c r="C79" s="28">
        <v>46429</v>
      </c>
      <c r="D79" s="29">
        <v>0</v>
      </c>
      <c r="E79" s="29">
        <v>0</v>
      </c>
      <c r="F79" s="29">
        <v>0</v>
      </c>
      <c r="G79" s="29">
        <v>0</v>
      </c>
      <c r="H79" s="20">
        <v>0</v>
      </c>
      <c r="I79" s="25" t="s">
        <v>25</v>
      </c>
      <c r="J79" s="27">
        <f t="shared" si="0"/>
        <v>46429</v>
      </c>
      <c r="K79" s="27">
        <f t="shared" si="1"/>
        <v>46429</v>
      </c>
      <c r="L79" s="27">
        <f t="shared" si="2"/>
        <v>0</v>
      </c>
      <c r="M79" s="27">
        <f t="shared" si="3"/>
        <v>46429</v>
      </c>
      <c r="N79" s="30">
        <f t="shared" si="4"/>
        <v>1</v>
      </c>
      <c r="O79" s="30">
        <f t="shared" si="5"/>
        <v>0</v>
      </c>
      <c r="P79" s="52" t="s">
        <v>659</v>
      </c>
    </row>
    <row r="80" spans="1:16" ht="16.5" customHeight="1" thickBot="1" x14ac:dyDescent="0.25">
      <c r="A80" s="21" t="s">
        <v>125</v>
      </c>
      <c r="B80" s="19">
        <v>2120577</v>
      </c>
      <c r="C80" s="19">
        <v>4026127</v>
      </c>
      <c r="D80" s="19">
        <v>3933835</v>
      </c>
      <c r="E80" s="19">
        <v>2228281</v>
      </c>
      <c r="F80" s="19">
        <v>1396384</v>
      </c>
      <c r="G80" s="19">
        <v>1387806</v>
      </c>
      <c r="H80" s="19">
        <v>1275287</v>
      </c>
      <c r="I80" s="25" t="s">
        <v>126</v>
      </c>
      <c r="J80" s="27">
        <f t="shared" si="0"/>
        <v>92292</v>
      </c>
      <c r="K80" s="27">
        <f t="shared" si="1"/>
        <v>1797846</v>
      </c>
      <c r="L80" s="27">
        <f t="shared" si="2"/>
        <v>1705554</v>
      </c>
      <c r="M80" s="27">
        <f t="shared" si="3"/>
        <v>2638321</v>
      </c>
      <c r="N80" s="30">
        <f t="shared" si="4"/>
        <v>0.44654478112588103</v>
      </c>
      <c r="O80" s="30">
        <f t="shared" si="5"/>
        <v>0.34470000573752391</v>
      </c>
      <c r="P80" s="52"/>
    </row>
    <row r="81" spans="1:16" ht="16.5" customHeight="1" thickBot="1" x14ac:dyDescent="0.25">
      <c r="A81" s="21" t="s">
        <v>127</v>
      </c>
      <c r="B81" s="19">
        <v>298669</v>
      </c>
      <c r="C81" s="19">
        <v>2079431</v>
      </c>
      <c r="D81" s="19">
        <v>1994037</v>
      </c>
      <c r="E81" s="19">
        <v>1986740</v>
      </c>
      <c r="F81" s="19">
        <v>1982924</v>
      </c>
      <c r="G81" s="19">
        <v>1946471</v>
      </c>
      <c r="H81" s="19">
        <v>1933908</v>
      </c>
      <c r="I81" s="25" t="s">
        <v>128</v>
      </c>
      <c r="J81" s="27">
        <f t="shared" ref="J81:J144" si="6">C81-D81</f>
        <v>85394</v>
      </c>
      <c r="K81" s="27">
        <f t="shared" ref="K81:K144" si="7">C81-E81</f>
        <v>92691</v>
      </c>
      <c r="L81" s="27">
        <f t="shared" ref="L81:L144" si="8">D81-E81</f>
        <v>7297</v>
      </c>
      <c r="M81" s="27">
        <f t="shared" ref="M81:M144" si="9">C81-G81</f>
        <v>132960</v>
      </c>
      <c r="N81" s="30">
        <f t="shared" ref="N81:N144" si="10">IFERROR(K81/C81, " ")</f>
        <v>4.4575174651142545E-2</v>
      </c>
      <c r="O81" s="30">
        <f t="shared" ref="O81:O144" si="11">IFERROR(G81/C81, "ERROR")</f>
        <v>0.93605943164259842</v>
      </c>
      <c r="P81" s="52"/>
    </row>
    <row r="82" spans="1:16" ht="16.5" customHeight="1" thickBot="1" x14ac:dyDescent="0.25">
      <c r="A82" s="21" t="s">
        <v>129</v>
      </c>
      <c r="B82" s="19">
        <v>12200258</v>
      </c>
      <c r="C82" s="19">
        <v>18753537</v>
      </c>
      <c r="D82" s="19">
        <v>18471517</v>
      </c>
      <c r="E82" s="19">
        <v>17212318</v>
      </c>
      <c r="F82" s="19">
        <v>17212318</v>
      </c>
      <c r="G82" s="19">
        <v>17212318</v>
      </c>
      <c r="H82" s="19">
        <v>16212318</v>
      </c>
      <c r="I82" s="25" t="s">
        <v>130</v>
      </c>
      <c r="J82" s="27">
        <f t="shared" si="6"/>
        <v>282020</v>
      </c>
      <c r="K82" s="27">
        <f t="shared" si="7"/>
        <v>1541219</v>
      </c>
      <c r="L82" s="27">
        <f t="shared" si="8"/>
        <v>1259199</v>
      </c>
      <c r="M82" s="27">
        <f t="shared" si="9"/>
        <v>1541219</v>
      </c>
      <c r="N82" s="30">
        <f t="shared" si="10"/>
        <v>8.2182843695032037E-2</v>
      </c>
      <c r="O82" s="30">
        <f t="shared" si="11"/>
        <v>0.91781715630496796</v>
      </c>
      <c r="P82" s="52"/>
    </row>
    <row r="83" spans="1:16" ht="16.5" customHeight="1" thickBot="1" x14ac:dyDescent="0.3">
      <c r="A83" s="21" t="s">
        <v>131</v>
      </c>
      <c r="B83" s="19">
        <v>8282615</v>
      </c>
      <c r="C83" s="36">
        <v>10399190</v>
      </c>
      <c r="D83" s="36">
        <v>9609876</v>
      </c>
      <c r="E83" s="36">
        <v>9609876</v>
      </c>
      <c r="F83" s="37">
        <v>0</v>
      </c>
      <c r="G83" s="37">
        <v>0</v>
      </c>
      <c r="H83" s="20">
        <v>0</v>
      </c>
      <c r="I83" s="25" t="s">
        <v>25</v>
      </c>
      <c r="J83" s="27">
        <f t="shared" si="6"/>
        <v>789314</v>
      </c>
      <c r="K83" s="27">
        <f t="shared" si="7"/>
        <v>789314</v>
      </c>
      <c r="L83" s="27">
        <f t="shared" si="8"/>
        <v>0</v>
      </c>
      <c r="M83" s="27">
        <f t="shared" si="9"/>
        <v>10399190</v>
      </c>
      <c r="N83" s="30">
        <f t="shared" si="10"/>
        <v>7.5901488481314408E-2</v>
      </c>
      <c r="O83" s="30">
        <f t="shared" si="11"/>
        <v>0</v>
      </c>
      <c r="P83" s="52" t="s">
        <v>659</v>
      </c>
    </row>
    <row r="84" spans="1:16" ht="16.5" customHeight="1" thickBot="1" x14ac:dyDescent="0.25">
      <c r="A84" s="21" t="s">
        <v>132</v>
      </c>
      <c r="B84" s="19">
        <v>8000000</v>
      </c>
      <c r="C84" s="19">
        <v>6997430</v>
      </c>
      <c r="D84" s="19">
        <v>6787159</v>
      </c>
      <c r="E84" s="19">
        <v>5366065</v>
      </c>
      <c r="F84" s="19">
        <v>3559162</v>
      </c>
      <c r="G84" s="19">
        <v>2630352</v>
      </c>
      <c r="H84" s="19">
        <v>2455859</v>
      </c>
      <c r="I84" s="25" t="s">
        <v>133</v>
      </c>
      <c r="J84" s="27">
        <f t="shared" si="6"/>
        <v>210271</v>
      </c>
      <c r="K84" s="27">
        <f t="shared" si="7"/>
        <v>1631365</v>
      </c>
      <c r="L84" s="27">
        <f t="shared" si="8"/>
        <v>1421094</v>
      </c>
      <c r="M84" s="27">
        <f t="shared" si="9"/>
        <v>4367078</v>
      </c>
      <c r="N84" s="30">
        <f t="shared" si="10"/>
        <v>0.23313773771227436</v>
      </c>
      <c r="O84" s="30">
        <f t="shared" si="11"/>
        <v>0.37590258137630528</v>
      </c>
      <c r="P84" s="52"/>
    </row>
    <row r="85" spans="1:16" ht="16.5" customHeight="1" thickBot="1" x14ac:dyDescent="0.25">
      <c r="A85" s="21" t="s">
        <v>134</v>
      </c>
      <c r="B85" s="19">
        <v>9609000</v>
      </c>
      <c r="C85" s="19">
        <v>19795501</v>
      </c>
      <c r="D85" s="19">
        <v>19793412</v>
      </c>
      <c r="E85" s="19">
        <v>18134195</v>
      </c>
      <c r="F85" s="19">
        <v>17203041</v>
      </c>
      <c r="G85" s="19">
        <v>14545766</v>
      </c>
      <c r="H85" s="19">
        <v>13998596</v>
      </c>
      <c r="I85" s="25" t="s">
        <v>135</v>
      </c>
      <c r="J85" s="27">
        <f t="shared" si="6"/>
        <v>2089</v>
      </c>
      <c r="K85" s="27">
        <f t="shared" si="7"/>
        <v>1661306</v>
      </c>
      <c r="L85" s="27">
        <f t="shared" si="8"/>
        <v>1659217</v>
      </c>
      <c r="M85" s="27">
        <f t="shared" si="9"/>
        <v>5249735</v>
      </c>
      <c r="N85" s="30">
        <f t="shared" si="10"/>
        <v>8.3923412698673303E-2</v>
      </c>
      <c r="O85" s="30">
        <f t="shared" si="11"/>
        <v>0.73480160971929931</v>
      </c>
      <c r="P85" s="52"/>
    </row>
    <row r="86" spans="1:16" ht="16.5" customHeight="1" thickBot="1" x14ac:dyDescent="0.25">
      <c r="A86" s="21" t="s">
        <v>136</v>
      </c>
      <c r="B86" s="19">
        <v>12500000</v>
      </c>
      <c r="C86" s="19">
        <v>17354707</v>
      </c>
      <c r="D86" s="19">
        <v>17083718</v>
      </c>
      <c r="E86" s="19">
        <v>13375985</v>
      </c>
      <c r="F86" s="19">
        <v>10746841</v>
      </c>
      <c r="G86" s="19">
        <v>8610008</v>
      </c>
      <c r="H86" s="19">
        <v>8043611</v>
      </c>
      <c r="I86" s="25" t="s">
        <v>137</v>
      </c>
      <c r="J86" s="27">
        <f t="shared" si="6"/>
        <v>270989</v>
      </c>
      <c r="K86" s="27">
        <f t="shared" si="7"/>
        <v>3978722</v>
      </c>
      <c r="L86" s="27">
        <f t="shared" si="8"/>
        <v>3707733</v>
      </c>
      <c r="M86" s="27">
        <f t="shared" si="9"/>
        <v>8744699</v>
      </c>
      <c r="N86" s="30">
        <f t="shared" si="10"/>
        <v>0.22925895550987982</v>
      </c>
      <c r="O86" s="30">
        <f t="shared" si="11"/>
        <v>0.49611946776168564</v>
      </c>
      <c r="P86" s="52"/>
    </row>
    <row r="87" spans="1:16" ht="16.5" customHeight="1" thickBot="1" x14ac:dyDescent="0.3">
      <c r="A87" s="21" t="s">
        <v>138</v>
      </c>
      <c r="B87" s="19">
        <v>100000</v>
      </c>
      <c r="C87" s="36">
        <v>100000</v>
      </c>
      <c r="D87" s="36">
        <v>50000</v>
      </c>
      <c r="E87" s="36">
        <v>50000</v>
      </c>
      <c r="F87" s="37">
        <v>0</v>
      </c>
      <c r="G87" s="37">
        <v>0</v>
      </c>
      <c r="H87" s="20">
        <v>0</v>
      </c>
      <c r="I87" s="25" t="s">
        <v>25</v>
      </c>
      <c r="J87" s="27">
        <f t="shared" si="6"/>
        <v>50000</v>
      </c>
      <c r="K87" s="27">
        <f t="shared" si="7"/>
        <v>50000</v>
      </c>
      <c r="L87" s="27">
        <f t="shared" si="8"/>
        <v>0</v>
      </c>
      <c r="M87" s="27">
        <f t="shared" si="9"/>
        <v>100000</v>
      </c>
      <c r="N87" s="30">
        <f t="shared" si="10"/>
        <v>0.5</v>
      </c>
      <c r="O87" s="30">
        <f t="shared" si="11"/>
        <v>0</v>
      </c>
      <c r="P87" s="52" t="s">
        <v>659</v>
      </c>
    </row>
    <row r="88" spans="1:16" ht="16.5" customHeight="1" thickBot="1" x14ac:dyDescent="0.25">
      <c r="A88" s="21" t="s">
        <v>139</v>
      </c>
      <c r="B88" s="19">
        <v>1200000</v>
      </c>
      <c r="C88" s="19">
        <v>167638</v>
      </c>
      <c r="D88" s="19">
        <v>167637</v>
      </c>
      <c r="E88" s="19">
        <v>167637</v>
      </c>
      <c r="F88" s="19">
        <v>143800</v>
      </c>
      <c r="G88" s="19">
        <v>124800</v>
      </c>
      <c r="H88" s="19">
        <v>124800</v>
      </c>
      <c r="I88" s="25" t="s">
        <v>140</v>
      </c>
      <c r="J88" s="27">
        <f t="shared" si="6"/>
        <v>1</v>
      </c>
      <c r="K88" s="27">
        <f t="shared" si="7"/>
        <v>1</v>
      </c>
      <c r="L88" s="27">
        <f t="shared" si="8"/>
        <v>0</v>
      </c>
      <c r="M88" s="27">
        <f t="shared" si="9"/>
        <v>42838</v>
      </c>
      <c r="N88" s="30">
        <f t="shared" si="10"/>
        <v>5.9652346126773162E-6</v>
      </c>
      <c r="O88" s="30">
        <f t="shared" si="11"/>
        <v>0.74446127966212916</v>
      </c>
      <c r="P88" s="52"/>
    </row>
    <row r="89" spans="1:16" ht="16.5" customHeight="1" thickBot="1" x14ac:dyDescent="0.25">
      <c r="A89" s="21" t="s">
        <v>141</v>
      </c>
      <c r="B89" s="19">
        <v>1950000</v>
      </c>
      <c r="C89" s="20">
        <v>0</v>
      </c>
      <c r="D89" s="20">
        <v>0</v>
      </c>
      <c r="E89" s="20">
        <v>0</v>
      </c>
      <c r="F89" s="20">
        <v>0</v>
      </c>
      <c r="G89" s="20">
        <v>0</v>
      </c>
      <c r="H89" s="20">
        <v>0</v>
      </c>
      <c r="I89" s="25" t="s">
        <v>25</v>
      </c>
      <c r="J89" s="27">
        <f t="shared" si="6"/>
        <v>0</v>
      </c>
      <c r="K89" s="27">
        <f t="shared" si="7"/>
        <v>0</v>
      </c>
      <c r="L89" s="27">
        <f t="shared" si="8"/>
        <v>0</v>
      </c>
      <c r="M89" s="27">
        <f t="shared" si="9"/>
        <v>0</v>
      </c>
      <c r="N89" s="30" t="str">
        <f t="shared" si="10"/>
        <v xml:space="preserve"> </v>
      </c>
      <c r="O89" s="30" t="str">
        <f t="shared" si="11"/>
        <v>ERROR</v>
      </c>
      <c r="P89" s="52"/>
    </row>
    <row r="90" spans="1:16" ht="16.5" customHeight="1" thickBot="1" x14ac:dyDescent="0.25">
      <c r="A90" s="21" t="s">
        <v>142</v>
      </c>
      <c r="B90" s="19">
        <v>100000</v>
      </c>
      <c r="C90" s="19">
        <v>100000</v>
      </c>
      <c r="D90" s="19">
        <v>85000</v>
      </c>
      <c r="E90" s="19">
        <v>60000</v>
      </c>
      <c r="F90" s="19">
        <v>58663</v>
      </c>
      <c r="G90" s="19">
        <v>58663</v>
      </c>
      <c r="H90" s="19">
        <v>54661</v>
      </c>
      <c r="I90" s="25" t="s">
        <v>143</v>
      </c>
      <c r="J90" s="27">
        <f t="shared" si="6"/>
        <v>15000</v>
      </c>
      <c r="K90" s="27">
        <f t="shared" si="7"/>
        <v>40000</v>
      </c>
      <c r="L90" s="27">
        <f t="shared" si="8"/>
        <v>25000</v>
      </c>
      <c r="M90" s="27">
        <f t="shared" si="9"/>
        <v>41337</v>
      </c>
      <c r="N90" s="30">
        <f t="shared" si="10"/>
        <v>0.4</v>
      </c>
      <c r="O90" s="30">
        <f t="shared" si="11"/>
        <v>0.58662999999999998</v>
      </c>
      <c r="P90" s="52"/>
    </row>
    <row r="91" spans="1:16" ht="16.5" customHeight="1" thickBot="1" x14ac:dyDescent="0.25">
      <c r="A91" s="21" t="s">
        <v>144</v>
      </c>
      <c r="B91" s="19">
        <v>2000000</v>
      </c>
      <c r="C91" s="19">
        <v>4927527</v>
      </c>
      <c r="D91" s="19">
        <v>4223261</v>
      </c>
      <c r="E91" s="19">
        <v>2264680</v>
      </c>
      <c r="F91" s="19">
        <v>2212773</v>
      </c>
      <c r="G91" s="19">
        <v>1725644</v>
      </c>
      <c r="H91" s="19">
        <v>1250146</v>
      </c>
      <c r="I91" s="25" t="s">
        <v>145</v>
      </c>
      <c r="J91" s="27">
        <f t="shared" si="6"/>
        <v>704266</v>
      </c>
      <c r="K91" s="27">
        <f t="shared" si="7"/>
        <v>2662847</v>
      </c>
      <c r="L91" s="27">
        <f t="shared" si="8"/>
        <v>1958581</v>
      </c>
      <c r="M91" s="27">
        <f t="shared" si="9"/>
        <v>3201883</v>
      </c>
      <c r="N91" s="30">
        <f t="shared" si="10"/>
        <v>0.54040231540080852</v>
      </c>
      <c r="O91" s="30">
        <f t="shared" si="11"/>
        <v>0.35020487964855396</v>
      </c>
      <c r="P91" s="52"/>
    </row>
    <row r="92" spans="1:16" ht="16.5" customHeight="1" thickBot="1" x14ac:dyDescent="0.25">
      <c r="A92" s="21" t="s">
        <v>146</v>
      </c>
      <c r="B92" s="19">
        <v>8016014</v>
      </c>
      <c r="C92" s="19">
        <v>17241964</v>
      </c>
      <c r="D92" s="19">
        <v>17144705</v>
      </c>
      <c r="E92" s="19">
        <v>14900492</v>
      </c>
      <c r="F92" s="19">
        <v>14257900</v>
      </c>
      <c r="G92" s="19">
        <v>11639796</v>
      </c>
      <c r="H92" s="19">
        <v>11082518</v>
      </c>
      <c r="I92" s="25" t="s">
        <v>147</v>
      </c>
      <c r="J92" s="27">
        <f t="shared" si="6"/>
        <v>97259</v>
      </c>
      <c r="K92" s="27">
        <f t="shared" si="7"/>
        <v>2341472</v>
      </c>
      <c r="L92" s="27">
        <f t="shared" si="8"/>
        <v>2244213</v>
      </c>
      <c r="M92" s="27">
        <f t="shared" si="9"/>
        <v>5602168</v>
      </c>
      <c r="N92" s="30">
        <f t="shared" si="10"/>
        <v>0.13580077072426319</v>
      </c>
      <c r="O92" s="30">
        <f t="shared" si="11"/>
        <v>0.67508527450817091</v>
      </c>
      <c r="P92" s="52"/>
    </row>
    <row r="93" spans="1:16" ht="16.5" customHeight="1" thickBot="1" x14ac:dyDescent="0.25">
      <c r="A93" s="21" t="s">
        <v>148</v>
      </c>
      <c r="B93" s="19">
        <v>2071511</v>
      </c>
      <c r="C93" s="19">
        <v>7751873</v>
      </c>
      <c r="D93" s="19">
        <v>7482027</v>
      </c>
      <c r="E93" s="19">
        <v>6468123</v>
      </c>
      <c r="F93" s="19">
        <v>6277782</v>
      </c>
      <c r="G93" s="19">
        <v>5292813</v>
      </c>
      <c r="H93" s="19">
        <v>4764959</v>
      </c>
      <c r="I93" s="25" t="s">
        <v>149</v>
      </c>
      <c r="J93" s="27">
        <f t="shared" si="6"/>
        <v>269846</v>
      </c>
      <c r="K93" s="27">
        <f t="shared" si="7"/>
        <v>1283750</v>
      </c>
      <c r="L93" s="27">
        <f t="shared" si="8"/>
        <v>1013904</v>
      </c>
      <c r="M93" s="27">
        <f t="shared" si="9"/>
        <v>2459060</v>
      </c>
      <c r="N93" s="30">
        <f t="shared" si="10"/>
        <v>0.1656051382678741</v>
      </c>
      <c r="O93" s="30">
        <f t="shared" si="11"/>
        <v>0.68277860073301</v>
      </c>
      <c r="P93" s="52"/>
    </row>
    <row r="94" spans="1:16" ht="16.5" customHeight="1" thickBot="1" x14ac:dyDescent="0.3">
      <c r="A94" s="21" t="s">
        <v>150</v>
      </c>
      <c r="B94" s="19">
        <v>154969</v>
      </c>
      <c r="C94" s="28">
        <v>32592</v>
      </c>
      <c r="D94" s="29">
        <v>0</v>
      </c>
      <c r="E94" s="29">
        <v>0</v>
      </c>
      <c r="F94" s="29">
        <v>0</v>
      </c>
      <c r="G94" s="29">
        <v>0</v>
      </c>
      <c r="H94" s="20">
        <v>0</v>
      </c>
      <c r="I94" s="25" t="s">
        <v>25</v>
      </c>
      <c r="J94" s="27">
        <f t="shared" si="6"/>
        <v>32592</v>
      </c>
      <c r="K94" s="27">
        <f t="shared" si="7"/>
        <v>32592</v>
      </c>
      <c r="L94" s="27">
        <f t="shared" si="8"/>
        <v>0</v>
      </c>
      <c r="M94" s="27">
        <f t="shared" si="9"/>
        <v>32592</v>
      </c>
      <c r="N94" s="30">
        <f t="shared" si="10"/>
        <v>1</v>
      </c>
      <c r="O94" s="30">
        <f t="shared" si="11"/>
        <v>0</v>
      </c>
      <c r="P94" s="52" t="s">
        <v>659</v>
      </c>
    </row>
    <row r="95" spans="1:16" ht="16.5" customHeight="1" thickBot="1" x14ac:dyDescent="0.25">
      <c r="A95" s="21" t="s">
        <v>151</v>
      </c>
      <c r="B95" s="19">
        <v>12431185</v>
      </c>
      <c r="C95" s="19">
        <v>18692228</v>
      </c>
      <c r="D95" s="19">
        <v>18634477</v>
      </c>
      <c r="E95" s="19">
        <v>18176428</v>
      </c>
      <c r="F95" s="19">
        <v>5026816</v>
      </c>
      <c r="G95" s="19">
        <v>4987668</v>
      </c>
      <c r="H95" s="19">
        <v>4425991</v>
      </c>
      <c r="I95" s="25" t="s">
        <v>152</v>
      </c>
      <c r="J95" s="27">
        <f t="shared" si="6"/>
        <v>57751</v>
      </c>
      <c r="K95" s="27">
        <f t="shared" si="7"/>
        <v>515800</v>
      </c>
      <c r="L95" s="27">
        <f t="shared" si="8"/>
        <v>458049</v>
      </c>
      <c r="M95" s="27">
        <f t="shared" si="9"/>
        <v>13704560</v>
      </c>
      <c r="N95" s="30">
        <f t="shared" si="10"/>
        <v>2.7594356328202289E-2</v>
      </c>
      <c r="O95" s="30">
        <f t="shared" si="11"/>
        <v>0.26683111290960071</v>
      </c>
      <c r="P95" s="52"/>
    </row>
    <row r="96" spans="1:16" ht="16.5" customHeight="1" thickBot="1" x14ac:dyDescent="0.25">
      <c r="A96" s="21" t="s">
        <v>153</v>
      </c>
      <c r="B96" s="19">
        <v>2422294</v>
      </c>
      <c r="C96" s="19">
        <v>5270087</v>
      </c>
      <c r="D96" s="19">
        <v>5222084</v>
      </c>
      <c r="E96" s="19">
        <v>5222084</v>
      </c>
      <c r="F96" s="19">
        <v>5222084</v>
      </c>
      <c r="G96" s="19">
        <v>5220159</v>
      </c>
      <c r="H96" s="19">
        <v>5220159</v>
      </c>
      <c r="I96" s="25" t="s">
        <v>154</v>
      </c>
      <c r="J96" s="27">
        <f t="shared" si="6"/>
        <v>48003</v>
      </c>
      <c r="K96" s="27">
        <f t="shared" si="7"/>
        <v>48003</v>
      </c>
      <c r="L96" s="27">
        <f t="shared" si="8"/>
        <v>0</v>
      </c>
      <c r="M96" s="27">
        <f t="shared" si="9"/>
        <v>49928</v>
      </c>
      <c r="N96" s="30">
        <f t="shared" si="10"/>
        <v>9.1085782834325127E-3</v>
      </c>
      <c r="O96" s="30">
        <f t="shared" si="11"/>
        <v>0.99052615260431187</v>
      </c>
      <c r="P96" s="52"/>
    </row>
    <row r="97" spans="1:16" ht="16.5" customHeight="1" thickBot="1" x14ac:dyDescent="0.25">
      <c r="A97" s="21" t="s">
        <v>155</v>
      </c>
      <c r="B97" s="19">
        <v>3500504</v>
      </c>
      <c r="C97" s="19">
        <v>261704</v>
      </c>
      <c r="D97" s="19">
        <v>261704</v>
      </c>
      <c r="E97" s="19">
        <v>261704</v>
      </c>
      <c r="F97" s="19">
        <v>134683</v>
      </c>
      <c r="G97" s="19">
        <v>134683</v>
      </c>
      <c r="H97" s="19">
        <v>91715</v>
      </c>
      <c r="I97" s="25" t="s">
        <v>156</v>
      </c>
      <c r="J97" s="27">
        <f t="shared" si="6"/>
        <v>0</v>
      </c>
      <c r="K97" s="27">
        <f t="shared" si="7"/>
        <v>0</v>
      </c>
      <c r="L97" s="27">
        <f t="shared" si="8"/>
        <v>0</v>
      </c>
      <c r="M97" s="27">
        <f t="shared" si="9"/>
        <v>127021</v>
      </c>
      <c r="N97" s="30">
        <f t="shared" si="10"/>
        <v>0</v>
      </c>
      <c r="O97" s="30">
        <f t="shared" si="11"/>
        <v>0.51463867575581568</v>
      </c>
      <c r="P97" s="52"/>
    </row>
    <row r="98" spans="1:16" ht="16.5" customHeight="1" thickBot="1" x14ac:dyDescent="0.25">
      <c r="A98" s="21" t="s">
        <v>157</v>
      </c>
      <c r="B98" s="19">
        <v>10763553</v>
      </c>
      <c r="C98" s="20">
        <v>0</v>
      </c>
      <c r="D98" s="20">
        <v>0</v>
      </c>
      <c r="E98" s="20">
        <v>0</v>
      </c>
      <c r="F98" s="20">
        <v>0</v>
      </c>
      <c r="G98" s="20">
        <v>0</v>
      </c>
      <c r="H98" s="20">
        <v>0</v>
      </c>
      <c r="I98" s="25" t="s">
        <v>25</v>
      </c>
      <c r="J98" s="27">
        <f t="shared" si="6"/>
        <v>0</v>
      </c>
      <c r="K98" s="27">
        <f t="shared" si="7"/>
        <v>0</v>
      </c>
      <c r="L98" s="27">
        <f t="shared" si="8"/>
        <v>0</v>
      </c>
      <c r="M98" s="27">
        <f t="shared" si="9"/>
        <v>0</v>
      </c>
      <c r="N98" s="30" t="str">
        <f t="shared" si="10"/>
        <v xml:space="preserve"> </v>
      </c>
      <c r="O98" s="30" t="str">
        <f t="shared" si="11"/>
        <v>ERROR</v>
      </c>
      <c r="P98" s="52"/>
    </row>
    <row r="99" spans="1:16" ht="16.5" customHeight="1" thickBot="1" x14ac:dyDescent="0.25">
      <c r="A99" s="21" t="s">
        <v>158</v>
      </c>
      <c r="B99" s="20">
        <v>0</v>
      </c>
      <c r="C99" s="19">
        <v>1272735</v>
      </c>
      <c r="D99" s="19">
        <v>1253657</v>
      </c>
      <c r="E99" s="19">
        <v>1253657</v>
      </c>
      <c r="F99" s="19">
        <v>1229218</v>
      </c>
      <c r="G99" s="19">
        <v>1181486</v>
      </c>
      <c r="H99" s="19">
        <v>1181486</v>
      </c>
      <c r="I99" s="25" t="s">
        <v>23</v>
      </c>
      <c r="J99" s="27">
        <f t="shared" si="6"/>
        <v>19078</v>
      </c>
      <c r="K99" s="27">
        <f t="shared" si="7"/>
        <v>19078</v>
      </c>
      <c r="L99" s="27">
        <f t="shared" si="8"/>
        <v>0</v>
      </c>
      <c r="M99" s="27">
        <f t="shared" si="9"/>
        <v>91249</v>
      </c>
      <c r="N99" s="30">
        <f t="shared" si="10"/>
        <v>1.498976613356276E-2</v>
      </c>
      <c r="O99" s="30">
        <f t="shared" si="11"/>
        <v>0.92830479243518882</v>
      </c>
      <c r="P99" s="52"/>
    </row>
    <row r="100" spans="1:16" ht="16.5" customHeight="1" thickBot="1" x14ac:dyDescent="0.25">
      <c r="A100" s="21" t="s">
        <v>159</v>
      </c>
      <c r="B100" s="19">
        <v>11955231</v>
      </c>
      <c r="C100" s="19">
        <v>21914154</v>
      </c>
      <c r="D100" s="19">
        <v>21776068</v>
      </c>
      <c r="E100" s="19">
        <v>20527324</v>
      </c>
      <c r="F100" s="19">
        <v>20073863</v>
      </c>
      <c r="G100" s="19">
        <v>15564867</v>
      </c>
      <c r="H100" s="19">
        <v>14020801</v>
      </c>
      <c r="I100" s="25" t="s">
        <v>160</v>
      </c>
      <c r="J100" s="27">
        <f t="shared" si="6"/>
        <v>138086</v>
      </c>
      <c r="K100" s="27">
        <f t="shared" si="7"/>
        <v>1386830</v>
      </c>
      <c r="L100" s="27">
        <f t="shared" si="8"/>
        <v>1248744</v>
      </c>
      <c r="M100" s="27">
        <f t="shared" si="9"/>
        <v>6349287</v>
      </c>
      <c r="N100" s="30">
        <f t="shared" si="10"/>
        <v>6.3284669807467817E-2</v>
      </c>
      <c r="O100" s="30">
        <f t="shared" si="11"/>
        <v>0.71026547499848725</v>
      </c>
      <c r="P100" s="52"/>
    </row>
    <row r="101" spans="1:16" ht="16.5" customHeight="1" thickBot="1" x14ac:dyDescent="0.25">
      <c r="A101" s="21" t="s">
        <v>161</v>
      </c>
      <c r="B101" s="19">
        <v>3770000</v>
      </c>
      <c r="C101" s="19">
        <v>9795205</v>
      </c>
      <c r="D101" s="19">
        <v>8653127</v>
      </c>
      <c r="E101" s="19">
        <v>8210931</v>
      </c>
      <c r="F101" s="19">
        <v>7642489</v>
      </c>
      <c r="G101" s="19">
        <v>6503506</v>
      </c>
      <c r="H101" s="19">
        <v>6197989</v>
      </c>
      <c r="I101" s="25" t="s">
        <v>162</v>
      </c>
      <c r="J101" s="27">
        <f t="shared" si="6"/>
        <v>1142078</v>
      </c>
      <c r="K101" s="27">
        <f t="shared" si="7"/>
        <v>1584274</v>
      </c>
      <c r="L101" s="27">
        <f t="shared" si="8"/>
        <v>442196</v>
      </c>
      <c r="M101" s="27">
        <f t="shared" si="9"/>
        <v>3291699</v>
      </c>
      <c r="N101" s="30">
        <f t="shared" si="10"/>
        <v>0.16173974919361056</v>
      </c>
      <c r="O101" s="30">
        <f t="shared" si="11"/>
        <v>0.6639479214574886</v>
      </c>
      <c r="P101" s="52"/>
    </row>
    <row r="102" spans="1:16" ht="16.5" customHeight="1" thickBot="1" x14ac:dyDescent="0.25">
      <c r="A102" s="21" t="s">
        <v>163</v>
      </c>
      <c r="B102" s="19">
        <v>20000000</v>
      </c>
      <c r="C102" s="19">
        <v>966193</v>
      </c>
      <c r="D102" s="19">
        <v>746819</v>
      </c>
      <c r="E102" s="19">
        <v>6257</v>
      </c>
      <c r="F102" s="19">
        <v>6257</v>
      </c>
      <c r="G102" s="19">
        <v>6257</v>
      </c>
      <c r="H102" s="19">
        <v>6257</v>
      </c>
      <c r="I102" s="25" t="s">
        <v>164</v>
      </c>
      <c r="J102" s="27">
        <f t="shared" si="6"/>
        <v>219374</v>
      </c>
      <c r="K102" s="27">
        <f t="shared" si="7"/>
        <v>959936</v>
      </c>
      <c r="L102" s="27">
        <f t="shared" si="8"/>
        <v>740562</v>
      </c>
      <c r="M102" s="27">
        <f t="shared" si="9"/>
        <v>959936</v>
      </c>
      <c r="N102" s="30">
        <f t="shared" si="10"/>
        <v>0.99352406817271499</v>
      </c>
      <c r="O102" s="30">
        <f t="shared" si="11"/>
        <v>6.4759318272850251E-3</v>
      </c>
      <c r="P102" s="52"/>
    </row>
    <row r="103" spans="1:16" ht="16.5" customHeight="1" thickBot="1" x14ac:dyDescent="0.25">
      <c r="A103" s="21" t="s">
        <v>165</v>
      </c>
      <c r="B103" s="19">
        <v>20000</v>
      </c>
      <c r="C103" s="19">
        <v>34081</v>
      </c>
      <c r="D103" s="19">
        <v>33741</v>
      </c>
      <c r="E103" s="19">
        <v>33315</v>
      </c>
      <c r="F103" s="19">
        <v>33315</v>
      </c>
      <c r="G103" s="19">
        <v>33315</v>
      </c>
      <c r="H103" s="19">
        <v>33315</v>
      </c>
      <c r="I103" s="25" t="s">
        <v>166</v>
      </c>
      <c r="J103" s="27">
        <f t="shared" si="6"/>
        <v>340</v>
      </c>
      <c r="K103" s="27">
        <f t="shared" si="7"/>
        <v>766</v>
      </c>
      <c r="L103" s="27">
        <f t="shared" si="8"/>
        <v>426</v>
      </c>
      <c r="M103" s="27">
        <f t="shared" si="9"/>
        <v>766</v>
      </c>
      <c r="N103" s="30">
        <f t="shared" si="10"/>
        <v>2.2475866318476572E-2</v>
      </c>
      <c r="O103" s="30">
        <f t="shared" si="11"/>
        <v>0.97752413368152347</v>
      </c>
      <c r="P103" s="52"/>
    </row>
    <row r="104" spans="1:16" ht="16.5" customHeight="1" thickBot="1" x14ac:dyDescent="0.25">
      <c r="A104" s="21" t="s">
        <v>167</v>
      </c>
      <c r="B104" s="19">
        <v>12000000</v>
      </c>
      <c r="C104" s="19">
        <v>17484286</v>
      </c>
      <c r="D104" s="19">
        <v>17380463</v>
      </c>
      <c r="E104" s="19">
        <v>16260021</v>
      </c>
      <c r="F104" s="19">
        <v>15761867</v>
      </c>
      <c r="G104" s="19">
        <v>15761867</v>
      </c>
      <c r="H104" s="19">
        <v>15761867</v>
      </c>
      <c r="I104" s="25" t="s">
        <v>168</v>
      </c>
      <c r="J104" s="27">
        <f t="shared" si="6"/>
        <v>103823</v>
      </c>
      <c r="K104" s="27">
        <f t="shared" si="7"/>
        <v>1224265</v>
      </c>
      <c r="L104" s="27">
        <f t="shared" si="8"/>
        <v>1120442</v>
      </c>
      <c r="M104" s="27">
        <f t="shared" si="9"/>
        <v>1722419</v>
      </c>
      <c r="N104" s="30">
        <f t="shared" si="10"/>
        <v>7.0020874744327569E-2</v>
      </c>
      <c r="O104" s="30">
        <f t="shared" si="11"/>
        <v>0.90148759863571204</v>
      </c>
      <c r="P104" s="52"/>
    </row>
    <row r="105" spans="1:16" ht="16.5" customHeight="1" thickBot="1" x14ac:dyDescent="0.25">
      <c r="A105" s="21" t="s">
        <v>169</v>
      </c>
      <c r="B105" s="19">
        <v>10000000</v>
      </c>
      <c r="C105" s="19">
        <v>22224878</v>
      </c>
      <c r="D105" s="19">
        <v>21946068</v>
      </c>
      <c r="E105" s="19">
        <v>18817053</v>
      </c>
      <c r="F105" s="19">
        <v>7134863</v>
      </c>
      <c r="G105" s="19">
        <v>7073510</v>
      </c>
      <c r="H105" s="19">
        <v>7057069</v>
      </c>
      <c r="I105" s="25" t="s">
        <v>170</v>
      </c>
      <c r="J105" s="27">
        <f t="shared" si="6"/>
        <v>278810</v>
      </c>
      <c r="K105" s="27">
        <f t="shared" si="7"/>
        <v>3407825</v>
      </c>
      <c r="L105" s="27">
        <f t="shared" si="8"/>
        <v>3129015</v>
      </c>
      <c r="M105" s="27">
        <f t="shared" si="9"/>
        <v>15151368</v>
      </c>
      <c r="N105" s="30">
        <f t="shared" si="10"/>
        <v>0.15333380007755273</v>
      </c>
      <c r="O105" s="30">
        <f t="shared" si="11"/>
        <v>0.31826991356263012</v>
      </c>
      <c r="P105" s="52"/>
    </row>
    <row r="106" spans="1:16" ht="16.5" customHeight="1" thickBot="1" x14ac:dyDescent="0.25">
      <c r="A106" s="21" t="s">
        <v>171</v>
      </c>
      <c r="B106" s="20">
        <v>0</v>
      </c>
      <c r="C106" s="19">
        <v>28752</v>
      </c>
      <c r="D106" s="19">
        <v>28752</v>
      </c>
      <c r="E106" s="19">
        <v>28752</v>
      </c>
      <c r="F106" s="19">
        <v>28752</v>
      </c>
      <c r="G106" s="19">
        <v>28752</v>
      </c>
      <c r="H106" s="19">
        <v>28752</v>
      </c>
      <c r="I106" s="25" t="s">
        <v>172</v>
      </c>
      <c r="J106" s="27">
        <f t="shared" si="6"/>
        <v>0</v>
      </c>
      <c r="K106" s="27">
        <f t="shared" si="7"/>
        <v>0</v>
      </c>
      <c r="L106" s="27">
        <f t="shared" si="8"/>
        <v>0</v>
      </c>
      <c r="M106" s="27">
        <f t="shared" si="9"/>
        <v>0</v>
      </c>
      <c r="N106" s="30">
        <f t="shared" si="10"/>
        <v>0</v>
      </c>
      <c r="O106" s="30">
        <f t="shared" si="11"/>
        <v>1</v>
      </c>
      <c r="P106" s="52"/>
    </row>
    <row r="107" spans="1:16" ht="16.5" customHeight="1" thickBot="1" x14ac:dyDescent="0.25">
      <c r="A107" s="21" t="s">
        <v>173</v>
      </c>
      <c r="B107" s="19">
        <v>800000</v>
      </c>
      <c r="C107" s="20">
        <v>0</v>
      </c>
      <c r="D107" s="20">
        <v>0</v>
      </c>
      <c r="E107" s="20">
        <v>0</v>
      </c>
      <c r="F107" s="20">
        <v>0</v>
      </c>
      <c r="G107" s="20">
        <v>0</v>
      </c>
      <c r="H107" s="20">
        <v>0</v>
      </c>
      <c r="I107" s="25" t="s">
        <v>25</v>
      </c>
      <c r="J107" s="27">
        <f t="shared" si="6"/>
        <v>0</v>
      </c>
      <c r="K107" s="27">
        <f t="shared" si="7"/>
        <v>0</v>
      </c>
      <c r="L107" s="27">
        <f t="shared" si="8"/>
        <v>0</v>
      </c>
      <c r="M107" s="27">
        <f t="shared" si="9"/>
        <v>0</v>
      </c>
      <c r="N107" s="30" t="str">
        <f t="shared" si="10"/>
        <v xml:space="preserve"> </v>
      </c>
      <c r="O107" s="30" t="str">
        <f t="shared" si="11"/>
        <v>ERROR</v>
      </c>
      <c r="P107" s="52"/>
    </row>
    <row r="108" spans="1:16" ht="16.5" customHeight="1" thickBot="1" x14ac:dyDescent="0.3">
      <c r="A108" s="21" t="s">
        <v>174</v>
      </c>
      <c r="B108" s="19">
        <v>4000000</v>
      </c>
      <c r="C108" s="36">
        <v>3978899</v>
      </c>
      <c r="D108" s="36">
        <v>3978899</v>
      </c>
      <c r="E108" s="36">
        <v>3978899</v>
      </c>
      <c r="F108" s="37">
        <v>0</v>
      </c>
      <c r="G108" s="37">
        <v>0</v>
      </c>
      <c r="H108" s="20">
        <v>0</v>
      </c>
      <c r="I108" s="25" t="s">
        <v>25</v>
      </c>
      <c r="J108" s="27">
        <f t="shared" si="6"/>
        <v>0</v>
      </c>
      <c r="K108" s="27">
        <f t="shared" si="7"/>
        <v>0</v>
      </c>
      <c r="L108" s="27">
        <f t="shared" si="8"/>
        <v>0</v>
      </c>
      <c r="M108" s="27">
        <f t="shared" si="9"/>
        <v>3978899</v>
      </c>
      <c r="N108" s="30">
        <f t="shared" si="10"/>
        <v>0</v>
      </c>
      <c r="O108" s="30">
        <f t="shared" si="11"/>
        <v>0</v>
      </c>
      <c r="P108" s="52" t="s">
        <v>659</v>
      </c>
    </row>
    <row r="109" spans="1:16" ht="16.5" customHeight="1" thickBot="1" x14ac:dyDescent="0.25">
      <c r="A109" s="21" t="s">
        <v>175</v>
      </c>
      <c r="B109" s="19">
        <v>200000</v>
      </c>
      <c r="C109" s="19">
        <v>3866926</v>
      </c>
      <c r="D109" s="19">
        <v>2225809</v>
      </c>
      <c r="E109" s="19">
        <v>2101121</v>
      </c>
      <c r="F109" s="19">
        <v>2024160</v>
      </c>
      <c r="G109" s="19">
        <v>1961816</v>
      </c>
      <c r="H109" s="19">
        <v>1969860</v>
      </c>
      <c r="I109" s="25" t="s">
        <v>176</v>
      </c>
      <c r="J109" s="27">
        <f t="shared" si="6"/>
        <v>1641117</v>
      </c>
      <c r="K109" s="27">
        <f t="shared" si="7"/>
        <v>1765805</v>
      </c>
      <c r="L109" s="27">
        <f t="shared" si="8"/>
        <v>124688</v>
      </c>
      <c r="M109" s="27">
        <f t="shared" si="9"/>
        <v>1905110</v>
      </c>
      <c r="N109" s="30">
        <f t="shared" si="10"/>
        <v>0.45664308031754419</v>
      </c>
      <c r="O109" s="30">
        <f t="shared" si="11"/>
        <v>0.50733218065202179</v>
      </c>
      <c r="P109" s="52"/>
    </row>
    <row r="110" spans="1:16" ht="16.5" customHeight="1" thickBot="1" x14ac:dyDescent="0.25">
      <c r="A110" s="21" t="s">
        <v>177</v>
      </c>
      <c r="B110" s="19">
        <v>12571000</v>
      </c>
      <c r="C110" s="20">
        <v>0</v>
      </c>
      <c r="D110" s="20">
        <v>0</v>
      </c>
      <c r="E110" s="20">
        <v>0</v>
      </c>
      <c r="F110" s="20">
        <v>0</v>
      </c>
      <c r="G110" s="20">
        <v>0</v>
      </c>
      <c r="H110" s="20">
        <v>0</v>
      </c>
      <c r="I110" s="25" t="s">
        <v>25</v>
      </c>
      <c r="J110" s="27">
        <f t="shared" si="6"/>
        <v>0</v>
      </c>
      <c r="K110" s="27">
        <f t="shared" si="7"/>
        <v>0</v>
      </c>
      <c r="L110" s="27">
        <f t="shared" si="8"/>
        <v>0</v>
      </c>
      <c r="M110" s="27">
        <f t="shared" si="9"/>
        <v>0</v>
      </c>
      <c r="N110" s="30" t="str">
        <f t="shared" si="10"/>
        <v xml:space="preserve"> </v>
      </c>
      <c r="O110" s="30" t="str">
        <f t="shared" si="11"/>
        <v>ERROR</v>
      </c>
      <c r="P110" s="52"/>
    </row>
    <row r="111" spans="1:16" ht="16.5" customHeight="1" thickBot="1" x14ac:dyDescent="0.25">
      <c r="A111" s="21" t="s">
        <v>178</v>
      </c>
      <c r="B111" s="20">
        <v>0</v>
      </c>
      <c r="C111" s="19">
        <v>4265759</v>
      </c>
      <c r="D111" s="19">
        <v>3847053</v>
      </c>
      <c r="E111" s="19">
        <v>3704328</v>
      </c>
      <c r="F111" s="19">
        <v>3386045</v>
      </c>
      <c r="G111" s="19">
        <v>2741830</v>
      </c>
      <c r="H111" s="19">
        <v>2560623</v>
      </c>
      <c r="I111" s="25" t="s">
        <v>179</v>
      </c>
      <c r="J111" s="27">
        <f t="shared" si="6"/>
        <v>418706</v>
      </c>
      <c r="K111" s="27">
        <f t="shared" si="7"/>
        <v>561431</v>
      </c>
      <c r="L111" s="27">
        <f t="shared" si="8"/>
        <v>142725</v>
      </c>
      <c r="M111" s="27">
        <f t="shared" si="9"/>
        <v>1523929</v>
      </c>
      <c r="N111" s="30">
        <f t="shared" si="10"/>
        <v>0.131613389317118</v>
      </c>
      <c r="O111" s="30">
        <f t="shared" si="11"/>
        <v>0.64275314193792943</v>
      </c>
      <c r="P111" s="52"/>
    </row>
    <row r="112" spans="1:16" ht="16.5" customHeight="1" thickBot="1" x14ac:dyDescent="0.25">
      <c r="A112" s="21" t="s">
        <v>180</v>
      </c>
      <c r="B112" s="19">
        <v>2780000</v>
      </c>
      <c r="C112" s="19">
        <v>7891675</v>
      </c>
      <c r="D112" s="19">
        <v>7541696</v>
      </c>
      <c r="E112" s="19">
        <v>7384393</v>
      </c>
      <c r="F112" s="19">
        <v>6959893</v>
      </c>
      <c r="G112" s="19">
        <v>6428337</v>
      </c>
      <c r="H112" s="19">
        <v>6014554</v>
      </c>
      <c r="I112" s="25" t="s">
        <v>181</v>
      </c>
      <c r="J112" s="27">
        <f t="shared" si="6"/>
        <v>349979</v>
      </c>
      <c r="K112" s="27">
        <f t="shared" si="7"/>
        <v>507282</v>
      </c>
      <c r="L112" s="27">
        <f t="shared" si="8"/>
        <v>157303</v>
      </c>
      <c r="M112" s="27">
        <f t="shared" si="9"/>
        <v>1463338</v>
      </c>
      <c r="N112" s="30">
        <f t="shared" si="10"/>
        <v>6.4280650178827684E-2</v>
      </c>
      <c r="O112" s="30">
        <f t="shared" si="11"/>
        <v>0.8145719381500125</v>
      </c>
      <c r="P112" s="52"/>
    </row>
    <row r="113" spans="1:16" ht="16.5" customHeight="1" thickBot="1" x14ac:dyDescent="0.25">
      <c r="A113" s="21" t="s">
        <v>182</v>
      </c>
      <c r="B113" s="19">
        <v>15500800</v>
      </c>
      <c r="C113" s="19">
        <v>23143575</v>
      </c>
      <c r="D113" s="19">
        <v>22275711</v>
      </c>
      <c r="E113" s="19">
        <v>19031849</v>
      </c>
      <c r="F113" s="19">
        <v>15277445</v>
      </c>
      <c r="G113" s="19">
        <v>12059018</v>
      </c>
      <c r="H113" s="19">
        <v>11569861</v>
      </c>
      <c r="I113" s="25" t="s">
        <v>183</v>
      </c>
      <c r="J113" s="27">
        <f t="shared" si="6"/>
        <v>867864</v>
      </c>
      <c r="K113" s="27">
        <f t="shared" si="7"/>
        <v>4111726</v>
      </c>
      <c r="L113" s="27">
        <f t="shared" si="8"/>
        <v>3243862</v>
      </c>
      <c r="M113" s="27">
        <f t="shared" si="9"/>
        <v>11084557</v>
      </c>
      <c r="N113" s="30">
        <f t="shared" si="10"/>
        <v>0.17766166203795222</v>
      </c>
      <c r="O113" s="30">
        <f t="shared" si="11"/>
        <v>0.52105251673520625</v>
      </c>
      <c r="P113" s="52"/>
    </row>
    <row r="114" spans="1:16" ht="16.5" customHeight="1" thickBot="1" x14ac:dyDescent="0.25">
      <c r="A114" s="21" t="s">
        <v>184</v>
      </c>
      <c r="B114" s="19">
        <v>250000</v>
      </c>
      <c r="C114" s="20">
        <v>0</v>
      </c>
      <c r="D114" s="20">
        <v>0</v>
      </c>
      <c r="E114" s="20">
        <v>0</v>
      </c>
      <c r="F114" s="20">
        <v>0</v>
      </c>
      <c r="G114" s="20">
        <v>0</v>
      </c>
      <c r="H114" s="20">
        <v>0</v>
      </c>
      <c r="I114" s="25" t="s">
        <v>25</v>
      </c>
      <c r="J114" s="27">
        <f t="shared" si="6"/>
        <v>0</v>
      </c>
      <c r="K114" s="27">
        <f t="shared" si="7"/>
        <v>0</v>
      </c>
      <c r="L114" s="27">
        <f t="shared" si="8"/>
        <v>0</v>
      </c>
      <c r="M114" s="27">
        <f t="shared" si="9"/>
        <v>0</v>
      </c>
      <c r="N114" s="30" t="str">
        <f t="shared" si="10"/>
        <v xml:space="preserve"> </v>
      </c>
      <c r="O114" s="30" t="str">
        <f t="shared" si="11"/>
        <v>ERROR</v>
      </c>
      <c r="P114" s="52"/>
    </row>
    <row r="115" spans="1:16" ht="16.5" customHeight="1" thickBot="1" x14ac:dyDescent="0.25">
      <c r="A115" s="21" t="s">
        <v>185</v>
      </c>
      <c r="B115" s="19">
        <v>175369</v>
      </c>
      <c r="C115" s="19">
        <v>50132</v>
      </c>
      <c r="D115" s="19">
        <v>47450</v>
      </c>
      <c r="E115" s="19">
        <v>47450</v>
      </c>
      <c r="F115" s="19">
        <v>47450</v>
      </c>
      <c r="G115" s="19">
        <v>47450</v>
      </c>
      <c r="H115" s="19">
        <v>47450</v>
      </c>
      <c r="I115" s="25" t="s">
        <v>186</v>
      </c>
      <c r="J115" s="27">
        <f t="shared" si="6"/>
        <v>2682</v>
      </c>
      <c r="K115" s="27">
        <f t="shared" si="7"/>
        <v>2682</v>
      </c>
      <c r="L115" s="27">
        <f t="shared" si="8"/>
        <v>0</v>
      </c>
      <c r="M115" s="27">
        <f t="shared" si="9"/>
        <v>2682</v>
      </c>
      <c r="N115" s="30">
        <f t="shared" si="10"/>
        <v>5.3498763264980452E-2</v>
      </c>
      <c r="O115" s="30">
        <f t="shared" si="11"/>
        <v>0.94650123673501951</v>
      </c>
      <c r="P115" s="52"/>
    </row>
    <row r="116" spans="1:16" ht="16.5" customHeight="1" thickBot="1" x14ac:dyDescent="0.25">
      <c r="A116" s="21" t="s">
        <v>187</v>
      </c>
      <c r="B116" s="19">
        <v>2800000</v>
      </c>
      <c r="C116" s="20">
        <v>0</v>
      </c>
      <c r="D116" s="20">
        <v>0</v>
      </c>
      <c r="E116" s="20">
        <v>0</v>
      </c>
      <c r="F116" s="20">
        <v>0</v>
      </c>
      <c r="G116" s="20">
        <v>0</v>
      </c>
      <c r="H116" s="20">
        <v>0</v>
      </c>
      <c r="I116" s="25" t="s">
        <v>25</v>
      </c>
      <c r="J116" s="27">
        <f t="shared" si="6"/>
        <v>0</v>
      </c>
      <c r="K116" s="27">
        <f t="shared" si="7"/>
        <v>0</v>
      </c>
      <c r="L116" s="27">
        <f t="shared" si="8"/>
        <v>0</v>
      </c>
      <c r="M116" s="27">
        <f t="shared" si="9"/>
        <v>0</v>
      </c>
      <c r="N116" s="30" t="str">
        <f t="shared" si="10"/>
        <v xml:space="preserve"> </v>
      </c>
      <c r="O116" s="30" t="str">
        <f t="shared" si="11"/>
        <v>ERROR</v>
      </c>
      <c r="P116" s="52"/>
    </row>
    <row r="117" spans="1:16" ht="16.5" customHeight="1" thickBot="1" x14ac:dyDescent="0.3">
      <c r="A117" s="21" t="s">
        <v>188</v>
      </c>
      <c r="B117" s="19">
        <v>8000000</v>
      </c>
      <c r="C117" s="36">
        <v>7374992</v>
      </c>
      <c r="D117" s="36">
        <v>7374802</v>
      </c>
      <c r="E117" s="37">
        <v>0</v>
      </c>
      <c r="F117" s="37">
        <v>0</v>
      </c>
      <c r="G117" s="37">
        <v>0</v>
      </c>
      <c r="H117" s="20">
        <v>0</v>
      </c>
      <c r="I117" s="25" t="s">
        <v>25</v>
      </c>
      <c r="J117" s="27">
        <f t="shared" si="6"/>
        <v>190</v>
      </c>
      <c r="K117" s="27">
        <f t="shared" si="7"/>
        <v>7374992</v>
      </c>
      <c r="L117" s="27">
        <f t="shared" si="8"/>
        <v>7374802</v>
      </c>
      <c r="M117" s="27">
        <f t="shared" si="9"/>
        <v>7374992</v>
      </c>
      <c r="N117" s="30">
        <f t="shared" si="10"/>
        <v>1</v>
      </c>
      <c r="O117" s="30">
        <f t="shared" si="11"/>
        <v>0</v>
      </c>
      <c r="P117" s="52" t="s">
        <v>659</v>
      </c>
    </row>
    <row r="118" spans="1:16" ht="16.5" customHeight="1" thickBot="1" x14ac:dyDescent="0.25">
      <c r="A118" s="21" t="s">
        <v>189</v>
      </c>
      <c r="B118" s="19">
        <v>1850000</v>
      </c>
      <c r="C118" s="19">
        <v>2302588</v>
      </c>
      <c r="D118" s="19">
        <v>2195598</v>
      </c>
      <c r="E118" s="19">
        <v>2174756</v>
      </c>
      <c r="F118" s="19">
        <v>2173732</v>
      </c>
      <c r="G118" s="19">
        <v>2088606</v>
      </c>
      <c r="H118" s="19">
        <v>2088606</v>
      </c>
      <c r="I118" s="25" t="s">
        <v>95</v>
      </c>
      <c r="J118" s="27">
        <f t="shared" si="6"/>
        <v>106990</v>
      </c>
      <c r="K118" s="27">
        <f t="shared" si="7"/>
        <v>127832</v>
      </c>
      <c r="L118" s="27">
        <f t="shared" si="8"/>
        <v>20842</v>
      </c>
      <c r="M118" s="27">
        <f t="shared" si="9"/>
        <v>213982</v>
      </c>
      <c r="N118" s="30">
        <f t="shared" si="10"/>
        <v>5.5516662121056826E-2</v>
      </c>
      <c r="O118" s="30">
        <f t="shared" si="11"/>
        <v>0.90706891549856072</v>
      </c>
      <c r="P118" s="52"/>
    </row>
    <row r="119" spans="1:16" ht="16.5" customHeight="1" thickBot="1" x14ac:dyDescent="0.25">
      <c r="A119" s="21" t="s">
        <v>190</v>
      </c>
      <c r="B119" s="19">
        <v>8534000</v>
      </c>
      <c r="C119" s="19">
        <v>4417847</v>
      </c>
      <c r="D119" s="19">
        <v>4295084</v>
      </c>
      <c r="E119" s="19">
        <v>4147709</v>
      </c>
      <c r="F119" s="19">
        <v>3899322</v>
      </c>
      <c r="G119" s="19">
        <v>3703841</v>
      </c>
      <c r="H119" s="19">
        <v>3659039</v>
      </c>
      <c r="I119" s="25" t="s">
        <v>191</v>
      </c>
      <c r="J119" s="27">
        <f t="shared" si="6"/>
        <v>122763</v>
      </c>
      <c r="K119" s="27">
        <f t="shared" si="7"/>
        <v>270138</v>
      </c>
      <c r="L119" s="27">
        <f t="shared" si="8"/>
        <v>147375</v>
      </c>
      <c r="M119" s="27">
        <f t="shared" si="9"/>
        <v>714006</v>
      </c>
      <c r="N119" s="30">
        <f t="shared" si="10"/>
        <v>6.1146979512871312E-2</v>
      </c>
      <c r="O119" s="30">
        <f t="shared" si="11"/>
        <v>0.83838145594449065</v>
      </c>
      <c r="P119" s="52"/>
    </row>
    <row r="120" spans="1:16" ht="16.5" customHeight="1" thickBot="1" x14ac:dyDescent="0.25">
      <c r="A120" s="21" t="s">
        <v>192</v>
      </c>
      <c r="B120" s="19">
        <v>300000</v>
      </c>
      <c r="C120" s="19">
        <v>1800000</v>
      </c>
      <c r="D120" s="19">
        <v>26893</v>
      </c>
      <c r="E120" s="19">
        <v>26893</v>
      </c>
      <c r="F120" s="19">
        <v>26893</v>
      </c>
      <c r="G120" s="19">
        <v>26893</v>
      </c>
      <c r="H120" s="19">
        <v>26893</v>
      </c>
      <c r="I120" s="25" t="s">
        <v>193</v>
      </c>
      <c r="J120" s="27">
        <f t="shared" si="6"/>
        <v>1773107</v>
      </c>
      <c r="K120" s="27">
        <f t="shared" si="7"/>
        <v>1773107</v>
      </c>
      <c r="L120" s="27">
        <f t="shared" si="8"/>
        <v>0</v>
      </c>
      <c r="M120" s="27">
        <f t="shared" si="9"/>
        <v>1773107</v>
      </c>
      <c r="N120" s="30">
        <f t="shared" si="10"/>
        <v>0.98505944444444449</v>
      </c>
      <c r="O120" s="30">
        <f t="shared" si="11"/>
        <v>1.4940555555555556E-2</v>
      </c>
      <c r="P120" s="52"/>
    </row>
    <row r="121" spans="1:16" ht="16.5" customHeight="1" thickBot="1" x14ac:dyDescent="0.25">
      <c r="A121" s="21" t="s">
        <v>194</v>
      </c>
      <c r="B121" s="19">
        <v>675842</v>
      </c>
      <c r="C121" s="20">
        <v>0</v>
      </c>
      <c r="D121" s="20">
        <v>0</v>
      </c>
      <c r="E121" s="20">
        <v>0</v>
      </c>
      <c r="F121" s="20">
        <v>0</v>
      </c>
      <c r="G121" s="20">
        <v>0</v>
      </c>
      <c r="H121" s="20">
        <v>0</v>
      </c>
      <c r="I121" s="25" t="s">
        <v>25</v>
      </c>
      <c r="J121" s="27">
        <f t="shared" si="6"/>
        <v>0</v>
      </c>
      <c r="K121" s="27">
        <f t="shared" si="7"/>
        <v>0</v>
      </c>
      <c r="L121" s="27">
        <f t="shared" si="8"/>
        <v>0</v>
      </c>
      <c r="M121" s="27">
        <f t="shared" si="9"/>
        <v>0</v>
      </c>
      <c r="N121" s="30" t="str">
        <f t="shared" si="10"/>
        <v xml:space="preserve"> </v>
      </c>
      <c r="O121" s="30" t="str">
        <f t="shared" si="11"/>
        <v>ERROR</v>
      </c>
      <c r="P121" s="52"/>
    </row>
    <row r="122" spans="1:16" ht="16.5" customHeight="1" thickBot="1" x14ac:dyDescent="0.3">
      <c r="A122" s="21" t="s">
        <v>195</v>
      </c>
      <c r="B122" s="19">
        <v>5319000</v>
      </c>
      <c r="C122" s="36">
        <v>184669</v>
      </c>
      <c r="D122" s="36">
        <v>184669</v>
      </c>
      <c r="E122" s="37">
        <v>0</v>
      </c>
      <c r="F122" s="37">
        <v>0</v>
      </c>
      <c r="G122" s="37">
        <v>0</v>
      </c>
      <c r="H122" s="20">
        <v>0</v>
      </c>
      <c r="I122" s="25" t="s">
        <v>25</v>
      </c>
      <c r="J122" s="27">
        <f t="shared" si="6"/>
        <v>0</v>
      </c>
      <c r="K122" s="27">
        <f t="shared" si="7"/>
        <v>184669</v>
      </c>
      <c r="L122" s="27">
        <f t="shared" si="8"/>
        <v>184669</v>
      </c>
      <c r="M122" s="27">
        <f t="shared" si="9"/>
        <v>184669</v>
      </c>
      <c r="N122" s="30">
        <f t="shared" si="10"/>
        <v>1</v>
      </c>
      <c r="O122" s="30">
        <f t="shared" si="11"/>
        <v>0</v>
      </c>
      <c r="P122" s="52" t="s">
        <v>659</v>
      </c>
    </row>
    <row r="123" spans="1:16" ht="16.5" customHeight="1" thickBot="1" x14ac:dyDescent="0.25">
      <c r="A123" s="21" t="s">
        <v>196</v>
      </c>
      <c r="B123" s="19">
        <v>1750000</v>
      </c>
      <c r="C123" s="19">
        <v>7233387</v>
      </c>
      <c r="D123" s="19">
        <v>6870610</v>
      </c>
      <c r="E123" s="19">
        <v>6868164</v>
      </c>
      <c r="F123" s="19">
        <v>6849354</v>
      </c>
      <c r="G123" s="19">
        <v>6752467</v>
      </c>
      <c r="H123" s="19">
        <v>6536447</v>
      </c>
      <c r="I123" s="25" t="s">
        <v>197</v>
      </c>
      <c r="J123" s="27">
        <f t="shared" si="6"/>
        <v>362777</v>
      </c>
      <c r="K123" s="27">
        <f t="shared" si="7"/>
        <v>365223</v>
      </c>
      <c r="L123" s="27">
        <f t="shared" si="8"/>
        <v>2446</v>
      </c>
      <c r="M123" s="27">
        <f t="shared" si="9"/>
        <v>480920</v>
      </c>
      <c r="N123" s="30">
        <f t="shared" si="10"/>
        <v>5.0491284373420084E-2</v>
      </c>
      <c r="O123" s="30">
        <f t="shared" si="11"/>
        <v>0.93351385733958381</v>
      </c>
      <c r="P123" s="52"/>
    </row>
    <row r="124" spans="1:16" ht="16.5" customHeight="1" thickBot="1" x14ac:dyDescent="0.25">
      <c r="A124" s="21" t="s">
        <v>198</v>
      </c>
      <c r="B124" s="19">
        <v>6632458</v>
      </c>
      <c r="C124" s="19">
        <v>3882438</v>
      </c>
      <c r="D124" s="19">
        <v>3751736</v>
      </c>
      <c r="E124" s="19">
        <v>3751367</v>
      </c>
      <c r="F124" s="19">
        <v>3740109</v>
      </c>
      <c r="G124" s="19">
        <v>3716288</v>
      </c>
      <c r="H124" s="19">
        <v>3203334</v>
      </c>
      <c r="I124" s="25" t="s">
        <v>199</v>
      </c>
      <c r="J124" s="27">
        <f t="shared" si="6"/>
        <v>130702</v>
      </c>
      <c r="K124" s="27">
        <f t="shared" si="7"/>
        <v>131071</v>
      </c>
      <c r="L124" s="27">
        <f t="shared" si="8"/>
        <v>369</v>
      </c>
      <c r="M124" s="27">
        <f t="shared" si="9"/>
        <v>166150</v>
      </c>
      <c r="N124" s="30">
        <f t="shared" si="10"/>
        <v>3.3759972470906167E-2</v>
      </c>
      <c r="O124" s="30">
        <f t="shared" si="11"/>
        <v>0.95720472548434776</v>
      </c>
      <c r="P124" s="52"/>
    </row>
    <row r="125" spans="1:16" ht="16.5" customHeight="1" thickBot="1" x14ac:dyDescent="0.25">
      <c r="A125" s="21" t="s">
        <v>200</v>
      </c>
      <c r="B125" s="19">
        <v>5406629</v>
      </c>
      <c r="C125" s="19">
        <v>3297813</v>
      </c>
      <c r="D125" s="19">
        <v>3286650</v>
      </c>
      <c r="E125" s="19">
        <v>3286650</v>
      </c>
      <c r="F125" s="19">
        <v>3285934</v>
      </c>
      <c r="G125" s="19">
        <v>3269277</v>
      </c>
      <c r="H125" s="19">
        <v>3269277</v>
      </c>
      <c r="I125" s="25" t="s">
        <v>154</v>
      </c>
      <c r="J125" s="27">
        <f t="shared" si="6"/>
        <v>11163</v>
      </c>
      <c r="K125" s="27">
        <f t="shared" si="7"/>
        <v>11163</v>
      </c>
      <c r="L125" s="27">
        <f t="shared" si="8"/>
        <v>0</v>
      </c>
      <c r="M125" s="27">
        <f t="shared" si="9"/>
        <v>28536</v>
      </c>
      <c r="N125" s="30">
        <f t="shared" si="10"/>
        <v>3.384970585051366E-3</v>
      </c>
      <c r="O125" s="30">
        <f t="shared" si="11"/>
        <v>0.99134699268879101</v>
      </c>
      <c r="P125" s="52"/>
    </row>
    <row r="126" spans="1:16" ht="16.5" customHeight="1" thickBot="1" x14ac:dyDescent="0.25">
      <c r="A126" s="21" t="s">
        <v>201</v>
      </c>
      <c r="B126" s="19">
        <v>276105</v>
      </c>
      <c r="C126" s="20">
        <v>0</v>
      </c>
      <c r="D126" s="20">
        <v>0</v>
      </c>
      <c r="E126" s="20">
        <v>0</v>
      </c>
      <c r="F126" s="20">
        <v>0</v>
      </c>
      <c r="G126" s="20">
        <v>0</v>
      </c>
      <c r="H126" s="20">
        <v>0</v>
      </c>
      <c r="I126" s="25" t="s">
        <v>25</v>
      </c>
      <c r="J126" s="27">
        <f t="shared" si="6"/>
        <v>0</v>
      </c>
      <c r="K126" s="27">
        <f t="shared" si="7"/>
        <v>0</v>
      </c>
      <c r="L126" s="27">
        <f t="shared" si="8"/>
        <v>0</v>
      </c>
      <c r="M126" s="27">
        <f t="shared" si="9"/>
        <v>0</v>
      </c>
      <c r="N126" s="30" t="str">
        <f t="shared" si="10"/>
        <v xml:space="preserve"> </v>
      </c>
      <c r="O126" s="30" t="str">
        <f t="shared" si="11"/>
        <v>ERROR</v>
      </c>
      <c r="P126" s="52"/>
    </row>
    <row r="127" spans="1:16" ht="16.5" customHeight="1" thickBot="1" x14ac:dyDescent="0.25">
      <c r="A127" s="21" t="s">
        <v>202</v>
      </c>
      <c r="B127" s="20">
        <v>0</v>
      </c>
      <c r="C127" s="19">
        <v>1425006</v>
      </c>
      <c r="D127" s="19">
        <v>1239789</v>
      </c>
      <c r="E127" s="19">
        <v>1239289</v>
      </c>
      <c r="F127" s="19">
        <v>1180202</v>
      </c>
      <c r="G127" s="19">
        <v>1170437</v>
      </c>
      <c r="H127" s="19">
        <v>1170437</v>
      </c>
      <c r="I127" s="25" t="s">
        <v>203</v>
      </c>
      <c r="J127" s="27">
        <f t="shared" si="6"/>
        <v>185217</v>
      </c>
      <c r="K127" s="27">
        <f t="shared" si="7"/>
        <v>185717</v>
      </c>
      <c r="L127" s="27">
        <f t="shared" si="8"/>
        <v>500</v>
      </c>
      <c r="M127" s="27">
        <f t="shared" si="9"/>
        <v>254569</v>
      </c>
      <c r="N127" s="30">
        <f t="shared" si="10"/>
        <v>0.13032717055226434</v>
      </c>
      <c r="O127" s="30">
        <f t="shared" si="11"/>
        <v>0.82135583990523553</v>
      </c>
      <c r="P127" s="52"/>
    </row>
    <row r="128" spans="1:16" ht="16.5" customHeight="1" thickBot="1" x14ac:dyDescent="0.25">
      <c r="A128" s="21" t="s">
        <v>204</v>
      </c>
      <c r="B128" s="19">
        <v>22181694</v>
      </c>
      <c r="C128" s="19">
        <v>8766661</v>
      </c>
      <c r="D128" s="19">
        <v>8493624</v>
      </c>
      <c r="E128" s="19">
        <v>4063268</v>
      </c>
      <c r="F128" s="19">
        <v>3880775</v>
      </c>
      <c r="G128" s="19">
        <v>3843826</v>
      </c>
      <c r="H128" s="19">
        <v>3810986</v>
      </c>
      <c r="I128" s="25" t="s">
        <v>205</v>
      </c>
      <c r="J128" s="27">
        <f t="shared" si="6"/>
        <v>273037</v>
      </c>
      <c r="K128" s="27">
        <f t="shared" si="7"/>
        <v>4703393</v>
      </c>
      <c r="L128" s="27">
        <f t="shared" si="8"/>
        <v>4430356</v>
      </c>
      <c r="M128" s="27">
        <f t="shared" si="9"/>
        <v>4922835</v>
      </c>
      <c r="N128" s="30">
        <f t="shared" si="10"/>
        <v>0.53650905401725923</v>
      </c>
      <c r="O128" s="30">
        <f t="shared" si="11"/>
        <v>0.438459522958627</v>
      </c>
      <c r="P128" s="52"/>
    </row>
    <row r="129" spans="1:16" ht="16.5" customHeight="1" thickBot="1" x14ac:dyDescent="0.25">
      <c r="A129" s="21" t="s">
        <v>206</v>
      </c>
      <c r="B129" s="20">
        <v>0</v>
      </c>
      <c r="C129" s="19">
        <v>40621</v>
      </c>
      <c r="D129" s="19">
        <v>28914</v>
      </c>
      <c r="E129" s="19">
        <v>28914</v>
      </c>
      <c r="F129" s="19">
        <v>27954</v>
      </c>
      <c r="G129" s="19">
        <v>27954</v>
      </c>
      <c r="H129" s="19">
        <v>27954</v>
      </c>
      <c r="I129" s="25" t="s">
        <v>207</v>
      </c>
      <c r="J129" s="27">
        <f t="shared" si="6"/>
        <v>11707</v>
      </c>
      <c r="K129" s="27">
        <f t="shared" si="7"/>
        <v>11707</v>
      </c>
      <c r="L129" s="27">
        <f t="shared" si="8"/>
        <v>0</v>
      </c>
      <c r="M129" s="27">
        <f t="shared" si="9"/>
        <v>12667</v>
      </c>
      <c r="N129" s="30">
        <f t="shared" si="10"/>
        <v>0.28820068437507695</v>
      </c>
      <c r="O129" s="30">
        <f t="shared" si="11"/>
        <v>0.68816621944314516</v>
      </c>
      <c r="P129" s="52"/>
    </row>
    <row r="130" spans="1:16" ht="16.5" customHeight="1" thickBot="1" x14ac:dyDescent="0.3">
      <c r="A130" s="21" t="s">
        <v>208</v>
      </c>
      <c r="B130" s="20">
        <v>0</v>
      </c>
      <c r="C130" s="36">
        <v>11000</v>
      </c>
      <c r="D130" s="36">
        <v>11000</v>
      </c>
      <c r="E130" s="37">
        <v>0</v>
      </c>
      <c r="F130" s="37">
        <v>0</v>
      </c>
      <c r="G130" s="37">
        <v>0</v>
      </c>
      <c r="H130" s="20">
        <v>0</v>
      </c>
      <c r="I130" s="25" t="s">
        <v>25</v>
      </c>
      <c r="J130" s="27">
        <f t="shared" si="6"/>
        <v>0</v>
      </c>
      <c r="K130" s="27">
        <f t="shared" si="7"/>
        <v>11000</v>
      </c>
      <c r="L130" s="27">
        <f t="shared" si="8"/>
        <v>11000</v>
      </c>
      <c r="M130" s="27">
        <f t="shared" si="9"/>
        <v>11000</v>
      </c>
      <c r="N130" s="30">
        <f t="shared" si="10"/>
        <v>1</v>
      </c>
      <c r="O130" s="30">
        <f t="shared" si="11"/>
        <v>0</v>
      </c>
      <c r="P130" s="52" t="s">
        <v>659</v>
      </c>
    </row>
    <row r="131" spans="1:16" ht="16.5" customHeight="1" thickBot="1" x14ac:dyDescent="0.25">
      <c r="A131" s="21" t="s">
        <v>209</v>
      </c>
      <c r="B131" s="20">
        <v>0</v>
      </c>
      <c r="C131" s="19">
        <v>220496</v>
      </c>
      <c r="D131" s="19">
        <v>220392</v>
      </c>
      <c r="E131" s="19">
        <v>175392</v>
      </c>
      <c r="F131" s="19">
        <v>174510</v>
      </c>
      <c r="G131" s="19">
        <v>174510</v>
      </c>
      <c r="H131" s="19">
        <v>158067</v>
      </c>
      <c r="I131" s="25" t="s">
        <v>210</v>
      </c>
      <c r="J131" s="27">
        <f t="shared" si="6"/>
        <v>104</v>
      </c>
      <c r="K131" s="27">
        <f t="shared" si="7"/>
        <v>45104</v>
      </c>
      <c r="L131" s="27">
        <f t="shared" si="8"/>
        <v>45000</v>
      </c>
      <c r="M131" s="27">
        <f t="shared" si="9"/>
        <v>45986</v>
      </c>
      <c r="N131" s="30">
        <f t="shared" si="10"/>
        <v>0.20455699876641753</v>
      </c>
      <c r="O131" s="30">
        <f t="shared" si="11"/>
        <v>0.79144292866990784</v>
      </c>
      <c r="P131" s="52"/>
    </row>
    <row r="132" spans="1:16" ht="16.5" customHeight="1" thickBot="1" x14ac:dyDescent="0.25">
      <c r="A132" s="21" t="s">
        <v>211</v>
      </c>
      <c r="B132" s="19">
        <v>2822702</v>
      </c>
      <c r="C132" s="19">
        <v>6688287</v>
      </c>
      <c r="D132" s="19">
        <v>6156914</v>
      </c>
      <c r="E132" s="19">
        <v>4901106</v>
      </c>
      <c r="F132" s="19">
        <v>4851194</v>
      </c>
      <c r="G132" s="19">
        <v>3692513</v>
      </c>
      <c r="H132" s="19">
        <v>3456574</v>
      </c>
      <c r="I132" s="25" t="s">
        <v>212</v>
      </c>
      <c r="J132" s="27">
        <f t="shared" si="6"/>
        <v>531373</v>
      </c>
      <c r="K132" s="27">
        <f t="shared" si="7"/>
        <v>1787181</v>
      </c>
      <c r="L132" s="27">
        <f t="shared" si="8"/>
        <v>1255808</v>
      </c>
      <c r="M132" s="27">
        <f t="shared" si="9"/>
        <v>2995774</v>
      </c>
      <c r="N132" s="30">
        <f t="shared" si="10"/>
        <v>0.26721057275203652</v>
      </c>
      <c r="O132" s="30">
        <f t="shared" si="11"/>
        <v>0.55208650585717989</v>
      </c>
      <c r="P132" s="52"/>
    </row>
    <row r="133" spans="1:16" ht="16.5" customHeight="1" thickBot="1" x14ac:dyDescent="0.25">
      <c r="A133" s="21" t="s">
        <v>213</v>
      </c>
      <c r="B133" s="20">
        <v>0</v>
      </c>
      <c r="C133" s="19">
        <v>4437995</v>
      </c>
      <c r="D133" s="19">
        <v>3573869</v>
      </c>
      <c r="E133" s="19">
        <v>3191401</v>
      </c>
      <c r="F133" s="19">
        <v>2908968</v>
      </c>
      <c r="G133" s="19">
        <v>2493397</v>
      </c>
      <c r="H133" s="19">
        <v>2377543</v>
      </c>
      <c r="I133" s="25" t="s">
        <v>214</v>
      </c>
      <c r="J133" s="27">
        <f t="shared" si="6"/>
        <v>864126</v>
      </c>
      <c r="K133" s="27">
        <f t="shared" si="7"/>
        <v>1246594</v>
      </c>
      <c r="L133" s="27">
        <f t="shared" si="8"/>
        <v>382468</v>
      </c>
      <c r="M133" s="27">
        <f t="shared" si="9"/>
        <v>1944598</v>
      </c>
      <c r="N133" s="30">
        <f t="shared" si="10"/>
        <v>0.2808912583272401</v>
      </c>
      <c r="O133" s="30">
        <f t="shared" si="11"/>
        <v>0.56182960999280085</v>
      </c>
      <c r="P133" s="52"/>
    </row>
    <row r="134" spans="1:16" ht="16.5" customHeight="1" thickBot="1" x14ac:dyDescent="0.3">
      <c r="A134" s="21" t="s">
        <v>215</v>
      </c>
      <c r="B134" s="20">
        <v>0</v>
      </c>
      <c r="C134" s="36">
        <v>1038097</v>
      </c>
      <c r="D134" s="36">
        <v>1038097</v>
      </c>
      <c r="E134" s="37">
        <v>0</v>
      </c>
      <c r="F134" s="37">
        <v>0</v>
      </c>
      <c r="G134" s="37">
        <v>0</v>
      </c>
      <c r="H134" s="20">
        <v>0</v>
      </c>
      <c r="I134" s="25" t="s">
        <v>25</v>
      </c>
      <c r="J134" s="27">
        <f t="shared" si="6"/>
        <v>0</v>
      </c>
      <c r="K134" s="27">
        <f t="shared" si="7"/>
        <v>1038097</v>
      </c>
      <c r="L134" s="27">
        <f t="shared" si="8"/>
        <v>1038097</v>
      </c>
      <c r="M134" s="27">
        <f t="shared" si="9"/>
        <v>1038097</v>
      </c>
      <c r="N134" s="30">
        <f t="shared" si="10"/>
        <v>1</v>
      </c>
      <c r="O134" s="30">
        <f t="shared" si="11"/>
        <v>0</v>
      </c>
      <c r="P134" s="52" t="s">
        <v>659</v>
      </c>
    </row>
    <row r="135" spans="1:16" ht="16.5" customHeight="1" thickBot="1" x14ac:dyDescent="0.25">
      <c r="A135" s="21" t="s">
        <v>216</v>
      </c>
      <c r="B135" s="19">
        <v>9468125</v>
      </c>
      <c r="C135" s="19">
        <v>8256172</v>
      </c>
      <c r="D135" s="19">
        <v>7527847</v>
      </c>
      <c r="E135" s="19">
        <v>5727178</v>
      </c>
      <c r="F135" s="19">
        <v>5370062</v>
      </c>
      <c r="G135" s="19">
        <v>4485722</v>
      </c>
      <c r="H135" s="19">
        <v>4078736</v>
      </c>
      <c r="I135" s="25" t="s">
        <v>217</v>
      </c>
      <c r="J135" s="27">
        <f t="shared" si="6"/>
        <v>728325</v>
      </c>
      <c r="K135" s="27">
        <f t="shared" si="7"/>
        <v>2528994</v>
      </c>
      <c r="L135" s="27">
        <f t="shared" si="8"/>
        <v>1800669</v>
      </c>
      <c r="M135" s="27">
        <f t="shared" si="9"/>
        <v>3770450</v>
      </c>
      <c r="N135" s="30">
        <f t="shared" si="10"/>
        <v>0.30631556610012484</v>
      </c>
      <c r="O135" s="30">
        <f t="shared" si="11"/>
        <v>0.5433174115074153</v>
      </c>
      <c r="P135" s="52"/>
    </row>
    <row r="136" spans="1:16" ht="16.5" customHeight="1" thickBot="1" x14ac:dyDescent="0.25">
      <c r="A136" s="21" t="s">
        <v>218</v>
      </c>
      <c r="B136" s="19">
        <v>1000000</v>
      </c>
      <c r="C136" s="20">
        <v>0</v>
      </c>
      <c r="D136" s="20">
        <v>0</v>
      </c>
      <c r="E136" s="20">
        <v>0</v>
      </c>
      <c r="F136" s="20">
        <v>0</v>
      </c>
      <c r="G136" s="20">
        <v>0</v>
      </c>
      <c r="H136" s="20">
        <v>0</v>
      </c>
      <c r="I136" s="25" t="s">
        <v>25</v>
      </c>
      <c r="J136" s="27">
        <f t="shared" si="6"/>
        <v>0</v>
      </c>
      <c r="K136" s="27">
        <f t="shared" si="7"/>
        <v>0</v>
      </c>
      <c r="L136" s="27">
        <f t="shared" si="8"/>
        <v>0</v>
      </c>
      <c r="M136" s="27">
        <f t="shared" si="9"/>
        <v>0</v>
      </c>
      <c r="N136" s="30" t="str">
        <f t="shared" si="10"/>
        <v xml:space="preserve"> </v>
      </c>
      <c r="O136" s="30" t="str">
        <f t="shared" si="11"/>
        <v>ERROR</v>
      </c>
      <c r="P136" s="52"/>
    </row>
    <row r="137" spans="1:16" ht="16.5" customHeight="1" thickBot="1" x14ac:dyDescent="0.25">
      <c r="A137" s="21" t="s">
        <v>219</v>
      </c>
      <c r="B137" s="20">
        <v>0</v>
      </c>
      <c r="C137" s="19">
        <v>1827737</v>
      </c>
      <c r="D137" s="19">
        <v>1014426</v>
      </c>
      <c r="E137" s="19">
        <v>399212</v>
      </c>
      <c r="F137" s="19">
        <v>294002</v>
      </c>
      <c r="G137" s="19">
        <v>13810</v>
      </c>
      <c r="H137" s="19">
        <v>10027</v>
      </c>
      <c r="I137" s="25" t="s">
        <v>220</v>
      </c>
      <c r="J137" s="27">
        <f t="shared" si="6"/>
        <v>813311</v>
      </c>
      <c r="K137" s="27">
        <f t="shared" si="7"/>
        <v>1428525</v>
      </c>
      <c r="L137" s="27">
        <f t="shared" si="8"/>
        <v>615214</v>
      </c>
      <c r="M137" s="27">
        <f t="shared" si="9"/>
        <v>1813927</v>
      </c>
      <c r="N137" s="30">
        <f t="shared" si="10"/>
        <v>0.7815812668890546</v>
      </c>
      <c r="O137" s="30">
        <f t="shared" si="11"/>
        <v>7.5557916702457739E-3</v>
      </c>
      <c r="P137" s="52"/>
    </row>
    <row r="138" spans="1:16" ht="16.5" customHeight="1" thickBot="1" x14ac:dyDescent="0.25">
      <c r="A138" s="21" t="s">
        <v>221</v>
      </c>
      <c r="B138" s="20">
        <v>0</v>
      </c>
      <c r="C138" s="19">
        <v>2000000</v>
      </c>
      <c r="D138" s="19">
        <v>2000000</v>
      </c>
      <c r="E138" s="19">
        <v>1984656</v>
      </c>
      <c r="F138" s="19">
        <v>1983321</v>
      </c>
      <c r="G138" s="19">
        <v>1956578</v>
      </c>
      <c r="H138" s="19">
        <v>1929168</v>
      </c>
      <c r="I138" s="25" t="s">
        <v>166</v>
      </c>
      <c r="J138" s="27">
        <f t="shared" si="6"/>
        <v>0</v>
      </c>
      <c r="K138" s="27">
        <f t="shared" si="7"/>
        <v>15344</v>
      </c>
      <c r="L138" s="27">
        <f t="shared" si="8"/>
        <v>15344</v>
      </c>
      <c r="M138" s="27">
        <f t="shared" si="9"/>
        <v>43422</v>
      </c>
      <c r="N138" s="30">
        <f t="shared" si="10"/>
        <v>7.672E-3</v>
      </c>
      <c r="O138" s="30">
        <f t="shared" si="11"/>
        <v>0.97828899999999996</v>
      </c>
      <c r="P138" s="52"/>
    </row>
    <row r="139" spans="1:16" ht="16.5" customHeight="1" thickBot="1" x14ac:dyDescent="0.25">
      <c r="A139" s="21" t="s">
        <v>222</v>
      </c>
      <c r="B139" s="19">
        <v>228677</v>
      </c>
      <c r="C139" s="19">
        <v>104124</v>
      </c>
      <c r="D139" s="19">
        <v>48235</v>
      </c>
      <c r="E139" s="19">
        <v>48235</v>
      </c>
      <c r="F139" s="19">
        <v>48235</v>
      </c>
      <c r="G139" s="19">
        <v>48235</v>
      </c>
      <c r="H139" s="19">
        <v>48235</v>
      </c>
      <c r="I139" s="25" t="s">
        <v>223</v>
      </c>
      <c r="J139" s="27">
        <f t="shared" si="6"/>
        <v>55889</v>
      </c>
      <c r="K139" s="27">
        <f t="shared" si="7"/>
        <v>55889</v>
      </c>
      <c r="L139" s="27">
        <f t="shared" si="8"/>
        <v>0</v>
      </c>
      <c r="M139" s="27">
        <f t="shared" si="9"/>
        <v>55889</v>
      </c>
      <c r="N139" s="30">
        <f t="shared" si="10"/>
        <v>0.53675425454266068</v>
      </c>
      <c r="O139" s="30">
        <f t="shared" si="11"/>
        <v>0.46324574545733932</v>
      </c>
      <c r="P139" s="52"/>
    </row>
    <row r="140" spans="1:16" ht="16.5" customHeight="1" thickBot="1" x14ac:dyDescent="0.25">
      <c r="A140" s="21" t="s">
        <v>224</v>
      </c>
      <c r="B140" s="20">
        <v>0</v>
      </c>
      <c r="C140" s="19">
        <v>105000</v>
      </c>
      <c r="D140" s="19">
        <v>44312</v>
      </c>
      <c r="E140" s="19">
        <v>44312</v>
      </c>
      <c r="F140" s="19">
        <v>39936</v>
      </c>
      <c r="G140" s="19">
        <v>39936</v>
      </c>
      <c r="H140" s="19">
        <v>39936</v>
      </c>
      <c r="I140" s="25" t="s">
        <v>225</v>
      </c>
      <c r="J140" s="27">
        <f t="shared" si="6"/>
        <v>60688</v>
      </c>
      <c r="K140" s="27">
        <f t="shared" si="7"/>
        <v>60688</v>
      </c>
      <c r="L140" s="27">
        <f t="shared" si="8"/>
        <v>0</v>
      </c>
      <c r="M140" s="27">
        <f t="shared" si="9"/>
        <v>65064</v>
      </c>
      <c r="N140" s="30">
        <f t="shared" si="10"/>
        <v>0.57798095238095237</v>
      </c>
      <c r="O140" s="30">
        <f t="shared" si="11"/>
        <v>0.38034285714285715</v>
      </c>
      <c r="P140" s="52"/>
    </row>
    <row r="141" spans="1:16" ht="16.5" customHeight="1" thickBot="1" x14ac:dyDescent="0.3">
      <c r="A141" s="21" t="s">
        <v>226</v>
      </c>
      <c r="B141" s="19">
        <v>200000</v>
      </c>
      <c r="C141" s="36">
        <v>200000</v>
      </c>
      <c r="D141" s="36">
        <v>50000</v>
      </c>
      <c r="E141" s="37">
        <v>0</v>
      </c>
      <c r="F141" s="37">
        <v>0</v>
      </c>
      <c r="G141" s="37">
        <v>0</v>
      </c>
      <c r="H141" s="20">
        <v>0</v>
      </c>
      <c r="I141" s="25" t="s">
        <v>25</v>
      </c>
      <c r="J141" s="27">
        <f t="shared" si="6"/>
        <v>150000</v>
      </c>
      <c r="K141" s="27">
        <f t="shared" si="7"/>
        <v>200000</v>
      </c>
      <c r="L141" s="27">
        <f t="shared" si="8"/>
        <v>50000</v>
      </c>
      <c r="M141" s="27">
        <f t="shared" si="9"/>
        <v>200000</v>
      </c>
      <c r="N141" s="30">
        <f t="shared" si="10"/>
        <v>1</v>
      </c>
      <c r="O141" s="30">
        <f t="shared" si="11"/>
        <v>0</v>
      </c>
      <c r="P141" s="52" t="s">
        <v>659</v>
      </c>
    </row>
    <row r="142" spans="1:16" ht="16.5" customHeight="1" thickBot="1" x14ac:dyDescent="0.3">
      <c r="A142" s="21" t="s">
        <v>227</v>
      </c>
      <c r="B142" s="20">
        <v>0</v>
      </c>
      <c r="C142" s="28">
        <v>500000</v>
      </c>
      <c r="D142" s="29">
        <v>0</v>
      </c>
      <c r="E142" s="29">
        <v>0</v>
      </c>
      <c r="F142" s="29">
        <v>0</v>
      </c>
      <c r="G142" s="29">
        <v>0</v>
      </c>
      <c r="H142" s="20">
        <v>0</v>
      </c>
      <c r="I142" s="25" t="s">
        <v>25</v>
      </c>
      <c r="J142" s="27">
        <f t="shared" si="6"/>
        <v>500000</v>
      </c>
      <c r="K142" s="27">
        <f t="shared" si="7"/>
        <v>500000</v>
      </c>
      <c r="L142" s="27">
        <f t="shared" si="8"/>
        <v>0</v>
      </c>
      <c r="M142" s="27">
        <f t="shared" si="9"/>
        <v>500000</v>
      </c>
      <c r="N142" s="30">
        <f t="shared" si="10"/>
        <v>1</v>
      </c>
      <c r="O142" s="30">
        <f t="shared" si="11"/>
        <v>0</v>
      </c>
      <c r="P142" s="52" t="s">
        <v>659</v>
      </c>
    </row>
    <row r="143" spans="1:16" ht="16.5" customHeight="1" thickBot="1" x14ac:dyDescent="0.25">
      <c r="A143" s="21" t="s">
        <v>228</v>
      </c>
      <c r="B143" s="19">
        <v>897880</v>
      </c>
      <c r="C143" s="19">
        <v>565870</v>
      </c>
      <c r="D143" s="19">
        <v>502949</v>
      </c>
      <c r="E143" s="19">
        <v>500423</v>
      </c>
      <c r="F143" s="19">
        <v>446229</v>
      </c>
      <c r="G143" s="19">
        <v>446229</v>
      </c>
      <c r="H143" s="19">
        <v>446229</v>
      </c>
      <c r="I143" s="25" t="s">
        <v>229</v>
      </c>
      <c r="J143" s="27">
        <f t="shared" si="6"/>
        <v>62921</v>
      </c>
      <c r="K143" s="27">
        <f t="shared" si="7"/>
        <v>65447</v>
      </c>
      <c r="L143" s="27">
        <f t="shared" si="8"/>
        <v>2526</v>
      </c>
      <c r="M143" s="27">
        <f t="shared" si="9"/>
        <v>119641</v>
      </c>
      <c r="N143" s="30">
        <f t="shared" si="10"/>
        <v>0.11565730644847756</v>
      </c>
      <c r="O143" s="30">
        <f t="shared" si="11"/>
        <v>0.78857158004488659</v>
      </c>
      <c r="P143" s="52"/>
    </row>
    <row r="144" spans="1:16" ht="16.5" customHeight="1" thickBot="1" x14ac:dyDescent="0.25">
      <c r="A144" s="21" t="s">
        <v>230</v>
      </c>
      <c r="B144" s="20">
        <v>0</v>
      </c>
      <c r="C144" s="19">
        <v>5182053</v>
      </c>
      <c r="D144" s="19">
        <v>4958490</v>
      </c>
      <c r="E144" s="19">
        <v>4604701</v>
      </c>
      <c r="F144" s="19">
        <v>3891436</v>
      </c>
      <c r="G144" s="19">
        <v>2773280</v>
      </c>
      <c r="H144" s="19">
        <v>2683431</v>
      </c>
      <c r="I144" s="25" t="s">
        <v>231</v>
      </c>
      <c r="J144" s="27">
        <f t="shared" si="6"/>
        <v>223563</v>
      </c>
      <c r="K144" s="27">
        <f t="shared" si="7"/>
        <v>577352</v>
      </c>
      <c r="L144" s="27">
        <f t="shared" si="8"/>
        <v>353789</v>
      </c>
      <c r="M144" s="27">
        <f t="shared" si="9"/>
        <v>2408773</v>
      </c>
      <c r="N144" s="30">
        <f t="shared" si="10"/>
        <v>0.11141375821513211</v>
      </c>
      <c r="O144" s="30">
        <f t="shared" si="11"/>
        <v>0.53517013430777338</v>
      </c>
      <c r="P144" s="52"/>
    </row>
    <row r="145" spans="1:16" ht="16.5" customHeight="1" thickBot="1" x14ac:dyDescent="0.25">
      <c r="A145" s="21" t="s">
        <v>232</v>
      </c>
      <c r="B145" s="19">
        <v>4902849</v>
      </c>
      <c r="C145" s="19">
        <v>11203165</v>
      </c>
      <c r="D145" s="19">
        <v>10889669</v>
      </c>
      <c r="E145" s="19">
        <v>8721490</v>
      </c>
      <c r="F145" s="19">
        <v>8106145</v>
      </c>
      <c r="G145" s="19">
        <v>6395813</v>
      </c>
      <c r="H145" s="19">
        <v>5759894</v>
      </c>
      <c r="I145" s="25" t="s">
        <v>233</v>
      </c>
      <c r="J145" s="27">
        <f t="shared" ref="J145:J208" si="12">C145-D145</f>
        <v>313496</v>
      </c>
      <c r="K145" s="27">
        <f t="shared" ref="K145:K208" si="13">C145-E145</f>
        <v>2481675</v>
      </c>
      <c r="L145" s="27">
        <f t="shared" ref="L145:L208" si="14">D145-E145</f>
        <v>2168179</v>
      </c>
      <c r="M145" s="27">
        <f t="shared" ref="M145:M208" si="15">C145-G145</f>
        <v>4807352</v>
      </c>
      <c r="N145" s="30">
        <f t="shared" ref="N145:N208" si="16">IFERROR(K145/C145, " ")</f>
        <v>0.22151552708542629</v>
      </c>
      <c r="O145" s="30">
        <f t="shared" ref="O145:O208" si="17">IFERROR(G145/C145, "ERROR")</f>
        <v>0.57089340378366293</v>
      </c>
      <c r="P145" s="52"/>
    </row>
    <row r="146" spans="1:16" ht="16.5" customHeight="1" thickBot="1" x14ac:dyDescent="0.25">
      <c r="A146" s="21" t="s">
        <v>234</v>
      </c>
      <c r="B146" s="19">
        <v>500000</v>
      </c>
      <c r="C146" s="20">
        <v>0</v>
      </c>
      <c r="D146" s="20">
        <v>0</v>
      </c>
      <c r="E146" s="20">
        <v>0</v>
      </c>
      <c r="F146" s="20">
        <v>0</v>
      </c>
      <c r="G146" s="20">
        <v>0</v>
      </c>
      <c r="H146" s="20">
        <v>0</v>
      </c>
      <c r="I146" s="25" t="s">
        <v>25</v>
      </c>
      <c r="J146" s="27">
        <f t="shared" si="12"/>
        <v>0</v>
      </c>
      <c r="K146" s="27">
        <f t="shared" si="13"/>
        <v>0</v>
      </c>
      <c r="L146" s="27">
        <f t="shared" si="14"/>
        <v>0</v>
      </c>
      <c r="M146" s="27">
        <f t="shared" si="15"/>
        <v>0</v>
      </c>
      <c r="N146" s="30" t="str">
        <f t="shared" si="16"/>
        <v xml:space="preserve"> </v>
      </c>
      <c r="O146" s="30" t="str">
        <f t="shared" si="17"/>
        <v>ERROR</v>
      </c>
      <c r="P146" s="52"/>
    </row>
    <row r="147" spans="1:16" ht="16.5" customHeight="1" thickBot="1" x14ac:dyDescent="0.25">
      <c r="A147" s="21" t="s">
        <v>235</v>
      </c>
      <c r="B147" s="19">
        <v>3659376</v>
      </c>
      <c r="C147" s="19">
        <v>2659376</v>
      </c>
      <c r="D147" s="19">
        <v>1980095</v>
      </c>
      <c r="E147" s="19">
        <v>1855072</v>
      </c>
      <c r="F147" s="19">
        <v>1556321</v>
      </c>
      <c r="G147" s="19">
        <v>1386717</v>
      </c>
      <c r="H147" s="19">
        <v>1308179</v>
      </c>
      <c r="I147" s="25" t="s">
        <v>183</v>
      </c>
      <c r="J147" s="27">
        <f t="shared" si="12"/>
        <v>679281</v>
      </c>
      <c r="K147" s="27">
        <f t="shared" si="13"/>
        <v>804304</v>
      </c>
      <c r="L147" s="27">
        <f t="shared" si="14"/>
        <v>125023</v>
      </c>
      <c r="M147" s="27">
        <f t="shared" si="15"/>
        <v>1272659</v>
      </c>
      <c r="N147" s="30">
        <f t="shared" si="16"/>
        <v>0.30244087334773267</v>
      </c>
      <c r="O147" s="30">
        <f t="shared" si="17"/>
        <v>0.52144450427468703</v>
      </c>
      <c r="P147" s="52"/>
    </row>
    <row r="148" spans="1:16" ht="16.5" customHeight="1" thickBot="1" x14ac:dyDescent="0.25">
      <c r="A148" s="21" t="s">
        <v>236</v>
      </c>
      <c r="B148" s="19">
        <v>1293646</v>
      </c>
      <c r="C148" s="19">
        <v>936343</v>
      </c>
      <c r="D148" s="19">
        <v>868355</v>
      </c>
      <c r="E148" s="19">
        <v>868355</v>
      </c>
      <c r="F148" s="19">
        <v>868355</v>
      </c>
      <c r="G148" s="19">
        <v>868355</v>
      </c>
      <c r="H148" s="19">
        <v>868355</v>
      </c>
      <c r="I148" s="25" t="s">
        <v>237</v>
      </c>
      <c r="J148" s="27">
        <f t="shared" si="12"/>
        <v>67988</v>
      </c>
      <c r="K148" s="27">
        <f t="shared" si="13"/>
        <v>67988</v>
      </c>
      <c r="L148" s="27">
        <f t="shared" si="14"/>
        <v>0</v>
      </c>
      <c r="M148" s="27">
        <f t="shared" si="15"/>
        <v>67988</v>
      </c>
      <c r="N148" s="30">
        <f t="shared" si="16"/>
        <v>7.261014393229831E-2</v>
      </c>
      <c r="O148" s="30">
        <f t="shared" si="17"/>
        <v>0.92738985606770163</v>
      </c>
      <c r="P148" s="52"/>
    </row>
    <row r="149" spans="1:16" ht="16.5" customHeight="1" thickBot="1" x14ac:dyDescent="0.25">
      <c r="A149" s="21" t="s">
        <v>238</v>
      </c>
      <c r="B149" s="19">
        <v>732593</v>
      </c>
      <c r="C149" s="19">
        <v>369217</v>
      </c>
      <c r="D149" s="19">
        <v>140000</v>
      </c>
      <c r="E149" s="19">
        <v>140000</v>
      </c>
      <c r="F149" s="19">
        <v>140000</v>
      </c>
      <c r="G149" s="19">
        <v>140000</v>
      </c>
      <c r="H149" s="19">
        <v>140000</v>
      </c>
      <c r="I149" s="25" t="s">
        <v>239</v>
      </c>
      <c r="J149" s="27">
        <f t="shared" si="12"/>
        <v>229217</v>
      </c>
      <c r="K149" s="27">
        <f t="shared" si="13"/>
        <v>229217</v>
      </c>
      <c r="L149" s="27">
        <f t="shared" si="14"/>
        <v>0</v>
      </c>
      <c r="M149" s="27">
        <f t="shared" si="15"/>
        <v>229217</v>
      </c>
      <c r="N149" s="30">
        <f t="shared" si="16"/>
        <v>0.62081919304907407</v>
      </c>
      <c r="O149" s="30">
        <f t="shared" si="17"/>
        <v>0.37918080695092587</v>
      </c>
      <c r="P149" s="52"/>
    </row>
    <row r="150" spans="1:16" ht="16.5" customHeight="1" thickBot="1" x14ac:dyDescent="0.25">
      <c r="A150" s="21" t="s">
        <v>240</v>
      </c>
      <c r="B150" s="20">
        <v>0</v>
      </c>
      <c r="C150" s="19">
        <v>13758</v>
      </c>
      <c r="D150" s="19">
        <v>13758</v>
      </c>
      <c r="E150" s="19">
        <v>13758</v>
      </c>
      <c r="F150" s="19">
        <v>13213</v>
      </c>
      <c r="G150" s="19">
        <v>13213</v>
      </c>
      <c r="H150" s="19">
        <v>13213</v>
      </c>
      <c r="I150" s="25" t="s">
        <v>241</v>
      </c>
      <c r="J150" s="27">
        <f t="shared" si="12"/>
        <v>0</v>
      </c>
      <c r="K150" s="27">
        <f t="shared" si="13"/>
        <v>0</v>
      </c>
      <c r="L150" s="27">
        <f t="shared" si="14"/>
        <v>0</v>
      </c>
      <c r="M150" s="27">
        <f t="shared" si="15"/>
        <v>545</v>
      </c>
      <c r="N150" s="30">
        <f t="shared" si="16"/>
        <v>0</v>
      </c>
      <c r="O150" s="30">
        <f t="shared" si="17"/>
        <v>0.96038668411106265</v>
      </c>
      <c r="P150" s="52"/>
    </row>
    <row r="151" spans="1:16" ht="16.5" customHeight="1" thickBot="1" x14ac:dyDescent="0.3">
      <c r="A151" s="21" t="s">
        <v>242</v>
      </c>
      <c r="B151" s="19">
        <v>200000</v>
      </c>
      <c r="C151" s="36">
        <v>19658</v>
      </c>
      <c r="D151" s="36">
        <v>3612</v>
      </c>
      <c r="E151" s="37">
        <v>0</v>
      </c>
      <c r="F151" s="37">
        <v>0</v>
      </c>
      <c r="G151" s="37">
        <v>0</v>
      </c>
      <c r="H151" s="20">
        <v>0</v>
      </c>
      <c r="I151" s="25" t="s">
        <v>25</v>
      </c>
      <c r="J151" s="27">
        <f t="shared" si="12"/>
        <v>16046</v>
      </c>
      <c r="K151" s="27">
        <f t="shared" si="13"/>
        <v>19658</v>
      </c>
      <c r="L151" s="27">
        <f t="shared" si="14"/>
        <v>3612</v>
      </c>
      <c r="M151" s="27">
        <f t="shared" si="15"/>
        <v>19658</v>
      </c>
      <c r="N151" s="30">
        <f t="shared" si="16"/>
        <v>1</v>
      </c>
      <c r="O151" s="30">
        <f t="shared" si="17"/>
        <v>0</v>
      </c>
      <c r="P151" s="52" t="s">
        <v>659</v>
      </c>
    </row>
    <row r="152" spans="1:16" ht="16.5" customHeight="1" thickBot="1" x14ac:dyDescent="0.3">
      <c r="A152" s="21" t="s">
        <v>243</v>
      </c>
      <c r="B152" s="19">
        <v>500000</v>
      </c>
      <c r="C152" s="28">
        <v>32099</v>
      </c>
      <c r="D152" s="29">
        <v>0</v>
      </c>
      <c r="E152" s="29">
        <v>0</v>
      </c>
      <c r="F152" s="29">
        <v>0</v>
      </c>
      <c r="G152" s="29">
        <v>0</v>
      </c>
      <c r="H152" s="20">
        <v>0</v>
      </c>
      <c r="I152" s="25" t="s">
        <v>25</v>
      </c>
      <c r="J152" s="27">
        <f t="shared" si="12"/>
        <v>32099</v>
      </c>
      <c r="K152" s="27">
        <f t="shared" si="13"/>
        <v>32099</v>
      </c>
      <c r="L152" s="27">
        <f t="shared" si="14"/>
        <v>0</v>
      </c>
      <c r="M152" s="27">
        <f t="shared" si="15"/>
        <v>32099</v>
      </c>
      <c r="N152" s="30">
        <f t="shared" si="16"/>
        <v>1</v>
      </c>
      <c r="O152" s="30">
        <f t="shared" si="17"/>
        <v>0</v>
      </c>
      <c r="P152" s="52" t="s">
        <v>659</v>
      </c>
    </row>
    <row r="153" spans="1:16" ht="16.5" customHeight="1" thickBot="1" x14ac:dyDescent="0.25">
      <c r="A153" s="21" t="s">
        <v>244</v>
      </c>
      <c r="B153" s="19">
        <v>7546000</v>
      </c>
      <c r="C153" s="19">
        <v>9666000</v>
      </c>
      <c r="D153" s="19">
        <v>9191704</v>
      </c>
      <c r="E153" s="19">
        <v>6821297</v>
      </c>
      <c r="F153" s="19">
        <v>6450043</v>
      </c>
      <c r="G153" s="19">
        <v>5594991</v>
      </c>
      <c r="H153" s="19">
        <v>4910559</v>
      </c>
      <c r="I153" s="25" t="s">
        <v>245</v>
      </c>
      <c r="J153" s="27">
        <f t="shared" si="12"/>
        <v>474296</v>
      </c>
      <c r="K153" s="27">
        <f t="shared" si="13"/>
        <v>2844703</v>
      </c>
      <c r="L153" s="27">
        <f t="shared" si="14"/>
        <v>2370407</v>
      </c>
      <c r="M153" s="27">
        <f t="shared" si="15"/>
        <v>4071009</v>
      </c>
      <c r="N153" s="30">
        <f t="shared" si="16"/>
        <v>0.29429991723567145</v>
      </c>
      <c r="O153" s="30">
        <f t="shared" si="17"/>
        <v>0.57883209186840467</v>
      </c>
      <c r="P153" s="52"/>
    </row>
    <row r="154" spans="1:16" ht="16.5" customHeight="1" thickBot="1" x14ac:dyDescent="0.25">
      <c r="A154" s="21" t="s">
        <v>246</v>
      </c>
      <c r="B154" s="19">
        <v>500000</v>
      </c>
      <c r="C154" s="20">
        <v>0</v>
      </c>
      <c r="D154" s="20">
        <v>0</v>
      </c>
      <c r="E154" s="20">
        <v>0</v>
      </c>
      <c r="F154" s="20">
        <v>0</v>
      </c>
      <c r="G154" s="20">
        <v>0</v>
      </c>
      <c r="H154" s="20">
        <v>0</v>
      </c>
      <c r="I154" s="25" t="s">
        <v>25</v>
      </c>
      <c r="J154" s="27">
        <f t="shared" si="12"/>
        <v>0</v>
      </c>
      <c r="K154" s="27">
        <f t="shared" si="13"/>
        <v>0</v>
      </c>
      <c r="L154" s="27">
        <f t="shared" si="14"/>
        <v>0</v>
      </c>
      <c r="M154" s="27">
        <f t="shared" si="15"/>
        <v>0</v>
      </c>
      <c r="N154" s="30" t="str">
        <f t="shared" si="16"/>
        <v xml:space="preserve"> </v>
      </c>
      <c r="O154" s="30" t="str">
        <f t="shared" si="17"/>
        <v>ERROR</v>
      </c>
      <c r="P154" s="52"/>
    </row>
    <row r="155" spans="1:16" ht="16.5" customHeight="1" thickBot="1" x14ac:dyDescent="0.25">
      <c r="A155" s="21" t="s">
        <v>247</v>
      </c>
      <c r="B155" s="19">
        <v>1341357</v>
      </c>
      <c r="C155" s="19">
        <v>6765264</v>
      </c>
      <c r="D155" s="19">
        <v>6659441</v>
      </c>
      <c r="E155" s="19">
        <v>5358470</v>
      </c>
      <c r="F155" s="19">
        <v>5005370</v>
      </c>
      <c r="G155" s="19">
        <v>4177876</v>
      </c>
      <c r="H155" s="19">
        <v>4013996</v>
      </c>
      <c r="I155" s="25" t="s">
        <v>248</v>
      </c>
      <c r="J155" s="27">
        <f t="shared" si="12"/>
        <v>105823</v>
      </c>
      <c r="K155" s="27">
        <f t="shared" si="13"/>
        <v>1406794</v>
      </c>
      <c r="L155" s="27">
        <f t="shared" si="14"/>
        <v>1300971</v>
      </c>
      <c r="M155" s="27">
        <f t="shared" si="15"/>
        <v>2587388</v>
      </c>
      <c r="N155" s="30">
        <f t="shared" si="16"/>
        <v>0.20794369591489703</v>
      </c>
      <c r="O155" s="30">
        <f t="shared" si="17"/>
        <v>0.61754811046545999</v>
      </c>
      <c r="P155" s="52"/>
    </row>
    <row r="156" spans="1:16" ht="16.5" customHeight="1" thickBot="1" x14ac:dyDescent="0.3">
      <c r="A156" s="21" t="s">
        <v>249</v>
      </c>
      <c r="B156" s="19">
        <v>12000000</v>
      </c>
      <c r="C156" s="36">
        <v>2000000</v>
      </c>
      <c r="D156" s="36">
        <v>2000000</v>
      </c>
      <c r="E156" s="37">
        <v>0</v>
      </c>
      <c r="F156" s="37">
        <v>0</v>
      </c>
      <c r="G156" s="37">
        <v>0</v>
      </c>
      <c r="H156" s="20">
        <v>0</v>
      </c>
      <c r="I156" s="25" t="s">
        <v>25</v>
      </c>
      <c r="J156" s="27">
        <f t="shared" si="12"/>
        <v>0</v>
      </c>
      <c r="K156" s="27">
        <f t="shared" si="13"/>
        <v>2000000</v>
      </c>
      <c r="L156" s="27">
        <f t="shared" si="14"/>
        <v>2000000</v>
      </c>
      <c r="M156" s="27">
        <f t="shared" si="15"/>
        <v>2000000</v>
      </c>
      <c r="N156" s="30">
        <f t="shared" si="16"/>
        <v>1</v>
      </c>
      <c r="O156" s="30">
        <f t="shared" si="17"/>
        <v>0</v>
      </c>
      <c r="P156" s="52" t="s">
        <v>659</v>
      </c>
    </row>
    <row r="157" spans="1:16" ht="16.5" customHeight="1" thickBot="1" x14ac:dyDescent="0.25">
      <c r="A157" s="21" t="s">
        <v>250</v>
      </c>
      <c r="B157" s="20">
        <v>0</v>
      </c>
      <c r="C157" s="19">
        <v>412686</v>
      </c>
      <c r="D157" s="19">
        <v>364067</v>
      </c>
      <c r="E157" s="19">
        <v>364067</v>
      </c>
      <c r="F157" s="19">
        <v>317018</v>
      </c>
      <c r="G157" s="19">
        <v>189728</v>
      </c>
      <c r="H157" s="19">
        <v>189728</v>
      </c>
      <c r="I157" s="25" t="s">
        <v>251</v>
      </c>
      <c r="J157" s="27">
        <f t="shared" si="12"/>
        <v>48619</v>
      </c>
      <c r="K157" s="27">
        <f t="shared" si="13"/>
        <v>48619</v>
      </c>
      <c r="L157" s="27">
        <f t="shared" si="14"/>
        <v>0</v>
      </c>
      <c r="M157" s="27">
        <f t="shared" si="15"/>
        <v>222958</v>
      </c>
      <c r="N157" s="30">
        <f t="shared" si="16"/>
        <v>0.11781112031908036</v>
      </c>
      <c r="O157" s="30">
        <f t="shared" si="17"/>
        <v>0.45973936600708531</v>
      </c>
      <c r="P157" s="52"/>
    </row>
    <row r="158" spans="1:16" ht="16.5" customHeight="1" thickBot="1" x14ac:dyDescent="0.25">
      <c r="A158" s="21" t="s">
        <v>252</v>
      </c>
      <c r="B158" s="19">
        <v>1580000</v>
      </c>
      <c r="C158" s="19">
        <v>8979929</v>
      </c>
      <c r="D158" s="19">
        <v>8187728</v>
      </c>
      <c r="E158" s="19">
        <v>8167371</v>
      </c>
      <c r="F158" s="19">
        <v>8167371</v>
      </c>
      <c r="G158" s="19">
        <v>7846414</v>
      </c>
      <c r="H158" s="19">
        <v>7634260</v>
      </c>
      <c r="I158" s="25" t="s">
        <v>253</v>
      </c>
      <c r="J158" s="27">
        <f t="shared" si="12"/>
        <v>792201</v>
      </c>
      <c r="K158" s="27">
        <f t="shared" si="13"/>
        <v>812558</v>
      </c>
      <c r="L158" s="27">
        <f t="shared" si="14"/>
        <v>20357</v>
      </c>
      <c r="M158" s="27">
        <f t="shared" si="15"/>
        <v>1133515</v>
      </c>
      <c r="N158" s="30">
        <f t="shared" si="16"/>
        <v>9.048601609210942E-2</v>
      </c>
      <c r="O158" s="30">
        <f t="shared" si="17"/>
        <v>0.87377238728724915</v>
      </c>
      <c r="P158" s="52"/>
    </row>
    <row r="159" spans="1:16" ht="16.5" customHeight="1" thickBot="1" x14ac:dyDescent="0.25">
      <c r="A159" s="21" t="s">
        <v>254</v>
      </c>
      <c r="B159" s="19">
        <v>1315000</v>
      </c>
      <c r="C159" s="20">
        <v>0</v>
      </c>
      <c r="D159" s="20">
        <v>0</v>
      </c>
      <c r="E159" s="20">
        <v>0</v>
      </c>
      <c r="F159" s="20">
        <v>0</v>
      </c>
      <c r="G159" s="20">
        <v>0</v>
      </c>
      <c r="H159" s="20">
        <v>0</v>
      </c>
      <c r="I159" s="25" t="s">
        <v>25</v>
      </c>
      <c r="J159" s="27">
        <f t="shared" si="12"/>
        <v>0</v>
      </c>
      <c r="K159" s="27">
        <f t="shared" si="13"/>
        <v>0</v>
      </c>
      <c r="L159" s="27">
        <f t="shared" si="14"/>
        <v>0</v>
      </c>
      <c r="M159" s="27">
        <f t="shared" si="15"/>
        <v>0</v>
      </c>
      <c r="N159" s="30" t="str">
        <f t="shared" si="16"/>
        <v xml:space="preserve"> </v>
      </c>
      <c r="O159" s="30" t="str">
        <f t="shared" si="17"/>
        <v>ERROR</v>
      </c>
      <c r="P159" s="52"/>
    </row>
    <row r="160" spans="1:16" ht="16.5" customHeight="1" thickBot="1" x14ac:dyDescent="0.25">
      <c r="A160" s="21" t="s">
        <v>255</v>
      </c>
      <c r="B160" s="19">
        <v>89896</v>
      </c>
      <c r="C160" s="20">
        <v>0</v>
      </c>
      <c r="D160" s="20">
        <v>0</v>
      </c>
      <c r="E160" s="20">
        <v>0</v>
      </c>
      <c r="F160" s="20">
        <v>0</v>
      </c>
      <c r="G160" s="20">
        <v>0</v>
      </c>
      <c r="H160" s="20">
        <v>0</v>
      </c>
      <c r="I160" s="25" t="s">
        <v>25</v>
      </c>
      <c r="J160" s="27">
        <f t="shared" si="12"/>
        <v>0</v>
      </c>
      <c r="K160" s="27">
        <f t="shared" si="13"/>
        <v>0</v>
      </c>
      <c r="L160" s="27">
        <f t="shared" si="14"/>
        <v>0</v>
      </c>
      <c r="M160" s="27">
        <f t="shared" si="15"/>
        <v>0</v>
      </c>
      <c r="N160" s="30" t="str">
        <f t="shared" si="16"/>
        <v xml:space="preserve"> </v>
      </c>
      <c r="O160" s="30" t="str">
        <f t="shared" si="17"/>
        <v>ERROR</v>
      </c>
      <c r="P160" s="52"/>
    </row>
    <row r="161" spans="1:16" ht="16.5" customHeight="1" thickBot="1" x14ac:dyDescent="0.25">
      <c r="A161" s="21" t="s">
        <v>256</v>
      </c>
      <c r="B161" s="19">
        <v>800000</v>
      </c>
      <c r="C161" s="20">
        <v>0</v>
      </c>
      <c r="D161" s="20">
        <v>0</v>
      </c>
      <c r="E161" s="20">
        <v>0</v>
      </c>
      <c r="F161" s="20">
        <v>0</v>
      </c>
      <c r="G161" s="20">
        <v>0</v>
      </c>
      <c r="H161" s="20">
        <v>0</v>
      </c>
      <c r="I161" s="25" t="s">
        <v>25</v>
      </c>
      <c r="J161" s="27">
        <f t="shared" si="12"/>
        <v>0</v>
      </c>
      <c r="K161" s="27">
        <f t="shared" si="13"/>
        <v>0</v>
      </c>
      <c r="L161" s="27">
        <f t="shared" si="14"/>
        <v>0</v>
      </c>
      <c r="M161" s="27">
        <f t="shared" si="15"/>
        <v>0</v>
      </c>
      <c r="N161" s="30" t="str">
        <f t="shared" si="16"/>
        <v xml:space="preserve"> </v>
      </c>
      <c r="O161" s="30" t="str">
        <f t="shared" si="17"/>
        <v>ERROR</v>
      </c>
      <c r="P161" s="52"/>
    </row>
    <row r="162" spans="1:16" ht="16.5" customHeight="1" thickBot="1" x14ac:dyDescent="0.3">
      <c r="A162" s="21" t="s">
        <v>257</v>
      </c>
      <c r="B162" s="19">
        <v>12273214</v>
      </c>
      <c r="C162" s="36">
        <v>654662</v>
      </c>
      <c r="D162" s="36">
        <v>654662</v>
      </c>
      <c r="E162" s="36">
        <v>480065</v>
      </c>
      <c r="F162" s="37">
        <v>0</v>
      </c>
      <c r="G162" s="37">
        <v>0</v>
      </c>
      <c r="H162" s="20">
        <v>0</v>
      </c>
      <c r="I162" s="25" t="s">
        <v>25</v>
      </c>
      <c r="J162" s="27">
        <f t="shared" si="12"/>
        <v>0</v>
      </c>
      <c r="K162" s="27">
        <f t="shared" si="13"/>
        <v>174597</v>
      </c>
      <c r="L162" s="27">
        <f t="shared" si="14"/>
        <v>174597</v>
      </c>
      <c r="M162" s="27">
        <f t="shared" si="15"/>
        <v>654662</v>
      </c>
      <c r="N162" s="30">
        <f t="shared" si="16"/>
        <v>0.26669792961864291</v>
      </c>
      <c r="O162" s="30">
        <f t="shared" si="17"/>
        <v>0</v>
      </c>
      <c r="P162" s="52" t="s">
        <v>659</v>
      </c>
    </row>
    <row r="163" spans="1:16" ht="16.5" customHeight="1" thickBot="1" x14ac:dyDescent="0.25">
      <c r="A163" s="21" t="s">
        <v>258</v>
      </c>
      <c r="B163" s="19">
        <v>327863</v>
      </c>
      <c r="C163" s="19">
        <v>2047936</v>
      </c>
      <c r="D163" s="19">
        <v>377863</v>
      </c>
      <c r="E163" s="19">
        <v>366632</v>
      </c>
      <c r="F163" s="19">
        <v>318048</v>
      </c>
      <c r="G163" s="19">
        <v>318048</v>
      </c>
      <c r="H163" s="19">
        <v>318048</v>
      </c>
      <c r="I163" s="25" t="s">
        <v>259</v>
      </c>
      <c r="J163" s="27">
        <f t="shared" si="12"/>
        <v>1670073</v>
      </c>
      <c r="K163" s="27">
        <f t="shared" si="13"/>
        <v>1681304</v>
      </c>
      <c r="L163" s="27">
        <f t="shared" si="14"/>
        <v>11231</v>
      </c>
      <c r="M163" s="27">
        <f t="shared" si="15"/>
        <v>1729888</v>
      </c>
      <c r="N163" s="30">
        <f t="shared" si="16"/>
        <v>0.82097487421481918</v>
      </c>
      <c r="O163" s="30">
        <f t="shared" si="17"/>
        <v>0.15530172817900559</v>
      </c>
      <c r="P163" s="52"/>
    </row>
    <row r="164" spans="1:16" ht="16.5" customHeight="1" thickBot="1" x14ac:dyDescent="0.25">
      <c r="A164" s="21" t="s">
        <v>260</v>
      </c>
      <c r="B164" s="19">
        <v>500000</v>
      </c>
      <c r="C164" s="19">
        <v>7439155</v>
      </c>
      <c r="D164" s="19">
        <v>6108586</v>
      </c>
      <c r="E164" s="19">
        <v>5908248</v>
      </c>
      <c r="F164" s="19">
        <v>5804157</v>
      </c>
      <c r="G164" s="19">
        <v>5504732</v>
      </c>
      <c r="H164" s="19">
        <v>4935738</v>
      </c>
      <c r="I164" s="25" t="s">
        <v>261</v>
      </c>
      <c r="J164" s="27">
        <f t="shared" si="12"/>
        <v>1330569</v>
      </c>
      <c r="K164" s="27">
        <f t="shared" si="13"/>
        <v>1530907</v>
      </c>
      <c r="L164" s="27">
        <f t="shared" si="14"/>
        <v>200338</v>
      </c>
      <c r="M164" s="27">
        <f t="shared" si="15"/>
        <v>1934423</v>
      </c>
      <c r="N164" s="30">
        <f t="shared" si="16"/>
        <v>0.20579044259731111</v>
      </c>
      <c r="O164" s="30">
        <f t="shared" si="17"/>
        <v>0.73996737532690204</v>
      </c>
      <c r="P164" s="52"/>
    </row>
    <row r="165" spans="1:16" ht="16.5" customHeight="1" thickBot="1" x14ac:dyDescent="0.25">
      <c r="A165" s="21" t="s">
        <v>262</v>
      </c>
      <c r="B165" s="19">
        <v>3820398</v>
      </c>
      <c r="C165" s="19">
        <v>10473026</v>
      </c>
      <c r="D165" s="19">
        <v>10363410</v>
      </c>
      <c r="E165" s="19">
        <v>9431700</v>
      </c>
      <c r="F165" s="19">
        <v>8770818</v>
      </c>
      <c r="G165" s="19">
        <v>8610777</v>
      </c>
      <c r="H165" s="19">
        <v>8385010</v>
      </c>
      <c r="I165" s="25" t="s">
        <v>263</v>
      </c>
      <c r="J165" s="27">
        <f t="shared" si="12"/>
        <v>109616</v>
      </c>
      <c r="K165" s="27">
        <f t="shared" si="13"/>
        <v>1041326</v>
      </c>
      <c r="L165" s="27">
        <f t="shared" si="14"/>
        <v>931710</v>
      </c>
      <c r="M165" s="27">
        <f t="shared" si="15"/>
        <v>1862249</v>
      </c>
      <c r="N165" s="30">
        <f t="shared" si="16"/>
        <v>9.9429333986185087E-2</v>
      </c>
      <c r="O165" s="30">
        <f t="shared" si="17"/>
        <v>0.82218615708583176</v>
      </c>
      <c r="P165" s="52"/>
    </row>
    <row r="166" spans="1:16" ht="16.5" customHeight="1" thickBot="1" x14ac:dyDescent="0.25">
      <c r="A166" s="21" t="s">
        <v>264</v>
      </c>
      <c r="B166" s="19">
        <v>200000</v>
      </c>
      <c r="C166" s="20">
        <v>0</v>
      </c>
      <c r="D166" s="20">
        <v>0</v>
      </c>
      <c r="E166" s="20">
        <v>0</v>
      </c>
      <c r="F166" s="20">
        <v>0</v>
      </c>
      <c r="G166" s="20">
        <v>0</v>
      </c>
      <c r="H166" s="20">
        <v>0</v>
      </c>
      <c r="I166" s="25" t="s">
        <v>25</v>
      </c>
      <c r="J166" s="27">
        <f t="shared" si="12"/>
        <v>0</v>
      </c>
      <c r="K166" s="27">
        <f t="shared" si="13"/>
        <v>0</v>
      </c>
      <c r="L166" s="27">
        <f t="shared" si="14"/>
        <v>0</v>
      </c>
      <c r="M166" s="27">
        <f t="shared" si="15"/>
        <v>0</v>
      </c>
      <c r="N166" s="30" t="str">
        <f t="shared" si="16"/>
        <v xml:space="preserve"> </v>
      </c>
      <c r="O166" s="30" t="str">
        <f t="shared" si="17"/>
        <v>ERROR</v>
      </c>
      <c r="P166" s="52"/>
    </row>
    <row r="167" spans="1:16" ht="16.5" customHeight="1" thickBot="1" x14ac:dyDescent="0.25">
      <c r="A167" s="21" t="s">
        <v>265</v>
      </c>
      <c r="B167" s="19">
        <v>4665000</v>
      </c>
      <c r="C167" s="19">
        <v>8205055</v>
      </c>
      <c r="D167" s="19">
        <v>7598001</v>
      </c>
      <c r="E167" s="19">
        <v>7482878</v>
      </c>
      <c r="F167" s="19">
        <v>6425270</v>
      </c>
      <c r="G167" s="19">
        <v>5967372</v>
      </c>
      <c r="H167" s="19">
        <v>5655111</v>
      </c>
      <c r="I167" s="25" t="s">
        <v>266</v>
      </c>
      <c r="J167" s="27">
        <f t="shared" si="12"/>
        <v>607054</v>
      </c>
      <c r="K167" s="27">
        <f t="shared" si="13"/>
        <v>722177</v>
      </c>
      <c r="L167" s="27">
        <f t="shared" si="14"/>
        <v>115123</v>
      </c>
      <c r="M167" s="27">
        <f t="shared" si="15"/>
        <v>2237683</v>
      </c>
      <c r="N167" s="30">
        <f t="shared" si="16"/>
        <v>8.8016107143705918E-2</v>
      </c>
      <c r="O167" s="30">
        <f t="shared" si="17"/>
        <v>0.72727995120081457</v>
      </c>
      <c r="P167" s="52"/>
    </row>
    <row r="168" spans="1:16" ht="16.5" customHeight="1" thickBot="1" x14ac:dyDescent="0.25">
      <c r="A168" s="21" t="s">
        <v>267</v>
      </c>
      <c r="B168" s="19">
        <v>3000000</v>
      </c>
      <c r="C168" s="19">
        <v>1479604</v>
      </c>
      <c r="D168" s="19">
        <v>1473924</v>
      </c>
      <c r="E168" s="19">
        <v>9462</v>
      </c>
      <c r="F168" s="19">
        <v>7417</v>
      </c>
      <c r="G168" s="19">
        <v>7417</v>
      </c>
      <c r="H168" s="19">
        <v>7417</v>
      </c>
      <c r="I168" s="25" t="s">
        <v>89</v>
      </c>
      <c r="J168" s="27">
        <f t="shared" si="12"/>
        <v>5680</v>
      </c>
      <c r="K168" s="27">
        <f t="shared" si="13"/>
        <v>1470142</v>
      </c>
      <c r="L168" s="27">
        <f t="shared" si="14"/>
        <v>1464462</v>
      </c>
      <c r="M168" s="27">
        <f t="shared" si="15"/>
        <v>1472187</v>
      </c>
      <c r="N168" s="30">
        <f t="shared" si="16"/>
        <v>0.99360504567438312</v>
      </c>
      <c r="O168" s="30">
        <f t="shared" si="17"/>
        <v>5.0128277566159592E-3</v>
      </c>
      <c r="P168" s="52"/>
    </row>
    <row r="169" spans="1:16" ht="16.5" customHeight="1" thickBot="1" x14ac:dyDescent="0.25">
      <c r="A169" s="21" t="s">
        <v>268</v>
      </c>
      <c r="B169" s="19">
        <v>21175</v>
      </c>
      <c r="C169" s="19">
        <v>2390440</v>
      </c>
      <c r="D169" s="19">
        <v>2386020</v>
      </c>
      <c r="E169" s="19">
        <v>2386020</v>
      </c>
      <c r="F169" s="19">
        <v>2374756</v>
      </c>
      <c r="G169" s="19">
        <v>824976</v>
      </c>
      <c r="H169" s="19">
        <v>821797</v>
      </c>
      <c r="I169" s="25" t="s">
        <v>126</v>
      </c>
      <c r="J169" s="27">
        <f t="shared" si="12"/>
        <v>4420</v>
      </c>
      <c r="K169" s="27">
        <f t="shared" si="13"/>
        <v>4420</v>
      </c>
      <c r="L169" s="27">
        <f t="shared" si="14"/>
        <v>0</v>
      </c>
      <c r="M169" s="27">
        <f t="shared" si="15"/>
        <v>1565464</v>
      </c>
      <c r="N169" s="30">
        <f t="shared" si="16"/>
        <v>1.84903197737655E-3</v>
      </c>
      <c r="O169" s="30">
        <f t="shared" si="17"/>
        <v>0.34511470691588159</v>
      </c>
      <c r="P169" s="52"/>
    </row>
    <row r="170" spans="1:16" ht="16.5" customHeight="1" thickBot="1" x14ac:dyDescent="0.25">
      <c r="A170" s="21" t="s">
        <v>269</v>
      </c>
      <c r="B170" s="19">
        <v>40062</v>
      </c>
      <c r="C170" s="19">
        <v>20600</v>
      </c>
      <c r="D170" s="19">
        <v>20600</v>
      </c>
      <c r="E170" s="19">
        <v>20600</v>
      </c>
      <c r="F170" s="19">
        <v>17784</v>
      </c>
      <c r="G170" s="19">
        <v>17784</v>
      </c>
      <c r="H170" s="19">
        <v>17784</v>
      </c>
      <c r="I170" s="25" t="s">
        <v>270</v>
      </c>
      <c r="J170" s="27">
        <f t="shared" si="12"/>
        <v>0</v>
      </c>
      <c r="K170" s="27">
        <f t="shared" si="13"/>
        <v>0</v>
      </c>
      <c r="L170" s="27">
        <f t="shared" si="14"/>
        <v>0</v>
      </c>
      <c r="M170" s="27">
        <f t="shared" si="15"/>
        <v>2816</v>
      </c>
      <c r="N170" s="30">
        <f t="shared" si="16"/>
        <v>0</v>
      </c>
      <c r="O170" s="30">
        <f t="shared" si="17"/>
        <v>0.86330097087378643</v>
      </c>
      <c r="P170" s="52"/>
    </row>
    <row r="171" spans="1:16" ht="16.5" customHeight="1" thickBot="1" x14ac:dyDescent="0.25">
      <c r="A171" s="21" t="s">
        <v>271</v>
      </c>
      <c r="B171" s="19">
        <v>6239845</v>
      </c>
      <c r="C171" s="19">
        <v>5089845</v>
      </c>
      <c r="D171" s="19">
        <v>5089845</v>
      </c>
      <c r="E171" s="19">
        <v>5064673</v>
      </c>
      <c r="F171" s="19">
        <v>1952935</v>
      </c>
      <c r="G171" s="19">
        <v>1952935</v>
      </c>
      <c r="H171" s="19">
        <v>1952935</v>
      </c>
      <c r="I171" s="25" t="s">
        <v>272</v>
      </c>
      <c r="J171" s="27">
        <f t="shared" si="12"/>
        <v>0</v>
      </c>
      <c r="K171" s="27">
        <f t="shared" si="13"/>
        <v>25172</v>
      </c>
      <c r="L171" s="27">
        <f t="shared" si="14"/>
        <v>25172</v>
      </c>
      <c r="M171" s="27">
        <f t="shared" si="15"/>
        <v>3136910</v>
      </c>
      <c r="N171" s="30">
        <f t="shared" si="16"/>
        <v>4.9455337048574174E-3</v>
      </c>
      <c r="O171" s="30">
        <f t="shared" si="17"/>
        <v>0.38369243071252662</v>
      </c>
      <c r="P171" s="52"/>
    </row>
    <row r="172" spans="1:16" ht="16.5" customHeight="1" thickBot="1" x14ac:dyDescent="0.3">
      <c r="A172" s="21" t="s">
        <v>273</v>
      </c>
      <c r="B172" s="19">
        <v>3832600</v>
      </c>
      <c r="C172" s="36">
        <v>4863</v>
      </c>
      <c r="D172" s="36">
        <v>4863</v>
      </c>
      <c r="E172" s="37">
        <v>0</v>
      </c>
      <c r="F172" s="37">
        <v>0</v>
      </c>
      <c r="G172" s="37">
        <v>0</v>
      </c>
      <c r="H172" s="20">
        <v>0</v>
      </c>
      <c r="I172" s="25" t="s">
        <v>25</v>
      </c>
      <c r="J172" s="27">
        <f t="shared" si="12"/>
        <v>0</v>
      </c>
      <c r="K172" s="27">
        <f t="shared" si="13"/>
        <v>4863</v>
      </c>
      <c r="L172" s="27">
        <f t="shared" si="14"/>
        <v>4863</v>
      </c>
      <c r="M172" s="27">
        <f t="shared" si="15"/>
        <v>4863</v>
      </c>
      <c r="N172" s="30">
        <f t="shared" si="16"/>
        <v>1</v>
      </c>
      <c r="O172" s="30">
        <f t="shared" si="17"/>
        <v>0</v>
      </c>
      <c r="P172" s="52" t="s">
        <v>659</v>
      </c>
    </row>
    <row r="173" spans="1:16" ht="16.5" customHeight="1" thickBot="1" x14ac:dyDescent="0.25">
      <c r="A173" s="21" t="s">
        <v>274</v>
      </c>
      <c r="B173" s="19">
        <v>2769903</v>
      </c>
      <c r="C173" s="19">
        <v>5931027</v>
      </c>
      <c r="D173" s="19">
        <v>5660459</v>
      </c>
      <c r="E173" s="19">
        <v>5660459</v>
      </c>
      <c r="F173" s="19">
        <v>1327664</v>
      </c>
      <c r="G173" s="19">
        <v>1327664</v>
      </c>
      <c r="H173" s="19">
        <v>1327664</v>
      </c>
      <c r="I173" s="25" t="s">
        <v>275</v>
      </c>
      <c r="J173" s="27">
        <f t="shared" si="12"/>
        <v>270568</v>
      </c>
      <c r="K173" s="27">
        <f t="shared" si="13"/>
        <v>270568</v>
      </c>
      <c r="L173" s="27">
        <f t="shared" si="14"/>
        <v>0</v>
      </c>
      <c r="M173" s="27">
        <f t="shared" si="15"/>
        <v>4603363</v>
      </c>
      <c r="N173" s="30">
        <f t="shared" si="16"/>
        <v>4.5619080810119395E-2</v>
      </c>
      <c r="O173" s="30">
        <f t="shared" si="17"/>
        <v>0.2238506079975694</v>
      </c>
      <c r="P173" s="52"/>
    </row>
    <row r="174" spans="1:16" ht="16.5" customHeight="1" thickBot="1" x14ac:dyDescent="0.25">
      <c r="A174" s="21" t="s">
        <v>276</v>
      </c>
      <c r="B174" s="19">
        <v>4190000</v>
      </c>
      <c r="C174" s="19">
        <v>82568</v>
      </c>
      <c r="D174" s="19">
        <v>82568</v>
      </c>
      <c r="E174" s="19">
        <v>62568</v>
      </c>
      <c r="F174" s="19">
        <v>57744</v>
      </c>
      <c r="G174" s="19">
        <v>57744</v>
      </c>
      <c r="H174" s="19">
        <v>57744</v>
      </c>
      <c r="I174" s="25" t="s">
        <v>277</v>
      </c>
      <c r="J174" s="27">
        <f t="shared" si="12"/>
        <v>0</v>
      </c>
      <c r="K174" s="27">
        <f t="shared" si="13"/>
        <v>20000</v>
      </c>
      <c r="L174" s="27">
        <f t="shared" si="14"/>
        <v>20000</v>
      </c>
      <c r="M174" s="27">
        <f t="shared" si="15"/>
        <v>24824</v>
      </c>
      <c r="N174" s="30">
        <f t="shared" si="16"/>
        <v>0.24222459064044183</v>
      </c>
      <c r="O174" s="30">
        <f t="shared" si="17"/>
        <v>0.69935083809708365</v>
      </c>
      <c r="P174" s="52"/>
    </row>
    <row r="175" spans="1:16" ht="16.5" customHeight="1" thickBot="1" x14ac:dyDescent="0.25">
      <c r="A175" s="21" t="s">
        <v>278</v>
      </c>
      <c r="B175" s="19">
        <v>2595053</v>
      </c>
      <c r="C175" s="19">
        <v>9222405</v>
      </c>
      <c r="D175" s="19">
        <v>9003233</v>
      </c>
      <c r="E175" s="19">
        <v>6841617</v>
      </c>
      <c r="F175" s="19">
        <v>6645943</v>
      </c>
      <c r="G175" s="19">
        <v>5421357</v>
      </c>
      <c r="H175" s="19">
        <v>5084271</v>
      </c>
      <c r="I175" s="25" t="s">
        <v>279</v>
      </c>
      <c r="J175" s="27">
        <f t="shared" si="12"/>
        <v>219172</v>
      </c>
      <c r="K175" s="27">
        <f t="shared" si="13"/>
        <v>2380788</v>
      </c>
      <c r="L175" s="27">
        <f t="shared" si="14"/>
        <v>2161616</v>
      </c>
      <c r="M175" s="27">
        <f t="shared" si="15"/>
        <v>3801048</v>
      </c>
      <c r="N175" s="30">
        <f t="shared" si="16"/>
        <v>0.25815261854147592</v>
      </c>
      <c r="O175" s="30">
        <f t="shared" si="17"/>
        <v>0.5878463372623518</v>
      </c>
      <c r="P175" s="52"/>
    </row>
    <row r="176" spans="1:16" ht="16.5" customHeight="1" thickBot="1" x14ac:dyDescent="0.3">
      <c r="A176" s="21" t="s">
        <v>280</v>
      </c>
      <c r="B176" s="20">
        <v>0</v>
      </c>
      <c r="C176" s="28">
        <v>18371</v>
      </c>
      <c r="D176" s="29">
        <v>0</v>
      </c>
      <c r="E176" s="29">
        <v>0</v>
      </c>
      <c r="F176" s="29">
        <v>0</v>
      </c>
      <c r="G176" s="29">
        <v>0</v>
      </c>
      <c r="H176" s="20">
        <v>0</v>
      </c>
      <c r="I176" s="25" t="s">
        <v>25</v>
      </c>
      <c r="J176" s="27">
        <f t="shared" si="12"/>
        <v>18371</v>
      </c>
      <c r="K176" s="27">
        <f t="shared" si="13"/>
        <v>18371</v>
      </c>
      <c r="L176" s="27">
        <f t="shared" si="14"/>
        <v>0</v>
      </c>
      <c r="M176" s="27">
        <f t="shared" si="15"/>
        <v>18371</v>
      </c>
      <c r="N176" s="30">
        <f t="shared" si="16"/>
        <v>1</v>
      </c>
      <c r="O176" s="30">
        <f t="shared" si="17"/>
        <v>0</v>
      </c>
      <c r="P176" s="52" t="s">
        <v>660</v>
      </c>
    </row>
    <row r="177" spans="1:16" ht="16.5" customHeight="1" thickBot="1" x14ac:dyDescent="0.25">
      <c r="A177" s="21" t="s">
        <v>281</v>
      </c>
      <c r="B177" s="19">
        <v>100000</v>
      </c>
      <c r="C177" s="19">
        <v>100000</v>
      </c>
      <c r="D177" s="19">
        <v>100000</v>
      </c>
      <c r="E177" s="19">
        <v>100000</v>
      </c>
      <c r="F177" s="19">
        <v>85263</v>
      </c>
      <c r="G177" s="19">
        <v>85263</v>
      </c>
      <c r="H177" s="19">
        <v>85263</v>
      </c>
      <c r="I177" s="25" t="s">
        <v>282</v>
      </c>
      <c r="J177" s="27">
        <f t="shared" si="12"/>
        <v>0</v>
      </c>
      <c r="K177" s="27">
        <f t="shared" si="13"/>
        <v>0</v>
      </c>
      <c r="L177" s="27">
        <f t="shared" si="14"/>
        <v>0</v>
      </c>
      <c r="M177" s="27">
        <f t="shared" si="15"/>
        <v>14737</v>
      </c>
      <c r="N177" s="30">
        <f t="shared" si="16"/>
        <v>0</v>
      </c>
      <c r="O177" s="30">
        <f t="shared" si="17"/>
        <v>0.85263</v>
      </c>
      <c r="P177" s="52"/>
    </row>
    <row r="178" spans="1:16" ht="16.5" customHeight="1" thickBot="1" x14ac:dyDescent="0.25">
      <c r="A178" s="21" t="s">
        <v>283</v>
      </c>
      <c r="B178" s="19">
        <v>100000</v>
      </c>
      <c r="C178" s="20">
        <v>0</v>
      </c>
      <c r="D178" s="20">
        <v>0</v>
      </c>
      <c r="E178" s="20">
        <v>0</v>
      </c>
      <c r="F178" s="20">
        <v>0</v>
      </c>
      <c r="G178" s="20">
        <v>0</v>
      </c>
      <c r="H178" s="20">
        <v>0</v>
      </c>
      <c r="I178" s="25" t="s">
        <v>25</v>
      </c>
      <c r="J178" s="27">
        <f t="shared" si="12"/>
        <v>0</v>
      </c>
      <c r="K178" s="27">
        <f t="shared" si="13"/>
        <v>0</v>
      </c>
      <c r="L178" s="27">
        <f t="shared" si="14"/>
        <v>0</v>
      </c>
      <c r="M178" s="27">
        <f t="shared" si="15"/>
        <v>0</v>
      </c>
      <c r="N178" s="30" t="str">
        <f t="shared" si="16"/>
        <v xml:space="preserve"> </v>
      </c>
      <c r="O178" s="30" t="str">
        <f t="shared" si="17"/>
        <v>ERROR</v>
      </c>
      <c r="P178" s="52"/>
    </row>
    <row r="179" spans="1:16" ht="16.5" customHeight="1" thickBot="1" x14ac:dyDescent="0.25">
      <c r="A179" s="21" t="s">
        <v>284</v>
      </c>
      <c r="B179" s="19">
        <v>100000</v>
      </c>
      <c r="C179" s="19">
        <v>100000</v>
      </c>
      <c r="D179" s="19">
        <v>20000</v>
      </c>
      <c r="E179" s="19">
        <v>20000</v>
      </c>
      <c r="F179" s="19">
        <v>13772</v>
      </c>
      <c r="G179" s="19">
        <v>13772</v>
      </c>
      <c r="H179" s="19">
        <v>13772</v>
      </c>
      <c r="I179" s="25" t="s">
        <v>285</v>
      </c>
      <c r="J179" s="27">
        <f t="shared" si="12"/>
        <v>80000</v>
      </c>
      <c r="K179" s="27">
        <f t="shared" si="13"/>
        <v>80000</v>
      </c>
      <c r="L179" s="27">
        <f t="shared" si="14"/>
        <v>0</v>
      </c>
      <c r="M179" s="27">
        <f t="shared" si="15"/>
        <v>86228</v>
      </c>
      <c r="N179" s="30">
        <f t="shared" si="16"/>
        <v>0.8</v>
      </c>
      <c r="O179" s="30">
        <f t="shared" si="17"/>
        <v>0.13772000000000001</v>
      </c>
      <c r="P179" s="52"/>
    </row>
    <row r="180" spans="1:16" ht="16.5" customHeight="1" thickBot="1" x14ac:dyDescent="0.25">
      <c r="A180" s="21" t="s">
        <v>286</v>
      </c>
      <c r="B180" s="19">
        <v>800000</v>
      </c>
      <c r="C180" s="19">
        <v>6830102</v>
      </c>
      <c r="D180" s="19">
        <v>6746925</v>
      </c>
      <c r="E180" s="19">
        <v>5645929</v>
      </c>
      <c r="F180" s="19">
        <v>4883745</v>
      </c>
      <c r="G180" s="19">
        <v>3396930</v>
      </c>
      <c r="H180" s="19">
        <v>2918958</v>
      </c>
      <c r="I180" s="25" t="s">
        <v>287</v>
      </c>
      <c r="J180" s="27">
        <f t="shared" si="12"/>
        <v>83177</v>
      </c>
      <c r="K180" s="27">
        <f t="shared" si="13"/>
        <v>1184173</v>
      </c>
      <c r="L180" s="27">
        <f t="shared" si="14"/>
        <v>1100996</v>
      </c>
      <c r="M180" s="27">
        <f t="shared" si="15"/>
        <v>3433172</v>
      </c>
      <c r="N180" s="30">
        <f t="shared" si="16"/>
        <v>0.17337559526929466</v>
      </c>
      <c r="O180" s="30">
        <f t="shared" si="17"/>
        <v>0.49734689174480851</v>
      </c>
      <c r="P180" s="52"/>
    </row>
    <row r="181" spans="1:16" ht="16.5" customHeight="1" thickBot="1" x14ac:dyDescent="0.3">
      <c r="A181" s="21" t="s">
        <v>288</v>
      </c>
      <c r="B181" s="19">
        <v>850000</v>
      </c>
      <c r="C181" s="36">
        <v>391951</v>
      </c>
      <c r="D181" s="36">
        <v>130000</v>
      </c>
      <c r="E181" s="37">
        <v>0</v>
      </c>
      <c r="F181" s="37">
        <v>0</v>
      </c>
      <c r="G181" s="37">
        <v>0</v>
      </c>
      <c r="H181" s="20">
        <v>0</v>
      </c>
      <c r="I181" s="25" t="s">
        <v>25</v>
      </c>
      <c r="J181" s="27">
        <f t="shared" si="12"/>
        <v>261951</v>
      </c>
      <c r="K181" s="27">
        <f t="shared" si="13"/>
        <v>391951</v>
      </c>
      <c r="L181" s="27">
        <f t="shared" si="14"/>
        <v>130000</v>
      </c>
      <c r="M181" s="27">
        <f t="shared" si="15"/>
        <v>391951</v>
      </c>
      <c r="N181" s="30">
        <f t="shared" si="16"/>
        <v>1</v>
      </c>
      <c r="O181" s="30">
        <f t="shared" si="17"/>
        <v>0</v>
      </c>
      <c r="P181" s="52" t="s">
        <v>659</v>
      </c>
    </row>
    <row r="182" spans="1:16" ht="16.5" customHeight="1" thickBot="1" x14ac:dyDescent="0.25">
      <c r="A182" s="21" t="s">
        <v>289</v>
      </c>
      <c r="B182" s="19">
        <v>6000000</v>
      </c>
      <c r="C182" s="19">
        <v>15380884</v>
      </c>
      <c r="D182" s="19">
        <v>14270657</v>
      </c>
      <c r="E182" s="19">
        <v>11262957</v>
      </c>
      <c r="F182" s="19">
        <v>10694417</v>
      </c>
      <c r="G182" s="19">
        <v>9463521</v>
      </c>
      <c r="H182" s="19">
        <v>8712169</v>
      </c>
      <c r="I182" s="25" t="s">
        <v>290</v>
      </c>
      <c r="J182" s="27">
        <f t="shared" si="12"/>
        <v>1110227</v>
      </c>
      <c r="K182" s="27">
        <f t="shared" si="13"/>
        <v>4117927</v>
      </c>
      <c r="L182" s="27">
        <f t="shared" si="14"/>
        <v>3007700</v>
      </c>
      <c r="M182" s="27">
        <f t="shared" si="15"/>
        <v>5917363</v>
      </c>
      <c r="N182" s="30">
        <f t="shared" si="16"/>
        <v>0.26773019028035061</v>
      </c>
      <c r="O182" s="30">
        <f t="shared" si="17"/>
        <v>0.61527809454905191</v>
      </c>
      <c r="P182" s="52"/>
    </row>
    <row r="183" spans="1:16" ht="16.5" customHeight="1" thickBot="1" x14ac:dyDescent="0.25">
      <c r="A183" s="21" t="s">
        <v>291</v>
      </c>
      <c r="B183" s="19">
        <v>3860273</v>
      </c>
      <c r="C183" s="19">
        <v>58259</v>
      </c>
      <c r="D183" s="19">
        <v>58259</v>
      </c>
      <c r="E183" s="19">
        <v>58259</v>
      </c>
      <c r="F183" s="19">
        <v>50730</v>
      </c>
      <c r="G183" s="19">
        <v>50730</v>
      </c>
      <c r="H183" s="19">
        <v>50730</v>
      </c>
      <c r="I183" s="25" t="s">
        <v>292</v>
      </c>
      <c r="J183" s="27">
        <f t="shared" si="12"/>
        <v>0</v>
      </c>
      <c r="K183" s="27">
        <f t="shared" si="13"/>
        <v>0</v>
      </c>
      <c r="L183" s="27">
        <f t="shared" si="14"/>
        <v>0</v>
      </c>
      <c r="M183" s="27">
        <f t="shared" si="15"/>
        <v>7529</v>
      </c>
      <c r="N183" s="30">
        <f t="shared" si="16"/>
        <v>0</v>
      </c>
      <c r="O183" s="30">
        <f t="shared" si="17"/>
        <v>0.87076674848521263</v>
      </c>
      <c r="P183" s="52"/>
    </row>
    <row r="184" spans="1:16" ht="16.5" customHeight="1" thickBot="1" x14ac:dyDescent="0.25">
      <c r="A184" s="21" t="s">
        <v>293</v>
      </c>
      <c r="B184" s="19">
        <v>2957419</v>
      </c>
      <c r="C184" s="19">
        <v>5799805</v>
      </c>
      <c r="D184" s="19">
        <v>5459070</v>
      </c>
      <c r="E184" s="19">
        <v>5004147</v>
      </c>
      <c r="F184" s="19">
        <v>4902742</v>
      </c>
      <c r="G184" s="19">
        <v>3888316</v>
      </c>
      <c r="H184" s="19">
        <v>3726041</v>
      </c>
      <c r="I184" s="25" t="s">
        <v>294</v>
      </c>
      <c r="J184" s="27">
        <f t="shared" si="12"/>
        <v>340735</v>
      </c>
      <c r="K184" s="27">
        <f t="shared" si="13"/>
        <v>795658</v>
      </c>
      <c r="L184" s="27">
        <f t="shared" si="14"/>
        <v>454923</v>
      </c>
      <c r="M184" s="27">
        <f t="shared" si="15"/>
        <v>1911489</v>
      </c>
      <c r="N184" s="30">
        <f t="shared" si="16"/>
        <v>0.13718702611553318</v>
      </c>
      <c r="O184" s="30">
        <f t="shared" si="17"/>
        <v>0.67042185038979762</v>
      </c>
      <c r="P184" s="52"/>
    </row>
    <row r="185" spans="1:16" ht="16.5" customHeight="1" thickBot="1" x14ac:dyDescent="0.25">
      <c r="A185" s="21" t="s">
        <v>295</v>
      </c>
      <c r="B185" s="19">
        <v>800000</v>
      </c>
      <c r="C185" s="20">
        <v>0</v>
      </c>
      <c r="D185" s="20">
        <v>0</v>
      </c>
      <c r="E185" s="20">
        <v>0</v>
      </c>
      <c r="F185" s="20">
        <v>0</v>
      </c>
      <c r="G185" s="20">
        <v>0</v>
      </c>
      <c r="H185" s="20">
        <v>0</v>
      </c>
      <c r="I185" s="25" t="s">
        <v>25</v>
      </c>
      <c r="J185" s="27">
        <f t="shared" si="12"/>
        <v>0</v>
      </c>
      <c r="K185" s="27">
        <f t="shared" si="13"/>
        <v>0</v>
      </c>
      <c r="L185" s="27">
        <f t="shared" si="14"/>
        <v>0</v>
      </c>
      <c r="M185" s="27">
        <f t="shared" si="15"/>
        <v>0</v>
      </c>
      <c r="N185" s="30" t="str">
        <f t="shared" si="16"/>
        <v xml:space="preserve"> </v>
      </c>
      <c r="O185" s="30" t="str">
        <f t="shared" si="17"/>
        <v>ERROR</v>
      </c>
      <c r="P185" s="52"/>
    </row>
    <row r="186" spans="1:16" ht="16.5" customHeight="1" thickBot="1" x14ac:dyDescent="0.25">
      <c r="A186" s="21" t="s">
        <v>296</v>
      </c>
      <c r="B186" s="19">
        <v>5194033</v>
      </c>
      <c r="C186" s="19">
        <v>5194033</v>
      </c>
      <c r="D186" s="19">
        <v>5106125</v>
      </c>
      <c r="E186" s="19">
        <v>4283979</v>
      </c>
      <c r="F186" s="19">
        <v>1943692</v>
      </c>
      <c r="G186" s="19">
        <v>1941765</v>
      </c>
      <c r="H186" s="19">
        <v>1031865</v>
      </c>
      <c r="I186" s="25" t="s">
        <v>297</v>
      </c>
      <c r="J186" s="27">
        <f t="shared" si="12"/>
        <v>87908</v>
      </c>
      <c r="K186" s="27">
        <f t="shared" si="13"/>
        <v>910054</v>
      </c>
      <c r="L186" s="27">
        <f t="shared" si="14"/>
        <v>822146</v>
      </c>
      <c r="M186" s="27">
        <f t="shared" si="15"/>
        <v>3252268</v>
      </c>
      <c r="N186" s="30">
        <f t="shared" si="16"/>
        <v>0.17521143974248912</v>
      </c>
      <c r="O186" s="30">
        <f t="shared" si="17"/>
        <v>0.37384533367423733</v>
      </c>
      <c r="P186" s="52"/>
    </row>
    <row r="187" spans="1:16" ht="16.5" customHeight="1" thickBot="1" x14ac:dyDescent="0.25">
      <c r="A187" s="21" t="s">
        <v>298</v>
      </c>
      <c r="B187" s="19">
        <v>2466235</v>
      </c>
      <c r="C187" s="19">
        <v>6770858</v>
      </c>
      <c r="D187" s="19">
        <v>6051014</v>
      </c>
      <c r="E187" s="19">
        <v>5148470</v>
      </c>
      <c r="F187" s="19">
        <v>4930877</v>
      </c>
      <c r="G187" s="19">
        <v>3961149</v>
      </c>
      <c r="H187" s="19">
        <v>3362022</v>
      </c>
      <c r="I187" s="25" t="s">
        <v>299</v>
      </c>
      <c r="J187" s="27">
        <f t="shared" si="12"/>
        <v>719844</v>
      </c>
      <c r="K187" s="27">
        <f t="shared" si="13"/>
        <v>1622388</v>
      </c>
      <c r="L187" s="27">
        <f t="shared" si="14"/>
        <v>902544</v>
      </c>
      <c r="M187" s="27">
        <f t="shared" si="15"/>
        <v>2809709</v>
      </c>
      <c r="N187" s="30">
        <f t="shared" si="16"/>
        <v>0.23961335476242449</v>
      </c>
      <c r="O187" s="30">
        <f t="shared" si="17"/>
        <v>0.58502910561704291</v>
      </c>
      <c r="P187" s="52"/>
    </row>
    <row r="188" spans="1:16" ht="16.5" customHeight="1" thickBot="1" x14ac:dyDescent="0.25">
      <c r="A188" s="21" t="s">
        <v>300</v>
      </c>
      <c r="B188" s="19">
        <v>6185000</v>
      </c>
      <c r="C188" s="19">
        <v>7609099</v>
      </c>
      <c r="D188" s="19">
        <v>7595391</v>
      </c>
      <c r="E188" s="19">
        <v>7595391</v>
      </c>
      <c r="F188" s="19">
        <v>7570246</v>
      </c>
      <c r="G188" s="19">
        <v>7570246</v>
      </c>
      <c r="H188" s="19">
        <v>7563117</v>
      </c>
      <c r="I188" s="25" t="s">
        <v>301</v>
      </c>
      <c r="J188" s="27">
        <f t="shared" si="12"/>
        <v>13708</v>
      </c>
      <c r="K188" s="27">
        <f t="shared" si="13"/>
        <v>13708</v>
      </c>
      <c r="L188" s="27">
        <f t="shared" si="14"/>
        <v>0</v>
      </c>
      <c r="M188" s="27">
        <f t="shared" si="15"/>
        <v>38853</v>
      </c>
      <c r="N188" s="30">
        <f t="shared" si="16"/>
        <v>1.801527355604126E-3</v>
      </c>
      <c r="O188" s="30">
        <f t="shared" si="17"/>
        <v>0.9948938763971924</v>
      </c>
      <c r="P188" s="52"/>
    </row>
    <row r="189" spans="1:16" ht="16.5" customHeight="1" thickBot="1" x14ac:dyDescent="0.3">
      <c r="A189" s="21" t="s">
        <v>302</v>
      </c>
      <c r="B189" s="19">
        <v>100000</v>
      </c>
      <c r="C189" s="36">
        <v>290270</v>
      </c>
      <c r="D189" s="36">
        <v>100000</v>
      </c>
      <c r="E189" s="37">
        <v>0</v>
      </c>
      <c r="F189" s="37">
        <v>0</v>
      </c>
      <c r="G189" s="37">
        <v>0</v>
      </c>
      <c r="H189" s="20">
        <v>0</v>
      </c>
      <c r="I189" s="25" t="s">
        <v>25</v>
      </c>
      <c r="J189" s="27">
        <f t="shared" si="12"/>
        <v>190270</v>
      </c>
      <c r="K189" s="27">
        <f t="shared" si="13"/>
        <v>290270</v>
      </c>
      <c r="L189" s="27">
        <f t="shared" si="14"/>
        <v>100000</v>
      </c>
      <c r="M189" s="27">
        <f t="shared" si="15"/>
        <v>290270</v>
      </c>
      <c r="N189" s="30">
        <f t="shared" si="16"/>
        <v>1</v>
      </c>
      <c r="O189" s="30">
        <f t="shared" si="17"/>
        <v>0</v>
      </c>
      <c r="P189" s="52" t="s">
        <v>659</v>
      </c>
    </row>
    <row r="190" spans="1:16" ht="16.5" customHeight="1" thickBot="1" x14ac:dyDescent="0.25">
      <c r="A190" s="21" t="s">
        <v>303</v>
      </c>
      <c r="B190" s="19">
        <v>200000</v>
      </c>
      <c r="C190" s="19">
        <v>154665</v>
      </c>
      <c r="D190" s="19">
        <v>154665</v>
      </c>
      <c r="E190" s="19">
        <v>154665</v>
      </c>
      <c r="F190" s="19">
        <v>154067</v>
      </c>
      <c r="G190" s="19">
        <v>154067</v>
      </c>
      <c r="H190" s="19">
        <v>154067</v>
      </c>
      <c r="I190" s="25" t="s">
        <v>304</v>
      </c>
      <c r="J190" s="27">
        <f t="shared" si="12"/>
        <v>0</v>
      </c>
      <c r="K190" s="27">
        <f t="shared" si="13"/>
        <v>0</v>
      </c>
      <c r="L190" s="27">
        <f t="shared" si="14"/>
        <v>0</v>
      </c>
      <c r="M190" s="27">
        <f t="shared" si="15"/>
        <v>598</v>
      </c>
      <c r="N190" s="30">
        <f t="shared" si="16"/>
        <v>0</v>
      </c>
      <c r="O190" s="30">
        <f t="shared" si="17"/>
        <v>0.99613357902563604</v>
      </c>
      <c r="P190" s="52"/>
    </row>
    <row r="191" spans="1:16" ht="16.5" customHeight="1" thickBot="1" x14ac:dyDescent="0.3">
      <c r="A191" s="21" t="s">
        <v>305</v>
      </c>
      <c r="B191" s="19">
        <v>4083424</v>
      </c>
      <c r="C191" s="36">
        <v>1750696</v>
      </c>
      <c r="D191" s="36">
        <v>1750696</v>
      </c>
      <c r="E191" s="37">
        <v>0</v>
      </c>
      <c r="F191" s="37">
        <v>0</v>
      </c>
      <c r="G191" s="37">
        <v>0</v>
      </c>
      <c r="H191" s="20">
        <v>0</v>
      </c>
      <c r="I191" s="25" t="s">
        <v>25</v>
      </c>
      <c r="J191" s="27">
        <f t="shared" si="12"/>
        <v>0</v>
      </c>
      <c r="K191" s="27">
        <f t="shared" si="13"/>
        <v>1750696</v>
      </c>
      <c r="L191" s="27">
        <f t="shared" si="14"/>
        <v>1750696</v>
      </c>
      <c r="M191" s="27">
        <f t="shared" si="15"/>
        <v>1750696</v>
      </c>
      <c r="N191" s="30">
        <f t="shared" si="16"/>
        <v>1</v>
      </c>
      <c r="O191" s="30">
        <f t="shared" si="17"/>
        <v>0</v>
      </c>
      <c r="P191" s="52" t="s">
        <v>659</v>
      </c>
    </row>
    <row r="192" spans="1:16" ht="16.5" customHeight="1" thickBot="1" x14ac:dyDescent="0.25">
      <c r="A192" s="21" t="s">
        <v>306</v>
      </c>
      <c r="B192" s="19">
        <v>2000000</v>
      </c>
      <c r="C192" s="19">
        <v>3517960</v>
      </c>
      <c r="D192" s="19">
        <v>3461030</v>
      </c>
      <c r="E192" s="19">
        <v>2232677</v>
      </c>
      <c r="F192" s="19">
        <v>2205624</v>
      </c>
      <c r="G192" s="19">
        <v>2179649</v>
      </c>
      <c r="H192" s="19">
        <v>2163322</v>
      </c>
      <c r="I192" s="25" t="s">
        <v>307</v>
      </c>
      <c r="J192" s="27">
        <f t="shared" si="12"/>
        <v>56930</v>
      </c>
      <c r="K192" s="27">
        <f t="shared" si="13"/>
        <v>1285283</v>
      </c>
      <c r="L192" s="27">
        <f t="shared" si="14"/>
        <v>1228353</v>
      </c>
      <c r="M192" s="27">
        <f t="shared" si="15"/>
        <v>1338311</v>
      </c>
      <c r="N192" s="30">
        <f t="shared" si="16"/>
        <v>0.36534895223368086</v>
      </c>
      <c r="O192" s="30">
        <f t="shared" si="17"/>
        <v>0.61957753925570502</v>
      </c>
      <c r="P192" s="52"/>
    </row>
    <row r="193" spans="1:16" ht="16.5" customHeight="1" thickBot="1" x14ac:dyDescent="0.25">
      <c r="A193" s="21" t="s">
        <v>308</v>
      </c>
      <c r="B193" s="19">
        <v>800000</v>
      </c>
      <c r="C193" s="19">
        <v>171047</v>
      </c>
      <c r="D193" s="19">
        <v>170547</v>
      </c>
      <c r="E193" s="19">
        <v>170547</v>
      </c>
      <c r="F193" s="19">
        <v>159763</v>
      </c>
      <c r="G193" s="19">
        <v>142342</v>
      </c>
      <c r="H193" s="19">
        <v>123046</v>
      </c>
      <c r="I193" s="25" t="s">
        <v>309</v>
      </c>
      <c r="J193" s="27">
        <f t="shared" si="12"/>
        <v>500</v>
      </c>
      <c r="K193" s="27">
        <f t="shared" si="13"/>
        <v>500</v>
      </c>
      <c r="L193" s="27">
        <f t="shared" si="14"/>
        <v>0</v>
      </c>
      <c r="M193" s="27">
        <f t="shared" si="15"/>
        <v>28705</v>
      </c>
      <c r="N193" s="30">
        <f t="shared" si="16"/>
        <v>2.9231731629318258E-3</v>
      </c>
      <c r="O193" s="30">
        <f t="shared" si="17"/>
        <v>0.83218062871608389</v>
      </c>
      <c r="P193" s="52"/>
    </row>
    <row r="194" spans="1:16" ht="16.5" customHeight="1" thickBot="1" x14ac:dyDescent="0.3">
      <c r="A194" s="21" t="s">
        <v>310</v>
      </c>
      <c r="B194" s="19">
        <v>800000</v>
      </c>
      <c r="C194" s="28">
        <v>2308286</v>
      </c>
      <c r="D194" s="29">
        <v>0</v>
      </c>
      <c r="E194" s="29">
        <v>0</v>
      </c>
      <c r="F194" s="29">
        <v>0</v>
      </c>
      <c r="G194" s="29">
        <v>0</v>
      </c>
      <c r="H194" s="20">
        <v>0</v>
      </c>
      <c r="I194" s="25" t="s">
        <v>25</v>
      </c>
      <c r="J194" s="27">
        <f t="shared" si="12"/>
        <v>2308286</v>
      </c>
      <c r="K194" s="27">
        <f t="shared" si="13"/>
        <v>2308286</v>
      </c>
      <c r="L194" s="27">
        <f t="shared" si="14"/>
        <v>0</v>
      </c>
      <c r="M194" s="27">
        <f t="shared" si="15"/>
        <v>2308286</v>
      </c>
      <c r="N194" s="30">
        <f t="shared" si="16"/>
        <v>1</v>
      </c>
      <c r="O194" s="30">
        <f t="shared" si="17"/>
        <v>0</v>
      </c>
      <c r="P194" s="52" t="s">
        <v>659</v>
      </c>
    </row>
    <row r="195" spans="1:16" ht="16.5" customHeight="1" thickBot="1" x14ac:dyDescent="0.25">
      <c r="A195" s="21" t="s">
        <v>311</v>
      </c>
      <c r="B195" s="19">
        <v>1000000</v>
      </c>
      <c r="C195" s="19">
        <v>12532522</v>
      </c>
      <c r="D195" s="19">
        <v>12187041</v>
      </c>
      <c r="E195" s="19">
        <v>5981488</v>
      </c>
      <c r="F195" s="19">
        <v>5042093</v>
      </c>
      <c r="G195" s="19">
        <v>3196291</v>
      </c>
      <c r="H195" s="19">
        <v>3117313</v>
      </c>
      <c r="I195" s="25" t="s">
        <v>312</v>
      </c>
      <c r="J195" s="27">
        <f t="shared" si="12"/>
        <v>345481</v>
      </c>
      <c r="K195" s="27">
        <f t="shared" si="13"/>
        <v>6551034</v>
      </c>
      <c r="L195" s="27">
        <f t="shared" si="14"/>
        <v>6205553</v>
      </c>
      <c r="M195" s="27">
        <f t="shared" si="15"/>
        <v>9336231</v>
      </c>
      <c r="N195" s="30">
        <f t="shared" si="16"/>
        <v>0.52272272093358385</v>
      </c>
      <c r="O195" s="30">
        <f t="shared" si="17"/>
        <v>0.25503972783770096</v>
      </c>
      <c r="P195" s="52"/>
    </row>
    <row r="196" spans="1:16" ht="16.5" customHeight="1" thickBot="1" x14ac:dyDescent="0.25">
      <c r="A196" s="21" t="s">
        <v>313</v>
      </c>
      <c r="B196" s="19">
        <v>1500000</v>
      </c>
      <c r="C196" s="19">
        <v>4271598</v>
      </c>
      <c r="D196" s="19">
        <v>4070553</v>
      </c>
      <c r="E196" s="19">
        <v>2749274</v>
      </c>
      <c r="F196" s="19">
        <v>2665872</v>
      </c>
      <c r="G196" s="19">
        <v>2287215</v>
      </c>
      <c r="H196" s="19">
        <v>2102137</v>
      </c>
      <c r="I196" s="25" t="s">
        <v>231</v>
      </c>
      <c r="J196" s="27">
        <f t="shared" si="12"/>
        <v>201045</v>
      </c>
      <c r="K196" s="27">
        <f t="shared" si="13"/>
        <v>1522324</v>
      </c>
      <c r="L196" s="27">
        <f t="shared" si="14"/>
        <v>1321279</v>
      </c>
      <c r="M196" s="27">
        <f t="shared" si="15"/>
        <v>1984383</v>
      </c>
      <c r="N196" s="30">
        <f t="shared" si="16"/>
        <v>0.35638278695701237</v>
      </c>
      <c r="O196" s="30">
        <f t="shared" si="17"/>
        <v>0.53544715584191205</v>
      </c>
      <c r="P196" s="52"/>
    </row>
    <row r="197" spans="1:16" ht="16.5" customHeight="1" thickBot="1" x14ac:dyDescent="0.3">
      <c r="A197" s="21" t="s">
        <v>314</v>
      </c>
      <c r="B197" s="19">
        <v>100000</v>
      </c>
      <c r="C197" s="28">
        <v>100000</v>
      </c>
      <c r="D197" s="29">
        <v>0</v>
      </c>
      <c r="E197" s="29">
        <v>0</v>
      </c>
      <c r="F197" s="29">
        <v>0</v>
      </c>
      <c r="G197" s="29">
        <v>0</v>
      </c>
      <c r="H197" s="20">
        <v>0</v>
      </c>
      <c r="I197" s="25" t="s">
        <v>25</v>
      </c>
      <c r="J197" s="27">
        <f t="shared" si="12"/>
        <v>100000</v>
      </c>
      <c r="K197" s="27">
        <f t="shared" si="13"/>
        <v>100000</v>
      </c>
      <c r="L197" s="27">
        <f t="shared" si="14"/>
        <v>0</v>
      </c>
      <c r="M197" s="27">
        <f t="shared" si="15"/>
        <v>100000</v>
      </c>
      <c r="N197" s="30">
        <f t="shared" si="16"/>
        <v>1</v>
      </c>
      <c r="O197" s="30">
        <f t="shared" si="17"/>
        <v>0</v>
      </c>
      <c r="P197" s="52" t="s">
        <v>659</v>
      </c>
    </row>
    <row r="198" spans="1:16" ht="16.5" customHeight="1" thickBot="1" x14ac:dyDescent="0.25">
      <c r="A198" s="21" t="s">
        <v>315</v>
      </c>
      <c r="B198" s="19">
        <v>100000</v>
      </c>
      <c r="C198" s="20">
        <v>0</v>
      </c>
      <c r="D198" s="20">
        <v>0</v>
      </c>
      <c r="E198" s="20">
        <v>0</v>
      </c>
      <c r="F198" s="20">
        <v>0</v>
      </c>
      <c r="G198" s="20">
        <v>0</v>
      </c>
      <c r="H198" s="20">
        <v>0</v>
      </c>
      <c r="I198" s="25" t="s">
        <v>25</v>
      </c>
      <c r="J198" s="27">
        <f t="shared" si="12"/>
        <v>0</v>
      </c>
      <c r="K198" s="27">
        <f t="shared" si="13"/>
        <v>0</v>
      </c>
      <c r="L198" s="27">
        <f t="shared" si="14"/>
        <v>0</v>
      </c>
      <c r="M198" s="27">
        <f t="shared" si="15"/>
        <v>0</v>
      </c>
      <c r="N198" s="30" t="str">
        <f t="shared" si="16"/>
        <v xml:space="preserve"> </v>
      </c>
      <c r="O198" s="30" t="str">
        <f t="shared" si="17"/>
        <v>ERROR</v>
      </c>
      <c r="P198" s="52"/>
    </row>
    <row r="199" spans="1:16" ht="16.5" customHeight="1" thickBot="1" x14ac:dyDescent="0.25">
      <c r="A199" s="21" t="s">
        <v>316</v>
      </c>
      <c r="B199" s="19">
        <v>800000</v>
      </c>
      <c r="C199" s="19">
        <v>840279</v>
      </c>
      <c r="D199" s="19">
        <v>668334</v>
      </c>
      <c r="E199" s="19">
        <v>668334</v>
      </c>
      <c r="F199" s="19">
        <v>649393</v>
      </c>
      <c r="G199" s="19">
        <v>535433</v>
      </c>
      <c r="H199" s="19">
        <v>483255</v>
      </c>
      <c r="I199" s="25" t="s">
        <v>317</v>
      </c>
      <c r="J199" s="27">
        <f t="shared" si="12"/>
        <v>171945</v>
      </c>
      <c r="K199" s="27">
        <f t="shared" si="13"/>
        <v>171945</v>
      </c>
      <c r="L199" s="27">
        <f t="shared" si="14"/>
        <v>0</v>
      </c>
      <c r="M199" s="27">
        <f t="shared" si="15"/>
        <v>304846</v>
      </c>
      <c r="N199" s="30">
        <f t="shared" si="16"/>
        <v>0.20462846268917823</v>
      </c>
      <c r="O199" s="30">
        <f t="shared" si="17"/>
        <v>0.63720859381229333</v>
      </c>
      <c r="P199" s="52"/>
    </row>
    <row r="200" spans="1:16" ht="16.5" customHeight="1" thickBot="1" x14ac:dyDescent="0.25">
      <c r="A200" s="21" t="s">
        <v>318</v>
      </c>
      <c r="B200" s="19">
        <v>2500000</v>
      </c>
      <c r="C200" s="19">
        <v>9037622</v>
      </c>
      <c r="D200" s="19">
        <v>8236997</v>
      </c>
      <c r="E200" s="19">
        <v>7212897</v>
      </c>
      <c r="F200" s="19">
        <v>6321171</v>
      </c>
      <c r="G200" s="19">
        <v>5290298</v>
      </c>
      <c r="H200" s="19">
        <v>4823286</v>
      </c>
      <c r="I200" s="25" t="s">
        <v>299</v>
      </c>
      <c r="J200" s="27">
        <f t="shared" si="12"/>
        <v>800625</v>
      </c>
      <c r="K200" s="27">
        <f t="shared" si="13"/>
        <v>1824725</v>
      </c>
      <c r="L200" s="27">
        <f t="shared" si="14"/>
        <v>1024100</v>
      </c>
      <c r="M200" s="27">
        <f t="shared" si="15"/>
        <v>3747324</v>
      </c>
      <c r="N200" s="30">
        <f t="shared" si="16"/>
        <v>0.20190322188735046</v>
      </c>
      <c r="O200" s="30">
        <f t="shared" si="17"/>
        <v>0.5853639375490588</v>
      </c>
      <c r="P200" s="52"/>
    </row>
    <row r="201" spans="1:16" ht="16.5" customHeight="1" thickBot="1" x14ac:dyDescent="0.25">
      <c r="A201" s="21" t="s">
        <v>319</v>
      </c>
      <c r="B201" s="19">
        <v>2800000</v>
      </c>
      <c r="C201" s="19">
        <v>11412366</v>
      </c>
      <c r="D201" s="19">
        <v>10878205</v>
      </c>
      <c r="E201" s="19">
        <v>8448139</v>
      </c>
      <c r="F201" s="19">
        <v>8246934</v>
      </c>
      <c r="G201" s="19">
        <v>6860678</v>
      </c>
      <c r="H201" s="19">
        <v>6078460</v>
      </c>
      <c r="I201" s="25" t="s">
        <v>320</v>
      </c>
      <c r="J201" s="27">
        <f t="shared" si="12"/>
        <v>534161</v>
      </c>
      <c r="K201" s="27">
        <f t="shared" si="13"/>
        <v>2964227</v>
      </c>
      <c r="L201" s="27">
        <f t="shared" si="14"/>
        <v>2430066</v>
      </c>
      <c r="M201" s="27">
        <f t="shared" si="15"/>
        <v>4551688</v>
      </c>
      <c r="N201" s="30">
        <f t="shared" si="16"/>
        <v>0.2597381647241247</v>
      </c>
      <c r="O201" s="30">
        <f t="shared" si="17"/>
        <v>0.60116175734286825</v>
      </c>
      <c r="P201" s="52"/>
    </row>
    <row r="202" spans="1:16" ht="16.5" customHeight="1" thickBot="1" x14ac:dyDescent="0.25">
      <c r="A202" s="21" t="s">
        <v>321</v>
      </c>
      <c r="B202" s="19">
        <v>800000</v>
      </c>
      <c r="C202" s="19">
        <v>674368</v>
      </c>
      <c r="D202" s="19">
        <v>173868</v>
      </c>
      <c r="E202" s="19">
        <v>173868</v>
      </c>
      <c r="F202" s="19">
        <v>159188</v>
      </c>
      <c r="G202" s="19">
        <v>97688</v>
      </c>
      <c r="H202" s="19">
        <v>97688</v>
      </c>
      <c r="I202" s="25" t="s">
        <v>322</v>
      </c>
      <c r="J202" s="27">
        <f t="shared" si="12"/>
        <v>500500</v>
      </c>
      <c r="K202" s="27">
        <f t="shared" si="13"/>
        <v>500500</v>
      </c>
      <c r="L202" s="27">
        <f t="shared" si="14"/>
        <v>0</v>
      </c>
      <c r="M202" s="27">
        <f t="shared" si="15"/>
        <v>576680</v>
      </c>
      <c r="N202" s="30">
        <f t="shared" si="16"/>
        <v>0.74217637847584705</v>
      </c>
      <c r="O202" s="30">
        <f t="shared" si="17"/>
        <v>0.14485859352756952</v>
      </c>
      <c r="P202" s="52"/>
    </row>
    <row r="203" spans="1:16" ht="16.5" customHeight="1" thickBot="1" x14ac:dyDescent="0.25">
      <c r="A203" s="21" t="s">
        <v>323</v>
      </c>
      <c r="B203" s="20">
        <v>0</v>
      </c>
      <c r="C203" s="19">
        <v>3853164</v>
      </c>
      <c r="D203" s="19">
        <v>3701446</v>
      </c>
      <c r="E203" s="19">
        <v>3690349</v>
      </c>
      <c r="F203" s="19">
        <v>3507342</v>
      </c>
      <c r="G203" s="19">
        <v>3036070</v>
      </c>
      <c r="H203" s="19">
        <v>2934115</v>
      </c>
      <c r="I203" s="25" t="s">
        <v>324</v>
      </c>
      <c r="J203" s="27">
        <f t="shared" si="12"/>
        <v>151718</v>
      </c>
      <c r="K203" s="27">
        <f t="shared" si="13"/>
        <v>162815</v>
      </c>
      <c r="L203" s="27">
        <f t="shared" si="14"/>
        <v>11097</v>
      </c>
      <c r="M203" s="27">
        <f t="shared" si="15"/>
        <v>817094</v>
      </c>
      <c r="N203" s="30">
        <f t="shared" si="16"/>
        <v>4.2254884557210645E-2</v>
      </c>
      <c r="O203" s="30">
        <f t="shared" si="17"/>
        <v>0.78794206527414867</v>
      </c>
      <c r="P203" s="52"/>
    </row>
    <row r="204" spans="1:16" ht="16.5" customHeight="1" thickBot="1" x14ac:dyDescent="0.25">
      <c r="A204" s="21" t="s">
        <v>325</v>
      </c>
      <c r="B204" s="19">
        <v>800000</v>
      </c>
      <c r="C204" s="19">
        <v>520686</v>
      </c>
      <c r="D204" s="19">
        <v>519936</v>
      </c>
      <c r="E204" s="19">
        <v>519936</v>
      </c>
      <c r="F204" s="19">
        <v>505181</v>
      </c>
      <c r="G204" s="19">
        <v>468291</v>
      </c>
      <c r="H204" s="19">
        <v>435291</v>
      </c>
      <c r="I204" s="25" t="s">
        <v>326</v>
      </c>
      <c r="J204" s="27">
        <f t="shared" si="12"/>
        <v>750</v>
      </c>
      <c r="K204" s="27">
        <f t="shared" si="13"/>
        <v>750</v>
      </c>
      <c r="L204" s="27">
        <f t="shared" si="14"/>
        <v>0</v>
      </c>
      <c r="M204" s="27">
        <f t="shared" si="15"/>
        <v>52395</v>
      </c>
      <c r="N204" s="30">
        <f t="shared" si="16"/>
        <v>1.4404074624629814E-3</v>
      </c>
      <c r="O204" s="30">
        <f t="shared" si="17"/>
        <v>0.89937313467233615</v>
      </c>
      <c r="P204" s="52"/>
    </row>
    <row r="205" spans="1:16" ht="16.5" customHeight="1" thickBot="1" x14ac:dyDescent="0.25">
      <c r="A205" s="21" t="s">
        <v>327</v>
      </c>
      <c r="B205" s="19">
        <v>200000</v>
      </c>
      <c r="C205" s="20">
        <v>0</v>
      </c>
      <c r="D205" s="20">
        <v>0</v>
      </c>
      <c r="E205" s="20">
        <v>0</v>
      </c>
      <c r="F205" s="20">
        <v>0</v>
      </c>
      <c r="G205" s="20">
        <v>0</v>
      </c>
      <c r="H205" s="20">
        <v>0</v>
      </c>
      <c r="I205" s="25" t="s">
        <v>25</v>
      </c>
      <c r="J205" s="27">
        <f t="shared" si="12"/>
        <v>0</v>
      </c>
      <c r="K205" s="27">
        <f t="shared" si="13"/>
        <v>0</v>
      </c>
      <c r="L205" s="27">
        <f t="shared" si="14"/>
        <v>0</v>
      </c>
      <c r="M205" s="27">
        <f t="shared" si="15"/>
        <v>0</v>
      </c>
      <c r="N205" s="30" t="str">
        <f t="shared" si="16"/>
        <v xml:space="preserve"> </v>
      </c>
      <c r="O205" s="30" t="str">
        <f t="shared" si="17"/>
        <v>ERROR</v>
      </c>
      <c r="P205" s="52"/>
    </row>
    <row r="206" spans="1:16" ht="16.5" customHeight="1" thickBot="1" x14ac:dyDescent="0.25">
      <c r="A206" s="21" t="s">
        <v>328</v>
      </c>
      <c r="B206" s="20">
        <v>0</v>
      </c>
      <c r="C206" s="19">
        <v>4219373</v>
      </c>
      <c r="D206" s="19">
        <v>4183621</v>
      </c>
      <c r="E206" s="19">
        <v>3856815</v>
      </c>
      <c r="F206" s="19">
        <v>3829328</v>
      </c>
      <c r="G206" s="19">
        <v>3829328</v>
      </c>
      <c r="H206" s="19">
        <v>3829328</v>
      </c>
      <c r="I206" s="25" t="s">
        <v>329</v>
      </c>
      <c r="J206" s="27">
        <f t="shared" si="12"/>
        <v>35752</v>
      </c>
      <c r="K206" s="27">
        <f t="shared" si="13"/>
        <v>362558</v>
      </c>
      <c r="L206" s="27">
        <f t="shared" si="14"/>
        <v>326806</v>
      </c>
      <c r="M206" s="27">
        <f t="shared" si="15"/>
        <v>390045</v>
      </c>
      <c r="N206" s="30">
        <f t="shared" si="16"/>
        <v>8.5926984886143032E-2</v>
      </c>
      <c r="O206" s="30">
        <f t="shared" si="17"/>
        <v>0.90755854009588632</v>
      </c>
      <c r="P206" s="52"/>
    </row>
    <row r="207" spans="1:16" ht="16.5" customHeight="1" thickBot="1" x14ac:dyDescent="0.3">
      <c r="A207" s="21" t="s">
        <v>330</v>
      </c>
      <c r="B207" s="20">
        <v>0</v>
      </c>
      <c r="C207" s="36">
        <v>61500</v>
      </c>
      <c r="D207" s="36">
        <v>59000</v>
      </c>
      <c r="E207" s="37">
        <v>0</v>
      </c>
      <c r="F207" s="37">
        <v>0</v>
      </c>
      <c r="G207" s="37">
        <v>0</v>
      </c>
      <c r="H207" s="20">
        <v>0</v>
      </c>
      <c r="I207" s="25" t="s">
        <v>25</v>
      </c>
      <c r="J207" s="27">
        <f t="shared" si="12"/>
        <v>2500</v>
      </c>
      <c r="K207" s="27">
        <f t="shared" si="13"/>
        <v>61500</v>
      </c>
      <c r="L207" s="27">
        <f t="shared" si="14"/>
        <v>59000</v>
      </c>
      <c r="M207" s="27">
        <f t="shared" si="15"/>
        <v>61500</v>
      </c>
      <c r="N207" s="30">
        <f t="shared" si="16"/>
        <v>1</v>
      </c>
      <c r="O207" s="30">
        <f t="shared" si="17"/>
        <v>0</v>
      </c>
      <c r="P207" s="52" t="s">
        <v>660</v>
      </c>
    </row>
    <row r="208" spans="1:16" ht="16.5" customHeight="1" thickBot="1" x14ac:dyDescent="0.3">
      <c r="A208" s="21" t="s">
        <v>331</v>
      </c>
      <c r="B208" s="20">
        <v>0</v>
      </c>
      <c r="C208" s="36">
        <v>62000</v>
      </c>
      <c r="D208" s="36">
        <v>61767</v>
      </c>
      <c r="E208" s="37">
        <v>0</v>
      </c>
      <c r="F208" s="37">
        <v>0</v>
      </c>
      <c r="G208" s="37">
        <v>0</v>
      </c>
      <c r="H208" s="20">
        <v>0</v>
      </c>
      <c r="I208" s="25" t="s">
        <v>25</v>
      </c>
      <c r="J208" s="27">
        <f t="shared" si="12"/>
        <v>233</v>
      </c>
      <c r="K208" s="27">
        <f t="shared" si="13"/>
        <v>62000</v>
      </c>
      <c r="L208" s="27">
        <f t="shared" si="14"/>
        <v>61767</v>
      </c>
      <c r="M208" s="27">
        <f t="shared" si="15"/>
        <v>62000</v>
      </c>
      <c r="N208" s="30">
        <f t="shared" si="16"/>
        <v>1</v>
      </c>
      <c r="O208" s="30">
        <f t="shared" si="17"/>
        <v>0</v>
      </c>
      <c r="P208" s="52" t="s">
        <v>660</v>
      </c>
    </row>
    <row r="209" spans="1:16" ht="16.5" customHeight="1" thickBot="1" x14ac:dyDescent="0.25">
      <c r="A209" s="21" t="s">
        <v>332</v>
      </c>
      <c r="B209" s="20">
        <v>0</v>
      </c>
      <c r="C209" s="19">
        <v>392605</v>
      </c>
      <c r="D209" s="19">
        <v>337020</v>
      </c>
      <c r="E209" s="19">
        <v>313706</v>
      </c>
      <c r="F209" s="19">
        <v>304774</v>
      </c>
      <c r="G209" s="19">
        <v>298074</v>
      </c>
      <c r="H209" s="19">
        <v>298074</v>
      </c>
      <c r="I209" s="25" t="s">
        <v>333</v>
      </c>
      <c r="J209" s="27">
        <f t="shared" ref="J209:J272" si="18">C209-D209</f>
        <v>55585</v>
      </c>
      <c r="K209" s="27">
        <f t="shared" ref="K209:K272" si="19">C209-E209</f>
        <v>78899</v>
      </c>
      <c r="L209" s="27">
        <f t="shared" ref="L209:L272" si="20">D209-E209</f>
        <v>23314</v>
      </c>
      <c r="M209" s="27">
        <f t="shared" ref="M209:M272" si="21">C209-G209</f>
        <v>94531</v>
      </c>
      <c r="N209" s="30">
        <f t="shared" ref="N209:N272" si="22">IFERROR(K209/C209, " ")</f>
        <v>0.2009627997605736</v>
      </c>
      <c r="O209" s="30">
        <f t="shared" ref="O209:O272" si="23">IFERROR(G209/C209, "ERROR")</f>
        <v>0.75922110008787458</v>
      </c>
      <c r="P209" s="52"/>
    </row>
    <row r="210" spans="1:16" ht="16.5" customHeight="1" thickBot="1" x14ac:dyDescent="0.25">
      <c r="A210" s="21" t="s">
        <v>334</v>
      </c>
      <c r="B210" s="19">
        <v>5156000</v>
      </c>
      <c r="C210" s="19">
        <v>321536</v>
      </c>
      <c r="D210" s="19">
        <v>319536</v>
      </c>
      <c r="E210" s="19">
        <v>319536</v>
      </c>
      <c r="F210" s="19">
        <v>259666</v>
      </c>
      <c r="G210" s="19">
        <v>219666</v>
      </c>
      <c r="H210" s="19">
        <v>219666</v>
      </c>
      <c r="I210" s="25" t="s">
        <v>149</v>
      </c>
      <c r="J210" s="27">
        <f t="shared" si="18"/>
        <v>2000</v>
      </c>
      <c r="K210" s="27">
        <f t="shared" si="19"/>
        <v>2000</v>
      </c>
      <c r="L210" s="27">
        <f t="shared" si="20"/>
        <v>0</v>
      </c>
      <c r="M210" s="27">
        <f t="shared" si="21"/>
        <v>101870</v>
      </c>
      <c r="N210" s="30">
        <f t="shared" si="22"/>
        <v>6.2201433121019112E-3</v>
      </c>
      <c r="O210" s="30">
        <f t="shared" si="23"/>
        <v>0.68317700039808915</v>
      </c>
      <c r="P210" s="52"/>
    </row>
    <row r="211" spans="1:16" ht="16.5" customHeight="1" thickBot="1" x14ac:dyDescent="0.3">
      <c r="A211" s="21" t="s">
        <v>335</v>
      </c>
      <c r="B211" s="20">
        <v>0</v>
      </c>
      <c r="C211" s="36">
        <v>20000</v>
      </c>
      <c r="D211" s="36">
        <v>20000</v>
      </c>
      <c r="E211" s="36">
        <v>17500</v>
      </c>
      <c r="F211" s="36">
        <v>17500</v>
      </c>
      <c r="G211" s="37">
        <v>0</v>
      </c>
      <c r="H211" s="20">
        <v>0</v>
      </c>
      <c r="I211" s="25" t="s">
        <v>25</v>
      </c>
      <c r="J211" s="27">
        <f t="shared" si="18"/>
        <v>0</v>
      </c>
      <c r="K211" s="27">
        <f t="shared" si="19"/>
        <v>2500</v>
      </c>
      <c r="L211" s="27">
        <f t="shared" si="20"/>
        <v>2500</v>
      </c>
      <c r="M211" s="27">
        <f t="shared" si="21"/>
        <v>20000</v>
      </c>
      <c r="N211" s="30">
        <f t="shared" si="22"/>
        <v>0.125</v>
      </c>
      <c r="O211" s="30">
        <f t="shared" si="23"/>
        <v>0</v>
      </c>
      <c r="P211" s="52" t="s">
        <v>659</v>
      </c>
    </row>
    <row r="212" spans="1:16" ht="16.5" customHeight="1" thickBot="1" x14ac:dyDescent="0.25">
      <c r="A212" s="21" t="s">
        <v>336</v>
      </c>
      <c r="B212" s="19">
        <v>1800000</v>
      </c>
      <c r="C212" s="19">
        <v>100000</v>
      </c>
      <c r="D212" s="19">
        <v>100000</v>
      </c>
      <c r="E212" s="19">
        <v>50000</v>
      </c>
      <c r="F212" s="19">
        <v>45460</v>
      </c>
      <c r="G212" s="19">
        <v>45460</v>
      </c>
      <c r="H212" s="19">
        <v>45460</v>
      </c>
      <c r="I212" s="25" t="s">
        <v>337</v>
      </c>
      <c r="J212" s="27">
        <f t="shared" si="18"/>
        <v>0</v>
      </c>
      <c r="K212" s="27">
        <f t="shared" si="19"/>
        <v>50000</v>
      </c>
      <c r="L212" s="27">
        <f t="shared" si="20"/>
        <v>50000</v>
      </c>
      <c r="M212" s="27">
        <f t="shared" si="21"/>
        <v>54540</v>
      </c>
      <c r="N212" s="30">
        <f t="shared" si="22"/>
        <v>0.5</v>
      </c>
      <c r="O212" s="30">
        <f t="shared" si="23"/>
        <v>0.4546</v>
      </c>
      <c r="P212" s="52"/>
    </row>
    <row r="213" spans="1:16" ht="16.5" customHeight="1" thickBot="1" x14ac:dyDescent="0.25">
      <c r="A213" s="21" t="s">
        <v>338</v>
      </c>
      <c r="B213" s="19">
        <v>50000</v>
      </c>
      <c r="C213" s="20">
        <v>0</v>
      </c>
      <c r="D213" s="20">
        <v>0</v>
      </c>
      <c r="E213" s="20">
        <v>0</v>
      </c>
      <c r="F213" s="20">
        <v>0</v>
      </c>
      <c r="G213" s="20">
        <v>0</v>
      </c>
      <c r="H213" s="20">
        <v>0</v>
      </c>
      <c r="I213" s="25" t="s">
        <v>25</v>
      </c>
      <c r="J213" s="27">
        <f t="shared" si="18"/>
        <v>0</v>
      </c>
      <c r="K213" s="27">
        <f t="shared" si="19"/>
        <v>0</v>
      </c>
      <c r="L213" s="27">
        <f t="shared" si="20"/>
        <v>0</v>
      </c>
      <c r="M213" s="27">
        <f t="shared" si="21"/>
        <v>0</v>
      </c>
      <c r="N213" s="30" t="str">
        <f t="shared" si="22"/>
        <v xml:space="preserve"> </v>
      </c>
      <c r="O213" s="30" t="str">
        <f t="shared" si="23"/>
        <v>ERROR</v>
      </c>
      <c r="P213" s="52"/>
    </row>
    <row r="214" spans="1:16" ht="16.5" customHeight="1" thickBot="1" x14ac:dyDescent="0.3">
      <c r="A214" s="21" t="s">
        <v>339</v>
      </c>
      <c r="B214" s="20">
        <v>0</v>
      </c>
      <c r="C214" s="28">
        <v>218556</v>
      </c>
      <c r="D214" s="29">
        <v>0</v>
      </c>
      <c r="E214" s="29">
        <v>0</v>
      </c>
      <c r="F214" s="29">
        <v>0</v>
      </c>
      <c r="G214" s="29">
        <v>0</v>
      </c>
      <c r="H214" s="20">
        <v>0</v>
      </c>
      <c r="I214" s="25" t="s">
        <v>25</v>
      </c>
      <c r="J214" s="27">
        <f t="shared" si="18"/>
        <v>218556</v>
      </c>
      <c r="K214" s="27">
        <f t="shared" si="19"/>
        <v>218556</v>
      </c>
      <c r="L214" s="27">
        <f t="shared" si="20"/>
        <v>0</v>
      </c>
      <c r="M214" s="27">
        <f t="shared" si="21"/>
        <v>218556</v>
      </c>
      <c r="N214" s="30">
        <f t="shared" si="22"/>
        <v>1</v>
      </c>
      <c r="O214" s="30">
        <f t="shared" si="23"/>
        <v>0</v>
      </c>
      <c r="P214" s="52" t="s">
        <v>659</v>
      </c>
    </row>
    <row r="215" spans="1:16" ht="16.5" customHeight="1" thickBot="1" x14ac:dyDescent="0.25">
      <c r="A215" s="21" t="s">
        <v>340</v>
      </c>
      <c r="B215" s="19">
        <v>100000</v>
      </c>
      <c r="C215" s="19">
        <v>100000</v>
      </c>
      <c r="D215" s="19">
        <v>98580</v>
      </c>
      <c r="E215" s="19">
        <v>98580</v>
      </c>
      <c r="F215" s="19">
        <v>83195</v>
      </c>
      <c r="G215" s="19">
        <v>83195</v>
      </c>
      <c r="H215" s="19">
        <v>83195</v>
      </c>
      <c r="I215" s="25" t="s">
        <v>309</v>
      </c>
      <c r="J215" s="27">
        <f t="shared" si="18"/>
        <v>1420</v>
      </c>
      <c r="K215" s="27">
        <f t="shared" si="19"/>
        <v>1420</v>
      </c>
      <c r="L215" s="27">
        <f t="shared" si="20"/>
        <v>0</v>
      </c>
      <c r="M215" s="27">
        <f t="shared" si="21"/>
        <v>16805</v>
      </c>
      <c r="N215" s="30">
        <f t="shared" si="22"/>
        <v>1.4200000000000001E-2</v>
      </c>
      <c r="O215" s="30">
        <f t="shared" si="23"/>
        <v>0.83194999999999997</v>
      </c>
      <c r="P215" s="52"/>
    </row>
    <row r="216" spans="1:16" ht="16.5" customHeight="1" thickBot="1" x14ac:dyDescent="0.25">
      <c r="A216" s="21" t="s">
        <v>341</v>
      </c>
      <c r="B216" s="20">
        <v>0</v>
      </c>
      <c r="C216" s="19">
        <v>23560</v>
      </c>
      <c r="D216" s="19">
        <v>22650</v>
      </c>
      <c r="E216" s="19">
        <v>22650</v>
      </c>
      <c r="F216" s="19">
        <v>14282</v>
      </c>
      <c r="G216" s="19">
        <v>14282</v>
      </c>
      <c r="H216" s="19">
        <v>14282</v>
      </c>
      <c r="I216" s="25" t="s">
        <v>342</v>
      </c>
      <c r="J216" s="27">
        <f t="shared" si="18"/>
        <v>910</v>
      </c>
      <c r="K216" s="27">
        <f t="shared" si="19"/>
        <v>910</v>
      </c>
      <c r="L216" s="27">
        <f t="shared" si="20"/>
        <v>0</v>
      </c>
      <c r="M216" s="27">
        <f t="shared" si="21"/>
        <v>9278</v>
      </c>
      <c r="N216" s="30">
        <f t="shared" si="22"/>
        <v>3.8624787775891338E-2</v>
      </c>
      <c r="O216" s="30">
        <f t="shared" si="23"/>
        <v>0.6061969439728353</v>
      </c>
      <c r="P216" s="52"/>
    </row>
    <row r="217" spans="1:16" ht="16.5" customHeight="1" thickBot="1" x14ac:dyDescent="0.25">
      <c r="A217" s="21" t="s">
        <v>343</v>
      </c>
      <c r="B217" s="19">
        <v>2981000</v>
      </c>
      <c r="C217" s="19">
        <v>408761</v>
      </c>
      <c r="D217" s="19">
        <v>356083</v>
      </c>
      <c r="E217" s="19">
        <v>356083</v>
      </c>
      <c r="F217" s="19">
        <v>242446</v>
      </c>
      <c r="G217" s="19">
        <v>242446</v>
      </c>
      <c r="H217" s="19">
        <v>215431</v>
      </c>
      <c r="I217" s="25" t="s">
        <v>344</v>
      </c>
      <c r="J217" s="27">
        <f t="shared" si="18"/>
        <v>52678</v>
      </c>
      <c r="K217" s="27">
        <f t="shared" si="19"/>
        <v>52678</v>
      </c>
      <c r="L217" s="27">
        <f t="shared" si="20"/>
        <v>0</v>
      </c>
      <c r="M217" s="27">
        <f t="shared" si="21"/>
        <v>166315</v>
      </c>
      <c r="N217" s="30">
        <f t="shared" si="22"/>
        <v>0.12887237285357458</v>
      </c>
      <c r="O217" s="30">
        <f t="shared" si="23"/>
        <v>0.59312409941261524</v>
      </c>
      <c r="P217" s="52"/>
    </row>
    <row r="218" spans="1:16" ht="16.5" customHeight="1" thickBot="1" x14ac:dyDescent="0.25">
      <c r="A218" s="21" t="s">
        <v>345</v>
      </c>
      <c r="B218" s="19">
        <v>2805112</v>
      </c>
      <c r="C218" s="19">
        <v>178134</v>
      </c>
      <c r="D218" s="19">
        <v>178134</v>
      </c>
      <c r="E218" s="19">
        <v>178134</v>
      </c>
      <c r="F218" s="19">
        <v>128619</v>
      </c>
      <c r="G218" s="19">
        <v>122424</v>
      </c>
      <c r="H218" s="19">
        <v>122424</v>
      </c>
      <c r="I218" s="25" t="s">
        <v>346</v>
      </c>
      <c r="J218" s="27">
        <f t="shared" si="18"/>
        <v>0</v>
      </c>
      <c r="K218" s="27">
        <f t="shared" si="19"/>
        <v>0</v>
      </c>
      <c r="L218" s="27">
        <f t="shared" si="20"/>
        <v>0</v>
      </c>
      <c r="M218" s="27">
        <f t="shared" si="21"/>
        <v>55710</v>
      </c>
      <c r="N218" s="30">
        <f t="shared" si="22"/>
        <v>0</v>
      </c>
      <c r="O218" s="30">
        <f t="shared" si="23"/>
        <v>0.68725790696891109</v>
      </c>
      <c r="P218" s="52"/>
    </row>
    <row r="219" spans="1:16" ht="16.5" customHeight="1" thickBot="1" x14ac:dyDescent="0.25">
      <c r="A219" s="21" t="s">
        <v>347</v>
      </c>
      <c r="B219" s="19">
        <v>2000000</v>
      </c>
      <c r="C219" s="19">
        <v>220481</v>
      </c>
      <c r="D219" s="19">
        <v>194522</v>
      </c>
      <c r="E219" s="19">
        <v>194522</v>
      </c>
      <c r="F219" s="19">
        <v>80473</v>
      </c>
      <c r="G219" s="19">
        <v>80473</v>
      </c>
      <c r="H219" s="19">
        <v>71259</v>
      </c>
      <c r="I219" s="25" t="s">
        <v>348</v>
      </c>
      <c r="J219" s="27">
        <f t="shared" si="18"/>
        <v>25959</v>
      </c>
      <c r="K219" s="27">
        <f t="shared" si="19"/>
        <v>25959</v>
      </c>
      <c r="L219" s="27">
        <f t="shared" si="20"/>
        <v>0</v>
      </c>
      <c r="M219" s="27">
        <f t="shared" si="21"/>
        <v>140008</v>
      </c>
      <c r="N219" s="30">
        <f t="shared" si="22"/>
        <v>0.11773803638408752</v>
      </c>
      <c r="O219" s="30">
        <f t="shared" si="23"/>
        <v>0.36498836634449228</v>
      </c>
      <c r="P219" s="52"/>
    </row>
    <row r="220" spans="1:16" ht="16.5" customHeight="1" thickBot="1" x14ac:dyDescent="0.3">
      <c r="A220" s="21" t="s">
        <v>349</v>
      </c>
      <c r="B220" s="19">
        <v>50000</v>
      </c>
      <c r="C220" s="36">
        <v>656461</v>
      </c>
      <c r="D220" s="36">
        <v>656461</v>
      </c>
      <c r="E220" s="37">
        <v>0</v>
      </c>
      <c r="F220" s="37">
        <v>0</v>
      </c>
      <c r="G220" s="37">
        <v>0</v>
      </c>
      <c r="H220" s="20">
        <v>0</v>
      </c>
      <c r="I220" s="25" t="s">
        <v>25</v>
      </c>
      <c r="J220" s="27">
        <f t="shared" si="18"/>
        <v>0</v>
      </c>
      <c r="K220" s="27">
        <f t="shared" si="19"/>
        <v>656461</v>
      </c>
      <c r="L220" s="27">
        <f t="shared" si="20"/>
        <v>656461</v>
      </c>
      <c r="M220" s="27">
        <f t="shared" si="21"/>
        <v>656461</v>
      </c>
      <c r="N220" s="30">
        <f t="shared" si="22"/>
        <v>1</v>
      </c>
      <c r="O220" s="30">
        <f t="shared" si="23"/>
        <v>0</v>
      </c>
      <c r="P220" s="52" t="s">
        <v>659</v>
      </c>
    </row>
    <row r="221" spans="1:16" ht="16.5" customHeight="1" thickBot="1" x14ac:dyDescent="0.3">
      <c r="A221" s="21" t="s">
        <v>350</v>
      </c>
      <c r="B221" s="19">
        <v>100000</v>
      </c>
      <c r="C221" s="36">
        <v>606461</v>
      </c>
      <c r="D221" s="36">
        <v>606461</v>
      </c>
      <c r="E221" s="37">
        <v>0</v>
      </c>
      <c r="F221" s="37">
        <v>0</v>
      </c>
      <c r="G221" s="37">
        <v>0</v>
      </c>
      <c r="H221" s="20">
        <v>0</v>
      </c>
      <c r="I221" s="25" t="s">
        <v>25</v>
      </c>
      <c r="J221" s="27">
        <f t="shared" si="18"/>
        <v>0</v>
      </c>
      <c r="K221" s="27">
        <f t="shared" si="19"/>
        <v>606461</v>
      </c>
      <c r="L221" s="27">
        <f t="shared" si="20"/>
        <v>606461</v>
      </c>
      <c r="M221" s="27">
        <f t="shared" si="21"/>
        <v>606461</v>
      </c>
      <c r="N221" s="30">
        <f t="shared" si="22"/>
        <v>1</v>
      </c>
      <c r="O221" s="30">
        <f t="shared" si="23"/>
        <v>0</v>
      </c>
      <c r="P221" s="52" t="s">
        <v>659</v>
      </c>
    </row>
    <row r="222" spans="1:16" ht="16.5" customHeight="1" thickBot="1" x14ac:dyDescent="0.3">
      <c r="A222" s="21" t="s">
        <v>351</v>
      </c>
      <c r="B222" s="20">
        <v>0</v>
      </c>
      <c r="C222" s="28">
        <v>58627</v>
      </c>
      <c r="D222" s="29">
        <v>0</v>
      </c>
      <c r="E222" s="29">
        <v>0</v>
      </c>
      <c r="F222" s="29">
        <v>0</v>
      </c>
      <c r="G222" s="29">
        <v>0</v>
      </c>
      <c r="H222" s="20">
        <v>0</v>
      </c>
      <c r="I222" s="25" t="s">
        <v>25</v>
      </c>
      <c r="J222" s="27">
        <f t="shared" si="18"/>
        <v>58627</v>
      </c>
      <c r="K222" s="27">
        <f t="shared" si="19"/>
        <v>58627</v>
      </c>
      <c r="L222" s="27">
        <f t="shared" si="20"/>
        <v>0</v>
      </c>
      <c r="M222" s="27">
        <f t="shared" si="21"/>
        <v>58627</v>
      </c>
      <c r="N222" s="30">
        <f t="shared" si="22"/>
        <v>1</v>
      </c>
      <c r="O222" s="30">
        <f t="shared" si="23"/>
        <v>0</v>
      </c>
      <c r="P222" s="52" t="s">
        <v>660</v>
      </c>
    </row>
    <row r="223" spans="1:16" ht="16.5" customHeight="1" thickBot="1" x14ac:dyDescent="0.3">
      <c r="A223" s="21" t="s">
        <v>352</v>
      </c>
      <c r="B223" s="19">
        <v>100000</v>
      </c>
      <c r="C223" s="28">
        <v>100000</v>
      </c>
      <c r="D223" s="29">
        <v>0</v>
      </c>
      <c r="E223" s="29">
        <v>0</v>
      </c>
      <c r="F223" s="29">
        <v>0</v>
      </c>
      <c r="G223" s="29">
        <v>0</v>
      </c>
      <c r="H223" s="20">
        <v>0</v>
      </c>
      <c r="I223" s="25" t="s">
        <v>25</v>
      </c>
      <c r="J223" s="27">
        <f t="shared" si="18"/>
        <v>100000</v>
      </c>
      <c r="K223" s="27">
        <f t="shared" si="19"/>
        <v>100000</v>
      </c>
      <c r="L223" s="27">
        <f t="shared" si="20"/>
        <v>0</v>
      </c>
      <c r="M223" s="27">
        <f t="shared" si="21"/>
        <v>100000</v>
      </c>
      <c r="N223" s="30">
        <f t="shared" si="22"/>
        <v>1</v>
      </c>
      <c r="O223" s="30">
        <f t="shared" si="23"/>
        <v>0</v>
      </c>
      <c r="P223" s="52" t="s">
        <v>660</v>
      </c>
    </row>
    <row r="224" spans="1:16" ht="16.5" customHeight="1" thickBot="1" x14ac:dyDescent="0.3">
      <c r="A224" s="21" t="s">
        <v>353</v>
      </c>
      <c r="B224" s="19">
        <v>61203</v>
      </c>
      <c r="C224" s="28">
        <v>61203</v>
      </c>
      <c r="D224" s="29">
        <v>0</v>
      </c>
      <c r="E224" s="29">
        <v>0</v>
      </c>
      <c r="F224" s="29">
        <v>0</v>
      </c>
      <c r="G224" s="29">
        <v>0</v>
      </c>
      <c r="H224" s="20">
        <v>0</v>
      </c>
      <c r="I224" s="25" t="s">
        <v>25</v>
      </c>
      <c r="J224" s="27">
        <f t="shared" si="18"/>
        <v>61203</v>
      </c>
      <c r="K224" s="27">
        <f t="shared" si="19"/>
        <v>61203</v>
      </c>
      <c r="L224" s="27">
        <f t="shared" si="20"/>
        <v>0</v>
      </c>
      <c r="M224" s="27">
        <f t="shared" si="21"/>
        <v>61203</v>
      </c>
      <c r="N224" s="30">
        <f t="shared" si="22"/>
        <v>1</v>
      </c>
      <c r="O224" s="30">
        <f t="shared" si="23"/>
        <v>0</v>
      </c>
      <c r="P224" s="52" t="s">
        <v>659</v>
      </c>
    </row>
    <row r="225" spans="1:16" ht="16.5" customHeight="1" thickBot="1" x14ac:dyDescent="0.25">
      <c r="A225" s="21" t="s">
        <v>354</v>
      </c>
      <c r="B225" s="19">
        <v>500000</v>
      </c>
      <c r="C225" s="19">
        <v>500000</v>
      </c>
      <c r="D225" s="19">
        <v>39550</v>
      </c>
      <c r="E225" s="19">
        <v>39550</v>
      </c>
      <c r="F225" s="19">
        <v>39550</v>
      </c>
      <c r="G225" s="19">
        <v>35550</v>
      </c>
      <c r="H225" s="19">
        <v>5000</v>
      </c>
      <c r="I225" s="25" t="s">
        <v>355</v>
      </c>
      <c r="J225" s="27">
        <f t="shared" si="18"/>
        <v>460450</v>
      </c>
      <c r="K225" s="27">
        <f t="shared" si="19"/>
        <v>460450</v>
      </c>
      <c r="L225" s="27">
        <f t="shared" si="20"/>
        <v>0</v>
      </c>
      <c r="M225" s="27">
        <f t="shared" si="21"/>
        <v>464450</v>
      </c>
      <c r="N225" s="30">
        <f t="shared" si="22"/>
        <v>0.92090000000000005</v>
      </c>
      <c r="O225" s="30">
        <f t="shared" si="23"/>
        <v>7.1099999999999997E-2</v>
      </c>
      <c r="P225" s="52"/>
    </row>
    <row r="226" spans="1:16" ht="16.5" customHeight="1" thickBot="1" x14ac:dyDescent="0.25">
      <c r="A226" s="21" t="s">
        <v>356</v>
      </c>
      <c r="B226" s="19">
        <v>2278000</v>
      </c>
      <c r="C226" s="19">
        <v>3656326</v>
      </c>
      <c r="D226" s="19">
        <v>3383177</v>
      </c>
      <c r="E226" s="19">
        <v>3097239</v>
      </c>
      <c r="F226" s="19">
        <v>2573201</v>
      </c>
      <c r="G226" s="19">
        <v>2126125</v>
      </c>
      <c r="H226" s="19">
        <v>1986997</v>
      </c>
      <c r="I226" s="25" t="s">
        <v>357</v>
      </c>
      <c r="J226" s="27">
        <f t="shared" si="18"/>
        <v>273149</v>
      </c>
      <c r="K226" s="27">
        <f t="shared" si="19"/>
        <v>559087</v>
      </c>
      <c r="L226" s="27">
        <f t="shared" si="20"/>
        <v>285938</v>
      </c>
      <c r="M226" s="27">
        <f t="shared" si="21"/>
        <v>1530201</v>
      </c>
      <c r="N226" s="30">
        <f t="shared" si="22"/>
        <v>0.15290950533404296</v>
      </c>
      <c r="O226" s="30">
        <f t="shared" si="23"/>
        <v>0.58149218641882594</v>
      </c>
      <c r="P226" s="52"/>
    </row>
    <row r="227" spans="1:16" ht="16.5" customHeight="1" thickBot="1" x14ac:dyDescent="0.25">
      <c r="A227" s="21" t="s">
        <v>358</v>
      </c>
      <c r="B227" s="20">
        <v>0</v>
      </c>
      <c r="C227" s="19">
        <v>900000</v>
      </c>
      <c r="D227" s="19">
        <v>855390</v>
      </c>
      <c r="E227" s="19">
        <v>536923</v>
      </c>
      <c r="F227" s="19">
        <v>462627</v>
      </c>
      <c r="G227" s="19">
        <v>187642</v>
      </c>
      <c r="H227" s="19">
        <v>56151</v>
      </c>
      <c r="I227" s="25" t="s">
        <v>359</v>
      </c>
      <c r="J227" s="27">
        <f t="shared" si="18"/>
        <v>44610</v>
      </c>
      <c r="K227" s="27">
        <f t="shared" si="19"/>
        <v>363077</v>
      </c>
      <c r="L227" s="27">
        <f t="shared" si="20"/>
        <v>318467</v>
      </c>
      <c r="M227" s="27">
        <f t="shared" si="21"/>
        <v>712358</v>
      </c>
      <c r="N227" s="30">
        <f t="shared" si="22"/>
        <v>0.40341888888888888</v>
      </c>
      <c r="O227" s="30">
        <f t="shared" si="23"/>
        <v>0.2084911111111111</v>
      </c>
      <c r="P227" s="52"/>
    </row>
    <row r="228" spans="1:16" ht="16.5" customHeight="1" thickBot="1" x14ac:dyDescent="0.25">
      <c r="A228" s="21" t="s">
        <v>360</v>
      </c>
      <c r="B228" s="19">
        <v>100000</v>
      </c>
      <c r="C228" s="19">
        <v>90586</v>
      </c>
      <c r="D228" s="19">
        <v>90435</v>
      </c>
      <c r="E228" s="19">
        <v>90257</v>
      </c>
      <c r="F228" s="19">
        <v>90257</v>
      </c>
      <c r="G228" s="19">
        <v>78302</v>
      </c>
      <c r="H228" s="19">
        <v>78302</v>
      </c>
      <c r="I228" s="25" t="s">
        <v>361</v>
      </c>
      <c r="J228" s="27">
        <f t="shared" si="18"/>
        <v>151</v>
      </c>
      <c r="K228" s="27">
        <f t="shared" si="19"/>
        <v>329</v>
      </c>
      <c r="L228" s="27">
        <f t="shared" si="20"/>
        <v>178</v>
      </c>
      <c r="M228" s="27">
        <f t="shared" si="21"/>
        <v>12284</v>
      </c>
      <c r="N228" s="30">
        <f t="shared" si="22"/>
        <v>3.6319078003223455E-3</v>
      </c>
      <c r="O228" s="30">
        <f t="shared" si="23"/>
        <v>0.8643940564767183</v>
      </c>
      <c r="P228" s="52"/>
    </row>
    <row r="229" spans="1:16" ht="16.5" customHeight="1" thickBot="1" x14ac:dyDescent="0.25">
      <c r="A229" s="21" t="s">
        <v>362</v>
      </c>
      <c r="B229" s="19">
        <v>5141948</v>
      </c>
      <c r="C229" s="19">
        <v>5701948</v>
      </c>
      <c r="D229" s="19">
        <v>5519793</v>
      </c>
      <c r="E229" s="19">
        <v>4676614</v>
      </c>
      <c r="F229" s="19">
        <v>4339281</v>
      </c>
      <c r="G229" s="19">
        <v>2802265</v>
      </c>
      <c r="H229" s="19">
        <v>2679651</v>
      </c>
      <c r="I229" s="25" t="s">
        <v>363</v>
      </c>
      <c r="J229" s="27">
        <f t="shared" si="18"/>
        <v>182155</v>
      </c>
      <c r="K229" s="27">
        <f t="shared" si="19"/>
        <v>1025334</v>
      </c>
      <c r="L229" s="27">
        <f t="shared" si="20"/>
        <v>843179</v>
      </c>
      <c r="M229" s="27">
        <f t="shared" si="21"/>
        <v>2899683</v>
      </c>
      <c r="N229" s="30">
        <f t="shared" si="22"/>
        <v>0.17982170303903158</v>
      </c>
      <c r="O229" s="30">
        <f t="shared" si="23"/>
        <v>0.49145748084689655</v>
      </c>
      <c r="P229" s="52"/>
    </row>
    <row r="230" spans="1:16" ht="16.5" customHeight="1" thickBot="1" x14ac:dyDescent="0.25">
      <c r="A230" s="21" t="s">
        <v>364</v>
      </c>
      <c r="B230" s="19">
        <v>100000</v>
      </c>
      <c r="C230" s="20">
        <v>0</v>
      </c>
      <c r="D230" s="20">
        <v>0</v>
      </c>
      <c r="E230" s="20">
        <v>0</v>
      </c>
      <c r="F230" s="20">
        <v>0</v>
      </c>
      <c r="G230" s="20">
        <v>0</v>
      </c>
      <c r="H230" s="20">
        <v>0</v>
      </c>
      <c r="I230" s="25" t="s">
        <v>25</v>
      </c>
      <c r="J230" s="27">
        <f t="shared" si="18"/>
        <v>0</v>
      </c>
      <c r="K230" s="27">
        <f t="shared" si="19"/>
        <v>0</v>
      </c>
      <c r="L230" s="27">
        <f t="shared" si="20"/>
        <v>0</v>
      </c>
      <c r="M230" s="27">
        <f t="shared" si="21"/>
        <v>0</v>
      </c>
      <c r="N230" s="30" t="str">
        <f t="shared" si="22"/>
        <v xml:space="preserve"> </v>
      </c>
      <c r="O230" s="30" t="str">
        <f t="shared" si="23"/>
        <v>ERROR</v>
      </c>
      <c r="P230" s="52"/>
    </row>
    <row r="231" spans="1:16" ht="16.5" customHeight="1" thickBot="1" x14ac:dyDescent="0.25">
      <c r="A231" s="21" t="s">
        <v>365</v>
      </c>
      <c r="B231" s="19">
        <v>16501</v>
      </c>
      <c r="C231" s="19">
        <v>4106961</v>
      </c>
      <c r="D231" s="19">
        <v>3355560</v>
      </c>
      <c r="E231" s="19">
        <v>2782791</v>
      </c>
      <c r="F231" s="19">
        <v>2770315</v>
      </c>
      <c r="G231" s="19">
        <v>1831599</v>
      </c>
      <c r="H231" s="19">
        <v>1738435</v>
      </c>
      <c r="I231" s="25" t="s">
        <v>366</v>
      </c>
      <c r="J231" s="27">
        <f t="shared" si="18"/>
        <v>751401</v>
      </c>
      <c r="K231" s="27">
        <f t="shared" si="19"/>
        <v>1324170</v>
      </c>
      <c r="L231" s="27">
        <f t="shared" si="20"/>
        <v>572769</v>
      </c>
      <c r="M231" s="27">
        <f t="shared" si="21"/>
        <v>2275362</v>
      </c>
      <c r="N231" s="30">
        <f t="shared" si="22"/>
        <v>0.32242088493170495</v>
      </c>
      <c r="O231" s="30">
        <f t="shared" si="23"/>
        <v>0.44597428609621564</v>
      </c>
      <c r="P231" s="52"/>
    </row>
    <row r="232" spans="1:16" ht="16.5" customHeight="1" thickBot="1" x14ac:dyDescent="0.25">
      <c r="A232" s="21" t="s">
        <v>367</v>
      </c>
      <c r="B232" s="19">
        <v>7834316</v>
      </c>
      <c r="C232" s="19">
        <v>267289</v>
      </c>
      <c r="D232" s="19">
        <v>267284</v>
      </c>
      <c r="E232" s="19">
        <v>267284</v>
      </c>
      <c r="F232" s="19">
        <v>267284</v>
      </c>
      <c r="G232" s="19">
        <v>245284</v>
      </c>
      <c r="H232" s="19">
        <v>241683</v>
      </c>
      <c r="I232" s="25" t="s">
        <v>130</v>
      </c>
      <c r="J232" s="27">
        <f t="shared" si="18"/>
        <v>5</v>
      </c>
      <c r="K232" s="27">
        <f t="shared" si="19"/>
        <v>5</v>
      </c>
      <c r="L232" s="27">
        <f t="shared" si="20"/>
        <v>0</v>
      </c>
      <c r="M232" s="27">
        <f t="shared" si="21"/>
        <v>22005</v>
      </c>
      <c r="N232" s="30">
        <f t="shared" si="22"/>
        <v>1.8706344069527738E-5</v>
      </c>
      <c r="O232" s="30">
        <f t="shared" si="23"/>
        <v>0.9176733797500084</v>
      </c>
      <c r="P232" s="52"/>
    </row>
    <row r="233" spans="1:16" ht="16.5" customHeight="1" thickBot="1" x14ac:dyDescent="0.25">
      <c r="A233" s="21" t="s">
        <v>368</v>
      </c>
      <c r="B233" s="19">
        <v>100000</v>
      </c>
      <c r="C233" s="20">
        <v>0</v>
      </c>
      <c r="D233" s="20">
        <v>0</v>
      </c>
      <c r="E233" s="20">
        <v>0</v>
      </c>
      <c r="F233" s="20">
        <v>0</v>
      </c>
      <c r="G233" s="20">
        <v>0</v>
      </c>
      <c r="H233" s="20">
        <v>0</v>
      </c>
      <c r="I233" s="25" t="s">
        <v>25</v>
      </c>
      <c r="J233" s="27">
        <f t="shared" si="18"/>
        <v>0</v>
      </c>
      <c r="K233" s="27">
        <f t="shared" si="19"/>
        <v>0</v>
      </c>
      <c r="L233" s="27">
        <f t="shared" si="20"/>
        <v>0</v>
      </c>
      <c r="M233" s="27">
        <f t="shared" si="21"/>
        <v>0</v>
      </c>
      <c r="N233" s="30" t="str">
        <f t="shared" si="22"/>
        <v xml:space="preserve"> </v>
      </c>
      <c r="O233" s="30" t="str">
        <f t="shared" si="23"/>
        <v>ERROR</v>
      </c>
      <c r="P233" s="52"/>
    </row>
    <row r="234" spans="1:16" ht="16.5" customHeight="1" thickBot="1" x14ac:dyDescent="0.3">
      <c r="A234" s="21" t="s">
        <v>369</v>
      </c>
      <c r="B234" s="19">
        <v>100000</v>
      </c>
      <c r="C234" s="28">
        <v>304829</v>
      </c>
      <c r="D234" s="29">
        <v>0</v>
      </c>
      <c r="E234" s="29">
        <v>0</v>
      </c>
      <c r="F234" s="29">
        <v>0</v>
      </c>
      <c r="G234" s="29">
        <v>0</v>
      </c>
      <c r="H234" s="20">
        <v>0</v>
      </c>
      <c r="I234" s="25" t="s">
        <v>25</v>
      </c>
      <c r="J234" s="27">
        <f t="shared" si="18"/>
        <v>304829</v>
      </c>
      <c r="K234" s="27">
        <f t="shared" si="19"/>
        <v>304829</v>
      </c>
      <c r="L234" s="27">
        <f t="shared" si="20"/>
        <v>0</v>
      </c>
      <c r="M234" s="27">
        <f t="shared" si="21"/>
        <v>304829</v>
      </c>
      <c r="N234" s="30">
        <f t="shared" si="22"/>
        <v>1</v>
      </c>
      <c r="O234" s="30">
        <f t="shared" si="23"/>
        <v>0</v>
      </c>
      <c r="P234" s="52" t="s">
        <v>659</v>
      </c>
    </row>
    <row r="235" spans="1:16" ht="16.5" customHeight="1" thickBot="1" x14ac:dyDescent="0.3">
      <c r="A235" s="21" t="s">
        <v>370</v>
      </c>
      <c r="B235" s="19">
        <v>700000</v>
      </c>
      <c r="C235" s="28">
        <v>500172</v>
      </c>
      <c r="D235" s="29">
        <v>0</v>
      </c>
      <c r="E235" s="29">
        <v>0</v>
      </c>
      <c r="F235" s="29">
        <v>0</v>
      </c>
      <c r="G235" s="29">
        <v>0</v>
      </c>
      <c r="H235" s="20">
        <v>0</v>
      </c>
      <c r="I235" s="25" t="s">
        <v>25</v>
      </c>
      <c r="J235" s="27">
        <f t="shared" si="18"/>
        <v>500172</v>
      </c>
      <c r="K235" s="27">
        <f t="shared" si="19"/>
        <v>500172</v>
      </c>
      <c r="L235" s="27">
        <f t="shared" si="20"/>
        <v>0</v>
      </c>
      <c r="M235" s="27">
        <f t="shared" si="21"/>
        <v>500172</v>
      </c>
      <c r="N235" s="30">
        <f t="shared" si="22"/>
        <v>1</v>
      </c>
      <c r="O235" s="30">
        <f t="shared" si="23"/>
        <v>0</v>
      </c>
      <c r="P235" s="52" t="s">
        <v>659</v>
      </c>
    </row>
    <row r="236" spans="1:16" ht="16.5" customHeight="1" thickBot="1" x14ac:dyDescent="0.25">
      <c r="A236" s="21" t="s">
        <v>371</v>
      </c>
      <c r="B236" s="20">
        <v>0</v>
      </c>
      <c r="C236" s="19">
        <v>10277</v>
      </c>
      <c r="D236" s="19">
        <v>9570</v>
      </c>
      <c r="E236" s="19">
        <v>9570</v>
      </c>
      <c r="F236" s="19">
        <v>9565</v>
      </c>
      <c r="G236" s="19">
        <v>9565</v>
      </c>
      <c r="H236" s="19">
        <v>9565</v>
      </c>
      <c r="I236" s="25" t="s">
        <v>372</v>
      </c>
      <c r="J236" s="27">
        <f t="shared" si="18"/>
        <v>707</v>
      </c>
      <c r="K236" s="27">
        <f t="shared" si="19"/>
        <v>707</v>
      </c>
      <c r="L236" s="27">
        <f t="shared" si="20"/>
        <v>0</v>
      </c>
      <c r="M236" s="27">
        <f t="shared" si="21"/>
        <v>712</v>
      </c>
      <c r="N236" s="30">
        <f t="shared" si="22"/>
        <v>6.8794395251532553E-2</v>
      </c>
      <c r="O236" s="30">
        <f t="shared" si="23"/>
        <v>0.93071908144400117</v>
      </c>
      <c r="P236" s="52"/>
    </row>
    <row r="237" spans="1:16" ht="16.5" customHeight="1" thickBot="1" x14ac:dyDescent="0.25">
      <c r="A237" s="21" t="s">
        <v>373</v>
      </c>
      <c r="B237" s="20">
        <v>0</v>
      </c>
      <c r="C237" s="19">
        <v>225183</v>
      </c>
      <c r="D237" s="19">
        <v>180000</v>
      </c>
      <c r="E237" s="19">
        <v>180000</v>
      </c>
      <c r="F237" s="19">
        <v>179898</v>
      </c>
      <c r="G237" s="19">
        <v>179898</v>
      </c>
      <c r="H237" s="19">
        <v>179898</v>
      </c>
      <c r="I237" s="25" t="s">
        <v>374</v>
      </c>
      <c r="J237" s="27">
        <f t="shared" si="18"/>
        <v>45183</v>
      </c>
      <c r="K237" s="27">
        <f t="shared" si="19"/>
        <v>45183</v>
      </c>
      <c r="L237" s="27">
        <f t="shared" si="20"/>
        <v>0</v>
      </c>
      <c r="M237" s="27">
        <f t="shared" si="21"/>
        <v>45285</v>
      </c>
      <c r="N237" s="30">
        <f t="shared" si="22"/>
        <v>0.20065013788785122</v>
      </c>
      <c r="O237" s="30">
        <f t="shared" si="23"/>
        <v>0.79889689719028523</v>
      </c>
      <c r="P237" s="52"/>
    </row>
    <row r="238" spans="1:16" ht="16.5" customHeight="1" thickBot="1" x14ac:dyDescent="0.25">
      <c r="A238" s="21" t="s">
        <v>375</v>
      </c>
      <c r="B238" s="19">
        <v>2028388</v>
      </c>
      <c r="C238" s="19">
        <v>2038388</v>
      </c>
      <c r="D238" s="19">
        <v>2031211</v>
      </c>
      <c r="E238" s="19">
        <v>2031210</v>
      </c>
      <c r="F238" s="19">
        <v>1714604</v>
      </c>
      <c r="G238" s="19">
        <v>1711781</v>
      </c>
      <c r="H238" s="19">
        <v>1711781</v>
      </c>
      <c r="I238" s="25" t="s">
        <v>376</v>
      </c>
      <c r="J238" s="27">
        <f t="shared" si="18"/>
        <v>7177</v>
      </c>
      <c r="K238" s="27">
        <f t="shared" si="19"/>
        <v>7178</v>
      </c>
      <c r="L238" s="27">
        <f t="shared" si="20"/>
        <v>1</v>
      </c>
      <c r="M238" s="27">
        <f t="shared" si="21"/>
        <v>326607</v>
      </c>
      <c r="N238" s="30">
        <f t="shared" si="22"/>
        <v>3.5214100553967154E-3</v>
      </c>
      <c r="O238" s="30">
        <f t="shared" si="23"/>
        <v>0.83977191780956328</v>
      </c>
      <c r="P238" s="52"/>
    </row>
    <row r="239" spans="1:16" ht="16.5" customHeight="1" thickBot="1" x14ac:dyDescent="0.25">
      <c r="A239" s="21" t="s">
        <v>377</v>
      </c>
      <c r="B239" s="19">
        <v>3796481</v>
      </c>
      <c r="C239" s="19">
        <v>3796481</v>
      </c>
      <c r="D239" s="19">
        <v>3705791</v>
      </c>
      <c r="E239" s="19">
        <v>3372727</v>
      </c>
      <c r="F239" s="19">
        <v>1919373</v>
      </c>
      <c r="G239" s="19">
        <v>1897533</v>
      </c>
      <c r="H239" s="19">
        <v>1895587</v>
      </c>
      <c r="I239" s="25" t="s">
        <v>378</v>
      </c>
      <c r="J239" s="27">
        <f t="shared" si="18"/>
        <v>90690</v>
      </c>
      <c r="K239" s="27">
        <f t="shared" si="19"/>
        <v>423754</v>
      </c>
      <c r="L239" s="27">
        <f t="shared" si="20"/>
        <v>333064</v>
      </c>
      <c r="M239" s="27">
        <f t="shared" si="21"/>
        <v>1898948</v>
      </c>
      <c r="N239" s="30">
        <f t="shared" si="22"/>
        <v>0.11161757427470334</v>
      </c>
      <c r="O239" s="30">
        <f t="shared" si="23"/>
        <v>0.49981364321328092</v>
      </c>
      <c r="P239" s="52"/>
    </row>
    <row r="240" spans="1:16" ht="16.5" customHeight="1" thickBot="1" x14ac:dyDescent="0.25">
      <c r="A240" s="21" t="s">
        <v>379</v>
      </c>
      <c r="B240" s="19">
        <v>2575916</v>
      </c>
      <c r="C240" s="19">
        <v>2575916</v>
      </c>
      <c r="D240" s="19">
        <v>2503779</v>
      </c>
      <c r="E240" s="19">
        <v>2111560</v>
      </c>
      <c r="F240" s="19">
        <v>31387</v>
      </c>
      <c r="G240" s="19">
        <v>23527</v>
      </c>
      <c r="H240" s="19">
        <v>23527</v>
      </c>
      <c r="I240" s="25" t="s">
        <v>380</v>
      </c>
      <c r="J240" s="27">
        <f t="shared" si="18"/>
        <v>72137</v>
      </c>
      <c r="K240" s="27">
        <f t="shared" si="19"/>
        <v>464356</v>
      </c>
      <c r="L240" s="27">
        <f t="shared" si="20"/>
        <v>392219</v>
      </c>
      <c r="M240" s="27">
        <f t="shared" si="21"/>
        <v>2552389</v>
      </c>
      <c r="N240" s="30">
        <f t="shared" si="22"/>
        <v>0.18026830067440086</v>
      </c>
      <c r="O240" s="30">
        <f t="shared" si="23"/>
        <v>9.1334500038044719E-3</v>
      </c>
      <c r="P240" s="52"/>
    </row>
    <row r="241" spans="1:16" ht="16.5" customHeight="1" thickBot="1" x14ac:dyDescent="0.3">
      <c r="A241" s="21" t="s">
        <v>381</v>
      </c>
      <c r="B241" s="19">
        <v>1515300</v>
      </c>
      <c r="C241" s="36">
        <v>48882</v>
      </c>
      <c r="D241" s="36">
        <v>30000</v>
      </c>
      <c r="E241" s="37">
        <v>0</v>
      </c>
      <c r="F241" s="37">
        <v>0</v>
      </c>
      <c r="G241" s="37">
        <v>0</v>
      </c>
      <c r="H241" s="20">
        <v>0</v>
      </c>
      <c r="I241" s="25" t="s">
        <v>25</v>
      </c>
      <c r="J241" s="27">
        <f t="shared" si="18"/>
        <v>18882</v>
      </c>
      <c r="K241" s="27">
        <f t="shared" si="19"/>
        <v>48882</v>
      </c>
      <c r="L241" s="27">
        <f t="shared" si="20"/>
        <v>30000</v>
      </c>
      <c r="M241" s="27">
        <f t="shared" si="21"/>
        <v>48882</v>
      </c>
      <c r="N241" s="30">
        <f t="shared" si="22"/>
        <v>1</v>
      </c>
      <c r="O241" s="30">
        <f t="shared" si="23"/>
        <v>0</v>
      </c>
      <c r="P241" s="52" t="s">
        <v>659</v>
      </c>
    </row>
    <row r="242" spans="1:16" ht="16.5" customHeight="1" thickBot="1" x14ac:dyDescent="0.25">
      <c r="A242" s="21" t="s">
        <v>382</v>
      </c>
      <c r="B242" s="19">
        <v>1062638</v>
      </c>
      <c r="C242" s="19">
        <v>1075076</v>
      </c>
      <c r="D242" s="19">
        <v>1062250</v>
      </c>
      <c r="E242" s="19">
        <v>25418</v>
      </c>
      <c r="F242" s="19">
        <v>20822</v>
      </c>
      <c r="G242" s="19">
        <v>20822</v>
      </c>
      <c r="H242" s="19">
        <v>20822</v>
      </c>
      <c r="I242" s="25" t="s">
        <v>383</v>
      </c>
      <c r="J242" s="27">
        <f t="shared" si="18"/>
        <v>12826</v>
      </c>
      <c r="K242" s="27">
        <f t="shared" si="19"/>
        <v>1049658</v>
      </c>
      <c r="L242" s="27">
        <f t="shared" si="20"/>
        <v>1036832</v>
      </c>
      <c r="M242" s="27">
        <f t="shared" si="21"/>
        <v>1054254</v>
      </c>
      <c r="N242" s="30">
        <f t="shared" si="22"/>
        <v>0.97635702034088756</v>
      </c>
      <c r="O242" s="30">
        <f t="shared" si="23"/>
        <v>1.9367933057755918E-2</v>
      </c>
      <c r="P242" s="52"/>
    </row>
    <row r="243" spans="1:16" ht="16.5" customHeight="1" thickBot="1" x14ac:dyDescent="0.25">
      <c r="A243" s="21" t="s">
        <v>384</v>
      </c>
      <c r="B243" s="19">
        <v>800000</v>
      </c>
      <c r="C243" s="19">
        <v>230847</v>
      </c>
      <c r="D243" s="19">
        <v>230597</v>
      </c>
      <c r="E243" s="19">
        <v>230597</v>
      </c>
      <c r="F243" s="19">
        <v>228945</v>
      </c>
      <c r="G243" s="19">
        <v>178545</v>
      </c>
      <c r="H243" s="19">
        <v>178545</v>
      </c>
      <c r="I243" s="25" t="s">
        <v>385</v>
      </c>
      <c r="J243" s="27">
        <f t="shared" si="18"/>
        <v>250</v>
      </c>
      <c r="K243" s="27">
        <f t="shared" si="19"/>
        <v>250</v>
      </c>
      <c r="L243" s="27">
        <f t="shared" si="20"/>
        <v>0</v>
      </c>
      <c r="M243" s="27">
        <f t="shared" si="21"/>
        <v>52302</v>
      </c>
      <c r="N243" s="30">
        <f t="shared" si="22"/>
        <v>1.0829683729916351E-3</v>
      </c>
      <c r="O243" s="30">
        <f t="shared" si="23"/>
        <v>0.77343435262316595</v>
      </c>
      <c r="P243" s="52"/>
    </row>
    <row r="244" spans="1:16" ht="16.5" customHeight="1" thickBot="1" x14ac:dyDescent="0.3">
      <c r="A244" s="21" t="s">
        <v>386</v>
      </c>
      <c r="B244" s="19">
        <v>1349649</v>
      </c>
      <c r="C244" s="28">
        <v>1349649</v>
      </c>
      <c r="D244" s="29">
        <v>0</v>
      </c>
      <c r="E244" s="29">
        <v>0</v>
      </c>
      <c r="F244" s="29">
        <v>0</v>
      </c>
      <c r="G244" s="29">
        <v>0</v>
      </c>
      <c r="H244" s="20">
        <v>0</v>
      </c>
      <c r="I244" s="25" t="s">
        <v>25</v>
      </c>
      <c r="J244" s="27">
        <f t="shared" si="18"/>
        <v>1349649</v>
      </c>
      <c r="K244" s="27">
        <f t="shared" si="19"/>
        <v>1349649</v>
      </c>
      <c r="L244" s="27">
        <f t="shared" si="20"/>
        <v>0</v>
      </c>
      <c r="M244" s="27">
        <f t="shared" si="21"/>
        <v>1349649</v>
      </c>
      <c r="N244" s="30">
        <f t="shared" si="22"/>
        <v>1</v>
      </c>
      <c r="O244" s="30">
        <f t="shared" si="23"/>
        <v>0</v>
      </c>
      <c r="P244" s="52" t="s">
        <v>659</v>
      </c>
    </row>
    <row r="245" spans="1:16" ht="16.5" customHeight="1" thickBot="1" x14ac:dyDescent="0.3">
      <c r="A245" s="21" t="s">
        <v>387</v>
      </c>
      <c r="B245" s="19">
        <v>1893433</v>
      </c>
      <c r="C245" s="28">
        <v>25425</v>
      </c>
      <c r="D245" s="29">
        <v>0</v>
      </c>
      <c r="E245" s="29">
        <v>0</v>
      </c>
      <c r="F245" s="29">
        <v>0</v>
      </c>
      <c r="G245" s="29">
        <v>0</v>
      </c>
      <c r="H245" s="20">
        <v>0</v>
      </c>
      <c r="I245" s="25" t="s">
        <v>25</v>
      </c>
      <c r="J245" s="27">
        <f t="shared" si="18"/>
        <v>25425</v>
      </c>
      <c r="K245" s="27">
        <f t="shared" si="19"/>
        <v>25425</v>
      </c>
      <c r="L245" s="27">
        <f t="shared" si="20"/>
        <v>0</v>
      </c>
      <c r="M245" s="27">
        <f t="shared" si="21"/>
        <v>25425</v>
      </c>
      <c r="N245" s="30">
        <f t="shared" si="22"/>
        <v>1</v>
      </c>
      <c r="O245" s="30">
        <f t="shared" si="23"/>
        <v>0</v>
      </c>
      <c r="P245" s="52" t="s">
        <v>659</v>
      </c>
    </row>
    <row r="246" spans="1:16" ht="16.5" customHeight="1" thickBot="1" x14ac:dyDescent="0.3">
      <c r="A246" s="21" t="s">
        <v>388</v>
      </c>
      <c r="B246" s="19">
        <v>2054253</v>
      </c>
      <c r="C246" s="36">
        <v>2054253</v>
      </c>
      <c r="D246" s="36">
        <v>1854253</v>
      </c>
      <c r="E246" s="37">
        <v>0</v>
      </c>
      <c r="F246" s="37">
        <v>0</v>
      </c>
      <c r="G246" s="37">
        <v>0</v>
      </c>
      <c r="H246" s="20">
        <v>0</v>
      </c>
      <c r="I246" s="25" t="s">
        <v>25</v>
      </c>
      <c r="J246" s="27">
        <f t="shared" si="18"/>
        <v>200000</v>
      </c>
      <c r="K246" s="27">
        <f t="shared" si="19"/>
        <v>2054253</v>
      </c>
      <c r="L246" s="27">
        <f t="shared" si="20"/>
        <v>1854253</v>
      </c>
      <c r="M246" s="27">
        <f t="shared" si="21"/>
        <v>2054253</v>
      </c>
      <c r="N246" s="30">
        <f t="shared" si="22"/>
        <v>1</v>
      </c>
      <c r="O246" s="30">
        <f t="shared" si="23"/>
        <v>0</v>
      </c>
      <c r="P246" s="52" t="s">
        <v>659</v>
      </c>
    </row>
    <row r="247" spans="1:16" ht="16.5" customHeight="1" thickBot="1" x14ac:dyDescent="0.25">
      <c r="A247" s="21" t="s">
        <v>389</v>
      </c>
      <c r="B247" s="19">
        <v>2000000</v>
      </c>
      <c r="C247" s="19">
        <v>2167000</v>
      </c>
      <c r="D247" s="19">
        <v>1860545</v>
      </c>
      <c r="E247" s="19">
        <v>1856335</v>
      </c>
      <c r="F247" s="19">
        <v>54370</v>
      </c>
      <c r="G247" s="19">
        <v>33060</v>
      </c>
      <c r="H247" s="19">
        <v>33060</v>
      </c>
      <c r="I247" s="25" t="s">
        <v>193</v>
      </c>
      <c r="J247" s="27">
        <f t="shared" si="18"/>
        <v>306455</v>
      </c>
      <c r="K247" s="27">
        <f t="shared" si="19"/>
        <v>310665</v>
      </c>
      <c r="L247" s="27">
        <f t="shared" si="20"/>
        <v>4210</v>
      </c>
      <c r="M247" s="27">
        <f t="shared" si="21"/>
        <v>2133940</v>
      </c>
      <c r="N247" s="30">
        <f t="shared" si="22"/>
        <v>0.14336179049377018</v>
      </c>
      <c r="O247" s="30">
        <f t="shared" si="23"/>
        <v>1.5256114443931703E-2</v>
      </c>
      <c r="P247" s="52"/>
    </row>
    <row r="248" spans="1:16" ht="16.5" customHeight="1" thickBot="1" x14ac:dyDescent="0.3">
      <c r="A248" s="21" t="s">
        <v>390</v>
      </c>
      <c r="B248" s="19">
        <v>1556258</v>
      </c>
      <c r="C248" s="36">
        <v>4474004</v>
      </c>
      <c r="D248" s="36">
        <v>4473905</v>
      </c>
      <c r="E248" s="37">
        <v>0</v>
      </c>
      <c r="F248" s="37">
        <v>0</v>
      </c>
      <c r="G248" s="37">
        <v>0</v>
      </c>
      <c r="H248" s="20">
        <v>0</v>
      </c>
      <c r="I248" s="25" t="s">
        <v>25</v>
      </c>
      <c r="J248" s="27">
        <f t="shared" si="18"/>
        <v>99</v>
      </c>
      <c r="K248" s="27">
        <f t="shared" si="19"/>
        <v>4474004</v>
      </c>
      <c r="L248" s="27">
        <f t="shared" si="20"/>
        <v>4473905</v>
      </c>
      <c r="M248" s="27">
        <f t="shared" si="21"/>
        <v>4474004</v>
      </c>
      <c r="N248" s="30">
        <f t="shared" si="22"/>
        <v>1</v>
      </c>
      <c r="O248" s="30">
        <f t="shared" si="23"/>
        <v>0</v>
      </c>
      <c r="P248" s="52" t="s">
        <v>659</v>
      </c>
    </row>
    <row r="249" spans="1:16" ht="16.5" customHeight="1" thickBot="1" x14ac:dyDescent="0.25">
      <c r="A249" s="21" t="s">
        <v>391</v>
      </c>
      <c r="B249" s="19">
        <v>800000</v>
      </c>
      <c r="C249" s="19">
        <v>349206</v>
      </c>
      <c r="D249" s="19">
        <v>349206</v>
      </c>
      <c r="E249" s="19">
        <v>294147</v>
      </c>
      <c r="F249" s="19">
        <v>281689</v>
      </c>
      <c r="G249" s="19">
        <v>281441</v>
      </c>
      <c r="H249" s="19">
        <v>281441</v>
      </c>
      <c r="I249" s="25" t="s">
        <v>392</v>
      </c>
      <c r="J249" s="27">
        <f t="shared" si="18"/>
        <v>0</v>
      </c>
      <c r="K249" s="27">
        <f t="shared" si="19"/>
        <v>55059</v>
      </c>
      <c r="L249" s="27">
        <f t="shared" si="20"/>
        <v>55059</v>
      </c>
      <c r="M249" s="27">
        <f t="shared" si="21"/>
        <v>67765</v>
      </c>
      <c r="N249" s="30">
        <f t="shared" si="22"/>
        <v>0.15766911221456675</v>
      </c>
      <c r="O249" s="30">
        <f t="shared" si="23"/>
        <v>0.80594548776366959</v>
      </c>
      <c r="P249" s="52"/>
    </row>
    <row r="250" spans="1:16" ht="16.5" customHeight="1" thickBot="1" x14ac:dyDescent="0.25">
      <c r="A250" s="21" t="s">
        <v>393</v>
      </c>
      <c r="B250" s="19">
        <v>500000</v>
      </c>
      <c r="C250" s="19">
        <v>239379</v>
      </c>
      <c r="D250" s="19">
        <v>211500</v>
      </c>
      <c r="E250" s="19">
        <v>211500</v>
      </c>
      <c r="F250" s="19">
        <v>141647</v>
      </c>
      <c r="G250" s="19">
        <v>95147</v>
      </c>
      <c r="H250" s="19">
        <v>91145</v>
      </c>
      <c r="I250" s="25" t="s">
        <v>394</v>
      </c>
      <c r="J250" s="27">
        <f t="shared" si="18"/>
        <v>27879</v>
      </c>
      <c r="K250" s="27">
        <f t="shared" si="19"/>
        <v>27879</v>
      </c>
      <c r="L250" s="27">
        <f t="shared" si="20"/>
        <v>0</v>
      </c>
      <c r="M250" s="27">
        <f t="shared" si="21"/>
        <v>144232</v>
      </c>
      <c r="N250" s="30">
        <f t="shared" si="22"/>
        <v>0.11646385021242465</v>
      </c>
      <c r="O250" s="30">
        <f t="shared" si="23"/>
        <v>0.39747429807961432</v>
      </c>
      <c r="P250" s="52"/>
    </row>
    <row r="251" spans="1:16" ht="16.5" customHeight="1" thickBot="1" x14ac:dyDescent="0.25">
      <c r="A251" s="21" t="s">
        <v>395</v>
      </c>
      <c r="B251" s="19">
        <v>50000</v>
      </c>
      <c r="C251" s="19">
        <v>50000</v>
      </c>
      <c r="D251" s="19">
        <v>50000</v>
      </c>
      <c r="E251" s="19">
        <v>50000</v>
      </c>
      <c r="F251" s="19">
        <v>47929</v>
      </c>
      <c r="G251" s="19">
        <v>47929</v>
      </c>
      <c r="H251" s="19">
        <v>44627</v>
      </c>
      <c r="I251" s="25" t="s">
        <v>396</v>
      </c>
      <c r="J251" s="27">
        <f t="shared" si="18"/>
        <v>0</v>
      </c>
      <c r="K251" s="27">
        <f t="shared" si="19"/>
        <v>0</v>
      </c>
      <c r="L251" s="27">
        <f t="shared" si="20"/>
        <v>0</v>
      </c>
      <c r="M251" s="27">
        <f t="shared" si="21"/>
        <v>2071</v>
      </c>
      <c r="N251" s="30">
        <f t="shared" si="22"/>
        <v>0</v>
      </c>
      <c r="O251" s="30">
        <f t="shared" si="23"/>
        <v>0.95857999999999999</v>
      </c>
      <c r="P251" s="52"/>
    </row>
    <row r="252" spans="1:16" ht="16.5" customHeight="1" thickBot="1" x14ac:dyDescent="0.25">
      <c r="A252" s="21" t="s">
        <v>397</v>
      </c>
      <c r="B252" s="19">
        <v>50000</v>
      </c>
      <c r="C252" s="20">
        <v>0</v>
      </c>
      <c r="D252" s="20">
        <v>0</v>
      </c>
      <c r="E252" s="20">
        <v>0</v>
      </c>
      <c r="F252" s="20">
        <v>0</v>
      </c>
      <c r="G252" s="20">
        <v>0</v>
      </c>
      <c r="H252" s="20">
        <v>0</v>
      </c>
      <c r="I252" s="25" t="s">
        <v>25</v>
      </c>
      <c r="J252" s="27">
        <f t="shared" si="18"/>
        <v>0</v>
      </c>
      <c r="K252" s="27">
        <f t="shared" si="19"/>
        <v>0</v>
      </c>
      <c r="L252" s="27">
        <f t="shared" si="20"/>
        <v>0</v>
      </c>
      <c r="M252" s="27">
        <f t="shared" si="21"/>
        <v>0</v>
      </c>
      <c r="N252" s="30" t="str">
        <f t="shared" si="22"/>
        <v xml:space="preserve"> </v>
      </c>
      <c r="O252" s="30" t="str">
        <f t="shared" si="23"/>
        <v>ERROR</v>
      </c>
      <c r="P252" s="52"/>
    </row>
    <row r="253" spans="1:16" ht="16.5" customHeight="1" thickBot="1" x14ac:dyDescent="0.25">
      <c r="A253" s="21" t="s">
        <v>398</v>
      </c>
      <c r="B253" s="19">
        <v>50000</v>
      </c>
      <c r="C253" s="19">
        <v>82042</v>
      </c>
      <c r="D253" s="19">
        <v>73137</v>
      </c>
      <c r="E253" s="19">
        <v>53137</v>
      </c>
      <c r="F253" s="19">
        <v>48347</v>
      </c>
      <c r="G253" s="19">
        <v>48347</v>
      </c>
      <c r="H253" s="19">
        <v>48347</v>
      </c>
      <c r="I253" s="25" t="s">
        <v>399</v>
      </c>
      <c r="J253" s="27">
        <f t="shared" si="18"/>
        <v>8905</v>
      </c>
      <c r="K253" s="27">
        <f t="shared" si="19"/>
        <v>28905</v>
      </c>
      <c r="L253" s="27">
        <f t="shared" si="20"/>
        <v>20000</v>
      </c>
      <c r="M253" s="27">
        <f t="shared" si="21"/>
        <v>33695</v>
      </c>
      <c r="N253" s="30">
        <f t="shared" si="22"/>
        <v>0.3523195436483752</v>
      </c>
      <c r="O253" s="30">
        <f t="shared" si="23"/>
        <v>0.58929572657906926</v>
      </c>
      <c r="P253" s="52"/>
    </row>
    <row r="254" spans="1:16" ht="16.5" customHeight="1" thickBot="1" x14ac:dyDescent="0.25">
      <c r="A254" s="21" t="s">
        <v>400</v>
      </c>
      <c r="B254" s="19">
        <v>50000</v>
      </c>
      <c r="C254" s="20">
        <v>0</v>
      </c>
      <c r="D254" s="20">
        <v>0</v>
      </c>
      <c r="E254" s="20">
        <v>0</v>
      </c>
      <c r="F254" s="20">
        <v>0</v>
      </c>
      <c r="G254" s="20">
        <v>0</v>
      </c>
      <c r="H254" s="20">
        <v>0</v>
      </c>
      <c r="I254" s="25" t="s">
        <v>25</v>
      </c>
      <c r="J254" s="27">
        <f t="shared" si="18"/>
        <v>0</v>
      </c>
      <c r="K254" s="27">
        <f t="shared" si="19"/>
        <v>0</v>
      </c>
      <c r="L254" s="27">
        <f t="shared" si="20"/>
        <v>0</v>
      </c>
      <c r="M254" s="27">
        <f t="shared" si="21"/>
        <v>0</v>
      </c>
      <c r="N254" s="30" t="str">
        <f t="shared" si="22"/>
        <v xml:space="preserve"> </v>
      </c>
      <c r="O254" s="30" t="str">
        <f t="shared" si="23"/>
        <v>ERROR</v>
      </c>
      <c r="P254" s="52"/>
    </row>
    <row r="255" spans="1:16" ht="16.5" customHeight="1" thickBot="1" x14ac:dyDescent="0.25">
      <c r="A255" s="21" t="s">
        <v>401</v>
      </c>
      <c r="B255" s="19">
        <v>50000</v>
      </c>
      <c r="C255" s="19">
        <v>72190</v>
      </c>
      <c r="D255" s="19">
        <v>62384</v>
      </c>
      <c r="E255" s="19">
        <v>62384</v>
      </c>
      <c r="F255" s="19">
        <v>59404</v>
      </c>
      <c r="G255" s="19">
        <v>59404</v>
      </c>
      <c r="H255" s="19">
        <v>56102</v>
      </c>
      <c r="I255" s="25" t="s">
        <v>44</v>
      </c>
      <c r="J255" s="27">
        <f t="shared" si="18"/>
        <v>9806</v>
      </c>
      <c r="K255" s="27">
        <f t="shared" si="19"/>
        <v>9806</v>
      </c>
      <c r="L255" s="27">
        <f t="shared" si="20"/>
        <v>0</v>
      </c>
      <c r="M255" s="27">
        <f t="shared" si="21"/>
        <v>12786</v>
      </c>
      <c r="N255" s="30">
        <f t="shared" si="22"/>
        <v>0.13583598836403935</v>
      </c>
      <c r="O255" s="30">
        <f t="shared" si="23"/>
        <v>0.82288405596342984</v>
      </c>
      <c r="P255" s="52"/>
    </row>
    <row r="256" spans="1:16" ht="16.5" customHeight="1" thickBot="1" x14ac:dyDescent="0.25">
      <c r="A256" s="21" t="s">
        <v>402</v>
      </c>
      <c r="B256" s="19">
        <v>50000</v>
      </c>
      <c r="C256" s="19">
        <v>69837</v>
      </c>
      <c r="D256" s="19">
        <v>50000</v>
      </c>
      <c r="E256" s="19">
        <v>50000</v>
      </c>
      <c r="F256" s="19">
        <v>24166</v>
      </c>
      <c r="G256" s="19">
        <v>24166</v>
      </c>
      <c r="H256" s="19">
        <v>24166</v>
      </c>
      <c r="I256" s="25" t="s">
        <v>403</v>
      </c>
      <c r="J256" s="27">
        <f t="shared" si="18"/>
        <v>19837</v>
      </c>
      <c r="K256" s="27">
        <f t="shared" si="19"/>
        <v>19837</v>
      </c>
      <c r="L256" s="27">
        <f t="shared" si="20"/>
        <v>0</v>
      </c>
      <c r="M256" s="27">
        <f t="shared" si="21"/>
        <v>45671</v>
      </c>
      <c r="N256" s="30">
        <f t="shared" si="22"/>
        <v>0.28404713833641193</v>
      </c>
      <c r="O256" s="30">
        <f t="shared" si="23"/>
        <v>0.34603433709924536</v>
      </c>
      <c r="P256" s="52"/>
    </row>
    <row r="257" spans="1:16" ht="16.5" customHeight="1" thickBot="1" x14ac:dyDescent="0.25">
      <c r="A257" s="21" t="s">
        <v>404</v>
      </c>
      <c r="B257" s="19">
        <v>50000</v>
      </c>
      <c r="C257" s="19">
        <v>50000</v>
      </c>
      <c r="D257" s="19">
        <v>50000</v>
      </c>
      <c r="E257" s="19">
        <v>50000</v>
      </c>
      <c r="F257" s="19">
        <v>48542</v>
      </c>
      <c r="G257" s="19">
        <v>48542</v>
      </c>
      <c r="H257" s="19">
        <v>48542</v>
      </c>
      <c r="I257" s="25" t="s">
        <v>405</v>
      </c>
      <c r="J257" s="27">
        <f t="shared" si="18"/>
        <v>0</v>
      </c>
      <c r="K257" s="27">
        <f t="shared" si="19"/>
        <v>0</v>
      </c>
      <c r="L257" s="27">
        <f t="shared" si="20"/>
        <v>0</v>
      </c>
      <c r="M257" s="27">
        <f t="shared" si="21"/>
        <v>1458</v>
      </c>
      <c r="N257" s="30">
        <f t="shared" si="22"/>
        <v>0</v>
      </c>
      <c r="O257" s="30">
        <f t="shared" si="23"/>
        <v>0.97084000000000004</v>
      </c>
      <c r="P257" s="52"/>
    </row>
    <row r="258" spans="1:16" ht="16.5" customHeight="1" thickBot="1" x14ac:dyDescent="0.25">
      <c r="A258" s="21" t="s">
        <v>406</v>
      </c>
      <c r="B258" s="19">
        <v>50000</v>
      </c>
      <c r="C258" s="19">
        <v>304060</v>
      </c>
      <c r="D258" s="19">
        <v>291998</v>
      </c>
      <c r="E258" s="19">
        <v>291998</v>
      </c>
      <c r="F258" s="19">
        <v>274647</v>
      </c>
      <c r="G258" s="19">
        <v>267447</v>
      </c>
      <c r="H258" s="19">
        <v>257264</v>
      </c>
      <c r="I258" s="25" t="s">
        <v>407</v>
      </c>
      <c r="J258" s="27">
        <f t="shared" si="18"/>
        <v>12062</v>
      </c>
      <c r="K258" s="27">
        <f t="shared" si="19"/>
        <v>12062</v>
      </c>
      <c r="L258" s="27">
        <f t="shared" si="20"/>
        <v>0</v>
      </c>
      <c r="M258" s="27">
        <f t="shared" si="21"/>
        <v>36613</v>
      </c>
      <c r="N258" s="30">
        <f t="shared" si="22"/>
        <v>3.9669802012760637E-2</v>
      </c>
      <c r="O258" s="30">
        <f t="shared" si="23"/>
        <v>0.87958626586857858</v>
      </c>
      <c r="P258" s="52"/>
    </row>
    <row r="259" spans="1:16" ht="16.5" customHeight="1" thickBot="1" x14ac:dyDescent="0.25">
      <c r="A259" s="21" t="s">
        <v>408</v>
      </c>
      <c r="B259" s="19">
        <v>50000</v>
      </c>
      <c r="C259" s="20">
        <v>0</v>
      </c>
      <c r="D259" s="20">
        <v>0</v>
      </c>
      <c r="E259" s="20">
        <v>0</v>
      </c>
      <c r="F259" s="20">
        <v>0</v>
      </c>
      <c r="G259" s="20">
        <v>0</v>
      </c>
      <c r="H259" s="20">
        <v>0</v>
      </c>
      <c r="I259" s="25" t="s">
        <v>25</v>
      </c>
      <c r="J259" s="27">
        <f t="shared" si="18"/>
        <v>0</v>
      </c>
      <c r="K259" s="27">
        <f t="shared" si="19"/>
        <v>0</v>
      </c>
      <c r="L259" s="27">
        <f t="shared" si="20"/>
        <v>0</v>
      </c>
      <c r="M259" s="27">
        <f t="shared" si="21"/>
        <v>0</v>
      </c>
      <c r="N259" s="30" t="str">
        <f t="shared" si="22"/>
        <v xml:space="preserve"> </v>
      </c>
      <c r="O259" s="30" t="str">
        <f t="shared" si="23"/>
        <v>ERROR</v>
      </c>
      <c r="P259" s="52"/>
    </row>
    <row r="260" spans="1:16" ht="16.5" customHeight="1" thickBot="1" x14ac:dyDescent="0.25">
      <c r="A260" s="21" t="s">
        <v>409</v>
      </c>
      <c r="B260" s="19">
        <v>50000</v>
      </c>
      <c r="C260" s="20">
        <v>0</v>
      </c>
      <c r="D260" s="20">
        <v>0</v>
      </c>
      <c r="E260" s="20">
        <v>0</v>
      </c>
      <c r="F260" s="20">
        <v>0</v>
      </c>
      <c r="G260" s="20">
        <v>0</v>
      </c>
      <c r="H260" s="20">
        <v>0</v>
      </c>
      <c r="I260" s="25" t="s">
        <v>25</v>
      </c>
      <c r="J260" s="27">
        <f t="shared" si="18"/>
        <v>0</v>
      </c>
      <c r="K260" s="27">
        <f t="shared" si="19"/>
        <v>0</v>
      </c>
      <c r="L260" s="27">
        <f t="shared" si="20"/>
        <v>0</v>
      </c>
      <c r="M260" s="27">
        <f t="shared" si="21"/>
        <v>0</v>
      </c>
      <c r="N260" s="30" t="str">
        <f t="shared" si="22"/>
        <v xml:space="preserve"> </v>
      </c>
      <c r="O260" s="30" t="str">
        <f t="shared" si="23"/>
        <v>ERROR</v>
      </c>
      <c r="P260" s="52"/>
    </row>
    <row r="261" spans="1:16" ht="16.5" customHeight="1" thickBot="1" x14ac:dyDescent="0.3">
      <c r="A261" s="21" t="s">
        <v>410</v>
      </c>
      <c r="B261" s="19">
        <v>100000</v>
      </c>
      <c r="C261" s="36">
        <v>29298</v>
      </c>
      <c r="D261" s="36">
        <v>29298</v>
      </c>
      <c r="E261" s="37">
        <v>0</v>
      </c>
      <c r="F261" s="37">
        <v>0</v>
      </c>
      <c r="G261" s="37">
        <v>0</v>
      </c>
      <c r="H261" s="20">
        <v>0</v>
      </c>
      <c r="I261" s="25" t="s">
        <v>25</v>
      </c>
      <c r="J261" s="27">
        <f t="shared" si="18"/>
        <v>0</v>
      </c>
      <c r="K261" s="27">
        <f t="shared" si="19"/>
        <v>29298</v>
      </c>
      <c r="L261" s="27">
        <f t="shared" si="20"/>
        <v>29298</v>
      </c>
      <c r="M261" s="27">
        <f t="shared" si="21"/>
        <v>29298</v>
      </c>
      <c r="N261" s="30">
        <f t="shared" si="22"/>
        <v>1</v>
      </c>
      <c r="O261" s="30">
        <f t="shared" si="23"/>
        <v>0</v>
      </c>
      <c r="P261" s="52" t="s">
        <v>659</v>
      </c>
    </row>
    <row r="262" spans="1:16" ht="16.5" customHeight="1" thickBot="1" x14ac:dyDescent="0.25">
      <c r="A262" s="21" t="s">
        <v>411</v>
      </c>
      <c r="B262" s="19">
        <v>80000</v>
      </c>
      <c r="C262" s="19">
        <v>80000</v>
      </c>
      <c r="D262" s="19">
        <v>55480</v>
      </c>
      <c r="E262" s="19">
        <v>55480</v>
      </c>
      <c r="F262" s="19">
        <v>33500</v>
      </c>
      <c r="G262" s="19">
        <v>33157</v>
      </c>
      <c r="H262" s="19">
        <v>33157</v>
      </c>
      <c r="I262" s="25" t="s">
        <v>412</v>
      </c>
      <c r="J262" s="27">
        <f t="shared" si="18"/>
        <v>24520</v>
      </c>
      <c r="K262" s="27">
        <f t="shared" si="19"/>
        <v>24520</v>
      </c>
      <c r="L262" s="27">
        <f t="shared" si="20"/>
        <v>0</v>
      </c>
      <c r="M262" s="27">
        <f t="shared" si="21"/>
        <v>46843</v>
      </c>
      <c r="N262" s="30">
        <f t="shared" si="22"/>
        <v>0.30649999999999999</v>
      </c>
      <c r="O262" s="30">
        <f t="shared" si="23"/>
        <v>0.41446250000000001</v>
      </c>
      <c r="P262" s="52"/>
    </row>
    <row r="263" spans="1:16" ht="16.5" customHeight="1" thickBot="1" x14ac:dyDescent="0.25">
      <c r="A263" s="21" t="s">
        <v>413</v>
      </c>
      <c r="B263" s="19">
        <v>50000</v>
      </c>
      <c r="C263" s="20">
        <v>0</v>
      </c>
      <c r="D263" s="20">
        <v>0</v>
      </c>
      <c r="E263" s="20">
        <v>0</v>
      </c>
      <c r="F263" s="20">
        <v>0</v>
      </c>
      <c r="G263" s="20">
        <v>0</v>
      </c>
      <c r="H263" s="20">
        <v>0</v>
      </c>
      <c r="I263" s="25" t="s">
        <v>25</v>
      </c>
      <c r="J263" s="27">
        <f t="shared" si="18"/>
        <v>0</v>
      </c>
      <c r="K263" s="27">
        <f t="shared" si="19"/>
        <v>0</v>
      </c>
      <c r="L263" s="27">
        <f t="shared" si="20"/>
        <v>0</v>
      </c>
      <c r="M263" s="27">
        <f t="shared" si="21"/>
        <v>0</v>
      </c>
      <c r="N263" s="30" t="str">
        <f t="shared" si="22"/>
        <v xml:space="preserve"> </v>
      </c>
      <c r="O263" s="30" t="str">
        <f t="shared" si="23"/>
        <v>ERROR</v>
      </c>
      <c r="P263" s="52"/>
    </row>
    <row r="264" spans="1:16" ht="16.5" customHeight="1" thickBot="1" x14ac:dyDescent="0.25">
      <c r="A264" s="21" t="s">
        <v>414</v>
      </c>
      <c r="B264" s="19">
        <v>50000</v>
      </c>
      <c r="C264" s="19">
        <v>209495</v>
      </c>
      <c r="D264" s="19">
        <v>209495</v>
      </c>
      <c r="E264" s="19">
        <v>171495</v>
      </c>
      <c r="F264" s="19">
        <v>101408</v>
      </c>
      <c r="G264" s="19">
        <v>98043</v>
      </c>
      <c r="H264" s="19">
        <v>98043</v>
      </c>
      <c r="I264" s="25" t="s">
        <v>415</v>
      </c>
      <c r="J264" s="27">
        <f t="shared" si="18"/>
        <v>0</v>
      </c>
      <c r="K264" s="27">
        <f t="shared" si="19"/>
        <v>38000</v>
      </c>
      <c r="L264" s="27">
        <f t="shared" si="20"/>
        <v>38000</v>
      </c>
      <c r="M264" s="27">
        <f t="shared" si="21"/>
        <v>111452</v>
      </c>
      <c r="N264" s="30">
        <f t="shared" si="22"/>
        <v>0.18138857729301416</v>
      </c>
      <c r="O264" s="30">
        <f t="shared" si="23"/>
        <v>0.46799684956681542</v>
      </c>
      <c r="P264" s="52"/>
    </row>
    <row r="265" spans="1:16" ht="16.5" customHeight="1" thickBot="1" x14ac:dyDescent="0.3">
      <c r="A265" s="21" t="s">
        <v>416</v>
      </c>
      <c r="B265" s="19">
        <v>100000</v>
      </c>
      <c r="C265" s="28">
        <v>400000</v>
      </c>
      <c r="D265" s="29">
        <v>0</v>
      </c>
      <c r="E265" s="29">
        <v>0</v>
      </c>
      <c r="F265" s="29">
        <v>0</v>
      </c>
      <c r="G265" s="29">
        <v>0</v>
      </c>
      <c r="H265" s="20">
        <v>0</v>
      </c>
      <c r="I265" s="25" t="s">
        <v>25</v>
      </c>
      <c r="J265" s="27">
        <f t="shared" si="18"/>
        <v>400000</v>
      </c>
      <c r="K265" s="27">
        <f t="shared" si="19"/>
        <v>400000</v>
      </c>
      <c r="L265" s="27">
        <f t="shared" si="20"/>
        <v>0</v>
      </c>
      <c r="M265" s="27">
        <f t="shared" si="21"/>
        <v>400000</v>
      </c>
      <c r="N265" s="30">
        <f t="shared" si="22"/>
        <v>1</v>
      </c>
      <c r="O265" s="30">
        <f t="shared" si="23"/>
        <v>0</v>
      </c>
      <c r="P265" s="52" t="s">
        <v>659</v>
      </c>
    </row>
    <row r="266" spans="1:16" ht="16.5" customHeight="1" thickBot="1" x14ac:dyDescent="0.25">
      <c r="A266" s="21" t="s">
        <v>417</v>
      </c>
      <c r="B266" s="19">
        <v>100000</v>
      </c>
      <c r="C266" s="19">
        <v>704972</v>
      </c>
      <c r="D266" s="19">
        <v>309066</v>
      </c>
      <c r="E266" s="19">
        <v>255972</v>
      </c>
      <c r="F266" s="19">
        <v>15770</v>
      </c>
      <c r="G266" s="19">
        <v>15770</v>
      </c>
      <c r="H266" s="19">
        <v>8805</v>
      </c>
      <c r="I266" s="25" t="s">
        <v>418</v>
      </c>
      <c r="J266" s="27">
        <f t="shared" si="18"/>
        <v>395906</v>
      </c>
      <c r="K266" s="27">
        <f t="shared" si="19"/>
        <v>449000</v>
      </c>
      <c r="L266" s="27">
        <f t="shared" si="20"/>
        <v>53094</v>
      </c>
      <c r="M266" s="27">
        <f t="shared" si="21"/>
        <v>689202</v>
      </c>
      <c r="N266" s="30">
        <f t="shared" si="22"/>
        <v>0.63690472813104637</v>
      </c>
      <c r="O266" s="30">
        <f t="shared" si="23"/>
        <v>2.2369682767542542E-2</v>
      </c>
      <c r="P266" s="52"/>
    </row>
    <row r="267" spans="1:16" ht="16.5" customHeight="1" thickBot="1" x14ac:dyDescent="0.25">
      <c r="A267" s="21" t="s">
        <v>419</v>
      </c>
      <c r="B267" s="19">
        <v>100000</v>
      </c>
      <c r="C267" s="19">
        <v>1142346</v>
      </c>
      <c r="D267" s="19">
        <v>911211</v>
      </c>
      <c r="E267" s="19">
        <v>703127</v>
      </c>
      <c r="F267" s="19">
        <v>236723</v>
      </c>
      <c r="G267" s="19">
        <v>18479</v>
      </c>
      <c r="H267" s="19">
        <v>18479</v>
      </c>
      <c r="I267" s="25" t="s">
        <v>420</v>
      </c>
      <c r="J267" s="27">
        <f t="shared" si="18"/>
        <v>231135</v>
      </c>
      <c r="K267" s="27">
        <f t="shared" si="19"/>
        <v>439219</v>
      </c>
      <c r="L267" s="27">
        <f t="shared" si="20"/>
        <v>208084</v>
      </c>
      <c r="M267" s="27">
        <f t="shared" si="21"/>
        <v>1123867</v>
      </c>
      <c r="N267" s="30">
        <f t="shared" si="22"/>
        <v>0.38448858752076864</v>
      </c>
      <c r="O267" s="30">
        <f t="shared" si="23"/>
        <v>1.6176359876954968E-2</v>
      </c>
      <c r="P267" s="52"/>
    </row>
    <row r="268" spans="1:16" ht="16.5" customHeight="1" thickBot="1" x14ac:dyDescent="0.25">
      <c r="A268" s="21" t="s">
        <v>421</v>
      </c>
      <c r="B268" s="19">
        <v>50000</v>
      </c>
      <c r="C268" s="19">
        <v>179528</v>
      </c>
      <c r="D268" s="19">
        <v>178381</v>
      </c>
      <c r="E268" s="19">
        <v>148381</v>
      </c>
      <c r="F268" s="19">
        <v>136766</v>
      </c>
      <c r="G268" s="19">
        <v>136766</v>
      </c>
      <c r="H268" s="19">
        <v>136766</v>
      </c>
      <c r="I268" s="25" t="s">
        <v>422</v>
      </c>
      <c r="J268" s="27">
        <f t="shared" si="18"/>
        <v>1147</v>
      </c>
      <c r="K268" s="27">
        <f t="shared" si="19"/>
        <v>31147</v>
      </c>
      <c r="L268" s="27">
        <f t="shared" si="20"/>
        <v>30000</v>
      </c>
      <c r="M268" s="27">
        <f t="shared" si="21"/>
        <v>42762</v>
      </c>
      <c r="N268" s="30">
        <f t="shared" si="22"/>
        <v>0.1734938282607727</v>
      </c>
      <c r="O268" s="30">
        <f t="shared" si="23"/>
        <v>0.76180874292589462</v>
      </c>
      <c r="P268" s="52"/>
    </row>
    <row r="269" spans="1:16" ht="16.5" customHeight="1" thickBot="1" x14ac:dyDescent="0.25">
      <c r="A269" s="21" t="s">
        <v>423</v>
      </c>
      <c r="B269" s="19">
        <v>100000</v>
      </c>
      <c r="C269" s="20">
        <v>0</v>
      </c>
      <c r="D269" s="20">
        <v>0</v>
      </c>
      <c r="E269" s="20">
        <v>0</v>
      </c>
      <c r="F269" s="20">
        <v>0</v>
      </c>
      <c r="G269" s="20">
        <v>0</v>
      </c>
      <c r="H269" s="20">
        <v>0</v>
      </c>
      <c r="I269" s="25" t="s">
        <v>25</v>
      </c>
      <c r="J269" s="27">
        <f t="shared" si="18"/>
        <v>0</v>
      </c>
      <c r="K269" s="27">
        <f t="shared" si="19"/>
        <v>0</v>
      </c>
      <c r="L269" s="27">
        <f t="shared" si="20"/>
        <v>0</v>
      </c>
      <c r="M269" s="27">
        <f t="shared" si="21"/>
        <v>0</v>
      </c>
      <c r="N269" s="30" t="str">
        <f t="shared" si="22"/>
        <v xml:space="preserve"> </v>
      </c>
      <c r="O269" s="30" t="str">
        <f t="shared" si="23"/>
        <v>ERROR</v>
      </c>
      <c r="P269" s="52"/>
    </row>
    <row r="270" spans="1:16" ht="16.5" customHeight="1" thickBot="1" x14ac:dyDescent="0.25">
      <c r="A270" s="21" t="s">
        <v>424</v>
      </c>
      <c r="B270" s="19">
        <v>100000</v>
      </c>
      <c r="C270" s="19">
        <v>33556</v>
      </c>
      <c r="D270" s="19">
        <v>33490</v>
      </c>
      <c r="E270" s="19">
        <v>33490</v>
      </c>
      <c r="F270" s="19">
        <v>28428</v>
      </c>
      <c r="G270" s="19">
        <v>28428</v>
      </c>
      <c r="H270" s="19">
        <v>28428</v>
      </c>
      <c r="I270" s="25" t="s">
        <v>425</v>
      </c>
      <c r="J270" s="27">
        <f t="shared" si="18"/>
        <v>66</v>
      </c>
      <c r="K270" s="27">
        <f t="shared" si="19"/>
        <v>66</v>
      </c>
      <c r="L270" s="27">
        <f t="shared" si="20"/>
        <v>0</v>
      </c>
      <c r="M270" s="27">
        <f t="shared" si="21"/>
        <v>5128</v>
      </c>
      <c r="N270" s="30">
        <f t="shared" si="22"/>
        <v>1.9668613660746214E-3</v>
      </c>
      <c r="O270" s="30">
        <f t="shared" si="23"/>
        <v>0.84718083204195971</v>
      </c>
      <c r="P270" s="52"/>
    </row>
    <row r="271" spans="1:16" ht="16.5" customHeight="1" thickBot="1" x14ac:dyDescent="0.25">
      <c r="A271" s="21" t="s">
        <v>426</v>
      </c>
      <c r="B271" s="19">
        <v>100000</v>
      </c>
      <c r="C271" s="20">
        <v>0</v>
      </c>
      <c r="D271" s="20">
        <v>0</v>
      </c>
      <c r="E271" s="20">
        <v>0</v>
      </c>
      <c r="F271" s="20">
        <v>0</v>
      </c>
      <c r="G271" s="20">
        <v>0</v>
      </c>
      <c r="H271" s="20">
        <v>0</v>
      </c>
      <c r="I271" s="25" t="s">
        <v>25</v>
      </c>
      <c r="J271" s="27">
        <f t="shared" si="18"/>
        <v>0</v>
      </c>
      <c r="K271" s="27">
        <f t="shared" si="19"/>
        <v>0</v>
      </c>
      <c r="L271" s="27">
        <f t="shared" si="20"/>
        <v>0</v>
      </c>
      <c r="M271" s="27">
        <f t="shared" si="21"/>
        <v>0</v>
      </c>
      <c r="N271" s="30" t="str">
        <f t="shared" si="22"/>
        <v xml:space="preserve"> </v>
      </c>
      <c r="O271" s="30" t="str">
        <f t="shared" si="23"/>
        <v>ERROR</v>
      </c>
      <c r="P271" s="52"/>
    </row>
    <row r="272" spans="1:16" ht="16.5" customHeight="1" thickBot="1" x14ac:dyDescent="0.25">
      <c r="A272" s="21" t="s">
        <v>427</v>
      </c>
      <c r="B272" s="19">
        <v>50000</v>
      </c>
      <c r="C272" s="20">
        <v>0</v>
      </c>
      <c r="D272" s="20">
        <v>0</v>
      </c>
      <c r="E272" s="20">
        <v>0</v>
      </c>
      <c r="F272" s="20">
        <v>0</v>
      </c>
      <c r="G272" s="20">
        <v>0</v>
      </c>
      <c r="H272" s="20">
        <v>0</v>
      </c>
      <c r="I272" s="25" t="s">
        <v>25</v>
      </c>
      <c r="J272" s="27">
        <f t="shared" si="18"/>
        <v>0</v>
      </c>
      <c r="K272" s="27">
        <f t="shared" si="19"/>
        <v>0</v>
      </c>
      <c r="L272" s="27">
        <f t="shared" si="20"/>
        <v>0</v>
      </c>
      <c r="M272" s="27">
        <f t="shared" si="21"/>
        <v>0</v>
      </c>
      <c r="N272" s="30" t="str">
        <f t="shared" si="22"/>
        <v xml:space="preserve"> </v>
      </c>
      <c r="O272" s="30" t="str">
        <f t="shared" si="23"/>
        <v>ERROR</v>
      </c>
      <c r="P272" s="52"/>
    </row>
    <row r="273" spans="1:16" ht="16.5" customHeight="1" thickBot="1" x14ac:dyDescent="0.25">
      <c r="A273" s="21" t="s">
        <v>428</v>
      </c>
      <c r="B273" s="19">
        <v>100000</v>
      </c>
      <c r="C273" s="19">
        <v>2361641</v>
      </c>
      <c r="D273" s="19">
        <v>1509241</v>
      </c>
      <c r="E273" s="19">
        <v>1501266</v>
      </c>
      <c r="F273" s="19">
        <v>1332598</v>
      </c>
      <c r="G273" s="19">
        <v>1059464</v>
      </c>
      <c r="H273" s="19">
        <v>923883</v>
      </c>
      <c r="I273" s="25" t="s">
        <v>429</v>
      </c>
      <c r="J273" s="27">
        <f t="shared" ref="J273:J336" si="24">C273-D273</f>
        <v>852400</v>
      </c>
      <c r="K273" s="27">
        <f t="shared" ref="K273:K336" si="25">C273-E273</f>
        <v>860375</v>
      </c>
      <c r="L273" s="27">
        <f t="shared" ref="L273:L336" si="26">D273-E273</f>
        <v>7975</v>
      </c>
      <c r="M273" s="27">
        <f t="shared" ref="M273:M336" si="27">C273-G273</f>
        <v>1302177</v>
      </c>
      <c r="N273" s="30">
        <f t="shared" ref="N273:N336" si="28">IFERROR(K273/C273, " ")</f>
        <v>0.36431235738200685</v>
      </c>
      <c r="O273" s="30">
        <f t="shared" ref="O273:O336" si="29">IFERROR(G273/C273, "ERROR")</f>
        <v>0.44861348528417316</v>
      </c>
      <c r="P273" s="52"/>
    </row>
    <row r="274" spans="1:16" ht="16.5" customHeight="1" thickBot="1" x14ac:dyDescent="0.25">
      <c r="A274" s="21" t="s">
        <v>430</v>
      </c>
      <c r="B274" s="19">
        <v>100000</v>
      </c>
      <c r="C274" s="19">
        <v>53010</v>
      </c>
      <c r="D274" s="19">
        <v>24507</v>
      </c>
      <c r="E274" s="19">
        <v>24507</v>
      </c>
      <c r="F274" s="19">
        <v>24507</v>
      </c>
      <c r="G274" s="19">
        <v>24507</v>
      </c>
      <c r="H274" s="19">
        <v>24507</v>
      </c>
      <c r="I274" s="25" t="s">
        <v>431</v>
      </c>
      <c r="J274" s="27">
        <f t="shared" si="24"/>
        <v>28503</v>
      </c>
      <c r="K274" s="27">
        <f t="shared" si="25"/>
        <v>28503</v>
      </c>
      <c r="L274" s="27">
        <f t="shared" si="26"/>
        <v>0</v>
      </c>
      <c r="M274" s="27">
        <f t="shared" si="27"/>
        <v>28503</v>
      </c>
      <c r="N274" s="30">
        <f t="shared" si="28"/>
        <v>0.53769100169779283</v>
      </c>
      <c r="O274" s="30">
        <f t="shared" si="29"/>
        <v>0.46230899830220712</v>
      </c>
      <c r="P274" s="52"/>
    </row>
    <row r="275" spans="1:16" ht="16.5" customHeight="1" thickBot="1" x14ac:dyDescent="0.25">
      <c r="A275" s="21" t="s">
        <v>432</v>
      </c>
      <c r="B275" s="20">
        <v>0</v>
      </c>
      <c r="C275" s="19">
        <v>129991</v>
      </c>
      <c r="D275" s="19">
        <v>129991</v>
      </c>
      <c r="E275" s="19">
        <v>129991</v>
      </c>
      <c r="F275" s="19">
        <v>129329</v>
      </c>
      <c r="G275" s="19">
        <v>129329</v>
      </c>
      <c r="H275" s="19">
        <v>129329</v>
      </c>
      <c r="I275" s="25" t="s">
        <v>301</v>
      </c>
      <c r="J275" s="27">
        <f t="shared" si="24"/>
        <v>0</v>
      </c>
      <c r="K275" s="27">
        <f t="shared" si="25"/>
        <v>0</v>
      </c>
      <c r="L275" s="27">
        <f t="shared" si="26"/>
        <v>0</v>
      </c>
      <c r="M275" s="27">
        <f t="shared" si="27"/>
        <v>662</v>
      </c>
      <c r="N275" s="30">
        <f t="shared" si="28"/>
        <v>0</v>
      </c>
      <c r="O275" s="30">
        <f t="shared" si="29"/>
        <v>0.99490733973890499</v>
      </c>
      <c r="P275" s="52"/>
    </row>
    <row r="276" spans="1:16" ht="16.5" customHeight="1" thickBot="1" x14ac:dyDescent="0.25">
      <c r="A276" s="21" t="s">
        <v>433</v>
      </c>
      <c r="B276" s="19">
        <v>2421000</v>
      </c>
      <c r="C276" s="19">
        <v>8043406</v>
      </c>
      <c r="D276" s="19">
        <v>5895077</v>
      </c>
      <c r="E276" s="19">
        <v>3321108</v>
      </c>
      <c r="F276" s="19">
        <v>2959752</v>
      </c>
      <c r="G276" s="19">
        <v>2705628</v>
      </c>
      <c r="H276" s="19">
        <v>2121400</v>
      </c>
      <c r="I276" s="25" t="s">
        <v>434</v>
      </c>
      <c r="J276" s="27">
        <f t="shared" si="24"/>
        <v>2148329</v>
      </c>
      <c r="K276" s="27">
        <f t="shared" si="25"/>
        <v>4722298</v>
      </c>
      <c r="L276" s="27">
        <f t="shared" si="26"/>
        <v>2573969</v>
      </c>
      <c r="M276" s="27">
        <f t="shared" si="27"/>
        <v>5337778</v>
      </c>
      <c r="N276" s="30">
        <f t="shared" si="28"/>
        <v>0.58710178250358125</v>
      </c>
      <c r="O276" s="30">
        <f t="shared" si="29"/>
        <v>0.3363783949237425</v>
      </c>
      <c r="P276" s="52"/>
    </row>
    <row r="277" spans="1:16" ht="16.5" customHeight="1" thickBot="1" x14ac:dyDescent="0.3">
      <c r="A277" s="21" t="s">
        <v>435</v>
      </c>
      <c r="B277" s="20">
        <v>0</v>
      </c>
      <c r="C277" s="28">
        <v>2394005</v>
      </c>
      <c r="D277" s="29">
        <v>0</v>
      </c>
      <c r="E277" s="29">
        <v>0</v>
      </c>
      <c r="F277" s="29">
        <v>0</v>
      </c>
      <c r="G277" s="29">
        <v>0</v>
      </c>
      <c r="H277" s="20">
        <v>0</v>
      </c>
      <c r="I277" s="25" t="s">
        <v>25</v>
      </c>
      <c r="J277" s="27">
        <f t="shared" si="24"/>
        <v>2394005</v>
      </c>
      <c r="K277" s="27">
        <f t="shared" si="25"/>
        <v>2394005</v>
      </c>
      <c r="L277" s="27">
        <f t="shared" si="26"/>
        <v>0</v>
      </c>
      <c r="M277" s="27">
        <f t="shared" si="27"/>
        <v>2394005</v>
      </c>
      <c r="N277" s="30">
        <f t="shared" si="28"/>
        <v>1</v>
      </c>
      <c r="O277" s="30">
        <f t="shared" si="29"/>
        <v>0</v>
      </c>
      <c r="P277" s="52" t="s">
        <v>659</v>
      </c>
    </row>
    <row r="278" spans="1:16" ht="16.5" customHeight="1" thickBot="1" x14ac:dyDescent="0.25">
      <c r="A278" s="21" t="s">
        <v>436</v>
      </c>
      <c r="B278" s="20">
        <v>0</v>
      </c>
      <c r="C278" s="19">
        <v>677644</v>
      </c>
      <c r="D278" s="19">
        <v>607693</v>
      </c>
      <c r="E278" s="19">
        <v>331244</v>
      </c>
      <c r="F278" s="19">
        <v>331244</v>
      </c>
      <c r="G278" s="19">
        <v>131223</v>
      </c>
      <c r="H278" s="19">
        <v>131223</v>
      </c>
      <c r="I278" s="25" t="s">
        <v>437</v>
      </c>
      <c r="J278" s="27">
        <f t="shared" si="24"/>
        <v>69951</v>
      </c>
      <c r="K278" s="27">
        <f t="shared" si="25"/>
        <v>346400</v>
      </c>
      <c r="L278" s="27">
        <f t="shared" si="26"/>
        <v>276449</v>
      </c>
      <c r="M278" s="27">
        <f t="shared" si="27"/>
        <v>546421</v>
      </c>
      <c r="N278" s="30">
        <f t="shared" si="28"/>
        <v>0.51118286297820092</v>
      </c>
      <c r="O278" s="30">
        <f t="shared" si="29"/>
        <v>0.19364592617952789</v>
      </c>
      <c r="P278" s="52"/>
    </row>
    <row r="279" spans="1:16" ht="16.5" customHeight="1" thickBot="1" x14ac:dyDescent="0.3">
      <c r="A279" s="21" t="s">
        <v>438</v>
      </c>
      <c r="B279" s="20">
        <v>0</v>
      </c>
      <c r="C279" s="36">
        <v>200000</v>
      </c>
      <c r="D279" s="36">
        <v>200000</v>
      </c>
      <c r="E279" s="36">
        <v>200000</v>
      </c>
      <c r="F279" s="37">
        <v>0</v>
      </c>
      <c r="G279" s="37">
        <v>0</v>
      </c>
      <c r="H279" s="20">
        <v>0</v>
      </c>
      <c r="I279" s="25" t="s">
        <v>25</v>
      </c>
      <c r="J279" s="27">
        <f t="shared" si="24"/>
        <v>0</v>
      </c>
      <c r="K279" s="27">
        <f t="shared" si="25"/>
        <v>0</v>
      </c>
      <c r="L279" s="27">
        <f t="shared" si="26"/>
        <v>0</v>
      </c>
      <c r="M279" s="27">
        <f t="shared" si="27"/>
        <v>200000</v>
      </c>
      <c r="N279" s="30">
        <f t="shared" si="28"/>
        <v>0</v>
      </c>
      <c r="O279" s="30">
        <f t="shared" si="29"/>
        <v>0</v>
      </c>
      <c r="P279" s="52" t="s">
        <v>659</v>
      </c>
    </row>
    <row r="280" spans="1:16" ht="16.5" customHeight="1" thickBot="1" x14ac:dyDescent="0.25">
      <c r="A280" s="21" t="s">
        <v>439</v>
      </c>
      <c r="B280" s="19">
        <v>50000</v>
      </c>
      <c r="C280" s="19">
        <v>106670</v>
      </c>
      <c r="D280" s="19">
        <v>106670</v>
      </c>
      <c r="E280" s="19">
        <v>106670</v>
      </c>
      <c r="F280" s="19">
        <v>96622</v>
      </c>
      <c r="G280" s="19">
        <v>96622</v>
      </c>
      <c r="H280" s="19">
        <v>96622</v>
      </c>
      <c r="I280" s="25" t="s">
        <v>440</v>
      </c>
      <c r="J280" s="27">
        <f t="shared" si="24"/>
        <v>0</v>
      </c>
      <c r="K280" s="27">
        <f t="shared" si="25"/>
        <v>0</v>
      </c>
      <c r="L280" s="27">
        <f t="shared" si="26"/>
        <v>0</v>
      </c>
      <c r="M280" s="27">
        <f t="shared" si="27"/>
        <v>10048</v>
      </c>
      <c r="N280" s="30">
        <f t="shared" si="28"/>
        <v>0</v>
      </c>
      <c r="O280" s="30">
        <f t="shared" si="29"/>
        <v>0.90580294365801073</v>
      </c>
      <c r="P280" s="52"/>
    </row>
    <row r="281" spans="1:16" ht="16.5" customHeight="1" thickBot="1" x14ac:dyDescent="0.25">
      <c r="A281" s="21" t="s">
        <v>441</v>
      </c>
      <c r="B281" s="19">
        <v>800000</v>
      </c>
      <c r="C281" s="19">
        <v>118786</v>
      </c>
      <c r="D281" s="19">
        <v>112400</v>
      </c>
      <c r="E281" s="19">
        <v>82400</v>
      </c>
      <c r="F281" s="19">
        <v>76261</v>
      </c>
      <c r="G281" s="19">
        <v>76261</v>
      </c>
      <c r="H281" s="19">
        <v>76261</v>
      </c>
      <c r="I281" s="25" t="s">
        <v>442</v>
      </c>
      <c r="J281" s="27">
        <f t="shared" si="24"/>
        <v>6386</v>
      </c>
      <c r="K281" s="27">
        <f t="shared" si="25"/>
        <v>36386</v>
      </c>
      <c r="L281" s="27">
        <f t="shared" si="26"/>
        <v>30000</v>
      </c>
      <c r="M281" s="27">
        <f t="shared" si="27"/>
        <v>42525</v>
      </c>
      <c r="N281" s="30">
        <f t="shared" si="28"/>
        <v>0.30631555907261798</v>
      </c>
      <c r="O281" s="30">
        <f t="shared" si="29"/>
        <v>0.64200326637819272</v>
      </c>
      <c r="P281" s="52"/>
    </row>
    <row r="282" spans="1:16" ht="16.5" customHeight="1" thickBot="1" x14ac:dyDescent="0.25">
      <c r="A282" s="21" t="s">
        <v>443</v>
      </c>
      <c r="B282" s="19">
        <v>583691</v>
      </c>
      <c r="C282" s="19">
        <v>141416</v>
      </c>
      <c r="D282" s="19">
        <v>130450</v>
      </c>
      <c r="E282" s="19">
        <v>100950</v>
      </c>
      <c r="F282" s="19">
        <v>91616</v>
      </c>
      <c r="G282" s="19">
        <v>91616</v>
      </c>
      <c r="H282" s="19">
        <v>91616</v>
      </c>
      <c r="I282" s="25" t="s">
        <v>444</v>
      </c>
      <c r="J282" s="27">
        <f t="shared" si="24"/>
        <v>10966</v>
      </c>
      <c r="K282" s="27">
        <f t="shared" si="25"/>
        <v>40466</v>
      </c>
      <c r="L282" s="27">
        <f t="shared" si="26"/>
        <v>29500</v>
      </c>
      <c r="M282" s="27">
        <f t="shared" si="27"/>
        <v>49800</v>
      </c>
      <c r="N282" s="30">
        <f t="shared" si="28"/>
        <v>0.28614866776036657</v>
      </c>
      <c r="O282" s="30">
        <f t="shared" si="29"/>
        <v>0.6478474854330486</v>
      </c>
      <c r="P282" s="52"/>
    </row>
    <row r="283" spans="1:16" ht="16.5" customHeight="1" thickBot="1" x14ac:dyDescent="0.25">
      <c r="A283" s="21" t="s">
        <v>445</v>
      </c>
      <c r="B283" s="20">
        <v>0</v>
      </c>
      <c r="C283" s="19">
        <v>919876</v>
      </c>
      <c r="D283" s="19">
        <v>340968</v>
      </c>
      <c r="E283" s="19">
        <v>242000</v>
      </c>
      <c r="F283" s="19">
        <v>7841</v>
      </c>
      <c r="G283" s="19">
        <v>7841</v>
      </c>
      <c r="H283" s="19">
        <v>1597</v>
      </c>
      <c r="I283" s="25" t="s">
        <v>380</v>
      </c>
      <c r="J283" s="27">
        <f t="shared" si="24"/>
        <v>578908</v>
      </c>
      <c r="K283" s="27">
        <f t="shared" si="25"/>
        <v>677876</v>
      </c>
      <c r="L283" s="27">
        <f t="shared" si="26"/>
        <v>98968</v>
      </c>
      <c r="M283" s="27">
        <f t="shared" si="27"/>
        <v>912035</v>
      </c>
      <c r="N283" s="30">
        <f t="shared" si="28"/>
        <v>0.73692106327374562</v>
      </c>
      <c r="O283" s="30">
        <f t="shared" si="29"/>
        <v>8.5239749705395083E-3</v>
      </c>
      <c r="P283" s="52"/>
    </row>
    <row r="284" spans="1:16" ht="16.5" customHeight="1" thickBot="1" x14ac:dyDescent="0.25">
      <c r="A284" s="21" t="s">
        <v>446</v>
      </c>
      <c r="B284" s="20">
        <v>0</v>
      </c>
      <c r="C284" s="19">
        <v>24413</v>
      </c>
      <c r="D284" s="19">
        <v>23995</v>
      </c>
      <c r="E284" s="19">
        <v>23995</v>
      </c>
      <c r="F284" s="19">
        <v>19206</v>
      </c>
      <c r="G284" s="19">
        <v>19206</v>
      </c>
      <c r="H284" s="19">
        <v>19206</v>
      </c>
      <c r="I284" s="25" t="s">
        <v>103</v>
      </c>
      <c r="J284" s="27">
        <f t="shared" si="24"/>
        <v>418</v>
      </c>
      <c r="K284" s="27">
        <f t="shared" si="25"/>
        <v>418</v>
      </c>
      <c r="L284" s="27">
        <f t="shared" si="26"/>
        <v>0</v>
      </c>
      <c r="M284" s="27">
        <f t="shared" si="27"/>
        <v>5207</v>
      </c>
      <c r="N284" s="30">
        <f t="shared" si="28"/>
        <v>1.7122025150534553E-2</v>
      </c>
      <c r="O284" s="30">
        <f t="shared" si="29"/>
        <v>0.7867119977061402</v>
      </c>
      <c r="P284" s="52"/>
    </row>
    <row r="285" spans="1:16" ht="16.5" customHeight="1" thickBot="1" x14ac:dyDescent="0.25">
      <c r="A285" s="21" t="s">
        <v>447</v>
      </c>
      <c r="B285" s="19">
        <v>6500000</v>
      </c>
      <c r="C285" s="19">
        <v>855253</v>
      </c>
      <c r="D285" s="19">
        <v>449225</v>
      </c>
      <c r="E285" s="19">
        <v>325465</v>
      </c>
      <c r="F285" s="19">
        <v>325465</v>
      </c>
      <c r="G285" s="19">
        <v>288021</v>
      </c>
      <c r="H285" s="19">
        <v>288021</v>
      </c>
      <c r="I285" s="25" t="s">
        <v>448</v>
      </c>
      <c r="J285" s="27">
        <f t="shared" si="24"/>
        <v>406028</v>
      </c>
      <c r="K285" s="27">
        <f t="shared" si="25"/>
        <v>529788</v>
      </c>
      <c r="L285" s="27">
        <f t="shared" si="26"/>
        <v>123760</v>
      </c>
      <c r="M285" s="27">
        <f t="shared" si="27"/>
        <v>567232</v>
      </c>
      <c r="N285" s="30">
        <f t="shared" si="28"/>
        <v>0.61945178795046607</v>
      </c>
      <c r="O285" s="30">
        <f t="shared" si="29"/>
        <v>0.33676701514054908</v>
      </c>
      <c r="P285" s="52"/>
    </row>
    <row r="286" spans="1:16" ht="16.5" customHeight="1" thickBot="1" x14ac:dyDescent="0.25">
      <c r="A286" s="21" t="s">
        <v>449</v>
      </c>
      <c r="B286" s="19">
        <v>5730000</v>
      </c>
      <c r="C286" s="19">
        <v>8887232</v>
      </c>
      <c r="D286" s="19">
        <v>8093419</v>
      </c>
      <c r="E286" s="19">
        <v>5749048</v>
      </c>
      <c r="F286" s="19">
        <v>5359957</v>
      </c>
      <c r="G286" s="19">
        <v>3262893</v>
      </c>
      <c r="H286" s="19">
        <v>3052182</v>
      </c>
      <c r="I286" s="25" t="s">
        <v>450</v>
      </c>
      <c r="J286" s="27">
        <f t="shared" si="24"/>
        <v>793813</v>
      </c>
      <c r="K286" s="27">
        <f t="shared" si="25"/>
        <v>3138184</v>
      </c>
      <c r="L286" s="27">
        <f t="shared" si="26"/>
        <v>2344371</v>
      </c>
      <c r="M286" s="27">
        <f t="shared" si="27"/>
        <v>5624339</v>
      </c>
      <c r="N286" s="30">
        <f t="shared" si="28"/>
        <v>0.35311151998732565</v>
      </c>
      <c r="O286" s="30">
        <f t="shared" si="29"/>
        <v>0.36714389812261006</v>
      </c>
      <c r="P286" s="52"/>
    </row>
    <row r="287" spans="1:16" ht="16.5" customHeight="1" thickBot="1" x14ac:dyDescent="0.25">
      <c r="A287" s="21" t="s">
        <v>451</v>
      </c>
      <c r="B287" s="19">
        <v>50000</v>
      </c>
      <c r="C287" s="19">
        <v>310000</v>
      </c>
      <c r="D287" s="19">
        <v>310000</v>
      </c>
      <c r="E287" s="19">
        <v>250000</v>
      </c>
      <c r="F287" s="19">
        <v>240998</v>
      </c>
      <c r="G287" s="19">
        <v>240998</v>
      </c>
      <c r="H287" s="19">
        <v>240998</v>
      </c>
      <c r="I287" s="25" t="s">
        <v>452</v>
      </c>
      <c r="J287" s="27">
        <f t="shared" si="24"/>
        <v>0</v>
      </c>
      <c r="K287" s="27">
        <f t="shared" si="25"/>
        <v>60000</v>
      </c>
      <c r="L287" s="27">
        <f t="shared" si="26"/>
        <v>60000</v>
      </c>
      <c r="M287" s="27">
        <f t="shared" si="27"/>
        <v>69002</v>
      </c>
      <c r="N287" s="30">
        <f t="shared" si="28"/>
        <v>0.19354838709677419</v>
      </c>
      <c r="O287" s="30">
        <f t="shared" si="29"/>
        <v>0.77741290322580647</v>
      </c>
      <c r="P287" s="52"/>
    </row>
    <row r="288" spans="1:16" ht="16.5" customHeight="1" thickBot="1" x14ac:dyDescent="0.25">
      <c r="A288" s="21" t="s">
        <v>453</v>
      </c>
      <c r="B288" s="19">
        <v>100000</v>
      </c>
      <c r="C288" s="19">
        <v>100000</v>
      </c>
      <c r="D288" s="19">
        <v>98287</v>
      </c>
      <c r="E288" s="19">
        <v>98287</v>
      </c>
      <c r="F288" s="19">
        <v>19750</v>
      </c>
      <c r="G288" s="19">
        <v>19750</v>
      </c>
      <c r="H288" s="19">
        <v>4387</v>
      </c>
      <c r="I288" s="25" t="s">
        <v>454</v>
      </c>
      <c r="J288" s="27">
        <f t="shared" si="24"/>
        <v>1713</v>
      </c>
      <c r="K288" s="27">
        <f t="shared" si="25"/>
        <v>1713</v>
      </c>
      <c r="L288" s="27">
        <f t="shared" si="26"/>
        <v>0</v>
      </c>
      <c r="M288" s="27">
        <f t="shared" si="27"/>
        <v>80250</v>
      </c>
      <c r="N288" s="30">
        <f t="shared" si="28"/>
        <v>1.7129999999999999E-2</v>
      </c>
      <c r="O288" s="30">
        <f t="shared" si="29"/>
        <v>0.19750000000000001</v>
      </c>
      <c r="P288" s="52"/>
    </row>
    <row r="289" spans="1:16" ht="16.5" customHeight="1" thickBot="1" x14ac:dyDescent="0.25">
      <c r="A289" s="21" t="s">
        <v>455</v>
      </c>
      <c r="B289" s="19">
        <v>50000</v>
      </c>
      <c r="C289" s="19">
        <v>400214</v>
      </c>
      <c r="D289" s="19">
        <v>400214</v>
      </c>
      <c r="E289" s="19">
        <v>350214</v>
      </c>
      <c r="F289" s="19">
        <v>330372</v>
      </c>
      <c r="G289" s="19">
        <v>330372</v>
      </c>
      <c r="H289" s="19">
        <v>319981</v>
      </c>
      <c r="I289" s="25" t="s">
        <v>456</v>
      </c>
      <c r="J289" s="27">
        <f t="shared" si="24"/>
        <v>0</v>
      </c>
      <c r="K289" s="27">
        <f t="shared" si="25"/>
        <v>50000</v>
      </c>
      <c r="L289" s="27">
        <f t="shared" si="26"/>
        <v>50000</v>
      </c>
      <c r="M289" s="27">
        <f t="shared" si="27"/>
        <v>69842</v>
      </c>
      <c r="N289" s="30">
        <f t="shared" si="28"/>
        <v>0.12493316075899394</v>
      </c>
      <c r="O289" s="30">
        <f t="shared" si="29"/>
        <v>0.8254883637254069</v>
      </c>
      <c r="P289" s="52"/>
    </row>
    <row r="290" spans="1:16" ht="16.5" customHeight="1" thickBot="1" x14ac:dyDescent="0.25">
      <c r="A290" s="21" t="s">
        <v>457</v>
      </c>
      <c r="B290" s="19">
        <v>50000</v>
      </c>
      <c r="C290" s="19">
        <v>306148</v>
      </c>
      <c r="D290" s="19">
        <v>306148</v>
      </c>
      <c r="E290" s="19">
        <v>306148</v>
      </c>
      <c r="F290" s="19">
        <v>268544</v>
      </c>
      <c r="G290" s="19">
        <v>268544</v>
      </c>
      <c r="H290" s="19">
        <v>268544</v>
      </c>
      <c r="I290" s="25" t="s">
        <v>458</v>
      </c>
      <c r="J290" s="27">
        <f t="shared" si="24"/>
        <v>0</v>
      </c>
      <c r="K290" s="27">
        <f t="shared" si="25"/>
        <v>0</v>
      </c>
      <c r="L290" s="27">
        <f t="shared" si="26"/>
        <v>0</v>
      </c>
      <c r="M290" s="27">
        <f t="shared" si="27"/>
        <v>37604</v>
      </c>
      <c r="N290" s="30">
        <f t="shared" si="28"/>
        <v>0</v>
      </c>
      <c r="O290" s="30">
        <f t="shared" si="29"/>
        <v>0.87717051883402797</v>
      </c>
      <c r="P290" s="52"/>
    </row>
    <row r="291" spans="1:16" ht="16.5" customHeight="1" thickBot="1" x14ac:dyDescent="0.25">
      <c r="A291" s="21" t="s">
        <v>459</v>
      </c>
      <c r="B291" s="19">
        <v>100000</v>
      </c>
      <c r="C291" s="19">
        <v>40486</v>
      </c>
      <c r="D291" s="19">
        <v>40486</v>
      </c>
      <c r="E291" s="19">
        <v>40486</v>
      </c>
      <c r="F291" s="19">
        <v>25381</v>
      </c>
      <c r="G291" s="19">
        <v>25381</v>
      </c>
      <c r="H291" s="19">
        <v>25381</v>
      </c>
      <c r="I291" s="25" t="s">
        <v>460</v>
      </c>
      <c r="J291" s="27">
        <f t="shared" si="24"/>
        <v>0</v>
      </c>
      <c r="K291" s="27">
        <f t="shared" si="25"/>
        <v>0</v>
      </c>
      <c r="L291" s="27">
        <f t="shared" si="26"/>
        <v>0</v>
      </c>
      <c r="M291" s="27">
        <f t="shared" si="27"/>
        <v>15105</v>
      </c>
      <c r="N291" s="30">
        <f t="shared" si="28"/>
        <v>0</v>
      </c>
      <c r="O291" s="30">
        <f t="shared" si="29"/>
        <v>0.62690806698611867</v>
      </c>
      <c r="P291" s="52"/>
    </row>
    <row r="292" spans="1:16" ht="16.5" customHeight="1" thickBot="1" x14ac:dyDescent="0.25">
      <c r="A292" s="21" t="s">
        <v>461</v>
      </c>
      <c r="B292" s="19">
        <v>800000</v>
      </c>
      <c r="C292" s="19">
        <v>230550</v>
      </c>
      <c r="D292" s="19">
        <v>189499</v>
      </c>
      <c r="E292" s="19">
        <v>183174</v>
      </c>
      <c r="F292" s="19">
        <v>157263</v>
      </c>
      <c r="G292" s="19">
        <v>146384</v>
      </c>
      <c r="H292" s="19">
        <v>146384</v>
      </c>
      <c r="I292" s="25" t="s">
        <v>462</v>
      </c>
      <c r="J292" s="27">
        <f t="shared" si="24"/>
        <v>41051</v>
      </c>
      <c r="K292" s="27">
        <f t="shared" si="25"/>
        <v>47376</v>
      </c>
      <c r="L292" s="27">
        <f t="shared" si="26"/>
        <v>6325</v>
      </c>
      <c r="M292" s="27">
        <f t="shared" si="27"/>
        <v>84166</v>
      </c>
      <c r="N292" s="30">
        <f t="shared" si="28"/>
        <v>0.20549121665582304</v>
      </c>
      <c r="O292" s="30">
        <f t="shared" si="29"/>
        <v>0.6349338538278031</v>
      </c>
      <c r="P292" s="52"/>
    </row>
    <row r="293" spans="1:16" ht="16.5" customHeight="1" thickBot="1" x14ac:dyDescent="0.25">
      <c r="A293" s="21" t="s">
        <v>463</v>
      </c>
      <c r="B293" s="19">
        <v>50000</v>
      </c>
      <c r="C293" s="19">
        <v>490000</v>
      </c>
      <c r="D293" s="19">
        <v>490000</v>
      </c>
      <c r="E293" s="19">
        <v>490000</v>
      </c>
      <c r="F293" s="19">
        <v>474984</v>
      </c>
      <c r="G293" s="19">
        <v>369844</v>
      </c>
      <c r="H293" s="19">
        <v>369844</v>
      </c>
      <c r="I293" s="25" t="s">
        <v>464</v>
      </c>
      <c r="J293" s="27">
        <f t="shared" si="24"/>
        <v>0</v>
      </c>
      <c r="K293" s="27">
        <f t="shared" si="25"/>
        <v>0</v>
      </c>
      <c r="L293" s="27">
        <f t="shared" si="26"/>
        <v>0</v>
      </c>
      <c r="M293" s="27">
        <f t="shared" si="27"/>
        <v>120156</v>
      </c>
      <c r="N293" s="30">
        <f t="shared" si="28"/>
        <v>0</v>
      </c>
      <c r="O293" s="30">
        <f t="shared" si="29"/>
        <v>0.75478367346938779</v>
      </c>
      <c r="P293" s="52"/>
    </row>
    <row r="294" spans="1:16" ht="16.5" customHeight="1" thickBot="1" x14ac:dyDescent="0.25">
      <c r="A294" s="21" t="s">
        <v>465</v>
      </c>
      <c r="B294" s="19">
        <v>67202</v>
      </c>
      <c r="C294" s="20">
        <v>0</v>
      </c>
      <c r="D294" s="20">
        <v>0</v>
      </c>
      <c r="E294" s="20">
        <v>0</v>
      </c>
      <c r="F294" s="20">
        <v>0</v>
      </c>
      <c r="G294" s="20">
        <v>0</v>
      </c>
      <c r="H294" s="20">
        <v>0</v>
      </c>
      <c r="I294" s="25" t="s">
        <v>25</v>
      </c>
      <c r="J294" s="27">
        <f t="shared" si="24"/>
        <v>0</v>
      </c>
      <c r="K294" s="27">
        <f t="shared" si="25"/>
        <v>0</v>
      </c>
      <c r="L294" s="27">
        <f t="shared" si="26"/>
        <v>0</v>
      </c>
      <c r="M294" s="27">
        <f t="shared" si="27"/>
        <v>0</v>
      </c>
      <c r="N294" s="30" t="str">
        <f t="shared" si="28"/>
        <v xml:space="preserve"> </v>
      </c>
      <c r="O294" s="30" t="str">
        <f t="shared" si="29"/>
        <v>ERROR</v>
      </c>
      <c r="P294" s="52"/>
    </row>
    <row r="295" spans="1:16" ht="16.5" customHeight="1" thickBot="1" x14ac:dyDescent="0.25">
      <c r="A295" s="21" t="s">
        <v>466</v>
      </c>
      <c r="B295" s="20">
        <v>0</v>
      </c>
      <c r="C295" s="19">
        <v>654463</v>
      </c>
      <c r="D295" s="19">
        <v>639330</v>
      </c>
      <c r="E295" s="19">
        <v>639330</v>
      </c>
      <c r="F295" s="19">
        <v>629260</v>
      </c>
      <c r="G295" s="19">
        <v>548830</v>
      </c>
      <c r="H295" s="19">
        <v>444504</v>
      </c>
      <c r="I295" s="25" t="s">
        <v>467</v>
      </c>
      <c r="J295" s="27">
        <f t="shared" si="24"/>
        <v>15133</v>
      </c>
      <c r="K295" s="27">
        <f t="shared" si="25"/>
        <v>15133</v>
      </c>
      <c r="L295" s="27">
        <f t="shared" si="26"/>
        <v>0</v>
      </c>
      <c r="M295" s="27">
        <f t="shared" si="27"/>
        <v>105633</v>
      </c>
      <c r="N295" s="30">
        <f t="shared" si="28"/>
        <v>2.3122773938328064E-2</v>
      </c>
      <c r="O295" s="30">
        <f t="shared" si="29"/>
        <v>0.83859591756906049</v>
      </c>
      <c r="P295" s="52"/>
    </row>
    <row r="296" spans="1:16" ht="16.5" customHeight="1" thickBot="1" x14ac:dyDescent="0.25">
      <c r="A296" s="21" t="s">
        <v>468</v>
      </c>
      <c r="B296" s="19">
        <v>50000</v>
      </c>
      <c r="C296" s="19">
        <v>601668</v>
      </c>
      <c r="D296" s="19">
        <v>584518</v>
      </c>
      <c r="E296" s="19">
        <v>532195</v>
      </c>
      <c r="F296" s="19">
        <v>388860</v>
      </c>
      <c r="G296" s="19">
        <v>242761</v>
      </c>
      <c r="H296" s="19">
        <v>151279</v>
      </c>
      <c r="I296" s="25" t="s">
        <v>469</v>
      </c>
      <c r="J296" s="27">
        <f t="shared" si="24"/>
        <v>17150</v>
      </c>
      <c r="K296" s="27">
        <f t="shared" si="25"/>
        <v>69473</v>
      </c>
      <c r="L296" s="27">
        <f t="shared" si="26"/>
        <v>52323</v>
      </c>
      <c r="M296" s="27">
        <f t="shared" si="27"/>
        <v>358907</v>
      </c>
      <c r="N296" s="30">
        <f t="shared" si="28"/>
        <v>0.11546733414441186</v>
      </c>
      <c r="O296" s="30">
        <f t="shared" si="29"/>
        <v>0.40347999228810572</v>
      </c>
      <c r="P296" s="52"/>
    </row>
    <row r="297" spans="1:16" ht="16.5" customHeight="1" thickBot="1" x14ac:dyDescent="0.25">
      <c r="A297" s="21" t="s">
        <v>470</v>
      </c>
      <c r="B297" s="19">
        <v>50000</v>
      </c>
      <c r="C297" s="19">
        <v>870779</v>
      </c>
      <c r="D297" s="19">
        <v>870779</v>
      </c>
      <c r="E297" s="19">
        <v>870779</v>
      </c>
      <c r="F297" s="19">
        <v>646965</v>
      </c>
      <c r="G297" s="19">
        <v>391730</v>
      </c>
      <c r="H297" s="19">
        <v>391730</v>
      </c>
      <c r="I297" s="25" t="s">
        <v>471</v>
      </c>
      <c r="J297" s="27">
        <f t="shared" si="24"/>
        <v>0</v>
      </c>
      <c r="K297" s="27">
        <f t="shared" si="25"/>
        <v>0</v>
      </c>
      <c r="L297" s="27">
        <f t="shared" si="26"/>
        <v>0</v>
      </c>
      <c r="M297" s="27">
        <f t="shared" si="27"/>
        <v>479049</v>
      </c>
      <c r="N297" s="30">
        <f t="shared" si="28"/>
        <v>0</v>
      </c>
      <c r="O297" s="30">
        <f t="shared" si="29"/>
        <v>0.44986156074044048</v>
      </c>
      <c r="P297" s="52"/>
    </row>
    <row r="298" spans="1:16" ht="16.5" customHeight="1" thickBot="1" x14ac:dyDescent="0.25">
      <c r="A298" s="21" t="s">
        <v>472</v>
      </c>
      <c r="B298" s="19">
        <v>50000</v>
      </c>
      <c r="C298" s="19">
        <v>101523</v>
      </c>
      <c r="D298" s="19">
        <v>99920</v>
      </c>
      <c r="E298" s="19">
        <v>99920</v>
      </c>
      <c r="F298" s="19">
        <v>99920</v>
      </c>
      <c r="G298" s="19">
        <v>99920</v>
      </c>
      <c r="H298" s="19">
        <v>59170</v>
      </c>
      <c r="I298" s="25" t="s">
        <v>473</v>
      </c>
      <c r="J298" s="27">
        <f t="shared" si="24"/>
        <v>1603</v>
      </c>
      <c r="K298" s="27">
        <f t="shared" si="25"/>
        <v>1603</v>
      </c>
      <c r="L298" s="27">
        <f t="shared" si="26"/>
        <v>0</v>
      </c>
      <c r="M298" s="27">
        <f t="shared" si="27"/>
        <v>1603</v>
      </c>
      <c r="N298" s="30">
        <f t="shared" si="28"/>
        <v>1.5789525526235436E-2</v>
      </c>
      <c r="O298" s="30">
        <f t="shared" si="29"/>
        <v>0.98421047447376453</v>
      </c>
      <c r="P298" s="52"/>
    </row>
    <row r="299" spans="1:16" ht="16.5" customHeight="1" thickBot="1" x14ac:dyDescent="0.25">
      <c r="A299" s="21" t="s">
        <v>474</v>
      </c>
      <c r="B299" s="19">
        <v>50000</v>
      </c>
      <c r="C299" s="20">
        <v>0</v>
      </c>
      <c r="D299" s="20">
        <v>0</v>
      </c>
      <c r="E299" s="20">
        <v>0</v>
      </c>
      <c r="F299" s="20">
        <v>0</v>
      </c>
      <c r="G299" s="20">
        <v>0</v>
      </c>
      <c r="H299" s="20">
        <v>0</v>
      </c>
      <c r="I299" s="25" t="s">
        <v>25</v>
      </c>
      <c r="J299" s="27">
        <f t="shared" si="24"/>
        <v>0</v>
      </c>
      <c r="K299" s="27">
        <f t="shared" si="25"/>
        <v>0</v>
      </c>
      <c r="L299" s="27">
        <f t="shared" si="26"/>
        <v>0</v>
      </c>
      <c r="M299" s="27">
        <f t="shared" si="27"/>
        <v>0</v>
      </c>
      <c r="N299" s="30" t="str">
        <f t="shared" si="28"/>
        <v xml:space="preserve"> </v>
      </c>
      <c r="O299" s="30" t="str">
        <f t="shared" si="29"/>
        <v>ERROR</v>
      </c>
      <c r="P299" s="52"/>
    </row>
    <row r="300" spans="1:16" ht="16.5" customHeight="1" thickBot="1" x14ac:dyDescent="0.25">
      <c r="A300" s="21" t="s">
        <v>475</v>
      </c>
      <c r="B300" s="19">
        <v>800000</v>
      </c>
      <c r="C300" s="20">
        <v>0</v>
      </c>
      <c r="D300" s="20">
        <v>0</v>
      </c>
      <c r="E300" s="20">
        <v>0</v>
      </c>
      <c r="F300" s="20">
        <v>0</v>
      </c>
      <c r="G300" s="20">
        <v>0</v>
      </c>
      <c r="H300" s="20">
        <v>0</v>
      </c>
      <c r="I300" s="25" t="s">
        <v>25</v>
      </c>
      <c r="J300" s="27">
        <f t="shared" si="24"/>
        <v>0</v>
      </c>
      <c r="K300" s="27">
        <f t="shared" si="25"/>
        <v>0</v>
      </c>
      <c r="L300" s="27">
        <f t="shared" si="26"/>
        <v>0</v>
      </c>
      <c r="M300" s="27">
        <f t="shared" si="27"/>
        <v>0</v>
      </c>
      <c r="N300" s="30" t="str">
        <f t="shared" si="28"/>
        <v xml:space="preserve"> </v>
      </c>
      <c r="O300" s="30" t="str">
        <f t="shared" si="29"/>
        <v>ERROR</v>
      </c>
      <c r="P300" s="52"/>
    </row>
    <row r="301" spans="1:16" ht="16.5" customHeight="1" thickBot="1" x14ac:dyDescent="0.3">
      <c r="A301" s="21" t="s">
        <v>476</v>
      </c>
      <c r="B301" s="19">
        <v>50000</v>
      </c>
      <c r="C301" s="36">
        <v>300000</v>
      </c>
      <c r="D301" s="36">
        <v>300000</v>
      </c>
      <c r="E301" s="36">
        <v>300000</v>
      </c>
      <c r="F301" s="37">
        <v>0</v>
      </c>
      <c r="G301" s="37">
        <v>0</v>
      </c>
      <c r="H301" s="20">
        <v>0</v>
      </c>
      <c r="I301" s="25" t="s">
        <v>25</v>
      </c>
      <c r="J301" s="27">
        <f t="shared" si="24"/>
        <v>0</v>
      </c>
      <c r="K301" s="27">
        <f t="shared" si="25"/>
        <v>0</v>
      </c>
      <c r="L301" s="27">
        <f t="shared" si="26"/>
        <v>0</v>
      </c>
      <c r="M301" s="27">
        <f t="shared" si="27"/>
        <v>300000</v>
      </c>
      <c r="N301" s="30">
        <f t="shared" si="28"/>
        <v>0</v>
      </c>
      <c r="O301" s="30">
        <f t="shared" si="29"/>
        <v>0</v>
      </c>
      <c r="P301" s="52" t="s">
        <v>659</v>
      </c>
    </row>
    <row r="302" spans="1:16" ht="16.5" customHeight="1" thickBot="1" x14ac:dyDescent="0.25">
      <c r="A302" s="21" t="s">
        <v>477</v>
      </c>
      <c r="B302" s="19">
        <v>50000</v>
      </c>
      <c r="C302" s="19">
        <v>126982</v>
      </c>
      <c r="D302" s="19">
        <v>126982</v>
      </c>
      <c r="E302" s="19">
        <v>126982</v>
      </c>
      <c r="F302" s="19">
        <v>120317</v>
      </c>
      <c r="G302" s="19">
        <v>120317</v>
      </c>
      <c r="H302" s="19">
        <v>120317</v>
      </c>
      <c r="I302" s="25" t="s">
        <v>478</v>
      </c>
      <c r="J302" s="27">
        <f t="shared" si="24"/>
        <v>0</v>
      </c>
      <c r="K302" s="27">
        <f t="shared" si="25"/>
        <v>0</v>
      </c>
      <c r="L302" s="27">
        <f t="shared" si="26"/>
        <v>0</v>
      </c>
      <c r="M302" s="27">
        <f t="shared" si="27"/>
        <v>6665</v>
      </c>
      <c r="N302" s="30">
        <f t="shared" si="28"/>
        <v>0</v>
      </c>
      <c r="O302" s="30">
        <f t="shared" si="29"/>
        <v>0.94751224583011762</v>
      </c>
      <c r="P302" s="52"/>
    </row>
    <row r="303" spans="1:16" ht="16.5" customHeight="1" thickBot="1" x14ac:dyDescent="0.25">
      <c r="A303" s="21" t="s">
        <v>479</v>
      </c>
      <c r="B303" s="19">
        <v>5480901</v>
      </c>
      <c r="C303" s="19">
        <v>1382457</v>
      </c>
      <c r="D303" s="19">
        <v>1382456</v>
      </c>
      <c r="E303" s="19">
        <v>1076856</v>
      </c>
      <c r="F303" s="19">
        <v>215371</v>
      </c>
      <c r="G303" s="19">
        <v>215371</v>
      </c>
      <c r="H303" s="19">
        <v>215371</v>
      </c>
      <c r="I303" s="25" t="s">
        <v>480</v>
      </c>
      <c r="J303" s="27">
        <f t="shared" si="24"/>
        <v>1</v>
      </c>
      <c r="K303" s="27">
        <f t="shared" si="25"/>
        <v>305601</v>
      </c>
      <c r="L303" s="27">
        <f t="shared" si="26"/>
        <v>305600</v>
      </c>
      <c r="M303" s="27">
        <f t="shared" si="27"/>
        <v>1167086</v>
      </c>
      <c r="N303" s="30">
        <f t="shared" si="28"/>
        <v>0.22105642345476206</v>
      </c>
      <c r="O303" s="30">
        <f t="shared" si="29"/>
        <v>0.1557885706390868</v>
      </c>
      <c r="P303" s="52"/>
    </row>
    <row r="304" spans="1:16" ht="16.5" customHeight="1" thickBot="1" x14ac:dyDescent="0.25">
      <c r="A304" s="21" t="s">
        <v>481</v>
      </c>
      <c r="B304" s="19">
        <v>50000</v>
      </c>
      <c r="C304" s="19">
        <v>330710</v>
      </c>
      <c r="D304" s="19">
        <v>282399</v>
      </c>
      <c r="E304" s="19">
        <v>282399</v>
      </c>
      <c r="F304" s="19">
        <v>191887</v>
      </c>
      <c r="G304" s="19">
        <v>191887</v>
      </c>
      <c r="H304" s="19">
        <v>184887</v>
      </c>
      <c r="I304" s="25" t="s">
        <v>482</v>
      </c>
      <c r="J304" s="27">
        <f t="shared" si="24"/>
        <v>48311</v>
      </c>
      <c r="K304" s="27">
        <f t="shared" si="25"/>
        <v>48311</v>
      </c>
      <c r="L304" s="27">
        <f t="shared" si="26"/>
        <v>0</v>
      </c>
      <c r="M304" s="27">
        <f t="shared" si="27"/>
        <v>138823</v>
      </c>
      <c r="N304" s="30">
        <f t="shared" si="28"/>
        <v>0.14608267061776178</v>
      </c>
      <c r="O304" s="30">
        <f t="shared" si="29"/>
        <v>0.58022738955580422</v>
      </c>
      <c r="P304" s="52"/>
    </row>
    <row r="305" spans="1:16" ht="16.5" customHeight="1" thickBot="1" x14ac:dyDescent="0.25">
      <c r="A305" s="21" t="s">
        <v>483</v>
      </c>
      <c r="B305" s="19">
        <v>50000</v>
      </c>
      <c r="C305" s="19">
        <v>50000</v>
      </c>
      <c r="D305" s="19">
        <v>49980</v>
      </c>
      <c r="E305" s="19">
        <v>49980</v>
      </c>
      <c r="F305" s="19">
        <v>49975</v>
      </c>
      <c r="G305" s="19">
        <v>49975</v>
      </c>
      <c r="H305" s="19">
        <v>49975</v>
      </c>
      <c r="I305" s="25" t="s">
        <v>172</v>
      </c>
      <c r="J305" s="27">
        <f t="shared" si="24"/>
        <v>20</v>
      </c>
      <c r="K305" s="27">
        <f t="shared" si="25"/>
        <v>20</v>
      </c>
      <c r="L305" s="27">
        <f t="shared" si="26"/>
        <v>0</v>
      </c>
      <c r="M305" s="27">
        <f t="shared" si="27"/>
        <v>25</v>
      </c>
      <c r="N305" s="30">
        <f t="shared" si="28"/>
        <v>4.0000000000000002E-4</v>
      </c>
      <c r="O305" s="30">
        <f t="shared" si="29"/>
        <v>0.99950000000000006</v>
      </c>
      <c r="P305" s="52"/>
    </row>
    <row r="306" spans="1:16" ht="16.5" customHeight="1" thickBot="1" x14ac:dyDescent="0.25">
      <c r="A306" s="21" t="s">
        <v>484</v>
      </c>
      <c r="B306" s="19">
        <v>50000</v>
      </c>
      <c r="C306" s="19">
        <v>278409</v>
      </c>
      <c r="D306" s="19">
        <v>278409</v>
      </c>
      <c r="E306" s="19">
        <v>278409</v>
      </c>
      <c r="F306" s="19">
        <v>202806</v>
      </c>
      <c r="G306" s="19">
        <v>202806</v>
      </c>
      <c r="H306" s="19">
        <v>202806</v>
      </c>
      <c r="I306" s="25" t="s">
        <v>485</v>
      </c>
      <c r="J306" s="27">
        <f t="shared" si="24"/>
        <v>0</v>
      </c>
      <c r="K306" s="27">
        <f t="shared" si="25"/>
        <v>0</v>
      </c>
      <c r="L306" s="27">
        <f t="shared" si="26"/>
        <v>0</v>
      </c>
      <c r="M306" s="27">
        <f t="shared" si="27"/>
        <v>75603</v>
      </c>
      <c r="N306" s="30">
        <f t="shared" si="28"/>
        <v>0</v>
      </c>
      <c r="O306" s="30">
        <f t="shared" si="29"/>
        <v>0.72844627867633593</v>
      </c>
      <c r="P306" s="52"/>
    </row>
    <row r="307" spans="1:16" ht="16.5" customHeight="1" thickBot="1" x14ac:dyDescent="0.25">
      <c r="A307" s="21" t="s">
        <v>486</v>
      </c>
      <c r="B307" s="19">
        <v>50000</v>
      </c>
      <c r="C307" s="19">
        <v>390297</v>
      </c>
      <c r="D307" s="19">
        <v>389429</v>
      </c>
      <c r="E307" s="19">
        <v>346215</v>
      </c>
      <c r="F307" s="19">
        <v>305889</v>
      </c>
      <c r="G307" s="19">
        <v>251034</v>
      </c>
      <c r="H307" s="19">
        <v>251034</v>
      </c>
      <c r="I307" s="25" t="s">
        <v>179</v>
      </c>
      <c r="J307" s="27">
        <f t="shared" si="24"/>
        <v>868</v>
      </c>
      <c r="K307" s="27">
        <f t="shared" si="25"/>
        <v>44082</v>
      </c>
      <c r="L307" s="27">
        <f t="shared" si="26"/>
        <v>43214</v>
      </c>
      <c r="M307" s="27">
        <f t="shared" si="27"/>
        <v>139263</v>
      </c>
      <c r="N307" s="30">
        <f t="shared" si="28"/>
        <v>0.11294475745393892</v>
      </c>
      <c r="O307" s="30">
        <f t="shared" si="29"/>
        <v>0.64318711135366147</v>
      </c>
      <c r="P307" s="52"/>
    </row>
    <row r="308" spans="1:16" ht="16.5" customHeight="1" thickBot="1" x14ac:dyDescent="0.25">
      <c r="A308" s="21" t="s">
        <v>487</v>
      </c>
      <c r="B308" s="19">
        <v>50000</v>
      </c>
      <c r="C308" s="19">
        <v>340317</v>
      </c>
      <c r="D308" s="19">
        <v>335272</v>
      </c>
      <c r="E308" s="19">
        <v>335272</v>
      </c>
      <c r="F308" s="19">
        <v>233288</v>
      </c>
      <c r="G308" s="19">
        <v>228699</v>
      </c>
      <c r="H308" s="19">
        <v>228699</v>
      </c>
      <c r="I308" s="25" t="s">
        <v>488</v>
      </c>
      <c r="J308" s="27">
        <f t="shared" si="24"/>
        <v>5045</v>
      </c>
      <c r="K308" s="27">
        <f t="shared" si="25"/>
        <v>5045</v>
      </c>
      <c r="L308" s="27">
        <f t="shared" si="26"/>
        <v>0</v>
      </c>
      <c r="M308" s="27">
        <f t="shared" si="27"/>
        <v>111618</v>
      </c>
      <c r="N308" s="30">
        <f t="shared" si="28"/>
        <v>1.4824413708395408E-2</v>
      </c>
      <c r="O308" s="30">
        <f t="shared" si="29"/>
        <v>0.67201756009837887</v>
      </c>
      <c r="P308" s="52"/>
    </row>
    <row r="309" spans="1:16" ht="16.5" customHeight="1" thickBot="1" x14ac:dyDescent="0.3">
      <c r="A309" s="21" t="s">
        <v>489</v>
      </c>
      <c r="B309" s="20">
        <v>0</v>
      </c>
      <c r="C309" s="28">
        <v>1376515</v>
      </c>
      <c r="D309" s="29">
        <v>0</v>
      </c>
      <c r="E309" s="29">
        <v>0</v>
      </c>
      <c r="F309" s="29">
        <v>0</v>
      </c>
      <c r="G309" s="29">
        <v>0</v>
      </c>
      <c r="H309" s="20">
        <v>0</v>
      </c>
      <c r="I309" s="25" t="s">
        <v>25</v>
      </c>
      <c r="J309" s="27">
        <f t="shared" si="24"/>
        <v>1376515</v>
      </c>
      <c r="K309" s="27">
        <f t="shared" si="25"/>
        <v>1376515</v>
      </c>
      <c r="L309" s="27">
        <f t="shared" si="26"/>
        <v>0</v>
      </c>
      <c r="M309" s="27">
        <f t="shared" si="27"/>
        <v>1376515</v>
      </c>
      <c r="N309" s="30">
        <f t="shared" si="28"/>
        <v>1</v>
      </c>
      <c r="O309" s="30">
        <f t="shared" si="29"/>
        <v>0</v>
      </c>
      <c r="P309" s="52" t="s">
        <v>660</v>
      </c>
    </row>
    <row r="310" spans="1:16" ht="16.5" customHeight="1" thickBot="1" x14ac:dyDescent="0.3">
      <c r="A310" s="21" t="s">
        <v>490</v>
      </c>
      <c r="B310" s="20">
        <v>0</v>
      </c>
      <c r="C310" s="28">
        <v>81646</v>
      </c>
      <c r="D310" s="29">
        <v>0</v>
      </c>
      <c r="E310" s="29">
        <v>0</v>
      </c>
      <c r="F310" s="29">
        <v>0</v>
      </c>
      <c r="G310" s="29">
        <v>0</v>
      </c>
      <c r="H310" s="20">
        <v>0</v>
      </c>
      <c r="I310" s="25" t="s">
        <v>25</v>
      </c>
      <c r="J310" s="27">
        <f t="shared" si="24"/>
        <v>81646</v>
      </c>
      <c r="K310" s="27">
        <f t="shared" si="25"/>
        <v>81646</v>
      </c>
      <c r="L310" s="27">
        <f t="shared" si="26"/>
        <v>0</v>
      </c>
      <c r="M310" s="27">
        <f t="shared" si="27"/>
        <v>81646</v>
      </c>
      <c r="N310" s="30">
        <f t="shared" si="28"/>
        <v>1</v>
      </c>
      <c r="O310" s="30">
        <f t="shared" si="29"/>
        <v>0</v>
      </c>
      <c r="P310" s="52" t="s">
        <v>660</v>
      </c>
    </row>
    <row r="311" spans="1:16" ht="16.5" customHeight="1" thickBot="1" x14ac:dyDescent="0.25">
      <c r="A311" s="21" t="s">
        <v>491</v>
      </c>
      <c r="B311" s="19">
        <v>50000</v>
      </c>
      <c r="C311" s="20">
        <v>0</v>
      </c>
      <c r="D311" s="20">
        <v>0</v>
      </c>
      <c r="E311" s="20">
        <v>0</v>
      </c>
      <c r="F311" s="20">
        <v>0</v>
      </c>
      <c r="G311" s="20">
        <v>0</v>
      </c>
      <c r="H311" s="20">
        <v>0</v>
      </c>
      <c r="I311" s="25" t="s">
        <v>25</v>
      </c>
      <c r="J311" s="27">
        <f t="shared" si="24"/>
        <v>0</v>
      </c>
      <c r="K311" s="27">
        <f t="shared" si="25"/>
        <v>0</v>
      </c>
      <c r="L311" s="27">
        <f t="shared" si="26"/>
        <v>0</v>
      </c>
      <c r="M311" s="27">
        <f t="shared" si="27"/>
        <v>0</v>
      </c>
      <c r="N311" s="30" t="str">
        <f t="shared" si="28"/>
        <v xml:space="preserve"> </v>
      </c>
      <c r="O311" s="30" t="str">
        <f t="shared" si="29"/>
        <v>ERROR</v>
      </c>
      <c r="P311" s="52"/>
    </row>
    <row r="312" spans="1:16" ht="16.5" customHeight="1" thickBot="1" x14ac:dyDescent="0.25">
      <c r="A312" s="21" t="s">
        <v>492</v>
      </c>
      <c r="B312" s="19">
        <v>50000</v>
      </c>
      <c r="C312" s="19">
        <v>159574</v>
      </c>
      <c r="D312" s="19">
        <v>125169</v>
      </c>
      <c r="E312" s="19">
        <v>125169</v>
      </c>
      <c r="F312" s="19">
        <v>80462</v>
      </c>
      <c r="G312" s="19">
        <v>80462</v>
      </c>
      <c r="H312" s="19">
        <v>80462</v>
      </c>
      <c r="I312" s="25" t="s">
        <v>493</v>
      </c>
      <c r="J312" s="27">
        <f t="shared" si="24"/>
        <v>34405</v>
      </c>
      <c r="K312" s="27">
        <f t="shared" si="25"/>
        <v>34405</v>
      </c>
      <c r="L312" s="27">
        <f t="shared" si="26"/>
        <v>0</v>
      </c>
      <c r="M312" s="27">
        <f t="shared" si="27"/>
        <v>79112</v>
      </c>
      <c r="N312" s="30">
        <f t="shared" si="28"/>
        <v>0.21560529910887738</v>
      </c>
      <c r="O312" s="30">
        <f t="shared" si="29"/>
        <v>0.50423001240803644</v>
      </c>
      <c r="P312" s="52"/>
    </row>
    <row r="313" spans="1:16" ht="16.5" customHeight="1" thickBot="1" x14ac:dyDescent="0.25">
      <c r="A313" s="21" t="s">
        <v>494</v>
      </c>
      <c r="B313" s="19">
        <v>50000</v>
      </c>
      <c r="C313" s="19">
        <v>112244</v>
      </c>
      <c r="D313" s="19">
        <v>112244</v>
      </c>
      <c r="E313" s="19">
        <v>82244</v>
      </c>
      <c r="F313" s="19">
        <v>78031</v>
      </c>
      <c r="G313" s="19">
        <v>78031</v>
      </c>
      <c r="H313" s="19">
        <v>78031</v>
      </c>
      <c r="I313" s="25" t="s">
        <v>495</v>
      </c>
      <c r="J313" s="27">
        <f t="shared" si="24"/>
        <v>0</v>
      </c>
      <c r="K313" s="27">
        <f t="shared" si="25"/>
        <v>30000</v>
      </c>
      <c r="L313" s="27">
        <f t="shared" si="26"/>
        <v>30000</v>
      </c>
      <c r="M313" s="27">
        <f t="shared" si="27"/>
        <v>34213</v>
      </c>
      <c r="N313" s="30">
        <f t="shared" si="28"/>
        <v>0.26727486547165102</v>
      </c>
      <c r="O313" s="30">
        <f t="shared" si="29"/>
        <v>0.69519083425394679</v>
      </c>
      <c r="P313" s="52"/>
    </row>
    <row r="314" spans="1:16" ht="16.5" customHeight="1" thickBot="1" x14ac:dyDescent="0.25">
      <c r="A314" s="21" t="s">
        <v>496</v>
      </c>
      <c r="B314" s="19">
        <v>50000</v>
      </c>
      <c r="C314" s="19">
        <v>159651</v>
      </c>
      <c r="D314" s="19">
        <v>151653</v>
      </c>
      <c r="E314" s="19">
        <v>111653</v>
      </c>
      <c r="F314" s="19">
        <v>88000</v>
      </c>
      <c r="G314" s="19">
        <v>12000</v>
      </c>
      <c r="H314" s="19">
        <v>12000</v>
      </c>
      <c r="I314" s="25" t="s">
        <v>497</v>
      </c>
      <c r="J314" s="27">
        <f t="shared" si="24"/>
        <v>7998</v>
      </c>
      <c r="K314" s="27">
        <f t="shared" si="25"/>
        <v>47998</v>
      </c>
      <c r="L314" s="27">
        <f t="shared" si="26"/>
        <v>40000</v>
      </c>
      <c r="M314" s="27">
        <f t="shared" si="27"/>
        <v>147651</v>
      </c>
      <c r="N314" s="30">
        <f t="shared" si="28"/>
        <v>0.30064327815046571</v>
      </c>
      <c r="O314" s="30">
        <f t="shared" si="29"/>
        <v>7.5163951368923468E-2</v>
      </c>
      <c r="P314" s="52"/>
    </row>
    <row r="315" spans="1:16" ht="16.5" customHeight="1" thickBot="1" x14ac:dyDescent="0.25">
      <c r="A315" s="21" t="s">
        <v>498</v>
      </c>
      <c r="B315" s="19">
        <v>50000</v>
      </c>
      <c r="C315" s="19">
        <v>703231</v>
      </c>
      <c r="D315" s="19">
        <v>681293</v>
      </c>
      <c r="E315" s="19">
        <v>620093</v>
      </c>
      <c r="F315" s="19">
        <v>616664</v>
      </c>
      <c r="G315" s="19">
        <v>575339</v>
      </c>
      <c r="H315" s="19">
        <v>568322</v>
      </c>
      <c r="I315" s="25" t="s">
        <v>499</v>
      </c>
      <c r="J315" s="27">
        <f t="shared" si="24"/>
        <v>21938</v>
      </c>
      <c r="K315" s="27">
        <f t="shared" si="25"/>
        <v>83138</v>
      </c>
      <c r="L315" s="27">
        <f t="shared" si="26"/>
        <v>61200</v>
      </c>
      <c r="M315" s="27">
        <f t="shared" si="27"/>
        <v>127892</v>
      </c>
      <c r="N315" s="30">
        <f t="shared" si="28"/>
        <v>0.11822288835389794</v>
      </c>
      <c r="O315" s="30">
        <f t="shared" si="29"/>
        <v>0.81813657247760696</v>
      </c>
      <c r="P315" s="52"/>
    </row>
    <row r="316" spans="1:16" ht="16.5" customHeight="1" thickBot="1" x14ac:dyDescent="0.25">
      <c r="A316" s="21" t="s">
        <v>500</v>
      </c>
      <c r="B316" s="19">
        <v>1500000</v>
      </c>
      <c r="C316" s="19">
        <v>57442</v>
      </c>
      <c r="D316" s="19">
        <v>57137</v>
      </c>
      <c r="E316" s="19">
        <v>57137</v>
      </c>
      <c r="F316" s="19">
        <v>54415</v>
      </c>
      <c r="G316" s="19">
        <v>54415</v>
      </c>
      <c r="H316" s="19">
        <v>54415</v>
      </c>
      <c r="I316" s="25" t="s">
        <v>186</v>
      </c>
      <c r="J316" s="27">
        <f t="shared" si="24"/>
        <v>305</v>
      </c>
      <c r="K316" s="27">
        <f t="shared" si="25"/>
        <v>305</v>
      </c>
      <c r="L316" s="27">
        <f t="shared" si="26"/>
        <v>0</v>
      </c>
      <c r="M316" s="27">
        <f t="shared" si="27"/>
        <v>3027</v>
      </c>
      <c r="N316" s="30">
        <f t="shared" si="28"/>
        <v>5.309703701124613E-3</v>
      </c>
      <c r="O316" s="30">
        <f t="shared" si="29"/>
        <v>0.94730336687441241</v>
      </c>
      <c r="P316" s="52"/>
    </row>
    <row r="317" spans="1:16" ht="16.5" customHeight="1" thickBot="1" x14ac:dyDescent="0.3">
      <c r="A317" s="21" t="s">
        <v>501</v>
      </c>
      <c r="B317" s="19">
        <v>50000</v>
      </c>
      <c r="C317" s="36">
        <v>282553</v>
      </c>
      <c r="D317" s="36">
        <v>282553</v>
      </c>
      <c r="E317" s="36">
        <v>282553</v>
      </c>
      <c r="F317" s="37">
        <v>0</v>
      </c>
      <c r="G317" s="37">
        <v>0</v>
      </c>
      <c r="H317" s="20">
        <v>0</v>
      </c>
      <c r="I317" s="25" t="s">
        <v>25</v>
      </c>
      <c r="J317" s="27">
        <f t="shared" si="24"/>
        <v>0</v>
      </c>
      <c r="K317" s="27">
        <f t="shared" si="25"/>
        <v>0</v>
      </c>
      <c r="L317" s="27">
        <f t="shared" si="26"/>
        <v>0</v>
      </c>
      <c r="M317" s="27">
        <f t="shared" si="27"/>
        <v>282553</v>
      </c>
      <c r="N317" s="30">
        <f t="shared" si="28"/>
        <v>0</v>
      </c>
      <c r="O317" s="30">
        <f t="shared" si="29"/>
        <v>0</v>
      </c>
      <c r="P317" s="52" t="s">
        <v>659</v>
      </c>
    </row>
    <row r="318" spans="1:16" ht="16.5" customHeight="1" thickBot="1" x14ac:dyDescent="0.25">
      <c r="A318" s="21" t="s">
        <v>502</v>
      </c>
      <c r="B318" s="19">
        <v>50000</v>
      </c>
      <c r="C318" s="19">
        <v>164979</v>
      </c>
      <c r="D318" s="19">
        <v>164977</v>
      </c>
      <c r="E318" s="19">
        <v>164977</v>
      </c>
      <c r="F318" s="19">
        <v>162481</v>
      </c>
      <c r="G318" s="19">
        <v>152477</v>
      </c>
      <c r="H318" s="19">
        <v>152477</v>
      </c>
      <c r="I318" s="25" t="s">
        <v>503</v>
      </c>
      <c r="J318" s="27">
        <f t="shared" si="24"/>
        <v>2</v>
      </c>
      <c r="K318" s="27">
        <f t="shared" si="25"/>
        <v>2</v>
      </c>
      <c r="L318" s="27">
        <f t="shared" si="26"/>
        <v>0</v>
      </c>
      <c r="M318" s="27">
        <f t="shared" si="27"/>
        <v>12502</v>
      </c>
      <c r="N318" s="30">
        <f t="shared" si="28"/>
        <v>1.2122755017305233E-5</v>
      </c>
      <c r="O318" s="30">
        <f t="shared" si="29"/>
        <v>0.92422065838682499</v>
      </c>
      <c r="P318" s="52"/>
    </row>
    <row r="319" spans="1:16" ht="16.5" customHeight="1" thickBot="1" x14ac:dyDescent="0.25">
      <c r="A319" s="21" t="s">
        <v>504</v>
      </c>
      <c r="B319" s="19">
        <v>50000</v>
      </c>
      <c r="C319" s="19">
        <v>99897</v>
      </c>
      <c r="D319" s="19">
        <v>99880</v>
      </c>
      <c r="E319" s="19">
        <v>99880</v>
      </c>
      <c r="F319" s="19">
        <v>91645</v>
      </c>
      <c r="G319" s="19">
        <v>91645</v>
      </c>
      <c r="H319" s="19">
        <v>91645</v>
      </c>
      <c r="I319" s="25" t="s">
        <v>505</v>
      </c>
      <c r="J319" s="27">
        <f t="shared" si="24"/>
        <v>17</v>
      </c>
      <c r="K319" s="27">
        <f t="shared" si="25"/>
        <v>17</v>
      </c>
      <c r="L319" s="27">
        <f t="shared" si="26"/>
        <v>0</v>
      </c>
      <c r="M319" s="27">
        <f t="shared" si="27"/>
        <v>8252</v>
      </c>
      <c r="N319" s="30">
        <f t="shared" si="28"/>
        <v>1.7017528053895513E-4</v>
      </c>
      <c r="O319" s="30">
        <f t="shared" si="29"/>
        <v>0.91739491676426721</v>
      </c>
      <c r="P319" s="52"/>
    </row>
    <row r="320" spans="1:16" ht="16.5" customHeight="1" thickBot="1" x14ac:dyDescent="0.3">
      <c r="A320" s="21" t="s">
        <v>506</v>
      </c>
      <c r="B320" s="20">
        <v>0</v>
      </c>
      <c r="C320" s="28">
        <v>292573</v>
      </c>
      <c r="D320" s="29">
        <v>0</v>
      </c>
      <c r="E320" s="29">
        <v>0</v>
      </c>
      <c r="F320" s="29">
        <v>0</v>
      </c>
      <c r="G320" s="29">
        <v>0</v>
      </c>
      <c r="H320" s="20">
        <v>0</v>
      </c>
      <c r="I320" s="25" t="s">
        <v>25</v>
      </c>
      <c r="J320" s="27">
        <f t="shared" si="24"/>
        <v>292573</v>
      </c>
      <c r="K320" s="27">
        <f t="shared" si="25"/>
        <v>292573</v>
      </c>
      <c r="L320" s="27">
        <f t="shared" si="26"/>
        <v>0</v>
      </c>
      <c r="M320" s="27">
        <f t="shared" si="27"/>
        <v>292573</v>
      </c>
      <c r="N320" s="30">
        <f t="shared" si="28"/>
        <v>1</v>
      </c>
      <c r="O320" s="30">
        <f t="shared" si="29"/>
        <v>0</v>
      </c>
      <c r="P320" s="52" t="s">
        <v>660</v>
      </c>
    </row>
    <row r="321" spans="1:16" ht="16.5" customHeight="1" thickBot="1" x14ac:dyDescent="0.25">
      <c r="A321" s="21" t="s">
        <v>507</v>
      </c>
      <c r="B321" s="19">
        <v>50000</v>
      </c>
      <c r="C321" s="19">
        <v>332000</v>
      </c>
      <c r="D321" s="19">
        <v>332000</v>
      </c>
      <c r="E321" s="19">
        <v>250000</v>
      </c>
      <c r="F321" s="19">
        <v>166833</v>
      </c>
      <c r="G321" s="19">
        <v>165235</v>
      </c>
      <c r="H321" s="19">
        <v>165235</v>
      </c>
      <c r="I321" s="25" t="s">
        <v>508</v>
      </c>
      <c r="J321" s="27">
        <f t="shared" si="24"/>
        <v>0</v>
      </c>
      <c r="K321" s="27">
        <f t="shared" si="25"/>
        <v>82000</v>
      </c>
      <c r="L321" s="27">
        <f t="shared" si="26"/>
        <v>82000</v>
      </c>
      <c r="M321" s="27">
        <f t="shared" si="27"/>
        <v>166765</v>
      </c>
      <c r="N321" s="30">
        <f t="shared" si="28"/>
        <v>0.24698795180722891</v>
      </c>
      <c r="O321" s="30">
        <f t="shared" si="29"/>
        <v>0.4976957831325301</v>
      </c>
      <c r="P321" s="52"/>
    </row>
    <row r="322" spans="1:16" ht="16.5" customHeight="1" thickBot="1" x14ac:dyDescent="0.25">
      <c r="A322" s="21" t="s">
        <v>509</v>
      </c>
      <c r="B322" s="19">
        <v>50000</v>
      </c>
      <c r="C322" s="19">
        <v>1861270</v>
      </c>
      <c r="D322" s="19">
        <v>1466941</v>
      </c>
      <c r="E322" s="19">
        <v>1451566</v>
      </c>
      <c r="F322" s="19">
        <v>1321934</v>
      </c>
      <c r="G322" s="19">
        <v>1164545</v>
      </c>
      <c r="H322" s="19">
        <v>1106532</v>
      </c>
      <c r="I322" s="25" t="s">
        <v>510</v>
      </c>
      <c r="J322" s="27">
        <f t="shared" si="24"/>
        <v>394329</v>
      </c>
      <c r="K322" s="27">
        <f t="shared" si="25"/>
        <v>409704</v>
      </c>
      <c r="L322" s="27">
        <f t="shared" si="26"/>
        <v>15375</v>
      </c>
      <c r="M322" s="27">
        <f t="shared" si="27"/>
        <v>696725</v>
      </c>
      <c r="N322" s="30">
        <f t="shared" si="28"/>
        <v>0.22012067029501362</v>
      </c>
      <c r="O322" s="30">
        <f t="shared" si="29"/>
        <v>0.62567225604023058</v>
      </c>
      <c r="P322" s="52"/>
    </row>
    <row r="323" spans="1:16" ht="16.5" customHeight="1" thickBot="1" x14ac:dyDescent="0.25">
      <c r="A323" s="21" t="s">
        <v>511</v>
      </c>
      <c r="B323" s="19">
        <v>50000</v>
      </c>
      <c r="C323" s="20">
        <v>0</v>
      </c>
      <c r="D323" s="20">
        <v>0</v>
      </c>
      <c r="E323" s="20">
        <v>0</v>
      </c>
      <c r="F323" s="20">
        <v>0</v>
      </c>
      <c r="G323" s="20">
        <v>0</v>
      </c>
      <c r="H323" s="20">
        <v>0</v>
      </c>
      <c r="I323" s="25" t="s">
        <v>25</v>
      </c>
      <c r="J323" s="27">
        <f t="shared" si="24"/>
        <v>0</v>
      </c>
      <c r="K323" s="27">
        <f t="shared" si="25"/>
        <v>0</v>
      </c>
      <c r="L323" s="27">
        <f t="shared" si="26"/>
        <v>0</v>
      </c>
      <c r="M323" s="27">
        <f t="shared" si="27"/>
        <v>0</v>
      </c>
      <c r="N323" s="30" t="str">
        <f t="shared" si="28"/>
        <v xml:space="preserve"> </v>
      </c>
      <c r="O323" s="30" t="str">
        <f t="shared" si="29"/>
        <v>ERROR</v>
      </c>
      <c r="P323" s="52"/>
    </row>
    <row r="324" spans="1:16" ht="16.5" customHeight="1" thickBot="1" x14ac:dyDescent="0.25">
      <c r="A324" s="21" t="s">
        <v>512</v>
      </c>
      <c r="B324" s="20">
        <v>0</v>
      </c>
      <c r="C324" s="19">
        <v>152639</v>
      </c>
      <c r="D324" s="19">
        <v>152605</v>
      </c>
      <c r="E324" s="19">
        <v>152605</v>
      </c>
      <c r="F324" s="19">
        <v>152605</v>
      </c>
      <c r="G324" s="19">
        <v>152605</v>
      </c>
      <c r="H324" s="19">
        <v>152605</v>
      </c>
      <c r="I324" s="25" t="s">
        <v>172</v>
      </c>
      <c r="J324" s="27">
        <f t="shared" si="24"/>
        <v>34</v>
      </c>
      <c r="K324" s="27">
        <f t="shared" si="25"/>
        <v>34</v>
      </c>
      <c r="L324" s="27">
        <f t="shared" si="26"/>
        <v>0</v>
      </c>
      <c r="M324" s="27">
        <f t="shared" si="27"/>
        <v>34</v>
      </c>
      <c r="N324" s="30">
        <f t="shared" si="28"/>
        <v>2.2274779053846003E-4</v>
      </c>
      <c r="O324" s="30">
        <f t="shared" si="29"/>
        <v>0.99977725220946156</v>
      </c>
      <c r="P324" s="52"/>
    </row>
    <row r="325" spans="1:16" ht="16.5" customHeight="1" thickBot="1" x14ac:dyDescent="0.25">
      <c r="A325" s="21" t="s">
        <v>513</v>
      </c>
      <c r="B325" s="20">
        <v>0</v>
      </c>
      <c r="C325" s="19">
        <v>1175365</v>
      </c>
      <c r="D325" s="19">
        <v>285680</v>
      </c>
      <c r="E325" s="19">
        <v>282860</v>
      </c>
      <c r="F325" s="19">
        <v>278511</v>
      </c>
      <c r="G325" s="19">
        <v>278011</v>
      </c>
      <c r="H325" s="19">
        <v>275803</v>
      </c>
      <c r="I325" s="25" t="s">
        <v>514</v>
      </c>
      <c r="J325" s="27">
        <f t="shared" si="24"/>
        <v>889685</v>
      </c>
      <c r="K325" s="27">
        <f t="shared" si="25"/>
        <v>892505</v>
      </c>
      <c r="L325" s="27">
        <f t="shared" si="26"/>
        <v>2820</v>
      </c>
      <c r="M325" s="27">
        <f t="shared" si="27"/>
        <v>897354</v>
      </c>
      <c r="N325" s="30">
        <f t="shared" si="28"/>
        <v>0.75934284243617944</v>
      </c>
      <c r="O325" s="30">
        <f t="shared" si="29"/>
        <v>0.23653163059985621</v>
      </c>
      <c r="P325" s="52"/>
    </row>
    <row r="326" spans="1:16" ht="16.5" customHeight="1" thickBot="1" x14ac:dyDescent="0.25">
      <c r="A326" s="21" t="s">
        <v>515</v>
      </c>
      <c r="B326" s="20">
        <v>0</v>
      </c>
      <c r="C326" s="19">
        <v>680000</v>
      </c>
      <c r="D326" s="19">
        <v>676480</v>
      </c>
      <c r="E326" s="19">
        <v>626480</v>
      </c>
      <c r="F326" s="19">
        <v>476075</v>
      </c>
      <c r="G326" s="19">
        <v>463895</v>
      </c>
      <c r="H326" s="19">
        <v>463895</v>
      </c>
      <c r="I326" s="25" t="s">
        <v>516</v>
      </c>
      <c r="J326" s="27">
        <f t="shared" si="24"/>
        <v>3520</v>
      </c>
      <c r="K326" s="27">
        <f t="shared" si="25"/>
        <v>53520</v>
      </c>
      <c r="L326" s="27">
        <f t="shared" si="26"/>
        <v>50000</v>
      </c>
      <c r="M326" s="27">
        <f t="shared" si="27"/>
        <v>216105</v>
      </c>
      <c r="N326" s="30">
        <f t="shared" si="28"/>
        <v>7.8705882352941181E-2</v>
      </c>
      <c r="O326" s="30">
        <f t="shared" si="29"/>
        <v>0.68219852941176473</v>
      </c>
      <c r="P326" s="52"/>
    </row>
    <row r="327" spans="1:16" ht="16.5" customHeight="1" thickBot="1" x14ac:dyDescent="0.25">
      <c r="A327" s="21" t="s">
        <v>517</v>
      </c>
      <c r="B327" s="19">
        <v>50000</v>
      </c>
      <c r="C327" s="19">
        <v>50000</v>
      </c>
      <c r="D327" s="19">
        <v>50000</v>
      </c>
      <c r="E327" s="19">
        <v>50000</v>
      </c>
      <c r="F327" s="19">
        <v>47967</v>
      </c>
      <c r="G327" s="19">
        <v>47967</v>
      </c>
      <c r="H327" s="19">
        <v>47967</v>
      </c>
      <c r="I327" s="25" t="s">
        <v>396</v>
      </c>
      <c r="J327" s="27">
        <f t="shared" si="24"/>
        <v>0</v>
      </c>
      <c r="K327" s="27">
        <f t="shared" si="25"/>
        <v>0</v>
      </c>
      <c r="L327" s="27">
        <f t="shared" si="26"/>
        <v>0</v>
      </c>
      <c r="M327" s="27">
        <f t="shared" si="27"/>
        <v>2033</v>
      </c>
      <c r="N327" s="30">
        <f t="shared" si="28"/>
        <v>0</v>
      </c>
      <c r="O327" s="30">
        <f t="shared" si="29"/>
        <v>0.95933999999999997</v>
      </c>
      <c r="P327" s="52"/>
    </row>
    <row r="328" spans="1:16" ht="16.5" customHeight="1" thickBot="1" x14ac:dyDescent="0.25">
      <c r="A328" s="21" t="s">
        <v>518</v>
      </c>
      <c r="B328" s="20">
        <v>0</v>
      </c>
      <c r="C328" s="19">
        <v>621845</v>
      </c>
      <c r="D328" s="19">
        <v>621845</v>
      </c>
      <c r="E328" s="19">
        <v>521845</v>
      </c>
      <c r="F328" s="19">
        <v>396843</v>
      </c>
      <c r="G328" s="19">
        <v>396843</v>
      </c>
      <c r="H328" s="19">
        <v>396843</v>
      </c>
      <c r="I328" s="25" t="s">
        <v>519</v>
      </c>
      <c r="J328" s="27">
        <f t="shared" si="24"/>
        <v>0</v>
      </c>
      <c r="K328" s="27">
        <f t="shared" si="25"/>
        <v>100000</v>
      </c>
      <c r="L328" s="27">
        <f t="shared" si="26"/>
        <v>100000</v>
      </c>
      <c r="M328" s="27">
        <f t="shared" si="27"/>
        <v>225002</v>
      </c>
      <c r="N328" s="30">
        <f t="shared" si="28"/>
        <v>0.16081177785461007</v>
      </c>
      <c r="O328" s="30">
        <f t="shared" si="29"/>
        <v>0.63817028359157024</v>
      </c>
      <c r="P328" s="52"/>
    </row>
    <row r="329" spans="1:16" ht="16.5" customHeight="1" thickBot="1" x14ac:dyDescent="0.25">
      <c r="A329" s="21" t="s">
        <v>520</v>
      </c>
      <c r="B329" s="19">
        <v>50000</v>
      </c>
      <c r="C329" s="19">
        <v>275790</v>
      </c>
      <c r="D329" s="19">
        <v>274002</v>
      </c>
      <c r="E329" s="19">
        <v>199752</v>
      </c>
      <c r="F329" s="19">
        <v>165406</v>
      </c>
      <c r="G329" s="19">
        <v>155654</v>
      </c>
      <c r="H329" s="19">
        <v>155654</v>
      </c>
      <c r="I329" s="25" t="s">
        <v>521</v>
      </c>
      <c r="J329" s="27">
        <f t="shared" si="24"/>
        <v>1788</v>
      </c>
      <c r="K329" s="27">
        <f t="shared" si="25"/>
        <v>76038</v>
      </c>
      <c r="L329" s="27">
        <f t="shared" si="26"/>
        <v>74250</v>
      </c>
      <c r="M329" s="27">
        <f t="shared" si="27"/>
        <v>120136</v>
      </c>
      <c r="N329" s="30">
        <f t="shared" si="28"/>
        <v>0.27570977917981071</v>
      </c>
      <c r="O329" s="30">
        <f t="shared" si="29"/>
        <v>0.56439319772290508</v>
      </c>
      <c r="P329" s="52"/>
    </row>
    <row r="330" spans="1:16" ht="16.5" customHeight="1" thickBot="1" x14ac:dyDescent="0.25">
      <c r="A330" s="21" t="s">
        <v>522</v>
      </c>
      <c r="B330" s="19">
        <v>800000</v>
      </c>
      <c r="C330" s="19">
        <v>255799</v>
      </c>
      <c r="D330" s="19">
        <v>195379</v>
      </c>
      <c r="E330" s="19">
        <v>192949</v>
      </c>
      <c r="F330" s="19">
        <v>182000</v>
      </c>
      <c r="G330" s="19">
        <v>138575</v>
      </c>
      <c r="H330" s="19">
        <v>134827</v>
      </c>
      <c r="I330" s="25" t="s">
        <v>523</v>
      </c>
      <c r="J330" s="27">
        <f t="shared" si="24"/>
        <v>60420</v>
      </c>
      <c r="K330" s="27">
        <f t="shared" si="25"/>
        <v>62850</v>
      </c>
      <c r="L330" s="27">
        <f t="shared" si="26"/>
        <v>2430</v>
      </c>
      <c r="M330" s="27">
        <f t="shared" si="27"/>
        <v>117224</v>
      </c>
      <c r="N330" s="30">
        <f t="shared" si="28"/>
        <v>0.24570072596061751</v>
      </c>
      <c r="O330" s="30">
        <f t="shared" si="29"/>
        <v>0.54173393953846571</v>
      </c>
      <c r="P330" s="52"/>
    </row>
    <row r="331" spans="1:16" ht="16.5" customHeight="1" thickBot="1" x14ac:dyDescent="0.25">
      <c r="A331" s="21" t="s">
        <v>524</v>
      </c>
      <c r="B331" s="19">
        <v>100000</v>
      </c>
      <c r="C331" s="19">
        <v>50467</v>
      </c>
      <c r="D331" s="19">
        <v>50467</v>
      </c>
      <c r="E331" s="19">
        <v>50467</v>
      </c>
      <c r="F331" s="19">
        <v>48903</v>
      </c>
      <c r="G331" s="19">
        <v>48903</v>
      </c>
      <c r="H331" s="19">
        <v>48903</v>
      </c>
      <c r="I331" s="25" t="s">
        <v>70</v>
      </c>
      <c r="J331" s="27">
        <f t="shared" si="24"/>
        <v>0</v>
      </c>
      <c r="K331" s="27">
        <f t="shared" si="25"/>
        <v>0</v>
      </c>
      <c r="L331" s="27">
        <f t="shared" si="26"/>
        <v>0</v>
      </c>
      <c r="M331" s="27">
        <f t="shared" si="27"/>
        <v>1564</v>
      </c>
      <c r="N331" s="30">
        <f t="shared" si="28"/>
        <v>0</v>
      </c>
      <c r="O331" s="30">
        <f t="shared" si="29"/>
        <v>0.96900945172092656</v>
      </c>
      <c r="P331" s="52"/>
    </row>
    <row r="332" spans="1:16" ht="16.5" customHeight="1" thickBot="1" x14ac:dyDescent="0.25">
      <c r="A332" s="21" t="s">
        <v>525</v>
      </c>
      <c r="B332" s="19">
        <v>50000</v>
      </c>
      <c r="C332" s="20">
        <v>0</v>
      </c>
      <c r="D332" s="20">
        <v>0</v>
      </c>
      <c r="E332" s="20">
        <v>0</v>
      </c>
      <c r="F332" s="20">
        <v>0</v>
      </c>
      <c r="G332" s="20">
        <v>0</v>
      </c>
      <c r="H332" s="20">
        <v>0</v>
      </c>
      <c r="I332" s="25" t="s">
        <v>25</v>
      </c>
      <c r="J332" s="27">
        <f t="shared" si="24"/>
        <v>0</v>
      </c>
      <c r="K332" s="27">
        <f t="shared" si="25"/>
        <v>0</v>
      </c>
      <c r="L332" s="27">
        <f t="shared" si="26"/>
        <v>0</v>
      </c>
      <c r="M332" s="27">
        <f t="shared" si="27"/>
        <v>0</v>
      </c>
      <c r="N332" s="30" t="str">
        <f t="shared" si="28"/>
        <v xml:space="preserve"> </v>
      </c>
      <c r="O332" s="30" t="str">
        <f t="shared" si="29"/>
        <v>ERROR</v>
      </c>
      <c r="P332" s="52"/>
    </row>
    <row r="333" spans="1:16" ht="16.5" customHeight="1" thickBot="1" x14ac:dyDescent="0.3">
      <c r="A333" s="21" t="s">
        <v>526</v>
      </c>
      <c r="B333" s="20">
        <v>0</v>
      </c>
      <c r="C333" s="36">
        <v>65438</v>
      </c>
      <c r="D333" s="36">
        <v>59650</v>
      </c>
      <c r="E333" s="37">
        <v>0</v>
      </c>
      <c r="F333" s="37">
        <v>0</v>
      </c>
      <c r="G333" s="37">
        <v>0</v>
      </c>
      <c r="H333" s="20">
        <v>0</v>
      </c>
      <c r="I333" s="25" t="s">
        <v>25</v>
      </c>
      <c r="J333" s="27">
        <f t="shared" si="24"/>
        <v>5788</v>
      </c>
      <c r="K333" s="27">
        <f t="shared" si="25"/>
        <v>65438</v>
      </c>
      <c r="L333" s="27">
        <f t="shared" si="26"/>
        <v>59650</v>
      </c>
      <c r="M333" s="27">
        <f t="shared" si="27"/>
        <v>65438</v>
      </c>
      <c r="N333" s="30">
        <f t="shared" si="28"/>
        <v>1</v>
      </c>
      <c r="O333" s="30">
        <f t="shared" si="29"/>
        <v>0</v>
      </c>
      <c r="P333" s="52" t="s">
        <v>660</v>
      </c>
    </row>
    <row r="334" spans="1:16" ht="16.5" customHeight="1" thickBot="1" x14ac:dyDescent="0.25">
      <c r="A334" s="21" t="s">
        <v>527</v>
      </c>
      <c r="B334" s="20">
        <v>0</v>
      </c>
      <c r="C334" s="19">
        <v>5365</v>
      </c>
      <c r="D334" s="19">
        <v>5364</v>
      </c>
      <c r="E334" s="19">
        <v>5364</v>
      </c>
      <c r="F334" s="19">
        <v>5364</v>
      </c>
      <c r="G334" s="19">
        <v>5364</v>
      </c>
      <c r="H334" s="19">
        <v>5364</v>
      </c>
      <c r="I334" s="25" t="s">
        <v>172</v>
      </c>
      <c r="J334" s="27">
        <f t="shared" si="24"/>
        <v>1</v>
      </c>
      <c r="K334" s="27">
        <f t="shared" si="25"/>
        <v>1</v>
      </c>
      <c r="L334" s="27">
        <f t="shared" si="26"/>
        <v>0</v>
      </c>
      <c r="M334" s="27">
        <f t="shared" si="27"/>
        <v>1</v>
      </c>
      <c r="N334" s="30">
        <f t="shared" si="28"/>
        <v>1.8639328984156571E-4</v>
      </c>
      <c r="O334" s="30">
        <f t="shared" si="29"/>
        <v>0.9998136067101584</v>
      </c>
      <c r="P334" s="52"/>
    </row>
    <row r="335" spans="1:16" ht="16.5" customHeight="1" thickBot="1" x14ac:dyDescent="0.25">
      <c r="A335" s="21" t="s">
        <v>528</v>
      </c>
      <c r="B335" s="20">
        <v>0</v>
      </c>
      <c r="C335" s="19">
        <v>2936</v>
      </c>
      <c r="D335" s="19">
        <v>2936</v>
      </c>
      <c r="E335" s="19">
        <v>2936</v>
      </c>
      <c r="F335" s="19">
        <v>2936</v>
      </c>
      <c r="G335" s="19">
        <v>2936</v>
      </c>
      <c r="H335" s="19">
        <v>2936</v>
      </c>
      <c r="I335" s="25" t="s">
        <v>172</v>
      </c>
      <c r="J335" s="27">
        <f t="shared" si="24"/>
        <v>0</v>
      </c>
      <c r="K335" s="27">
        <f t="shared" si="25"/>
        <v>0</v>
      </c>
      <c r="L335" s="27">
        <f t="shared" si="26"/>
        <v>0</v>
      </c>
      <c r="M335" s="27">
        <f t="shared" si="27"/>
        <v>0</v>
      </c>
      <c r="N335" s="30">
        <f t="shared" si="28"/>
        <v>0</v>
      </c>
      <c r="O335" s="30">
        <f t="shared" si="29"/>
        <v>1</v>
      </c>
      <c r="P335" s="52"/>
    </row>
    <row r="336" spans="1:16" ht="16.5" customHeight="1" thickBot="1" x14ac:dyDescent="0.25">
      <c r="A336" s="21" t="s">
        <v>529</v>
      </c>
      <c r="B336" s="20">
        <v>0</v>
      </c>
      <c r="C336" s="19">
        <v>10692</v>
      </c>
      <c r="D336" s="19">
        <v>10692</v>
      </c>
      <c r="E336" s="19">
        <v>10692</v>
      </c>
      <c r="F336" s="19">
        <v>10692</v>
      </c>
      <c r="G336" s="19">
        <v>10692</v>
      </c>
      <c r="H336" s="19">
        <v>10692</v>
      </c>
      <c r="I336" s="25" t="s">
        <v>172</v>
      </c>
      <c r="J336" s="27">
        <f t="shared" si="24"/>
        <v>0</v>
      </c>
      <c r="K336" s="27">
        <f t="shared" si="25"/>
        <v>0</v>
      </c>
      <c r="L336" s="27">
        <f t="shared" si="26"/>
        <v>0</v>
      </c>
      <c r="M336" s="27">
        <f t="shared" si="27"/>
        <v>0</v>
      </c>
      <c r="N336" s="30">
        <f t="shared" si="28"/>
        <v>0</v>
      </c>
      <c r="O336" s="30">
        <f t="shared" si="29"/>
        <v>1</v>
      </c>
      <c r="P336" s="52"/>
    </row>
    <row r="337" spans="1:16" ht="16.5" customHeight="1" thickBot="1" x14ac:dyDescent="0.25">
      <c r="A337" s="21" t="s">
        <v>530</v>
      </c>
      <c r="B337" s="20">
        <v>0</v>
      </c>
      <c r="C337" s="19">
        <v>3546</v>
      </c>
      <c r="D337" s="19">
        <v>3546</v>
      </c>
      <c r="E337" s="19">
        <v>3546</v>
      </c>
      <c r="F337" s="19">
        <v>3546</v>
      </c>
      <c r="G337" s="19">
        <v>3546</v>
      </c>
      <c r="H337" s="19">
        <v>3546</v>
      </c>
      <c r="I337" s="25" t="s">
        <v>172</v>
      </c>
      <c r="J337" s="27">
        <f t="shared" ref="J337:J400" si="30">C337-D337</f>
        <v>0</v>
      </c>
      <c r="K337" s="27">
        <f t="shared" ref="K337:K400" si="31">C337-E337</f>
        <v>0</v>
      </c>
      <c r="L337" s="27">
        <f t="shared" ref="L337:L400" si="32">D337-E337</f>
        <v>0</v>
      </c>
      <c r="M337" s="27">
        <f t="shared" ref="M337:M400" si="33">C337-G337</f>
        <v>0</v>
      </c>
      <c r="N337" s="30">
        <f t="shared" ref="N337:N400" si="34">IFERROR(K337/C337, " ")</f>
        <v>0</v>
      </c>
      <c r="O337" s="30">
        <f t="shared" ref="O337:O400" si="35">IFERROR(G337/C337, "ERROR")</f>
        <v>1</v>
      </c>
      <c r="P337" s="52"/>
    </row>
    <row r="338" spans="1:16" ht="16.5" customHeight="1" thickBot="1" x14ac:dyDescent="0.25">
      <c r="A338" s="21" t="s">
        <v>531</v>
      </c>
      <c r="B338" s="20">
        <v>0</v>
      </c>
      <c r="C338" s="19">
        <v>2555</v>
      </c>
      <c r="D338" s="19">
        <v>2550</v>
      </c>
      <c r="E338" s="19">
        <v>2550</v>
      </c>
      <c r="F338" s="19">
        <v>2550</v>
      </c>
      <c r="G338" s="19">
        <v>2550</v>
      </c>
      <c r="H338" s="19">
        <v>2550</v>
      </c>
      <c r="I338" s="25" t="s">
        <v>532</v>
      </c>
      <c r="J338" s="27">
        <f t="shared" si="30"/>
        <v>5</v>
      </c>
      <c r="K338" s="27">
        <f t="shared" si="31"/>
        <v>5</v>
      </c>
      <c r="L338" s="27">
        <f t="shared" si="32"/>
        <v>0</v>
      </c>
      <c r="M338" s="27">
        <f t="shared" si="33"/>
        <v>5</v>
      </c>
      <c r="N338" s="30">
        <f t="shared" si="34"/>
        <v>1.9569471624266144E-3</v>
      </c>
      <c r="O338" s="30">
        <f t="shared" si="35"/>
        <v>0.99804305283757333</v>
      </c>
      <c r="P338" s="52"/>
    </row>
    <row r="339" spans="1:16" ht="16.5" customHeight="1" thickBot="1" x14ac:dyDescent="0.25">
      <c r="A339" s="21" t="s">
        <v>533</v>
      </c>
      <c r="B339" s="20">
        <v>0</v>
      </c>
      <c r="C339" s="19">
        <v>73376</v>
      </c>
      <c r="D339" s="19">
        <v>69876</v>
      </c>
      <c r="E339" s="19">
        <v>69876</v>
      </c>
      <c r="F339" s="19">
        <v>69876</v>
      </c>
      <c r="G339" s="19">
        <v>69876</v>
      </c>
      <c r="H339" s="19">
        <v>69876</v>
      </c>
      <c r="I339" s="25" t="s">
        <v>534</v>
      </c>
      <c r="J339" s="27">
        <f t="shared" si="30"/>
        <v>3500</v>
      </c>
      <c r="K339" s="27">
        <f t="shared" si="31"/>
        <v>3500</v>
      </c>
      <c r="L339" s="27">
        <f t="shared" si="32"/>
        <v>0</v>
      </c>
      <c r="M339" s="27">
        <f t="shared" si="33"/>
        <v>3500</v>
      </c>
      <c r="N339" s="30">
        <f t="shared" si="34"/>
        <v>4.7699520279110334E-2</v>
      </c>
      <c r="O339" s="30">
        <f t="shared" si="35"/>
        <v>0.95230047972088971</v>
      </c>
      <c r="P339" s="52"/>
    </row>
    <row r="340" spans="1:16" ht="16.5" customHeight="1" thickBot="1" x14ac:dyDescent="0.25">
      <c r="A340" s="21" t="s">
        <v>535</v>
      </c>
      <c r="B340" s="20">
        <v>0</v>
      </c>
      <c r="C340" s="19">
        <v>54964</v>
      </c>
      <c r="D340" s="19">
        <v>1978</v>
      </c>
      <c r="E340" s="19">
        <v>1978</v>
      </c>
      <c r="F340" s="19">
        <v>1978</v>
      </c>
      <c r="G340" s="19">
        <v>1978</v>
      </c>
      <c r="H340" s="19">
        <v>1978</v>
      </c>
      <c r="I340" s="25" t="s">
        <v>536</v>
      </c>
      <c r="J340" s="27">
        <f t="shared" si="30"/>
        <v>52986</v>
      </c>
      <c r="K340" s="27">
        <f t="shared" si="31"/>
        <v>52986</v>
      </c>
      <c r="L340" s="27">
        <f t="shared" si="32"/>
        <v>0</v>
      </c>
      <c r="M340" s="27">
        <f t="shared" si="33"/>
        <v>52986</v>
      </c>
      <c r="N340" s="30">
        <f t="shared" si="34"/>
        <v>0.96401280838366932</v>
      </c>
      <c r="O340" s="30">
        <f t="shared" si="35"/>
        <v>3.598719161633069E-2</v>
      </c>
      <c r="P340" s="52"/>
    </row>
    <row r="341" spans="1:16" ht="16.5" customHeight="1" thickBot="1" x14ac:dyDescent="0.25">
      <c r="A341" s="21" t="s">
        <v>537</v>
      </c>
      <c r="B341" s="20">
        <v>0</v>
      </c>
      <c r="C341" s="19">
        <v>73915</v>
      </c>
      <c r="D341" s="19">
        <v>71560</v>
      </c>
      <c r="E341" s="19">
        <v>69710</v>
      </c>
      <c r="F341" s="19">
        <v>69710</v>
      </c>
      <c r="G341" s="19">
        <v>69710</v>
      </c>
      <c r="H341" s="19">
        <v>69710</v>
      </c>
      <c r="I341" s="25" t="s">
        <v>538</v>
      </c>
      <c r="J341" s="27">
        <f t="shared" si="30"/>
        <v>2355</v>
      </c>
      <c r="K341" s="27">
        <f t="shared" si="31"/>
        <v>4205</v>
      </c>
      <c r="L341" s="27">
        <f t="shared" si="32"/>
        <v>1850</v>
      </c>
      <c r="M341" s="27">
        <f t="shared" si="33"/>
        <v>4205</v>
      </c>
      <c r="N341" s="30">
        <f t="shared" si="34"/>
        <v>5.68896705675438E-2</v>
      </c>
      <c r="O341" s="30">
        <f t="shared" si="35"/>
        <v>0.94311032943245621</v>
      </c>
      <c r="P341" s="52"/>
    </row>
    <row r="342" spans="1:16" ht="16.5" customHeight="1" thickBot="1" x14ac:dyDescent="0.25">
      <c r="A342" s="21" t="s">
        <v>539</v>
      </c>
      <c r="B342" s="20">
        <v>0</v>
      </c>
      <c r="C342" s="19">
        <v>14715</v>
      </c>
      <c r="D342" s="19">
        <v>14714</v>
      </c>
      <c r="E342" s="19">
        <v>14714</v>
      </c>
      <c r="F342" s="19">
        <v>14714</v>
      </c>
      <c r="G342" s="19">
        <v>14714</v>
      </c>
      <c r="H342" s="19">
        <v>14714</v>
      </c>
      <c r="I342" s="25" t="s">
        <v>172</v>
      </c>
      <c r="J342" s="27">
        <f t="shared" si="30"/>
        <v>1</v>
      </c>
      <c r="K342" s="27">
        <f t="shared" si="31"/>
        <v>1</v>
      </c>
      <c r="L342" s="27">
        <f t="shared" si="32"/>
        <v>0</v>
      </c>
      <c r="M342" s="27">
        <f t="shared" si="33"/>
        <v>1</v>
      </c>
      <c r="N342" s="30">
        <f t="shared" si="34"/>
        <v>6.7957866123003735E-5</v>
      </c>
      <c r="O342" s="30">
        <f t="shared" si="35"/>
        <v>0.99993204213387699</v>
      </c>
      <c r="P342" s="52"/>
    </row>
    <row r="343" spans="1:16" ht="16.5" customHeight="1" thickBot="1" x14ac:dyDescent="0.25">
      <c r="A343" s="21" t="s">
        <v>540</v>
      </c>
      <c r="B343" s="20">
        <v>0</v>
      </c>
      <c r="C343" s="19">
        <v>57400</v>
      </c>
      <c r="D343" s="19">
        <v>57400</v>
      </c>
      <c r="E343" s="19">
        <v>57400</v>
      </c>
      <c r="F343" s="19">
        <v>57400</v>
      </c>
      <c r="G343" s="19">
        <v>57400</v>
      </c>
      <c r="H343" s="19">
        <v>57400</v>
      </c>
      <c r="I343" s="25" t="s">
        <v>172</v>
      </c>
      <c r="J343" s="27">
        <f t="shared" si="30"/>
        <v>0</v>
      </c>
      <c r="K343" s="27">
        <f t="shared" si="31"/>
        <v>0</v>
      </c>
      <c r="L343" s="27">
        <f t="shared" si="32"/>
        <v>0</v>
      </c>
      <c r="M343" s="27">
        <f t="shared" si="33"/>
        <v>0</v>
      </c>
      <c r="N343" s="30">
        <f t="shared" si="34"/>
        <v>0</v>
      </c>
      <c r="O343" s="30">
        <f t="shared" si="35"/>
        <v>1</v>
      </c>
      <c r="P343" s="52"/>
    </row>
    <row r="344" spans="1:16" ht="16.5" customHeight="1" thickBot="1" x14ac:dyDescent="0.25">
      <c r="A344" s="21" t="s">
        <v>541</v>
      </c>
      <c r="B344" s="20">
        <v>0</v>
      </c>
      <c r="C344" s="19">
        <v>5898</v>
      </c>
      <c r="D344" s="19">
        <v>5898</v>
      </c>
      <c r="E344" s="19">
        <v>5898</v>
      </c>
      <c r="F344" s="19">
        <v>5898</v>
      </c>
      <c r="G344" s="19">
        <v>5898</v>
      </c>
      <c r="H344" s="19">
        <v>5898</v>
      </c>
      <c r="I344" s="25" t="s">
        <v>172</v>
      </c>
      <c r="J344" s="27">
        <f t="shared" si="30"/>
        <v>0</v>
      </c>
      <c r="K344" s="27">
        <f t="shared" si="31"/>
        <v>0</v>
      </c>
      <c r="L344" s="27">
        <f t="shared" si="32"/>
        <v>0</v>
      </c>
      <c r="M344" s="27">
        <f t="shared" si="33"/>
        <v>0</v>
      </c>
      <c r="N344" s="30">
        <f t="shared" si="34"/>
        <v>0</v>
      </c>
      <c r="O344" s="30">
        <f t="shared" si="35"/>
        <v>1</v>
      </c>
      <c r="P344" s="52"/>
    </row>
    <row r="345" spans="1:16" ht="16.5" customHeight="1" thickBot="1" x14ac:dyDescent="0.25">
      <c r="A345" s="21" t="s">
        <v>542</v>
      </c>
      <c r="B345" s="20">
        <v>0</v>
      </c>
      <c r="C345" s="19">
        <v>83160</v>
      </c>
      <c r="D345" s="19">
        <v>83160</v>
      </c>
      <c r="E345" s="19">
        <v>83100</v>
      </c>
      <c r="F345" s="19">
        <v>83100</v>
      </c>
      <c r="G345" s="19">
        <v>83100</v>
      </c>
      <c r="H345" s="19">
        <v>83100</v>
      </c>
      <c r="I345" s="25" t="s">
        <v>543</v>
      </c>
      <c r="J345" s="27">
        <f t="shared" si="30"/>
        <v>0</v>
      </c>
      <c r="K345" s="27">
        <f t="shared" si="31"/>
        <v>60</v>
      </c>
      <c r="L345" s="27">
        <f t="shared" si="32"/>
        <v>60</v>
      </c>
      <c r="M345" s="27">
        <f t="shared" si="33"/>
        <v>60</v>
      </c>
      <c r="N345" s="30">
        <f t="shared" si="34"/>
        <v>7.215007215007215E-4</v>
      </c>
      <c r="O345" s="30">
        <f t="shared" si="35"/>
        <v>0.99927849927849932</v>
      </c>
      <c r="P345" s="52"/>
    </row>
    <row r="346" spans="1:16" ht="16.5" customHeight="1" thickBot="1" x14ac:dyDescent="0.25">
      <c r="A346" s="21" t="s">
        <v>544</v>
      </c>
      <c r="B346" s="20">
        <v>0</v>
      </c>
      <c r="C346" s="19">
        <v>209400</v>
      </c>
      <c r="D346" s="19">
        <v>176550</v>
      </c>
      <c r="E346" s="19">
        <v>176550</v>
      </c>
      <c r="F346" s="19">
        <v>176550</v>
      </c>
      <c r="G346" s="19">
        <v>136550</v>
      </c>
      <c r="H346" s="19">
        <v>136550</v>
      </c>
      <c r="I346" s="25" t="s">
        <v>545</v>
      </c>
      <c r="J346" s="27">
        <f t="shared" si="30"/>
        <v>32850</v>
      </c>
      <c r="K346" s="27">
        <f t="shared" si="31"/>
        <v>32850</v>
      </c>
      <c r="L346" s="27">
        <f t="shared" si="32"/>
        <v>0</v>
      </c>
      <c r="M346" s="27">
        <f t="shared" si="33"/>
        <v>72850</v>
      </c>
      <c r="N346" s="30">
        <f t="shared" si="34"/>
        <v>0.15687679083094555</v>
      </c>
      <c r="O346" s="30">
        <f t="shared" si="35"/>
        <v>0.65210124164278893</v>
      </c>
      <c r="P346" s="52"/>
    </row>
    <row r="347" spans="1:16" ht="16.5" customHeight="1" thickBot="1" x14ac:dyDescent="0.25">
      <c r="A347" s="21" t="s">
        <v>546</v>
      </c>
      <c r="B347" s="20">
        <v>0</v>
      </c>
      <c r="C347" s="19">
        <v>63755</v>
      </c>
      <c r="D347" s="19">
        <v>60139</v>
      </c>
      <c r="E347" s="19">
        <v>56139</v>
      </c>
      <c r="F347" s="19">
        <v>56139</v>
      </c>
      <c r="G347" s="19">
        <v>2139</v>
      </c>
      <c r="H347" s="19">
        <v>2139</v>
      </c>
      <c r="I347" s="25" t="s">
        <v>547</v>
      </c>
      <c r="J347" s="27">
        <f t="shared" si="30"/>
        <v>3616</v>
      </c>
      <c r="K347" s="27">
        <f t="shared" si="31"/>
        <v>7616</v>
      </c>
      <c r="L347" s="27">
        <f t="shared" si="32"/>
        <v>4000</v>
      </c>
      <c r="M347" s="27">
        <f t="shared" si="33"/>
        <v>61616</v>
      </c>
      <c r="N347" s="30">
        <f t="shared" si="34"/>
        <v>0.11945729746686534</v>
      </c>
      <c r="O347" s="30">
        <f t="shared" si="35"/>
        <v>3.3550309779625129E-2</v>
      </c>
      <c r="P347" s="52"/>
    </row>
    <row r="348" spans="1:16" ht="16.5" customHeight="1" thickBot="1" x14ac:dyDescent="0.25">
      <c r="A348" s="21" t="s">
        <v>548</v>
      </c>
      <c r="B348" s="20">
        <v>0</v>
      </c>
      <c r="C348" s="19">
        <v>200000</v>
      </c>
      <c r="D348" s="19">
        <v>200000</v>
      </c>
      <c r="E348" s="19">
        <v>200000</v>
      </c>
      <c r="F348" s="19">
        <v>30838</v>
      </c>
      <c r="G348" s="19">
        <v>30838</v>
      </c>
      <c r="H348" s="19">
        <v>2762</v>
      </c>
      <c r="I348" s="25" t="s">
        <v>549</v>
      </c>
      <c r="J348" s="27">
        <f t="shared" si="30"/>
        <v>0</v>
      </c>
      <c r="K348" s="27">
        <f t="shared" si="31"/>
        <v>0</v>
      </c>
      <c r="L348" s="27">
        <f t="shared" si="32"/>
        <v>0</v>
      </c>
      <c r="M348" s="27">
        <f t="shared" si="33"/>
        <v>169162</v>
      </c>
      <c r="N348" s="30">
        <f t="shared" si="34"/>
        <v>0</v>
      </c>
      <c r="O348" s="30">
        <f t="shared" si="35"/>
        <v>0.15418999999999999</v>
      </c>
      <c r="P348" s="52"/>
    </row>
    <row r="349" spans="1:16" ht="16.5" customHeight="1" thickBot="1" x14ac:dyDescent="0.25">
      <c r="A349" s="21" t="s">
        <v>550</v>
      </c>
      <c r="B349" s="20">
        <v>0</v>
      </c>
      <c r="C349" s="19">
        <v>373203</v>
      </c>
      <c r="D349" s="19">
        <v>199545</v>
      </c>
      <c r="E349" s="19">
        <v>199545</v>
      </c>
      <c r="F349" s="19">
        <v>127534</v>
      </c>
      <c r="G349" s="19">
        <v>127534</v>
      </c>
      <c r="H349" s="19">
        <v>127534</v>
      </c>
      <c r="I349" s="25" t="s">
        <v>551</v>
      </c>
      <c r="J349" s="27">
        <f t="shared" si="30"/>
        <v>173658</v>
      </c>
      <c r="K349" s="27">
        <f t="shared" si="31"/>
        <v>173658</v>
      </c>
      <c r="L349" s="27">
        <f t="shared" si="32"/>
        <v>0</v>
      </c>
      <c r="M349" s="27">
        <f t="shared" si="33"/>
        <v>245669</v>
      </c>
      <c r="N349" s="30">
        <f t="shared" si="34"/>
        <v>0.46531780291155217</v>
      </c>
      <c r="O349" s="30">
        <f t="shared" si="35"/>
        <v>0.3417282283368569</v>
      </c>
      <c r="P349" s="52"/>
    </row>
    <row r="350" spans="1:16" ht="16.5" customHeight="1" thickBot="1" x14ac:dyDescent="0.25">
      <c r="A350" s="21" t="s">
        <v>552</v>
      </c>
      <c r="B350" s="20">
        <v>0</v>
      </c>
      <c r="C350" s="19">
        <v>645412</v>
      </c>
      <c r="D350" s="19">
        <v>615250</v>
      </c>
      <c r="E350" s="19">
        <v>612652</v>
      </c>
      <c r="F350" s="19">
        <v>560378</v>
      </c>
      <c r="G350" s="19">
        <v>558544</v>
      </c>
      <c r="H350" s="19">
        <v>553137</v>
      </c>
      <c r="I350" s="25" t="s">
        <v>553</v>
      </c>
      <c r="J350" s="27">
        <f t="shared" si="30"/>
        <v>30162</v>
      </c>
      <c r="K350" s="27">
        <f t="shared" si="31"/>
        <v>32760</v>
      </c>
      <c r="L350" s="27">
        <f t="shared" si="32"/>
        <v>2598</v>
      </c>
      <c r="M350" s="27">
        <f t="shared" si="33"/>
        <v>86868</v>
      </c>
      <c r="N350" s="30">
        <f t="shared" si="34"/>
        <v>5.0758275334205127E-2</v>
      </c>
      <c r="O350" s="30">
        <f t="shared" si="35"/>
        <v>0.86540690287754174</v>
      </c>
      <c r="P350" s="52"/>
    </row>
    <row r="351" spans="1:16" ht="16.5" customHeight="1" thickBot="1" x14ac:dyDescent="0.25">
      <c r="A351" s="21" t="s">
        <v>554</v>
      </c>
      <c r="B351" s="20">
        <v>0</v>
      </c>
      <c r="C351" s="19">
        <v>784869</v>
      </c>
      <c r="D351" s="19">
        <v>784869</v>
      </c>
      <c r="E351" s="19">
        <v>634748</v>
      </c>
      <c r="F351" s="19">
        <v>631814</v>
      </c>
      <c r="G351" s="19">
        <v>631814</v>
      </c>
      <c r="H351" s="19">
        <v>631814</v>
      </c>
      <c r="I351" s="25" t="s">
        <v>555</v>
      </c>
      <c r="J351" s="27">
        <f t="shared" si="30"/>
        <v>0</v>
      </c>
      <c r="K351" s="27">
        <f t="shared" si="31"/>
        <v>150121</v>
      </c>
      <c r="L351" s="27">
        <f t="shared" si="32"/>
        <v>150121</v>
      </c>
      <c r="M351" s="27">
        <f t="shared" si="33"/>
        <v>153055</v>
      </c>
      <c r="N351" s="30">
        <f t="shared" si="34"/>
        <v>0.19126886142783064</v>
      </c>
      <c r="O351" s="30">
        <f t="shared" si="35"/>
        <v>0.80499293512675363</v>
      </c>
      <c r="P351" s="52"/>
    </row>
    <row r="352" spans="1:16" ht="16.5" customHeight="1" thickBot="1" x14ac:dyDescent="0.25">
      <c r="A352" s="21" t="s">
        <v>556</v>
      </c>
      <c r="B352" s="20">
        <v>0</v>
      </c>
      <c r="C352" s="19">
        <v>192812</v>
      </c>
      <c r="D352" s="19">
        <v>180485</v>
      </c>
      <c r="E352" s="19">
        <v>180485</v>
      </c>
      <c r="F352" s="19">
        <v>176516</v>
      </c>
      <c r="G352" s="19">
        <v>176516</v>
      </c>
      <c r="H352" s="19">
        <v>176516</v>
      </c>
      <c r="I352" s="25" t="s">
        <v>557</v>
      </c>
      <c r="J352" s="27">
        <f t="shared" si="30"/>
        <v>12327</v>
      </c>
      <c r="K352" s="27">
        <f t="shared" si="31"/>
        <v>12327</v>
      </c>
      <c r="L352" s="27">
        <f t="shared" si="32"/>
        <v>0</v>
      </c>
      <c r="M352" s="27">
        <f t="shared" si="33"/>
        <v>16296</v>
      </c>
      <c r="N352" s="30">
        <f t="shared" si="34"/>
        <v>6.3932742775345927E-2</v>
      </c>
      <c r="O352" s="30">
        <f t="shared" si="35"/>
        <v>0.91548243885235359</v>
      </c>
      <c r="P352" s="52"/>
    </row>
    <row r="353" spans="1:16" ht="16.5" customHeight="1" thickBot="1" x14ac:dyDescent="0.25">
      <c r="A353" s="21" t="s">
        <v>558</v>
      </c>
      <c r="B353" s="20">
        <v>0</v>
      </c>
      <c r="C353" s="19">
        <v>350000</v>
      </c>
      <c r="D353" s="19">
        <v>350000</v>
      </c>
      <c r="E353" s="19">
        <v>350000</v>
      </c>
      <c r="F353" s="19">
        <v>163264</v>
      </c>
      <c r="G353" s="19">
        <v>163264</v>
      </c>
      <c r="H353" s="19">
        <v>113827</v>
      </c>
      <c r="I353" s="25" t="s">
        <v>559</v>
      </c>
      <c r="J353" s="27">
        <f t="shared" si="30"/>
        <v>0</v>
      </c>
      <c r="K353" s="27">
        <f t="shared" si="31"/>
        <v>0</v>
      </c>
      <c r="L353" s="27">
        <f t="shared" si="32"/>
        <v>0</v>
      </c>
      <c r="M353" s="27">
        <f t="shared" si="33"/>
        <v>186736</v>
      </c>
      <c r="N353" s="30">
        <f t="shared" si="34"/>
        <v>0</v>
      </c>
      <c r="O353" s="30">
        <f t="shared" si="35"/>
        <v>0.46646857142857145</v>
      </c>
      <c r="P353" s="52"/>
    </row>
    <row r="354" spans="1:16" ht="16.5" customHeight="1" thickBot="1" x14ac:dyDescent="0.25">
      <c r="A354" s="21" t="s">
        <v>560</v>
      </c>
      <c r="B354" s="20">
        <v>0</v>
      </c>
      <c r="C354" s="19">
        <v>287709</v>
      </c>
      <c r="D354" s="19">
        <v>287709</v>
      </c>
      <c r="E354" s="19">
        <v>287709</v>
      </c>
      <c r="F354" s="19">
        <v>119392</v>
      </c>
      <c r="G354" s="19">
        <v>108741</v>
      </c>
      <c r="H354" s="19">
        <v>108741</v>
      </c>
      <c r="I354" s="25" t="s">
        <v>561</v>
      </c>
      <c r="J354" s="27">
        <f t="shared" si="30"/>
        <v>0</v>
      </c>
      <c r="K354" s="27">
        <f t="shared" si="31"/>
        <v>0</v>
      </c>
      <c r="L354" s="27">
        <f t="shared" si="32"/>
        <v>0</v>
      </c>
      <c r="M354" s="27">
        <f t="shared" si="33"/>
        <v>178968</v>
      </c>
      <c r="N354" s="30">
        <f t="shared" si="34"/>
        <v>0</v>
      </c>
      <c r="O354" s="30">
        <f t="shared" si="35"/>
        <v>0.37795480850442637</v>
      </c>
      <c r="P354" s="52"/>
    </row>
    <row r="355" spans="1:16" ht="16.5" customHeight="1" thickBot="1" x14ac:dyDescent="0.3">
      <c r="A355" s="21" t="s">
        <v>562</v>
      </c>
      <c r="B355" s="20">
        <v>0</v>
      </c>
      <c r="C355" s="36">
        <v>150000</v>
      </c>
      <c r="D355" s="36">
        <v>150000</v>
      </c>
      <c r="E355" s="36">
        <v>150000</v>
      </c>
      <c r="F355" s="37">
        <v>0</v>
      </c>
      <c r="G355" s="37">
        <v>0</v>
      </c>
      <c r="H355" s="20">
        <v>0</v>
      </c>
      <c r="I355" s="25" t="s">
        <v>25</v>
      </c>
      <c r="J355" s="27">
        <f t="shared" si="30"/>
        <v>0</v>
      </c>
      <c r="K355" s="27">
        <f t="shared" si="31"/>
        <v>0</v>
      </c>
      <c r="L355" s="27">
        <f t="shared" si="32"/>
        <v>0</v>
      </c>
      <c r="M355" s="27">
        <f t="shared" si="33"/>
        <v>150000</v>
      </c>
      <c r="N355" s="30">
        <f t="shared" si="34"/>
        <v>0</v>
      </c>
      <c r="O355" s="30">
        <f t="shared" si="35"/>
        <v>0</v>
      </c>
      <c r="P355" s="52" t="s">
        <v>659</v>
      </c>
    </row>
    <row r="356" spans="1:16" ht="16.5" customHeight="1" thickBot="1" x14ac:dyDescent="0.25">
      <c r="A356" s="21" t="s">
        <v>563</v>
      </c>
      <c r="B356" s="20">
        <v>0</v>
      </c>
      <c r="C356" s="19">
        <v>386035</v>
      </c>
      <c r="D356" s="19">
        <v>365593</v>
      </c>
      <c r="E356" s="19">
        <v>365593</v>
      </c>
      <c r="F356" s="19">
        <v>354763</v>
      </c>
      <c r="G356" s="19">
        <v>246263</v>
      </c>
      <c r="H356" s="19">
        <v>246263</v>
      </c>
      <c r="I356" s="25" t="s">
        <v>519</v>
      </c>
      <c r="J356" s="27">
        <f t="shared" si="30"/>
        <v>20442</v>
      </c>
      <c r="K356" s="27">
        <f t="shared" si="31"/>
        <v>20442</v>
      </c>
      <c r="L356" s="27">
        <f t="shared" si="32"/>
        <v>0</v>
      </c>
      <c r="M356" s="27">
        <f t="shared" si="33"/>
        <v>139772</v>
      </c>
      <c r="N356" s="30">
        <f t="shared" si="34"/>
        <v>5.2953747717175904E-2</v>
      </c>
      <c r="O356" s="30">
        <f t="shared" si="35"/>
        <v>0.63792920331058067</v>
      </c>
      <c r="P356" s="52"/>
    </row>
    <row r="357" spans="1:16" ht="16.5" customHeight="1" thickBot="1" x14ac:dyDescent="0.25">
      <c r="A357" s="21" t="s">
        <v>564</v>
      </c>
      <c r="B357" s="20">
        <v>0</v>
      </c>
      <c r="C357" s="19">
        <v>519111</v>
      </c>
      <c r="D357" s="19">
        <v>519111</v>
      </c>
      <c r="E357" s="19">
        <v>518575</v>
      </c>
      <c r="F357" s="19">
        <v>356930</v>
      </c>
      <c r="G357" s="19">
        <v>211183</v>
      </c>
      <c r="H357" s="19">
        <v>206983</v>
      </c>
      <c r="I357" s="25" t="s">
        <v>565</v>
      </c>
      <c r="J357" s="27">
        <f t="shared" si="30"/>
        <v>0</v>
      </c>
      <c r="K357" s="27">
        <f t="shared" si="31"/>
        <v>536</v>
      </c>
      <c r="L357" s="27">
        <f t="shared" si="32"/>
        <v>536</v>
      </c>
      <c r="M357" s="27">
        <f t="shared" si="33"/>
        <v>307928</v>
      </c>
      <c r="N357" s="30">
        <f t="shared" si="34"/>
        <v>1.0325344675801513E-3</v>
      </c>
      <c r="O357" s="30">
        <f t="shared" si="35"/>
        <v>0.40681665385630433</v>
      </c>
      <c r="P357" s="52"/>
    </row>
    <row r="358" spans="1:16" ht="16.5" customHeight="1" thickBot="1" x14ac:dyDescent="0.25">
      <c r="A358" s="21" t="s">
        <v>566</v>
      </c>
      <c r="B358" s="20">
        <v>0</v>
      </c>
      <c r="C358" s="19">
        <v>61200</v>
      </c>
      <c r="D358" s="19">
        <v>59150</v>
      </c>
      <c r="E358" s="19">
        <v>59150</v>
      </c>
      <c r="F358" s="19">
        <v>59150</v>
      </c>
      <c r="G358" s="19">
        <v>59150</v>
      </c>
      <c r="H358" s="19">
        <v>59150</v>
      </c>
      <c r="I358" s="25" t="s">
        <v>567</v>
      </c>
      <c r="J358" s="27">
        <f t="shared" si="30"/>
        <v>2050</v>
      </c>
      <c r="K358" s="27">
        <f t="shared" si="31"/>
        <v>2050</v>
      </c>
      <c r="L358" s="27">
        <f t="shared" si="32"/>
        <v>0</v>
      </c>
      <c r="M358" s="27">
        <f t="shared" si="33"/>
        <v>2050</v>
      </c>
      <c r="N358" s="30">
        <f t="shared" si="34"/>
        <v>3.349673202614379E-2</v>
      </c>
      <c r="O358" s="30">
        <f t="shared" si="35"/>
        <v>0.96650326797385622</v>
      </c>
      <c r="P358" s="52"/>
    </row>
    <row r="359" spans="1:16" ht="16.5" customHeight="1" thickBot="1" x14ac:dyDescent="0.25">
      <c r="A359" s="21" t="s">
        <v>568</v>
      </c>
      <c r="B359" s="20">
        <v>0</v>
      </c>
      <c r="C359" s="19">
        <v>7816</v>
      </c>
      <c r="D359" s="19">
        <v>4500</v>
      </c>
      <c r="E359" s="19">
        <v>4500</v>
      </c>
      <c r="F359" s="19">
        <v>4500</v>
      </c>
      <c r="G359" s="19">
        <v>3000</v>
      </c>
      <c r="H359" s="19">
        <v>3000</v>
      </c>
      <c r="I359" s="25" t="s">
        <v>272</v>
      </c>
      <c r="J359" s="27">
        <f t="shared" si="30"/>
        <v>3316</v>
      </c>
      <c r="K359" s="27">
        <f t="shared" si="31"/>
        <v>3316</v>
      </c>
      <c r="L359" s="27">
        <f t="shared" si="32"/>
        <v>0</v>
      </c>
      <c r="M359" s="27">
        <f t="shared" si="33"/>
        <v>4816</v>
      </c>
      <c r="N359" s="30">
        <f t="shared" si="34"/>
        <v>0.42425793244626409</v>
      </c>
      <c r="O359" s="30">
        <f t="shared" si="35"/>
        <v>0.38382804503582396</v>
      </c>
      <c r="P359" s="52"/>
    </row>
    <row r="360" spans="1:16" ht="16.5" customHeight="1" thickBot="1" x14ac:dyDescent="0.25">
      <c r="A360" s="21" t="s">
        <v>569</v>
      </c>
      <c r="B360" s="20">
        <v>0</v>
      </c>
      <c r="C360" s="19">
        <v>175166</v>
      </c>
      <c r="D360" s="19">
        <v>166872</v>
      </c>
      <c r="E360" s="19">
        <v>160572</v>
      </c>
      <c r="F360" s="19">
        <v>160572</v>
      </c>
      <c r="G360" s="19">
        <v>5872</v>
      </c>
      <c r="H360" s="19">
        <v>5872</v>
      </c>
      <c r="I360" s="25" t="s">
        <v>547</v>
      </c>
      <c r="J360" s="27">
        <f t="shared" si="30"/>
        <v>8294</v>
      </c>
      <c r="K360" s="27">
        <f t="shared" si="31"/>
        <v>14594</v>
      </c>
      <c r="L360" s="27">
        <f t="shared" si="32"/>
        <v>6300</v>
      </c>
      <c r="M360" s="27">
        <f t="shared" si="33"/>
        <v>169294</v>
      </c>
      <c r="N360" s="30">
        <f t="shared" si="34"/>
        <v>8.3315255243597508E-2</v>
      </c>
      <c r="O360" s="30">
        <f t="shared" si="35"/>
        <v>3.352248724067456E-2</v>
      </c>
      <c r="P360" s="52"/>
    </row>
    <row r="361" spans="1:16" ht="16.5" customHeight="1" thickBot="1" x14ac:dyDescent="0.25">
      <c r="A361" s="21" t="s">
        <v>570</v>
      </c>
      <c r="B361" s="20">
        <v>0</v>
      </c>
      <c r="C361" s="19">
        <v>5098</v>
      </c>
      <c r="D361" s="19">
        <v>5097</v>
      </c>
      <c r="E361" s="19">
        <v>5097</v>
      </c>
      <c r="F361" s="19">
        <v>5097</v>
      </c>
      <c r="G361" s="19">
        <v>5097</v>
      </c>
      <c r="H361" s="19">
        <v>5097</v>
      </c>
      <c r="I361" s="25" t="s">
        <v>172</v>
      </c>
      <c r="J361" s="27">
        <f t="shared" si="30"/>
        <v>1</v>
      </c>
      <c r="K361" s="27">
        <f t="shared" si="31"/>
        <v>1</v>
      </c>
      <c r="L361" s="27">
        <f t="shared" si="32"/>
        <v>0</v>
      </c>
      <c r="M361" s="27">
        <f t="shared" si="33"/>
        <v>1</v>
      </c>
      <c r="N361" s="30">
        <f t="shared" si="34"/>
        <v>1.9615535504119262E-4</v>
      </c>
      <c r="O361" s="30">
        <f t="shared" si="35"/>
        <v>0.99980384464495886</v>
      </c>
      <c r="P361" s="52"/>
    </row>
    <row r="362" spans="1:16" ht="16.5" customHeight="1" thickBot="1" x14ac:dyDescent="0.25">
      <c r="A362" s="21" t="s">
        <v>571</v>
      </c>
      <c r="B362" s="20">
        <v>0</v>
      </c>
      <c r="C362" s="19">
        <v>4800</v>
      </c>
      <c r="D362" s="19">
        <v>4800</v>
      </c>
      <c r="E362" s="19">
        <v>4800</v>
      </c>
      <c r="F362" s="19">
        <v>4800</v>
      </c>
      <c r="G362" s="19">
        <v>4800</v>
      </c>
      <c r="H362" s="19">
        <v>4800</v>
      </c>
      <c r="I362" s="25" t="s">
        <v>172</v>
      </c>
      <c r="J362" s="27">
        <f t="shared" si="30"/>
        <v>0</v>
      </c>
      <c r="K362" s="27">
        <f t="shared" si="31"/>
        <v>0</v>
      </c>
      <c r="L362" s="27">
        <f t="shared" si="32"/>
        <v>0</v>
      </c>
      <c r="M362" s="27">
        <f t="shared" si="33"/>
        <v>0</v>
      </c>
      <c r="N362" s="30">
        <f t="shared" si="34"/>
        <v>0</v>
      </c>
      <c r="O362" s="30">
        <f t="shared" si="35"/>
        <v>1</v>
      </c>
      <c r="P362" s="52"/>
    </row>
    <row r="363" spans="1:16" ht="16.5" customHeight="1" thickBot="1" x14ac:dyDescent="0.25">
      <c r="A363" s="21" t="s">
        <v>572</v>
      </c>
      <c r="B363" s="20">
        <v>0</v>
      </c>
      <c r="C363" s="19">
        <v>12800</v>
      </c>
      <c r="D363" s="19">
        <v>12800</v>
      </c>
      <c r="E363" s="19">
        <v>12800</v>
      </c>
      <c r="F363" s="19">
        <v>12800</v>
      </c>
      <c r="G363" s="19">
        <v>12800</v>
      </c>
      <c r="H363" s="19">
        <v>12800</v>
      </c>
      <c r="I363" s="25" t="s">
        <v>172</v>
      </c>
      <c r="J363" s="27">
        <f t="shared" si="30"/>
        <v>0</v>
      </c>
      <c r="K363" s="27">
        <f t="shared" si="31"/>
        <v>0</v>
      </c>
      <c r="L363" s="27">
        <f t="shared" si="32"/>
        <v>0</v>
      </c>
      <c r="M363" s="27">
        <f t="shared" si="33"/>
        <v>0</v>
      </c>
      <c r="N363" s="30">
        <f t="shared" si="34"/>
        <v>0</v>
      </c>
      <c r="O363" s="30">
        <f t="shared" si="35"/>
        <v>1</v>
      </c>
      <c r="P363" s="52"/>
    </row>
    <row r="364" spans="1:16" ht="16.5" customHeight="1" thickBot="1" x14ac:dyDescent="0.25">
      <c r="A364" s="21" t="s">
        <v>573</v>
      </c>
      <c r="B364" s="20">
        <v>0</v>
      </c>
      <c r="C364" s="19">
        <v>157066</v>
      </c>
      <c r="D364" s="19">
        <v>157066</v>
      </c>
      <c r="E364" s="19">
        <v>157066</v>
      </c>
      <c r="F364" s="19">
        <v>157066</v>
      </c>
      <c r="G364" s="19">
        <v>157066</v>
      </c>
      <c r="H364" s="19">
        <v>157066</v>
      </c>
      <c r="I364" s="25" t="s">
        <v>172</v>
      </c>
      <c r="J364" s="27">
        <f t="shared" si="30"/>
        <v>0</v>
      </c>
      <c r="K364" s="27">
        <f t="shared" si="31"/>
        <v>0</v>
      </c>
      <c r="L364" s="27">
        <f t="shared" si="32"/>
        <v>0</v>
      </c>
      <c r="M364" s="27">
        <f t="shared" si="33"/>
        <v>0</v>
      </c>
      <c r="N364" s="30">
        <f t="shared" si="34"/>
        <v>0</v>
      </c>
      <c r="O364" s="30">
        <f t="shared" si="35"/>
        <v>1</v>
      </c>
      <c r="P364" s="52"/>
    </row>
    <row r="365" spans="1:16" ht="16.5" customHeight="1" thickBot="1" x14ac:dyDescent="0.25">
      <c r="A365" s="21" t="s">
        <v>574</v>
      </c>
      <c r="B365" s="20">
        <v>0</v>
      </c>
      <c r="C365" s="19">
        <v>87790</v>
      </c>
      <c r="D365" s="19">
        <v>87438</v>
      </c>
      <c r="E365" s="19">
        <v>87428</v>
      </c>
      <c r="F365" s="19">
        <v>87428</v>
      </c>
      <c r="G365" s="19">
        <v>77990</v>
      </c>
      <c r="H365" s="19">
        <v>77990</v>
      </c>
      <c r="I365" s="25" t="s">
        <v>575</v>
      </c>
      <c r="J365" s="27">
        <f t="shared" si="30"/>
        <v>352</v>
      </c>
      <c r="K365" s="27">
        <f t="shared" si="31"/>
        <v>362</v>
      </c>
      <c r="L365" s="27">
        <f t="shared" si="32"/>
        <v>10</v>
      </c>
      <c r="M365" s="27">
        <f t="shared" si="33"/>
        <v>9800</v>
      </c>
      <c r="N365" s="30">
        <f t="shared" si="34"/>
        <v>4.1234764779587655E-3</v>
      </c>
      <c r="O365" s="30">
        <f t="shared" si="35"/>
        <v>0.88836997380111626</v>
      </c>
      <c r="P365" s="52"/>
    </row>
    <row r="366" spans="1:16" ht="16.5" customHeight="1" thickBot="1" x14ac:dyDescent="0.3">
      <c r="A366" s="21" t="s">
        <v>576</v>
      </c>
      <c r="B366" s="20">
        <v>0</v>
      </c>
      <c r="C366" s="36">
        <v>2795</v>
      </c>
      <c r="D366" s="36">
        <v>2795</v>
      </c>
      <c r="E366" s="37">
        <v>0</v>
      </c>
      <c r="F366" s="37">
        <v>0</v>
      </c>
      <c r="G366" s="37">
        <v>0</v>
      </c>
      <c r="H366" s="20">
        <v>0</v>
      </c>
      <c r="I366" s="25" t="s">
        <v>25</v>
      </c>
      <c r="J366" s="27">
        <f t="shared" si="30"/>
        <v>0</v>
      </c>
      <c r="K366" s="27">
        <f t="shared" si="31"/>
        <v>2795</v>
      </c>
      <c r="L366" s="27">
        <f t="shared" si="32"/>
        <v>2795</v>
      </c>
      <c r="M366" s="27">
        <f t="shared" si="33"/>
        <v>2795</v>
      </c>
      <c r="N366" s="30">
        <f t="shared" si="34"/>
        <v>1</v>
      </c>
      <c r="O366" s="30">
        <f t="shared" si="35"/>
        <v>0</v>
      </c>
      <c r="P366" s="52" t="s">
        <v>660</v>
      </c>
    </row>
    <row r="367" spans="1:16" ht="16.5" customHeight="1" thickBot="1" x14ac:dyDescent="0.3">
      <c r="A367" s="21" t="s">
        <v>577</v>
      </c>
      <c r="B367" s="20">
        <v>0</v>
      </c>
      <c r="C367" s="28">
        <v>100000</v>
      </c>
      <c r="D367" s="29">
        <v>0</v>
      </c>
      <c r="E367" s="29">
        <v>0</v>
      </c>
      <c r="F367" s="29">
        <v>0</v>
      </c>
      <c r="G367" s="29">
        <v>0</v>
      </c>
      <c r="H367" s="20">
        <v>0</v>
      </c>
      <c r="I367" s="25" t="s">
        <v>25</v>
      </c>
      <c r="J367" s="27">
        <f t="shared" si="30"/>
        <v>100000</v>
      </c>
      <c r="K367" s="27">
        <f t="shared" si="31"/>
        <v>100000</v>
      </c>
      <c r="L367" s="27">
        <f t="shared" si="32"/>
        <v>0</v>
      </c>
      <c r="M367" s="27">
        <f t="shared" si="33"/>
        <v>100000</v>
      </c>
      <c r="N367" s="30">
        <f t="shared" si="34"/>
        <v>1</v>
      </c>
      <c r="O367" s="30">
        <f t="shared" si="35"/>
        <v>0</v>
      </c>
      <c r="P367" s="52" t="s">
        <v>659</v>
      </c>
    </row>
    <row r="368" spans="1:16" ht="16.5" customHeight="1" thickBot="1" x14ac:dyDescent="0.25">
      <c r="A368" s="21" t="s">
        <v>578</v>
      </c>
      <c r="B368" s="19">
        <v>50000</v>
      </c>
      <c r="C368" s="19">
        <v>222962</v>
      </c>
      <c r="D368" s="19">
        <v>193350</v>
      </c>
      <c r="E368" s="19">
        <v>193350</v>
      </c>
      <c r="F368" s="19">
        <v>193266</v>
      </c>
      <c r="G368" s="19">
        <v>193266</v>
      </c>
      <c r="H368" s="19">
        <v>193266</v>
      </c>
      <c r="I368" s="25" t="s">
        <v>579</v>
      </c>
      <c r="J368" s="27">
        <f t="shared" si="30"/>
        <v>29612</v>
      </c>
      <c r="K368" s="27">
        <f t="shared" si="31"/>
        <v>29612</v>
      </c>
      <c r="L368" s="27">
        <f t="shared" si="32"/>
        <v>0</v>
      </c>
      <c r="M368" s="27">
        <f t="shared" si="33"/>
        <v>29696</v>
      </c>
      <c r="N368" s="30">
        <f t="shared" si="34"/>
        <v>0.13281186928714311</v>
      </c>
      <c r="O368" s="30">
        <f t="shared" si="35"/>
        <v>0.86681138489966902</v>
      </c>
      <c r="P368" s="52"/>
    </row>
    <row r="369" spans="1:16" ht="16.5" customHeight="1" thickBot="1" x14ac:dyDescent="0.3">
      <c r="A369" s="21" t="s">
        <v>580</v>
      </c>
      <c r="B369" s="20">
        <v>0</v>
      </c>
      <c r="C369" s="36">
        <v>335890</v>
      </c>
      <c r="D369" s="36">
        <v>314900</v>
      </c>
      <c r="E369" s="36">
        <v>313880</v>
      </c>
      <c r="F369" s="36">
        <v>313880</v>
      </c>
      <c r="G369" s="37">
        <v>0</v>
      </c>
      <c r="H369" s="20">
        <v>0</v>
      </c>
      <c r="I369" s="25" t="s">
        <v>25</v>
      </c>
      <c r="J369" s="27">
        <f t="shared" si="30"/>
        <v>20990</v>
      </c>
      <c r="K369" s="27">
        <f t="shared" si="31"/>
        <v>22010</v>
      </c>
      <c r="L369" s="27">
        <f t="shared" si="32"/>
        <v>1020</v>
      </c>
      <c r="M369" s="27">
        <f t="shared" si="33"/>
        <v>335890</v>
      </c>
      <c r="N369" s="30">
        <f t="shared" si="34"/>
        <v>6.5527404805144546E-2</v>
      </c>
      <c r="O369" s="30">
        <f t="shared" si="35"/>
        <v>0</v>
      </c>
      <c r="P369" s="52" t="s">
        <v>660</v>
      </c>
    </row>
    <row r="370" spans="1:16" ht="16.5" customHeight="1" thickBot="1" x14ac:dyDescent="0.25">
      <c r="A370" s="21" t="s">
        <v>581</v>
      </c>
      <c r="B370" s="20">
        <v>0</v>
      </c>
      <c r="C370" s="19">
        <v>3000</v>
      </c>
      <c r="D370" s="19">
        <v>3000</v>
      </c>
      <c r="E370" s="19">
        <v>3000</v>
      </c>
      <c r="F370" s="19">
        <v>3000</v>
      </c>
      <c r="G370" s="19">
        <v>3000</v>
      </c>
      <c r="H370" s="19">
        <v>3000</v>
      </c>
      <c r="I370" s="25" t="s">
        <v>172</v>
      </c>
      <c r="J370" s="27">
        <f t="shared" si="30"/>
        <v>0</v>
      </c>
      <c r="K370" s="27">
        <f t="shared" si="31"/>
        <v>0</v>
      </c>
      <c r="L370" s="27">
        <f t="shared" si="32"/>
        <v>0</v>
      </c>
      <c r="M370" s="27">
        <f t="shared" si="33"/>
        <v>0</v>
      </c>
      <c r="N370" s="30">
        <f t="shared" si="34"/>
        <v>0</v>
      </c>
      <c r="O370" s="30">
        <f t="shared" si="35"/>
        <v>1</v>
      </c>
      <c r="P370" s="52"/>
    </row>
    <row r="371" spans="1:16" ht="16.5" customHeight="1" thickBot="1" x14ac:dyDescent="0.25">
      <c r="A371" s="21" t="s">
        <v>582</v>
      </c>
      <c r="B371" s="20">
        <v>0</v>
      </c>
      <c r="C371" s="19">
        <v>179500</v>
      </c>
      <c r="D371" s="19">
        <v>163750</v>
      </c>
      <c r="E371" s="19">
        <v>3750</v>
      </c>
      <c r="F371" s="19">
        <v>3750</v>
      </c>
      <c r="G371" s="19">
        <v>3750</v>
      </c>
      <c r="H371" s="19">
        <v>3750</v>
      </c>
      <c r="I371" s="25" t="s">
        <v>583</v>
      </c>
      <c r="J371" s="27">
        <f t="shared" si="30"/>
        <v>15750</v>
      </c>
      <c r="K371" s="27">
        <f t="shared" si="31"/>
        <v>175750</v>
      </c>
      <c r="L371" s="27">
        <f t="shared" si="32"/>
        <v>160000</v>
      </c>
      <c r="M371" s="27">
        <f t="shared" si="33"/>
        <v>175750</v>
      </c>
      <c r="N371" s="30">
        <f t="shared" si="34"/>
        <v>0.97910863509749302</v>
      </c>
      <c r="O371" s="30">
        <f t="shared" si="35"/>
        <v>2.0891364902506964E-2</v>
      </c>
      <c r="P371" s="52"/>
    </row>
    <row r="372" spans="1:16" ht="16.5" customHeight="1" thickBot="1" x14ac:dyDescent="0.25">
      <c r="A372" s="21" t="s">
        <v>584</v>
      </c>
      <c r="B372" s="20">
        <v>0</v>
      </c>
      <c r="C372" s="19">
        <v>150000</v>
      </c>
      <c r="D372" s="19">
        <v>149147</v>
      </c>
      <c r="E372" s="19">
        <v>107750</v>
      </c>
      <c r="F372" s="19">
        <v>107750</v>
      </c>
      <c r="G372" s="19">
        <v>88700</v>
      </c>
      <c r="H372" s="19">
        <v>72250</v>
      </c>
      <c r="I372" s="25" t="s">
        <v>585</v>
      </c>
      <c r="J372" s="27">
        <f t="shared" si="30"/>
        <v>853</v>
      </c>
      <c r="K372" s="27">
        <f t="shared" si="31"/>
        <v>42250</v>
      </c>
      <c r="L372" s="27">
        <f t="shared" si="32"/>
        <v>41397</v>
      </c>
      <c r="M372" s="27">
        <f t="shared" si="33"/>
        <v>61300</v>
      </c>
      <c r="N372" s="30">
        <f t="shared" si="34"/>
        <v>0.28166666666666668</v>
      </c>
      <c r="O372" s="30">
        <f t="shared" si="35"/>
        <v>0.59133333333333338</v>
      </c>
      <c r="P372" s="52"/>
    </row>
    <row r="373" spans="1:16" ht="16.5" customHeight="1" thickBot="1" x14ac:dyDescent="0.25">
      <c r="A373" s="21" t="s">
        <v>586</v>
      </c>
      <c r="B373" s="20">
        <v>0</v>
      </c>
      <c r="C373" s="19">
        <v>400000</v>
      </c>
      <c r="D373" s="19">
        <v>400000</v>
      </c>
      <c r="E373" s="19">
        <v>400000</v>
      </c>
      <c r="F373" s="19">
        <v>371890</v>
      </c>
      <c r="G373" s="19">
        <v>285245</v>
      </c>
      <c r="H373" s="19">
        <v>268445</v>
      </c>
      <c r="I373" s="25" t="s">
        <v>587</v>
      </c>
      <c r="J373" s="27">
        <f t="shared" si="30"/>
        <v>0</v>
      </c>
      <c r="K373" s="27">
        <f t="shared" si="31"/>
        <v>0</v>
      </c>
      <c r="L373" s="27">
        <f t="shared" si="32"/>
        <v>0</v>
      </c>
      <c r="M373" s="27">
        <f t="shared" si="33"/>
        <v>114755</v>
      </c>
      <c r="N373" s="30">
        <f t="shared" si="34"/>
        <v>0</v>
      </c>
      <c r="O373" s="30">
        <f t="shared" si="35"/>
        <v>0.71311250000000004</v>
      </c>
      <c r="P373" s="52"/>
    </row>
    <row r="374" spans="1:16" ht="16.5" customHeight="1" thickBot="1" x14ac:dyDescent="0.25">
      <c r="A374" s="21" t="s">
        <v>588</v>
      </c>
      <c r="B374" s="19">
        <v>100000</v>
      </c>
      <c r="C374" s="19">
        <v>6654893</v>
      </c>
      <c r="D374" s="19">
        <v>6543806</v>
      </c>
      <c r="E374" s="19">
        <v>5755750</v>
      </c>
      <c r="F374" s="19">
        <v>5722069</v>
      </c>
      <c r="G374" s="19">
        <v>5720623</v>
      </c>
      <c r="H374" s="19">
        <v>5720623</v>
      </c>
      <c r="I374" s="25" t="s">
        <v>589</v>
      </c>
      <c r="J374" s="27">
        <f t="shared" si="30"/>
        <v>111087</v>
      </c>
      <c r="K374" s="27">
        <f t="shared" si="31"/>
        <v>899143</v>
      </c>
      <c r="L374" s="27">
        <f t="shared" si="32"/>
        <v>788056</v>
      </c>
      <c r="M374" s="27">
        <f t="shared" si="33"/>
        <v>934270</v>
      </c>
      <c r="N374" s="30">
        <f t="shared" si="34"/>
        <v>0.13511006112344706</v>
      </c>
      <c r="O374" s="30">
        <f t="shared" si="35"/>
        <v>0.8596115670079143</v>
      </c>
      <c r="P374" s="52"/>
    </row>
    <row r="375" spans="1:16" ht="16.5" customHeight="1" thickBot="1" x14ac:dyDescent="0.3">
      <c r="A375" s="21" t="s">
        <v>590</v>
      </c>
      <c r="B375" s="19">
        <v>513444</v>
      </c>
      <c r="C375" s="28">
        <v>31336</v>
      </c>
      <c r="D375" s="29">
        <v>0</v>
      </c>
      <c r="E375" s="29">
        <v>0</v>
      </c>
      <c r="F375" s="29">
        <v>0</v>
      </c>
      <c r="G375" s="29">
        <v>0</v>
      </c>
      <c r="H375" s="20">
        <v>0</v>
      </c>
      <c r="I375" s="25" t="s">
        <v>25</v>
      </c>
      <c r="J375" s="27">
        <f t="shared" si="30"/>
        <v>31336</v>
      </c>
      <c r="K375" s="27">
        <f t="shared" si="31"/>
        <v>31336</v>
      </c>
      <c r="L375" s="27">
        <f t="shared" si="32"/>
        <v>0</v>
      </c>
      <c r="M375" s="27">
        <f t="shared" si="33"/>
        <v>31336</v>
      </c>
      <c r="N375" s="30">
        <f t="shared" si="34"/>
        <v>1</v>
      </c>
      <c r="O375" s="30">
        <f t="shared" si="35"/>
        <v>0</v>
      </c>
      <c r="P375" s="52" t="s">
        <v>659</v>
      </c>
    </row>
    <row r="376" spans="1:16" ht="16.5" customHeight="1" thickBot="1" x14ac:dyDescent="0.3">
      <c r="A376" s="21" t="s">
        <v>591</v>
      </c>
      <c r="B376" s="20">
        <v>0</v>
      </c>
      <c r="C376" s="36">
        <v>11000</v>
      </c>
      <c r="D376" s="36">
        <v>11000</v>
      </c>
      <c r="E376" s="37">
        <v>0</v>
      </c>
      <c r="F376" s="37">
        <v>0</v>
      </c>
      <c r="G376" s="37">
        <v>0</v>
      </c>
      <c r="H376" s="20">
        <v>0</v>
      </c>
      <c r="I376" s="25" t="s">
        <v>25</v>
      </c>
      <c r="J376" s="27">
        <f t="shared" si="30"/>
        <v>0</v>
      </c>
      <c r="K376" s="27">
        <f t="shared" si="31"/>
        <v>11000</v>
      </c>
      <c r="L376" s="27">
        <f t="shared" si="32"/>
        <v>11000</v>
      </c>
      <c r="M376" s="27">
        <f t="shared" si="33"/>
        <v>11000</v>
      </c>
      <c r="N376" s="30">
        <f t="shared" si="34"/>
        <v>1</v>
      </c>
      <c r="O376" s="30">
        <f t="shared" si="35"/>
        <v>0</v>
      </c>
      <c r="P376" s="52" t="s">
        <v>659</v>
      </c>
    </row>
    <row r="377" spans="1:16" ht="16.5" customHeight="1" thickBot="1" x14ac:dyDescent="0.25">
      <c r="A377" s="21" t="s">
        <v>592</v>
      </c>
      <c r="B377" s="19">
        <v>5358341</v>
      </c>
      <c r="C377" s="19">
        <v>5281360</v>
      </c>
      <c r="D377" s="19">
        <v>4436688</v>
      </c>
      <c r="E377" s="19">
        <v>176910</v>
      </c>
      <c r="F377" s="19">
        <v>152395</v>
      </c>
      <c r="G377" s="19">
        <v>140517</v>
      </c>
      <c r="H377" s="19">
        <v>140517</v>
      </c>
      <c r="I377" s="25" t="s">
        <v>593</v>
      </c>
      <c r="J377" s="27">
        <f t="shared" si="30"/>
        <v>844672</v>
      </c>
      <c r="K377" s="27">
        <f t="shared" si="31"/>
        <v>5104450</v>
      </c>
      <c r="L377" s="27">
        <f t="shared" si="32"/>
        <v>4259778</v>
      </c>
      <c r="M377" s="27">
        <f t="shared" si="33"/>
        <v>5140843</v>
      </c>
      <c r="N377" s="30">
        <f t="shared" si="34"/>
        <v>0.96650294621082444</v>
      </c>
      <c r="O377" s="30">
        <f t="shared" si="35"/>
        <v>2.6606215065816379E-2</v>
      </c>
      <c r="P377" s="52"/>
    </row>
    <row r="378" spans="1:16" ht="16.5" customHeight="1" thickBot="1" x14ac:dyDescent="0.25">
      <c r="A378" s="21" t="s">
        <v>594</v>
      </c>
      <c r="B378" s="19">
        <v>894000</v>
      </c>
      <c r="C378" s="19">
        <v>1263865</v>
      </c>
      <c r="D378" s="19">
        <v>1181168</v>
      </c>
      <c r="E378" s="19">
        <v>153969</v>
      </c>
      <c r="F378" s="19">
        <v>146761</v>
      </c>
      <c r="G378" s="19">
        <v>146441</v>
      </c>
      <c r="H378" s="19">
        <v>146441</v>
      </c>
      <c r="I378" s="25" t="s">
        <v>595</v>
      </c>
      <c r="J378" s="27">
        <f t="shared" si="30"/>
        <v>82697</v>
      </c>
      <c r="K378" s="27">
        <f t="shared" si="31"/>
        <v>1109896</v>
      </c>
      <c r="L378" s="27">
        <f t="shared" si="32"/>
        <v>1027199</v>
      </c>
      <c r="M378" s="27">
        <f t="shared" si="33"/>
        <v>1117424</v>
      </c>
      <c r="N378" s="30">
        <f t="shared" si="34"/>
        <v>0.87817607102024342</v>
      </c>
      <c r="O378" s="30">
        <f t="shared" si="35"/>
        <v>0.11586759661830971</v>
      </c>
      <c r="P378" s="52"/>
    </row>
    <row r="379" spans="1:16" ht="16.5" customHeight="1" thickBot="1" x14ac:dyDescent="0.25">
      <c r="A379" s="21" t="s">
        <v>596</v>
      </c>
      <c r="B379" s="20">
        <v>0</v>
      </c>
      <c r="C379" s="19">
        <v>45161</v>
      </c>
      <c r="D379" s="19">
        <v>45161</v>
      </c>
      <c r="E379" s="19">
        <v>45161</v>
      </c>
      <c r="F379" s="19">
        <v>30773</v>
      </c>
      <c r="G379" s="19">
        <v>30773</v>
      </c>
      <c r="H379" s="19">
        <v>22893</v>
      </c>
      <c r="I379" s="25" t="s">
        <v>597</v>
      </c>
      <c r="J379" s="27">
        <f t="shared" si="30"/>
        <v>0</v>
      </c>
      <c r="K379" s="27">
        <f t="shared" si="31"/>
        <v>0</v>
      </c>
      <c r="L379" s="27">
        <f t="shared" si="32"/>
        <v>0</v>
      </c>
      <c r="M379" s="27">
        <f t="shared" si="33"/>
        <v>14388</v>
      </c>
      <c r="N379" s="30">
        <f t="shared" si="34"/>
        <v>0</v>
      </c>
      <c r="O379" s="30">
        <f t="shared" si="35"/>
        <v>0.68140652332764995</v>
      </c>
      <c r="P379" s="52"/>
    </row>
    <row r="380" spans="1:16" ht="16.5" customHeight="1" thickBot="1" x14ac:dyDescent="0.25">
      <c r="A380" s="21" t="s">
        <v>598</v>
      </c>
      <c r="B380" s="20">
        <v>0</v>
      </c>
      <c r="C380" s="19">
        <v>2967206</v>
      </c>
      <c r="D380" s="19">
        <v>2958279</v>
      </c>
      <c r="E380" s="19">
        <v>1416601</v>
      </c>
      <c r="F380" s="19">
        <v>886711</v>
      </c>
      <c r="G380" s="19">
        <v>886711</v>
      </c>
      <c r="H380" s="19">
        <v>341382</v>
      </c>
      <c r="I380" s="25" t="s">
        <v>599</v>
      </c>
      <c r="J380" s="27">
        <f t="shared" si="30"/>
        <v>8927</v>
      </c>
      <c r="K380" s="27">
        <f t="shared" si="31"/>
        <v>1550605</v>
      </c>
      <c r="L380" s="27">
        <f t="shared" si="32"/>
        <v>1541678</v>
      </c>
      <c r="M380" s="27">
        <f t="shared" si="33"/>
        <v>2080495</v>
      </c>
      <c r="N380" s="30">
        <f t="shared" si="34"/>
        <v>0.52258083867449712</v>
      </c>
      <c r="O380" s="30">
        <f t="shared" si="35"/>
        <v>0.29883702041583898</v>
      </c>
      <c r="P380" s="52"/>
    </row>
    <row r="381" spans="1:16" ht="16.5" customHeight="1" thickBot="1" x14ac:dyDescent="0.25">
      <c r="A381" s="21" t="s">
        <v>600</v>
      </c>
      <c r="B381" s="20">
        <v>0</v>
      </c>
      <c r="C381" s="19">
        <v>13926334</v>
      </c>
      <c r="D381" s="19">
        <v>13763618</v>
      </c>
      <c r="E381" s="19">
        <v>242796</v>
      </c>
      <c r="F381" s="19">
        <v>209025</v>
      </c>
      <c r="G381" s="19">
        <v>182925</v>
      </c>
      <c r="H381" s="19">
        <v>182925</v>
      </c>
      <c r="I381" s="25" t="s">
        <v>601</v>
      </c>
      <c r="J381" s="27">
        <f t="shared" si="30"/>
        <v>162716</v>
      </c>
      <c r="K381" s="27">
        <f t="shared" si="31"/>
        <v>13683538</v>
      </c>
      <c r="L381" s="27">
        <f t="shared" si="32"/>
        <v>13520822</v>
      </c>
      <c r="M381" s="27">
        <f t="shared" si="33"/>
        <v>13743409</v>
      </c>
      <c r="N381" s="30">
        <f t="shared" si="34"/>
        <v>0.98256569173193753</v>
      </c>
      <c r="O381" s="30">
        <f t="shared" si="35"/>
        <v>1.3135186905613494E-2</v>
      </c>
      <c r="P381" s="52"/>
    </row>
    <row r="382" spans="1:16" ht="16.5" customHeight="1" thickBot="1" x14ac:dyDescent="0.25">
      <c r="A382" s="21" t="s">
        <v>602</v>
      </c>
      <c r="B382" s="20">
        <v>0</v>
      </c>
      <c r="C382" s="19">
        <v>206971</v>
      </c>
      <c r="D382" s="19">
        <v>206971</v>
      </c>
      <c r="E382" s="19">
        <v>206971</v>
      </c>
      <c r="F382" s="19">
        <v>142229</v>
      </c>
      <c r="G382" s="19">
        <v>110370</v>
      </c>
      <c r="H382" s="19">
        <v>110370</v>
      </c>
      <c r="I382" s="25" t="s">
        <v>603</v>
      </c>
      <c r="J382" s="27">
        <f t="shared" si="30"/>
        <v>0</v>
      </c>
      <c r="K382" s="27">
        <f t="shared" si="31"/>
        <v>0</v>
      </c>
      <c r="L382" s="27">
        <f t="shared" si="32"/>
        <v>0</v>
      </c>
      <c r="M382" s="27">
        <f t="shared" si="33"/>
        <v>96601</v>
      </c>
      <c r="N382" s="30">
        <f t="shared" si="34"/>
        <v>0</v>
      </c>
      <c r="O382" s="30">
        <f t="shared" si="35"/>
        <v>0.53326311415608951</v>
      </c>
      <c r="P382" s="52"/>
    </row>
    <row r="383" spans="1:16" ht="16.5" customHeight="1" thickBot="1" x14ac:dyDescent="0.25">
      <c r="A383" s="21" t="s">
        <v>604</v>
      </c>
      <c r="B383" s="20">
        <v>0</v>
      </c>
      <c r="C383" s="19">
        <v>100785</v>
      </c>
      <c r="D383" s="19">
        <v>100589</v>
      </c>
      <c r="E383" s="19">
        <v>95864</v>
      </c>
      <c r="F383" s="19">
        <v>88975</v>
      </c>
      <c r="G383" s="19">
        <v>88975</v>
      </c>
      <c r="H383" s="19">
        <v>88975</v>
      </c>
      <c r="I383" s="25" t="s">
        <v>605</v>
      </c>
      <c r="J383" s="27">
        <f t="shared" si="30"/>
        <v>196</v>
      </c>
      <c r="K383" s="27">
        <f t="shared" si="31"/>
        <v>4921</v>
      </c>
      <c r="L383" s="27">
        <f t="shared" si="32"/>
        <v>4725</v>
      </c>
      <c r="M383" s="27">
        <f t="shared" si="33"/>
        <v>11810</v>
      </c>
      <c r="N383" s="30">
        <f t="shared" si="34"/>
        <v>4.882671032395694E-2</v>
      </c>
      <c r="O383" s="30">
        <f t="shared" si="35"/>
        <v>0.88281986406707347</v>
      </c>
      <c r="P383" s="52"/>
    </row>
    <row r="384" spans="1:16" ht="16.5" customHeight="1" thickBot="1" x14ac:dyDescent="0.25">
      <c r="A384" s="21" t="s">
        <v>606</v>
      </c>
      <c r="B384" s="20">
        <v>0</v>
      </c>
      <c r="C384" s="19">
        <v>167074</v>
      </c>
      <c r="D384" s="19">
        <v>63765</v>
      </c>
      <c r="E384" s="19">
        <v>63765</v>
      </c>
      <c r="F384" s="19">
        <v>62264</v>
      </c>
      <c r="G384" s="19">
        <v>62264</v>
      </c>
      <c r="H384" s="19">
        <v>62264</v>
      </c>
      <c r="I384" s="25" t="s">
        <v>607</v>
      </c>
      <c r="J384" s="27">
        <f t="shared" si="30"/>
        <v>103309</v>
      </c>
      <c r="K384" s="27">
        <f t="shared" si="31"/>
        <v>103309</v>
      </c>
      <c r="L384" s="27">
        <f t="shared" si="32"/>
        <v>0</v>
      </c>
      <c r="M384" s="27">
        <f t="shared" si="33"/>
        <v>104810</v>
      </c>
      <c r="N384" s="30">
        <f t="shared" si="34"/>
        <v>0.61834277026946138</v>
      </c>
      <c r="O384" s="30">
        <f t="shared" si="35"/>
        <v>0.37267318673162791</v>
      </c>
      <c r="P384" s="52"/>
    </row>
    <row r="385" spans="1:16" ht="16.5" customHeight="1" thickBot="1" x14ac:dyDescent="0.25">
      <c r="A385" s="21" t="s">
        <v>608</v>
      </c>
      <c r="B385" s="20">
        <v>0</v>
      </c>
      <c r="C385" s="19">
        <v>3974680</v>
      </c>
      <c r="D385" s="19">
        <v>3830379</v>
      </c>
      <c r="E385" s="19">
        <v>188579</v>
      </c>
      <c r="F385" s="19">
        <v>175863</v>
      </c>
      <c r="G385" s="19">
        <v>141890</v>
      </c>
      <c r="H385" s="19">
        <v>131420</v>
      </c>
      <c r="I385" s="25" t="s">
        <v>536</v>
      </c>
      <c r="J385" s="27">
        <f t="shared" si="30"/>
        <v>144301</v>
      </c>
      <c r="K385" s="27">
        <f t="shared" si="31"/>
        <v>3786101</v>
      </c>
      <c r="L385" s="27">
        <f t="shared" si="32"/>
        <v>3641800</v>
      </c>
      <c r="M385" s="27">
        <f t="shared" si="33"/>
        <v>3832790</v>
      </c>
      <c r="N385" s="30">
        <f t="shared" si="34"/>
        <v>0.95255492266044062</v>
      </c>
      <c r="O385" s="30">
        <f t="shared" si="35"/>
        <v>3.5698471323477615E-2</v>
      </c>
      <c r="P385" s="52"/>
    </row>
    <row r="386" spans="1:16" ht="16.5" customHeight="1" thickBot="1" x14ac:dyDescent="0.25">
      <c r="A386" s="21" t="s">
        <v>609</v>
      </c>
      <c r="B386" s="20">
        <v>0</v>
      </c>
      <c r="C386" s="19">
        <v>70059</v>
      </c>
      <c r="D386" s="19">
        <v>70058</v>
      </c>
      <c r="E386" s="19">
        <v>70058</v>
      </c>
      <c r="F386" s="19">
        <v>70030</v>
      </c>
      <c r="G386" s="19">
        <v>70030</v>
      </c>
      <c r="H386" s="19">
        <v>70030</v>
      </c>
      <c r="I386" s="25" t="s">
        <v>172</v>
      </c>
      <c r="J386" s="27">
        <f t="shared" si="30"/>
        <v>1</v>
      </c>
      <c r="K386" s="27">
        <f t="shared" si="31"/>
        <v>1</v>
      </c>
      <c r="L386" s="27">
        <f t="shared" si="32"/>
        <v>0</v>
      </c>
      <c r="M386" s="27">
        <f t="shared" si="33"/>
        <v>29</v>
      </c>
      <c r="N386" s="30">
        <f t="shared" si="34"/>
        <v>1.4273683609529111E-5</v>
      </c>
      <c r="O386" s="30">
        <f t="shared" si="35"/>
        <v>0.99958606317532361</v>
      </c>
      <c r="P386" s="52"/>
    </row>
    <row r="387" spans="1:16" ht="16.5" customHeight="1" thickBot="1" x14ac:dyDescent="0.25">
      <c r="A387" s="21" t="s">
        <v>610</v>
      </c>
      <c r="B387" s="20">
        <v>0</v>
      </c>
      <c r="C387" s="19">
        <v>8483998</v>
      </c>
      <c r="D387" s="19">
        <v>8474782</v>
      </c>
      <c r="E387" s="19">
        <v>5324755</v>
      </c>
      <c r="F387" s="19">
        <v>5322446</v>
      </c>
      <c r="G387" s="19">
        <v>5322446</v>
      </c>
      <c r="H387" s="19">
        <v>5322446</v>
      </c>
      <c r="I387" s="25" t="s">
        <v>460</v>
      </c>
      <c r="J387" s="27">
        <f t="shared" si="30"/>
        <v>9216</v>
      </c>
      <c r="K387" s="27">
        <f t="shared" si="31"/>
        <v>3159243</v>
      </c>
      <c r="L387" s="27">
        <f t="shared" si="32"/>
        <v>3150027</v>
      </c>
      <c r="M387" s="27">
        <f t="shared" si="33"/>
        <v>3161552</v>
      </c>
      <c r="N387" s="30">
        <f t="shared" si="34"/>
        <v>0.37237667901383287</v>
      </c>
      <c r="O387" s="30">
        <f t="shared" si="35"/>
        <v>0.6273511615632158</v>
      </c>
      <c r="P387" s="52"/>
    </row>
    <row r="388" spans="1:16" ht="16.5" customHeight="1" thickBot="1" x14ac:dyDescent="0.3">
      <c r="A388" s="21" t="s">
        <v>611</v>
      </c>
      <c r="B388" s="20">
        <v>0</v>
      </c>
      <c r="C388" s="28">
        <v>36445</v>
      </c>
      <c r="D388" s="29">
        <v>0</v>
      </c>
      <c r="E388" s="29">
        <v>0</v>
      </c>
      <c r="F388" s="29">
        <v>0</v>
      </c>
      <c r="G388" s="29">
        <v>0</v>
      </c>
      <c r="H388" s="20">
        <v>0</v>
      </c>
      <c r="I388" s="25" t="s">
        <v>25</v>
      </c>
      <c r="J388" s="27">
        <f t="shared" si="30"/>
        <v>36445</v>
      </c>
      <c r="K388" s="27">
        <f t="shared" si="31"/>
        <v>36445</v>
      </c>
      <c r="L388" s="27">
        <f t="shared" si="32"/>
        <v>0</v>
      </c>
      <c r="M388" s="27">
        <f t="shared" si="33"/>
        <v>36445</v>
      </c>
      <c r="N388" s="30">
        <f t="shared" si="34"/>
        <v>1</v>
      </c>
      <c r="O388" s="30">
        <f t="shared" si="35"/>
        <v>0</v>
      </c>
      <c r="P388" s="52" t="s">
        <v>660</v>
      </c>
    </row>
    <row r="389" spans="1:16" ht="16.5" customHeight="1" thickBot="1" x14ac:dyDescent="0.3">
      <c r="A389" s="21" t="s">
        <v>612</v>
      </c>
      <c r="B389" s="20">
        <v>0</v>
      </c>
      <c r="C389" s="28">
        <v>39485</v>
      </c>
      <c r="D389" s="29">
        <v>0</v>
      </c>
      <c r="E389" s="29">
        <v>0</v>
      </c>
      <c r="F389" s="29">
        <v>0</v>
      </c>
      <c r="G389" s="29">
        <v>0</v>
      </c>
      <c r="H389" s="20">
        <v>0</v>
      </c>
      <c r="I389" s="25" t="s">
        <v>25</v>
      </c>
      <c r="J389" s="27">
        <f t="shared" si="30"/>
        <v>39485</v>
      </c>
      <c r="K389" s="27">
        <f t="shared" si="31"/>
        <v>39485</v>
      </c>
      <c r="L389" s="27">
        <f t="shared" si="32"/>
        <v>0</v>
      </c>
      <c r="M389" s="27">
        <f t="shared" si="33"/>
        <v>39485</v>
      </c>
      <c r="N389" s="30">
        <f t="shared" si="34"/>
        <v>1</v>
      </c>
      <c r="O389" s="30">
        <f t="shared" si="35"/>
        <v>0</v>
      </c>
      <c r="P389" s="52" t="s">
        <v>660</v>
      </c>
    </row>
    <row r="390" spans="1:16" ht="16.5" customHeight="1" thickBot="1" x14ac:dyDescent="0.3">
      <c r="A390" s="21" t="s">
        <v>613</v>
      </c>
      <c r="B390" s="20">
        <v>0</v>
      </c>
      <c r="C390" s="28">
        <v>114255</v>
      </c>
      <c r="D390" s="29">
        <v>0</v>
      </c>
      <c r="E390" s="29">
        <v>0</v>
      </c>
      <c r="F390" s="29">
        <v>0</v>
      </c>
      <c r="G390" s="29">
        <v>0</v>
      </c>
      <c r="H390" s="20">
        <v>0</v>
      </c>
      <c r="I390" s="25" t="s">
        <v>25</v>
      </c>
      <c r="J390" s="27">
        <f t="shared" si="30"/>
        <v>114255</v>
      </c>
      <c r="K390" s="27">
        <f t="shared" si="31"/>
        <v>114255</v>
      </c>
      <c r="L390" s="27">
        <f t="shared" si="32"/>
        <v>0</v>
      </c>
      <c r="M390" s="27">
        <f t="shared" si="33"/>
        <v>114255</v>
      </c>
      <c r="N390" s="30">
        <f t="shared" si="34"/>
        <v>1</v>
      </c>
      <c r="O390" s="30">
        <f t="shared" si="35"/>
        <v>0</v>
      </c>
      <c r="P390" s="52" t="s">
        <v>660</v>
      </c>
    </row>
    <row r="391" spans="1:16" ht="16.5" customHeight="1" thickBot="1" x14ac:dyDescent="0.25">
      <c r="A391" s="21" t="s">
        <v>614</v>
      </c>
      <c r="B391" s="20">
        <v>0</v>
      </c>
      <c r="C391" s="19">
        <v>492669</v>
      </c>
      <c r="D391" s="19">
        <v>464894</v>
      </c>
      <c r="E391" s="19">
        <v>413672</v>
      </c>
      <c r="F391" s="19">
        <v>216827</v>
      </c>
      <c r="G391" s="19">
        <v>211663</v>
      </c>
      <c r="H391" s="19">
        <v>211663</v>
      </c>
      <c r="I391" s="25" t="s">
        <v>615</v>
      </c>
      <c r="J391" s="27">
        <f t="shared" si="30"/>
        <v>27775</v>
      </c>
      <c r="K391" s="27">
        <f t="shared" si="31"/>
        <v>78997</v>
      </c>
      <c r="L391" s="27">
        <f t="shared" si="32"/>
        <v>51222</v>
      </c>
      <c r="M391" s="27">
        <f t="shared" si="33"/>
        <v>281006</v>
      </c>
      <c r="N391" s="30">
        <f t="shared" si="34"/>
        <v>0.16034497806843945</v>
      </c>
      <c r="O391" s="30">
        <f t="shared" si="35"/>
        <v>0.42962516415686802</v>
      </c>
      <c r="P391" s="52"/>
    </row>
    <row r="392" spans="1:16" ht="16.5" customHeight="1" thickBot="1" x14ac:dyDescent="0.25">
      <c r="A392" s="21" t="s">
        <v>616</v>
      </c>
      <c r="B392" s="20">
        <v>0</v>
      </c>
      <c r="C392" s="19">
        <v>195079</v>
      </c>
      <c r="D392" s="19">
        <v>186354</v>
      </c>
      <c r="E392" s="19">
        <v>186354</v>
      </c>
      <c r="F392" s="19">
        <v>176804</v>
      </c>
      <c r="G392" s="19">
        <v>176804</v>
      </c>
      <c r="H392" s="19">
        <v>176804</v>
      </c>
      <c r="I392" s="25" t="s">
        <v>440</v>
      </c>
      <c r="J392" s="27">
        <f t="shared" si="30"/>
        <v>8725</v>
      </c>
      <c r="K392" s="27">
        <f t="shared" si="31"/>
        <v>8725</v>
      </c>
      <c r="L392" s="27">
        <f t="shared" si="32"/>
        <v>0</v>
      </c>
      <c r="M392" s="27">
        <f t="shared" si="33"/>
        <v>18275</v>
      </c>
      <c r="N392" s="30">
        <f t="shared" si="34"/>
        <v>4.4725470194126482E-2</v>
      </c>
      <c r="O392" s="30">
        <f t="shared" si="35"/>
        <v>0.90632000369081245</v>
      </c>
      <c r="P392" s="52"/>
    </row>
    <row r="393" spans="1:16" ht="16.5" customHeight="1" thickBot="1" x14ac:dyDescent="0.25">
      <c r="A393" s="21" t="s">
        <v>617</v>
      </c>
      <c r="B393" s="20">
        <v>0</v>
      </c>
      <c r="C393" s="19">
        <v>271707</v>
      </c>
      <c r="D393" s="19">
        <v>271706</v>
      </c>
      <c r="E393" s="19">
        <v>271706</v>
      </c>
      <c r="F393" s="19">
        <v>270843</v>
      </c>
      <c r="G393" s="19">
        <v>270843</v>
      </c>
      <c r="H393" s="19">
        <v>270843</v>
      </c>
      <c r="I393" s="25" t="s">
        <v>618</v>
      </c>
      <c r="J393" s="27">
        <f t="shared" si="30"/>
        <v>1</v>
      </c>
      <c r="K393" s="27">
        <f t="shared" si="31"/>
        <v>1</v>
      </c>
      <c r="L393" s="27">
        <f t="shared" si="32"/>
        <v>0</v>
      </c>
      <c r="M393" s="27">
        <f t="shared" si="33"/>
        <v>864</v>
      </c>
      <c r="N393" s="30">
        <f t="shared" si="34"/>
        <v>3.6804351746550511E-6</v>
      </c>
      <c r="O393" s="30">
        <f t="shared" si="35"/>
        <v>0.99682010400909804</v>
      </c>
      <c r="P393" s="52"/>
    </row>
    <row r="394" spans="1:16" ht="16.5" customHeight="1" thickBot="1" x14ac:dyDescent="0.25">
      <c r="A394" s="21" t="s">
        <v>619</v>
      </c>
      <c r="B394" s="20">
        <v>0</v>
      </c>
      <c r="C394" s="19">
        <v>123816</v>
      </c>
      <c r="D394" s="19">
        <v>123816</v>
      </c>
      <c r="E394" s="19">
        <v>123816</v>
      </c>
      <c r="F394" s="19">
        <v>113942</v>
      </c>
      <c r="G394" s="19">
        <v>113942</v>
      </c>
      <c r="H394" s="19">
        <v>113942</v>
      </c>
      <c r="I394" s="25" t="s">
        <v>620</v>
      </c>
      <c r="J394" s="27">
        <f t="shared" si="30"/>
        <v>0</v>
      </c>
      <c r="K394" s="27">
        <f t="shared" si="31"/>
        <v>0</v>
      </c>
      <c r="L394" s="27">
        <f t="shared" si="32"/>
        <v>0</v>
      </c>
      <c r="M394" s="27">
        <f t="shared" si="33"/>
        <v>9874</v>
      </c>
      <c r="N394" s="30">
        <f t="shared" si="34"/>
        <v>0</v>
      </c>
      <c r="O394" s="30">
        <f t="shared" si="35"/>
        <v>0.92025263293920012</v>
      </c>
      <c r="P394" s="52"/>
    </row>
    <row r="395" spans="1:16" ht="16.5" customHeight="1" thickBot="1" x14ac:dyDescent="0.25">
      <c r="A395" s="21" t="s">
        <v>621</v>
      </c>
      <c r="B395" s="20">
        <v>0</v>
      </c>
      <c r="C395" s="19">
        <v>140000</v>
      </c>
      <c r="D395" s="19">
        <v>140000</v>
      </c>
      <c r="E395" s="19">
        <v>140000</v>
      </c>
      <c r="F395" s="19">
        <v>131428</v>
      </c>
      <c r="G395" s="19">
        <v>131428</v>
      </c>
      <c r="H395" s="19">
        <v>131428</v>
      </c>
      <c r="I395" s="25" t="s">
        <v>622</v>
      </c>
      <c r="J395" s="27">
        <f t="shared" si="30"/>
        <v>0</v>
      </c>
      <c r="K395" s="27">
        <f t="shared" si="31"/>
        <v>0</v>
      </c>
      <c r="L395" s="27">
        <f t="shared" si="32"/>
        <v>0</v>
      </c>
      <c r="M395" s="27">
        <f t="shared" si="33"/>
        <v>8572</v>
      </c>
      <c r="N395" s="30">
        <f t="shared" si="34"/>
        <v>0</v>
      </c>
      <c r="O395" s="30">
        <f t="shared" si="35"/>
        <v>0.93877142857142859</v>
      </c>
      <c r="P395" s="52"/>
    </row>
    <row r="396" spans="1:16" ht="16.5" customHeight="1" thickBot="1" x14ac:dyDescent="0.3">
      <c r="A396" s="21" t="s">
        <v>623</v>
      </c>
      <c r="B396" s="20">
        <v>0</v>
      </c>
      <c r="C396" s="28">
        <v>80738</v>
      </c>
      <c r="D396" s="29">
        <v>0</v>
      </c>
      <c r="E396" s="29">
        <v>0</v>
      </c>
      <c r="F396" s="29">
        <v>0</v>
      </c>
      <c r="G396" s="29">
        <v>0</v>
      </c>
      <c r="H396" s="20">
        <v>0</v>
      </c>
      <c r="I396" s="25" t="s">
        <v>25</v>
      </c>
      <c r="J396" s="27">
        <f t="shared" si="30"/>
        <v>80738</v>
      </c>
      <c r="K396" s="27">
        <f t="shared" si="31"/>
        <v>80738</v>
      </c>
      <c r="L396" s="27">
        <f t="shared" si="32"/>
        <v>0</v>
      </c>
      <c r="M396" s="27">
        <f t="shared" si="33"/>
        <v>80738</v>
      </c>
      <c r="N396" s="30">
        <f t="shared" si="34"/>
        <v>1</v>
      </c>
      <c r="O396" s="30">
        <f t="shared" si="35"/>
        <v>0</v>
      </c>
      <c r="P396" s="52" t="s">
        <v>660</v>
      </c>
    </row>
    <row r="397" spans="1:16" ht="16.5" customHeight="1" thickBot="1" x14ac:dyDescent="0.25">
      <c r="A397" s="21" t="s">
        <v>624</v>
      </c>
      <c r="B397" s="20">
        <v>0</v>
      </c>
      <c r="C397" s="19">
        <v>563376</v>
      </c>
      <c r="D397" s="19">
        <v>563376</v>
      </c>
      <c r="E397" s="19">
        <v>193545</v>
      </c>
      <c r="F397" s="19">
        <v>178620</v>
      </c>
      <c r="G397" s="19">
        <v>65075</v>
      </c>
      <c r="H397" s="19">
        <v>65075</v>
      </c>
      <c r="I397" s="25" t="s">
        <v>595</v>
      </c>
      <c r="J397" s="27">
        <f t="shared" si="30"/>
        <v>0</v>
      </c>
      <c r="K397" s="27">
        <f t="shared" si="31"/>
        <v>369831</v>
      </c>
      <c r="L397" s="27">
        <f t="shared" si="32"/>
        <v>369831</v>
      </c>
      <c r="M397" s="27">
        <f t="shared" si="33"/>
        <v>498301</v>
      </c>
      <c r="N397" s="30">
        <f t="shared" si="34"/>
        <v>0.6564550140581068</v>
      </c>
      <c r="O397" s="30">
        <f t="shared" si="35"/>
        <v>0.11550900286842181</v>
      </c>
      <c r="P397" s="52"/>
    </row>
    <row r="398" spans="1:16" ht="16.5" customHeight="1" thickBot="1" x14ac:dyDescent="0.25">
      <c r="A398" s="21" t="s">
        <v>625</v>
      </c>
      <c r="B398" s="20">
        <v>0</v>
      </c>
      <c r="C398" s="19">
        <v>2040218</v>
      </c>
      <c r="D398" s="19">
        <v>2014066</v>
      </c>
      <c r="E398" s="19">
        <v>213742</v>
      </c>
      <c r="F398" s="19">
        <v>167702</v>
      </c>
      <c r="G398" s="19">
        <v>153737</v>
      </c>
      <c r="H398" s="19">
        <v>151374</v>
      </c>
      <c r="I398" s="25" t="s">
        <v>497</v>
      </c>
      <c r="J398" s="27">
        <f t="shared" si="30"/>
        <v>26152</v>
      </c>
      <c r="K398" s="27">
        <f t="shared" si="31"/>
        <v>1826476</v>
      </c>
      <c r="L398" s="27">
        <f t="shared" si="32"/>
        <v>1800324</v>
      </c>
      <c r="M398" s="27">
        <f t="shared" si="33"/>
        <v>1886481</v>
      </c>
      <c r="N398" s="30">
        <f t="shared" si="34"/>
        <v>0.89523570520405171</v>
      </c>
      <c r="O398" s="30">
        <f t="shared" si="35"/>
        <v>7.535322205764286E-2</v>
      </c>
      <c r="P398" s="52"/>
    </row>
    <row r="399" spans="1:16" ht="16.5" customHeight="1" thickBot="1" x14ac:dyDescent="0.25">
      <c r="A399" s="21" t="s">
        <v>626</v>
      </c>
      <c r="B399" s="20">
        <v>0</v>
      </c>
      <c r="C399" s="19">
        <v>100021</v>
      </c>
      <c r="D399" s="19">
        <v>59652</v>
      </c>
      <c r="E399" s="19">
        <v>59652</v>
      </c>
      <c r="F399" s="19">
        <v>57900</v>
      </c>
      <c r="G399" s="19">
        <v>48248</v>
      </c>
      <c r="H399" s="19">
        <v>48248</v>
      </c>
      <c r="I399" s="25" t="s">
        <v>627</v>
      </c>
      <c r="J399" s="27">
        <f t="shared" si="30"/>
        <v>40369</v>
      </c>
      <c r="K399" s="27">
        <f t="shared" si="31"/>
        <v>40369</v>
      </c>
      <c r="L399" s="27">
        <f t="shared" si="32"/>
        <v>0</v>
      </c>
      <c r="M399" s="27">
        <f t="shared" si="33"/>
        <v>51773</v>
      </c>
      <c r="N399" s="30">
        <f t="shared" si="34"/>
        <v>0.40360524289899119</v>
      </c>
      <c r="O399" s="30">
        <f t="shared" si="35"/>
        <v>0.48237870047290071</v>
      </c>
      <c r="P399" s="52"/>
    </row>
    <row r="400" spans="1:16" ht="16.5" customHeight="1" thickBot="1" x14ac:dyDescent="0.3">
      <c r="A400" s="21" t="s">
        <v>628</v>
      </c>
      <c r="B400" s="20">
        <v>0</v>
      </c>
      <c r="C400" s="28">
        <v>45000</v>
      </c>
      <c r="D400" s="29">
        <v>0</v>
      </c>
      <c r="E400" s="29">
        <v>0</v>
      </c>
      <c r="F400" s="29">
        <v>0</v>
      </c>
      <c r="G400" s="29">
        <v>0</v>
      </c>
      <c r="H400" s="20">
        <v>0</v>
      </c>
      <c r="I400" s="25" t="s">
        <v>25</v>
      </c>
      <c r="J400" s="27">
        <f t="shared" si="30"/>
        <v>45000</v>
      </c>
      <c r="K400" s="27">
        <f t="shared" si="31"/>
        <v>45000</v>
      </c>
      <c r="L400" s="27">
        <f t="shared" si="32"/>
        <v>0</v>
      </c>
      <c r="M400" s="27">
        <f t="shared" si="33"/>
        <v>45000</v>
      </c>
      <c r="N400" s="30">
        <f t="shared" si="34"/>
        <v>1</v>
      </c>
      <c r="O400" s="30">
        <f t="shared" si="35"/>
        <v>0</v>
      </c>
      <c r="P400" s="52" t="s">
        <v>660</v>
      </c>
    </row>
    <row r="401" spans="1:16" ht="16.5" customHeight="1" thickBot="1" x14ac:dyDescent="0.25">
      <c r="A401" s="21" t="s">
        <v>629</v>
      </c>
      <c r="B401" s="20">
        <v>0</v>
      </c>
      <c r="C401" s="19">
        <v>159946</v>
      </c>
      <c r="D401" s="19">
        <v>154011</v>
      </c>
      <c r="E401" s="19">
        <v>91011</v>
      </c>
      <c r="F401" s="19">
        <v>91011</v>
      </c>
      <c r="G401" s="19">
        <v>60441</v>
      </c>
      <c r="H401" s="19">
        <v>60441</v>
      </c>
      <c r="I401" s="25" t="s">
        <v>561</v>
      </c>
      <c r="J401" s="27">
        <f t="shared" ref="J401:J415" si="36">C401-D401</f>
        <v>5935</v>
      </c>
      <c r="K401" s="27">
        <f t="shared" ref="K401:K415" si="37">C401-E401</f>
        <v>68935</v>
      </c>
      <c r="L401" s="27">
        <f t="shared" ref="L401:L415" si="38">D401-E401</f>
        <v>63000</v>
      </c>
      <c r="M401" s="27">
        <f t="shared" ref="M401:M415" si="39">C401-G401</f>
        <v>99505</v>
      </c>
      <c r="N401" s="30">
        <f t="shared" ref="N401:N415" si="40">IFERROR(K401/C401, " ")</f>
        <v>0.43098920885798958</v>
      </c>
      <c r="O401" s="30">
        <f t="shared" ref="O401:O415" si="41">IFERROR(G401/C401, "ERROR")</f>
        <v>0.37788378577769999</v>
      </c>
      <c r="P401" s="52"/>
    </row>
    <row r="402" spans="1:16" ht="16.5" customHeight="1" thickBot="1" x14ac:dyDescent="0.25">
      <c r="A402" s="21" t="s">
        <v>630</v>
      </c>
      <c r="B402" s="20">
        <v>0</v>
      </c>
      <c r="C402" s="19">
        <v>159547</v>
      </c>
      <c r="D402" s="19">
        <v>154167</v>
      </c>
      <c r="E402" s="19">
        <v>119217</v>
      </c>
      <c r="F402" s="19">
        <v>119217</v>
      </c>
      <c r="G402" s="19">
        <v>116817</v>
      </c>
      <c r="H402" s="19">
        <v>114417</v>
      </c>
      <c r="I402" s="25" t="s">
        <v>631</v>
      </c>
      <c r="J402" s="27">
        <f t="shared" si="36"/>
        <v>5380</v>
      </c>
      <c r="K402" s="27">
        <f t="shared" si="37"/>
        <v>40330</v>
      </c>
      <c r="L402" s="27">
        <f t="shared" si="38"/>
        <v>34950</v>
      </c>
      <c r="M402" s="27">
        <f t="shared" si="39"/>
        <v>42730</v>
      </c>
      <c r="N402" s="30">
        <f t="shared" si="40"/>
        <v>0.2527781782170771</v>
      </c>
      <c r="O402" s="30">
        <f t="shared" si="41"/>
        <v>0.73217923245187944</v>
      </c>
      <c r="P402" s="52"/>
    </row>
    <row r="403" spans="1:16" ht="16.5" customHeight="1" thickBot="1" x14ac:dyDescent="0.3">
      <c r="A403" s="21" t="s">
        <v>632</v>
      </c>
      <c r="B403" s="20">
        <v>0</v>
      </c>
      <c r="C403" s="36">
        <v>158642</v>
      </c>
      <c r="D403" s="36">
        <v>78148</v>
      </c>
      <c r="E403" s="36">
        <v>19148</v>
      </c>
      <c r="F403" s="36">
        <v>19148</v>
      </c>
      <c r="G403" s="37">
        <v>0</v>
      </c>
      <c r="H403" s="20">
        <v>0</v>
      </c>
      <c r="I403" s="25" t="s">
        <v>25</v>
      </c>
      <c r="J403" s="27">
        <f t="shared" si="36"/>
        <v>80494</v>
      </c>
      <c r="K403" s="27">
        <f t="shared" si="37"/>
        <v>139494</v>
      </c>
      <c r="L403" s="27">
        <f t="shared" si="38"/>
        <v>59000</v>
      </c>
      <c r="M403" s="27">
        <f t="shared" si="39"/>
        <v>158642</v>
      </c>
      <c r="N403" s="30">
        <f t="shared" si="40"/>
        <v>0.87930056353298625</v>
      </c>
      <c r="O403" s="30">
        <f t="shared" si="41"/>
        <v>0</v>
      </c>
      <c r="P403" s="52" t="s">
        <v>660</v>
      </c>
    </row>
    <row r="404" spans="1:16" ht="16.5" customHeight="1" thickBot="1" x14ac:dyDescent="0.25">
      <c r="A404" s="21" t="s">
        <v>633</v>
      </c>
      <c r="B404" s="20">
        <v>0</v>
      </c>
      <c r="C404" s="19">
        <v>159345</v>
      </c>
      <c r="D404" s="19">
        <v>150543</v>
      </c>
      <c r="E404" s="19">
        <v>150263</v>
      </c>
      <c r="F404" s="19">
        <v>150263</v>
      </c>
      <c r="G404" s="19">
        <v>150263</v>
      </c>
      <c r="H404" s="19">
        <v>150263</v>
      </c>
      <c r="I404" s="25" t="s">
        <v>538</v>
      </c>
      <c r="J404" s="27">
        <f t="shared" si="36"/>
        <v>8802</v>
      </c>
      <c r="K404" s="27">
        <f t="shared" si="37"/>
        <v>9082</v>
      </c>
      <c r="L404" s="27">
        <f t="shared" si="38"/>
        <v>280</v>
      </c>
      <c r="M404" s="27">
        <f t="shared" si="39"/>
        <v>9082</v>
      </c>
      <c r="N404" s="30">
        <f t="shared" si="40"/>
        <v>5.6995826665411531E-2</v>
      </c>
      <c r="O404" s="30">
        <f t="shared" si="41"/>
        <v>0.94300417333458852</v>
      </c>
      <c r="P404" s="52"/>
    </row>
    <row r="405" spans="1:16" ht="16.5" customHeight="1" thickBot="1" x14ac:dyDescent="0.25">
      <c r="A405" s="21" t="s">
        <v>634</v>
      </c>
      <c r="B405" s="20">
        <v>0</v>
      </c>
      <c r="C405" s="19">
        <v>269980</v>
      </c>
      <c r="D405" s="19">
        <v>259749</v>
      </c>
      <c r="E405" s="19">
        <v>258249</v>
      </c>
      <c r="F405" s="19">
        <v>258249</v>
      </c>
      <c r="G405" s="19">
        <v>255066</v>
      </c>
      <c r="H405" s="19">
        <v>255066</v>
      </c>
      <c r="I405" s="25" t="s">
        <v>635</v>
      </c>
      <c r="J405" s="27">
        <f t="shared" si="36"/>
        <v>10231</v>
      </c>
      <c r="K405" s="27">
        <f t="shared" si="37"/>
        <v>11731</v>
      </c>
      <c r="L405" s="27">
        <f t="shared" si="38"/>
        <v>1500</v>
      </c>
      <c r="M405" s="27">
        <f t="shared" si="39"/>
        <v>14914</v>
      </c>
      <c r="N405" s="30">
        <f t="shared" si="40"/>
        <v>4.3451366767908735E-2</v>
      </c>
      <c r="O405" s="30">
        <f t="shared" si="41"/>
        <v>0.94475887102748357</v>
      </c>
      <c r="P405" s="52"/>
    </row>
    <row r="406" spans="1:16" ht="16.5" customHeight="1" thickBot="1" x14ac:dyDescent="0.25">
      <c r="A406" s="21" t="s">
        <v>636</v>
      </c>
      <c r="B406" s="20">
        <v>0</v>
      </c>
      <c r="C406" s="19">
        <v>159352</v>
      </c>
      <c r="D406" s="19">
        <v>154000</v>
      </c>
      <c r="E406" s="19">
        <v>153220</v>
      </c>
      <c r="F406" s="19">
        <v>153220</v>
      </c>
      <c r="G406" s="19">
        <v>150220</v>
      </c>
      <c r="H406" s="19">
        <v>150220</v>
      </c>
      <c r="I406" s="25" t="s">
        <v>538</v>
      </c>
      <c r="J406" s="27">
        <f t="shared" si="36"/>
        <v>5352</v>
      </c>
      <c r="K406" s="27">
        <f t="shared" si="37"/>
        <v>6132</v>
      </c>
      <c r="L406" s="27">
        <f t="shared" si="38"/>
        <v>780</v>
      </c>
      <c r="M406" s="27">
        <f t="shared" si="39"/>
        <v>9132</v>
      </c>
      <c r="N406" s="30">
        <f t="shared" si="40"/>
        <v>3.8480847432100007E-2</v>
      </c>
      <c r="O406" s="30">
        <f t="shared" si="41"/>
        <v>0.94269290627039515</v>
      </c>
      <c r="P406" s="52"/>
    </row>
    <row r="407" spans="1:16" ht="16.5" customHeight="1" thickBot="1" x14ac:dyDescent="0.25">
      <c r="A407" s="21" t="s">
        <v>637</v>
      </c>
      <c r="B407" s="20">
        <v>0</v>
      </c>
      <c r="C407" s="19">
        <v>159613</v>
      </c>
      <c r="D407" s="19">
        <v>149133</v>
      </c>
      <c r="E407" s="19">
        <v>147533</v>
      </c>
      <c r="F407" s="19">
        <v>147533</v>
      </c>
      <c r="G407" s="19">
        <v>7133</v>
      </c>
      <c r="H407" s="19">
        <v>7133</v>
      </c>
      <c r="I407" s="25" t="s">
        <v>638</v>
      </c>
      <c r="J407" s="27">
        <f t="shared" si="36"/>
        <v>10480</v>
      </c>
      <c r="K407" s="27">
        <f t="shared" si="37"/>
        <v>12080</v>
      </c>
      <c r="L407" s="27">
        <f t="shared" si="38"/>
        <v>1600</v>
      </c>
      <c r="M407" s="27">
        <f t="shared" si="39"/>
        <v>152480</v>
      </c>
      <c r="N407" s="30">
        <f t="shared" si="40"/>
        <v>7.5683058397498948E-2</v>
      </c>
      <c r="O407" s="30">
        <f t="shared" si="41"/>
        <v>4.4689342346801324E-2</v>
      </c>
      <c r="P407" s="52"/>
    </row>
    <row r="408" spans="1:16" ht="16.5" customHeight="1" thickBot="1" x14ac:dyDescent="0.25">
      <c r="A408" s="21" t="s">
        <v>639</v>
      </c>
      <c r="B408" s="20">
        <v>0</v>
      </c>
      <c r="C408" s="19">
        <v>159555</v>
      </c>
      <c r="D408" s="19">
        <v>132645</v>
      </c>
      <c r="E408" s="19">
        <v>107145</v>
      </c>
      <c r="F408" s="19">
        <v>107145</v>
      </c>
      <c r="G408" s="19">
        <v>100745</v>
      </c>
      <c r="H408" s="19">
        <v>74845</v>
      </c>
      <c r="I408" s="25" t="s">
        <v>119</v>
      </c>
      <c r="J408" s="27">
        <f t="shared" si="36"/>
        <v>26910</v>
      </c>
      <c r="K408" s="27">
        <f t="shared" si="37"/>
        <v>52410</v>
      </c>
      <c r="L408" s="27">
        <f t="shared" si="38"/>
        <v>25500</v>
      </c>
      <c r="M408" s="27">
        <f t="shared" si="39"/>
        <v>58810</v>
      </c>
      <c r="N408" s="30">
        <f t="shared" si="40"/>
        <v>0.32847607408103791</v>
      </c>
      <c r="O408" s="30">
        <f t="shared" si="41"/>
        <v>0.6314123656419417</v>
      </c>
      <c r="P408" s="52"/>
    </row>
    <row r="409" spans="1:16" ht="16.5" customHeight="1" thickBot="1" x14ac:dyDescent="0.25">
      <c r="A409" s="21" t="s">
        <v>640</v>
      </c>
      <c r="B409" s="20">
        <v>0</v>
      </c>
      <c r="C409" s="19">
        <v>154799</v>
      </c>
      <c r="D409" s="19">
        <v>147492</v>
      </c>
      <c r="E409" s="19">
        <v>146292</v>
      </c>
      <c r="F409" s="19">
        <v>146292</v>
      </c>
      <c r="G409" s="19">
        <v>143262</v>
      </c>
      <c r="H409" s="19">
        <v>143262</v>
      </c>
      <c r="I409" s="25" t="s">
        <v>641</v>
      </c>
      <c r="J409" s="27">
        <f t="shared" si="36"/>
        <v>7307</v>
      </c>
      <c r="K409" s="27">
        <f t="shared" si="37"/>
        <v>8507</v>
      </c>
      <c r="L409" s="27">
        <f t="shared" si="38"/>
        <v>1200</v>
      </c>
      <c r="M409" s="27">
        <f t="shared" si="39"/>
        <v>11537</v>
      </c>
      <c r="N409" s="30">
        <f t="shared" si="40"/>
        <v>5.495513536909153E-2</v>
      </c>
      <c r="O409" s="30">
        <f t="shared" si="41"/>
        <v>0.92547109477451406</v>
      </c>
      <c r="P409" s="52"/>
    </row>
    <row r="410" spans="1:16" ht="16.5" customHeight="1" thickBot="1" x14ac:dyDescent="0.25">
      <c r="A410" s="21" t="s">
        <v>642</v>
      </c>
      <c r="B410" s="20">
        <v>0</v>
      </c>
      <c r="C410" s="19">
        <v>160000</v>
      </c>
      <c r="D410" s="19">
        <v>143401</v>
      </c>
      <c r="E410" s="19">
        <v>143401</v>
      </c>
      <c r="F410" s="19">
        <v>143401</v>
      </c>
      <c r="G410" s="19">
        <v>143401</v>
      </c>
      <c r="H410" s="19">
        <v>118401</v>
      </c>
      <c r="I410" s="25" t="s">
        <v>643</v>
      </c>
      <c r="J410" s="27">
        <f t="shared" si="36"/>
        <v>16599</v>
      </c>
      <c r="K410" s="27">
        <f t="shared" si="37"/>
        <v>16599</v>
      </c>
      <c r="L410" s="27">
        <f t="shared" si="38"/>
        <v>0</v>
      </c>
      <c r="M410" s="27">
        <f t="shared" si="39"/>
        <v>16599</v>
      </c>
      <c r="N410" s="30">
        <f t="shared" si="40"/>
        <v>0.10374375</v>
      </c>
      <c r="O410" s="30">
        <f t="shared" si="41"/>
        <v>0.89625624999999998</v>
      </c>
      <c r="P410" s="52"/>
    </row>
    <row r="411" spans="1:16" ht="16.5" customHeight="1" thickBot="1" x14ac:dyDescent="0.25">
      <c r="A411" s="21" t="s">
        <v>644</v>
      </c>
      <c r="B411" s="20">
        <v>0</v>
      </c>
      <c r="C411" s="19">
        <v>160000</v>
      </c>
      <c r="D411" s="19">
        <v>149840</v>
      </c>
      <c r="E411" s="19">
        <v>34040</v>
      </c>
      <c r="F411" s="19">
        <v>34040</v>
      </c>
      <c r="G411" s="19">
        <v>18740</v>
      </c>
      <c r="H411" s="19">
        <v>18740</v>
      </c>
      <c r="I411" s="25" t="s">
        <v>645</v>
      </c>
      <c r="J411" s="27">
        <f t="shared" si="36"/>
        <v>10160</v>
      </c>
      <c r="K411" s="27">
        <f t="shared" si="37"/>
        <v>125960</v>
      </c>
      <c r="L411" s="27">
        <f t="shared" si="38"/>
        <v>115800</v>
      </c>
      <c r="M411" s="27">
        <f t="shared" si="39"/>
        <v>141260</v>
      </c>
      <c r="N411" s="30">
        <f t="shared" si="40"/>
        <v>0.78725000000000001</v>
      </c>
      <c r="O411" s="30">
        <f t="shared" si="41"/>
        <v>0.11712500000000001</v>
      </c>
      <c r="P411" s="52"/>
    </row>
    <row r="412" spans="1:16" ht="16.5" customHeight="1" thickBot="1" x14ac:dyDescent="0.3">
      <c r="A412" s="21" t="s">
        <v>646</v>
      </c>
      <c r="B412" s="20">
        <v>0</v>
      </c>
      <c r="C412" s="36">
        <v>349792</v>
      </c>
      <c r="D412" s="36">
        <v>321500</v>
      </c>
      <c r="E412" s="37">
        <v>0</v>
      </c>
      <c r="F412" s="37">
        <v>0</v>
      </c>
      <c r="G412" s="37">
        <v>0</v>
      </c>
      <c r="H412" s="20">
        <v>0</v>
      </c>
      <c r="I412" s="25" t="s">
        <v>25</v>
      </c>
      <c r="J412" s="27">
        <f t="shared" si="36"/>
        <v>28292</v>
      </c>
      <c r="K412" s="27">
        <f t="shared" si="37"/>
        <v>349792</v>
      </c>
      <c r="L412" s="27">
        <f t="shared" si="38"/>
        <v>321500</v>
      </c>
      <c r="M412" s="27">
        <f t="shared" si="39"/>
        <v>349792</v>
      </c>
      <c r="N412" s="30">
        <f t="shared" si="40"/>
        <v>1</v>
      </c>
      <c r="O412" s="30">
        <f t="shared" si="41"/>
        <v>0</v>
      </c>
      <c r="P412" s="52" t="s">
        <v>660</v>
      </c>
    </row>
    <row r="413" spans="1:16" ht="16.5" customHeight="1" thickBot="1" x14ac:dyDescent="0.25">
      <c r="A413" s="21" t="s">
        <v>647</v>
      </c>
      <c r="B413" s="20">
        <v>0</v>
      </c>
      <c r="C413" s="19">
        <v>155278</v>
      </c>
      <c r="D413" s="19">
        <v>149541</v>
      </c>
      <c r="E413" s="19">
        <v>149541</v>
      </c>
      <c r="F413" s="19">
        <v>149541</v>
      </c>
      <c r="G413" s="19">
        <v>113190</v>
      </c>
      <c r="H413" s="19">
        <v>113190</v>
      </c>
      <c r="I413" s="25" t="s">
        <v>648</v>
      </c>
      <c r="J413" s="27">
        <f t="shared" si="36"/>
        <v>5737</v>
      </c>
      <c r="K413" s="27">
        <f t="shared" si="37"/>
        <v>5737</v>
      </c>
      <c r="L413" s="27">
        <f t="shared" si="38"/>
        <v>0</v>
      </c>
      <c r="M413" s="27">
        <f t="shared" si="39"/>
        <v>42088</v>
      </c>
      <c r="N413" s="30">
        <f t="shared" si="40"/>
        <v>3.6946637643452386E-2</v>
      </c>
      <c r="O413" s="30">
        <f t="shared" si="41"/>
        <v>0.72895065624235245</v>
      </c>
      <c r="P413" s="53"/>
    </row>
    <row r="414" spans="1:16" ht="16.5" customHeight="1" thickBot="1" x14ac:dyDescent="0.25">
      <c r="A414" s="21" t="s">
        <v>649</v>
      </c>
      <c r="B414" s="20">
        <v>0</v>
      </c>
      <c r="C414" s="19">
        <v>159890</v>
      </c>
      <c r="D414" s="19">
        <v>150349</v>
      </c>
      <c r="E414" s="19">
        <v>5349</v>
      </c>
      <c r="F414" s="19">
        <v>5349</v>
      </c>
      <c r="G414" s="19">
        <v>5349</v>
      </c>
      <c r="H414" s="19">
        <v>5349</v>
      </c>
      <c r="I414" s="25" t="s">
        <v>650</v>
      </c>
      <c r="J414" s="27">
        <f t="shared" si="36"/>
        <v>9541</v>
      </c>
      <c r="K414" s="27">
        <f t="shared" si="37"/>
        <v>154541</v>
      </c>
      <c r="L414" s="27">
        <f t="shared" si="38"/>
        <v>145000</v>
      </c>
      <c r="M414" s="27">
        <f t="shared" si="39"/>
        <v>154541</v>
      </c>
      <c r="N414" s="30">
        <f t="shared" si="40"/>
        <v>0.96654575020326472</v>
      </c>
      <c r="O414" s="30">
        <f t="shared" si="41"/>
        <v>3.3454249796735253E-2</v>
      </c>
      <c r="P414" s="53"/>
    </row>
    <row r="415" spans="1:16" ht="16.5" customHeight="1" thickBot="1" x14ac:dyDescent="0.25">
      <c r="A415" s="21" t="s">
        <v>651</v>
      </c>
      <c r="B415" s="20">
        <v>0</v>
      </c>
      <c r="C415" s="19">
        <v>160000</v>
      </c>
      <c r="D415" s="19">
        <v>148990</v>
      </c>
      <c r="E415" s="19">
        <v>147990</v>
      </c>
      <c r="F415" s="19">
        <v>147990</v>
      </c>
      <c r="G415" s="19">
        <v>26000</v>
      </c>
      <c r="H415" s="19">
        <v>26000</v>
      </c>
      <c r="I415" s="25" t="s">
        <v>652</v>
      </c>
      <c r="J415" s="27">
        <f t="shared" si="36"/>
        <v>11010</v>
      </c>
      <c r="K415" s="27">
        <f t="shared" si="37"/>
        <v>12010</v>
      </c>
      <c r="L415" s="27">
        <f t="shared" si="38"/>
        <v>1000</v>
      </c>
      <c r="M415" s="27">
        <f t="shared" si="39"/>
        <v>134000</v>
      </c>
      <c r="N415" s="30">
        <f t="shared" si="40"/>
        <v>7.5062500000000004E-2</v>
      </c>
      <c r="O415" s="30">
        <f t="shared" si="41"/>
        <v>0.16250000000000001</v>
      </c>
      <c r="P415" s="53"/>
    </row>
    <row r="422" spans="1:15" x14ac:dyDescent="0.15">
      <c r="A422" s="26" t="s">
        <v>661</v>
      </c>
      <c r="B422" s="26" t="s">
        <v>662</v>
      </c>
    </row>
    <row r="423" spans="1:15" x14ac:dyDescent="0.15">
      <c r="A423" s="26"/>
      <c r="B423" s="26"/>
    </row>
    <row r="424" spans="1:15" s="38" customFormat="1" ht="15" customHeight="1" x14ac:dyDescent="0.25">
      <c r="A424" s="41" t="str">
        <f>A39</f>
        <v>2194989: MEJORAMIENTO DE LOS SERVICIOS EDUCATIVOS EN LA INSTITUCION EDUCATIVA SECUNDARIA DANTE NAVA DEL CENTRO POBLADO SANTA CRUZ DE PUNA AYLLU, DISTRITO DE PATAMBUCO, PROVINCIA DE SANDIA, REGION PUNO</v>
      </c>
      <c r="B424" s="42">
        <f>C39</f>
        <v>133512</v>
      </c>
      <c r="O424" s="39"/>
    </row>
    <row r="425" spans="1:15" s="38" customFormat="1" ht="15" customHeight="1" x14ac:dyDescent="0.25">
      <c r="A425" s="41" t="str">
        <f>A67</f>
        <v>2313145: MEJORAMIENTO DEL MANEJO SOSTENIBLE DE VICUÑAS EN ZONAS ALTOANDINAS DE LA REGION PUNO</v>
      </c>
      <c r="B425" s="42">
        <f>C67</f>
        <v>40000</v>
      </c>
      <c r="O425" s="40"/>
    </row>
    <row r="426" spans="1:15" s="38" customFormat="1" ht="15" customHeight="1" x14ac:dyDescent="0.2">
      <c r="A426" s="41" t="str">
        <f>A176</f>
        <v>2575299: MEJORAMIENTO DEL SERVICIO DE TRANSITABILIDAD VIAL INTERURBANA EN EL TRAMO TIQUILLACA - CONDORIRI DEL DISTRITO DE TIQUILLACA DE LA PROVINCIA DE PUNO DEL DEPARTAMENTO DE PUNO</v>
      </c>
      <c r="B426" s="42">
        <f>C176</f>
        <v>18371</v>
      </c>
    </row>
    <row r="427" spans="1:15" s="38" customFormat="1" ht="15" customHeight="1" x14ac:dyDescent="0.2">
      <c r="A427" s="41" t="str">
        <f>A207</f>
        <v>2612522: MEJORAMIENTO DE LA PRODUCCION Y TRANSFORMACION DE QUESOS EN LA ASOCIACION DE PRODUCTORES LACTI SUR DE HUAPACA SANTIAGO DEL DISTRITO DE POMATA, PROVINCIA DE CHUCUITO Y DEPARTAMENTO DE PUN</v>
      </c>
      <c r="B427" s="42">
        <f>C207</f>
        <v>61500</v>
      </c>
    </row>
    <row r="428" spans="1:15" s="38" customFormat="1" ht="15" customHeight="1" x14ac:dyDescent="0.2">
      <c r="A428" s="41" t="str">
        <f>A208</f>
        <v>2612541: MEJORAMIENTO DE LA PRODUCCION Y COMERCIALIZACION DE DERIVADOS LACTEOS EN LA ASOCIACION DE PRODUCTORES AGROPECUARIOS EMPRENDEDORES LOS CLAVELES DE SAN SALVADOR HUATASANI, DEL DISTRITO DE HUATASANI, PROVINCIA DE HUANCANE Y REGION DE PUNO</v>
      </c>
      <c r="B428" s="42">
        <f>C208</f>
        <v>62000</v>
      </c>
    </row>
    <row r="429" spans="1:15" s="38" customFormat="1" ht="15" customHeight="1" x14ac:dyDescent="0.2">
      <c r="A429" s="41" t="str">
        <f>A222</f>
        <v>2624292: MEJORAMIENTO DE LOS SERVICIOS EDUCACION SUPERIOR PEDAGOGICA EN EL INSTITUTO DE EDUCACION SUPERIOR PEDAGOGICO PUBLICO DE AYAVIRI DEL DISTRITO DE AYAVIRI DE LA PROVINCIA DE MELGAR DEL DEPARTAMENTO DE PUNO</v>
      </c>
      <c r="B429" s="42">
        <f>C222</f>
        <v>58627</v>
      </c>
    </row>
    <row r="430" spans="1:15" s="38" customFormat="1" ht="15" customHeight="1" x14ac:dyDescent="0.2">
      <c r="A430" s="41" t="str">
        <f>A223</f>
        <v>2625216: MEJORAMIENTO DE LOS SERVICIOS ECOSISTEMICOS EN EL RIO TOROCOCHA DE LA LOCALIDAD DE JULIACA DISTRITO DE JULIACA DE LA PROVINCIA DE SAN ROMAN DEL DEPARTAMENTO DE PUNO</v>
      </c>
      <c r="B430" s="42">
        <f>C223</f>
        <v>100000</v>
      </c>
    </row>
    <row r="431" spans="1:15" s="38" customFormat="1" ht="15" customHeight="1" x14ac:dyDescent="0.2">
      <c r="A431" s="41" t="str">
        <f>A309</f>
        <v>2658446: PROYECTOS PARA EL DESARROLLO LOCAL</v>
      </c>
      <c r="B431" s="42">
        <f>C309</f>
        <v>1376515</v>
      </c>
    </row>
    <row r="432" spans="1:15" s="38" customFormat="1" ht="15" customHeight="1" x14ac:dyDescent="0.2">
      <c r="A432" s="41" t="str">
        <f>A310</f>
        <v>2659573: MEJORAMIENTO DEL SERVICIO DE EDUCACION PRIMARIA EN I.E. 73003 DISTRITO DE HUANCANE DE LA PROVINCIA DE HUANCANE DEL DEPARTAMENTO DE PUNO</v>
      </c>
      <c r="B432" s="42">
        <f>C310</f>
        <v>81646</v>
      </c>
    </row>
    <row r="433" spans="1:2" s="38" customFormat="1" ht="15" customHeight="1" x14ac:dyDescent="0.2">
      <c r="A433" s="41" t="str">
        <f>A320</f>
        <v>2663002: MEJORAMIENTO DEL SERVICIO DE EDUCACION SECUNDARIA EN I.E. HUAPACA SAN MIGUEL DE CENTRO POBLADO HUAPACA SAN MIGUEL DISTRITO DE POMATA DE LA PROVINCIA DE CHUCUITO DEL DEPARTAMENTO DE PUNO</v>
      </c>
      <c r="B433" s="42">
        <f>C320</f>
        <v>292573</v>
      </c>
    </row>
    <row r="434" spans="1:2" s="38" customFormat="1" ht="15" customHeight="1" x14ac:dyDescent="0.2">
      <c r="A434" s="41" t="str">
        <f>A333</f>
        <v>2676418: MEJORAMIENTO DE UNA PLANTA PROCESADORA DE LECHE PARA LA ELABORACION DE QUESOS FRESCOS TIPO PARIA DE LA ASOCIACION DE PRODUCTORES AGROPECUARIOS VILLA ACASSO APROAVA, DISTRITO DE PILCUYO, PROVINCIA DE EL COLLAO, REGION DE PUNO</v>
      </c>
      <c r="B434" s="42">
        <f>C333</f>
        <v>65438</v>
      </c>
    </row>
    <row r="435" spans="1:2" s="38" customFormat="1" ht="15" customHeight="1" x14ac:dyDescent="0.2">
      <c r="A435" s="41" t="str">
        <f>A366</f>
        <v>2681133: MEJORAMIENTO DE LA PRODUCCION DE QUESOS TIPO PARIA PASTEURIZADO DE LA CENTRAL DE ASOCIACIONES GANADEROS LECHEROS Y AGRARIOS DEL DISTRITO DE VILQUE, DISTRITO DE VILQUE, PROVINCIA DE PUNO, REGION PUNO</v>
      </c>
      <c r="B435" s="42">
        <f>C366</f>
        <v>2795</v>
      </c>
    </row>
    <row r="436" spans="1:2" s="38" customFormat="1" ht="15" customHeight="1" x14ac:dyDescent="0.2">
      <c r="A436" s="41" t="str">
        <f>A369</f>
        <v>2681274: MEJORAMIENTO DEL PROCESO DE PRODUCCION DE ARTICULOS MECANICOS EN LA CORPORACION MARSAD S.A.C. DEL DISTRITO DE PUNO, PROVINCIA DE PUNO, REGION DE PUNO</v>
      </c>
      <c r="B436" s="42">
        <f>C369</f>
        <v>335890</v>
      </c>
    </row>
    <row r="437" spans="1:2" s="38" customFormat="1" ht="15" customHeight="1" x14ac:dyDescent="0.2">
      <c r="A437" s="41" t="str">
        <f>A388</f>
        <v>2694640: ADQUISICION DE EQUIPO ECOGRAFO, EQUIPO ECOGRAFO, EQUIPO ECOGRAFO Y EQUIPO ECOGRAFO; ADEMAS DE OTROS ACTIVOS EN NUEVE ESTABLECIMIENTOS DE SALUD I.2, ESTABLECIMIENTOS DE SALUD I.3, ESTABLECIMIENTOS DE SALUD I.1 A NIVEL PROVINCIAL (PUNO - MELGAR)</v>
      </c>
      <c r="B437" s="42">
        <f>C388</f>
        <v>36445</v>
      </c>
    </row>
    <row r="438" spans="1:2" s="38" customFormat="1" ht="15" customHeight="1" x14ac:dyDescent="0.2">
      <c r="A438" s="41" t="str">
        <f t="shared" ref="A438:A439" si="42">A389</f>
        <v>2694772: 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v>
      </c>
      <c r="B438" s="42">
        <f>C389</f>
        <v>39485</v>
      </c>
    </row>
    <row r="439" spans="1:2" s="38" customFormat="1" ht="15" customHeight="1" x14ac:dyDescent="0.2">
      <c r="A439" s="41" t="str">
        <f t="shared" si="42"/>
        <v>2695768: REPARACION DE SALA DE CUIDADOS INTENSIVOS; EN EL(LA) CARLOS MONJE MEDRANO DISTRITO DE JULIACA, PROVINCIA SAN ROMAN, DEPARTAMENTO PUNO</v>
      </c>
      <c r="B439" s="42">
        <f>C390</f>
        <v>114255</v>
      </c>
    </row>
    <row r="440" spans="1:2" s="38" customFormat="1" ht="15" customHeight="1" x14ac:dyDescent="0.2">
      <c r="A440" s="41" t="str">
        <f>A396</f>
        <v>2707256: ADQUISICION DE SISTEMA DE VIDEO GASTROENDOSCOPIA, GRUPO ELECTROGENO, EQUIPO ECOGRAFO - ULTRASONIDO Y LAVADORA SECADORA AUTOMATICA; ADEMAS DE OTROS ACTIVOS EN EL(LA) CARLOS MONJE MEDRANO DISTRITO DE JULIACA, PROVINCIA SAN ROMAN, DEPARTAMENTO PUNO</v>
      </c>
      <c r="B440" s="42">
        <f>C396</f>
        <v>80738</v>
      </c>
    </row>
    <row r="441" spans="1:2" s="38" customFormat="1" ht="15" customHeight="1" x14ac:dyDescent="0.2">
      <c r="A441" s="41" t="str">
        <f>A400</f>
        <v>2714101: REMODELACION DE AMBIENTE ADMINISTRATIVO; CONSTRUCCION DE AMBIENTE COMPLEMENTARIO; ADQUISICION DE EMBARCACION Y BARCAZA; ADEMAS DE OTROS ACTIVOS EN EL(LA) CENTRO ACUICOLA DE LLAQUEPA Y BARCO - DIREPRO DISTRITO DE CHUCUITO, PROVINCIA PUNO, DEPARTAMENTO PUNO</v>
      </c>
      <c r="B441" s="42">
        <f>C400</f>
        <v>45000</v>
      </c>
    </row>
    <row r="442" spans="1:2" s="38" customFormat="1" ht="15" customHeight="1" x14ac:dyDescent="0.2">
      <c r="A442" s="41" t="str">
        <f>A403</f>
        <v>2717149: MEJORAMIENTO EN LA PRODUCCION DE HILOS ARTESANALES DE LA ASOCIACION DE PRODUCTORES DE CAMELIDOS SUDAMERICANOS, ARTESANAL Y AGRICOLA TIKARIY PAMPA DEL DIST, DISTRITO MACUSANI, PROVINCIA CARABAYA, REGION PUNO</v>
      </c>
      <c r="B442" s="42">
        <f>C403</f>
        <v>158642</v>
      </c>
    </row>
    <row r="443" spans="1:2" s="38" customFormat="1" ht="15" customHeight="1" x14ac:dyDescent="0.2">
      <c r="A443" s="41" t="str">
        <f>A412</f>
        <v>2717158: MEJORAMIENTO DE LA PRODUCCION DE PACAS EN LA ASOCIACION DE PRODUCTORES AGROPECUARIOS Y FORESTALES SAN PEDRO DE FRAYLIMA, DISTRITO DE AZANGARO, PROVINCIA AZANGARO Y DEPARTAMENTO DE PUNO</v>
      </c>
      <c r="B443" s="42">
        <f>C412</f>
        <v>349792</v>
      </c>
    </row>
    <row r="444" spans="1:2" s="38" customFormat="1" ht="15" customHeight="1" x14ac:dyDescent="0.25">
      <c r="A444" s="43" t="s">
        <v>666</v>
      </c>
      <c r="B444" s="44">
        <f>SUM(B424:B443)</f>
        <v>3453224</v>
      </c>
    </row>
    <row r="448" spans="1:2" x14ac:dyDescent="0.15">
      <c r="A448" s="26" t="s">
        <v>663</v>
      </c>
      <c r="B448" s="26" t="s">
        <v>662</v>
      </c>
    </row>
    <row r="449" spans="1:2" ht="23.25" customHeight="1" x14ac:dyDescent="0.15">
      <c r="A449" s="26"/>
      <c r="B449" s="26"/>
    </row>
    <row r="450" spans="1:2" s="45" customFormat="1" ht="15" customHeight="1" x14ac:dyDescent="0.25">
      <c r="A450" s="41" t="str">
        <f>A30</f>
        <v>2185578: MEJORAMIENTO DE LA CARRETERA DV. DESAGUADERO (EMP PE 36A) - KELLUYO - PISACOMA, PROVINCIA DE CHUCUITO - PUNO</v>
      </c>
      <c r="B450" s="46">
        <f>C30</f>
        <v>67139</v>
      </c>
    </row>
    <row r="451" spans="1:2" s="45" customFormat="1" ht="15" customHeight="1" x14ac:dyDescent="0.25">
      <c r="A451" s="41" t="str">
        <f>A42</f>
        <v>2196834: MEJORAMIENTO DE LOS SERVICIOS DE EDUCACION INICIAL EN LA I.E.I. CUCURAYA DE LA COMUNIDAD DE CUCURAYA, DISTRITO DE TILALI, PROVINCIA DE MOHO - PUNO.</v>
      </c>
      <c r="B451" s="46">
        <f>C42</f>
        <v>728529</v>
      </c>
    </row>
    <row r="452" spans="1:2" s="45" customFormat="1" ht="15" customHeight="1" x14ac:dyDescent="0.25">
      <c r="A452" s="41" t="str">
        <f>A73</f>
        <v>2325694: MEJORAMIENTO DE LA TECNIFICACION DE PROCESOS PARA LA CADENA PRODUCTIVA DE LA LECHE EN LA REGION PUNO</v>
      </c>
      <c r="B452" s="46">
        <f>C73</f>
        <v>30000</v>
      </c>
    </row>
    <row r="453" spans="1:2" s="45" customFormat="1" ht="15" customHeight="1" x14ac:dyDescent="0.25">
      <c r="A453" s="41" t="str">
        <f>A79</f>
        <v>2343538: CREACION DE LOS SERVICIOS DE PROMOCION DEL COMERCIO EXTERIOR EN LA ZEEDE PUNO - REGION DE PUNO</v>
      </c>
      <c r="B453" s="46">
        <f>C79</f>
        <v>46429</v>
      </c>
    </row>
    <row r="454" spans="1:2" s="45" customFormat="1" ht="15" customHeight="1" x14ac:dyDescent="0.25">
      <c r="A454" s="41" t="str">
        <f>A94</f>
        <v>2393101: MEJORAMIENTO Y AMPLIACION DEL SERVICIO ADMINISTRATIVO DE LA UNIDAD DE GESTION EDUCATIVA LOCAL MELGAR EN EL DISTRITO DE AYAVIRI, PROVINCIA DE MELGAR, REGION PUNO</v>
      </c>
      <c r="B454" s="46">
        <f>C94</f>
        <v>32592</v>
      </c>
    </row>
    <row r="455" spans="1:2" s="45" customFormat="1" ht="15" customHeight="1" x14ac:dyDescent="0.25">
      <c r="A455" s="47" t="str">
        <f>A142</f>
        <v>2518131: AMPLIACION Y MEJORAMIENTO DE LOS SERVICIOS DE ADMINISTRACION DE JUSTICIA DE LOS ORGANOS JURISDICCIONALES DE LA SEDE CENTRAL DEL DISTRITO JUDICIAL DE PUNO, DISTRITO DE PUNO - PROVINCIA DE PUNO - DEPARTAMENTO DE PUNO</v>
      </c>
      <c r="B455" s="46">
        <f>C142</f>
        <v>500000</v>
      </c>
    </row>
    <row r="456" spans="1:2" s="45" customFormat="1" ht="15" customHeight="1" x14ac:dyDescent="0.25">
      <c r="A456" s="41" t="str">
        <f>A152</f>
        <v>2533866: RECUPERACION DE ECOSISTEMAS DEGRADADOS POR VERTIMIENTO DE AGUAS RESIDUALES Y RESIDUOS SOLIDOS EN LA DESEMBOCADURA DEL RIO COATA, EN LOS DISTRITOS DE HUATA, COATA, CAPACHICA, JULIACA Y SAN MIGUEL EN LAS PROVINCIAS DE PUNO Y SAN ROMAN DEL DEPARTAMENTO DE PUNO</v>
      </c>
      <c r="B456" s="46">
        <f>C152</f>
        <v>32099</v>
      </c>
    </row>
    <row r="457" spans="1:2" s="45" customFormat="1" ht="15" customHeight="1" x14ac:dyDescent="0.25">
      <c r="A457" s="41" t="str">
        <f>A194</f>
        <v>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v>
      </c>
      <c r="B457" s="46">
        <f>C194</f>
        <v>2308286</v>
      </c>
    </row>
    <row r="458" spans="1:2" s="45" customFormat="1" ht="15" customHeight="1" x14ac:dyDescent="0.25">
      <c r="A458" s="41" t="str">
        <f>A197</f>
        <v>2603160: MEJORAMIENTO DE LOS SERVICIOS DE APOYO AL DESARROLLO PRODUCTIVO EN 4 UNIDADES PRODUCTORAS 4 DISTRITOS DE LAS PROVINCIAS DE SANDIA, CARABAYA DEL DEPARTAMENTO DE PUNO</v>
      </c>
      <c r="B458" s="46">
        <f>C197</f>
        <v>100000</v>
      </c>
    </row>
    <row r="459" spans="1:2" s="45" customFormat="1" ht="15" customHeight="1" x14ac:dyDescent="0.25">
      <c r="A459" s="41" t="str">
        <f>A214</f>
        <v>2617364: MEJORAMIENTO Y AMPLIACION DEL SERVICIO DE EDUCACION INICIAL, SERVICIO DE EDUCACION PRIMARIA Y SERVICIO DE EDUCACION SECUNDARIA EN I.E. 27 SANTA LUCIA FE Y ALEGRIA DISTRITO DE MACARI DE LA PROVINCIA DE MELGAR DEL DEPARTAMENTO DE PUNO</v>
      </c>
      <c r="B459" s="46">
        <f>C214</f>
        <v>218556</v>
      </c>
    </row>
    <row r="460" spans="1:2" s="45" customFormat="1" ht="15" customHeight="1" x14ac:dyDescent="0.25">
      <c r="A460" s="41" t="str">
        <f>A224</f>
        <v>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v>
      </c>
      <c r="B460" s="46">
        <f>C224</f>
        <v>61203</v>
      </c>
    </row>
    <row r="461" spans="1:2" s="45" customFormat="1" ht="15" customHeight="1" x14ac:dyDescent="0.25">
      <c r="A461" s="41" t="str">
        <f>A234</f>
        <v>2637997: MEJORAMIENTO DEL SERVICIO DE EDUCACION SECUNDARIA EN I.E. UMUCHI DISTRITO DE MOHO DE LA PROVINCIA DE MOHO DEL DEPARTAMENTO DE PUNO</v>
      </c>
      <c r="B461" s="46">
        <f>C234</f>
        <v>304829</v>
      </c>
    </row>
    <row r="462" spans="1:2" s="45" customFormat="1" ht="15" customHeight="1" x14ac:dyDescent="0.25">
      <c r="A462" s="41" t="str">
        <f>A235</f>
        <v>2638009: MEJORAMIENTO DEL SERVICIO DE EDUCACION SECUNDARIA EN I.E. HUARAYA DE CENTRO POBLADO HUARAYA DISTRITO DE MOHO DE LA PROVINCIA DE MOHO DEL DEPARTAMENTO DE PUNO</v>
      </c>
      <c r="B462" s="46">
        <f>C235</f>
        <v>500172</v>
      </c>
    </row>
    <row r="463" spans="1:2" s="45" customFormat="1" ht="15" customHeight="1" x14ac:dyDescent="0.25">
      <c r="A463" s="41" t="str">
        <f>A244</f>
        <v>2645524: MEJORAMIENTO DE LOS SERVICIOS TURISTICOS PUBLICOS EN RECURSOS TURISTICOS EN 4 UNIDADES PRODUCTORAS 4 DISTRITOS DE 3 PROVINCIAS DEL DEPARTAMENTO DE PUNO</v>
      </c>
      <c r="B463" s="46">
        <f>C244</f>
        <v>1349649</v>
      </c>
    </row>
    <row r="464" spans="1:2" s="45" customFormat="1" ht="15" customHeight="1" x14ac:dyDescent="0.25">
      <c r="A464" s="41" t="str">
        <f>A245</f>
        <v>2646095: CONSTRUCCION DE CAMPO DEPORTIVO Y SERVICIOS HIGIENICOS Y/O VESTIDORES; REPARACION DE SERVICIOS HIGIENICOS Y/O VESTIDORES Y TRIBUNA Y/O PALCO; ADEMAS DE OTROS ACTIVOS EN EL(LA) ESTADIO MUNICIPAL DE CONIMA DISTRITO DE CONIMA, PROVINCIA MOHO, DEPARTAMENTO PUNO</v>
      </c>
      <c r="B464" s="46">
        <f>C245</f>
        <v>25425</v>
      </c>
    </row>
    <row r="465" spans="1:2" s="45" customFormat="1" ht="15" customHeight="1" x14ac:dyDescent="0.25">
      <c r="A465" s="41" t="str">
        <f>A265</f>
        <v>2649804: MEJORAMIENTO DEL SERVICIO DE EDUCACION INICIAL EN I.E. 50 DISTRITO DE ORURILLO DE LA PROVINCIA DE MELGAR DEL DEPARTAMENTO DE PUNO</v>
      </c>
      <c r="B465" s="46">
        <f>C265</f>
        <v>400000</v>
      </c>
    </row>
    <row r="466" spans="1:2" s="45" customFormat="1" ht="15" customHeight="1" x14ac:dyDescent="0.25">
      <c r="A466" s="41" t="str">
        <f>A277</f>
        <v>2650473: CONSTRUCCION DE AULA DE EDUCACION SECUNDARIA, LABORATORIO Y/O TALLER, CERCO Y/O PORTADA Y SERVICIOS HIGIENICOS Y/O VESTIDORES; ADEMAS DE OTROS ACTIVOS EN EL(LA) I.E. AGROINDUSTRIAL DISTRITO DE PUTINA, PROVINCIA SAN ANTONIO DE PUTINA, DEPARTAMENTO PUNO</v>
      </c>
      <c r="B466" s="46">
        <f>C277</f>
        <v>2394005</v>
      </c>
    </row>
    <row r="467" spans="1:2" s="45" customFormat="1" ht="15" customHeight="1" x14ac:dyDescent="0.25">
      <c r="A467" s="41" t="str">
        <f>A367</f>
        <v>2681141: MEJORAMIENTO DEL SERVICIO DE ATENCION DE SALUD BASICOS EN HUACULLANI DISTRITO DE HUACULLANI DE LA PROVINCIA DE CHUCUITO DEL DEPARTAMENTO DE PUNO</v>
      </c>
      <c r="B467" s="46">
        <f>C367</f>
        <v>100000</v>
      </c>
    </row>
    <row r="468" spans="1:2" s="45" customFormat="1" ht="15" customHeight="1" x14ac:dyDescent="0.25">
      <c r="A468" s="41" t="str">
        <f>A375</f>
        <v>2684028: ADQUISICION DE AMBULANCIA URBANA; EN ONCE ESTABLECIMIENTOS DE SALUD II.1, ESTABLECIMIENTOS DE SALUD II.2 A NIVEL DEPARTAMENTAL (PUNO)</v>
      </c>
      <c r="B468" s="46">
        <f>C375</f>
        <v>31336</v>
      </c>
    </row>
    <row r="469" spans="1:2" ht="15" x14ac:dyDescent="0.25">
      <c r="A469" s="43" t="s">
        <v>666</v>
      </c>
      <c r="B469" s="44">
        <f>SUM(B450:B468)</f>
        <v>9230249</v>
      </c>
    </row>
    <row r="472" spans="1:2" x14ac:dyDescent="0.15">
      <c r="A472" s="26" t="s">
        <v>664</v>
      </c>
      <c r="B472" s="26" t="s">
        <v>662</v>
      </c>
    </row>
    <row r="473" spans="1:2" ht="22.5" customHeight="1" x14ac:dyDescent="0.15">
      <c r="A473" s="26"/>
      <c r="B473" s="26"/>
    </row>
    <row r="474" spans="1:2" s="45" customFormat="1" ht="15" customHeight="1" x14ac:dyDescent="0.25">
      <c r="A474" s="41" t="str">
        <f>A117</f>
        <v>2470517: MEJORAMIENTO DE LOS SERVICIOS DE SALUD DEL CENTRO DE SALUD COPANI DE LA MICRO RED COPANI, RED DE SALUD YUNGUYO, DISTRITO DE COPANI - PROVINCIA DE YUNGUYO - DEPARTAMENTO DE PUNO</v>
      </c>
      <c r="B474" s="46">
        <f>C117</f>
        <v>7374992</v>
      </c>
    </row>
    <row r="475" spans="1:2" s="45" customFormat="1" ht="15" customHeight="1" x14ac:dyDescent="0.25">
      <c r="A475" s="41" t="str">
        <f>A122</f>
        <v>2476464: MEJORAMIENTO Y AMPLIACION DE LOS SERVICIOS DE SALUD DEL CENTRO DE SALUD KELLUYO DEL DISTRITO DE KELLUYO - PROVINCIA DE CHUCUITO - DEPARTAMENTO DE PUNO</v>
      </c>
      <c r="B475" s="46">
        <f>C122</f>
        <v>184669</v>
      </c>
    </row>
    <row r="476" spans="1:2" s="45" customFormat="1" ht="15" customHeight="1" x14ac:dyDescent="0.25">
      <c r="A476" s="41" t="str">
        <f>A130</f>
        <v>2492442: MEJORAMIENTO Y AMPLIACION DE LOS SERVICIOS DE AGUA POTABLE Y ALCANTARILLADO SANITARIO EN LA LOCALIDAD DE CARACOTO DEL DISTRITO DE CARACOTO - PROVINCIA DE SAN ROMAN - DEPARTAMENTO DE PUNO</v>
      </c>
      <c r="B476" s="46">
        <f>C130</f>
        <v>11000</v>
      </c>
    </row>
    <row r="477" spans="1:2" s="45" customFormat="1" ht="15" customHeight="1" x14ac:dyDescent="0.25">
      <c r="A477" s="41" t="str">
        <f>A134</f>
        <v>2501244: MEJORAMIENTO DEL SERVICIO EDUCATIVO DEL NIVEL SECUNDARIA DE LA I.E. AGROPECUARIO PAMPA YANAMAYO DEL DISTRITO DE ALTO INAMBARI - PROVINCIA DE SANDIA - DEPARTAMENTO DE PUNO</v>
      </c>
      <c r="B477" s="46">
        <f>C134</f>
        <v>1038097</v>
      </c>
    </row>
    <row r="478" spans="1:2" s="45" customFormat="1" ht="15" customHeight="1" x14ac:dyDescent="0.25">
      <c r="A478" s="41" t="str">
        <f>A141</f>
        <v>2517448: MEJORAMIENTO DEL SERVICIO DE SALUD EN EL CENTRO DE SALUD SAN GABAN, DISTRITO DE SAN GABAN - PROVINCIA DE CARABAYA - DEPARTAMENTO DE PUNO</v>
      </c>
      <c r="B478" s="46">
        <f>C141</f>
        <v>200000</v>
      </c>
    </row>
    <row r="479" spans="1:2" s="45" customFormat="1" ht="15" customHeight="1" x14ac:dyDescent="0.25">
      <c r="A479" s="41" t="str">
        <f>A151</f>
        <v>2532916: CREACION DEL SERVICIO DE PROTECCION EN RIBERAS DEL RIO LORIPONGO Y MOLLA AMBOS MARGENES VULNERABLES ANTE EL PELIGRO DE INUNDACION EN LA LOCALIDAD DE LARAQUERI Y CENTRO POBLADO DE HUARIJUYO DEL DISTRITO DE PICHACANI - PROVINCIA DE PUNO - DEPARTAMENTO DE PUNO</v>
      </c>
      <c r="B479" s="46">
        <f>C151</f>
        <v>19658</v>
      </c>
    </row>
    <row r="480" spans="1:2" s="45" customFormat="1" ht="15" customHeight="1" x14ac:dyDescent="0.25">
      <c r="A480" s="41" t="str">
        <f>A156</f>
        <v>2539673: MEJORAMIENTO Y AMPLIACION DEL SERVICIO DE EDUCACION SUPERIOR TECNOLOGICA EN EL INSTITUTO SUPERIOR TECNOLOGICO PUBLICO DE JULI, DISTRITO DE JULI - PROVINCIA DE CHUCUITO - DEPARTAMENTO DE PUNO</v>
      </c>
      <c r="B480" s="46">
        <f>C156</f>
        <v>2000000</v>
      </c>
    </row>
    <row r="481" spans="1:2" s="45" customFormat="1" ht="15" customHeight="1" x14ac:dyDescent="0.25">
      <c r="A481" s="41" t="str">
        <f>A172</f>
        <v>2570365: MEJORAMIENTO DEL INSTITUTO DE EDUCACION SUPERIOR TECNOLOGICO PUBLICO SANTA LUCIA DEL DISTRITO DE SANTA LUCIA - PROVINCIA DE LAMPA - DEPARTAMENTO DE PUNO</v>
      </c>
      <c r="B481" s="46">
        <f>C172</f>
        <v>4863</v>
      </c>
    </row>
    <row r="482" spans="1:2" s="45" customFormat="1" ht="15" customHeight="1" x14ac:dyDescent="0.25">
      <c r="A482" s="41" t="str">
        <f>A181</f>
        <v>2585541: CREACION DEL SERVICIO DE TRANSITABILIDAD VIAL INTERURBANA EN EL PUENTE CARROZABLE SANTA ROSA DE HUAYLLATA ENTRE LOS DISTRITOS DE ILAVE Y PILCUYO DEL DISTRITO DE ILAVE DE LA PROVINCIA DE EL COLLAO DEL DEPARTAMENTO DE PUNO</v>
      </c>
      <c r="B482" s="46">
        <f>C181</f>
        <v>391951</v>
      </c>
    </row>
    <row r="483" spans="1:2" s="45" customFormat="1" ht="15" customHeight="1" x14ac:dyDescent="0.25">
      <c r="A483" s="41" t="str">
        <f>A189</f>
        <v>2593683: REPARACION DE PISTA DE ATLETISMO (COMPETENCIA); ADQUISICION DE TORRE DE ILUMINACION; EN EL(LA) ESTADIO ENRIQUE TORRES BELON DEL DISTRITO DE PUNO, PROVINCIA PUNO, DEPARTAMENTO PUNO</v>
      </c>
      <c r="B483" s="46">
        <f>C189</f>
        <v>290270</v>
      </c>
    </row>
    <row r="484" spans="1:2" s="45" customFormat="1" ht="15" customHeight="1" x14ac:dyDescent="0.25">
      <c r="A484" s="41" t="str">
        <f>A191</f>
        <v>2599489: CONSTRUCCION DE CONSULTORIO; ADQUISICION DE EQUIPOS BIOMEDICOS Y MOBILIARIO CLINICO; EN EL(LA) HOSPITAL SANDIA DISTRITO DE SANDIA, PROVINCIA SANDIA, DEPARTAMENTO PUNO</v>
      </c>
      <c r="B484" s="46">
        <f>C191</f>
        <v>1750696</v>
      </c>
    </row>
    <row r="485" spans="1:2" s="45" customFormat="1" ht="15" customHeight="1" x14ac:dyDescent="0.25">
      <c r="A485" s="41" t="str">
        <f>A220</f>
        <v>2623878: MEJORAMIENTO DEL SERVICIO DE ATENCION DE SALUD BASICOS EN CABANILLA DISTRITO DE CABANILLA DE LA PROVINCIA DE LAMPA DEL DEPARTAMENTO DE PUNO</v>
      </c>
      <c r="B485" s="46">
        <f>C220</f>
        <v>656461</v>
      </c>
    </row>
    <row r="486" spans="1:2" s="45" customFormat="1" ht="15" customHeight="1" x14ac:dyDescent="0.25">
      <c r="A486" s="41" t="str">
        <f>A221</f>
        <v>2623879: MEJORAMIENTO DEL SERVICIO DE ATENCION DE SALUD BASICOS EN LARAQUERI DISTRITO DE PICHACANI DE LA PROVINCIA DE PUNO DEL DEPARTAMENTO DE PUNO</v>
      </c>
      <c r="B486" s="46">
        <f>C221</f>
        <v>606461</v>
      </c>
    </row>
    <row r="487" spans="1:2" s="45" customFormat="1" ht="15" customHeight="1" x14ac:dyDescent="0.25">
      <c r="A487" s="41" t="str">
        <f>A241</f>
        <v>2645444: REPARACION DE TRIBUNA Y/O PALCO; CONSTRUCCION DE CAMPO DEPORTIVO; EN EL(LA) ESTADIO MUNICIPAL DE PILCUYO DISTRITO DE PILCUYO, PROVINCIA EL COLLAO, DEPARTAMENTO PUNO</v>
      </c>
      <c r="B487" s="46">
        <f>C241</f>
        <v>48882</v>
      </c>
    </row>
    <row r="488" spans="1:2" s="45" customFormat="1" ht="15" customHeight="1" x14ac:dyDescent="0.25">
      <c r="A488" s="41" t="str">
        <f>A246</f>
        <v>2646096: CONSTRUCCION DE TRIBUNA Y/O PALCO; REPARACION DE TRIBUNA Y/O PALCO Y CAMPO DEPORTIVO; EN EL(LA) ESTADIO JOSE CARLOS MARIATEGUI DISTRITO DE YUNGUYO, PROVINCIA YUNGUYO, DEPARTAMENTO PUNO</v>
      </c>
      <c r="B488" s="46">
        <f>C246</f>
        <v>2054253</v>
      </c>
    </row>
    <row r="489" spans="1:2" s="45" customFormat="1" ht="15" customHeight="1" x14ac:dyDescent="0.25">
      <c r="A489" s="41" t="str">
        <f>A248</f>
        <v>2646109: REPARACION DE TRIBUNA Y/O PALCO; CONSTRUCCION DE CAMPO DEPORTIVO Y TRIBUNA Y/O PALCO; EN EL(LA) ESTADIO MUNICIPAL DE JULI DISTRITO DE JULI, PROVINCIA CHUCUITO, DEPARTAMENTO PUNO</v>
      </c>
      <c r="B489" s="46">
        <f>C248</f>
        <v>4474004</v>
      </c>
    </row>
    <row r="490" spans="1:2" s="45" customFormat="1" ht="15" customHeight="1" x14ac:dyDescent="0.25">
      <c r="A490" s="41" t="str">
        <f>A261</f>
        <v>2649797: MEJORAMIENTO DEL SERVICIO DE EDUCACION INICIAL EN I.E. 1450 HUELLITAS DE MONTESSORI MIRAMAR DISTRITO DE MOHO DE LA PROVINCIA DE MOHO DEL DEPARTAMENTO DE PUNO</v>
      </c>
      <c r="B490" s="46">
        <f>C261</f>
        <v>29298</v>
      </c>
    </row>
    <row r="491" spans="1:2" s="45" customFormat="1" ht="15" customHeight="1" x14ac:dyDescent="0.25">
      <c r="A491" s="41" t="str">
        <f>A376</f>
        <v>2684838: MEJORAMIENTO Y AMPLIACION DEL SERVICIO DE LIMPIEZA PUBLICA EN 7 UNIDADES PRODUCTORAS 7 DISTRITOS DE LA PROVINCIA DE MELGAR DEL DEPARTAMENTO DE PUNO</v>
      </c>
      <c r="B491" s="46">
        <f>C376</f>
        <v>11000</v>
      </c>
    </row>
    <row r="492" spans="1:2" ht="15" x14ac:dyDescent="0.25">
      <c r="A492" s="54" t="s">
        <v>666</v>
      </c>
      <c r="B492" s="44">
        <f>SUM(B474:B491)</f>
        <v>21146555</v>
      </c>
    </row>
  </sheetData>
  <mergeCells count="32">
    <mergeCell ref="A472:A473"/>
    <mergeCell ref="B472:B473"/>
    <mergeCell ref="P14:P15"/>
    <mergeCell ref="O14:O15"/>
    <mergeCell ref="A422:A423"/>
    <mergeCell ref="B422:B423"/>
    <mergeCell ref="A448:A449"/>
    <mergeCell ref="B448:B449"/>
    <mergeCell ref="I14:I15"/>
    <mergeCell ref="J14:J15"/>
    <mergeCell ref="K14:K15"/>
    <mergeCell ref="M14:M15"/>
    <mergeCell ref="L14:L15"/>
    <mergeCell ref="N14:N15"/>
    <mergeCell ref="A14:A15"/>
    <mergeCell ref="B14:B15"/>
    <mergeCell ref="C14:C15"/>
    <mergeCell ref="D14:D15"/>
    <mergeCell ref="E14:E15"/>
    <mergeCell ref="F14:H14"/>
    <mergeCell ref="A7:I7"/>
    <mergeCell ref="A8:I8"/>
    <mergeCell ref="A9:I9"/>
    <mergeCell ref="A10:I10"/>
    <mergeCell ref="A11:I11"/>
    <mergeCell ref="A12:I12"/>
    <mergeCell ref="A1:I1"/>
    <mergeCell ref="A2:I2"/>
    <mergeCell ref="A3:I3"/>
    <mergeCell ref="A4:I4"/>
    <mergeCell ref="A5:I5"/>
    <mergeCell ref="A6:I6"/>
  </mergeCells>
  <conditionalFormatting sqref="K16:K415">
    <cfRule type="top10" dxfId="4" priority="8" rank="10"/>
  </conditionalFormatting>
  <conditionalFormatting sqref="O16:O415">
    <cfRule type="cellIs" dxfId="3" priority="4" operator="equal">
      <formula>0</formula>
    </cfRule>
  </conditionalFormatting>
  <conditionalFormatting sqref="P16:P412">
    <cfRule type="containsText" dxfId="2" priority="2" operator="containsText" text="NO-PMI">
      <formula>NOT(ISERROR(SEARCH("NO-PMI",P16)))</formula>
    </cfRule>
  </conditionalFormatting>
  <conditionalFormatting sqref="P14:P415">
    <cfRule type="containsText" dxfId="1" priority="1" operator="containsText" text="si-pmi">
      <formula>NOT(ISERROR(SEARCH("si-pmi",P14)))</formula>
    </cfRule>
  </conditionalFormatting>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workbookViewId="0">
      <selection activeCell="A3" sqref="A3"/>
    </sheetView>
  </sheetViews>
  <sheetFormatPr baseColWidth="10" defaultRowHeight="15" x14ac:dyDescent="0.25"/>
  <cols>
    <col min="1" max="1" width="14.42578125" customWidth="1"/>
    <col min="2" max="2" width="17.28515625" customWidth="1"/>
    <col min="4" max="4" width="17" customWidth="1"/>
    <col min="5" max="5" width="18.7109375" customWidth="1"/>
    <col min="7" max="7" width="20" customWidth="1"/>
    <col min="8" max="8" width="18.28515625" customWidth="1"/>
  </cols>
  <sheetData>
    <row r="1" spans="1:8" ht="15" customHeight="1" x14ac:dyDescent="0.25">
      <c r="A1" s="26" t="s">
        <v>661</v>
      </c>
      <c r="B1" s="26" t="s">
        <v>662</v>
      </c>
      <c r="D1" s="26" t="s">
        <v>663</v>
      </c>
      <c r="E1" s="26" t="s">
        <v>662</v>
      </c>
      <c r="G1" s="26" t="s">
        <v>664</v>
      </c>
      <c r="H1" s="26" t="s">
        <v>662</v>
      </c>
    </row>
    <row r="2" spans="1:8" ht="21.75" customHeight="1" x14ac:dyDescent="0.25">
      <c r="A2" s="26"/>
      <c r="B2" s="26" t="str">
        <f>Proyectos!B422</f>
        <v xml:space="preserve">PIM </v>
      </c>
      <c r="D2" s="26"/>
      <c r="E2" s="26">
        <f>Proyectos!E422</f>
        <v>0</v>
      </c>
      <c r="G2" s="26"/>
      <c r="H2" s="26">
        <f>Proyectos!H422</f>
        <v>0</v>
      </c>
    </row>
    <row r="3" spans="1:8" ht="15.75" x14ac:dyDescent="0.25">
      <c r="A3" s="50" t="str">
        <f>Proyectos!A424</f>
        <v>2194989: MEJORAMIENTO DE LOS SERVICIOS EDUCATIVOS EN LA INSTITUCION EDUCATIVA SECUNDARIA DANTE NAVA DEL CENTRO POBLADO SANTA CRUZ DE PUNA AYLLU, DISTRITO DE PATAMBUCO, PROVINCIA DE SANDIA, REGION PUNO</v>
      </c>
      <c r="B3" s="51">
        <f>Proyectos!B424</f>
        <v>133512</v>
      </c>
      <c r="C3" s="48"/>
      <c r="D3" s="50" t="str">
        <f>Proyectos!A450</f>
        <v>2185578: MEJORAMIENTO DE LA CARRETERA DV. DESAGUADERO (EMP PE 36A) - KELLUYO - PISACOMA, PROVINCIA DE CHUCUITO - PUNO</v>
      </c>
      <c r="E3" s="51">
        <f>Proyectos!B450</f>
        <v>67139</v>
      </c>
      <c r="G3" s="50" t="str">
        <f>Proyectos!A474</f>
        <v>2470517: MEJORAMIENTO DE LOS SERVICIOS DE SALUD DEL CENTRO DE SALUD COPANI DE LA MICRO RED COPANI, RED DE SALUD YUNGUYO, DISTRITO DE COPANI - PROVINCIA DE YUNGUYO - DEPARTAMENTO DE PUNO</v>
      </c>
      <c r="H3" s="51">
        <f>Proyectos!B474</f>
        <v>7374992</v>
      </c>
    </row>
    <row r="4" spans="1:8" ht="15.75" x14ac:dyDescent="0.25">
      <c r="A4" s="50" t="str">
        <f>Proyectos!A425</f>
        <v>2313145: MEJORAMIENTO DEL MANEJO SOSTENIBLE DE VICUÑAS EN ZONAS ALTOANDINAS DE LA REGION PUNO</v>
      </c>
      <c r="B4" s="51">
        <f>Proyectos!B425</f>
        <v>40000</v>
      </c>
      <c r="C4" s="48"/>
      <c r="D4" s="50" t="str">
        <f>Proyectos!A451</f>
        <v>2196834: MEJORAMIENTO DE LOS SERVICIOS DE EDUCACION INICIAL EN LA I.E.I. CUCURAYA DE LA COMUNIDAD DE CUCURAYA, DISTRITO DE TILALI, PROVINCIA DE MOHO - PUNO.</v>
      </c>
      <c r="E4" s="51">
        <f>Proyectos!B451</f>
        <v>728529</v>
      </c>
      <c r="G4" s="50" t="str">
        <f>Proyectos!A475</f>
        <v>2476464: MEJORAMIENTO Y AMPLIACION DE LOS SERVICIOS DE SALUD DEL CENTRO DE SALUD KELLUYO DEL DISTRITO DE KELLUYO - PROVINCIA DE CHUCUITO - DEPARTAMENTO DE PUNO</v>
      </c>
      <c r="H4" s="51">
        <f>Proyectos!B475</f>
        <v>184669</v>
      </c>
    </row>
    <row r="5" spans="1:8" ht="15.75" x14ac:dyDescent="0.25">
      <c r="A5" s="50" t="str">
        <f>Proyectos!A426</f>
        <v>2575299: MEJORAMIENTO DEL SERVICIO DE TRANSITABILIDAD VIAL INTERURBANA EN EL TRAMO TIQUILLACA - CONDORIRI DEL DISTRITO DE TIQUILLACA DE LA PROVINCIA DE PUNO DEL DEPARTAMENTO DE PUNO</v>
      </c>
      <c r="B5" s="51">
        <f>Proyectos!B426</f>
        <v>18371</v>
      </c>
      <c r="C5" s="48"/>
      <c r="D5" s="50" t="str">
        <f>Proyectos!A452</f>
        <v>2325694: MEJORAMIENTO DE LA TECNIFICACION DE PROCESOS PARA LA CADENA PRODUCTIVA DE LA LECHE EN LA REGION PUNO</v>
      </c>
      <c r="E5" s="51">
        <f>Proyectos!B452</f>
        <v>30000</v>
      </c>
      <c r="G5" s="50" t="str">
        <f>Proyectos!A476</f>
        <v>2492442: MEJORAMIENTO Y AMPLIACION DE LOS SERVICIOS DE AGUA POTABLE Y ALCANTARILLADO SANITARIO EN LA LOCALIDAD DE CARACOTO DEL DISTRITO DE CARACOTO - PROVINCIA DE SAN ROMAN - DEPARTAMENTO DE PUNO</v>
      </c>
      <c r="H5" s="51">
        <f>Proyectos!B476</f>
        <v>11000</v>
      </c>
    </row>
    <row r="6" spans="1:8" ht="15.75" x14ac:dyDescent="0.25">
      <c r="A6" s="50" t="str">
        <f>Proyectos!A427</f>
        <v>2612522: MEJORAMIENTO DE LA PRODUCCION Y TRANSFORMACION DE QUESOS EN LA ASOCIACION DE PRODUCTORES LACTI SUR DE HUAPACA SANTIAGO DEL DISTRITO DE POMATA, PROVINCIA DE CHUCUITO Y DEPARTAMENTO DE PUN</v>
      </c>
      <c r="B6" s="51">
        <f>Proyectos!B427</f>
        <v>61500</v>
      </c>
      <c r="C6" s="48"/>
      <c r="D6" s="50" t="str">
        <f>Proyectos!A453</f>
        <v>2343538: CREACION DE LOS SERVICIOS DE PROMOCION DEL COMERCIO EXTERIOR EN LA ZEEDE PUNO - REGION DE PUNO</v>
      </c>
      <c r="E6" s="51">
        <f>Proyectos!B453</f>
        <v>46429</v>
      </c>
      <c r="G6" s="50" t="str">
        <f>Proyectos!A477</f>
        <v>2501244: MEJORAMIENTO DEL SERVICIO EDUCATIVO DEL NIVEL SECUNDARIA DE LA I.E. AGROPECUARIO PAMPA YANAMAYO DEL DISTRITO DE ALTO INAMBARI - PROVINCIA DE SANDIA - DEPARTAMENTO DE PUNO</v>
      </c>
      <c r="H6" s="51">
        <f>Proyectos!B477</f>
        <v>1038097</v>
      </c>
    </row>
    <row r="7" spans="1:8" ht="15.75" x14ac:dyDescent="0.25">
      <c r="A7" s="50" t="str">
        <f>Proyectos!A428</f>
        <v>2612541: MEJORAMIENTO DE LA PRODUCCION Y COMERCIALIZACION DE DERIVADOS LACTEOS EN LA ASOCIACION DE PRODUCTORES AGROPECUARIOS EMPRENDEDORES LOS CLAVELES DE SAN SALVADOR HUATASANI, DEL DISTRITO DE HUATASANI, PROVINCIA DE HUANCANE Y REGION DE PUNO</v>
      </c>
      <c r="B7" s="51">
        <f>Proyectos!B428</f>
        <v>62000</v>
      </c>
      <c r="C7" s="48"/>
      <c r="D7" s="50" t="str">
        <f>Proyectos!A454</f>
        <v>2393101: MEJORAMIENTO Y AMPLIACION DEL SERVICIO ADMINISTRATIVO DE LA UNIDAD DE GESTION EDUCATIVA LOCAL MELGAR EN EL DISTRITO DE AYAVIRI, PROVINCIA DE MELGAR, REGION PUNO</v>
      </c>
      <c r="E7" s="51">
        <f>Proyectos!B454</f>
        <v>32592</v>
      </c>
      <c r="G7" s="50" t="str">
        <f>Proyectos!A478</f>
        <v>2517448: MEJORAMIENTO DEL SERVICIO DE SALUD EN EL CENTRO DE SALUD SAN GABAN, DISTRITO DE SAN GABAN - PROVINCIA DE CARABAYA - DEPARTAMENTO DE PUNO</v>
      </c>
      <c r="H7" s="51">
        <f>Proyectos!B478</f>
        <v>200000</v>
      </c>
    </row>
    <row r="8" spans="1:8" ht="15.75" x14ac:dyDescent="0.25">
      <c r="A8" s="50" t="str">
        <f>Proyectos!A429</f>
        <v>2624292: MEJORAMIENTO DE LOS SERVICIOS EDUCACION SUPERIOR PEDAGOGICA EN EL INSTITUTO DE EDUCACION SUPERIOR PEDAGOGICO PUBLICO DE AYAVIRI DEL DISTRITO DE AYAVIRI DE LA PROVINCIA DE MELGAR DEL DEPARTAMENTO DE PUNO</v>
      </c>
      <c r="B8" s="51">
        <f>Proyectos!B429</f>
        <v>58627</v>
      </c>
      <c r="C8" s="48"/>
      <c r="D8" s="50" t="str">
        <f>Proyectos!A455</f>
        <v>2518131: AMPLIACION Y MEJORAMIENTO DE LOS SERVICIOS DE ADMINISTRACION DE JUSTICIA DE LOS ORGANOS JURISDICCIONALES DE LA SEDE CENTRAL DEL DISTRITO JUDICIAL DE PUNO, DISTRITO DE PUNO - PROVINCIA DE PUNO - DEPARTAMENTO DE PUNO</v>
      </c>
      <c r="E8" s="51">
        <f>Proyectos!B455</f>
        <v>500000</v>
      </c>
      <c r="G8" s="50" t="str">
        <f>Proyectos!A479</f>
        <v>2532916: CREACION DEL SERVICIO DE PROTECCION EN RIBERAS DEL RIO LORIPONGO Y MOLLA AMBOS MARGENES VULNERABLES ANTE EL PELIGRO DE INUNDACION EN LA LOCALIDAD DE LARAQUERI Y CENTRO POBLADO DE HUARIJUYO DEL DISTRITO DE PICHACANI - PROVINCIA DE PUNO - DEPARTAMENTO DE PUNO</v>
      </c>
      <c r="H8" s="51">
        <f>Proyectos!B479</f>
        <v>19658</v>
      </c>
    </row>
    <row r="9" spans="1:8" ht="15.75" x14ac:dyDescent="0.25">
      <c r="A9" s="50" t="str">
        <f>Proyectos!A430</f>
        <v>2625216: MEJORAMIENTO DE LOS SERVICIOS ECOSISTEMICOS EN EL RIO TOROCOCHA DE LA LOCALIDAD DE JULIACA DISTRITO DE JULIACA DE LA PROVINCIA DE SAN ROMAN DEL DEPARTAMENTO DE PUNO</v>
      </c>
      <c r="B9" s="51">
        <f>Proyectos!B430</f>
        <v>100000</v>
      </c>
      <c r="C9" s="48"/>
      <c r="D9" s="50" t="str">
        <f>Proyectos!A456</f>
        <v>2533866: RECUPERACION DE ECOSISTEMAS DEGRADADOS POR VERTIMIENTO DE AGUAS RESIDUALES Y RESIDUOS SOLIDOS EN LA DESEMBOCADURA DEL RIO COATA, EN LOS DISTRITOS DE HUATA, COATA, CAPACHICA, JULIACA Y SAN MIGUEL EN LAS PROVINCIAS DE PUNO Y SAN ROMAN DEL DEPARTAMENTO DE PUNO</v>
      </c>
      <c r="E9" s="51">
        <f>Proyectos!B456</f>
        <v>32099</v>
      </c>
      <c r="G9" s="50" t="str">
        <f>Proyectos!A480</f>
        <v>2539673: MEJORAMIENTO Y AMPLIACION DEL SERVICIO DE EDUCACION SUPERIOR TECNOLOGICA EN EL INSTITUTO SUPERIOR TECNOLOGICO PUBLICO DE JULI, DISTRITO DE JULI - PROVINCIA DE CHUCUITO - DEPARTAMENTO DE PUNO</v>
      </c>
      <c r="H9" s="51">
        <f>Proyectos!B480</f>
        <v>2000000</v>
      </c>
    </row>
    <row r="10" spans="1:8" ht="15.75" x14ac:dyDescent="0.25">
      <c r="A10" s="50" t="str">
        <f>Proyectos!A431</f>
        <v>2658446: PROYECTOS PARA EL DESARROLLO LOCAL</v>
      </c>
      <c r="B10" s="51">
        <f>Proyectos!B431</f>
        <v>1376515</v>
      </c>
      <c r="C10" s="48"/>
      <c r="D10" s="50" t="str">
        <f>Proyectos!A457</f>
        <v>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v>
      </c>
      <c r="E10" s="51">
        <f>Proyectos!B457</f>
        <v>2308286</v>
      </c>
      <c r="G10" s="50" t="str">
        <f>Proyectos!A481</f>
        <v>2570365: MEJORAMIENTO DEL INSTITUTO DE EDUCACION SUPERIOR TECNOLOGICO PUBLICO SANTA LUCIA DEL DISTRITO DE SANTA LUCIA - PROVINCIA DE LAMPA - DEPARTAMENTO DE PUNO</v>
      </c>
      <c r="H10" s="51">
        <f>Proyectos!B481</f>
        <v>4863</v>
      </c>
    </row>
    <row r="11" spans="1:8" ht="15.75" x14ac:dyDescent="0.25">
      <c r="A11" s="50" t="str">
        <f>Proyectos!A432</f>
        <v>2659573: MEJORAMIENTO DEL SERVICIO DE EDUCACION PRIMARIA EN I.E. 73003 DISTRITO DE HUANCANE DE LA PROVINCIA DE HUANCANE DEL DEPARTAMENTO DE PUNO</v>
      </c>
      <c r="B11" s="51">
        <f>Proyectos!B432</f>
        <v>81646</v>
      </c>
      <c r="C11" s="48"/>
      <c r="D11" s="50" t="str">
        <f>Proyectos!A458</f>
        <v>2603160: MEJORAMIENTO DE LOS SERVICIOS DE APOYO AL DESARROLLO PRODUCTIVO EN 4 UNIDADES PRODUCTORAS 4 DISTRITOS DE LAS PROVINCIAS DE SANDIA, CARABAYA DEL DEPARTAMENTO DE PUNO</v>
      </c>
      <c r="E11" s="51">
        <f>Proyectos!B458</f>
        <v>100000</v>
      </c>
      <c r="G11" s="50" t="str">
        <f>Proyectos!A482</f>
        <v>2585541: CREACION DEL SERVICIO DE TRANSITABILIDAD VIAL INTERURBANA EN EL PUENTE CARROZABLE SANTA ROSA DE HUAYLLATA ENTRE LOS DISTRITOS DE ILAVE Y PILCUYO DEL DISTRITO DE ILAVE DE LA PROVINCIA DE EL COLLAO DEL DEPARTAMENTO DE PUNO</v>
      </c>
      <c r="H11" s="51">
        <f>Proyectos!B482</f>
        <v>391951</v>
      </c>
    </row>
    <row r="12" spans="1:8" ht="15.75" x14ac:dyDescent="0.25">
      <c r="A12" s="50" t="str">
        <f>Proyectos!A433</f>
        <v>2663002: MEJORAMIENTO DEL SERVICIO DE EDUCACION SECUNDARIA EN I.E. HUAPACA SAN MIGUEL DE CENTRO POBLADO HUAPACA SAN MIGUEL DISTRITO DE POMATA DE LA PROVINCIA DE CHUCUITO DEL DEPARTAMENTO DE PUNO</v>
      </c>
      <c r="B12" s="51">
        <f>Proyectos!B433</f>
        <v>292573</v>
      </c>
      <c r="C12" s="48"/>
      <c r="D12" s="50" t="str">
        <f>Proyectos!A459</f>
        <v>2617364: MEJORAMIENTO Y AMPLIACION DEL SERVICIO DE EDUCACION INICIAL, SERVICIO DE EDUCACION PRIMARIA Y SERVICIO DE EDUCACION SECUNDARIA EN I.E. 27 SANTA LUCIA FE Y ALEGRIA DISTRITO DE MACARI DE LA PROVINCIA DE MELGAR DEL DEPARTAMENTO DE PUNO</v>
      </c>
      <c r="E12" s="51">
        <f>Proyectos!B459</f>
        <v>218556</v>
      </c>
      <c r="G12" s="50" t="str">
        <f>Proyectos!A483</f>
        <v>2593683: REPARACION DE PISTA DE ATLETISMO (COMPETENCIA); ADQUISICION DE TORRE DE ILUMINACION; EN EL(LA) ESTADIO ENRIQUE TORRES BELON DEL DISTRITO DE PUNO, PROVINCIA PUNO, DEPARTAMENTO PUNO</v>
      </c>
      <c r="H12" s="51">
        <f>Proyectos!B483</f>
        <v>290270</v>
      </c>
    </row>
    <row r="13" spans="1:8" ht="15.75" x14ac:dyDescent="0.25">
      <c r="A13" s="50" t="str">
        <f>Proyectos!A434</f>
        <v>2676418: MEJORAMIENTO DE UNA PLANTA PROCESADORA DE LECHE PARA LA ELABORACION DE QUESOS FRESCOS TIPO PARIA DE LA ASOCIACION DE PRODUCTORES AGROPECUARIOS VILLA ACASSO APROAVA, DISTRITO DE PILCUYO, PROVINCIA DE EL COLLAO, REGION DE PUNO</v>
      </c>
      <c r="B13" s="51">
        <f>Proyectos!B434</f>
        <v>65438</v>
      </c>
      <c r="C13" s="48"/>
      <c r="D13" s="50" t="str">
        <f>Proyectos!A460</f>
        <v>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v>
      </c>
      <c r="E13" s="51">
        <f>Proyectos!B460</f>
        <v>61203</v>
      </c>
      <c r="G13" s="50" t="str">
        <f>Proyectos!A484</f>
        <v>2599489: CONSTRUCCION DE CONSULTORIO; ADQUISICION DE EQUIPOS BIOMEDICOS Y MOBILIARIO CLINICO; EN EL(LA) HOSPITAL SANDIA DISTRITO DE SANDIA, PROVINCIA SANDIA, DEPARTAMENTO PUNO</v>
      </c>
      <c r="H13" s="51">
        <f>Proyectos!B484</f>
        <v>1750696</v>
      </c>
    </row>
    <row r="14" spans="1:8" ht="15.75" x14ac:dyDescent="0.25">
      <c r="A14" s="50" t="str">
        <f>Proyectos!A435</f>
        <v>2681133: MEJORAMIENTO DE LA PRODUCCION DE QUESOS TIPO PARIA PASTEURIZADO DE LA CENTRAL DE ASOCIACIONES GANADEROS LECHEROS Y AGRARIOS DEL DISTRITO DE VILQUE, DISTRITO DE VILQUE, PROVINCIA DE PUNO, REGION PUNO</v>
      </c>
      <c r="B14" s="51">
        <f>Proyectos!B435</f>
        <v>2795</v>
      </c>
      <c r="C14" s="48"/>
      <c r="D14" s="50" t="str">
        <f>Proyectos!A461</f>
        <v>2637997: MEJORAMIENTO DEL SERVICIO DE EDUCACION SECUNDARIA EN I.E. UMUCHI DISTRITO DE MOHO DE LA PROVINCIA DE MOHO DEL DEPARTAMENTO DE PUNO</v>
      </c>
      <c r="E14" s="51">
        <f>Proyectos!B461</f>
        <v>304829</v>
      </c>
      <c r="G14" s="50" t="str">
        <f>Proyectos!A485</f>
        <v>2623878: MEJORAMIENTO DEL SERVICIO DE ATENCION DE SALUD BASICOS EN CABANILLA DISTRITO DE CABANILLA DE LA PROVINCIA DE LAMPA DEL DEPARTAMENTO DE PUNO</v>
      </c>
      <c r="H14" s="51">
        <f>Proyectos!B485</f>
        <v>656461</v>
      </c>
    </row>
    <row r="15" spans="1:8" ht="15.75" x14ac:dyDescent="0.25">
      <c r="A15" s="50" t="str">
        <f>Proyectos!A436</f>
        <v>2681274: MEJORAMIENTO DEL PROCESO DE PRODUCCION DE ARTICULOS MECANICOS EN LA CORPORACION MARSAD S.A.C. DEL DISTRITO DE PUNO, PROVINCIA DE PUNO, REGION DE PUNO</v>
      </c>
      <c r="B15" s="51">
        <f>Proyectos!B436</f>
        <v>335890</v>
      </c>
      <c r="C15" s="48"/>
      <c r="D15" s="50" t="str">
        <f>Proyectos!A462</f>
        <v>2638009: MEJORAMIENTO DEL SERVICIO DE EDUCACION SECUNDARIA EN I.E. HUARAYA DE CENTRO POBLADO HUARAYA DISTRITO DE MOHO DE LA PROVINCIA DE MOHO DEL DEPARTAMENTO DE PUNO</v>
      </c>
      <c r="E15" s="51">
        <f>Proyectos!B462</f>
        <v>500172</v>
      </c>
      <c r="G15" s="50" t="str">
        <f>Proyectos!A486</f>
        <v>2623879: MEJORAMIENTO DEL SERVICIO DE ATENCION DE SALUD BASICOS EN LARAQUERI DISTRITO DE PICHACANI DE LA PROVINCIA DE PUNO DEL DEPARTAMENTO DE PUNO</v>
      </c>
      <c r="H15" s="51">
        <f>Proyectos!B486</f>
        <v>606461</v>
      </c>
    </row>
    <row r="16" spans="1:8" ht="15.75" x14ac:dyDescent="0.25">
      <c r="A16" s="50" t="str">
        <f>Proyectos!A437</f>
        <v>2694640: ADQUISICION DE EQUIPO ECOGRAFO, EQUIPO ECOGRAFO, EQUIPO ECOGRAFO Y EQUIPO ECOGRAFO; ADEMAS DE OTROS ACTIVOS EN NUEVE ESTABLECIMIENTOS DE SALUD I.2, ESTABLECIMIENTOS DE SALUD I.3, ESTABLECIMIENTOS DE SALUD I.1 A NIVEL PROVINCIAL (PUNO - MELGAR)</v>
      </c>
      <c r="B16" s="51">
        <f>Proyectos!B437</f>
        <v>36445</v>
      </c>
      <c r="C16" s="48"/>
      <c r="D16" s="50" t="str">
        <f>Proyectos!A463</f>
        <v>2645524: MEJORAMIENTO DE LOS SERVICIOS TURISTICOS PUBLICOS EN RECURSOS TURISTICOS EN 4 UNIDADES PRODUCTORAS 4 DISTRITOS DE 3 PROVINCIAS DEL DEPARTAMENTO DE PUNO</v>
      </c>
      <c r="E16" s="51">
        <f>Proyectos!B463</f>
        <v>1349649</v>
      </c>
      <c r="G16" s="50" t="str">
        <f>Proyectos!A487</f>
        <v>2645444: REPARACION DE TRIBUNA Y/O PALCO; CONSTRUCCION DE CAMPO DEPORTIVO; EN EL(LA) ESTADIO MUNICIPAL DE PILCUYO DISTRITO DE PILCUYO, PROVINCIA EL COLLAO, DEPARTAMENTO PUNO</v>
      </c>
      <c r="H16" s="51">
        <f>Proyectos!B487</f>
        <v>48882</v>
      </c>
    </row>
    <row r="17" spans="1:8" ht="15.75" x14ac:dyDescent="0.25">
      <c r="A17" s="50" t="str">
        <f>Proyectos!A438</f>
        <v>2694772: 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v>
      </c>
      <c r="B17" s="51">
        <f>Proyectos!B438</f>
        <v>39485</v>
      </c>
      <c r="C17" s="48"/>
      <c r="D17" s="50" t="str">
        <f>Proyectos!A464</f>
        <v>2646095: CONSTRUCCION DE CAMPO DEPORTIVO Y SERVICIOS HIGIENICOS Y/O VESTIDORES; REPARACION DE SERVICIOS HIGIENICOS Y/O VESTIDORES Y TRIBUNA Y/O PALCO; ADEMAS DE OTROS ACTIVOS EN EL(LA) ESTADIO MUNICIPAL DE CONIMA DISTRITO DE CONIMA, PROVINCIA MOHO, DEPARTAMENTO PUNO</v>
      </c>
      <c r="E17" s="51">
        <f>Proyectos!B464</f>
        <v>25425</v>
      </c>
      <c r="G17" s="50" t="str">
        <f>Proyectos!A488</f>
        <v>2646096: CONSTRUCCION DE TRIBUNA Y/O PALCO; REPARACION DE TRIBUNA Y/O PALCO Y CAMPO DEPORTIVO; EN EL(LA) ESTADIO JOSE CARLOS MARIATEGUI DISTRITO DE YUNGUYO, PROVINCIA YUNGUYO, DEPARTAMENTO PUNO</v>
      </c>
      <c r="H17" s="51">
        <f>Proyectos!B488</f>
        <v>2054253</v>
      </c>
    </row>
    <row r="18" spans="1:8" ht="15.75" x14ac:dyDescent="0.25">
      <c r="A18" s="50" t="str">
        <f>Proyectos!A439</f>
        <v>2695768: REPARACION DE SALA DE CUIDADOS INTENSIVOS; EN EL(LA) CARLOS MONJE MEDRANO DISTRITO DE JULIACA, PROVINCIA SAN ROMAN, DEPARTAMENTO PUNO</v>
      </c>
      <c r="B18" s="51">
        <f>Proyectos!B439</f>
        <v>114255</v>
      </c>
      <c r="C18" s="48"/>
      <c r="D18" s="50" t="str">
        <f>Proyectos!A465</f>
        <v>2649804: MEJORAMIENTO DEL SERVICIO DE EDUCACION INICIAL EN I.E. 50 DISTRITO DE ORURILLO DE LA PROVINCIA DE MELGAR DEL DEPARTAMENTO DE PUNO</v>
      </c>
      <c r="E18" s="51">
        <f>Proyectos!B465</f>
        <v>400000</v>
      </c>
      <c r="G18" s="50" t="str">
        <f>Proyectos!A489</f>
        <v>2646109: REPARACION DE TRIBUNA Y/O PALCO; CONSTRUCCION DE CAMPO DEPORTIVO Y TRIBUNA Y/O PALCO; EN EL(LA) ESTADIO MUNICIPAL DE JULI DISTRITO DE JULI, PROVINCIA CHUCUITO, DEPARTAMENTO PUNO</v>
      </c>
      <c r="H18" s="51">
        <f>Proyectos!B489</f>
        <v>4474004</v>
      </c>
    </row>
    <row r="19" spans="1:8" ht="15.75" x14ac:dyDescent="0.25">
      <c r="A19" s="50" t="str">
        <f>Proyectos!A440</f>
        <v>2707256: ADQUISICION DE SISTEMA DE VIDEO GASTROENDOSCOPIA, GRUPO ELECTROGENO, EQUIPO ECOGRAFO - ULTRASONIDO Y LAVADORA SECADORA AUTOMATICA; ADEMAS DE OTROS ACTIVOS EN EL(LA) CARLOS MONJE MEDRANO DISTRITO DE JULIACA, PROVINCIA SAN ROMAN, DEPARTAMENTO PUNO</v>
      </c>
      <c r="B19" s="51">
        <f>Proyectos!B440</f>
        <v>80738</v>
      </c>
      <c r="C19" s="48"/>
      <c r="D19" s="50" t="str">
        <f>Proyectos!A466</f>
        <v>2650473: CONSTRUCCION DE AULA DE EDUCACION SECUNDARIA, LABORATORIO Y/O TALLER, CERCO Y/O PORTADA Y SERVICIOS HIGIENICOS Y/O VESTIDORES; ADEMAS DE OTROS ACTIVOS EN EL(LA) I.E. AGROINDUSTRIAL DISTRITO DE PUTINA, PROVINCIA SAN ANTONIO DE PUTINA, DEPARTAMENTO PUNO</v>
      </c>
      <c r="E19" s="51">
        <f>Proyectos!B466</f>
        <v>2394005</v>
      </c>
      <c r="G19" s="50" t="str">
        <f>Proyectos!A490</f>
        <v>2649797: MEJORAMIENTO DEL SERVICIO DE EDUCACION INICIAL EN I.E. 1450 HUELLITAS DE MONTESSORI MIRAMAR DISTRITO DE MOHO DE LA PROVINCIA DE MOHO DEL DEPARTAMENTO DE PUNO</v>
      </c>
      <c r="H19" s="51">
        <f>Proyectos!B490</f>
        <v>29298</v>
      </c>
    </row>
    <row r="20" spans="1:8" ht="15.75" x14ac:dyDescent="0.25">
      <c r="A20" s="50" t="str">
        <f>Proyectos!A441</f>
        <v>2714101: REMODELACION DE AMBIENTE ADMINISTRATIVO; CONSTRUCCION DE AMBIENTE COMPLEMENTARIO; ADQUISICION DE EMBARCACION Y BARCAZA; ADEMAS DE OTROS ACTIVOS EN EL(LA) CENTRO ACUICOLA DE LLAQUEPA Y BARCO - DIREPRO DISTRITO DE CHUCUITO, PROVINCIA PUNO, DEPARTAMENTO PUNO</v>
      </c>
      <c r="B20" s="51">
        <f>Proyectos!B441</f>
        <v>45000</v>
      </c>
      <c r="C20" s="48"/>
      <c r="D20" s="50" t="str">
        <f>Proyectos!A467</f>
        <v>2681141: MEJORAMIENTO DEL SERVICIO DE ATENCION DE SALUD BASICOS EN HUACULLANI DISTRITO DE HUACULLANI DE LA PROVINCIA DE CHUCUITO DEL DEPARTAMENTO DE PUNO</v>
      </c>
      <c r="E20" s="51">
        <f>Proyectos!B467</f>
        <v>100000</v>
      </c>
      <c r="G20" s="50" t="str">
        <f>Proyectos!A491</f>
        <v>2684838: MEJORAMIENTO Y AMPLIACION DEL SERVICIO DE LIMPIEZA PUBLICA EN 7 UNIDADES PRODUCTORAS 7 DISTRITOS DE LA PROVINCIA DE MELGAR DEL DEPARTAMENTO DE PUNO</v>
      </c>
      <c r="H20" s="51">
        <f>Proyectos!B491</f>
        <v>11000</v>
      </c>
    </row>
    <row r="21" spans="1:8" ht="15.75" x14ac:dyDescent="0.25">
      <c r="A21" s="50" t="str">
        <f>Proyectos!A442</f>
        <v>2717149: MEJORAMIENTO EN LA PRODUCCION DE HILOS ARTESANALES DE LA ASOCIACION DE PRODUCTORES DE CAMELIDOS SUDAMERICANOS, ARTESANAL Y AGRICOLA TIKARIY PAMPA DEL DIST, DISTRITO MACUSANI, PROVINCIA CARABAYA, REGION PUNO</v>
      </c>
      <c r="B21" s="51">
        <f>Proyectos!B442</f>
        <v>158642</v>
      </c>
      <c r="C21" s="48"/>
      <c r="D21" s="50" t="str">
        <f>Proyectos!A468</f>
        <v>2684028: ADQUISICION DE AMBULANCIA URBANA; EN ONCE ESTABLECIMIENTOS DE SALUD II.1, ESTABLECIMIENTOS DE SALUD II.2 A NIVEL DEPARTAMENTAL (PUNO)</v>
      </c>
      <c r="E21" s="51">
        <f>Proyectos!B468</f>
        <v>31336</v>
      </c>
      <c r="G21" s="43" t="str">
        <f>Proyectos!A492</f>
        <v xml:space="preserve">TOTAL </v>
      </c>
      <c r="H21" s="49">
        <f>Proyectos!B492</f>
        <v>21146555</v>
      </c>
    </row>
    <row r="22" spans="1:8" ht="15.75" x14ac:dyDescent="0.25">
      <c r="A22" s="50" t="str">
        <f>Proyectos!A443</f>
        <v>2717158: MEJORAMIENTO DE LA PRODUCCION DE PACAS EN LA ASOCIACION DE PRODUCTORES AGROPECUARIOS Y FORESTALES SAN PEDRO DE FRAYLIMA, DISTRITO DE AZANGARO, PROVINCIA AZANGARO Y DEPARTAMENTO DE PUNO</v>
      </c>
      <c r="B22" s="51">
        <f>Proyectos!B443</f>
        <v>349792</v>
      </c>
      <c r="C22" s="48"/>
      <c r="D22" s="43" t="str">
        <f>Proyectos!A469</f>
        <v xml:space="preserve">TOTAL </v>
      </c>
      <c r="E22" s="49">
        <f>Proyectos!B469</f>
        <v>9230249</v>
      </c>
    </row>
    <row r="23" spans="1:8" ht="15.75" x14ac:dyDescent="0.25">
      <c r="A23" s="43" t="str">
        <f>Proyectos!A444</f>
        <v xml:space="preserve">TOTAL </v>
      </c>
      <c r="B23" s="49">
        <f>Proyectos!B444</f>
        <v>3453224</v>
      </c>
      <c r="C23" s="48"/>
      <c r="D23" s="48"/>
      <c r="E23" s="48"/>
    </row>
  </sheetData>
  <mergeCells count="6">
    <mergeCell ref="A1:A2"/>
    <mergeCell ref="H1:H2"/>
    <mergeCell ref="B1:B2"/>
    <mergeCell ref="D1:D2"/>
    <mergeCell ref="E1:E2"/>
    <mergeCell ref="G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2"/>
  <sheetViews>
    <sheetView zoomScale="85" zoomScaleNormal="85" workbookViewId="0">
      <selection activeCell="J14" sqref="J14"/>
    </sheetView>
  </sheetViews>
  <sheetFormatPr baseColWidth="10" defaultRowHeight="15" x14ac:dyDescent="0.25"/>
  <cols>
    <col min="1" max="1" width="192.5703125" customWidth="1"/>
    <col min="2" max="9" width="0" hidden="1" customWidth="1"/>
    <col min="11" max="11" width="15.5703125" customWidth="1"/>
  </cols>
  <sheetData>
    <row r="1" spans="1:11" ht="15.75" thickBot="1" x14ac:dyDescent="0.3">
      <c r="A1" s="12" t="s">
        <v>8</v>
      </c>
      <c r="B1" s="14" t="s">
        <v>9</v>
      </c>
      <c r="C1" s="14" t="s">
        <v>10</v>
      </c>
      <c r="D1" s="12" t="s">
        <v>11</v>
      </c>
      <c r="E1" s="12" t="s">
        <v>12</v>
      </c>
      <c r="F1" s="16" t="s">
        <v>13</v>
      </c>
      <c r="G1" s="17"/>
      <c r="H1" s="18"/>
      <c r="I1" s="22" t="s">
        <v>14</v>
      </c>
      <c r="J1" s="26" t="s">
        <v>653</v>
      </c>
      <c r="K1" s="26" t="s">
        <v>654</v>
      </c>
    </row>
    <row r="2" spans="1:11" ht="26.25" customHeight="1" thickBot="1" x14ac:dyDescent="0.3">
      <c r="A2" s="13"/>
      <c r="B2" s="15"/>
      <c r="C2" s="15"/>
      <c r="D2" s="13"/>
      <c r="E2" s="13"/>
      <c r="F2" s="10" t="s">
        <v>15</v>
      </c>
      <c r="G2" s="11" t="s">
        <v>16</v>
      </c>
      <c r="H2" s="11" t="s">
        <v>17</v>
      </c>
      <c r="I2" s="23"/>
      <c r="J2" s="26"/>
      <c r="K2" s="26"/>
    </row>
    <row r="3" spans="1:11" ht="15.75" thickBot="1" x14ac:dyDescent="0.3">
      <c r="A3" s="31" t="s">
        <v>88</v>
      </c>
      <c r="B3" s="32">
        <v>54666680</v>
      </c>
      <c r="C3" s="32">
        <v>53759397</v>
      </c>
      <c r="D3" s="32">
        <v>53759397</v>
      </c>
      <c r="E3" s="32">
        <v>262914</v>
      </c>
      <c r="F3" s="32">
        <v>261343</v>
      </c>
      <c r="G3" s="32">
        <v>261343</v>
      </c>
      <c r="H3" s="32">
        <v>261343</v>
      </c>
      <c r="I3" s="33" t="s">
        <v>89</v>
      </c>
      <c r="J3" s="34">
        <f>C3-D3</f>
        <v>0</v>
      </c>
      <c r="K3" s="27">
        <f>C3-E3</f>
        <v>53496483</v>
      </c>
    </row>
    <row r="4" spans="1:11" ht="15.75" thickBot="1" x14ac:dyDescent="0.3">
      <c r="A4" s="31" t="s">
        <v>86</v>
      </c>
      <c r="B4" s="35">
        <v>0</v>
      </c>
      <c r="C4" s="32">
        <v>41519761</v>
      </c>
      <c r="D4" s="32">
        <v>39201249</v>
      </c>
      <c r="E4" s="32">
        <v>10839279</v>
      </c>
      <c r="F4" s="32">
        <v>10652960</v>
      </c>
      <c r="G4" s="32">
        <v>10652960</v>
      </c>
      <c r="H4" s="32">
        <v>10642217</v>
      </c>
      <c r="I4" s="33" t="s">
        <v>87</v>
      </c>
      <c r="J4" s="34">
        <f>C4-D4</f>
        <v>2318512</v>
      </c>
      <c r="K4" s="27">
        <f>C4-E4</f>
        <v>30680482</v>
      </c>
    </row>
    <row r="5" spans="1:11" ht="29.25" thickBot="1" x14ac:dyDescent="0.3">
      <c r="A5" s="31" t="s">
        <v>600</v>
      </c>
      <c r="B5" s="35">
        <v>0</v>
      </c>
      <c r="C5" s="32">
        <v>13926334</v>
      </c>
      <c r="D5" s="32">
        <v>13763618</v>
      </c>
      <c r="E5" s="32">
        <v>242796</v>
      </c>
      <c r="F5" s="32">
        <v>209025</v>
      </c>
      <c r="G5" s="32">
        <v>182925</v>
      </c>
      <c r="H5" s="32">
        <v>182925</v>
      </c>
      <c r="I5" s="33" t="s">
        <v>601</v>
      </c>
      <c r="J5" s="34">
        <f>C5-D5</f>
        <v>162716</v>
      </c>
      <c r="K5" s="27">
        <f>C5-E5</f>
        <v>13683538</v>
      </c>
    </row>
    <row r="6" spans="1:11" ht="29.25" thickBot="1" x14ac:dyDescent="0.3">
      <c r="A6" s="31" t="s">
        <v>188</v>
      </c>
      <c r="B6" s="32">
        <v>8000000</v>
      </c>
      <c r="C6" s="32">
        <v>7374992</v>
      </c>
      <c r="D6" s="32">
        <v>7374802</v>
      </c>
      <c r="E6" s="35">
        <v>0</v>
      </c>
      <c r="F6" s="35">
        <v>0</v>
      </c>
      <c r="G6" s="35">
        <v>0</v>
      </c>
      <c r="H6" s="35">
        <v>0</v>
      </c>
      <c r="I6" s="33" t="s">
        <v>25</v>
      </c>
      <c r="J6" s="34">
        <f>C6-D6</f>
        <v>190</v>
      </c>
      <c r="K6" s="27">
        <f>C6-E6</f>
        <v>7374992</v>
      </c>
    </row>
    <row r="7" spans="1:11" ht="29.25" thickBot="1" x14ac:dyDescent="0.3">
      <c r="A7" s="31" t="s">
        <v>311</v>
      </c>
      <c r="B7" s="32">
        <v>1000000</v>
      </c>
      <c r="C7" s="32">
        <v>12532522</v>
      </c>
      <c r="D7" s="32">
        <v>12187041</v>
      </c>
      <c r="E7" s="32">
        <v>5981488</v>
      </c>
      <c r="F7" s="32">
        <v>5042093</v>
      </c>
      <c r="G7" s="32">
        <v>3196291</v>
      </c>
      <c r="H7" s="32">
        <v>3117313</v>
      </c>
      <c r="I7" s="33" t="s">
        <v>312</v>
      </c>
      <c r="J7" s="34">
        <f>C7-D7</f>
        <v>345481</v>
      </c>
      <c r="K7" s="27">
        <f>C7-E7</f>
        <v>6551034</v>
      </c>
    </row>
    <row r="8" spans="1:11" ht="29.25" thickBot="1" x14ac:dyDescent="0.3">
      <c r="A8" s="31" t="s">
        <v>592</v>
      </c>
      <c r="B8" s="32">
        <v>5358341</v>
      </c>
      <c r="C8" s="32">
        <v>5281360</v>
      </c>
      <c r="D8" s="32">
        <v>4436688</v>
      </c>
      <c r="E8" s="32">
        <v>176910</v>
      </c>
      <c r="F8" s="32">
        <v>152395</v>
      </c>
      <c r="G8" s="32">
        <v>140517</v>
      </c>
      <c r="H8" s="32">
        <v>140517</v>
      </c>
      <c r="I8" s="33" t="s">
        <v>593</v>
      </c>
      <c r="J8" s="34">
        <f>C8-D8</f>
        <v>844672</v>
      </c>
      <c r="K8" s="27">
        <f>C8-E8</f>
        <v>5104450</v>
      </c>
    </row>
    <row r="9" spans="1:11" ht="29.25" thickBot="1" x14ac:dyDescent="0.3">
      <c r="A9" s="31" t="s">
        <v>433</v>
      </c>
      <c r="B9" s="32">
        <v>2421000</v>
      </c>
      <c r="C9" s="32">
        <v>8043406</v>
      </c>
      <c r="D9" s="32">
        <v>5895077</v>
      </c>
      <c r="E9" s="32">
        <v>3321108</v>
      </c>
      <c r="F9" s="32">
        <v>2959752</v>
      </c>
      <c r="G9" s="32">
        <v>2705628</v>
      </c>
      <c r="H9" s="32">
        <v>2121400</v>
      </c>
      <c r="I9" s="33" t="s">
        <v>434</v>
      </c>
      <c r="J9" s="34">
        <f>C9-D9</f>
        <v>2148329</v>
      </c>
      <c r="K9" s="27">
        <f>C9-E9</f>
        <v>4722298</v>
      </c>
    </row>
    <row r="10" spans="1:11" ht="29.25" thickBot="1" x14ac:dyDescent="0.3">
      <c r="A10" s="31" t="s">
        <v>204</v>
      </c>
      <c r="B10" s="32">
        <v>22181694</v>
      </c>
      <c r="C10" s="32">
        <v>8766661</v>
      </c>
      <c r="D10" s="32">
        <v>8493624</v>
      </c>
      <c r="E10" s="32">
        <v>4063268</v>
      </c>
      <c r="F10" s="32">
        <v>3880775</v>
      </c>
      <c r="G10" s="32">
        <v>3843826</v>
      </c>
      <c r="H10" s="32">
        <v>3810986</v>
      </c>
      <c r="I10" s="33" t="s">
        <v>205</v>
      </c>
      <c r="J10" s="34">
        <f>C10-D10</f>
        <v>273037</v>
      </c>
      <c r="K10" s="27">
        <f>C10-E10</f>
        <v>4703393</v>
      </c>
    </row>
    <row r="11" spans="1:11" ht="15.75" thickBot="1" x14ac:dyDescent="0.3">
      <c r="A11" s="31" t="s">
        <v>90</v>
      </c>
      <c r="B11" s="32">
        <v>15800000</v>
      </c>
      <c r="C11" s="32">
        <v>22276780</v>
      </c>
      <c r="D11" s="32">
        <v>17912911</v>
      </c>
      <c r="E11" s="32">
        <v>17717779</v>
      </c>
      <c r="F11" s="32">
        <v>16334346</v>
      </c>
      <c r="G11" s="32">
        <v>15417466</v>
      </c>
      <c r="H11" s="32">
        <v>14634837</v>
      </c>
      <c r="I11" s="33" t="s">
        <v>91</v>
      </c>
      <c r="J11" s="34">
        <f>C11-D11</f>
        <v>4363869</v>
      </c>
      <c r="K11" s="27">
        <f>C11-E11</f>
        <v>4559001</v>
      </c>
    </row>
    <row r="12" spans="1:11" ht="29.25" thickBot="1" x14ac:dyDescent="0.3">
      <c r="A12" s="31" t="s">
        <v>390</v>
      </c>
      <c r="B12" s="32">
        <v>1556258</v>
      </c>
      <c r="C12" s="32">
        <v>4474004</v>
      </c>
      <c r="D12" s="32">
        <v>4473905</v>
      </c>
      <c r="E12" s="35">
        <v>0</v>
      </c>
      <c r="F12" s="35">
        <v>0</v>
      </c>
      <c r="G12" s="35">
        <v>0</v>
      </c>
      <c r="H12" s="35">
        <v>0</v>
      </c>
      <c r="I12" s="33" t="s">
        <v>25</v>
      </c>
      <c r="J12" s="34">
        <f>C12-D12</f>
        <v>99</v>
      </c>
      <c r="K12" s="27">
        <f>C12-E12</f>
        <v>4474004</v>
      </c>
    </row>
    <row r="13" spans="1:11" ht="29.25" thickBot="1" x14ac:dyDescent="0.3">
      <c r="A13" s="21" t="s">
        <v>289</v>
      </c>
      <c r="B13" s="19">
        <v>6000000</v>
      </c>
      <c r="C13" s="19">
        <v>15380884</v>
      </c>
      <c r="D13" s="19">
        <v>14270657</v>
      </c>
      <c r="E13" s="19">
        <v>11262957</v>
      </c>
      <c r="F13" s="19">
        <v>10694417</v>
      </c>
      <c r="G13" s="19">
        <v>9463521</v>
      </c>
      <c r="H13" s="19">
        <v>8712169</v>
      </c>
      <c r="I13" s="25" t="s">
        <v>290</v>
      </c>
      <c r="J13" s="27">
        <f>C13-D13</f>
        <v>1110227</v>
      </c>
      <c r="K13" s="27">
        <f>C13-E13</f>
        <v>4117927</v>
      </c>
    </row>
    <row r="14" spans="1:11" ht="15.75" thickBot="1" x14ac:dyDescent="0.3">
      <c r="A14" s="21" t="s">
        <v>182</v>
      </c>
      <c r="B14" s="19">
        <v>15500800</v>
      </c>
      <c r="C14" s="19">
        <v>23143575</v>
      </c>
      <c r="D14" s="19">
        <v>22275711</v>
      </c>
      <c r="E14" s="19">
        <v>19031849</v>
      </c>
      <c r="F14" s="19">
        <v>15277445</v>
      </c>
      <c r="G14" s="19">
        <v>12059018</v>
      </c>
      <c r="H14" s="19">
        <v>11569861</v>
      </c>
      <c r="I14" s="25" t="s">
        <v>183</v>
      </c>
      <c r="J14" s="27">
        <f>C14-D14</f>
        <v>867864</v>
      </c>
      <c r="K14" s="27">
        <f>C14-E14</f>
        <v>4111726</v>
      </c>
    </row>
    <row r="15" spans="1:11" ht="29.25" thickBot="1" x14ac:dyDescent="0.3">
      <c r="A15" s="21" t="s">
        <v>136</v>
      </c>
      <c r="B15" s="19">
        <v>12500000</v>
      </c>
      <c r="C15" s="19">
        <v>17354707</v>
      </c>
      <c r="D15" s="19">
        <v>17083718</v>
      </c>
      <c r="E15" s="19">
        <v>13375985</v>
      </c>
      <c r="F15" s="19">
        <v>10746841</v>
      </c>
      <c r="G15" s="19">
        <v>8610008</v>
      </c>
      <c r="H15" s="19">
        <v>8043611</v>
      </c>
      <c r="I15" s="25" t="s">
        <v>137</v>
      </c>
      <c r="J15" s="27">
        <f>C15-D15</f>
        <v>270989</v>
      </c>
      <c r="K15" s="27">
        <f>C15-E15</f>
        <v>3978722</v>
      </c>
    </row>
    <row r="16" spans="1:11" ht="29.25" thickBot="1" x14ac:dyDescent="0.3">
      <c r="A16" s="21" t="s">
        <v>608</v>
      </c>
      <c r="B16" s="20">
        <v>0</v>
      </c>
      <c r="C16" s="19">
        <v>3974680</v>
      </c>
      <c r="D16" s="19">
        <v>3830379</v>
      </c>
      <c r="E16" s="19">
        <v>188579</v>
      </c>
      <c r="F16" s="19">
        <v>175863</v>
      </c>
      <c r="G16" s="19">
        <v>141890</v>
      </c>
      <c r="H16" s="19">
        <v>131420</v>
      </c>
      <c r="I16" s="25" t="s">
        <v>536</v>
      </c>
      <c r="J16" s="27">
        <f>C16-D16</f>
        <v>144301</v>
      </c>
      <c r="K16" s="27">
        <f>C16-E16</f>
        <v>3786101</v>
      </c>
    </row>
    <row r="17" spans="1:11" ht="29.25" thickBot="1" x14ac:dyDescent="0.3">
      <c r="A17" s="21" t="s">
        <v>48</v>
      </c>
      <c r="B17" s="19">
        <v>1139986</v>
      </c>
      <c r="C17" s="19">
        <v>5921783</v>
      </c>
      <c r="D17" s="19">
        <v>5612636</v>
      </c>
      <c r="E17" s="19">
        <v>2263180</v>
      </c>
      <c r="F17" s="19">
        <v>2211564</v>
      </c>
      <c r="G17" s="19">
        <v>1271807</v>
      </c>
      <c r="H17" s="19">
        <v>1239120</v>
      </c>
      <c r="I17" s="25" t="s">
        <v>49</v>
      </c>
      <c r="J17" s="27">
        <f>C17-D17</f>
        <v>309147</v>
      </c>
      <c r="K17" s="27">
        <f>C17-E17</f>
        <v>3658603</v>
      </c>
    </row>
    <row r="18" spans="1:11" ht="29.25" thickBot="1" x14ac:dyDescent="0.3">
      <c r="A18" s="21" t="s">
        <v>169</v>
      </c>
      <c r="B18" s="19">
        <v>10000000</v>
      </c>
      <c r="C18" s="19">
        <v>22224878</v>
      </c>
      <c r="D18" s="19">
        <v>21946068</v>
      </c>
      <c r="E18" s="19">
        <v>18817053</v>
      </c>
      <c r="F18" s="19">
        <v>7134863</v>
      </c>
      <c r="G18" s="19">
        <v>7073510</v>
      </c>
      <c r="H18" s="19">
        <v>7057069</v>
      </c>
      <c r="I18" s="25" t="s">
        <v>170</v>
      </c>
      <c r="J18" s="27">
        <f>C18-D18</f>
        <v>278810</v>
      </c>
      <c r="K18" s="27">
        <f>C18-E18</f>
        <v>3407825</v>
      </c>
    </row>
    <row r="19" spans="1:11" ht="29.25" thickBot="1" x14ac:dyDescent="0.3">
      <c r="A19" s="21" t="s">
        <v>610</v>
      </c>
      <c r="B19" s="20">
        <v>0</v>
      </c>
      <c r="C19" s="19">
        <v>8483998</v>
      </c>
      <c r="D19" s="19">
        <v>8474782</v>
      </c>
      <c r="E19" s="19">
        <v>5324755</v>
      </c>
      <c r="F19" s="19">
        <v>5322446</v>
      </c>
      <c r="G19" s="19">
        <v>5322446</v>
      </c>
      <c r="H19" s="19">
        <v>5322446</v>
      </c>
      <c r="I19" s="25" t="s">
        <v>460</v>
      </c>
      <c r="J19" s="27">
        <f>C19-D19</f>
        <v>9216</v>
      </c>
      <c r="K19" s="27">
        <f>C19-E19</f>
        <v>3159243</v>
      </c>
    </row>
    <row r="20" spans="1:11" ht="29.25" thickBot="1" x14ac:dyDescent="0.3">
      <c r="A20" s="21" t="s">
        <v>449</v>
      </c>
      <c r="B20" s="19">
        <v>5730000</v>
      </c>
      <c r="C20" s="19">
        <v>8887232</v>
      </c>
      <c r="D20" s="19">
        <v>8093419</v>
      </c>
      <c r="E20" s="19">
        <v>5749048</v>
      </c>
      <c r="F20" s="19">
        <v>5359957</v>
      </c>
      <c r="G20" s="19">
        <v>3262893</v>
      </c>
      <c r="H20" s="19">
        <v>3052182</v>
      </c>
      <c r="I20" s="25" t="s">
        <v>450</v>
      </c>
      <c r="J20" s="27">
        <f>C20-D20</f>
        <v>793813</v>
      </c>
      <c r="K20" s="27">
        <f>C20-E20</f>
        <v>3138184</v>
      </c>
    </row>
    <row r="21" spans="1:11" ht="43.5" thickBot="1" x14ac:dyDescent="0.3">
      <c r="A21" s="21" t="s">
        <v>319</v>
      </c>
      <c r="B21" s="19">
        <v>2800000</v>
      </c>
      <c r="C21" s="19">
        <v>11412366</v>
      </c>
      <c r="D21" s="19">
        <v>10878205</v>
      </c>
      <c r="E21" s="19">
        <v>8448139</v>
      </c>
      <c r="F21" s="19">
        <v>8246934</v>
      </c>
      <c r="G21" s="19">
        <v>6860678</v>
      </c>
      <c r="H21" s="19">
        <v>6078460</v>
      </c>
      <c r="I21" s="25" t="s">
        <v>320</v>
      </c>
      <c r="J21" s="27">
        <f>C21-D21</f>
        <v>534161</v>
      </c>
      <c r="K21" s="27">
        <f>C21-E21</f>
        <v>2964227</v>
      </c>
    </row>
    <row r="22" spans="1:11" ht="29.25" thickBot="1" x14ac:dyDescent="0.3">
      <c r="A22" s="21" t="s">
        <v>244</v>
      </c>
      <c r="B22" s="19">
        <v>7546000</v>
      </c>
      <c r="C22" s="19">
        <v>9666000</v>
      </c>
      <c r="D22" s="19">
        <v>9191704</v>
      </c>
      <c r="E22" s="19">
        <v>6821297</v>
      </c>
      <c r="F22" s="19">
        <v>6450043</v>
      </c>
      <c r="G22" s="19">
        <v>5594991</v>
      </c>
      <c r="H22" s="19">
        <v>4910559</v>
      </c>
      <c r="I22" s="25" t="s">
        <v>245</v>
      </c>
      <c r="J22" s="27">
        <f>C22-D22</f>
        <v>474296</v>
      </c>
      <c r="K22" s="27">
        <f>C22-E22</f>
        <v>2844703</v>
      </c>
    </row>
    <row r="23" spans="1:11" ht="29.25" thickBot="1" x14ac:dyDescent="0.3">
      <c r="A23" s="21" t="s">
        <v>144</v>
      </c>
      <c r="B23" s="19">
        <v>2000000</v>
      </c>
      <c r="C23" s="19">
        <v>4927527</v>
      </c>
      <c r="D23" s="19">
        <v>4223261</v>
      </c>
      <c r="E23" s="19">
        <v>2264680</v>
      </c>
      <c r="F23" s="19">
        <v>2212773</v>
      </c>
      <c r="G23" s="19">
        <v>1725644</v>
      </c>
      <c r="H23" s="19">
        <v>1250146</v>
      </c>
      <c r="I23" s="25" t="s">
        <v>145</v>
      </c>
      <c r="J23" s="27">
        <f>C23-D23</f>
        <v>704266</v>
      </c>
      <c r="K23" s="27">
        <f>C23-E23</f>
        <v>2662847</v>
      </c>
    </row>
    <row r="24" spans="1:11" ht="15.75" thickBot="1" x14ac:dyDescent="0.3">
      <c r="A24" s="21" t="s">
        <v>37</v>
      </c>
      <c r="B24" s="19">
        <v>6269000</v>
      </c>
      <c r="C24" s="19">
        <v>5810277</v>
      </c>
      <c r="D24" s="19">
        <v>5204424</v>
      </c>
      <c r="E24" s="19">
        <v>3160250</v>
      </c>
      <c r="F24" s="19">
        <v>2836806</v>
      </c>
      <c r="G24" s="19">
        <v>1157373</v>
      </c>
      <c r="H24" s="19">
        <v>1109853</v>
      </c>
      <c r="I24" s="25" t="s">
        <v>38</v>
      </c>
      <c r="J24" s="27">
        <f>C24-D24</f>
        <v>605853</v>
      </c>
      <c r="K24" s="27">
        <f>C24-E24</f>
        <v>2650027</v>
      </c>
    </row>
    <row r="25" spans="1:11" ht="29.25" thickBot="1" x14ac:dyDescent="0.3">
      <c r="A25" s="21" t="s">
        <v>216</v>
      </c>
      <c r="B25" s="19">
        <v>9468125</v>
      </c>
      <c r="C25" s="19">
        <v>8256172</v>
      </c>
      <c r="D25" s="19">
        <v>7527847</v>
      </c>
      <c r="E25" s="19">
        <v>5727178</v>
      </c>
      <c r="F25" s="19">
        <v>5370062</v>
      </c>
      <c r="G25" s="19">
        <v>4485722</v>
      </c>
      <c r="H25" s="19">
        <v>4078736</v>
      </c>
      <c r="I25" s="25" t="s">
        <v>217</v>
      </c>
      <c r="J25" s="27">
        <f>C25-D25</f>
        <v>728325</v>
      </c>
      <c r="K25" s="27">
        <f>C25-E25</f>
        <v>2528994</v>
      </c>
    </row>
    <row r="26" spans="1:11" ht="29.25" thickBot="1" x14ac:dyDescent="0.3">
      <c r="A26" s="21" t="s">
        <v>232</v>
      </c>
      <c r="B26" s="19">
        <v>4902849</v>
      </c>
      <c r="C26" s="19">
        <v>11203165</v>
      </c>
      <c r="D26" s="19">
        <v>10889669</v>
      </c>
      <c r="E26" s="19">
        <v>8721490</v>
      </c>
      <c r="F26" s="19">
        <v>8106145</v>
      </c>
      <c r="G26" s="19">
        <v>6395813</v>
      </c>
      <c r="H26" s="19">
        <v>5759894</v>
      </c>
      <c r="I26" s="25" t="s">
        <v>233</v>
      </c>
      <c r="J26" s="27">
        <f>C26-D26</f>
        <v>313496</v>
      </c>
      <c r="K26" s="27">
        <f>C26-E26</f>
        <v>2481675</v>
      </c>
    </row>
    <row r="27" spans="1:11" ht="29.25" thickBot="1" x14ac:dyDescent="0.3">
      <c r="A27" s="21" t="s">
        <v>435</v>
      </c>
      <c r="B27" s="20">
        <v>0</v>
      </c>
      <c r="C27" s="19">
        <v>2394005</v>
      </c>
      <c r="D27" s="20">
        <v>0</v>
      </c>
      <c r="E27" s="20">
        <v>0</v>
      </c>
      <c r="F27" s="20">
        <v>0</v>
      </c>
      <c r="G27" s="20">
        <v>0</v>
      </c>
      <c r="H27" s="20">
        <v>0</v>
      </c>
      <c r="I27" s="25" t="s">
        <v>25</v>
      </c>
      <c r="J27" s="27">
        <f>C27-D27</f>
        <v>2394005</v>
      </c>
      <c r="K27" s="27">
        <f>C27-E27</f>
        <v>2394005</v>
      </c>
    </row>
    <row r="28" spans="1:11" ht="29.25" thickBot="1" x14ac:dyDescent="0.3">
      <c r="A28" s="21" t="s">
        <v>278</v>
      </c>
      <c r="B28" s="19">
        <v>2595053</v>
      </c>
      <c r="C28" s="19">
        <v>9222405</v>
      </c>
      <c r="D28" s="19">
        <v>9003233</v>
      </c>
      <c r="E28" s="19">
        <v>6841617</v>
      </c>
      <c r="F28" s="19">
        <v>6645943</v>
      </c>
      <c r="G28" s="19">
        <v>5421357</v>
      </c>
      <c r="H28" s="19">
        <v>5084271</v>
      </c>
      <c r="I28" s="25" t="s">
        <v>279</v>
      </c>
      <c r="J28" s="27">
        <f>C28-D28</f>
        <v>219172</v>
      </c>
      <c r="K28" s="27">
        <f>C28-E28</f>
        <v>2380788</v>
      </c>
    </row>
    <row r="29" spans="1:11" ht="29.25" thickBot="1" x14ac:dyDescent="0.3">
      <c r="A29" s="21" t="s">
        <v>146</v>
      </c>
      <c r="B29" s="19">
        <v>8016014</v>
      </c>
      <c r="C29" s="19">
        <v>17241964</v>
      </c>
      <c r="D29" s="19">
        <v>17144705</v>
      </c>
      <c r="E29" s="19">
        <v>14900492</v>
      </c>
      <c r="F29" s="19">
        <v>14257900</v>
      </c>
      <c r="G29" s="19">
        <v>11639796</v>
      </c>
      <c r="H29" s="19">
        <v>11082518</v>
      </c>
      <c r="I29" s="25" t="s">
        <v>147</v>
      </c>
      <c r="J29" s="27">
        <f>C29-D29</f>
        <v>97259</v>
      </c>
      <c r="K29" s="27">
        <f>C29-E29</f>
        <v>2341472</v>
      </c>
    </row>
    <row r="30" spans="1:11" ht="43.5" thickBot="1" x14ac:dyDescent="0.3">
      <c r="A30" s="21" t="s">
        <v>310</v>
      </c>
      <c r="B30" s="19">
        <v>800000</v>
      </c>
      <c r="C30" s="19">
        <v>2308286</v>
      </c>
      <c r="D30" s="20">
        <v>0</v>
      </c>
      <c r="E30" s="20">
        <v>0</v>
      </c>
      <c r="F30" s="20">
        <v>0</v>
      </c>
      <c r="G30" s="20">
        <v>0</v>
      </c>
      <c r="H30" s="20">
        <v>0</v>
      </c>
      <c r="I30" s="25" t="s">
        <v>25</v>
      </c>
      <c r="J30" s="27">
        <f>C30-D30</f>
        <v>2308286</v>
      </c>
      <c r="K30" s="27">
        <f>C30-E30</f>
        <v>2308286</v>
      </c>
    </row>
    <row r="31" spans="1:11" ht="29.25" thickBot="1" x14ac:dyDescent="0.3">
      <c r="A31" s="21" t="s">
        <v>388</v>
      </c>
      <c r="B31" s="19">
        <v>2054253</v>
      </c>
      <c r="C31" s="19">
        <v>2054253</v>
      </c>
      <c r="D31" s="19">
        <v>1854253</v>
      </c>
      <c r="E31" s="20">
        <v>0</v>
      </c>
      <c r="F31" s="20">
        <v>0</v>
      </c>
      <c r="G31" s="20">
        <v>0</v>
      </c>
      <c r="H31" s="20">
        <v>0</v>
      </c>
      <c r="I31" s="25" t="s">
        <v>25</v>
      </c>
      <c r="J31" s="27">
        <f>C31-D31</f>
        <v>200000</v>
      </c>
      <c r="K31" s="27">
        <f>C31-E31</f>
        <v>2054253</v>
      </c>
    </row>
    <row r="32" spans="1:11" ht="29.25" thickBot="1" x14ac:dyDescent="0.3">
      <c r="A32" s="21" t="s">
        <v>111</v>
      </c>
      <c r="B32" s="19">
        <v>2546207</v>
      </c>
      <c r="C32" s="19">
        <v>10519577</v>
      </c>
      <c r="D32" s="19">
        <v>10386241</v>
      </c>
      <c r="E32" s="19">
        <v>8483089</v>
      </c>
      <c r="F32" s="19">
        <v>8382186</v>
      </c>
      <c r="G32" s="19">
        <v>7596373</v>
      </c>
      <c r="H32" s="19">
        <v>6861807</v>
      </c>
      <c r="I32" s="25" t="s">
        <v>112</v>
      </c>
      <c r="J32" s="27">
        <f>C32-D32</f>
        <v>133336</v>
      </c>
      <c r="K32" s="27">
        <f>C32-E32</f>
        <v>2036488</v>
      </c>
    </row>
    <row r="33" spans="1:11" ht="29.25" thickBot="1" x14ac:dyDescent="0.3">
      <c r="A33" s="21" t="s">
        <v>249</v>
      </c>
      <c r="B33" s="19">
        <v>12000000</v>
      </c>
      <c r="C33" s="19">
        <v>2000000</v>
      </c>
      <c r="D33" s="19">
        <v>2000000</v>
      </c>
      <c r="E33" s="20">
        <v>0</v>
      </c>
      <c r="F33" s="20">
        <v>0</v>
      </c>
      <c r="G33" s="20">
        <v>0</v>
      </c>
      <c r="H33" s="20">
        <v>0</v>
      </c>
      <c r="I33" s="25" t="s">
        <v>25</v>
      </c>
      <c r="J33" s="27">
        <f>C33-D33</f>
        <v>0</v>
      </c>
      <c r="K33" s="27">
        <f>C33-E33</f>
        <v>2000000</v>
      </c>
    </row>
    <row r="34" spans="1:11" ht="29.25" thickBot="1" x14ac:dyDescent="0.3">
      <c r="A34" s="21" t="s">
        <v>625</v>
      </c>
      <c r="B34" s="20">
        <v>0</v>
      </c>
      <c r="C34" s="19">
        <v>2040218</v>
      </c>
      <c r="D34" s="19">
        <v>2014066</v>
      </c>
      <c r="E34" s="19">
        <v>213742</v>
      </c>
      <c r="F34" s="19">
        <v>167702</v>
      </c>
      <c r="G34" s="19">
        <v>153737</v>
      </c>
      <c r="H34" s="19">
        <v>151374</v>
      </c>
      <c r="I34" s="25" t="s">
        <v>497</v>
      </c>
      <c r="J34" s="27">
        <f>C34-D34</f>
        <v>26152</v>
      </c>
      <c r="K34" s="27">
        <f>C34-E34</f>
        <v>1826476</v>
      </c>
    </row>
    <row r="35" spans="1:11" ht="29.25" thickBot="1" x14ac:dyDescent="0.3">
      <c r="A35" s="21" t="s">
        <v>318</v>
      </c>
      <c r="B35" s="19">
        <v>2500000</v>
      </c>
      <c r="C35" s="19">
        <v>9037622</v>
      </c>
      <c r="D35" s="19">
        <v>8236997</v>
      </c>
      <c r="E35" s="19">
        <v>7212897</v>
      </c>
      <c r="F35" s="19">
        <v>6321171</v>
      </c>
      <c r="G35" s="19">
        <v>5290298</v>
      </c>
      <c r="H35" s="19">
        <v>4823286</v>
      </c>
      <c r="I35" s="25" t="s">
        <v>299</v>
      </c>
      <c r="J35" s="27">
        <f>C35-D35</f>
        <v>800625</v>
      </c>
      <c r="K35" s="27">
        <f>C35-E35</f>
        <v>1824725</v>
      </c>
    </row>
    <row r="36" spans="1:11" ht="29.25" thickBot="1" x14ac:dyDescent="0.3">
      <c r="A36" s="21" t="s">
        <v>125</v>
      </c>
      <c r="B36" s="19">
        <v>2120577</v>
      </c>
      <c r="C36" s="19">
        <v>4026127</v>
      </c>
      <c r="D36" s="19">
        <v>3933835</v>
      </c>
      <c r="E36" s="19">
        <v>2228281</v>
      </c>
      <c r="F36" s="19">
        <v>1396384</v>
      </c>
      <c r="G36" s="19">
        <v>1387806</v>
      </c>
      <c r="H36" s="19">
        <v>1275287</v>
      </c>
      <c r="I36" s="25" t="s">
        <v>126</v>
      </c>
      <c r="J36" s="27">
        <f>C36-D36</f>
        <v>92292</v>
      </c>
      <c r="K36" s="27">
        <f>C36-E36</f>
        <v>1797846</v>
      </c>
    </row>
    <row r="37" spans="1:11" ht="29.25" thickBot="1" x14ac:dyDescent="0.3">
      <c r="A37" s="21" t="s">
        <v>211</v>
      </c>
      <c r="B37" s="19">
        <v>2822702</v>
      </c>
      <c r="C37" s="19">
        <v>6688287</v>
      </c>
      <c r="D37" s="19">
        <v>6156914</v>
      </c>
      <c r="E37" s="19">
        <v>4901106</v>
      </c>
      <c r="F37" s="19">
        <v>4851194</v>
      </c>
      <c r="G37" s="19">
        <v>3692513</v>
      </c>
      <c r="H37" s="19">
        <v>3456574</v>
      </c>
      <c r="I37" s="25" t="s">
        <v>212</v>
      </c>
      <c r="J37" s="27">
        <f>C37-D37</f>
        <v>531373</v>
      </c>
      <c r="K37" s="27">
        <f>C37-E37</f>
        <v>1787181</v>
      </c>
    </row>
    <row r="38" spans="1:11" ht="15.75" thickBot="1" x14ac:dyDescent="0.3">
      <c r="A38" s="21" t="s">
        <v>192</v>
      </c>
      <c r="B38" s="19">
        <v>300000</v>
      </c>
      <c r="C38" s="19">
        <v>1800000</v>
      </c>
      <c r="D38" s="19">
        <v>26893</v>
      </c>
      <c r="E38" s="19">
        <v>26893</v>
      </c>
      <c r="F38" s="19">
        <v>26893</v>
      </c>
      <c r="G38" s="19">
        <v>26893</v>
      </c>
      <c r="H38" s="19">
        <v>26893</v>
      </c>
      <c r="I38" s="25" t="s">
        <v>193</v>
      </c>
      <c r="J38" s="27">
        <f>C38-D38</f>
        <v>1773107</v>
      </c>
      <c r="K38" s="27">
        <f>C38-E38</f>
        <v>1773107</v>
      </c>
    </row>
    <row r="39" spans="1:11" ht="29.25" thickBot="1" x14ac:dyDescent="0.3">
      <c r="A39" s="21" t="s">
        <v>175</v>
      </c>
      <c r="B39" s="19">
        <v>200000</v>
      </c>
      <c r="C39" s="19">
        <v>3866926</v>
      </c>
      <c r="D39" s="19">
        <v>2225809</v>
      </c>
      <c r="E39" s="19">
        <v>2101121</v>
      </c>
      <c r="F39" s="19">
        <v>2024160</v>
      </c>
      <c r="G39" s="19">
        <v>1961816</v>
      </c>
      <c r="H39" s="19">
        <v>1969860</v>
      </c>
      <c r="I39" s="25" t="s">
        <v>176</v>
      </c>
      <c r="J39" s="27">
        <f>C39-D39</f>
        <v>1641117</v>
      </c>
      <c r="K39" s="27">
        <f>C39-E39</f>
        <v>1765805</v>
      </c>
    </row>
    <row r="40" spans="1:11" ht="29.25" thickBot="1" x14ac:dyDescent="0.3">
      <c r="A40" s="21" t="s">
        <v>305</v>
      </c>
      <c r="B40" s="19">
        <v>4083424</v>
      </c>
      <c r="C40" s="19">
        <v>1750696</v>
      </c>
      <c r="D40" s="19">
        <v>1750696</v>
      </c>
      <c r="E40" s="20">
        <v>0</v>
      </c>
      <c r="F40" s="20">
        <v>0</v>
      </c>
      <c r="G40" s="20">
        <v>0</v>
      </c>
      <c r="H40" s="20">
        <v>0</v>
      </c>
      <c r="I40" s="25" t="s">
        <v>25</v>
      </c>
      <c r="J40" s="27">
        <f>C40-D40</f>
        <v>0</v>
      </c>
      <c r="K40" s="27">
        <f>C40-E40</f>
        <v>1750696</v>
      </c>
    </row>
    <row r="41" spans="1:11" ht="29.25" thickBot="1" x14ac:dyDescent="0.3">
      <c r="A41" s="21" t="s">
        <v>258</v>
      </c>
      <c r="B41" s="19">
        <v>327863</v>
      </c>
      <c r="C41" s="19">
        <v>2047936</v>
      </c>
      <c r="D41" s="19">
        <v>377863</v>
      </c>
      <c r="E41" s="19">
        <v>366632</v>
      </c>
      <c r="F41" s="19">
        <v>318048</v>
      </c>
      <c r="G41" s="19">
        <v>318048</v>
      </c>
      <c r="H41" s="19">
        <v>318048</v>
      </c>
      <c r="I41" s="25" t="s">
        <v>259</v>
      </c>
      <c r="J41" s="27">
        <f>C41-D41</f>
        <v>1670073</v>
      </c>
      <c r="K41" s="27">
        <f>C41-E41</f>
        <v>1681304</v>
      </c>
    </row>
    <row r="42" spans="1:11" ht="29.25" thickBot="1" x14ac:dyDescent="0.3">
      <c r="A42" s="21" t="s">
        <v>134</v>
      </c>
      <c r="B42" s="19">
        <v>9609000</v>
      </c>
      <c r="C42" s="19">
        <v>19795501</v>
      </c>
      <c r="D42" s="19">
        <v>19793412</v>
      </c>
      <c r="E42" s="19">
        <v>18134195</v>
      </c>
      <c r="F42" s="19">
        <v>17203041</v>
      </c>
      <c r="G42" s="19">
        <v>14545766</v>
      </c>
      <c r="H42" s="19">
        <v>13998596</v>
      </c>
      <c r="I42" s="25" t="s">
        <v>135</v>
      </c>
      <c r="J42" s="27">
        <f>C42-D42</f>
        <v>2089</v>
      </c>
      <c r="K42" s="27">
        <f>C42-E42</f>
        <v>1661306</v>
      </c>
    </row>
    <row r="43" spans="1:11" ht="15.75" thickBot="1" x14ac:dyDescent="0.3">
      <c r="A43" s="21" t="s">
        <v>18</v>
      </c>
      <c r="B43" s="8">
        <v>34651774</v>
      </c>
      <c r="C43" s="8">
        <v>7962753</v>
      </c>
      <c r="D43" s="8">
        <v>6442206</v>
      </c>
      <c r="E43" s="8">
        <v>6317905</v>
      </c>
      <c r="F43" s="8">
        <v>6097967</v>
      </c>
      <c r="G43" s="8">
        <v>5860251</v>
      </c>
      <c r="H43" s="8">
        <v>5788002</v>
      </c>
      <c r="I43" s="24" t="s">
        <v>19</v>
      </c>
      <c r="J43" s="27">
        <f>C43-D43</f>
        <v>1520547</v>
      </c>
      <c r="K43" s="27">
        <f>C43-E43</f>
        <v>1644848</v>
      </c>
    </row>
    <row r="44" spans="1:11" ht="29.25" thickBot="1" x14ac:dyDescent="0.3">
      <c r="A44" s="21" t="s">
        <v>132</v>
      </c>
      <c r="B44" s="19">
        <v>8000000</v>
      </c>
      <c r="C44" s="19">
        <v>6997430</v>
      </c>
      <c r="D44" s="19">
        <v>6787159</v>
      </c>
      <c r="E44" s="19">
        <v>5366065</v>
      </c>
      <c r="F44" s="19">
        <v>3559162</v>
      </c>
      <c r="G44" s="19">
        <v>2630352</v>
      </c>
      <c r="H44" s="19">
        <v>2455859</v>
      </c>
      <c r="I44" s="25" t="s">
        <v>133</v>
      </c>
      <c r="J44" s="27">
        <f>C44-D44</f>
        <v>210271</v>
      </c>
      <c r="K44" s="27">
        <f>C44-E44</f>
        <v>1631365</v>
      </c>
    </row>
    <row r="45" spans="1:11" ht="29.25" thickBot="1" x14ac:dyDescent="0.3">
      <c r="A45" s="21" t="s">
        <v>298</v>
      </c>
      <c r="B45" s="19">
        <v>2466235</v>
      </c>
      <c r="C45" s="19">
        <v>6770858</v>
      </c>
      <c r="D45" s="19">
        <v>6051014</v>
      </c>
      <c r="E45" s="19">
        <v>5148470</v>
      </c>
      <c r="F45" s="19">
        <v>4930877</v>
      </c>
      <c r="G45" s="19">
        <v>3961149</v>
      </c>
      <c r="H45" s="19">
        <v>3362022</v>
      </c>
      <c r="I45" s="25" t="s">
        <v>299</v>
      </c>
      <c r="J45" s="27">
        <f>C45-D45</f>
        <v>719844</v>
      </c>
      <c r="K45" s="27">
        <f>C45-E45</f>
        <v>1622388</v>
      </c>
    </row>
    <row r="46" spans="1:11" ht="43.5" thickBot="1" x14ac:dyDescent="0.3">
      <c r="A46" s="21" t="s">
        <v>161</v>
      </c>
      <c r="B46" s="19">
        <v>3770000</v>
      </c>
      <c r="C46" s="19">
        <v>9795205</v>
      </c>
      <c r="D46" s="19">
        <v>8653127</v>
      </c>
      <c r="E46" s="19">
        <v>8210931</v>
      </c>
      <c r="F46" s="19">
        <v>7642489</v>
      </c>
      <c r="G46" s="19">
        <v>6503506</v>
      </c>
      <c r="H46" s="19">
        <v>6197989</v>
      </c>
      <c r="I46" s="25" t="s">
        <v>162</v>
      </c>
      <c r="J46" s="27">
        <f>C46-D46</f>
        <v>1142078</v>
      </c>
      <c r="K46" s="27">
        <f>C46-E46</f>
        <v>1584274</v>
      </c>
    </row>
    <row r="47" spans="1:11" ht="29.25" thickBot="1" x14ac:dyDescent="0.3">
      <c r="A47" s="21" t="s">
        <v>598</v>
      </c>
      <c r="B47" s="20">
        <v>0</v>
      </c>
      <c r="C47" s="19">
        <v>2967206</v>
      </c>
      <c r="D47" s="19">
        <v>2958279</v>
      </c>
      <c r="E47" s="19">
        <v>1416601</v>
      </c>
      <c r="F47" s="19">
        <v>886711</v>
      </c>
      <c r="G47" s="19">
        <v>886711</v>
      </c>
      <c r="H47" s="19">
        <v>341382</v>
      </c>
      <c r="I47" s="25" t="s">
        <v>599</v>
      </c>
      <c r="J47" s="27">
        <f>C47-D47</f>
        <v>8927</v>
      </c>
      <c r="K47" s="27">
        <f>C47-E47</f>
        <v>1550605</v>
      </c>
    </row>
    <row r="48" spans="1:11" ht="29.25" thickBot="1" x14ac:dyDescent="0.3">
      <c r="A48" s="21" t="s">
        <v>129</v>
      </c>
      <c r="B48" s="19">
        <v>12200258</v>
      </c>
      <c r="C48" s="19">
        <v>18753537</v>
      </c>
      <c r="D48" s="19">
        <v>18471517</v>
      </c>
      <c r="E48" s="19">
        <v>17212318</v>
      </c>
      <c r="F48" s="19">
        <v>17212318</v>
      </c>
      <c r="G48" s="19">
        <v>17212318</v>
      </c>
      <c r="H48" s="19">
        <v>16212318</v>
      </c>
      <c r="I48" s="25" t="s">
        <v>130</v>
      </c>
      <c r="J48" s="27">
        <f>C48-D48</f>
        <v>282020</v>
      </c>
      <c r="K48" s="27">
        <f>C48-E48</f>
        <v>1541219</v>
      </c>
    </row>
    <row r="49" spans="1:11" ht="29.25" thickBot="1" x14ac:dyDescent="0.3">
      <c r="A49" s="21" t="s">
        <v>260</v>
      </c>
      <c r="B49" s="19">
        <v>500000</v>
      </c>
      <c r="C49" s="19">
        <v>7439155</v>
      </c>
      <c r="D49" s="19">
        <v>6108586</v>
      </c>
      <c r="E49" s="19">
        <v>5908248</v>
      </c>
      <c r="F49" s="19">
        <v>5804157</v>
      </c>
      <c r="G49" s="19">
        <v>5504732</v>
      </c>
      <c r="H49" s="19">
        <v>4935738</v>
      </c>
      <c r="I49" s="25" t="s">
        <v>261</v>
      </c>
      <c r="J49" s="27">
        <f>C49-D49</f>
        <v>1330569</v>
      </c>
      <c r="K49" s="27">
        <f>C49-E49</f>
        <v>1530907</v>
      </c>
    </row>
    <row r="50" spans="1:11" ht="29.25" thickBot="1" x14ac:dyDescent="0.3">
      <c r="A50" s="21" t="s">
        <v>313</v>
      </c>
      <c r="B50" s="19">
        <v>1500000</v>
      </c>
      <c r="C50" s="19">
        <v>4271598</v>
      </c>
      <c r="D50" s="19">
        <v>4070553</v>
      </c>
      <c r="E50" s="19">
        <v>2749274</v>
      </c>
      <c r="F50" s="19">
        <v>2665872</v>
      </c>
      <c r="G50" s="19">
        <v>2287215</v>
      </c>
      <c r="H50" s="19">
        <v>2102137</v>
      </c>
      <c r="I50" s="25" t="s">
        <v>231</v>
      </c>
      <c r="J50" s="27">
        <f>C50-D50</f>
        <v>201045</v>
      </c>
      <c r="K50" s="27">
        <f>C50-E50</f>
        <v>1522324</v>
      </c>
    </row>
    <row r="51" spans="1:11" ht="15.75" thickBot="1" x14ac:dyDescent="0.3">
      <c r="A51" s="21" t="s">
        <v>29</v>
      </c>
      <c r="B51" s="19">
        <v>4800690</v>
      </c>
      <c r="C51" s="19">
        <v>1868752</v>
      </c>
      <c r="D51" s="19">
        <v>1642733</v>
      </c>
      <c r="E51" s="19">
        <v>353547</v>
      </c>
      <c r="F51" s="19">
        <v>308433</v>
      </c>
      <c r="G51" s="19">
        <v>308433</v>
      </c>
      <c r="H51" s="19">
        <v>308433</v>
      </c>
      <c r="I51" s="25" t="s">
        <v>30</v>
      </c>
      <c r="J51" s="27">
        <f>C51-D51</f>
        <v>226019</v>
      </c>
      <c r="K51" s="27">
        <f>C51-E51</f>
        <v>1515205</v>
      </c>
    </row>
    <row r="52" spans="1:11" ht="29.25" thickBot="1" x14ac:dyDescent="0.3">
      <c r="A52" s="21" t="s">
        <v>267</v>
      </c>
      <c r="B52" s="19">
        <v>3000000</v>
      </c>
      <c r="C52" s="19">
        <v>1479604</v>
      </c>
      <c r="D52" s="19">
        <v>1473924</v>
      </c>
      <c r="E52" s="19">
        <v>9462</v>
      </c>
      <c r="F52" s="19">
        <v>7417</v>
      </c>
      <c r="G52" s="19">
        <v>7417</v>
      </c>
      <c r="H52" s="19">
        <v>7417</v>
      </c>
      <c r="I52" s="25" t="s">
        <v>89</v>
      </c>
      <c r="J52" s="27">
        <f>C52-D52</f>
        <v>5680</v>
      </c>
      <c r="K52" s="27">
        <f>C52-E52</f>
        <v>1470142</v>
      </c>
    </row>
    <row r="53" spans="1:11" ht="29.25" thickBot="1" x14ac:dyDescent="0.3">
      <c r="A53" s="21" t="s">
        <v>219</v>
      </c>
      <c r="B53" s="20">
        <v>0</v>
      </c>
      <c r="C53" s="19">
        <v>1827737</v>
      </c>
      <c r="D53" s="19">
        <v>1014426</v>
      </c>
      <c r="E53" s="19">
        <v>399212</v>
      </c>
      <c r="F53" s="19">
        <v>294002</v>
      </c>
      <c r="G53" s="19">
        <v>13810</v>
      </c>
      <c r="H53" s="19">
        <v>10027</v>
      </c>
      <c r="I53" s="25" t="s">
        <v>220</v>
      </c>
      <c r="J53" s="27">
        <f>C53-D53</f>
        <v>813311</v>
      </c>
      <c r="K53" s="27">
        <f>C53-E53</f>
        <v>1428525</v>
      </c>
    </row>
    <row r="54" spans="1:11" ht="15.75" thickBot="1" x14ac:dyDescent="0.3">
      <c r="A54" s="21" t="s">
        <v>247</v>
      </c>
      <c r="B54" s="19">
        <v>1341357</v>
      </c>
      <c r="C54" s="19">
        <v>6765264</v>
      </c>
      <c r="D54" s="19">
        <v>6659441</v>
      </c>
      <c r="E54" s="19">
        <v>5358470</v>
      </c>
      <c r="F54" s="19">
        <v>5005370</v>
      </c>
      <c r="G54" s="19">
        <v>4177876</v>
      </c>
      <c r="H54" s="19">
        <v>4013996</v>
      </c>
      <c r="I54" s="25" t="s">
        <v>248</v>
      </c>
      <c r="J54" s="27">
        <f>C54-D54</f>
        <v>105823</v>
      </c>
      <c r="K54" s="27">
        <f>C54-E54</f>
        <v>1406794</v>
      </c>
    </row>
    <row r="55" spans="1:11" ht="29.25" thickBot="1" x14ac:dyDescent="0.3">
      <c r="A55" s="21" t="s">
        <v>122</v>
      </c>
      <c r="B55" s="19">
        <v>12491498</v>
      </c>
      <c r="C55" s="19">
        <v>14991498</v>
      </c>
      <c r="D55" s="19">
        <v>14685003</v>
      </c>
      <c r="E55" s="19">
        <v>13584705</v>
      </c>
      <c r="F55" s="19">
        <v>12187900</v>
      </c>
      <c r="G55" s="19">
        <v>11502167</v>
      </c>
      <c r="H55" s="19">
        <v>10437635</v>
      </c>
      <c r="I55" s="25" t="s">
        <v>123</v>
      </c>
      <c r="J55" s="27">
        <f>C55-D55</f>
        <v>306495</v>
      </c>
      <c r="K55" s="27">
        <f>C55-E55</f>
        <v>1406793</v>
      </c>
    </row>
    <row r="56" spans="1:11" ht="29.25" thickBot="1" x14ac:dyDescent="0.3">
      <c r="A56" s="21" t="s">
        <v>159</v>
      </c>
      <c r="B56" s="19">
        <v>11955231</v>
      </c>
      <c r="C56" s="19">
        <v>21914154</v>
      </c>
      <c r="D56" s="19">
        <v>21776068</v>
      </c>
      <c r="E56" s="19">
        <v>20527324</v>
      </c>
      <c r="F56" s="19">
        <v>20073863</v>
      </c>
      <c r="G56" s="19">
        <v>15564867</v>
      </c>
      <c r="H56" s="19">
        <v>14020801</v>
      </c>
      <c r="I56" s="25" t="s">
        <v>160</v>
      </c>
      <c r="J56" s="27">
        <f>C56-D56</f>
        <v>138086</v>
      </c>
      <c r="K56" s="27">
        <f>C56-E56</f>
        <v>1386830</v>
      </c>
    </row>
    <row r="57" spans="1:11" ht="15.75" thickBot="1" x14ac:dyDescent="0.3">
      <c r="A57" s="21" t="s">
        <v>489</v>
      </c>
      <c r="B57" s="20">
        <v>0</v>
      </c>
      <c r="C57" s="19">
        <v>1376515</v>
      </c>
      <c r="D57" s="20">
        <v>0</v>
      </c>
      <c r="E57" s="20">
        <v>0</v>
      </c>
      <c r="F57" s="20">
        <v>0</v>
      </c>
      <c r="G57" s="20">
        <v>0</v>
      </c>
      <c r="H57" s="20">
        <v>0</v>
      </c>
      <c r="I57" s="25" t="s">
        <v>25</v>
      </c>
      <c r="J57" s="27">
        <f>C57-D57</f>
        <v>1376515</v>
      </c>
      <c r="K57" s="27">
        <f>C57-E57</f>
        <v>1376515</v>
      </c>
    </row>
    <row r="58" spans="1:11" ht="29.25" thickBot="1" x14ac:dyDescent="0.3">
      <c r="A58" s="21" t="s">
        <v>386</v>
      </c>
      <c r="B58" s="19">
        <v>1349649</v>
      </c>
      <c r="C58" s="19">
        <v>1349649</v>
      </c>
      <c r="D58" s="20">
        <v>0</v>
      </c>
      <c r="E58" s="20">
        <v>0</v>
      </c>
      <c r="F58" s="20">
        <v>0</v>
      </c>
      <c r="G58" s="20">
        <v>0</v>
      </c>
      <c r="H58" s="20">
        <v>0</v>
      </c>
      <c r="I58" s="25" t="s">
        <v>25</v>
      </c>
      <c r="J58" s="27">
        <f>C58-D58</f>
        <v>1349649</v>
      </c>
      <c r="K58" s="27">
        <f>C58-E58</f>
        <v>1349649</v>
      </c>
    </row>
    <row r="59" spans="1:11" ht="29.25" thickBot="1" x14ac:dyDescent="0.3">
      <c r="A59" s="21" t="s">
        <v>365</v>
      </c>
      <c r="B59" s="19">
        <v>16501</v>
      </c>
      <c r="C59" s="19">
        <v>4106961</v>
      </c>
      <c r="D59" s="19">
        <v>3355560</v>
      </c>
      <c r="E59" s="19">
        <v>2782791</v>
      </c>
      <c r="F59" s="19">
        <v>2770315</v>
      </c>
      <c r="G59" s="19">
        <v>1831599</v>
      </c>
      <c r="H59" s="19">
        <v>1738435</v>
      </c>
      <c r="I59" s="25" t="s">
        <v>366</v>
      </c>
      <c r="J59" s="27">
        <f>C59-D59</f>
        <v>751401</v>
      </c>
      <c r="K59" s="27">
        <f>C59-E59</f>
        <v>1324170</v>
      </c>
    </row>
    <row r="60" spans="1:11" ht="29.25" thickBot="1" x14ac:dyDescent="0.3">
      <c r="A60" s="21" t="s">
        <v>306</v>
      </c>
      <c r="B60" s="19">
        <v>2000000</v>
      </c>
      <c r="C60" s="19">
        <v>3517960</v>
      </c>
      <c r="D60" s="19">
        <v>3461030</v>
      </c>
      <c r="E60" s="19">
        <v>2232677</v>
      </c>
      <c r="F60" s="19">
        <v>2205624</v>
      </c>
      <c r="G60" s="19">
        <v>2179649</v>
      </c>
      <c r="H60" s="19">
        <v>2163322</v>
      </c>
      <c r="I60" s="25" t="s">
        <v>307</v>
      </c>
      <c r="J60" s="27">
        <f>C60-D60</f>
        <v>56930</v>
      </c>
      <c r="K60" s="27">
        <f>C60-E60</f>
        <v>1285283</v>
      </c>
    </row>
    <row r="61" spans="1:11" ht="29.25" thickBot="1" x14ac:dyDescent="0.3">
      <c r="A61" s="21" t="s">
        <v>148</v>
      </c>
      <c r="B61" s="19">
        <v>2071511</v>
      </c>
      <c r="C61" s="19">
        <v>7751873</v>
      </c>
      <c r="D61" s="19">
        <v>7482027</v>
      </c>
      <c r="E61" s="19">
        <v>6468123</v>
      </c>
      <c r="F61" s="19">
        <v>6277782</v>
      </c>
      <c r="G61" s="19">
        <v>5292813</v>
      </c>
      <c r="H61" s="19">
        <v>4764959</v>
      </c>
      <c r="I61" s="25" t="s">
        <v>149</v>
      </c>
      <c r="J61" s="27">
        <f>C61-D61</f>
        <v>269846</v>
      </c>
      <c r="K61" s="27">
        <f>C61-E61</f>
        <v>1283750</v>
      </c>
    </row>
    <row r="62" spans="1:11" ht="29.25" thickBot="1" x14ac:dyDescent="0.3">
      <c r="A62" s="21" t="s">
        <v>213</v>
      </c>
      <c r="B62" s="20">
        <v>0</v>
      </c>
      <c r="C62" s="19">
        <v>4437995</v>
      </c>
      <c r="D62" s="19">
        <v>3573869</v>
      </c>
      <c r="E62" s="19">
        <v>3191401</v>
      </c>
      <c r="F62" s="19">
        <v>2908968</v>
      </c>
      <c r="G62" s="19">
        <v>2493397</v>
      </c>
      <c r="H62" s="19">
        <v>2377543</v>
      </c>
      <c r="I62" s="25" t="s">
        <v>214</v>
      </c>
      <c r="J62" s="27">
        <f>C62-D62</f>
        <v>864126</v>
      </c>
      <c r="K62" s="27">
        <f>C62-E62</f>
        <v>1246594</v>
      </c>
    </row>
    <row r="63" spans="1:11" ht="29.25" thickBot="1" x14ac:dyDescent="0.3">
      <c r="A63" s="21" t="s">
        <v>167</v>
      </c>
      <c r="B63" s="19">
        <v>12000000</v>
      </c>
      <c r="C63" s="19">
        <v>17484286</v>
      </c>
      <c r="D63" s="19">
        <v>17380463</v>
      </c>
      <c r="E63" s="19">
        <v>16260021</v>
      </c>
      <c r="F63" s="19">
        <v>15761867</v>
      </c>
      <c r="G63" s="19">
        <v>15761867</v>
      </c>
      <c r="H63" s="19">
        <v>15761867</v>
      </c>
      <c r="I63" s="25" t="s">
        <v>168</v>
      </c>
      <c r="J63" s="27">
        <f>C63-D63</f>
        <v>103823</v>
      </c>
      <c r="K63" s="27">
        <f>C63-E63</f>
        <v>1224265</v>
      </c>
    </row>
    <row r="64" spans="1:11" ht="15.75" thickBot="1" x14ac:dyDescent="0.3">
      <c r="A64" s="21" t="s">
        <v>54</v>
      </c>
      <c r="B64" s="19">
        <v>9922902</v>
      </c>
      <c r="C64" s="19">
        <v>18401182</v>
      </c>
      <c r="D64" s="19">
        <v>17764558</v>
      </c>
      <c r="E64" s="19">
        <v>17200007</v>
      </c>
      <c r="F64" s="19">
        <v>16692676</v>
      </c>
      <c r="G64" s="19">
        <v>15484260</v>
      </c>
      <c r="H64" s="19">
        <v>15232468</v>
      </c>
      <c r="I64" s="25" t="s">
        <v>55</v>
      </c>
      <c r="J64" s="27">
        <f>C64-D64</f>
        <v>636624</v>
      </c>
      <c r="K64" s="27">
        <f>C64-E64</f>
        <v>1201175</v>
      </c>
    </row>
    <row r="65" spans="1:11" ht="29.25" thickBot="1" x14ac:dyDescent="0.3">
      <c r="A65" s="21" t="s">
        <v>286</v>
      </c>
      <c r="B65" s="19">
        <v>800000</v>
      </c>
      <c r="C65" s="19">
        <v>6830102</v>
      </c>
      <c r="D65" s="19">
        <v>6746925</v>
      </c>
      <c r="E65" s="19">
        <v>5645929</v>
      </c>
      <c r="F65" s="19">
        <v>4883745</v>
      </c>
      <c r="G65" s="19">
        <v>3396930</v>
      </c>
      <c r="H65" s="19">
        <v>2918958</v>
      </c>
      <c r="I65" s="25" t="s">
        <v>287</v>
      </c>
      <c r="J65" s="27">
        <f>C65-D65</f>
        <v>83177</v>
      </c>
      <c r="K65" s="27">
        <f>C65-E65</f>
        <v>1184173</v>
      </c>
    </row>
    <row r="66" spans="1:11" ht="29.25" thickBot="1" x14ac:dyDescent="0.3">
      <c r="A66" s="21" t="s">
        <v>594</v>
      </c>
      <c r="B66" s="19">
        <v>894000</v>
      </c>
      <c r="C66" s="19">
        <v>1263865</v>
      </c>
      <c r="D66" s="19">
        <v>1181168</v>
      </c>
      <c r="E66" s="19">
        <v>153969</v>
      </c>
      <c r="F66" s="19">
        <v>146761</v>
      </c>
      <c r="G66" s="19">
        <v>146441</v>
      </c>
      <c r="H66" s="19">
        <v>146441</v>
      </c>
      <c r="I66" s="25" t="s">
        <v>595</v>
      </c>
      <c r="J66" s="27">
        <f>C66-D66</f>
        <v>82697</v>
      </c>
      <c r="K66" s="27">
        <f>C66-E66</f>
        <v>1109896</v>
      </c>
    </row>
    <row r="67" spans="1:11" ht="29.25" thickBot="1" x14ac:dyDescent="0.3">
      <c r="A67" s="21" t="s">
        <v>382</v>
      </c>
      <c r="B67" s="19">
        <v>1062638</v>
      </c>
      <c r="C67" s="19">
        <v>1075076</v>
      </c>
      <c r="D67" s="19">
        <v>1062250</v>
      </c>
      <c r="E67" s="19">
        <v>25418</v>
      </c>
      <c r="F67" s="19">
        <v>20822</v>
      </c>
      <c r="G67" s="19">
        <v>20822</v>
      </c>
      <c r="H67" s="19">
        <v>20822</v>
      </c>
      <c r="I67" s="25" t="s">
        <v>383</v>
      </c>
      <c r="J67" s="27">
        <f>C67-D67</f>
        <v>12826</v>
      </c>
      <c r="K67" s="27">
        <f>C67-E67</f>
        <v>1049658</v>
      </c>
    </row>
    <row r="68" spans="1:11" ht="29.25" thickBot="1" x14ac:dyDescent="0.3">
      <c r="A68" s="21" t="s">
        <v>98</v>
      </c>
      <c r="B68" s="19">
        <v>3160785</v>
      </c>
      <c r="C68" s="19">
        <v>6912542</v>
      </c>
      <c r="D68" s="19">
        <v>6855594</v>
      </c>
      <c r="E68" s="19">
        <v>5864789</v>
      </c>
      <c r="F68" s="19">
        <v>4379519</v>
      </c>
      <c r="G68" s="19">
        <v>4377039</v>
      </c>
      <c r="H68" s="19">
        <v>4373474</v>
      </c>
      <c r="I68" s="25" t="s">
        <v>99</v>
      </c>
      <c r="J68" s="27">
        <f>C68-D68</f>
        <v>56948</v>
      </c>
      <c r="K68" s="27">
        <f>C68-E68</f>
        <v>1047753</v>
      </c>
    </row>
    <row r="69" spans="1:11" ht="15.75" thickBot="1" x14ac:dyDescent="0.3">
      <c r="A69" s="21" t="s">
        <v>262</v>
      </c>
      <c r="B69" s="19">
        <v>3820398</v>
      </c>
      <c r="C69" s="19">
        <v>10473026</v>
      </c>
      <c r="D69" s="19">
        <v>10363410</v>
      </c>
      <c r="E69" s="19">
        <v>9431700</v>
      </c>
      <c r="F69" s="19">
        <v>8770818</v>
      </c>
      <c r="G69" s="19">
        <v>8610777</v>
      </c>
      <c r="H69" s="19">
        <v>8385010</v>
      </c>
      <c r="I69" s="25" t="s">
        <v>263</v>
      </c>
      <c r="J69" s="27">
        <f>C69-D69</f>
        <v>109616</v>
      </c>
      <c r="K69" s="27">
        <f>C69-E69</f>
        <v>1041326</v>
      </c>
    </row>
    <row r="70" spans="1:11" ht="29.25" thickBot="1" x14ac:dyDescent="0.3">
      <c r="A70" s="21" t="s">
        <v>215</v>
      </c>
      <c r="B70" s="20">
        <v>0</v>
      </c>
      <c r="C70" s="19">
        <v>1038097</v>
      </c>
      <c r="D70" s="19">
        <v>1038097</v>
      </c>
      <c r="E70" s="20">
        <v>0</v>
      </c>
      <c r="F70" s="20">
        <v>0</v>
      </c>
      <c r="G70" s="20">
        <v>0</v>
      </c>
      <c r="H70" s="20">
        <v>0</v>
      </c>
      <c r="I70" s="25" t="s">
        <v>25</v>
      </c>
      <c r="J70" s="27">
        <f>C70-D70</f>
        <v>0</v>
      </c>
      <c r="K70" s="27">
        <f>C70-E70</f>
        <v>1038097</v>
      </c>
    </row>
    <row r="71" spans="1:11" ht="43.5" thickBot="1" x14ac:dyDescent="0.3">
      <c r="A71" s="21" t="s">
        <v>362</v>
      </c>
      <c r="B71" s="19">
        <v>5141948</v>
      </c>
      <c r="C71" s="19">
        <v>5701948</v>
      </c>
      <c r="D71" s="19">
        <v>5519793</v>
      </c>
      <c r="E71" s="19">
        <v>4676614</v>
      </c>
      <c r="F71" s="19">
        <v>4339281</v>
      </c>
      <c r="G71" s="19">
        <v>2802265</v>
      </c>
      <c r="H71" s="19">
        <v>2679651</v>
      </c>
      <c r="I71" s="25" t="s">
        <v>363</v>
      </c>
      <c r="J71" s="27">
        <f>C71-D71</f>
        <v>182155</v>
      </c>
      <c r="K71" s="27">
        <f>C71-E71</f>
        <v>1025334</v>
      </c>
    </row>
    <row r="72" spans="1:11" ht="15.75" thickBot="1" x14ac:dyDescent="0.3">
      <c r="A72" s="21" t="s">
        <v>163</v>
      </c>
      <c r="B72" s="19">
        <v>20000000</v>
      </c>
      <c r="C72" s="19">
        <v>966193</v>
      </c>
      <c r="D72" s="19">
        <v>746819</v>
      </c>
      <c r="E72" s="19">
        <v>6257</v>
      </c>
      <c r="F72" s="19">
        <v>6257</v>
      </c>
      <c r="G72" s="19">
        <v>6257</v>
      </c>
      <c r="H72" s="19">
        <v>6257</v>
      </c>
      <c r="I72" s="25" t="s">
        <v>164</v>
      </c>
      <c r="J72" s="27">
        <f>C72-D72</f>
        <v>219374</v>
      </c>
      <c r="K72" s="27">
        <f>C72-E72</f>
        <v>959936</v>
      </c>
    </row>
    <row r="73" spans="1:11" ht="29.25" thickBot="1" x14ac:dyDescent="0.3">
      <c r="A73" s="21" t="s">
        <v>296</v>
      </c>
      <c r="B73" s="19">
        <v>5194033</v>
      </c>
      <c r="C73" s="19">
        <v>5194033</v>
      </c>
      <c r="D73" s="19">
        <v>5106125</v>
      </c>
      <c r="E73" s="19">
        <v>4283979</v>
      </c>
      <c r="F73" s="19">
        <v>1943692</v>
      </c>
      <c r="G73" s="19">
        <v>1941765</v>
      </c>
      <c r="H73" s="19">
        <v>1031865</v>
      </c>
      <c r="I73" s="25" t="s">
        <v>297</v>
      </c>
      <c r="J73" s="27">
        <f>C73-D73</f>
        <v>87908</v>
      </c>
      <c r="K73" s="27">
        <f>C73-E73</f>
        <v>910054</v>
      </c>
    </row>
    <row r="74" spans="1:11" ht="29.25" thickBot="1" x14ac:dyDescent="0.3">
      <c r="A74" s="21" t="s">
        <v>588</v>
      </c>
      <c r="B74" s="19">
        <v>100000</v>
      </c>
      <c r="C74" s="19">
        <v>6654893</v>
      </c>
      <c r="D74" s="19">
        <v>6543806</v>
      </c>
      <c r="E74" s="19">
        <v>5755750</v>
      </c>
      <c r="F74" s="19">
        <v>5722069</v>
      </c>
      <c r="G74" s="19">
        <v>5720623</v>
      </c>
      <c r="H74" s="19">
        <v>5720623</v>
      </c>
      <c r="I74" s="25" t="s">
        <v>589</v>
      </c>
      <c r="J74" s="27">
        <f>C74-D74</f>
        <v>111087</v>
      </c>
      <c r="K74" s="27">
        <f>C74-E74</f>
        <v>899143</v>
      </c>
    </row>
    <row r="75" spans="1:11" ht="15.75" thickBot="1" x14ac:dyDescent="0.3">
      <c r="A75" s="21" t="s">
        <v>513</v>
      </c>
      <c r="B75" s="20">
        <v>0</v>
      </c>
      <c r="C75" s="19">
        <v>1175365</v>
      </c>
      <c r="D75" s="19">
        <v>285680</v>
      </c>
      <c r="E75" s="19">
        <v>282860</v>
      </c>
      <c r="F75" s="19">
        <v>278511</v>
      </c>
      <c r="G75" s="19">
        <v>278011</v>
      </c>
      <c r="H75" s="19">
        <v>275803</v>
      </c>
      <c r="I75" s="25" t="s">
        <v>514</v>
      </c>
      <c r="J75" s="27">
        <f>C75-D75</f>
        <v>889685</v>
      </c>
      <c r="K75" s="27">
        <f>C75-E75</f>
        <v>892505</v>
      </c>
    </row>
    <row r="76" spans="1:11" ht="15.75" thickBot="1" x14ac:dyDescent="0.3">
      <c r="A76" s="21" t="s">
        <v>428</v>
      </c>
      <c r="B76" s="19">
        <v>100000</v>
      </c>
      <c r="C76" s="19">
        <v>2361641</v>
      </c>
      <c r="D76" s="19">
        <v>1509241</v>
      </c>
      <c r="E76" s="19">
        <v>1501266</v>
      </c>
      <c r="F76" s="19">
        <v>1332598</v>
      </c>
      <c r="G76" s="19">
        <v>1059464</v>
      </c>
      <c r="H76" s="19">
        <v>923883</v>
      </c>
      <c r="I76" s="25" t="s">
        <v>429</v>
      </c>
      <c r="J76" s="27">
        <f>C76-D76</f>
        <v>852400</v>
      </c>
      <c r="K76" s="27">
        <f>C76-E76</f>
        <v>860375</v>
      </c>
    </row>
    <row r="77" spans="1:11" ht="29.25" thickBot="1" x14ac:dyDescent="0.3">
      <c r="A77" s="21" t="s">
        <v>252</v>
      </c>
      <c r="B77" s="19">
        <v>1580000</v>
      </c>
      <c r="C77" s="19">
        <v>8979929</v>
      </c>
      <c r="D77" s="19">
        <v>8187728</v>
      </c>
      <c r="E77" s="19">
        <v>8167371</v>
      </c>
      <c r="F77" s="19">
        <v>8167371</v>
      </c>
      <c r="G77" s="19">
        <v>7846414</v>
      </c>
      <c r="H77" s="19">
        <v>7634260</v>
      </c>
      <c r="I77" s="25" t="s">
        <v>253</v>
      </c>
      <c r="J77" s="27">
        <f>C77-D77</f>
        <v>792201</v>
      </c>
      <c r="K77" s="27">
        <f>C77-E77</f>
        <v>812558</v>
      </c>
    </row>
    <row r="78" spans="1:11" ht="15.75" thickBot="1" x14ac:dyDescent="0.3">
      <c r="A78" s="21" t="s">
        <v>235</v>
      </c>
      <c r="B78" s="19">
        <v>3659376</v>
      </c>
      <c r="C78" s="19">
        <v>2659376</v>
      </c>
      <c r="D78" s="19">
        <v>1980095</v>
      </c>
      <c r="E78" s="19">
        <v>1855072</v>
      </c>
      <c r="F78" s="19">
        <v>1556321</v>
      </c>
      <c r="G78" s="19">
        <v>1386717</v>
      </c>
      <c r="H78" s="19">
        <v>1308179</v>
      </c>
      <c r="I78" s="25" t="s">
        <v>183</v>
      </c>
      <c r="J78" s="27">
        <f>C78-D78</f>
        <v>679281</v>
      </c>
      <c r="K78" s="27">
        <f>C78-E78</f>
        <v>804304</v>
      </c>
    </row>
    <row r="79" spans="1:11" ht="29.25" thickBot="1" x14ac:dyDescent="0.3">
      <c r="A79" s="21" t="s">
        <v>293</v>
      </c>
      <c r="B79" s="19">
        <v>2957419</v>
      </c>
      <c r="C79" s="19">
        <v>5799805</v>
      </c>
      <c r="D79" s="19">
        <v>5459070</v>
      </c>
      <c r="E79" s="19">
        <v>5004147</v>
      </c>
      <c r="F79" s="19">
        <v>4902742</v>
      </c>
      <c r="G79" s="19">
        <v>3888316</v>
      </c>
      <c r="H79" s="19">
        <v>3726041</v>
      </c>
      <c r="I79" s="25" t="s">
        <v>294</v>
      </c>
      <c r="J79" s="27">
        <f>C79-D79</f>
        <v>340735</v>
      </c>
      <c r="K79" s="27">
        <f>C79-E79</f>
        <v>795658</v>
      </c>
    </row>
    <row r="80" spans="1:11" ht="29.25" thickBot="1" x14ac:dyDescent="0.3">
      <c r="A80" s="21" t="s">
        <v>131</v>
      </c>
      <c r="B80" s="19">
        <v>8282615</v>
      </c>
      <c r="C80" s="19">
        <v>10399190</v>
      </c>
      <c r="D80" s="19">
        <v>9609876</v>
      </c>
      <c r="E80" s="19">
        <v>9609876</v>
      </c>
      <c r="F80" s="20">
        <v>0</v>
      </c>
      <c r="G80" s="20">
        <v>0</v>
      </c>
      <c r="H80" s="20">
        <v>0</v>
      </c>
      <c r="I80" s="25" t="s">
        <v>25</v>
      </c>
      <c r="J80" s="27">
        <f>C80-D80</f>
        <v>789314</v>
      </c>
      <c r="K80" s="27">
        <f>C80-E80</f>
        <v>789314</v>
      </c>
    </row>
    <row r="81" spans="1:11" ht="15.75" thickBot="1" x14ac:dyDescent="0.3">
      <c r="A81" s="21" t="s">
        <v>82</v>
      </c>
      <c r="B81" s="19">
        <v>56150305</v>
      </c>
      <c r="C81" s="19">
        <v>56150305</v>
      </c>
      <c r="D81" s="19">
        <v>56150304</v>
      </c>
      <c r="E81" s="19">
        <v>55370048</v>
      </c>
      <c r="F81" s="19">
        <v>29724124</v>
      </c>
      <c r="G81" s="19">
        <v>29724124</v>
      </c>
      <c r="H81" s="19">
        <v>29041154</v>
      </c>
      <c r="I81" s="25" t="s">
        <v>83</v>
      </c>
      <c r="J81" s="27">
        <f>C81-D81</f>
        <v>1</v>
      </c>
      <c r="K81" s="27">
        <f>C81-E81</f>
        <v>780257</v>
      </c>
    </row>
    <row r="82" spans="1:11" ht="29.25" thickBot="1" x14ac:dyDescent="0.3">
      <c r="A82" s="21" t="s">
        <v>109</v>
      </c>
      <c r="B82" s="19">
        <v>1050000</v>
      </c>
      <c r="C82" s="19">
        <v>844818</v>
      </c>
      <c r="D82" s="19">
        <v>75387</v>
      </c>
      <c r="E82" s="19">
        <v>75387</v>
      </c>
      <c r="F82" s="19">
        <v>75387</v>
      </c>
      <c r="G82" s="19">
        <v>75387</v>
      </c>
      <c r="H82" s="19">
        <v>75387</v>
      </c>
      <c r="I82" s="25" t="s">
        <v>110</v>
      </c>
      <c r="J82" s="27">
        <f>C82-D82</f>
        <v>769431</v>
      </c>
      <c r="K82" s="27">
        <f>C82-E82</f>
        <v>769431</v>
      </c>
    </row>
    <row r="83" spans="1:11" ht="15.75" thickBot="1" x14ac:dyDescent="0.3">
      <c r="A83" s="21" t="s">
        <v>61</v>
      </c>
      <c r="B83" s="19">
        <v>699403</v>
      </c>
      <c r="C83" s="19">
        <v>728529</v>
      </c>
      <c r="D83" s="20">
        <v>0</v>
      </c>
      <c r="E83" s="20">
        <v>0</v>
      </c>
      <c r="F83" s="20">
        <v>0</v>
      </c>
      <c r="G83" s="20">
        <v>0</v>
      </c>
      <c r="H83" s="20">
        <v>0</v>
      </c>
      <c r="I83" s="25" t="s">
        <v>25</v>
      </c>
      <c r="J83" s="27">
        <f>C83-D83</f>
        <v>728529</v>
      </c>
      <c r="K83" s="27">
        <f>C83-E83</f>
        <v>728529</v>
      </c>
    </row>
    <row r="84" spans="1:11" ht="15.75" thickBot="1" x14ac:dyDescent="0.3">
      <c r="A84" s="21" t="s">
        <v>265</v>
      </c>
      <c r="B84" s="19">
        <v>4665000</v>
      </c>
      <c r="C84" s="19">
        <v>8205055</v>
      </c>
      <c r="D84" s="19">
        <v>7598001</v>
      </c>
      <c r="E84" s="19">
        <v>7482878</v>
      </c>
      <c r="F84" s="19">
        <v>6425270</v>
      </c>
      <c r="G84" s="19">
        <v>5967372</v>
      </c>
      <c r="H84" s="19">
        <v>5655111</v>
      </c>
      <c r="I84" s="25" t="s">
        <v>266</v>
      </c>
      <c r="J84" s="27">
        <f>C84-D84</f>
        <v>607054</v>
      </c>
      <c r="K84" s="27">
        <f>C84-E84</f>
        <v>722177</v>
      </c>
    </row>
    <row r="85" spans="1:11" ht="15.75" thickBot="1" x14ac:dyDescent="0.3">
      <c r="A85" s="21" t="s">
        <v>120</v>
      </c>
      <c r="B85" s="19">
        <v>1050000</v>
      </c>
      <c r="C85" s="19">
        <v>2417454</v>
      </c>
      <c r="D85" s="19">
        <v>1739635</v>
      </c>
      <c r="E85" s="19">
        <v>1715135</v>
      </c>
      <c r="F85" s="19">
        <v>1568544</v>
      </c>
      <c r="G85" s="19">
        <v>1492104</v>
      </c>
      <c r="H85" s="19">
        <v>1441585</v>
      </c>
      <c r="I85" s="25" t="s">
        <v>21</v>
      </c>
      <c r="J85" s="27">
        <f>C85-D85</f>
        <v>677819</v>
      </c>
      <c r="K85" s="27">
        <f>C85-E85</f>
        <v>702319</v>
      </c>
    </row>
    <row r="86" spans="1:11" ht="15.75" thickBot="1" x14ac:dyDescent="0.3">
      <c r="A86" s="21" t="s">
        <v>445</v>
      </c>
      <c r="B86" s="20">
        <v>0</v>
      </c>
      <c r="C86" s="19">
        <v>919876</v>
      </c>
      <c r="D86" s="19">
        <v>340968</v>
      </c>
      <c r="E86" s="19">
        <v>242000</v>
      </c>
      <c r="F86" s="19">
        <v>7841</v>
      </c>
      <c r="G86" s="19">
        <v>7841</v>
      </c>
      <c r="H86" s="19">
        <v>1597</v>
      </c>
      <c r="I86" s="25" t="s">
        <v>380</v>
      </c>
      <c r="J86" s="27">
        <f>C86-D86</f>
        <v>578908</v>
      </c>
      <c r="K86" s="27">
        <f>C86-E86</f>
        <v>677876</v>
      </c>
    </row>
    <row r="87" spans="1:11" ht="15.75" thickBot="1" x14ac:dyDescent="0.3">
      <c r="A87" s="21" t="s">
        <v>349</v>
      </c>
      <c r="B87" s="19">
        <v>50000</v>
      </c>
      <c r="C87" s="19">
        <v>656461</v>
      </c>
      <c r="D87" s="19">
        <v>656461</v>
      </c>
      <c r="E87" s="20">
        <v>0</v>
      </c>
      <c r="F87" s="20">
        <v>0</v>
      </c>
      <c r="G87" s="20">
        <v>0</v>
      </c>
      <c r="H87" s="20">
        <v>0</v>
      </c>
      <c r="I87" s="25" t="s">
        <v>25</v>
      </c>
      <c r="J87" s="27">
        <f>C87-D87</f>
        <v>0</v>
      </c>
      <c r="K87" s="27">
        <f>C87-E87</f>
        <v>656461</v>
      </c>
    </row>
    <row r="88" spans="1:11" ht="15.75" thickBot="1" x14ac:dyDescent="0.3">
      <c r="A88" s="21" t="s">
        <v>350</v>
      </c>
      <c r="B88" s="19">
        <v>100000</v>
      </c>
      <c r="C88" s="19">
        <v>606461</v>
      </c>
      <c r="D88" s="19">
        <v>606461</v>
      </c>
      <c r="E88" s="20">
        <v>0</v>
      </c>
      <c r="F88" s="20">
        <v>0</v>
      </c>
      <c r="G88" s="20">
        <v>0</v>
      </c>
      <c r="H88" s="20">
        <v>0</v>
      </c>
      <c r="I88" s="25" t="s">
        <v>25</v>
      </c>
      <c r="J88" s="27">
        <f>C88-D88</f>
        <v>0</v>
      </c>
      <c r="K88" s="27">
        <f>C88-E88</f>
        <v>606461</v>
      </c>
    </row>
    <row r="89" spans="1:11" ht="29.25" thickBot="1" x14ac:dyDescent="0.3">
      <c r="A89" s="21" t="s">
        <v>230</v>
      </c>
      <c r="B89" s="20">
        <v>0</v>
      </c>
      <c r="C89" s="19">
        <v>5182053</v>
      </c>
      <c r="D89" s="19">
        <v>4958490</v>
      </c>
      <c r="E89" s="19">
        <v>4604701</v>
      </c>
      <c r="F89" s="19">
        <v>3891436</v>
      </c>
      <c r="G89" s="19">
        <v>2773280</v>
      </c>
      <c r="H89" s="19">
        <v>2683431</v>
      </c>
      <c r="I89" s="25" t="s">
        <v>231</v>
      </c>
      <c r="J89" s="27">
        <f>C89-D89</f>
        <v>223563</v>
      </c>
      <c r="K89" s="27">
        <f>C89-E89</f>
        <v>577352</v>
      </c>
    </row>
    <row r="90" spans="1:11" ht="29.25" thickBot="1" x14ac:dyDescent="0.3">
      <c r="A90" s="21" t="s">
        <v>178</v>
      </c>
      <c r="B90" s="20">
        <v>0</v>
      </c>
      <c r="C90" s="19">
        <v>4265759</v>
      </c>
      <c r="D90" s="19">
        <v>3847053</v>
      </c>
      <c r="E90" s="19">
        <v>3704328</v>
      </c>
      <c r="F90" s="19">
        <v>3386045</v>
      </c>
      <c r="G90" s="19">
        <v>2741830</v>
      </c>
      <c r="H90" s="19">
        <v>2560623</v>
      </c>
      <c r="I90" s="25" t="s">
        <v>179</v>
      </c>
      <c r="J90" s="27">
        <f>C90-D90</f>
        <v>418706</v>
      </c>
      <c r="K90" s="27">
        <f>C90-E90</f>
        <v>561431</v>
      </c>
    </row>
    <row r="91" spans="1:11" ht="29.25" thickBot="1" x14ac:dyDescent="0.3">
      <c r="A91" s="21" t="s">
        <v>356</v>
      </c>
      <c r="B91" s="19">
        <v>2278000</v>
      </c>
      <c r="C91" s="19">
        <v>3656326</v>
      </c>
      <c r="D91" s="19">
        <v>3383177</v>
      </c>
      <c r="E91" s="19">
        <v>3097239</v>
      </c>
      <c r="F91" s="19">
        <v>2573201</v>
      </c>
      <c r="G91" s="19">
        <v>2126125</v>
      </c>
      <c r="H91" s="19">
        <v>1986997</v>
      </c>
      <c r="I91" s="25" t="s">
        <v>357</v>
      </c>
      <c r="J91" s="27">
        <f>C91-D91</f>
        <v>273149</v>
      </c>
      <c r="K91" s="27">
        <f>C91-E91</f>
        <v>559087</v>
      </c>
    </row>
    <row r="92" spans="1:11" ht="29.25" thickBot="1" x14ac:dyDescent="0.3">
      <c r="A92" s="21" t="s">
        <v>447</v>
      </c>
      <c r="B92" s="19">
        <v>6500000</v>
      </c>
      <c r="C92" s="19">
        <v>855253</v>
      </c>
      <c r="D92" s="19">
        <v>449225</v>
      </c>
      <c r="E92" s="19">
        <v>325465</v>
      </c>
      <c r="F92" s="19">
        <v>325465</v>
      </c>
      <c r="G92" s="19">
        <v>288021</v>
      </c>
      <c r="H92" s="19">
        <v>288021</v>
      </c>
      <c r="I92" s="25" t="s">
        <v>448</v>
      </c>
      <c r="J92" s="27">
        <f>C92-D92</f>
        <v>406028</v>
      </c>
      <c r="K92" s="27">
        <f>C92-E92</f>
        <v>529788</v>
      </c>
    </row>
    <row r="93" spans="1:11" ht="29.25" thickBot="1" x14ac:dyDescent="0.3">
      <c r="A93" s="21" t="s">
        <v>151</v>
      </c>
      <c r="B93" s="19">
        <v>12431185</v>
      </c>
      <c r="C93" s="19">
        <v>18692228</v>
      </c>
      <c r="D93" s="19">
        <v>18634477</v>
      </c>
      <c r="E93" s="19">
        <v>18176428</v>
      </c>
      <c r="F93" s="19">
        <v>5026816</v>
      </c>
      <c r="G93" s="19">
        <v>4987668</v>
      </c>
      <c r="H93" s="19">
        <v>4425991</v>
      </c>
      <c r="I93" s="25" t="s">
        <v>152</v>
      </c>
      <c r="J93" s="27">
        <f>C93-D93</f>
        <v>57751</v>
      </c>
      <c r="K93" s="27">
        <f>C93-E93</f>
        <v>515800</v>
      </c>
    </row>
    <row r="94" spans="1:11" ht="29.25" thickBot="1" x14ac:dyDescent="0.3">
      <c r="A94" s="21" t="s">
        <v>180</v>
      </c>
      <c r="B94" s="19">
        <v>2780000</v>
      </c>
      <c r="C94" s="19">
        <v>7891675</v>
      </c>
      <c r="D94" s="19">
        <v>7541696</v>
      </c>
      <c r="E94" s="19">
        <v>7384393</v>
      </c>
      <c r="F94" s="19">
        <v>6959893</v>
      </c>
      <c r="G94" s="19">
        <v>6428337</v>
      </c>
      <c r="H94" s="19">
        <v>6014554</v>
      </c>
      <c r="I94" s="25" t="s">
        <v>181</v>
      </c>
      <c r="J94" s="27">
        <f>C94-D94</f>
        <v>349979</v>
      </c>
      <c r="K94" s="27">
        <f>C94-E94</f>
        <v>507282</v>
      </c>
    </row>
    <row r="95" spans="1:11" ht="29.25" thickBot="1" x14ac:dyDescent="0.3">
      <c r="A95" s="21" t="s">
        <v>321</v>
      </c>
      <c r="B95" s="19">
        <v>800000</v>
      </c>
      <c r="C95" s="19">
        <v>674368</v>
      </c>
      <c r="D95" s="19">
        <v>173868</v>
      </c>
      <c r="E95" s="19">
        <v>173868</v>
      </c>
      <c r="F95" s="19">
        <v>159188</v>
      </c>
      <c r="G95" s="19">
        <v>97688</v>
      </c>
      <c r="H95" s="19">
        <v>97688</v>
      </c>
      <c r="I95" s="25" t="s">
        <v>322</v>
      </c>
      <c r="J95" s="27">
        <f>C95-D95</f>
        <v>500500</v>
      </c>
      <c r="K95" s="27">
        <f>C95-E95</f>
        <v>500500</v>
      </c>
    </row>
    <row r="96" spans="1:11" ht="29.25" thickBot="1" x14ac:dyDescent="0.3">
      <c r="A96" s="21" t="s">
        <v>370</v>
      </c>
      <c r="B96" s="19">
        <v>700000</v>
      </c>
      <c r="C96" s="19">
        <v>500172</v>
      </c>
      <c r="D96" s="20">
        <v>0</v>
      </c>
      <c r="E96" s="20">
        <v>0</v>
      </c>
      <c r="F96" s="20">
        <v>0</v>
      </c>
      <c r="G96" s="20">
        <v>0</v>
      </c>
      <c r="H96" s="20">
        <v>0</v>
      </c>
      <c r="I96" s="25" t="s">
        <v>25</v>
      </c>
      <c r="J96" s="27">
        <f>C96-D96</f>
        <v>500172</v>
      </c>
      <c r="K96" s="27">
        <f>C96-E96</f>
        <v>500172</v>
      </c>
    </row>
    <row r="97" spans="1:11" ht="29.25" thickBot="1" x14ac:dyDescent="0.3">
      <c r="A97" s="21" t="s">
        <v>227</v>
      </c>
      <c r="B97" s="20">
        <v>0</v>
      </c>
      <c r="C97" s="19">
        <v>500000</v>
      </c>
      <c r="D97" s="20">
        <v>0</v>
      </c>
      <c r="E97" s="20">
        <v>0</v>
      </c>
      <c r="F97" s="20">
        <v>0</v>
      </c>
      <c r="G97" s="20">
        <v>0</v>
      </c>
      <c r="H97" s="20">
        <v>0</v>
      </c>
      <c r="I97" s="25" t="s">
        <v>25</v>
      </c>
      <c r="J97" s="27">
        <f>C97-D97</f>
        <v>500000</v>
      </c>
      <c r="K97" s="27">
        <f>C97-E97</f>
        <v>500000</v>
      </c>
    </row>
    <row r="98" spans="1:11" ht="29.25" thickBot="1" x14ac:dyDescent="0.3">
      <c r="A98" s="21" t="s">
        <v>96</v>
      </c>
      <c r="B98" s="19">
        <v>821892</v>
      </c>
      <c r="C98" s="19">
        <v>3318026</v>
      </c>
      <c r="D98" s="19">
        <v>3154442</v>
      </c>
      <c r="E98" s="19">
        <v>2828127</v>
      </c>
      <c r="F98" s="19">
        <v>2772106</v>
      </c>
      <c r="G98" s="19">
        <v>2243367</v>
      </c>
      <c r="H98" s="19">
        <v>2103048</v>
      </c>
      <c r="I98" s="25" t="s">
        <v>97</v>
      </c>
      <c r="J98" s="27">
        <f>C98-D98</f>
        <v>163584</v>
      </c>
      <c r="K98" s="27">
        <f>C98-E98</f>
        <v>489899</v>
      </c>
    </row>
    <row r="99" spans="1:11" ht="29.25" thickBot="1" x14ac:dyDescent="0.3">
      <c r="A99" s="21" t="s">
        <v>39</v>
      </c>
      <c r="B99" s="19">
        <v>10517000</v>
      </c>
      <c r="C99" s="19">
        <v>10918999</v>
      </c>
      <c r="D99" s="19">
        <v>10451686</v>
      </c>
      <c r="E99" s="19">
        <v>10451103</v>
      </c>
      <c r="F99" s="19">
        <v>9527231</v>
      </c>
      <c r="G99" s="19">
        <v>5853518</v>
      </c>
      <c r="H99" s="19">
        <v>5269575</v>
      </c>
      <c r="I99" s="25" t="s">
        <v>40</v>
      </c>
      <c r="J99" s="27">
        <f>C99-D99</f>
        <v>467313</v>
      </c>
      <c r="K99" s="27">
        <f>C99-E99</f>
        <v>467896</v>
      </c>
    </row>
    <row r="100" spans="1:11" ht="29.25" thickBot="1" x14ac:dyDescent="0.3">
      <c r="A100" s="21" t="s">
        <v>379</v>
      </c>
      <c r="B100" s="19">
        <v>2575916</v>
      </c>
      <c r="C100" s="19">
        <v>2575916</v>
      </c>
      <c r="D100" s="19">
        <v>2503779</v>
      </c>
      <c r="E100" s="19">
        <v>2111560</v>
      </c>
      <c r="F100" s="19">
        <v>31387</v>
      </c>
      <c r="G100" s="19">
        <v>23527</v>
      </c>
      <c r="H100" s="19">
        <v>23527</v>
      </c>
      <c r="I100" s="25" t="s">
        <v>380</v>
      </c>
      <c r="J100" s="27">
        <f>C100-D100</f>
        <v>72137</v>
      </c>
      <c r="K100" s="27">
        <f>C100-E100</f>
        <v>464356</v>
      </c>
    </row>
    <row r="101" spans="1:11" ht="29.25" thickBot="1" x14ac:dyDescent="0.3">
      <c r="A101" s="21" t="s">
        <v>354</v>
      </c>
      <c r="B101" s="19">
        <v>500000</v>
      </c>
      <c r="C101" s="19">
        <v>500000</v>
      </c>
      <c r="D101" s="19">
        <v>39550</v>
      </c>
      <c r="E101" s="19">
        <v>39550</v>
      </c>
      <c r="F101" s="19">
        <v>39550</v>
      </c>
      <c r="G101" s="19">
        <v>35550</v>
      </c>
      <c r="H101" s="19">
        <v>5000</v>
      </c>
      <c r="I101" s="25" t="s">
        <v>355</v>
      </c>
      <c r="J101" s="27">
        <f>C101-D101</f>
        <v>460450</v>
      </c>
      <c r="K101" s="27">
        <f>C101-E101</f>
        <v>460450</v>
      </c>
    </row>
    <row r="102" spans="1:11" ht="15.75" thickBot="1" x14ac:dyDescent="0.3">
      <c r="A102" s="21" t="s">
        <v>417</v>
      </c>
      <c r="B102" s="19">
        <v>100000</v>
      </c>
      <c r="C102" s="19">
        <v>704972</v>
      </c>
      <c r="D102" s="19">
        <v>309066</v>
      </c>
      <c r="E102" s="19">
        <v>255972</v>
      </c>
      <c r="F102" s="19">
        <v>15770</v>
      </c>
      <c r="G102" s="19">
        <v>15770</v>
      </c>
      <c r="H102" s="19">
        <v>8805</v>
      </c>
      <c r="I102" s="25" t="s">
        <v>418</v>
      </c>
      <c r="J102" s="27">
        <f>C102-D102</f>
        <v>395906</v>
      </c>
      <c r="K102" s="27">
        <f>C102-E102</f>
        <v>449000</v>
      </c>
    </row>
    <row r="103" spans="1:11" ht="15.75" thickBot="1" x14ac:dyDescent="0.3">
      <c r="A103" s="21" t="s">
        <v>419</v>
      </c>
      <c r="B103" s="19">
        <v>100000</v>
      </c>
      <c r="C103" s="19">
        <v>1142346</v>
      </c>
      <c r="D103" s="19">
        <v>911211</v>
      </c>
      <c r="E103" s="19">
        <v>703127</v>
      </c>
      <c r="F103" s="19">
        <v>236723</v>
      </c>
      <c r="G103" s="19">
        <v>18479</v>
      </c>
      <c r="H103" s="19">
        <v>18479</v>
      </c>
      <c r="I103" s="25" t="s">
        <v>420</v>
      </c>
      <c r="J103" s="27">
        <f>C103-D103</f>
        <v>231135</v>
      </c>
      <c r="K103" s="27">
        <f>C103-E103</f>
        <v>439219</v>
      </c>
    </row>
    <row r="104" spans="1:11" ht="29.25" thickBot="1" x14ac:dyDescent="0.3">
      <c r="A104" s="21" t="s">
        <v>377</v>
      </c>
      <c r="B104" s="19">
        <v>3796481</v>
      </c>
      <c r="C104" s="19">
        <v>3796481</v>
      </c>
      <c r="D104" s="19">
        <v>3705791</v>
      </c>
      <c r="E104" s="19">
        <v>3372727</v>
      </c>
      <c r="F104" s="19">
        <v>1919373</v>
      </c>
      <c r="G104" s="19">
        <v>1897533</v>
      </c>
      <c r="H104" s="19">
        <v>1895587</v>
      </c>
      <c r="I104" s="25" t="s">
        <v>378</v>
      </c>
      <c r="J104" s="27">
        <f>C104-D104</f>
        <v>90690</v>
      </c>
      <c r="K104" s="27">
        <f>C104-E104</f>
        <v>423754</v>
      </c>
    </row>
    <row r="105" spans="1:11" ht="29.25" thickBot="1" x14ac:dyDescent="0.3">
      <c r="A105" s="21" t="s">
        <v>509</v>
      </c>
      <c r="B105" s="19">
        <v>50000</v>
      </c>
      <c r="C105" s="19">
        <v>1861270</v>
      </c>
      <c r="D105" s="19">
        <v>1466941</v>
      </c>
      <c r="E105" s="19">
        <v>1451566</v>
      </c>
      <c r="F105" s="19">
        <v>1321934</v>
      </c>
      <c r="G105" s="19">
        <v>1164545</v>
      </c>
      <c r="H105" s="19">
        <v>1106532</v>
      </c>
      <c r="I105" s="25" t="s">
        <v>510</v>
      </c>
      <c r="J105" s="27">
        <f>C105-D105</f>
        <v>394329</v>
      </c>
      <c r="K105" s="27">
        <f>C105-E105</f>
        <v>409704</v>
      </c>
    </row>
    <row r="106" spans="1:11" ht="29.25" thickBot="1" x14ac:dyDescent="0.3">
      <c r="A106" s="21" t="s">
        <v>92</v>
      </c>
      <c r="B106" s="19">
        <v>4289351</v>
      </c>
      <c r="C106" s="19">
        <v>10002053</v>
      </c>
      <c r="D106" s="19">
        <v>9636351</v>
      </c>
      <c r="E106" s="19">
        <v>9595158</v>
      </c>
      <c r="F106" s="19">
        <v>7006663</v>
      </c>
      <c r="G106" s="19">
        <v>5473965</v>
      </c>
      <c r="H106" s="19">
        <v>4924482</v>
      </c>
      <c r="I106" s="25" t="s">
        <v>93</v>
      </c>
      <c r="J106" s="27">
        <f>C106-D106</f>
        <v>365702</v>
      </c>
      <c r="K106" s="27">
        <f>C106-E106</f>
        <v>406895</v>
      </c>
    </row>
    <row r="107" spans="1:11" ht="15.75" thickBot="1" x14ac:dyDescent="0.3">
      <c r="A107" s="21" t="s">
        <v>416</v>
      </c>
      <c r="B107" s="19">
        <v>100000</v>
      </c>
      <c r="C107" s="19">
        <v>400000</v>
      </c>
      <c r="D107" s="20">
        <v>0</v>
      </c>
      <c r="E107" s="20">
        <v>0</v>
      </c>
      <c r="F107" s="20">
        <v>0</v>
      </c>
      <c r="G107" s="20">
        <v>0</v>
      </c>
      <c r="H107" s="20">
        <v>0</v>
      </c>
      <c r="I107" s="25" t="s">
        <v>25</v>
      </c>
      <c r="J107" s="27">
        <f>C107-D107</f>
        <v>400000</v>
      </c>
      <c r="K107" s="27">
        <f>C107-E107</f>
        <v>400000</v>
      </c>
    </row>
    <row r="108" spans="1:11" ht="29.25" thickBot="1" x14ac:dyDescent="0.3">
      <c r="A108" s="21" t="s">
        <v>288</v>
      </c>
      <c r="B108" s="19">
        <v>850000</v>
      </c>
      <c r="C108" s="19">
        <v>391951</v>
      </c>
      <c r="D108" s="19">
        <v>130000</v>
      </c>
      <c r="E108" s="20">
        <v>0</v>
      </c>
      <c r="F108" s="20">
        <v>0</v>
      </c>
      <c r="G108" s="20">
        <v>0</v>
      </c>
      <c r="H108" s="20">
        <v>0</v>
      </c>
      <c r="I108" s="25" t="s">
        <v>25</v>
      </c>
      <c r="J108" s="27">
        <f>C108-D108</f>
        <v>261951</v>
      </c>
      <c r="K108" s="27">
        <f>C108-E108</f>
        <v>391951</v>
      </c>
    </row>
    <row r="109" spans="1:11" ht="15.75" thickBot="1" x14ac:dyDescent="0.3">
      <c r="A109" s="21" t="s">
        <v>75</v>
      </c>
      <c r="B109" s="19">
        <v>800000</v>
      </c>
      <c r="C109" s="19">
        <v>2342684</v>
      </c>
      <c r="D109" s="19">
        <v>2159343</v>
      </c>
      <c r="E109" s="19">
        <v>1958588</v>
      </c>
      <c r="F109" s="19">
        <v>1715249</v>
      </c>
      <c r="G109" s="19">
        <v>1123789</v>
      </c>
      <c r="H109" s="19">
        <v>997142</v>
      </c>
      <c r="I109" s="25" t="s">
        <v>76</v>
      </c>
      <c r="J109" s="27">
        <f>C109-D109</f>
        <v>183341</v>
      </c>
      <c r="K109" s="27">
        <f>C109-E109</f>
        <v>384096</v>
      </c>
    </row>
    <row r="110" spans="1:11" ht="43.5" thickBot="1" x14ac:dyDescent="0.3">
      <c r="A110" s="21" t="s">
        <v>624</v>
      </c>
      <c r="B110" s="20">
        <v>0</v>
      </c>
      <c r="C110" s="19">
        <v>563376</v>
      </c>
      <c r="D110" s="19">
        <v>563376</v>
      </c>
      <c r="E110" s="19">
        <v>193545</v>
      </c>
      <c r="F110" s="19">
        <v>178620</v>
      </c>
      <c r="G110" s="19">
        <v>65075</v>
      </c>
      <c r="H110" s="19">
        <v>65075</v>
      </c>
      <c r="I110" s="25" t="s">
        <v>595</v>
      </c>
      <c r="J110" s="27">
        <f>C110-D110</f>
        <v>0</v>
      </c>
      <c r="K110" s="27">
        <f>C110-E110</f>
        <v>369831</v>
      </c>
    </row>
    <row r="111" spans="1:11" ht="29.25" thickBot="1" x14ac:dyDescent="0.3">
      <c r="A111" s="21" t="s">
        <v>196</v>
      </c>
      <c r="B111" s="19">
        <v>1750000</v>
      </c>
      <c r="C111" s="19">
        <v>7233387</v>
      </c>
      <c r="D111" s="19">
        <v>6870610</v>
      </c>
      <c r="E111" s="19">
        <v>6868164</v>
      </c>
      <c r="F111" s="19">
        <v>6849354</v>
      </c>
      <c r="G111" s="19">
        <v>6752467</v>
      </c>
      <c r="H111" s="19">
        <v>6536447</v>
      </c>
      <c r="I111" s="25" t="s">
        <v>197</v>
      </c>
      <c r="J111" s="27">
        <f>C111-D111</f>
        <v>362777</v>
      </c>
      <c r="K111" s="27">
        <f>C111-E111</f>
        <v>365223</v>
      </c>
    </row>
    <row r="112" spans="1:11" ht="29.25" thickBot="1" x14ac:dyDescent="0.3">
      <c r="A112" s="21" t="s">
        <v>358</v>
      </c>
      <c r="B112" s="20">
        <v>0</v>
      </c>
      <c r="C112" s="19">
        <v>900000</v>
      </c>
      <c r="D112" s="19">
        <v>855390</v>
      </c>
      <c r="E112" s="19">
        <v>536923</v>
      </c>
      <c r="F112" s="19">
        <v>462627</v>
      </c>
      <c r="G112" s="19">
        <v>187642</v>
      </c>
      <c r="H112" s="19">
        <v>56151</v>
      </c>
      <c r="I112" s="25" t="s">
        <v>359</v>
      </c>
      <c r="J112" s="27">
        <f>C112-D112</f>
        <v>44610</v>
      </c>
      <c r="K112" s="27">
        <f>C112-E112</f>
        <v>363077</v>
      </c>
    </row>
    <row r="113" spans="1:11" ht="29.25" thickBot="1" x14ac:dyDescent="0.3">
      <c r="A113" s="21" t="s">
        <v>328</v>
      </c>
      <c r="B113" s="20">
        <v>0</v>
      </c>
      <c r="C113" s="19">
        <v>4219373</v>
      </c>
      <c r="D113" s="19">
        <v>4183621</v>
      </c>
      <c r="E113" s="19">
        <v>3856815</v>
      </c>
      <c r="F113" s="19">
        <v>3829328</v>
      </c>
      <c r="G113" s="19">
        <v>3829328</v>
      </c>
      <c r="H113" s="19">
        <v>3829328</v>
      </c>
      <c r="I113" s="25" t="s">
        <v>329</v>
      </c>
      <c r="J113" s="27">
        <f>C113-D113</f>
        <v>35752</v>
      </c>
      <c r="K113" s="27">
        <f>C113-E113</f>
        <v>362558</v>
      </c>
    </row>
    <row r="114" spans="1:11" ht="29.25" thickBot="1" x14ac:dyDescent="0.3">
      <c r="A114" s="21" t="s">
        <v>646</v>
      </c>
      <c r="B114" s="20">
        <v>0</v>
      </c>
      <c r="C114" s="19">
        <v>349792</v>
      </c>
      <c r="D114" s="19">
        <v>321500</v>
      </c>
      <c r="E114" s="20">
        <v>0</v>
      </c>
      <c r="F114" s="20">
        <v>0</v>
      </c>
      <c r="G114" s="20">
        <v>0</v>
      </c>
      <c r="H114" s="20">
        <v>0</v>
      </c>
      <c r="I114" s="25" t="s">
        <v>25</v>
      </c>
      <c r="J114" s="27">
        <f>C114-D114</f>
        <v>28292</v>
      </c>
      <c r="K114" s="27">
        <f>C114-E114</f>
        <v>349792</v>
      </c>
    </row>
    <row r="115" spans="1:11" ht="29.25" thickBot="1" x14ac:dyDescent="0.3">
      <c r="A115" s="21" t="s">
        <v>436</v>
      </c>
      <c r="B115" s="20">
        <v>0</v>
      </c>
      <c r="C115" s="19">
        <v>677644</v>
      </c>
      <c r="D115" s="19">
        <v>607693</v>
      </c>
      <c r="E115" s="19">
        <v>331244</v>
      </c>
      <c r="F115" s="19">
        <v>331244</v>
      </c>
      <c r="G115" s="19">
        <v>131223</v>
      </c>
      <c r="H115" s="19">
        <v>131223</v>
      </c>
      <c r="I115" s="25" t="s">
        <v>437</v>
      </c>
      <c r="J115" s="27">
        <f>C115-D115</f>
        <v>69951</v>
      </c>
      <c r="K115" s="27">
        <f>C115-E115</f>
        <v>346400</v>
      </c>
    </row>
    <row r="116" spans="1:11" ht="29.25" thickBot="1" x14ac:dyDescent="0.3">
      <c r="A116" s="21" t="s">
        <v>389</v>
      </c>
      <c r="B116" s="19">
        <v>2000000</v>
      </c>
      <c r="C116" s="19">
        <v>2167000</v>
      </c>
      <c r="D116" s="19">
        <v>1860545</v>
      </c>
      <c r="E116" s="19">
        <v>1856335</v>
      </c>
      <c r="F116" s="19">
        <v>54370</v>
      </c>
      <c r="G116" s="19">
        <v>33060</v>
      </c>
      <c r="H116" s="19">
        <v>33060</v>
      </c>
      <c r="I116" s="25" t="s">
        <v>193</v>
      </c>
      <c r="J116" s="27">
        <f>C116-D116</f>
        <v>306455</v>
      </c>
      <c r="K116" s="27">
        <f>C116-E116</f>
        <v>310665</v>
      </c>
    </row>
    <row r="117" spans="1:11" ht="15.75" thickBot="1" x14ac:dyDescent="0.3">
      <c r="A117" s="21" t="s">
        <v>479</v>
      </c>
      <c r="B117" s="19">
        <v>5480901</v>
      </c>
      <c r="C117" s="19">
        <v>1382457</v>
      </c>
      <c r="D117" s="19">
        <v>1382456</v>
      </c>
      <c r="E117" s="19">
        <v>1076856</v>
      </c>
      <c r="F117" s="19">
        <v>215371</v>
      </c>
      <c r="G117" s="19">
        <v>215371</v>
      </c>
      <c r="H117" s="19">
        <v>215371</v>
      </c>
      <c r="I117" s="25" t="s">
        <v>480</v>
      </c>
      <c r="J117" s="27">
        <f>C117-D117</f>
        <v>1</v>
      </c>
      <c r="K117" s="27">
        <f>C117-E117</f>
        <v>305601</v>
      </c>
    </row>
    <row r="118" spans="1:11" ht="15.75" thickBot="1" x14ac:dyDescent="0.3">
      <c r="A118" s="21" t="s">
        <v>369</v>
      </c>
      <c r="B118" s="19">
        <v>100000</v>
      </c>
      <c r="C118" s="19">
        <v>304829</v>
      </c>
      <c r="D118" s="20">
        <v>0</v>
      </c>
      <c r="E118" s="20">
        <v>0</v>
      </c>
      <c r="F118" s="20">
        <v>0</v>
      </c>
      <c r="G118" s="20">
        <v>0</v>
      </c>
      <c r="H118" s="20">
        <v>0</v>
      </c>
      <c r="I118" s="25" t="s">
        <v>25</v>
      </c>
      <c r="J118" s="27">
        <f>C118-D118</f>
        <v>304829</v>
      </c>
      <c r="K118" s="27">
        <f>C118-E118</f>
        <v>304829</v>
      </c>
    </row>
    <row r="119" spans="1:11" ht="29.25" thickBot="1" x14ac:dyDescent="0.3">
      <c r="A119" s="21" t="s">
        <v>506</v>
      </c>
      <c r="B119" s="20">
        <v>0</v>
      </c>
      <c r="C119" s="19">
        <v>292573</v>
      </c>
      <c r="D119" s="20">
        <v>0</v>
      </c>
      <c r="E119" s="20">
        <v>0</v>
      </c>
      <c r="F119" s="20">
        <v>0</v>
      </c>
      <c r="G119" s="20">
        <v>0</v>
      </c>
      <c r="H119" s="20">
        <v>0</v>
      </c>
      <c r="I119" s="25" t="s">
        <v>25</v>
      </c>
      <c r="J119" s="27">
        <f>C119-D119</f>
        <v>292573</v>
      </c>
      <c r="K119" s="27">
        <f>C119-E119</f>
        <v>292573</v>
      </c>
    </row>
    <row r="120" spans="1:11" ht="29.25" thickBot="1" x14ac:dyDescent="0.3">
      <c r="A120" s="21" t="s">
        <v>302</v>
      </c>
      <c r="B120" s="19">
        <v>100000</v>
      </c>
      <c r="C120" s="19">
        <v>290270</v>
      </c>
      <c r="D120" s="19">
        <v>100000</v>
      </c>
      <c r="E120" s="20">
        <v>0</v>
      </c>
      <c r="F120" s="20">
        <v>0</v>
      </c>
      <c r="G120" s="20">
        <v>0</v>
      </c>
      <c r="H120" s="20">
        <v>0</v>
      </c>
      <c r="I120" s="25" t="s">
        <v>25</v>
      </c>
      <c r="J120" s="27">
        <f>C120-D120</f>
        <v>190270</v>
      </c>
      <c r="K120" s="27">
        <f>C120-E120</f>
        <v>290270</v>
      </c>
    </row>
    <row r="121" spans="1:11" ht="29.25" thickBot="1" x14ac:dyDescent="0.3">
      <c r="A121" s="21" t="s">
        <v>274</v>
      </c>
      <c r="B121" s="19">
        <v>2769903</v>
      </c>
      <c r="C121" s="19">
        <v>5931027</v>
      </c>
      <c r="D121" s="19">
        <v>5660459</v>
      </c>
      <c r="E121" s="19">
        <v>5660459</v>
      </c>
      <c r="F121" s="19">
        <v>1327664</v>
      </c>
      <c r="G121" s="19">
        <v>1327664</v>
      </c>
      <c r="H121" s="19">
        <v>1327664</v>
      </c>
      <c r="I121" s="25" t="s">
        <v>275</v>
      </c>
      <c r="J121" s="27">
        <f>C121-D121</f>
        <v>270568</v>
      </c>
      <c r="K121" s="27">
        <f>C121-E121</f>
        <v>270568</v>
      </c>
    </row>
    <row r="122" spans="1:11" ht="29.25" thickBot="1" x14ac:dyDescent="0.3">
      <c r="A122" s="21" t="s">
        <v>190</v>
      </c>
      <c r="B122" s="19">
        <v>8534000</v>
      </c>
      <c r="C122" s="19">
        <v>4417847</v>
      </c>
      <c r="D122" s="19">
        <v>4295084</v>
      </c>
      <c r="E122" s="19">
        <v>4147709</v>
      </c>
      <c r="F122" s="19">
        <v>3899322</v>
      </c>
      <c r="G122" s="19">
        <v>3703841</v>
      </c>
      <c r="H122" s="19">
        <v>3659039</v>
      </c>
      <c r="I122" s="25" t="s">
        <v>191</v>
      </c>
      <c r="J122" s="27">
        <f>C122-D122</f>
        <v>122763</v>
      </c>
      <c r="K122" s="27">
        <f>C122-E122</f>
        <v>270138</v>
      </c>
    </row>
    <row r="123" spans="1:11" ht="29.25" thickBot="1" x14ac:dyDescent="0.3">
      <c r="A123" s="21" t="s">
        <v>118</v>
      </c>
      <c r="B123" s="19">
        <v>5597990</v>
      </c>
      <c r="C123" s="19">
        <v>10208307</v>
      </c>
      <c r="D123" s="19">
        <v>9968470</v>
      </c>
      <c r="E123" s="19">
        <v>9948238</v>
      </c>
      <c r="F123" s="19">
        <v>8344366</v>
      </c>
      <c r="G123" s="19">
        <v>6440724</v>
      </c>
      <c r="H123" s="19">
        <v>4826056</v>
      </c>
      <c r="I123" s="25" t="s">
        <v>119</v>
      </c>
      <c r="J123" s="27">
        <f>C123-D123</f>
        <v>239837</v>
      </c>
      <c r="K123" s="27">
        <f>C123-E123</f>
        <v>260069</v>
      </c>
    </row>
    <row r="124" spans="1:11" ht="15.75" thickBot="1" x14ac:dyDescent="0.3">
      <c r="A124" s="21" t="s">
        <v>238</v>
      </c>
      <c r="B124" s="19">
        <v>732593</v>
      </c>
      <c r="C124" s="19">
        <v>369217</v>
      </c>
      <c r="D124" s="19">
        <v>140000</v>
      </c>
      <c r="E124" s="19">
        <v>140000</v>
      </c>
      <c r="F124" s="19">
        <v>140000</v>
      </c>
      <c r="G124" s="19">
        <v>140000</v>
      </c>
      <c r="H124" s="19">
        <v>140000</v>
      </c>
      <c r="I124" s="25" t="s">
        <v>239</v>
      </c>
      <c r="J124" s="27">
        <f>C124-D124</f>
        <v>229217</v>
      </c>
      <c r="K124" s="27">
        <f>C124-E124</f>
        <v>229217</v>
      </c>
    </row>
    <row r="125" spans="1:11" ht="29.25" thickBot="1" x14ac:dyDescent="0.3">
      <c r="A125" s="21" t="s">
        <v>339</v>
      </c>
      <c r="B125" s="20">
        <v>0</v>
      </c>
      <c r="C125" s="19">
        <v>218556</v>
      </c>
      <c r="D125" s="20">
        <v>0</v>
      </c>
      <c r="E125" s="20">
        <v>0</v>
      </c>
      <c r="F125" s="20">
        <v>0</v>
      </c>
      <c r="G125" s="20">
        <v>0</v>
      </c>
      <c r="H125" s="20">
        <v>0</v>
      </c>
      <c r="I125" s="25" t="s">
        <v>25</v>
      </c>
      <c r="J125" s="27">
        <f>C125-D125</f>
        <v>218556</v>
      </c>
      <c r="K125" s="27">
        <f>C125-E125</f>
        <v>218556</v>
      </c>
    </row>
    <row r="126" spans="1:11" ht="15.75" thickBot="1" x14ac:dyDescent="0.3">
      <c r="A126" s="21" t="s">
        <v>226</v>
      </c>
      <c r="B126" s="19">
        <v>200000</v>
      </c>
      <c r="C126" s="19">
        <v>200000</v>
      </c>
      <c r="D126" s="19">
        <v>50000</v>
      </c>
      <c r="E126" s="20">
        <v>0</v>
      </c>
      <c r="F126" s="20">
        <v>0</v>
      </c>
      <c r="G126" s="20">
        <v>0</v>
      </c>
      <c r="H126" s="20">
        <v>0</v>
      </c>
      <c r="I126" s="25" t="s">
        <v>25</v>
      </c>
      <c r="J126" s="27">
        <f>C126-D126</f>
        <v>150000</v>
      </c>
      <c r="K126" s="27">
        <f>C126-E126</f>
        <v>200000</v>
      </c>
    </row>
    <row r="127" spans="1:11" ht="15.75" thickBot="1" x14ac:dyDescent="0.3">
      <c r="A127" s="21" t="s">
        <v>94</v>
      </c>
      <c r="B127" s="19">
        <v>993581</v>
      </c>
      <c r="C127" s="19">
        <v>4291327</v>
      </c>
      <c r="D127" s="19">
        <v>4093667</v>
      </c>
      <c r="E127" s="19">
        <v>4092926</v>
      </c>
      <c r="F127" s="19">
        <v>4092735</v>
      </c>
      <c r="G127" s="19">
        <v>3891387</v>
      </c>
      <c r="H127" s="19">
        <v>3585841</v>
      </c>
      <c r="I127" s="25" t="s">
        <v>95</v>
      </c>
      <c r="J127" s="27">
        <f>C127-D127</f>
        <v>197660</v>
      </c>
      <c r="K127" s="27">
        <f>C127-E127</f>
        <v>198401</v>
      </c>
    </row>
    <row r="128" spans="1:11" ht="15.75" thickBot="1" x14ac:dyDescent="0.3">
      <c r="A128" s="21" t="s">
        <v>102</v>
      </c>
      <c r="B128" s="19">
        <v>539829</v>
      </c>
      <c r="C128" s="19">
        <v>909086</v>
      </c>
      <c r="D128" s="19">
        <v>725859</v>
      </c>
      <c r="E128" s="19">
        <v>718410</v>
      </c>
      <c r="F128" s="19">
        <v>718410</v>
      </c>
      <c r="G128" s="19">
        <v>715666</v>
      </c>
      <c r="H128" s="19">
        <v>690796</v>
      </c>
      <c r="I128" s="25" t="s">
        <v>103</v>
      </c>
      <c r="J128" s="27">
        <f>C128-D128</f>
        <v>183227</v>
      </c>
      <c r="K128" s="27">
        <f>C128-E128</f>
        <v>190676</v>
      </c>
    </row>
    <row r="129" spans="1:11" ht="29.25" thickBot="1" x14ac:dyDescent="0.3">
      <c r="A129" s="21" t="s">
        <v>202</v>
      </c>
      <c r="B129" s="20">
        <v>0</v>
      </c>
      <c r="C129" s="19">
        <v>1425006</v>
      </c>
      <c r="D129" s="19">
        <v>1239789</v>
      </c>
      <c r="E129" s="19">
        <v>1239289</v>
      </c>
      <c r="F129" s="19">
        <v>1180202</v>
      </c>
      <c r="G129" s="19">
        <v>1170437</v>
      </c>
      <c r="H129" s="19">
        <v>1170437</v>
      </c>
      <c r="I129" s="25" t="s">
        <v>203</v>
      </c>
      <c r="J129" s="27">
        <f>C129-D129</f>
        <v>185217</v>
      </c>
      <c r="K129" s="27">
        <f>C129-E129</f>
        <v>185717</v>
      </c>
    </row>
    <row r="130" spans="1:11" ht="29.25" thickBot="1" x14ac:dyDescent="0.3">
      <c r="A130" s="21" t="s">
        <v>195</v>
      </c>
      <c r="B130" s="19">
        <v>5319000</v>
      </c>
      <c r="C130" s="19">
        <v>184669</v>
      </c>
      <c r="D130" s="19">
        <v>184669</v>
      </c>
      <c r="E130" s="20">
        <v>0</v>
      </c>
      <c r="F130" s="20">
        <v>0</v>
      </c>
      <c r="G130" s="20">
        <v>0</v>
      </c>
      <c r="H130" s="20">
        <v>0</v>
      </c>
      <c r="I130" s="25" t="s">
        <v>25</v>
      </c>
      <c r="J130" s="27">
        <f>C130-D130</f>
        <v>0</v>
      </c>
      <c r="K130" s="27">
        <f>C130-E130</f>
        <v>184669</v>
      </c>
    </row>
    <row r="131" spans="1:11" ht="29.25" thickBot="1" x14ac:dyDescent="0.3">
      <c r="A131" s="21" t="s">
        <v>582</v>
      </c>
      <c r="B131" s="20">
        <v>0</v>
      </c>
      <c r="C131" s="19">
        <v>179500</v>
      </c>
      <c r="D131" s="19">
        <v>163750</v>
      </c>
      <c r="E131" s="19">
        <v>3750</v>
      </c>
      <c r="F131" s="19">
        <v>3750</v>
      </c>
      <c r="G131" s="19">
        <v>3750</v>
      </c>
      <c r="H131" s="19">
        <v>3750</v>
      </c>
      <c r="I131" s="25" t="s">
        <v>583</v>
      </c>
      <c r="J131" s="27">
        <f>C131-D131</f>
        <v>15750</v>
      </c>
      <c r="K131" s="27">
        <f>C131-E131</f>
        <v>175750</v>
      </c>
    </row>
    <row r="132" spans="1:11" ht="15.75" thickBot="1" x14ac:dyDescent="0.3">
      <c r="A132" s="21" t="s">
        <v>257</v>
      </c>
      <c r="B132" s="19">
        <v>12273214</v>
      </c>
      <c r="C132" s="19">
        <v>654662</v>
      </c>
      <c r="D132" s="19">
        <v>654662</v>
      </c>
      <c r="E132" s="19">
        <v>480065</v>
      </c>
      <c r="F132" s="20">
        <v>0</v>
      </c>
      <c r="G132" s="20">
        <v>0</v>
      </c>
      <c r="H132" s="20">
        <v>0</v>
      </c>
      <c r="I132" s="25" t="s">
        <v>25</v>
      </c>
      <c r="J132" s="27">
        <f>C132-D132</f>
        <v>0</v>
      </c>
      <c r="K132" s="27">
        <f>C132-E132</f>
        <v>174597</v>
      </c>
    </row>
    <row r="133" spans="1:11" ht="29.25" thickBot="1" x14ac:dyDescent="0.3">
      <c r="A133" s="21" t="s">
        <v>550</v>
      </c>
      <c r="B133" s="20">
        <v>0</v>
      </c>
      <c r="C133" s="19">
        <v>373203</v>
      </c>
      <c r="D133" s="19">
        <v>199545</v>
      </c>
      <c r="E133" s="19">
        <v>199545</v>
      </c>
      <c r="F133" s="19">
        <v>127534</v>
      </c>
      <c r="G133" s="19">
        <v>127534</v>
      </c>
      <c r="H133" s="19">
        <v>127534</v>
      </c>
      <c r="I133" s="25" t="s">
        <v>551</v>
      </c>
      <c r="J133" s="27">
        <f>C133-D133</f>
        <v>173658</v>
      </c>
      <c r="K133" s="27">
        <f>C133-E133</f>
        <v>173658</v>
      </c>
    </row>
    <row r="134" spans="1:11" ht="43.5" thickBot="1" x14ac:dyDescent="0.3">
      <c r="A134" s="21" t="s">
        <v>316</v>
      </c>
      <c r="B134" s="19">
        <v>800000</v>
      </c>
      <c r="C134" s="19">
        <v>840279</v>
      </c>
      <c r="D134" s="19">
        <v>668334</v>
      </c>
      <c r="E134" s="19">
        <v>668334</v>
      </c>
      <c r="F134" s="19">
        <v>649393</v>
      </c>
      <c r="G134" s="19">
        <v>535433</v>
      </c>
      <c r="H134" s="19">
        <v>483255</v>
      </c>
      <c r="I134" s="25" t="s">
        <v>317</v>
      </c>
      <c r="J134" s="27">
        <f>C134-D134</f>
        <v>171945</v>
      </c>
      <c r="K134" s="27">
        <f>C134-E134</f>
        <v>171945</v>
      </c>
    </row>
    <row r="135" spans="1:11" ht="15.75" thickBot="1" x14ac:dyDescent="0.3">
      <c r="A135" s="21" t="s">
        <v>323</v>
      </c>
      <c r="B135" s="20">
        <v>0</v>
      </c>
      <c r="C135" s="19">
        <v>3853164</v>
      </c>
      <c r="D135" s="19">
        <v>3701446</v>
      </c>
      <c r="E135" s="19">
        <v>3690349</v>
      </c>
      <c r="F135" s="19">
        <v>3507342</v>
      </c>
      <c r="G135" s="19">
        <v>3036070</v>
      </c>
      <c r="H135" s="19">
        <v>2934115</v>
      </c>
      <c r="I135" s="25" t="s">
        <v>324</v>
      </c>
      <c r="J135" s="27">
        <f>C135-D135</f>
        <v>151718</v>
      </c>
      <c r="K135" s="27">
        <f>C135-E135</f>
        <v>162815</v>
      </c>
    </row>
    <row r="136" spans="1:11" ht="29.25" thickBot="1" x14ac:dyDescent="0.3">
      <c r="A136" s="21" t="s">
        <v>649</v>
      </c>
      <c r="B136" s="20">
        <v>0</v>
      </c>
      <c r="C136" s="19">
        <v>159890</v>
      </c>
      <c r="D136" s="19">
        <v>150349</v>
      </c>
      <c r="E136" s="19">
        <v>5349</v>
      </c>
      <c r="F136" s="19">
        <v>5349</v>
      </c>
      <c r="G136" s="19">
        <v>5349</v>
      </c>
      <c r="H136" s="19">
        <v>5349</v>
      </c>
      <c r="I136" s="25" t="s">
        <v>650</v>
      </c>
      <c r="J136" s="27">
        <f>C136-D136</f>
        <v>9541</v>
      </c>
      <c r="K136" s="27">
        <f>C136-E136</f>
        <v>154541</v>
      </c>
    </row>
    <row r="137" spans="1:11" ht="29.25" thickBot="1" x14ac:dyDescent="0.3">
      <c r="A137" s="21" t="s">
        <v>554</v>
      </c>
      <c r="B137" s="20">
        <v>0</v>
      </c>
      <c r="C137" s="19">
        <v>784869</v>
      </c>
      <c r="D137" s="19">
        <v>784869</v>
      </c>
      <c r="E137" s="19">
        <v>634748</v>
      </c>
      <c r="F137" s="19">
        <v>631814</v>
      </c>
      <c r="G137" s="19">
        <v>631814</v>
      </c>
      <c r="H137" s="19">
        <v>631814</v>
      </c>
      <c r="I137" s="25" t="s">
        <v>555</v>
      </c>
      <c r="J137" s="27">
        <f>C137-D137</f>
        <v>0</v>
      </c>
      <c r="K137" s="27">
        <f>C137-E137</f>
        <v>150121</v>
      </c>
    </row>
    <row r="138" spans="1:11" ht="29.25" thickBot="1" x14ac:dyDescent="0.3">
      <c r="A138" s="21" t="s">
        <v>632</v>
      </c>
      <c r="B138" s="20">
        <v>0</v>
      </c>
      <c r="C138" s="19">
        <v>158642</v>
      </c>
      <c r="D138" s="19">
        <v>78148</v>
      </c>
      <c r="E138" s="19">
        <v>19148</v>
      </c>
      <c r="F138" s="19">
        <v>19148</v>
      </c>
      <c r="G138" s="20">
        <v>0</v>
      </c>
      <c r="H138" s="20">
        <v>0</v>
      </c>
      <c r="I138" s="25" t="s">
        <v>25</v>
      </c>
      <c r="J138" s="27">
        <f>C138-D138</f>
        <v>80494</v>
      </c>
      <c r="K138" s="27">
        <f>C138-E138</f>
        <v>139494</v>
      </c>
    </row>
    <row r="139" spans="1:11" ht="29.25" thickBot="1" x14ac:dyDescent="0.3">
      <c r="A139" s="21" t="s">
        <v>56</v>
      </c>
      <c r="B139" s="20">
        <v>0</v>
      </c>
      <c r="C139" s="19">
        <v>133512</v>
      </c>
      <c r="D139" s="20">
        <v>0</v>
      </c>
      <c r="E139" s="20">
        <v>0</v>
      </c>
      <c r="F139" s="20">
        <v>0</v>
      </c>
      <c r="G139" s="20">
        <v>0</v>
      </c>
      <c r="H139" s="20">
        <v>0</v>
      </c>
      <c r="I139" s="25" t="s">
        <v>25</v>
      </c>
      <c r="J139" s="27">
        <f>C139-D139</f>
        <v>133512</v>
      </c>
      <c r="K139" s="27">
        <f>C139-E139</f>
        <v>133512</v>
      </c>
    </row>
    <row r="140" spans="1:11" ht="29.25" thickBot="1" x14ac:dyDescent="0.3">
      <c r="A140" s="21" t="s">
        <v>198</v>
      </c>
      <c r="B140" s="19">
        <v>6632458</v>
      </c>
      <c r="C140" s="19">
        <v>3882438</v>
      </c>
      <c r="D140" s="19">
        <v>3751736</v>
      </c>
      <c r="E140" s="19">
        <v>3751367</v>
      </c>
      <c r="F140" s="19">
        <v>3740109</v>
      </c>
      <c r="G140" s="19">
        <v>3716288</v>
      </c>
      <c r="H140" s="19">
        <v>3203334</v>
      </c>
      <c r="I140" s="25" t="s">
        <v>199</v>
      </c>
      <c r="J140" s="27">
        <f>C140-D140</f>
        <v>130702</v>
      </c>
      <c r="K140" s="27">
        <f>C140-E140</f>
        <v>131071</v>
      </c>
    </row>
    <row r="141" spans="1:11" ht="29.25" thickBot="1" x14ac:dyDescent="0.3">
      <c r="A141" s="21" t="s">
        <v>189</v>
      </c>
      <c r="B141" s="19">
        <v>1850000</v>
      </c>
      <c r="C141" s="19">
        <v>2302588</v>
      </c>
      <c r="D141" s="19">
        <v>2195598</v>
      </c>
      <c r="E141" s="19">
        <v>2174756</v>
      </c>
      <c r="F141" s="19">
        <v>2173732</v>
      </c>
      <c r="G141" s="19">
        <v>2088606</v>
      </c>
      <c r="H141" s="19">
        <v>2088606</v>
      </c>
      <c r="I141" s="25" t="s">
        <v>95</v>
      </c>
      <c r="J141" s="27">
        <f>C141-D141</f>
        <v>106990</v>
      </c>
      <c r="K141" s="27">
        <f>C141-E141</f>
        <v>127832</v>
      </c>
    </row>
    <row r="142" spans="1:11" ht="29.25" thickBot="1" x14ac:dyDescent="0.3">
      <c r="A142" s="21" t="s">
        <v>644</v>
      </c>
      <c r="B142" s="20">
        <v>0</v>
      </c>
      <c r="C142" s="19">
        <v>160000</v>
      </c>
      <c r="D142" s="19">
        <v>149840</v>
      </c>
      <c r="E142" s="19">
        <v>34040</v>
      </c>
      <c r="F142" s="19">
        <v>34040</v>
      </c>
      <c r="G142" s="19">
        <v>18740</v>
      </c>
      <c r="H142" s="19">
        <v>18740</v>
      </c>
      <c r="I142" s="25" t="s">
        <v>645</v>
      </c>
      <c r="J142" s="27">
        <f>C142-D142</f>
        <v>10160</v>
      </c>
      <c r="K142" s="27">
        <f>C142-E142</f>
        <v>125960</v>
      </c>
    </row>
    <row r="143" spans="1:11" ht="15.75" thickBot="1" x14ac:dyDescent="0.3">
      <c r="A143" s="21" t="s">
        <v>613</v>
      </c>
      <c r="B143" s="20">
        <v>0</v>
      </c>
      <c r="C143" s="19">
        <v>114255</v>
      </c>
      <c r="D143" s="20">
        <v>0</v>
      </c>
      <c r="E143" s="20">
        <v>0</v>
      </c>
      <c r="F143" s="20">
        <v>0</v>
      </c>
      <c r="G143" s="20">
        <v>0</v>
      </c>
      <c r="H143" s="20">
        <v>0</v>
      </c>
      <c r="I143" s="25" t="s">
        <v>25</v>
      </c>
      <c r="J143" s="27">
        <f>C143-D143</f>
        <v>114255</v>
      </c>
      <c r="K143" s="27">
        <f>C143-E143</f>
        <v>114255</v>
      </c>
    </row>
    <row r="144" spans="1:11" ht="15.75" thickBot="1" x14ac:dyDescent="0.3">
      <c r="A144" s="21" t="s">
        <v>20</v>
      </c>
      <c r="B144" s="19">
        <v>11000000</v>
      </c>
      <c r="C144" s="19">
        <v>1098209</v>
      </c>
      <c r="D144" s="19">
        <v>995606</v>
      </c>
      <c r="E144" s="19">
        <v>993027</v>
      </c>
      <c r="F144" s="19">
        <v>784755</v>
      </c>
      <c r="G144" s="19">
        <v>677102</v>
      </c>
      <c r="H144" s="19">
        <v>675102</v>
      </c>
      <c r="I144" s="25" t="s">
        <v>21</v>
      </c>
      <c r="J144" s="27">
        <f>C144-D144</f>
        <v>102603</v>
      </c>
      <c r="K144" s="27">
        <f>C144-E144</f>
        <v>105182</v>
      </c>
    </row>
    <row r="145" spans="1:11" ht="29.25" thickBot="1" x14ac:dyDescent="0.3">
      <c r="A145" s="21" t="s">
        <v>606</v>
      </c>
      <c r="B145" s="20">
        <v>0</v>
      </c>
      <c r="C145" s="19">
        <v>167074</v>
      </c>
      <c r="D145" s="19">
        <v>63765</v>
      </c>
      <c r="E145" s="19">
        <v>63765</v>
      </c>
      <c r="F145" s="19">
        <v>62264</v>
      </c>
      <c r="G145" s="19">
        <v>62264</v>
      </c>
      <c r="H145" s="19">
        <v>62264</v>
      </c>
      <c r="I145" s="25" t="s">
        <v>607</v>
      </c>
      <c r="J145" s="27">
        <f>C145-D145</f>
        <v>103309</v>
      </c>
      <c r="K145" s="27">
        <f>C145-E145</f>
        <v>103309</v>
      </c>
    </row>
    <row r="146" spans="1:11" ht="29.25" thickBot="1" x14ac:dyDescent="0.3">
      <c r="A146" s="21" t="s">
        <v>314</v>
      </c>
      <c r="B146" s="19">
        <v>100000</v>
      </c>
      <c r="C146" s="19">
        <v>100000</v>
      </c>
      <c r="D146" s="20">
        <v>0</v>
      </c>
      <c r="E146" s="20">
        <v>0</v>
      </c>
      <c r="F146" s="20">
        <v>0</v>
      </c>
      <c r="G146" s="20">
        <v>0</v>
      </c>
      <c r="H146" s="20">
        <v>0</v>
      </c>
      <c r="I146" s="25" t="s">
        <v>25</v>
      </c>
      <c r="J146" s="27">
        <f>C146-D146</f>
        <v>100000</v>
      </c>
      <c r="K146" s="27">
        <f>C146-E146</f>
        <v>100000</v>
      </c>
    </row>
    <row r="147" spans="1:11" ht="29.25" thickBot="1" x14ac:dyDescent="0.3">
      <c r="A147" s="21" t="s">
        <v>352</v>
      </c>
      <c r="B147" s="19">
        <v>100000</v>
      </c>
      <c r="C147" s="19">
        <v>100000</v>
      </c>
      <c r="D147" s="20">
        <v>0</v>
      </c>
      <c r="E147" s="20">
        <v>0</v>
      </c>
      <c r="F147" s="20">
        <v>0</v>
      </c>
      <c r="G147" s="20">
        <v>0</v>
      </c>
      <c r="H147" s="20">
        <v>0</v>
      </c>
      <c r="I147" s="25" t="s">
        <v>25</v>
      </c>
      <c r="J147" s="27">
        <f>C147-D147</f>
        <v>100000</v>
      </c>
      <c r="K147" s="27">
        <f>C147-E147</f>
        <v>100000</v>
      </c>
    </row>
    <row r="148" spans="1:11" ht="15.75" thickBot="1" x14ac:dyDescent="0.3">
      <c r="A148" s="21" t="s">
        <v>518</v>
      </c>
      <c r="B148" s="20">
        <v>0</v>
      </c>
      <c r="C148" s="19">
        <v>621845</v>
      </c>
      <c r="D148" s="19">
        <v>621845</v>
      </c>
      <c r="E148" s="19">
        <v>521845</v>
      </c>
      <c r="F148" s="19">
        <v>396843</v>
      </c>
      <c r="G148" s="19">
        <v>396843</v>
      </c>
      <c r="H148" s="19">
        <v>396843</v>
      </c>
      <c r="I148" s="25" t="s">
        <v>519</v>
      </c>
      <c r="J148" s="27">
        <f>C148-D148</f>
        <v>0</v>
      </c>
      <c r="K148" s="27">
        <f>C148-E148</f>
        <v>100000</v>
      </c>
    </row>
    <row r="149" spans="1:11" ht="15.75" thickBot="1" x14ac:dyDescent="0.3">
      <c r="A149" s="21" t="s">
        <v>577</v>
      </c>
      <c r="B149" s="20">
        <v>0</v>
      </c>
      <c r="C149" s="19">
        <v>100000</v>
      </c>
      <c r="D149" s="20">
        <v>0</v>
      </c>
      <c r="E149" s="20">
        <v>0</v>
      </c>
      <c r="F149" s="20">
        <v>0</v>
      </c>
      <c r="G149" s="20">
        <v>0</v>
      </c>
      <c r="H149" s="20">
        <v>0</v>
      </c>
      <c r="I149" s="25" t="s">
        <v>25</v>
      </c>
      <c r="J149" s="27">
        <f>C149-D149</f>
        <v>100000</v>
      </c>
      <c r="K149" s="27">
        <f>C149-E149</f>
        <v>100000</v>
      </c>
    </row>
    <row r="150" spans="1:11" ht="29.25" thickBot="1" x14ac:dyDescent="0.3">
      <c r="A150" s="21" t="s">
        <v>127</v>
      </c>
      <c r="B150" s="19">
        <v>298669</v>
      </c>
      <c r="C150" s="19">
        <v>2079431</v>
      </c>
      <c r="D150" s="19">
        <v>1994037</v>
      </c>
      <c r="E150" s="19">
        <v>1986740</v>
      </c>
      <c r="F150" s="19">
        <v>1982924</v>
      </c>
      <c r="G150" s="19">
        <v>1946471</v>
      </c>
      <c r="H150" s="19">
        <v>1933908</v>
      </c>
      <c r="I150" s="25" t="s">
        <v>128</v>
      </c>
      <c r="J150" s="27">
        <f>C150-D150</f>
        <v>85394</v>
      </c>
      <c r="K150" s="27">
        <f>C150-E150</f>
        <v>92691</v>
      </c>
    </row>
    <row r="151" spans="1:11" ht="29.25" thickBot="1" x14ac:dyDescent="0.3">
      <c r="A151" s="21" t="s">
        <v>104</v>
      </c>
      <c r="B151" s="19">
        <v>1199085</v>
      </c>
      <c r="C151" s="19">
        <v>407088</v>
      </c>
      <c r="D151" s="19">
        <v>327566</v>
      </c>
      <c r="E151" s="19">
        <v>323566</v>
      </c>
      <c r="F151" s="19">
        <v>316522</v>
      </c>
      <c r="G151" s="19">
        <v>287714</v>
      </c>
      <c r="H151" s="19">
        <v>287714</v>
      </c>
      <c r="I151" s="25" t="s">
        <v>105</v>
      </c>
      <c r="J151" s="27">
        <f>C151-D151</f>
        <v>79522</v>
      </c>
      <c r="K151" s="27">
        <f>C151-E151</f>
        <v>83522</v>
      </c>
    </row>
    <row r="152" spans="1:11" ht="29.25" thickBot="1" x14ac:dyDescent="0.3">
      <c r="A152" s="21" t="s">
        <v>100</v>
      </c>
      <c r="B152" s="19">
        <v>3545977</v>
      </c>
      <c r="C152" s="19">
        <v>2394023</v>
      </c>
      <c r="D152" s="19">
        <v>2316939</v>
      </c>
      <c r="E152" s="19">
        <v>2310744</v>
      </c>
      <c r="F152" s="19">
        <v>1301156</v>
      </c>
      <c r="G152" s="19">
        <v>1138699</v>
      </c>
      <c r="H152" s="19">
        <v>1138699</v>
      </c>
      <c r="I152" s="25" t="s">
        <v>101</v>
      </c>
      <c r="J152" s="27">
        <f>C152-D152</f>
        <v>77084</v>
      </c>
      <c r="K152" s="27">
        <f>C152-E152</f>
        <v>83279</v>
      </c>
    </row>
    <row r="153" spans="1:11" ht="29.25" thickBot="1" x14ac:dyDescent="0.3">
      <c r="A153" s="21" t="s">
        <v>498</v>
      </c>
      <c r="B153" s="19">
        <v>50000</v>
      </c>
      <c r="C153" s="19">
        <v>703231</v>
      </c>
      <c r="D153" s="19">
        <v>681293</v>
      </c>
      <c r="E153" s="19">
        <v>620093</v>
      </c>
      <c r="F153" s="19">
        <v>616664</v>
      </c>
      <c r="G153" s="19">
        <v>575339</v>
      </c>
      <c r="H153" s="19">
        <v>568322</v>
      </c>
      <c r="I153" s="25" t="s">
        <v>499</v>
      </c>
      <c r="J153" s="27">
        <f>C153-D153</f>
        <v>21938</v>
      </c>
      <c r="K153" s="27">
        <f>C153-E153</f>
        <v>83138</v>
      </c>
    </row>
    <row r="154" spans="1:11" ht="29.25" thickBot="1" x14ac:dyDescent="0.3">
      <c r="A154" s="21" t="s">
        <v>507</v>
      </c>
      <c r="B154" s="19">
        <v>50000</v>
      </c>
      <c r="C154" s="19">
        <v>332000</v>
      </c>
      <c r="D154" s="19">
        <v>332000</v>
      </c>
      <c r="E154" s="19">
        <v>250000</v>
      </c>
      <c r="F154" s="19">
        <v>166833</v>
      </c>
      <c r="G154" s="19">
        <v>165235</v>
      </c>
      <c r="H154" s="19">
        <v>165235</v>
      </c>
      <c r="I154" s="25" t="s">
        <v>508</v>
      </c>
      <c r="J154" s="27">
        <f>C154-D154</f>
        <v>0</v>
      </c>
      <c r="K154" s="27">
        <f>C154-E154</f>
        <v>82000</v>
      </c>
    </row>
    <row r="155" spans="1:11" ht="15.75" thickBot="1" x14ac:dyDescent="0.3">
      <c r="A155" s="21" t="s">
        <v>490</v>
      </c>
      <c r="B155" s="20">
        <v>0</v>
      </c>
      <c r="C155" s="19">
        <v>81646</v>
      </c>
      <c r="D155" s="20">
        <v>0</v>
      </c>
      <c r="E155" s="20">
        <v>0</v>
      </c>
      <c r="F155" s="20">
        <v>0</v>
      </c>
      <c r="G155" s="20">
        <v>0</v>
      </c>
      <c r="H155" s="20">
        <v>0</v>
      </c>
      <c r="I155" s="25" t="s">
        <v>25</v>
      </c>
      <c r="J155" s="27">
        <f>C155-D155</f>
        <v>81646</v>
      </c>
      <c r="K155" s="27">
        <f>C155-E155</f>
        <v>81646</v>
      </c>
    </row>
    <row r="156" spans="1:11" ht="29.25" thickBot="1" x14ac:dyDescent="0.3">
      <c r="A156" s="21" t="s">
        <v>623</v>
      </c>
      <c r="B156" s="20">
        <v>0</v>
      </c>
      <c r="C156" s="19">
        <v>80738</v>
      </c>
      <c r="D156" s="20">
        <v>0</v>
      </c>
      <c r="E156" s="20">
        <v>0</v>
      </c>
      <c r="F156" s="20">
        <v>0</v>
      </c>
      <c r="G156" s="20">
        <v>0</v>
      </c>
      <c r="H156" s="20">
        <v>0</v>
      </c>
      <c r="I156" s="25" t="s">
        <v>25</v>
      </c>
      <c r="J156" s="27">
        <f>C156-D156</f>
        <v>80738</v>
      </c>
      <c r="K156" s="27">
        <f>C156-E156</f>
        <v>80738</v>
      </c>
    </row>
    <row r="157" spans="1:11" ht="29.25" thickBot="1" x14ac:dyDescent="0.3">
      <c r="A157" s="21" t="s">
        <v>284</v>
      </c>
      <c r="B157" s="19">
        <v>100000</v>
      </c>
      <c r="C157" s="19">
        <v>100000</v>
      </c>
      <c r="D157" s="19">
        <v>20000</v>
      </c>
      <c r="E157" s="19">
        <v>20000</v>
      </c>
      <c r="F157" s="19">
        <v>13772</v>
      </c>
      <c r="G157" s="19">
        <v>13772</v>
      </c>
      <c r="H157" s="19">
        <v>13772</v>
      </c>
      <c r="I157" s="25" t="s">
        <v>285</v>
      </c>
      <c r="J157" s="27">
        <f>C157-D157</f>
        <v>80000</v>
      </c>
      <c r="K157" s="27">
        <f>C157-E157</f>
        <v>80000</v>
      </c>
    </row>
    <row r="158" spans="1:11" ht="29.25" thickBot="1" x14ac:dyDescent="0.3">
      <c r="A158" s="21" t="s">
        <v>614</v>
      </c>
      <c r="B158" s="20">
        <v>0</v>
      </c>
      <c r="C158" s="19">
        <v>492669</v>
      </c>
      <c r="D158" s="19">
        <v>464894</v>
      </c>
      <c r="E158" s="19">
        <v>413672</v>
      </c>
      <c r="F158" s="19">
        <v>216827</v>
      </c>
      <c r="G158" s="19">
        <v>211663</v>
      </c>
      <c r="H158" s="19">
        <v>211663</v>
      </c>
      <c r="I158" s="25" t="s">
        <v>615</v>
      </c>
      <c r="J158" s="27">
        <f>C158-D158</f>
        <v>27775</v>
      </c>
      <c r="K158" s="27">
        <f>C158-E158</f>
        <v>78997</v>
      </c>
    </row>
    <row r="159" spans="1:11" ht="29.25" thickBot="1" x14ac:dyDescent="0.3">
      <c r="A159" s="21" t="s">
        <v>332</v>
      </c>
      <c r="B159" s="20">
        <v>0</v>
      </c>
      <c r="C159" s="19">
        <v>392605</v>
      </c>
      <c r="D159" s="19">
        <v>337020</v>
      </c>
      <c r="E159" s="19">
        <v>313706</v>
      </c>
      <c r="F159" s="19">
        <v>304774</v>
      </c>
      <c r="G159" s="19">
        <v>298074</v>
      </c>
      <c r="H159" s="19">
        <v>298074</v>
      </c>
      <c r="I159" s="25" t="s">
        <v>333</v>
      </c>
      <c r="J159" s="27">
        <f>C159-D159</f>
        <v>55585</v>
      </c>
      <c r="K159" s="27">
        <f>C159-E159</f>
        <v>78899</v>
      </c>
    </row>
    <row r="160" spans="1:11" ht="29.25" thickBot="1" x14ac:dyDescent="0.3">
      <c r="A160" s="21" t="s">
        <v>520</v>
      </c>
      <c r="B160" s="19">
        <v>50000</v>
      </c>
      <c r="C160" s="19">
        <v>275790</v>
      </c>
      <c r="D160" s="19">
        <v>274002</v>
      </c>
      <c r="E160" s="19">
        <v>199752</v>
      </c>
      <c r="F160" s="19">
        <v>165406</v>
      </c>
      <c r="G160" s="19">
        <v>155654</v>
      </c>
      <c r="H160" s="19">
        <v>155654</v>
      </c>
      <c r="I160" s="25" t="s">
        <v>521</v>
      </c>
      <c r="J160" s="27">
        <f>C160-D160</f>
        <v>1788</v>
      </c>
      <c r="K160" s="27">
        <f>C160-E160</f>
        <v>76038</v>
      </c>
    </row>
    <row r="161" spans="1:11" ht="15.75" thickBot="1" x14ac:dyDescent="0.3">
      <c r="A161" s="21" t="s">
        <v>43</v>
      </c>
      <c r="B161" s="19">
        <v>11675669</v>
      </c>
      <c r="C161" s="19">
        <v>1506514</v>
      </c>
      <c r="D161" s="19">
        <v>1436013</v>
      </c>
      <c r="E161" s="19">
        <v>1436013</v>
      </c>
      <c r="F161" s="19">
        <v>1240537</v>
      </c>
      <c r="G161" s="19">
        <v>1240537</v>
      </c>
      <c r="H161" s="19">
        <v>1240537</v>
      </c>
      <c r="I161" s="25" t="s">
        <v>44</v>
      </c>
      <c r="J161" s="27">
        <f>C161-D161</f>
        <v>70501</v>
      </c>
      <c r="K161" s="27">
        <f>C161-E161</f>
        <v>70501</v>
      </c>
    </row>
    <row r="162" spans="1:11" ht="29.25" thickBot="1" x14ac:dyDescent="0.3">
      <c r="A162" s="21" t="s">
        <v>468</v>
      </c>
      <c r="B162" s="19">
        <v>50000</v>
      </c>
      <c r="C162" s="19">
        <v>601668</v>
      </c>
      <c r="D162" s="19">
        <v>584518</v>
      </c>
      <c r="E162" s="19">
        <v>532195</v>
      </c>
      <c r="F162" s="19">
        <v>388860</v>
      </c>
      <c r="G162" s="19">
        <v>242761</v>
      </c>
      <c r="H162" s="19">
        <v>151279</v>
      </c>
      <c r="I162" s="25" t="s">
        <v>469</v>
      </c>
      <c r="J162" s="27">
        <f>C162-D162</f>
        <v>17150</v>
      </c>
      <c r="K162" s="27">
        <f>C162-E162</f>
        <v>69473</v>
      </c>
    </row>
    <row r="163" spans="1:11" ht="29.25" thickBot="1" x14ac:dyDescent="0.3">
      <c r="A163" s="21" t="s">
        <v>629</v>
      </c>
      <c r="B163" s="20">
        <v>0</v>
      </c>
      <c r="C163" s="19">
        <v>159946</v>
      </c>
      <c r="D163" s="19">
        <v>154011</v>
      </c>
      <c r="E163" s="19">
        <v>91011</v>
      </c>
      <c r="F163" s="19">
        <v>91011</v>
      </c>
      <c r="G163" s="19">
        <v>60441</v>
      </c>
      <c r="H163" s="19">
        <v>60441</v>
      </c>
      <c r="I163" s="25" t="s">
        <v>561</v>
      </c>
      <c r="J163" s="27">
        <f>C163-D163</f>
        <v>5935</v>
      </c>
      <c r="K163" s="27">
        <f>C163-E163</f>
        <v>68935</v>
      </c>
    </row>
    <row r="164" spans="1:11" ht="29.25" thickBot="1" x14ac:dyDescent="0.3">
      <c r="A164" s="21" t="s">
        <v>236</v>
      </c>
      <c r="B164" s="19">
        <v>1293646</v>
      </c>
      <c r="C164" s="19">
        <v>936343</v>
      </c>
      <c r="D164" s="19">
        <v>868355</v>
      </c>
      <c r="E164" s="19">
        <v>868355</v>
      </c>
      <c r="F164" s="19">
        <v>868355</v>
      </c>
      <c r="G164" s="19">
        <v>868355</v>
      </c>
      <c r="H164" s="19">
        <v>868355</v>
      </c>
      <c r="I164" s="25" t="s">
        <v>237</v>
      </c>
      <c r="J164" s="27">
        <f>C164-D164</f>
        <v>67988</v>
      </c>
      <c r="K164" s="27">
        <f>C164-E164</f>
        <v>67988</v>
      </c>
    </row>
    <row r="165" spans="1:11" ht="15.75" thickBot="1" x14ac:dyDescent="0.3">
      <c r="A165" s="21" t="s">
        <v>42</v>
      </c>
      <c r="B165" s="19">
        <v>1732548</v>
      </c>
      <c r="C165" s="19">
        <v>67139</v>
      </c>
      <c r="D165" s="20">
        <v>0</v>
      </c>
      <c r="E165" s="20">
        <v>0</v>
      </c>
      <c r="F165" s="20">
        <v>0</v>
      </c>
      <c r="G165" s="20">
        <v>0</v>
      </c>
      <c r="H165" s="20">
        <v>0</v>
      </c>
      <c r="I165" s="25" t="s">
        <v>25</v>
      </c>
      <c r="J165" s="27">
        <f>C165-D165</f>
        <v>67139</v>
      </c>
      <c r="K165" s="27">
        <f>C165-E165</f>
        <v>67139</v>
      </c>
    </row>
    <row r="166" spans="1:11" ht="29.25" thickBot="1" x14ac:dyDescent="0.3">
      <c r="A166" s="21" t="s">
        <v>228</v>
      </c>
      <c r="B166" s="19">
        <v>897880</v>
      </c>
      <c r="C166" s="19">
        <v>565870</v>
      </c>
      <c r="D166" s="19">
        <v>502949</v>
      </c>
      <c r="E166" s="19">
        <v>500423</v>
      </c>
      <c r="F166" s="19">
        <v>446229</v>
      </c>
      <c r="G166" s="19">
        <v>446229</v>
      </c>
      <c r="H166" s="19">
        <v>446229</v>
      </c>
      <c r="I166" s="25" t="s">
        <v>229</v>
      </c>
      <c r="J166" s="27">
        <f>C166-D166</f>
        <v>62921</v>
      </c>
      <c r="K166" s="27">
        <f>C166-E166</f>
        <v>65447</v>
      </c>
    </row>
    <row r="167" spans="1:11" ht="29.25" thickBot="1" x14ac:dyDescent="0.3">
      <c r="A167" s="21" t="s">
        <v>526</v>
      </c>
      <c r="B167" s="20">
        <v>0</v>
      </c>
      <c r="C167" s="19">
        <v>65438</v>
      </c>
      <c r="D167" s="19">
        <v>59650</v>
      </c>
      <c r="E167" s="20">
        <v>0</v>
      </c>
      <c r="F167" s="20">
        <v>0</v>
      </c>
      <c r="G167" s="20">
        <v>0</v>
      </c>
      <c r="H167" s="20">
        <v>0</v>
      </c>
      <c r="I167" s="25" t="s">
        <v>25</v>
      </c>
      <c r="J167" s="27">
        <f>C167-D167</f>
        <v>5788</v>
      </c>
      <c r="K167" s="27">
        <f>C167-E167</f>
        <v>65438</v>
      </c>
    </row>
    <row r="168" spans="1:11" ht="29.25" thickBot="1" x14ac:dyDescent="0.3">
      <c r="A168" s="21" t="s">
        <v>522</v>
      </c>
      <c r="B168" s="19">
        <v>800000</v>
      </c>
      <c r="C168" s="19">
        <v>255799</v>
      </c>
      <c r="D168" s="19">
        <v>195379</v>
      </c>
      <c r="E168" s="19">
        <v>192949</v>
      </c>
      <c r="F168" s="19">
        <v>182000</v>
      </c>
      <c r="G168" s="19">
        <v>138575</v>
      </c>
      <c r="H168" s="19">
        <v>134827</v>
      </c>
      <c r="I168" s="25" t="s">
        <v>523</v>
      </c>
      <c r="J168" s="27">
        <f>C168-D168</f>
        <v>60420</v>
      </c>
      <c r="K168" s="27">
        <f>C168-E168</f>
        <v>62850</v>
      </c>
    </row>
    <row r="169" spans="1:11" ht="15.75" thickBot="1" x14ac:dyDescent="0.3">
      <c r="A169" s="21" t="s">
        <v>33</v>
      </c>
      <c r="B169" s="19">
        <v>100000</v>
      </c>
      <c r="C169" s="19">
        <v>350198</v>
      </c>
      <c r="D169" s="19">
        <v>287570</v>
      </c>
      <c r="E169" s="19">
        <v>287570</v>
      </c>
      <c r="F169" s="19">
        <v>273287</v>
      </c>
      <c r="G169" s="19">
        <v>252137</v>
      </c>
      <c r="H169" s="19">
        <v>252137</v>
      </c>
      <c r="I169" s="25" t="s">
        <v>34</v>
      </c>
      <c r="J169" s="27">
        <f>C169-D169</f>
        <v>62628</v>
      </c>
      <c r="K169" s="27">
        <f>C169-E169</f>
        <v>62628</v>
      </c>
    </row>
    <row r="170" spans="1:11" ht="29.25" thickBot="1" x14ac:dyDescent="0.3">
      <c r="A170" s="21" t="s">
        <v>331</v>
      </c>
      <c r="B170" s="20">
        <v>0</v>
      </c>
      <c r="C170" s="19">
        <v>62000</v>
      </c>
      <c r="D170" s="19">
        <v>61767</v>
      </c>
      <c r="E170" s="20">
        <v>0</v>
      </c>
      <c r="F170" s="20">
        <v>0</v>
      </c>
      <c r="G170" s="20">
        <v>0</v>
      </c>
      <c r="H170" s="20">
        <v>0</v>
      </c>
      <c r="I170" s="25" t="s">
        <v>25</v>
      </c>
      <c r="J170" s="27">
        <f>C170-D170</f>
        <v>233</v>
      </c>
      <c r="K170" s="27">
        <f>C170-E170</f>
        <v>62000</v>
      </c>
    </row>
    <row r="171" spans="1:11" ht="29.25" thickBot="1" x14ac:dyDescent="0.3">
      <c r="A171" s="21" t="s">
        <v>330</v>
      </c>
      <c r="B171" s="20">
        <v>0</v>
      </c>
      <c r="C171" s="19">
        <v>61500</v>
      </c>
      <c r="D171" s="19">
        <v>59000</v>
      </c>
      <c r="E171" s="20">
        <v>0</v>
      </c>
      <c r="F171" s="20">
        <v>0</v>
      </c>
      <c r="G171" s="20">
        <v>0</v>
      </c>
      <c r="H171" s="20">
        <v>0</v>
      </c>
      <c r="I171" s="25" t="s">
        <v>25</v>
      </c>
      <c r="J171" s="27">
        <f>C171-D171</f>
        <v>2500</v>
      </c>
      <c r="K171" s="27">
        <f>C171-E171</f>
        <v>61500</v>
      </c>
    </row>
    <row r="172" spans="1:11" ht="43.5" thickBot="1" x14ac:dyDescent="0.3">
      <c r="A172" s="21" t="s">
        <v>353</v>
      </c>
      <c r="B172" s="19">
        <v>61203</v>
      </c>
      <c r="C172" s="19">
        <v>61203</v>
      </c>
      <c r="D172" s="20">
        <v>0</v>
      </c>
      <c r="E172" s="20">
        <v>0</v>
      </c>
      <c r="F172" s="20">
        <v>0</v>
      </c>
      <c r="G172" s="20">
        <v>0</v>
      </c>
      <c r="H172" s="20">
        <v>0</v>
      </c>
      <c r="I172" s="25" t="s">
        <v>25</v>
      </c>
      <c r="J172" s="27">
        <f>C172-D172</f>
        <v>61203</v>
      </c>
      <c r="K172" s="27">
        <f>C172-E172</f>
        <v>61203</v>
      </c>
    </row>
    <row r="173" spans="1:11" ht="29.25" thickBot="1" x14ac:dyDescent="0.3">
      <c r="A173" s="21" t="s">
        <v>224</v>
      </c>
      <c r="B173" s="20">
        <v>0</v>
      </c>
      <c r="C173" s="19">
        <v>105000</v>
      </c>
      <c r="D173" s="19">
        <v>44312</v>
      </c>
      <c r="E173" s="19">
        <v>44312</v>
      </c>
      <c r="F173" s="19">
        <v>39936</v>
      </c>
      <c r="G173" s="19">
        <v>39936</v>
      </c>
      <c r="H173" s="19">
        <v>39936</v>
      </c>
      <c r="I173" s="25" t="s">
        <v>225</v>
      </c>
      <c r="J173" s="27">
        <f>C173-D173</f>
        <v>60688</v>
      </c>
      <c r="K173" s="27">
        <f>C173-E173</f>
        <v>60688</v>
      </c>
    </row>
    <row r="174" spans="1:11" ht="15.75" thickBot="1" x14ac:dyDescent="0.3">
      <c r="A174" s="21" t="s">
        <v>451</v>
      </c>
      <c r="B174" s="19">
        <v>50000</v>
      </c>
      <c r="C174" s="19">
        <v>310000</v>
      </c>
      <c r="D174" s="19">
        <v>310000</v>
      </c>
      <c r="E174" s="19">
        <v>250000</v>
      </c>
      <c r="F174" s="19">
        <v>240998</v>
      </c>
      <c r="G174" s="19">
        <v>240998</v>
      </c>
      <c r="H174" s="19">
        <v>240998</v>
      </c>
      <c r="I174" s="25" t="s">
        <v>452</v>
      </c>
      <c r="J174" s="27">
        <f>C174-D174</f>
        <v>0</v>
      </c>
      <c r="K174" s="27">
        <f>C174-E174</f>
        <v>60000</v>
      </c>
    </row>
    <row r="175" spans="1:11" ht="29.25" thickBot="1" x14ac:dyDescent="0.3">
      <c r="A175" s="21" t="s">
        <v>351</v>
      </c>
      <c r="B175" s="20">
        <v>0</v>
      </c>
      <c r="C175" s="19">
        <v>58627</v>
      </c>
      <c r="D175" s="20">
        <v>0</v>
      </c>
      <c r="E175" s="20">
        <v>0</v>
      </c>
      <c r="F175" s="20">
        <v>0</v>
      </c>
      <c r="G175" s="20">
        <v>0</v>
      </c>
      <c r="H175" s="20">
        <v>0</v>
      </c>
      <c r="I175" s="25" t="s">
        <v>25</v>
      </c>
      <c r="J175" s="27">
        <f>C175-D175</f>
        <v>58627</v>
      </c>
      <c r="K175" s="27">
        <f>C175-E175</f>
        <v>58627</v>
      </c>
    </row>
    <row r="176" spans="1:11" ht="15.75" thickBot="1" x14ac:dyDescent="0.3">
      <c r="A176" s="21" t="s">
        <v>84</v>
      </c>
      <c r="B176" s="20">
        <v>0</v>
      </c>
      <c r="C176" s="19">
        <v>70632</v>
      </c>
      <c r="D176" s="19">
        <v>12544</v>
      </c>
      <c r="E176" s="19">
        <v>12544</v>
      </c>
      <c r="F176" s="19">
        <v>12544</v>
      </c>
      <c r="G176" s="19">
        <v>12544</v>
      </c>
      <c r="H176" s="19">
        <v>1505</v>
      </c>
      <c r="I176" s="25" t="s">
        <v>85</v>
      </c>
      <c r="J176" s="27">
        <f>C176-D176</f>
        <v>58088</v>
      </c>
      <c r="K176" s="27">
        <f>C176-E176</f>
        <v>58088</v>
      </c>
    </row>
    <row r="177" spans="1:11" ht="29.25" thickBot="1" x14ac:dyDescent="0.3">
      <c r="A177" s="21" t="s">
        <v>222</v>
      </c>
      <c r="B177" s="19">
        <v>228677</v>
      </c>
      <c r="C177" s="19">
        <v>104124</v>
      </c>
      <c r="D177" s="19">
        <v>48235</v>
      </c>
      <c r="E177" s="19">
        <v>48235</v>
      </c>
      <c r="F177" s="19">
        <v>48235</v>
      </c>
      <c r="G177" s="19">
        <v>48235</v>
      </c>
      <c r="H177" s="19">
        <v>48235</v>
      </c>
      <c r="I177" s="25" t="s">
        <v>223</v>
      </c>
      <c r="J177" s="27">
        <f>C177-D177</f>
        <v>55889</v>
      </c>
      <c r="K177" s="27">
        <f>C177-E177</f>
        <v>55889</v>
      </c>
    </row>
    <row r="178" spans="1:11" ht="29.25" thickBot="1" x14ac:dyDescent="0.3">
      <c r="A178" s="21" t="s">
        <v>391</v>
      </c>
      <c r="B178" s="19">
        <v>800000</v>
      </c>
      <c r="C178" s="19">
        <v>349206</v>
      </c>
      <c r="D178" s="19">
        <v>349206</v>
      </c>
      <c r="E178" s="19">
        <v>294147</v>
      </c>
      <c r="F178" s="19">
        <v>281689</v>
      </c>
      <c r="G178" s="19">
        <v>281441</v>
      </c>
      <c r="H178" s="19">
        <v>281441</v>
      </c>
      <c r="I178" s="25" t="s">
        <v>392</v>
      </c>
      <c r="J178" s="27">
        <f>C178-D178</f>
        <v>0</v>
      </c>
      <c r="K178" s="27">
        <f>C178-E178</f>
        <v>55059</v>
      </c>
    </row>
    <row r="179" spans="1:11" ht="43.5" thickBot="1" x14ac:dyDescent="0.3">
      <c r="A179" s="21" t="s">
        <v>515</v>
      </c>
      <c r="B179" s="20">
        <v>0</v>
      </c>
      <c r="C179" s="19">
        <v>680000</v>
      </c>
      <c r="D179" s="19">
        <v>676480</v>
      </c>
      <c r="E179" s="19">
        <v>626480</v>
      </c>
      <c r="F179" s="19">
        <v>476075</v>
      </c>
      <c r="G179" s="19">
        <v>463895</v>
      </c>
      <c r="H179" s="19">
        <v>463895</v>
      </c>
      <c r="I179" s="25" t="s">
        <v>516</v>
      </c>
      <c r="J179" s="27">
        <f>C179-D179</f>
        <v>3520</v>
      </c>
      <c r="K179" s="27">
        <f>C179-E179</f>
        <v>53520</v>
      </c>
    </row>
    <row r="180" spans="1:11" ht="29.25" thickBot="1" x14ac:dyDescent="0.3">
      <c r="A180" s="21" t="s">
        <v>535</v>
      </c>
      <c r="B180" s="20">
        <v>0</v>
      </c>
      <c r="C180" s="19">
        <v>54964</v>
      </c>
      <c r="D180" s="19">
        <v>1978</v>
      </c>
      <c r="E180" s="19">
        <v>1978</v>
      </c>
      <c r="F180" s="19">
        <v>1978</v>
      </c>
      <c r="G180" s="19">
        <v>1978</v>
      </c>
      <c r="H180" s="19">
        <v>1978</v>
      </c>
      <c r="I180" s="25" t="s">
        <v>536</v>
      </c>
      <c r="J180" s="27">
        <f>C180-D180</f>
        <v>52986</v>
      </c>
      <c r="K180" s="27">
        <f>C180-E180</f>
        <v>52986</v>
      </c>
    </row>
    <row r="181" spans="1:11" ht="29.25" thickBot="1" x14ac:dyDescent="0.3">
      <c r="A181" s="21" t="s">
        <v>343</v>
      </c>
      <c r="B181" s="19">
        <v>2981000</v>
      </c>
      <c r="C181" s="19">
        <v>408761</v>
      </c>
      <c r="D181" s="19">
        <v>356083</v>
      </c>
      <c r="E181" s="19">
        <v>356083</v>
      </c>
      <c r="F181" s="19">
        <v>242446</v>
      </c>
      <c r="G181" s="19">
        <v>242446</v>
      </c>
      <c r="H181" s="19">
        <v>215431</v>
      </c>
      <c r="I181" s="25" t="s">
        <v>344</v>
      </c>
      <c r="J181" s="27">
        <f>C181-D181</f>
        <v>52678</v>
      </c>
      <c r="K181" s="27">
        <f>C181-E181</f>
        <v>52678</v>
      </c>
    </row>
    <row r="182" spans="1:11" ht="29.25" thickBot="1" x14ac:dyDescent="0.3">
      <c r="A182" s="21" t="s">
        <v>639</v>
      </c>
      <c r="B182" s="20">
        <v>0</v>
      </c>
      <c r="C182" s="19">
        <v>159555</v>
      </c>
      <c r="D182" s="19">
        <v>132645</v>
      </c>
      <c r="E182" s="19">
        <v>107145</v>
      </c>
      <c r="F182" s="19">
        <v>107145</v>
      </c>
      <c r="G182" s="19">
        <v>100745</v>
      </c>
      <c r="H182" s="19">
        <v>74845</v>
      </c>
      <c r="I182" s="25" t="s">
        <v>119</v>
      </c>
      <c r="J182" s="27">
        <f>C182-D182</f>
        <v>26910</v>
      </c>
      <c r="K182" s="27">
        <f>C182-E182</f>
        <v>52410</v>
      </c>
    </row>
    <row r="183" spans="1:11" ht="15.75" thickBot="1" x14ac:dyDescent="0.3">
      <c r="A183" s="21" t="s">
        <v>35</v>
      </c>
      <c r="B183" s="19">
        <v>2596051</v>
      </c>
      <c r="C183" s="19">
        <v>1202934</v>
      </c>
      <c r="D183" s="19">
        <v>1151624</v>
      </c>
      <c r="E183" s="19">
        <v>1151624</v>
      </c>
      <c r="F183" s="19">
        <v>1137287</v>
      </c>
      <c r="G183" s="19">
        <v>1105100</v>
      </c>
      <c r="H183" s="19">
        <v>1105100</v>
      </c>
      <c r="I183" s="25" t="s">
        <v>36</v>
      </c>
      <c r="J183" s="27">
        <f>C183-D183</f>
        <v>51310</v>
      </c>
      <c r="K183" s="27">
        <f>C183-E183</f>
        <v>51310</v>
      </c>
    </row>
    <row r="184" spans="1:11" ht="29.25" thickBot="1" x14ac:dyDescent="0.3">
      <c r="A184" s="21" t="s">
        <v>138</v>
      </c>
      <c r="B184" s="19">
        <v>100000</v>
      </c>
      <c r="C184" s="19">
        <v>100000</v>
      </c>
      <c r="D184" s="19">
        <v>50000</v>
      </c>
      <c r="E184" s="19">
        <v>50000</v>
      </c>
      <c r="F184" s="20">
        <v>0</v>
      </c>
      <c r="G184" s="20">
        <v>0</v>
      </c>
      <c r="H184" s="20">
        <v>0</v>
      </c>
      <c r="I184" s="25" t="s">
        <v>25</v>
      </c>
      <c r="J184" s="27">
        <f>C184-D184</f>
        <v>50000</v>
      </c>
      <c r="K184" s="27">
        <f>C184-E184</f>
        <v>50000</v>
      </c>
    </row>
    <row r="185" spans="1:11" ht="15.75" thickBot="1" x14ac:dyDescent="0.3">
      <c r="A185" s="21" t="s">
        <v>336</v>
      </c>
      <c r="B185" s="19">
        <v>1800000</v>
      </c>
      <c r="C185" s="19">
        <v>100000</v>
      </c>
      <c r="D185" s="19">
        <v>100000</v>
      </c>
      <c r="E185" s="19">
        <v>50000</v>
      </c>
      <c r="F185" s="19">
        <v>45460</v>
      </c>
      <c r="G185" s="19">
        <v>45460</v>
      </c>
      <c r="H185" s="19">
        <v>45460</v>
      </c>
      <c r="I185" s="25" t="s">
        <v>337</v>
      </c>
      <c r="J185" s="27">
        <f>C185-D185</f>
        <v>0</v>
      </c>
      <c r="K185" s="27">
        <f>C185-E185</f>
        <v>50000</v>
      </c>
    </row>
    <row r="186" spans="1:11" ht="15.75" thickBot="1" x14ac:dyDescent="0.3">
      <c r="A186" s="21" t="s">
        <v>455</v>
      </c>
      <c r="B186" s="19">
        <v>50000</v>
      </c>
      <c r="C186" s="19">
        <v>400214</v>
      </c>
      <c r="D186" s="19">
        <v>400214</v>
      </c>
      <c r="E186" s="19">
        <v>350214</v>
      </c>
      <c r="F186" s="19">
        <v>330372</v>
      </c>
      <c r="G186" s="19">
        <v>330372</v>
      </c>
      <c r="H186" s="19">
        <v>319981</v>
      </c>
      <c r="I186" s="25" t="s">
        <v>456</v>
      </c>
      <c r="J186" s="27">
        <f>C186-D186</f>
        <v>0</v>
      </c>
      <c r="K186" s="27">
        <f>C186-E186</f>
        <v>50000</v>
      </c>
    </row>
    <row r="187" spans="1:11" ht="29.25" thickBot="1" x14ac:dyDescent="0.3">
      <c r="A187" s="21" t="s">
        <v>381</v>
      </c>
      <c r="B187" s="19">
        <v>1515300</v>
      </c>
      <c r="C187" s="19">
        <v>48882</v>
      </c>
      <c r="D187" s="19">
        <v>30000</v>
      </c>
      <c r="E187" s="20">
        <v>0</v>
      </c>
      <c r="F187" s="20">
        <v>0</v>
      </c>
      <c r="G187" s="20">
        <v>0</v>
      </c>
      <c r="H187" s="20">
        <v>0</v>
      </c>
      <c r="I187" s="25" t="s">
        <v>25</v>
      </c>
      <c r="J187" s="27">
        <f>C187-D187</f>
        <v>18882</v>
      </c>
      <c r="K187" s="27">
        <f>C187-E187</f>
        <v>48882</v>
      </c>
    </row>
    <row r="188" spans="1:11" ht="29.25" thickBot="1" x14ac:dyDescent="0.3">
      <c r="A188" s="21" t="s">
        <v>250</v>
      </c>
      <c r="B188" s="20">
        <v>0</v>
      </c>
      <c r="C188" s="19">
        <v>412686</v>
      </c>
      <c r="D188" s="19">
        <v>364067</v>
      </c>
      <c r="E188" s="19">
        <v>364067</v>
      </c>
      <c r="F188" s="19">
        <v>317018</v>
      </c>
      <c r="G188" s="19">
        <v>189728</v>
      </c>
      <c r="H188" s="19">
        <v>189728</v>
      </c>
      <c r="I188" s="25" t="s">
        <v>251</v>
      </c>
      <c r="J188" s="27">
        <f>C188-D188</f>
        <v>48619</v>
      </c>
      <c r="K188" s="27">
        <f>C188-E188</f>
        <v>48619</v>
      </c>
    </row>
    <row r="189" spans="1:11" ht="43.5" thickBot="1" x14ac:dyDescent="0.3">
      <c r="A189" s="21" t="s">
        <v>481</v>
      </c>
      <c r="B189" s="19">
        <v>50000</v>
      </c>
      <c r="C189" s="19">
        <v>330710</v>
      </c>
      <c r="D189" s="19">
        <v>282399</v>
      </c>
      <c r="E189" s="19">
        <v>282399</v>
      </c>
      <c r="F189" s="19">
        <v>191887</v>
      </c>
      <c r="G189" s="19">
        <v>191887</v>
      </c>
      <c r="H189" s="19">
        <v>184887</v>
      </c>
      <c r="I189" s="25" t="s">
        <v>482</v>
      </c>
      <c r="J189" s="27">
        <f>C189-D189</f>
        <v>48311</v>
      </c>
      <c r="K189" s="27">
        <f>C189-E189</f>
        <v>48311</v>
      </c>
    </row>
    <row r="190" spans="1:11" ht="15.75" thickBot="1" x14ac:dyDescent="0.3">
      <c r="A190" s="21" t="s">
        <v>153</v>
      </c>
      <c r="B190" s="19">
        <v>2422294</v>
      </c>
      <c r="C190" s="19">
        <v>5270087</v>
      </c>
      <c r="D190" s="19">
        <v>5222084</v>
      </c>
      <c r="E190" s="19">
        <v>5222084</v>
      </c>
      <c r="F190" s="19">
        <v>5222084</v>
      </c>
      <c r="G190" s="19">
        <v>5220159</v>
      </c>
      <c r="H190" s="19">
        <v>5220159</v>
      </c>
      <c r="I190" s="25" t="s">
        <v>154</v>
      </c>
      <c r="J190" s="27">
        <f>C190-D190</f>
        <v>48003</v>
      </c>
      <c r="K190" s="27">
        <f>C190-E190</f>
        <v>48003</v>
      </c>
    </row>
    <row r="191" spans="1:11" ht="29.25" thickBot="1" x14ac:dyDescent="0.3">
      <c r="A191" s="21" t="s">
        <v>496</v>
      </c>
      <c r="B191" s="19">
        <v>50000</v>
      </c>
      <c r="C191" s="19">
        <v>159651</v>
      </c>
      <c r="D191" s="19">
        <v>151653</v>
      </c>
      <c r="E191" s="19">
        <v>111653</v>
      </c>
      <c r="F191" s="19">
        <v>88000</v>
      </c>
      <c r="G191" s="19">
        <v>12000</v>
      </c>
      <c r="H191" s="19">
        <v>12000</v>
      </c>
      <c r="I191" s="25" t="s">
        <v>497</v>
      </c>
      <c r="J191" s="27">
        <f>C191-D191</f>
        <v>7998</v>
      </c>
      <c r="K191" s="27">
        <f>C191-E191</f>
        <v>47998</v>
      </c>
    </row>
    <row r="192" spans="1:11" ht="15.75" thickBot="1" x14ac:dyDescent="0.3">
      <c r="A192" s="21" t="s">
        <v>63</v>
      </c>
      <c r="B192" s="19">
        <v>159740</v>
      </c>
      <c r="C192" s="19">
        <v>118539</v>
      </c>
      <c r="D192" s="19">
        <v>70562</v>
      </c>
      <c r="E192" s="19">
        <v>70562</v>
      </c>
      <c r="F192" s="19">
        <v>70562</v>
      </c>
      <c r="G192" s="19">
        <v>70562</v>
      </c>
      <c r="H192" s="19">
        <v>70562</v>
      </c>
      <c r="I192" s="25" t="s">
        <v>64</v>
      </c>
      <c r="J192" s="27">
        <f>C192-D192</f>
        <v>47977</v>
      </c>
      <c r="K192" s="27">
        <f>C192-E192</f>
        <v>47977</v>
      </c>
    </row>
    <row r="193" spans="1:11" ht="29.25" thickBot="1" x14ac:dyDescent="0.3">
      <c r="A193" s="21" t="s">
        <v>461</v>
      </c>
      <c r="B193" s="19">
        <v>800000</v>
      </c>
      <c r="C193" s="19">
        <v>230550</v>
      </c>
      <c r="D193" s="19">
        <v>189499</v>
      </c>
      <c r="E193" s="19">
        <v>183174</v>
      </c>
      <c r="F193" s="19">
        <v>157263</v>
      </c>
      <c r="G193" s="19">
        <v>146384</v>
      </c>
      <c r="H193" s="19">
        <v>146384</v>
      </c>
      <c r="I193" s="25" t="s">
        <v>462</v>
      </c>
      <c r="J193" s="27">
        <f>C193-D193</f>
        <v>41051</v>
      </c>
      <c r="K193" s="27">
        <f>C193-E193</f>
        <v>47376</v>
      </c>
    </row>
    <row r="194" spans="1:11" ht="15.75" thickBot="1" x14ac:dyDescent="0.3">
      <c r="A194" s="21" t="s">
        <v>124</v>
      </c>
      <c r="B194" s="19">
        <v>800000</v>
      </c>
      <c r="C194" s="19">
        <v>46429</v>
      </c>
      <c r="D194" s="20">
        <v>0</v>
      </c>
      <c r="E194" s="20">
        <v>0</v>
      </c>
      <c r="F194" s="20">
        <v>0</v>
      </c>
      <c r="G194" s="20">
        <v>0</v>
      </c>
      <c r="H194" s="20">
        <v>0</v>
      </c>
      <c r="I194" s="25" t="s">
        <v>25</v>
      </c>
      <c r="J194" s="27">
        <f>C194-D194</f>
        <v>46429</v>
      </c>
      <c r="K194" s="27">
        <f>C194-E194</f>
        <v>46429</v>
      </c>
    </row>
    <row r="195" spans="1:11" ht="29.25" thickBot="1" x14ac:dyDescent="0.3">
      <c r="A195" s="21" t="s">
        <v>373</v>
      </c>
      <c r="B195" s="20">
        <v>0</v>
      </c>
      <c r="C195" s="19">
        <v>225183</v>
      </c>
      <c r="D195" s="19">
        <v>180000</v>
      </c>
      <c r="E195" s="19">
        <v>180000</v>
      </c>
      <c r="F195" s="19">
        <v>179898</v>
      </c>
      <c r="G195" s="19">
        <v>179898</v>
      </c>
      <c r="H195" s="19">
        <v>179898</v>
      </c>
      <c r="I195" s="25" t="s">
        <v>374</v>
      </c>
      <c r="J195" s="27">
        <f>C195-D195</f>
        <v>45183</v>
      </c>
      <c r="K195" s="27">
        <f>C195-E195</f>
        <v>45183</v>
      </c>
    </row>
    <row r="196" spans="1:11" ht="29.25" thickBot="1" x14ac:dyDescent="0.3">
      <c r="A196" s="21" t="s">
        <v>209</v>
      </c>
      <c r="B196" s="20">
        <v>0</v>
      </c>
      <c r="C196" s="19">
        <v>220496</v>
      </c>
      <c r="D196" s="19">
        <v>220392</v>
      </c>
      <c r="E196" s="19">
        <v>175392</v>
      </c>
      <c r="F196" s="19">
        <v>174510</v>
      </c>
      <c r="G196" s="19">
        <v>174510</v>
      </c>
      <c r="H196" s="19">
        <v>158067</v>
      </c>
      <c r="I196" s="25" t="s">
        <v>210</v>
      </c>
      <c r="J196" s="27">
        <f>C196-D196</f>
        <v>104</v>
      </c>
      <c r="K196" s="27">
        <f>C196-E196</f>
        <v>45104</v>
      </c>
    </row>
    <row r="197" spans="1:11" ht="29.25" thickBot="1" x14ac:dyDescent="0.3">
      <c r="A197" s="21" t="s">
        <v>628</v>
      </c>
      <c r="B197" s="20">
        <v>0</v>
      </c>
      <c r="C197" s="19">
        <v>45000</v>
      </c>
      <c r="D197" s="20">
        <v>0</v>
      </c>
      <c r="E197" s="20">
        <v>0</v>
      </c>
      <c r="F197" s="20">
        <v>0</v>
      </c>
      <c r="G197" s="20">
        <v>0</v>
      </c>
      <c r="H197" s="20">
        <v>0</v>
      </c>
      <c r="I197" s="25" t="s">
        <v>25</v>
      </c>
      <c r="J197" s="27">
        <f>C197-D197</f>
        <v>45000</v>
      </c>
      <c r="K197" s="27">
        <f>C197-E197</f>
        <v>45000</v>
      </c>
    </row>
    <row r="198" spans="1:11" ht="43.5" thickBot="1" x14ac:dyDescent="0.3">
      <c r="A198" s="21" t="s">
        <v>486</v>
      </c>
      <c r="B198" s="19">
        <v>50000</v>
      </c>
      <c r="C198" s="19">
        <v>390297</v>
      </c>
      <c r="D198" s="19">
        <v>389429</v>
      </c>
      <c r="E198" s="19">
        <v>346215</v>
      </c>
      <c r="F198" s="19">
        <v>305889</v>
      </c>
      <c r="G198" s="19">
        <v>251034</v>
      </c>
      <c r="H198" s="19">
        <v>251034</v>
      </c>
      <c r="I198" s="25" t="s">
        <v>179</v>
      </c>
      <c r="J198" s="27">
        <f>C198-D198</f>
        <v>868</v>
      </c>
      <c r="K198" s="27">
        <f>C198-E198</f>
        <v>44082</v>
      </c>
    </row>
    <row r="199" spans="1:11" ht="29.25" thickBot="1" x14ac:dyDescent="0.3">
      <c r="A199" s="21" t="s">
        <v>584</v>
      </c>
      <c r="B199" s="20">
        <v>0</v>
      </c>
      <c r="C199" s="19">
        <v>150000</v>
      </c>
      <c r="D199" s="19">
        <v>149147</v>
      </c>
      <c r="E199" s="19">
        <v>107750</v>
      </c>
      <c r="F199" s="19">
        <v>107750</v>
      </c>
      <c r="G199" s="19">
        <v>88700</v>
      </c>
      <c r="H199" s="19">
        <v>72250</v>
      </c>
      <c r="I199" s="25" t="s">
        <v>585</v>
      </c>
      <c r="J199" s="27">
        <f>C199-D199</f>
        <v>853</v>
      </c>
      <c r="K199" s="27">
        <f>C199-E199</f>
        <v>42250</v>
      </c>
    </row>
    <row r="200" spans="1:11" ht="29.25" thickBot="1" x14ac:dyDescent="0.3">
      <c r="A200" s="21" t="s">
        <v>443</v>
      </c>
      <c r="B200" s="19">
        <v>583691</v>
      </c>
      <c r="C200" s="19">
        <v>141416</v>
      </c>
      <c r="D200" s="19">
        <v>130450</v>
      </c>
      <c r="E200" s="19">
        <v>100950</v>
      </c>
      <c r="F200" s="19">
        <v>91616</v>
      </c>
      <c r="G200" s="19">
        <v>91616</v>
      </c>
      <c r="H200" s="19">
        <v>91616</v>
      </c>
      <c r="I200" s="25" t="s">
        <v>444</v>
      </c>
      <c r="J200" s="27">
        <f>C200-D200</f>
        <v>10966</v>
      </c>
      <c r="K200" s="27">
        <f>C200-E200</f>
        <v>40466</v>
      </c>
    </row>
    <row r="201" spans="1:11" ht="15.75" thickBot="1" x14ac:dyDescent="0.3">
      <c r="A201" s="21" t="s">
        <v>626</v>
      </c>
      <c r="B201" s="20">
        <v>0</v>
      </c>
      <c r="C201" s="19">
        <v>100021</v>
      </c>
      <c r="D201" s="19">
        <v>59652</v>
      </c>
      <c r="E201" s="19">
        <v>59652</v>
      </c>
      <c r="F201" s="19">
        <v>57900</v>
      </c>
      <c r="G201" s="19">
        <v>48248</v>
      </c>
      <c r="H201" s="19">
        <v>48248</v>
      </c>
      <c r="I201" s="25" t="s">
        <v>627</v>
      </c>
      <c r="J201" s="27">
        <f>C201-D201</f>
        <v>40369</v>
      </c>
      <c r="K201" s="27">
        <f>C201-E201</f>
        <v>40369</v>
      </c>
    </row>
    <row r="202" spans="1:11" ht="29.25" thickBot="1" x14ac:dyDescent="0.3">
      <c r="A202" s="21" t="s">
        <v>630</v>
      </c>
      <c r="B202" s="20">
        <v>0</v>
      </c>
      <c r="C202" s="19">
        <v>159547</v>
      </c>
      <c r="D202" s="19">
        <v>154167</v>
      </c>
      <c r="E202" s="19">
        <v>119217</v>
      </c>
      <c r="F202" s="19">
        <v>119217</v>
      </c>
      <c r="G202" s="19">
        <v>116817</v>
      </c>
      <c r="H202" s="19">
        <v>114417</v>
      </c>
      <c r="I202" s="25" t="s">
        <v>631</v>
      </c>
      <c r="J202" s="27">
        <f>C202-D202</f>
        <v>5380</v>
      </c>
      <c r="K202" s="27">
        <f>C202-E202</f>
        <v>40330</v>
      </c>
    </row>
    <row r="203" spans="1:11" ht="15.75" thickBot="1" x14ac:dyDescent="0.3">
      <c r="A203" s="21" t="s">
        <v>106</v>
      </c>
      <c r="B203" s="20">
        <v>0</v>
      </c>
      <c r="C203" s="19">
        <v>40000</v>
      </c>
      <c r="D203" s="20">
        <v>0</v>
      </c>
      <c r="E203" s="20">
        <v>0</v>
      </c>
      <c r="F203" s="20">
        <v>0</v>
      </c>
      <c r="G203" s="20">
        <v>0</v>
      </c>
      <c r="H203" s="20">
        <v>0</v>
      </c>
      <c r="I203" s="25" t="s">
        <v>25</v>
      </c>
      <c r="J203" s="27">
        <f>C203-D203</f>
        <v>40000</v>
      </c>
      <c r="K203" s="27">
        <f>C203-E203</f>
        <v>40000</v>
      </c>
    </row>
    <row r="204" spans="1:11" ht="29.25" thickBot="1" x14ac:dyDescent="0.3">
      <c r="A204" s="21" t="s">
        <v>142</v>
      </c>
      <c r="B204" s="19">
        <v>100000</v>
      </c>
      <c r="C204" s="19">
        <v>100000</v>
      </c>
      <c r="D204" s="19">
        <v>85000</v>
      </c>
      <c r="E204" s="19">
        <v>60000</v>
      </c>
      <c r="F204" s="19">
        <v>58663</v>
      </c>
      <c r="G204" s="19">
        <v>58663</v>
      </c>
      <c r="H204" s="19">
        <v>54661</v>
      </c>
      <c r="I204" s="25" t="s">
        <v>143</v>
      </c>
      <c r="J204" s="27">
        <f>C204-D204</f>
        <v>15000</v>
      </c>
      <c r="K204" s="27">
        <f>C204-E204</f>
        <v>40000</v>
      </c>
    </row>
    <row r="205" spans="1:11" ht="43.5" thickBot="1" x14ac:dyDescent="0.3">
      <c r="A205" s="21" t="s">
        <v>612</v>
      </c>
      <c r="B205" s="20">
        <v>0</v>
      </c>
      <c r="C205" s="19">
        <v>39485</v>
      </c>
      <c r="D205" s="20">
        <v>0</v>
      </c>
      <c r="E205" s="20">
        <v>0</v>
      </c>
      <c r="F205" s="20">
        <v>0</v>
      </c>
      <c r="G205" s="20">
        <v>0</v>
      </c>
      <c r="H205" s="20">
        <v>0</v>
      </c>
      <c r="I205" s="25" t="s">
        <v>25</v>
      </c>
      <c r="J205" s="27">
        <f>C205-D205</f>
        <v>39485</v>
      </c>
      <c r="K205" s="27">
        <f>C205-E205</f>
        <v>39485</v>
      </c>
    </row>
    <row r="206" spans="1:11" ht="29.25" thickBot="1" x14ac:dyDescent="0.3">
      <c r="A206" s="21" t="s">
        <v>414</v>
      </c>
      <c r="B206" s="19">
        <v>50000</v>
      </c>
      <c r="C206" s="19">
        <v>209495</v>
      </c>
      <c r="D206" s="19">
        <v>209495</v>
      </c>
      <c r="E206" s="19">
        <v>171495</v>
      </c>
      <c r="F206" s="19">
        <v>101408</v>
      </c>
      <c r="G206" s="19">
        <v>98043</v>
      </c>
      <c r="H206" s="19">
        <v>98043</v>
      </c>
      <c r="I206" s="25" t="s">
        <v>415</v>
      </c>
      <c r="J206" s="27">
        <f>C206-D206</f>
        <v>0</v>
      </c>
      <c r="K206" s="27">
        <f>C206-E206</f>
        <v>38000</v>
      </c>
    </row>
    <row r="207" spans="1:11" ht="29.25" thickBot="1" x14ac:dyDescent="0.3">
      <c r="A207" s="21" t="s">
        <v>611</v>
      </c>
      <c r="B207" s="20">
        <v>0</v>
      </c>
      <c r="C207" s="19">
        <v>36445</v>
      </c>
      <c r="D207" s="20">
        <v>0</v>
      </c>
      <c r="E207" s="20">
        <v>0</v>
      </c>
      <c r="F207" s="20">
        <v>0</v>
      </c>
      <c r="G207" s="20">
        <v>0</v>
      </c>
      <c r="H207" s="20">
        <v>0</v>
      </c>
      <c r="I207" s="25" t="s">
        <v>25</v>
      </c>
      <c r="J207" s="27">
        <f>C207-D207</f>
        <v>36445</v>
      </c>
      <c r="K207" s="27">
        <f>C207-E207</f>
        <v>36445</v>
      </c>
    </row>
    <row r="208" spans="1:11" ht="29.25" thickBot="1" x14ac:dyDescent="0.3">
      <c r="A208" s="21" t="s">
        <v>441</v>
      </c>
      <c r="B208" s="19">
        <v>800000</v>
      </c>
      <c r="C208" s="19">
        <v>118786</v>
      </c>
      <c r="D208" s="19">
        <v>112400</v>
      </c>
      <c r="E208" s="19">
        <v>82400</v>
      </c>
      <c r="F208" s="19">
        <v>76261</v>
      </c>
      <c r="G208" s="19">
        <v>76261</v>
      </c>
      <c r="H208" s="19">
        <v>76261</v>
      </c>
      <c r="I208" s="25" t="s">
        <v>442</v>
      </c>
      <c r="J208" s="27">
        <f>C208-D208</f>
        <v>6386</v>
      </c>
      <c r="K208" s="27">
        <f>C208-E208</f>
        <v>36386</v>
      </c>
    </row>
    <row r="209" spans="1:11" ht="15.75" thickBot="1" x14ac:dyDescent="0.3">
      <c r="A209" s="21" t="s">
        <v>492</v>
      </c>
      <c r="B209" s="19">
        <v>50000</v>
      </c>
      <c r="C209" s="19">
        <v>159574</v>
      </c>
      <c r="D209" s="19">
        <v>125169</v>
      </c>
      <c r="E209" s="19">
        <v>125169</v>
      </c>
      <c r="F209" s="19">
        <v>80462</v>
      </c>
      <c r="G209" s="19">
        <v>80462</v>
      </c>
      <c r="H209" s="19">
        <v>80462</v>
      </c>
      <c r="I209" s="25" t="s">
        <v>493</v>
      </c>
      <c r="J209" s="27">
        <f>C209-D209</f>
        <v>34405</v>
      </c>
      <c r="K209" s="27">
        <f>C209-E209</f>
        <v>34405</v>
      </c>
    </row>
    <row r="210" spans="1:11" ht="29.25" thickBot="1" x14ac:dyDescent="0.3">
      <c r="A210" s="21" t="s">
        <v>544</v>
      </c>
      <c r="B210" s="20">
        <v>0</v>
      </c>
      <c r="C210" s="19">
        <v>209400</v>
      </c>
      <c r="D210" s="19">
        <v>176550</v>
      </c>
      <c r="E210" s="19">
        <v>176550</v>
      </c>
      <c r="F210" s="19">
        <v>176550</v>
      </c>
      <c r="G210" s="19">
        <v>136550</v>
      </c>
      <c r="H210" s="19">
        <v>136550</v>
      </c>
      <c r="I210" s="25" t="s">
        <v>545</v>
      </c>
      <c r="J210" s="27">
        <f>C210-D210</f>
        <v>32850</v>
      </c>
      <c r="K210" s="27">
        <f>C210-E210</f>
        <v>32850</v>
      </c>
    </row>
    <row r="211" spans="1:11" ht="29.25" thickBot="1" x14ac:dyDescent="0.3">
      <c r="A211" s="21" t="s">
        <v>552</v>
      </c>
      <c r="B211" s="20">
        <v>0</v>
      </c>
      <c r="C211" s="19">
        <v>645412</v>
      </c>
      <c r="D211" s="19">
        <v>615250</v>
      </c>
      <c r="E211" s="19">
        <v>612652</v>
      </c>
      <c r="F211" s="19">
        <v>560378</v>
      </c>
      <c r="G211" s="19">
        <v>558544</v>
      </c>
      <c r="H211" s="19">
        <v>553137</v>
      </c>
      <c r="I211" s="25" t="s">
        <v>553</v>
      </c>
      <c r="J211" s="27">
        <f>C211-D211</f>
        <v>30162</v>
      </c>
      <c r="K211" s="27">
        <f>C211-E211</f>
        <v>32760</v>
      </c>
    </row>
    <row r="212" spans="1:11" ht="29.25" thickBot="1" x14ac:dyDescent="0.3">
      <c r="A212" s="21" t="s">
        <v>150</v>
      </c>
      <c r="B212" s="19">
        <v>154969</v>
      </c>
      <c r="C212" s="19">
        <v>32592</v>
      </c>
      <c r="D212" s="20">
        <v>0</v>
      </c>
      <c r="E212" s="20">
        <v>0</v>
      </c>
      <c r="F212" s="20">
        <v>0</v>
      </c>
      <c r="G212" s="20">
        <v>0</v>
      </c>
      <c r="H212" s="20">
        <v>0</v>
      </c>
      <c r="I212" s="25" t="s">
        <v>25</v>
      </c>
      <c r="J212" s="27">
        <f>C212-D212</f>
        <v>32592</v>
      </c>
      <c r="K212" s="27">
        <f>C212-E212</f>
        <v>32592</v>
      </c>
    </row>
    <row r="213" spans="1:11" ht="29.25" thickBot="1" x14ac:dyDescent="0.3">
      <c r="A213" s="21" t="s">
        <v>243</v>
      </c>
      <c r="B213" s="19">
        <v>500000</v>
      </c>
      <c r="C213" s="19">
        <v>32099</v>
      </c>
      <c r="D213" s="20">
        <v>0</v>
      </c>
      <c r="E213" s="20">
        <v>0</v>
      </c>
      <c r="F213" s="20">
        <v>0</v>
      </c>
      <c r="G213" s="20">
        <v>0</v>
      </c>
      <c r="H213" s="20">
        <v>0</v>
      </c>
      <c r="I213" s="25" t="s">
        <v>25</v>
      </c>
      <c r="J213" s="27">
        <f>C213-D213</f>
        <v>32099</v>
      </c>
      <c r="K213" s="27">
        <f>C213-E213</f>
        <v>32099</v>
      </c>
    </row>
    <row r="214" spans="1:11" ht="15.75" thickBot="1" x14ac:dyDescent="0.3">
      <c r="A214" s="21" t="s">
        <v>113</v>
      </c>
      <c r="B214" s="19">
        <v>100560</v>
      </c>
      <c r="C214" s="19">
        <v>550560</v>
      </c>
      <c r="D214" s="19">
        <v>519500</v>
      </c>
      <c r="E214" s="19">
        <v>519159</v>
      </c>
      <c r="F214" s="19">
        <v>517920</v>
      </c>
      <c r="G214" s="19">
        <v>517920</v>
      </c>
      <c r="H214" s="19">
        <v>104420</v>
      </c>
      <c r="I214" s="25" t="s">
        <v>114</v>
      </c>
      <c r="J214" s="27">
        <f>C214-D214</f>
        <v>31060</v>
      </c>
      <c r="K214" s="27">
        <f>C214-E214</f>
        <v>31401</v>
      </c>
    </row>
    <row r="215" spans="1:11" ht="15.75" thickBot="1" x14ac:dyDescent="0.3">
      <c r="A215" s="21" t="s">
        <v>590</v>
      </c>
      <c r="B215" s="19">
        <v>513444</v>
      </c>
      <c r="C215" s="19">
        <v>31336</v>
      </c>
      <c r="D215" s="20">
        <v>0</v>
      </c>
      <c r="E215" s="20">
        <v>0</v>
      </c>
      <c r="F215" s="20">
        <v>0</v>
      </c>
      <c r="G215" s="20">
        <v>0</v>
      </c>
      <c r="H215" s="20">
        <v>0</v>
      </c>
      <c r="I215" s="25" t="s">
        <v>25</v>
      </c>
      <c r="J215" s="27">
        <f>C215-D215</f>
        <v>31336</v>
      </c>
      <c r="K215" s="27">
        <f>C215-E215</f>
        <v>31336</v>
      </c>
    </row>
    <row r="216" spans="1:11" ht="15.75" thickBot="1" x14ac:dyDescent="0.3">
      <c r="A216" s="21" t="s">
        <v>421</v>
      </c>
      <c r="B216" s="19">
        <v>50000</v>
      </c>
      <c r="C216" s="19">
        <v>179528</v>
      </c>
      <c r="D216" s="19">
        <v>178381</v>
      </c>
      <c r="E216" s="19">
        <v>148381</v>
      </c>
      <c r="F216" s="19">
        <v>136766</v>
      </c>
      <c r="G216" s="19">
        <v>136766</v>
      </c>
      <c r="H216" s="19">
        <v>136766</v>
      </c>
      <c r="I216" s="25" t="s">
        <v>422</v>
      </c>
      <c r="J216" s="27">
        <f>C216-D216</f>
        <v>1147</v>
      </c>
      <c r="K216" s="27">
        <f>C216-E216</f>
        <v>31147</v>
      </c>
    </row>
    <row r="217" spans="1:11" ht="15.75" thickBot="1" x14ac:dyDescent="0.3">
      <c r="A217" s="21" t="s">
        <v>115</v>
      </c>
      <c r="B217" s="19">
        <v>2215165</v>
      </c>
      <c r="C217" s="19">
        <v>30000</v>
      </c>
      <c r="D217" s="20">
        <v>0</v>
      </c>
      <c r="E217" s="20">
        <v>0</v>
      </c>
      <c r="F217" s="20">
        <v>0</v>
      </c>
      <c r="G217" s="20">
        <v>0</v>
      </c>
      <c r="H217" s="20">
        <v>0</v>
      </c>
      <c r="I217" s="25" t="s">
        <v>25</v>
      </c>
      <c r="J217" s="27">
        <f>C217-D217</f>
        <v>30000</v>
      </c>
      <c r="K217" s="27">
        <f>C217-E217</f>
        <v>30000</v>
      </c>
    </row>
    <row r="218" spans="1:11" ht="15.75" thickBot="1" x14ac:dyDescent="0.3">
      <c r="A218" s="21" t="s">
        <v>494</v>
      </c>
      <c r="B218" s="19">
        <v>50000</v>
      </c>
      <c r="C218" s="19">
        <v>112244</v>
      </c>
      <c r="D218" s="19">
        <v>112244</v>
      </c>
      <c r="E218" s="19">
        <v>82244</v>
      </c>
      <c r="F218" s="19">
        <v>78031</v>
      </c>
      <c r="G218" s="19">
        <v>78031</v>
      </c>
      <c r="H218" s="19">
        <v>78031</v>
      </c>
      <c r="I218" s="25" t="s">
        <v>495</v>
      </c>
      <c r="J218" s="27">
        <f>C218-D218</f>
        <v>0</v>
      </c>
      <c r="K218" s="27">
        <f>C218-E218</f>
        <v>30000</v>
      </c>
    </row>
    <row r="219" spans="1:11" ht="29.25" thickBot="1" x14ac:dyDescent="0.3">
      <c r="A219" s="21" t="s">
        <v>578</v>
      </c>
      <c r="B219" s="19">
        <v>50000</v>
      </c>
      <c r="C219" s="19">
        <v>222962</v>
      </c>
      <c r="D219" s="19">
        <v>193350</v>
      </c>
      <c r="E219" s="19">
        <v>193350</v>
      </c>
      <c r="F219" s="19">
        <v>193266</v>
      </c>
      <c r="G219" s="19">
        <v>193266</v>
      </c>
      <c r="H219" s="19">
        <v>193266</v>
      </c>
      <c r="I219" s="25" t="s">
        <v>579</v>
      </c>
      <c r="J219" s="27">
        <f>C219-D219</f>
        <v>29612</v>
      </c>
      <c r="K219" s="27">
        <f>C219-E219</f>
        <v>29612</v>
      </c>
    </row>
    <row r="220" spans="1:11" ht="29.25" thickBot="1" x14ac:dyDescent="0.3">
      <c r="A220" s="21" t="s">
        <v>410</v>
      </c>
      <c r="B220" s="19">
        <v>100000</v>
      </c>
      <c r="C220" s="19">
        <v>29298</v>
      </c>
      <c r="D220" s="19">
        <v>29298</v>
      </c>
      <c r="E220" s="20">
        <v>0</v>
      </c>
      <c r="F220" s="20">
        <v>0</v>
      </c>
      <c r="G220" s="20">
        <v>0</v>
      </c>
      <c r="H220" s="20">
        <v>0</v>
      </c>
      <c r="I220" s="25" t="s">
        <v>25</v>
      </c>
      <c r="J220" s="27">
        <f>C220-D220</f>
        <v>0</v>
      </c>
      <c r="K220" s="27">
        <f>C220-E220</f>
        <v>29298</v>
      </c>
    </row>
    <row r="221" spans="1:11" ht="15.75" thickBot="1" x14ac:dyDescent="0.3">
      <c r="A221" s="21" t="s">
        <v>398</v>
      </c>
      <c r="B221" s="19">
        <v>50000</v>
      </c>
      <c r="C221" s="19">
        <v>82042</v>
      </c>
      <c r="D221" s="19">
        <v>73137</v>
      </c>
      <c r="E221" s="19">
        <v>53137</v>
      </c>
      <c r="F221" s="19">
        <v>48347</v>
      </c>
      <c r="G221" s="19">
        <v>48347</v>
      </c>
      <c r="H221" s="19">
        <v>48347</v>
      </c>
      <c r="I221" s="25" t="s">
        <v>399</v>
      </c>
      <c r="J221" s="27">
        <f>C221-D221</f>
        <v>8905</v>
      </c>
      <c r="K221" s="27">
        <f>C221-E221</f>
        <v>28905</v>
      </c>
    </row>
    <row r="222" spans="1:11" ht="15.75" thickBot="1" x14ac:dyDescent="0.3">
      <c r="A222" s="21" t="s">
        <v>430</v>
      </c>
      <c r="B222" s="19">
        <v>100000</v>
      </c>
      <c r="C222" s="19">
        <v>53010</v>
      </c>
      <c r="D222" s="19">
        <v>24507</v>
      </c>
      <c r="E222" s="19">
        <v>24507</v>
      </c>
      <c r="F222" s="19">
        <v>24507</v>
      </c>
      <c r="G222" s="19">
        <v>24507</v>
      </c>
      <c r="H222" s="19">
        <v>24507</v>
      </c>
      <c r="I222" s="25" t="s">
        <v>431</v>
      </c>
      <c r="J222" s="27">
        <f>C222-D222</f>
        <v>28503</v>
      </c>
      <c r="K222" s="27">
        <f>C222-E222</f>
        <v>28503</v>
      </c>
    </row>
    <row r="223" spans="1:11" ht="29.25" thickBot="1" x14ac:dyDescent="0.3">
      <c r="A223" s="21" t="s">
        <v>393</v>
      </c>
      <c r="B223" s="19">
        <v>500000</v>
      </c>
      <c r="C223" s="19">
        <v>239379</v>
      </c>
      <c r="D223" s="19">
        <v>211500</v>
      </c>
      <c r="E223" s="19">
        <v>211500</v>
      </c>
      <c r="F223" s="19">
        <v>141647</v>
      </c>
      <c r="G223" s="19">
        <v>95147</v>
      </c>
      <c r="H223" s="19">
        <v>91145</v>
      </c>
      <c r="I223" s="25" t="s">
        <v>394</v>
      </c>
      <c r="J223" s="27">
        <f>C223-D223</f>
        <v>27879</v>
      </c>
      <c r="K223" s="27">
        <f>C223-E223</f>
        <v>27879</v>
      </c>
    </row>
    <row r="224" spans="1:11" ht="29.25" thickBot="1" x14ac:dyDescent="0.3">
      <c r="A224" s="21" t="s">
        <v>347</v>
      </c>
      <c r="B224" s="19">
        <v>2000000</v>
      </c>
      <c r="C224" s="19">
        <v>220481</v>
      </c>
      <c r="D224" s="19">
        <v>194522</v>
      </c>
      <c r="E224" s="19">
        <v>194522</v>
      </c>
      <c r="F224" s="19">
        <v>80473</v>
      </c>
      <c r="G224" s="19">
        <v>80473</v>
      </c>
      <c r="H224" s="19">
        <v>71259</v>
      </c>
      <c r="I224" s="25" t="s">
        <v>348</v>
      </c>
      <c r="J224" s="27">
        <f>C224-D224</f>
        <v>25959</v>
      </c>
      <c r="K224" s="27">
        <f>C224-E224</f>
        <v>25959</v>
      </c>
    </row>
    <row r="225" spans="1:11" ht="29.25" thickBot="1" x14ac:dyDescent="0.3">
      <c r="A225" s="21" t="s">
        <v>387</v>
      </c>
      <c r="B225" s="19">
        <v>1893433</v>
      </c>
      <c r="C225" s="19">
        <v>25425</v>
      </c>
      <c r="D225" s="20">
        <v>0</v>
      </c>
      <c r="E225" s="20">
        <v>0</v>
      </c>
      <c r="F225" s="20">
        <v>0</v>
      </c>
      <c r="G225" s="20">
        <v>0</v>
      </c>
      <c r="H225" s="20">
        <v>0</v>
      </c>
      <c r="I225" s="25" t="s">
        <v>25</v>
      </c>
      <c r="J225" s="27">
        <f>C225-D225</f>
        <v>25425</v>
      </c>
      <c r="K225" s="27">
        <f>C225-E225</f>
        <v>25425</v>
      </c>
    </row>
    <row r="226" spans="1:11" ht="29.25" thickBot="1" x14ac:dyDescent="0.3">
      <c r="A226" s="21" t="s">
        <v>271</v>
      </c>
      <c r="B226" s="19">
        <v>6239845</v>
      </c>
      <c r="C226" s="19">
        <v>5089845</v>
      </c>
      <c r="D226" s="19">
        <v>5089845</v>
      </c>
      <c r="E226" s="19">
        <v>5064673</v>
      </c>
      <c r="F226" s="19">
        <v>1952935</v>
      </c>
      <c r="G226" s="19">
        <v>1952935</v>
      </c>
      <c r="H226" s="19">
        <v>1952935</v>
      </c>
      <c r="I226" s="25" t="s">
        <v>272</v>
      </c>
      <c r="J226" s="27">
        <f>C226-D226</f>
        <v>0</v>
      </c>
      <c r="K226" s="27">
        <f>C226-E226</f>
        <v>25172</v>
      </c>
    </row>
    <row r="227" spans="1:11" ht="15.75" thickBot="1" x14ac:dyDescent="0.3">
      <c r="A227" s="21" t="s">
        <v>65</v>
      </c>
      <c r="B227" s="19">
        <v>100000</v>
      </c>
      <c r="C227" s="19">
        <v>4068561</v>
      </c>
      <c r="D227" s="19">
        <v>4043454</v>
      </c>
      <c r="E227" s="19">
        <v>4043454</v>
      </c>
      <c r="F227" s="19">
        <v>4043454</v>
      </c>
      <c r="G227" s="19">
        <v>4043454</v>
      </c>
      <c r="H227" s="20">
        <v>0</v>
      </c>
      <c r="I227" s="25" t="s">
        <v>66</v>
      </c>
      <c r="J227" s="27">
        <f>C227-D227</f>
        <v>25107</v>
      </c>
      <c r="K227" s="27">
        <f>C227-E227</f>
        <v>25107</v>
      </c>
    </row>
    <row r="228" spans="1:11" ht="15.75" thickBot="1" x14ac:dyDescent="0.3">
      <c r="A228" s="21" t="s">
        <v>411</v>
      </c>
      <c r="B228" s="19">
        <v>80000</v>
      </c>
      <c r="C228" s="19">
        <v>80000</v>
      </c>
      <c r="D228" s="19">
        <v>55480</v>
      </c>
      <c r="E228" s="19">
        <v>55480</v>
      </c>
      <c r="F228" s="19">
        <v>33500</v>
      </c>
      <c r="G228" s="19">
        <v>33157</v>
      </c>
      <c r="H228" s="19">
        <v>33157</v>
      </c>
      <c r="I228" s="25" t="s">
        <v>412</v>
      </c>
      <c r="J228" s="27">
        <f>C228-D228</f>
        <v>24520</v>
      </c>
      <c r="K228" s="27">
        <f>C228-E228</f>
        <v>24520</v>
      </c>
    </row>
    <row r="229" spans="1:11" ht="29.25" thickBot="1" x14ac:dyDescent="0.3">
      <c r="A229" s="21" t="s">
        <v>580</v>
      </c>
      <c r="B229" s="20">
        <v>0</v>
      </c>
      <c r="C229" s="19">
        <v>335890</v>
      </c>
      <c r="D229" s="19">
        <v>314900</v>
      </c>
      <c r="E229" s="19">
        <v>313880</v>
      </c>
      <c r="F229" s="19">
        <v>313880</v>
      </c>
      <c r="G229" s="20">
        <v>0</v>
      </c>
      <c r="H229" s="20">
        <v>0</v>
      </c>
      <c r="I229" s="25" t="s">
        <v>25</v>
      </c>
      <c r="J229" s="27">
        <f>C229-D229</f>
        <v>20990</v>
      </c>
      <c r="K229" s="27">
        <f>C229-E229</f>
        <v>22010</v>
      </c>
    </row>
    <row r="230" spans="1:11" ht="29.25" thickBot="1" x14ac:dyDescent="0.3">
      <c r="A230" s="21" t="s">
        <v>563</v>
      </c>
      <c r="B230" s="20">
        <v>0</v>
      </c>
      <c r="C230" s="19">
        <v>386035</v>
      </c>
      <c r="D230" s="19">
        <v>365593</v>
      </c>
      <c r="E230" s="19">
        <v>365593</v>
      </c>
      <c r="F230" s="19">
        <v>354763</v>
      </c>
      <c r="G230" s="19">
        <v>246263</v>
      </c>
      <c r="H230" s="19">
        <v>246263</v>
      </c>
      <c r="I230" s="25" t="s">
        <v>519</v>
      </c>
      <c r="J230" s="27">
        <f>C230-D230</f>
        <v>20442</v>
      </c>
      <c r="K230" s="27">
        <f>C230-E230</f>
        <v>20442</v>
      </c>
    </row>
    <row r="231" spans="1:11" ht="29.25" thickBot="1" x14ac:dyDescent="0.3">
      <c r="A231" s="21" t="s">
        <v>276</v>
      </c>
      <c r="B231" s="19">
        <v>4190000</v>
      </c>
      <c r="C231" s="19">
        <v>82568</v>
      </c>
      <c r="D231" s="19">
        <v>82568</v>
      </c>
      <c r="E231" s="19">
        <v>62568</v>
      </c>
      <c r="F231" s="19">
        <v>57744</v>
      </c>
      <c r="G231" s="19">
        <v>57744</v>
      </c>
      <c r="H231" s="19">
        <v>57744</v>
      </c>
      <c r="I231" s="25" t="s">
        <v>277</v>
      </c>
      <c r="J231" s="27">
        <f>C231-D231</f>
        <v>0</v>
      </c>
      <c r="K231" s="27">
        <f>C231-E231</f>
        <v>20000</v>
      </c>
    </row>
    <row r="232" spans="1:11" ht="15.75" thickBot="1" x14ac:dyDescent="0.3">
      <c r="A232" s="21" t="s">
        <v>402</v>
      </c>
      <c r="B232" s="19">
        <v>50000</v>
      </c>
      <c r="C232" s="19">
        <v>69837</v>
      </c>
      <c r="D232" s="19">
        <v>50000</v>
      </c>
      <c r="E232" s="19">
        <v>50000</v>
      </c>
      <c r="F232" s="19">
        <v>24166</v>
      </c>
      <c r="G232" s="19">
        <v>24166</v>
      </c>
      <c r="H232" s="19">
        <v>24166</v>
      </c>
      <c r="I232" s="25" t="s">
        <v>403</v>
      </c>
      <c r="J232" s="27">
        <f>C232-D232</f>
        <v>19837</v>
      </c>
      <c r="K232" s="27">
        <f>C232-E232</f>
        <v>19837</v>
      </c>
    </row>
    <row r="233" spans="1:11" ht="29.25" thickBot="1" x14ac:dyDescent="0.3">
      <c r="A233" s="21" t="s">
        <v>242</v>
      </c>
      <c r="B233" s="19">
        <v>200000</v>
      </c>
      <c r="C233" s="19">
        <v>19658</v>
      </c>
      <c r="D233" s="19">
        <v>3612</v>
      </c>
      <c r="E233" s="20">
        <v>0</v>
      </c>
      <c r="F233" s="20">
        <v>0</v>
      </c>
      <c r="G233" s="20">
        <v>0</v>
      </c>
      <c r="H233" s="20">
        <v>0</v>
      </c>
      <c r="I233" s="25" t="s">
        <v>25</v>
      </c>
      <c r="J233" s="27">
        <f>C233-D233</f>
        <v>16046</v>
      </c>
      <c r="K233" s="27">
        <f>C233-E233</f>
        <v>19658</v>
      </c>
    </row>
    <row r="234" spans="1:11" ht="15.75" thickBot="1" x14ac:dyDescent="0.3">
      <c r="A234" s="21" t="s">
        <v>158</v>
      </c>
      <c r="B234" s="20">
        <v>0</v>
      </c>
      <c r="C234" s="19">
        <v>1272735</v>
      </c>
      <c r="D234" s="19">
        <v>1253657</v>
      </c>
      <c r="E234" s="19">
        <v>1253657</v>
      </c>
      <c r="F234" s="19">
        <v>1229218</v>
      </c>
      <c r="G234" s="19">
        <v>1181486</v>
      </c>
      <c r="H234" s="19">
        <v>1181486</v>
      </c>
      <c r="I234" s="25" t="s">
        <v>23</v>
      </c>
      <c r="J234" s="27">
        <f>C234-D234</f>
        <v>19078</v>
      </c>
      <c r="K234" s="27">
        <f>C234-E234</f>
        <v>19078</v>
      </c>
    </row>
    <row r="235" spans="1:11" ht="29.25" thickBot="1" x14ac:dyDescent="0.3">
      <c r="A235" s="21" t="s">
        <v>280</v>
      </c>
      <c r="B235" s="20">
        <v>0</v>
      </c>
      <c r="C235" s="19">
        <v>18371</v>
      </c>
      <c r="D235" s="20">
        <v>0</v>
      </c>
      <c r="E235" s="20">
        <v>0</v>
      </c>
      <c r="F235" s="20">
        <v>0</v>
      </c>
      <c r="G235" s="20">
        <v>0</v>
      </c>
      <c r="H235" s="20">
        <v>0</v>
      </c>
      <c r="I235" s="25" t="s">
        <v>25</v>
      </c>
      <c r="J235" s="27">
        <f>C235-D235</f>
        <v>18371</v>
      </c>
      <c r="K235" s="27">
        <f>C235-E235</f>
        <v>18371</v>
      </c>
    </row>
    <row r="236" spans="1:11" ht="15.75" thickBot="1" x14ac:dyDescent="0.3">
      <c r="A236" s="21" t="s">
        <v>26</v>
      </c>
      <c r="B236" s="19">
        <v>12460540</v>
      </c>
      <c r="C236" s="19">
        <v>167354</v>
      </c>
      <c r="D236" s="19">
        <v>149951</v>
      </c>
      <c r="E236" s="19">
        <v>149951</v>
      </c>
      <c r="F236" s="19">
        <v>102781</v>
      </c>
      <c r="G236" s="19">
        <v>102781</v>
      </c>
      <c r="H236" s="19">
        <v>102781</v>
      </c>
      <c r="I236" s="25" t="s">
        <v>27</v>
      </c>
      <c r="J236" s="27">
        <f>C236-D236</f>
        <v>17403</v>
      </c>
      <c r="K236" s="27">
        <f>C236-E236</f>
        <v>17403</v>
      </c>
    </row>
    <row r="237" spans="1:11" ht="29.25" thickBot="1" x14ac:dyDescent="0.3">
      <c r="A237" s="21" t="s">
        <v>642</v>
      </c>
      <c r="B237" s="20">
        <v>0</v>
      </c>
      <c r="C237" s="19">
        <v>160000</v>
      </c>
      <c r="D237" s="19">
        <v>143401</v>
      </c>
      <c r="E237" s="19">
        <v>143401</v>
      </c>
      <c r="F237" s="19">
        <v>143401</v>
      </c>
      <c r="G237" s="19">
        <v>143401</v>
      </c>
      <c r="H237" s="19">
        <v>118401</v>
      </c>
      <c r="I237" s="25" t="s">
        <v>643</v>
      </c>
      <c r="J237" s="27">
        <f>C237-D237</f>
        <v>16599</v>
      </c>
      <c r="K237" s="27">
        <f>C237-E237</f>
        <v>16599</v>
      </c>
    </row>
    <row r="238" spans="1:11" ht="29.25" thickBot="1" x14ac:dyDescent="0.3">
      <c r="A238" s="21" t="s">
        <v>221</v>
      </c>
      <c r="B238" s="20">
        <v>0</v>
      </c>
      <c r="C238" s="19">
        <v>2000000</v>
      </c>
      <c r="D238" s="19">
        <v>2000000</v>
      </c>
      <c r="E238" s="19">
        <v>1984656</v>
      </c>
      <c r="F238" s="19">
        <v>1983321</v>
      </c>
      <c r="G238" s="19">
        <v>1956578</v>
      </c>
      <c r="H238" s="19">
        <v>1929168</v>
      </c>
      <c r="I238" s="25" t="s">
        <v>166</v>
      </c>
      <c r="J238" s="27">
        <f>C238-D238</f>
        <v>0</v>
      </c>
      <c r="K238" s="27">
        <f>C238-E238</f>
        <v>15344</v>
      </c>
    </row>
    <row r="239" spans="1:11" ht="29.25" thickBot="1" x14ac:dyDescent="0.3">
      <c r="A239" s="21" t="s">
        <v>466</v>
      </c>
      <c r="B239" s="20">
        <v>0</v>
      </c>
      <c r="C239" s="19">
        <v>654463</v>
      </c>
      <c r="D239" s="19">
        <v>639330</v>
      </c>
      <c r="E239" s="19">
        <v>639330</v>
      </c>
      <c r="F239" s="19">
        <v>629260</v>
      </c>
      <c r="G239" s="19">
        <v>548830</v>
      </c>
      <c r="H239" s="19">
        <v>444504</v>
      </c>
      <c r="I239" s="25" t="s">
        <v>467</v>
      </c>
      <c r="J239" s="27">
        <f>C239-D239</f>
        <v>15133</v>
      </c>
      <c r="K239" s="27">
        <f>C239-E239</f>
        <v>15133</v>
      </c>
    </row>
    <row r="240" spans="1:11" ht="29.25" thickBot="1" x14ac:dyDescent="0.3">
      <c r="A240" s="21" t="s">
        <v>569</v>
      </c>
      <c r="B240" s="20">
        <v>0</v>
      </c>
      <c r="C240" s="19">
        <v>175166</v>
      </c>
      <c r="D240" s="19">
        <v>166872</v>
      </c>
      <c r="E240" s="19">
        <v>160572</v>
      </c>
      <c r="F240" s="19">
        <v>160572</v>
      </c>
      <c r="G240" s="19">
        <v>5872</v>
      </c>
      <c r="H240" s="19">
        <v>5872</v>
      </c>
      <c r="I240" s="25" t="s">
        <v>547</v>
      </c>
      <c r="J240" s="27">
        <f>C240-D240</f>
        <v>8294</v>
      </c>
      <c r="K240" s="27">
        <f>C240-E240</f>
        <v>14594</v>
      </c>
    </row>
    <row r="241" spans="1:11" ht="29.25" thickBot="1" x14ac:dyDescent="0.3">
      <c r="A241" s="21" t="s">
        <v>300</v>
      </c>
      <c r="B241" s="19">
        <v>6185000</v>
      </c>
      <c r="C241" s="19">
        <v>7609099</v>
      </c>
      <c r="D241" s="19">
        <v>7595391</v>
      </c>
      <c r="E241" s="19">
        <v>7595391</v>
      </c>
      <c r="F241" s="19">
        <v>7570246</v>
      </c>
      <c r="G241" s="19">
        <v>7570246</v>
      </c>
      <c r="H241" s="19">
        <v>7563117</v>
      </c>
      <c r="I241" s="25" t="s">
        <v>301</v>
      </c>
      <c r="J241" s="27">
        <f>C241-D241</f>
        <v>13708</v>
      </c>
      <c r="K241" s="27">
        <f>C241-E241</f>
        <v>13708</v>
      </c>
    </row>
    <row r="242" spans="1:11" ht="29.25" thickBot="1" x14ac:dyDescent="0.3">
      <c r="A242" s="21" t="s">
        <v>556</v>
      </c>
      <c r="B242" s="20">
        <v>0</v>
      </c>
      <c r="C242" s="19">
        <v>192812</v>
      </c>
      <c r="D242" s="19">
        <v>180485</v>
      </c>
      <c r="E242" s="19">
        <v>180485</v>
      </c>
      <c r="F242" s="19">
        <v>176516</v>
      </c>
      <c r="G242" s="19">
        <v>176516</v>
      </c>
      <c r="H242" s="19">
        <v>176516</v>
      </c>
      <c r="I242" s="25" t="s">
        <v>557</v>
      </c>
      <c r="J242" s="27">
        <f>C242-D242</f>
        <v>12327</v>
      </c>
      <c r="K242" s="27">
        <f>C242-E242</f>
        <v>12327</v>
      </c>
    </row>
    <row r="243" spans="1:11" ht="29.25" thickBot="1" x14ac:dyDescent="0.3">
      <c r="A243" s="21" t="s">
        <v>637</v>
      </c>
      <c r="B243" s="20">
        <v>0</v>
      </c>
      <c r="C243" s="19">
        <v>159613</v>
      </c>
      <c r="D243" s="19">
        <v>149133</v>
      </c>
      <c r="E243" s="19">
        <v>147533</v>
      </c>
      <c r="F243" s="19">
        <v>147533</v>
      </c>
      <c r="G243" s="19">
        <v>7133</v>
      </c>
      <c r="H243" s="19">
        <v>7133</v>
      </c>
      <c r="I243" s="25" t="s">
        <v>638</v>
      </c>
      <c r="J243" s="27">
        <f>C243-D243</f>
        <v>10480</v>
      </c>
      <c r="K243" s="27">
        <f>C243-E243</f>
        <v>12080</v>
      </c>
    </row>
    <row r="244" spans="1:11" ht="15.75" thickBot="1" x14ac:dyDescent="0.3">
      <c r="A244" s="21" t="s">
        <v>406</v>
      </c>
      <c r="B244" s="19">
        <v>50000</v>
      </c>
      <c r="C244" s="19">
        <v>304060</v>
      </c>
      <c r="D244" s="19">
        <v>291998</v>
      </c>
      <c r="E244" s="19">
        <v>291998</v>
      </c>
      <c r="F244" s="19">
        <v>274647</v>
      </c>
      <c r="G244" s="19">
        <v>267447</v>
      </c>
      <c r="H244" s="19">
        <v>257264</v>
      </c>
      <c r="I244" s="25" t="s">
        <v>407</v>
      </c>
      <c r="J244" s="27">
        <f>C244-D244</f>
        <v>12062</v>
      </c>
      <c r="K244" s="27">
        <f>C244-E244</f>
        <v>12062</v>
      </c>
    </row>
    <row r="245" spans="1:11" ht="29.25" thickBot="1" x14ac:dyDescent="0.3">
      <c r="A245" s="21" t="s">
        <v>651</v>
      </c>
      <c r="B245" s="20">
        <v>0</v>
      </c>
      <c r="C245" s="19">
        <v>160000</v>
      </c>
      <c r="D245" s="19">
        <v>148990</v>
      </c>
      <c r="E245" s="19">
        <v>147990</v>
      </c>
      <c r="F245" s="19">
        <v>147990</v>
      </c>
      <c r="G245" s="19">
        <v>26000</v>
      </c>
      <c r="H245" s="19">
        <v>26000</v>
      </c>
      <c r="I245" s="25" t="s">
        <v>652</v>
      </c>
      <c r="J245" s="27">
        <f>C245-D245</f>
        <v>11010</v>
      </c>
      <c r="K245" s="27">
        <f>C245-E245</f>
        <v>12010</v>
      </c>
    </row>
    <row r="246" spans="1:11" ht="29.25" thickBot="1" x14ac:dyDescent="0.3">
      <c r="A246" s="21" t="s">
        <v>634</v>
      </c>
      <c r="B246" s="20">
        <v>0</v>
      </c>
      <c r="C246" s="19">
        <v>269980</v>
      </c>
      <c r="D246" s="19">
        <v>259749</v>
      </c>
      <c r="E246" s="19">
        <v>258249</v>
      </c>
      <c r="F246" s="19">
        <v>258249</v>
      </c>
      <c r="G246" s="19">
        <v>255066</v>
      </c>
      <c r="H246" s="19">
        <v>255066</v>
      </c>
      <c r="I246" s="25" t="s">
        <v>635</v>
      </c>
      <c r="J246" s="27">
        <f>C246-D246</f>
        <v>10231</v>
      </c>
      <c r="K246" s="27">
        <f>C246-E246</f>
        <v>11731</v>
      </c>
    </row>
    <row r="247" spans="1:11" ht="15.75" thickBot="1" x14ac:dyDescent="0.3">
      <c r="A247" s="21" t="s">
        <v>206</v>
      </c>
      <c r="B247" s="20">
        <v>0</v>
      </c>
      <c r="C247" s="19">
        <v>40621</v>
      </c>
      <c r="D247" s="19">
        <v>28914</v>
      </c>
      <c r="E247" s="19">
        <v>28914</v>
      </c>
      <c r="F247" s="19">
        <v>27954</v>
      </c>
      <c r="G247" s="19">
        <v>27954</v>
      </c>
      <c r="H247" s="19">
        <v>27954</v>
      </c>
      <c r="I247" s="25" t="s">
        <v>207</v>
      </c>
      <c r="J247" s="27">
        <f>C247-D247</f>
        <v>11707</v>
      </c>
      <c r="K247" s="27">
        <f>C247-E247</f>
        <v>11707</v>
      </c>
    </row>
    <row r="248" spans="1:11" ht="29.25" thickBot="1" x14ac:dyDescent="0.3">
      <c r="A248" s="21" t="s">
        <v>200</v>
      </c>
      <c r="B248" s="19">
        <v>5406629</v>
      </c>
      <c r="C248" s="19">
        <v>3297813</v>
      </c>
      <c r="D248" s="19">
        <v>3286650</v>
      </c>
      <c r="E248" s="19">
        <v>3286650</v>
      </c>
      <c r="F248" s="19">
        <v>3285934</v>
      </c>
      <c r="G248" s="19">
        <v>3269277</v>
      </c>
      <c r="H248" s="19">
        <v>3269277</v>
      </c>
      <c r="I248" s="25" t="s">
        <v>154</v>
      </c>
      <c r="J248" s="27">
        <f>C248-D248</f>
        <v>11163</v>
      </c>
      <c r="K248" s="27">
        <f>C248-E248</f>
        <v>11163</v>
      </c>
    </row>
    <row r="249" spans="1:11" ht="29.25" thickBot="1" x14ac:dyDescent="0.3">
      <c r="A249" s="21" t="s">
        <v>208</v>
      </c>
      <c r="B249" s="20">
        <v>0</v>
      </c>
      <c r="C249" s="19">
        <v>11000</v>
      </c>
      <c r="D249" s="19">
        <v>11000</v>
      </c>
      <c r="E249" s="20">
        <v>0</v>
      </c>
      <c r="F249" s="20">
        <v>0</v>
      </c>
      <c r="G249" s="20">
        <v>0</v>
      </c>
      <c r="H249" s="20">
        <v>0</v>
      </c>
      <c r="I249" s="25" t="s">
        <v>25</v>
      </c>
      <c r="J249" s="27">
        <f>C249-D249</f>
        <v>0</v>
      </c>
      <c r="K249" s="27">
        <f>C249-E249</f>
        <v>11000</v>
      </c>
    </row>
    <row r="250" spans="1:11" ht="29.25" thickBot="1" x14ac:dyDescent="0.3">
      <c r="A250" s="21" t="s">
        <v>591</v>
      </c>
      <c r="B250" s="20">
        <v>0</v>
      </c>
      <c r="C250" s="19">
        <v>11000</v>
      </c>
      <c r="D250" s="19">
        <v>11000</v>
      </c>
      <c r="E250" s="20">
        <v>0</v>
      </c>
      <c r="F250" s="20">
        <v>0</v>
      </c>
      <c r="G250" s="20">
        <v>0</v>
      </c>
      <c r="H250" s="20">
        <v>0</v>
      </c>
      <c r="I250" s="25" t="s">
        <v>25</v>
      </c>
      <c r="J250" s="27">
        <f>C250-D250</f>
        <v>0</v>
      </c>
      <c r="K250" s="27">
        <f>C250-E250</f>
        <v>11000</v>
      </c>
    </row>
    <row r="251" spans="1:11" ht="29.25" thickBot="1" x14ac:dyDescent="0.3">
      <c r="A251" s="21" t="s">
        <v>77</v>
      </c>
      <c r="B251" s="19">
        <v>120201</v>
      </c>
      <c r="C251" s="19">
        <v>41720</v>
      </c>
      <c r="D251" s="19">
        <v>31883</v>
      </c>
      <c r="E251" s="19">
        <v>31883</v>
      </c>
      <c r="F251" s="19">
        <v>31883</v>
      </c>
      <c r="G251" s="19">
        <v>31883</v>
      </c>
      <c r="H251" s="19">
        <v>31883</v>
      </c>
      <c r="I251" s="25" t="s">
        <v>78</v>
      </c>
      <c r="J251" s="27">
        <f>C251-D251</f>
        <v>9837</v>
      </c>
      <c r="K251" s="27">
        <f>C251-E251</f>
        <v>9837</v>
      </c>
    </row>
    <row r="252" spans="1:11" ht="15.75" thickBot="1" x14ac:dyDescent="0.3">
      <c r="A252" s="21" t="s">
        <v>401</v>
      </c>
      <c r="B252" s="19">
        <v>50000</v>
      </c>
      <c r="C252" s="19">
        <v>72190</v>
      </c>
      <c r="D252" s="19">
        <v>62384</v>
      </c>
      <c r="E252" s="19">
        <v>62384</v>
      </c>
      <c r="F252" s="19">
        <v>59404</v>
      </c>
      <c r="G252" s="19">
        <v>59404</v>
      </c>
      <c r="H252" s="19">
        <v>56102</v>
      </c>
      <c r="I252" s="25" t="s">
        <v>44</v>
      </c>
      <c r="J252" s="27">
        <f>C252-D252</f>
        <v>9806</v>
      </c>
      <c r="K252" s="27">
        <f>C252-E252</f>
        <v>9806</v>
      </c>
    </row>
    <row r="253" spans="1:11" ht="29.25" thickBot="1" x14ac:dyDescent="0.3">
      <c r="A253" s="21" t="s">
        <v>57</v>
      </c>
      <c r="B253" s="19">
        <v>774665</v>
      </c>
      <c r="C253" s="19">
        <v>91759</v>
      </c>
      <c r="D253" s="19">
        <v>91759</v>
      </c>
      <c r="E253" s="19">
        <v>82309</v>
      </c>
      <c r="F253" s="19">
        <v>82095</v>
      </c>
      <c r="G253" s="19">
        <v>82095</v>
      </c>
      <c r="H253" s="19">
        <v>82095</v>
      </c>
      <c r="I253" s="25" t="s">
        <v>58</v>
      </c>
      <c r="J253" s="27">
        <f>C253-D253</f>
        <v>0</v>
      </c>
      <c r="K253" s="27">
        <f>C253-E253</f>
        <v>9450</v>
      </c>
    </row>
    <row r="254" spans="1:11" ht="29.25" thickBot="1" x14ac:dyDescent="0.3">
      <c r="A254" s="21" t="s">
        <v>633</v>
      </c>
      <c r="B254" s="20">
        <v>0</v>
      </c>
      <c r="C254" s="19">
        <v>159345</v>
      </c>
      <c r="D254" s="19">
        <v>150543</v>
      </c>
      <c r="E254" s="19">
        <v>150263</v>
      </c>
      <c r="F254" s="19">
        <v>150263</v>
      </c>
      <c r="G254" s="19">
        <v>150263</v>
      </c>
      <c r="H254" s="19">
        <v>150263</v>
      </c>
      <c r="I254" s="25" t="s">
        <v>538</v>
      </c>
      <c r="J254" s="27">
        <f>C254-D254</f>
        <v>8802</v>
      </c>
      <c r="K254" s="27">
        <f>C254-E254</f>
        <v>9082</v>
      </c>
    </row>
    <row r="255" spans="1:11" ht="15.75" thickBot="1" x14ac:dyDescent="0.3">
      <c r="A255" s="21" t="s">
        <v>616</v>
      </c>
      <c r="B255" s="20">
        <v>0</v>
      </c>
      <c r="C255" s="19">
        <v>195079</v>
      </c>
      <c r="D255" s="19">
        <v>186354</v>
      </c>
      <c r="E255" s="19">
        <v>186354</v>
      </c>
      <c r="F255" s="19">
        <v>176804</v>
      </c>
      <c r="G255" s="19">
        <v>176804</v>
      </c>
      <c r="H255" s="19">
        <v>176804</v>
      </c>
      <c r="I255" s="25" t="s">
        <v>440</v>
      </c>
      <c r="J255" s="27">
        <f>C255-D255</f>
        <v>8725</v>
      </c>
      <c r="K255" s="27">
        <f>C255-E255</f>
        <v>8725</v>
      </c>
    </row>
    <row r="256" spans="1:11" ht="29.25" thickBot="1" x14ac:dyDescent="0.3">
      <c r="A256" s="21" t="s">
        <v>640</v>
      </c>
      <c r="B256" s="20">
        <v>0</v>
      </c>
      <c r="C256" s="19">
        <v>154799</v>
      </c>
      <c r="D256" s="19">
        <v>147492</v>
      </c>
      <c r="E256" s="19">
        <v>146292</v>
      </c>
      <c r="F256" s="19">
        <v>146292</v>
      </c>
      <c r="G256" s="19">
        <v>143262</v>
      </c>
      <c r="H256" s="19">
        <v>143262</v>
      </c>
      <c r="I256" s="25" t="s">
        <v>641</v>
      </c>
      <c r="J256" s="27">
        <f>C256-D256</f>
        <v>7307</v>
      </c>
      <c r="K256" s="27">
        <f>C256-E256</f>
        <v>8507</v>
      </c>
    </row>
    <row r="257" spans="1:11" ht="29.25" thickBot="1" x14ac:dyDescent="0.3">
      <c r="A257" s="21" t="s">
        <v>546</v>
      </c>
      <c r="B257" s="20">
        <v>0</v>
      </c>
      <c r="C257" s="19">
        <v>63755</v>
      </c>
      <c r="D257" s="19">
        <v>60139</v>
      </c>
      <c r="E257" s="19">
        <v>56139</v>
      </c>
      <c r="F257" s="19">
        <v>56139</v>
      </c>
      <c r="G257" s="19">
        <v>2139</v>
      </c>
      <c r="H257" s="19">
        <v>2139</v>
      </c>
      <c r="I257" s="25" t="s">
        <v>547</v>
      </c>
      <c r="J257" s="27">
        <f>C257-D257</f>
        <v>3616</v>
      </c>
      <c r="K257" s="27">
        <f>C257-E257</f>
        <v>7616</v>
      </c>
    </row>
    <row r="258" spans="1:11" ht="29.25" thickBot="1" x14ac:dyDescent="0.3">
      <c r="A258" s="21" t="s">
        <v>375</v>
      </c>
      <c r="B258" s="19">
        <v>2028388</v>
      </c>
      <c r="C258" s="19">
        <v>2038388</v>
      </c>
      <c r="D258" s="19">
        <v>2031211</v>
      </c>
      <c r="E258" s="19">
        <v>2031210</v>
      </c>
      <c r="F258" s="19">
        <v>1714604</v>
      </c>
      <c r="G258" s="19">
        <v>1711781</v>
      </c>
      <c r="H258" s="19">
        <v>1711781</v>
      </c>
      <c r="I258" s="25" t="s">
        <v>376</v>
      </c>
      <c r="J258" s="27">
        <f>C258-D258</f>
        <v>7177</v>
      </c>
      <c r="K258" s="27">
        <f>C258-E258</f>
        <v>7178</v>
      </c>
    </row>
    <row r="259" spans="1:11" ht="29.25" thickBot="1" x14ac:dyDescent="0.3">
      <c r="A259" s="21" t="s">
        <v>80</v>
      </c>
      <c r="B259" s="19">
        <v>2080646</v>
      </c>
      <c r="C259" s="19">
        <v>30000</v>
      </c>
      <c r="D259" s="19">
        <v>23434</v>
      </c>
      <c r="E259" s="19">
        <v>23434</v>
      </c>
      <c r="F259" s="19">
        <v>13106</v>
      </c>
      <c r="G259" s="19">
        <v>13106</v>
      </c>
      <c r="H259" s="19">
        <v>13106</v>
      </c>
      <c r="I259" s="25" t="s">
        <v>81</v>
      </c>
      <c r="J259" s="27">
        <f>C259-D259</f>
        <v>6566</v>
      </c>
      <c r="K259" s="27">
        <f>C259-E259</f>
        <v>6566</v>
      </c>
    </row>
    <row r="260" spans="1:11" ht="29.25" thickBot="1" x14ac:dyDescent="0.3">
      <c r="A260" s="21" t="s">
        <v>636</v>
      </c>
      <c r="B260" s="20">
        <v>0</v>
      </c>
      <c r="C260" s="19">
        <v>159352</v>
      </c>
      <c r="D260" s="19">
        <v>154000</v>
      </c>
      <c r="E260" s="19">
        <v>153220</v>
      </c>
      <c r="F260" s="19">
        <v>153220</v>
      </c>
      <c r="G260" s="19">
        <v>150220</v>
      </c>
      <c r="H260" s="19">
        <v>150220</v>
      </c>
      <c r="I260" s="25" t="s">
        <v>538</v>
      </c>
      <c r="J260" s="27">
        <f>C260-D260</f>
        <v>5352</v>
      </c>
      <c r="K260" s="27">
        <f>C260-E260</f>
        <v>6132</v>
      </c>
    </row>
    <row r="261" spans="1:11" ht="29.25" thickBot="1" x14ac:dyDescent="0.3">
      <c r="A261" s="21" t="s">
        <v>647</v>
      </c>
      <c r="B261" s="20">
        <v>0</v>
      </c>
      <c r="C261" s="19">
        <v>155278</v>
      </c>
      <c r="D261" s="19">
        <v>149541</v>
      </c>
      <c r="E261" s="19">
        <v>149541</v>
      </c>
      <c r="F261" s="19">
        <v>149541</v>
      </c>
      <c r="G261" s="19">
        <v>113190</v>
      </c>
      <c r="H261" s="19">
        <v>113190</v>
      </c>
      <c r="I261" s="25" t="s">
        <v>648</v>
      </c>
      <c r="J261" s="27">
        <f>C261-D261</f>
        <v>5737</v>
      </c>
      <c r="K261" s="27">
        <f>C261-E261</f>
        <v>5737</v>
      </c>
    </row>
    <row r="262" spans="1:11" ht="29.25" thickBot="1" x14ac:dyDescent="0.3">
      <c r="A262" s="21" t="s">
        <v>67</v>
      </c>
      <c r="B262" s="19">
        <v>287404</v>
      </c>
      <c r="C262" s="19">
        <v>119950</v>
      </c>
      <c r="D262" s="19">
        <v>114291</v>
      </c>
      <c r="E262" s="19">
        <v>114291</v>
      </c>
      <c r="F262" s="19">
        <v>114291</v>
      </c>
      <c r="G262" s="19">
        <v>70291</v>
      </c>
      <c r="H262" s="19">
        <v>70291</v>
      </c>
      <c r="I262" s="25" t="s">
        <v>68</v>
      </c>
      <c r="J262" s="27">
        <f>C262-D262</f>
        <v>5659</v>
      </c>
      <c r="K262" s="27">
        <f>C262-E262</f>
        <v>5659</v>
      </c>
    </row>
    <row r="263" spans="1:11" ht="15.75" thickBot="1" x14ac:dyDescent="0.3">
      <c r="A263" s="21" t="s">
        <v>487</v>
      </c>
      <c r="B263" s="19">
        <v>50000</v>
      </c>
      <c r="C263" s="19">
        <v>340317</v>
      </c>
      <c r="D263" s="19">
        <v>335272</v>
      </c>
      <c r="E263" s="19">
        <v>335272</v>
      </c>
      <c r="F263" s="19">
        <v>233288</v>
      </c>
      <c r="G263" s="19">
        <v>228699</v>
      </c>
      <c r="H263" s="19">
        <v>228699</v>
      </c>
      <c r="I263" s="25" t="s">
        <v>488</v>
      </c>
      <c r="J263" s="27">
        <f>C263-D263</f>
        <v>5045</v>
      </c>
      <c r="K263" s="27">
        <f>C263-E263</f>
        <v>5045</v>
      </c>
    </row>
    <row r="264" spans="1:11" ht="15.75" thickBot="1" x14ac:dyDescent="0.3">
      <c r="A264" s="21" t="s">
        <v>604</v>
      </c>
      <c r="B264" s="20">
        <v>0</v>
      </c>
      <c r="C264" s="19">
        <v>100785</v>
      </c>
      <c r="D264" s="19">
        <v>100589</v>
      </c>
      <c r="E264" s="19">
        <v>95864</v>
      </c>
      <c r="F264" s="19">
        <v>88975</v>
      </c>
      <c r="G264" s="19">
        <v>88975</v>
      </c>
      <c r="H264" s="19">
        <v>88975</v>
      </c>
      <c r="I264" s="25" t="s">
        <v>605</v>
      </c>
      <c r="J264" s="27">
        <f>C264-D264</f>
        <v>196</v>
      </c>
      <c r="K264" s="27">
        <f>C264-E264</f>
        <v>4921</v>
      </c>
    </row>
    <row r="265" spans="1:11" ht="29.25" thickBot="1" x14ac:dyDescent="0.3">
      <c r="A265" s="21" t="s">
        <v>273</v>
      </c>
      <c r="B265" s="19">
        <v>3832600</v>
      </c>
      <c r="C265" s="19">
        <v>4863</v>
      </c>
      <c r="D265" s="19">
        <v>4863</v>
      </c>
      <c r="E265" s="20">
        <v>0</v>
      </c>
      <c r="F265" s="20">
        <v>0</v>
      </c>
      <c r="G265" s="20">
        <v>0</v>
      </c>
      <c r="H265" s="20">
        <v>0</v>
      </c>
      <c r="I265" s="25" t="s">
        <v>25</v>
      </c>
      <c r="J265" s="27">
        <f>C265-D265</f>
        <v>0</v>
      </c>
      <c r="K265" s="27">
        <f>C265-E265</f>
        <v>4863</v>
      </c>
    </row>
    <row r="266" spans="1:11" ht="15.75" thickBot="1" x14ac:dyDescent="0.3">
      <c r="A266" s="21" t="s">
        <v>22</v>
      </c>
      <c r="B266" s="19">
        <v>1404195</v>
      </c>
      <c r="C266" s="19">
        <v>1122559</v>
      </c>
      <c r="D266" s="19">
        <v>1117871</v>
      </c>
      <c r="E266" s="19">
        <v>1117871</v>
      </c>
      <c r="F266" s="19">
        <v>1117453</v>
      </c>
      <c r="G266" s="19">
        <v>1042099</v>
      </c>
      <c r="H266" s="19">
        <v>1031699</v>
      </c>
      <c r="I266" s="25" t="s">
        <v>23</v>
      </c>
      <c r="J266" s="27">
        <f>C266-D266</f>
        <v>4688</v>
      </c>
      <c r="K266" s="27">
        <f>C266-E266</f>
        <v>4688</v>
      </c>
    </row>
    <row r="267" spans="1:11" ht="15.75" thickBot="1" x14ac:dyDescent="0.3">
      <c r="A267" s="21" t="s">
        <v>268</v>
      </c>
      <c r="B267" s="19">
        <v>21175</v>
      </c>
      <c r="C267" s="19">
        <v>2390440</v>
      </c>
      <c r="D267" s="19">
        <v>2386020</v>
      </c>
      <c r="E267" s="19">
        <v>2386020</v>
      </c>
      <c r="F267" s="19">
        <v>2374756</v>
      </c>
      <c r="G267" s="19">
        <v>824976</v>
      </c>
      <c r="H267" s="19">
        <v>821797</v>
      </c>
      <c r="I267" s="25" t="s">
        <v>126</v>
      </c>
      <c r="J267" s="27">
        <f>C267-D267</f>
        <v>4420</v>
      </c>
      <c r="K267" s="27">
        <f>C267-E267</f>
        <v>4420</v>
      </c>
    </row>
    <row r="268" spans="1:11" ht="29.25" thickBot="1" x14ac:dyDescent="0.3">
      <c r="A268" s="21" t="s">
        <v>537</v>
      </c>
      <c r="B268" s="20">
        <v>0</v>
      </c>
      <c r="C268" s="19">
        <v>73915</v>
      </c>
      <c r="D268" s="19">
        <v>71560</v>
      </c>
      <c r="E268" s="19">
        <v>69710</v>
      </c>
      <c r="F268" s="19">
        <v>69710</v>
      </c>
      <c r="G268" s="19">
        <v>69710</v>
      </c>
      <c r="H268" s="19">
        <v>69710</v>
      </c>
      <c r="I268" s="25" t="s">
        <v>538</v>
      </c>
      <c r="J268" s="27">
        <f>C268-D268</f>
        <v>2355</v>
      </c>
      <c r="K268" s="27">
        <f>C268-E268</f>
        <v>4205</v>
      </c>
    </row>
    <row r="269" spans="1:11" ht="29.25" thickBot="1" x14ac:dyDescent="0.3">
      <c r="A269" s="21" t="s">
        <v>533</v>
      </c>
      <c r="B269" s="20">
        <v>0</v>
      </c>
      <c r="C269" s="19">
        <v>73376</v>
      </c>
      <c r="D269" s="19">
        <v>69876</v>
      </c>
      <c r="E269" s="19">
        <v>69876</v>
      </c>
      <c r="F269" s="19">
        <v>69876</v>
      </c>
      <c r="G269" s="19">
        <v>69876</v>
      </c>
      <c r="H269" s="19">
        <v>69876</v>
      </c>
      <c r="I269" s="25" t="s">
        <v>534</v>
      </c>
      <c r="J269" s="27">
        <f>C269-D269</f>
        <v>3500</v>
      </c>
      <c r="K269" s="27">
        <f>C269-E269</f>
        <v>3500</v>
      </c>
    </row>
    <row r="270" spans="1:11" ht="15.75" thickBot="1" x14ac:dyDescent="0.3">
      <c r="A270" s="21" t="s">
        <v>45</v>
      </c>
      <c r="B270" s="19">
        <v>630478</v>
      </c>
      <c r="C270" s="19">
        <v>1332387</v>
      </c>
      <c r="D270" s="19">
        <v>1332217</v>
      </c>
      <c r="E270" s="19">
        <v>1328895</v>
      </c>
      <c r="F270" s="19">
        <v>1275973</v>
      </c>
      <c r="G270" s="19">
        <v>1212326</v>
      </c>
      <c r="H270" s="19">
        <v>1197867</v>
      </c>
      <c r="I270" s="25" t="s">
        <v>46</v>
      </c>
      <c r="J270" s="27">
        <f>C270-D270</f>
        <v>170</v>
      </c>
      <c r="K270" s="27">
        <f>C270-E270</f>
        <v>3492</v>
      </c>
    </row>
    <row r="271" spans="1:11" ht="29.25" thickBot="1" x14ac:dyDescent="0.3">
      <c r="A271" s="21" t="s">
        <v>59</v>
      </c>
      <c r="B271" s="20">
        <v>0</v>
      </c>
      <c r="C271" s="19">
        <v>17714</v>
      </c>
      <c r="D271" s="19">
        <v>14229</v>
      </c>
      <c r="E271" s="19">
        <v>14229</v>
      </c>
      <c r="F271" s="19">
        <v>13548</v>
      </c>
      <c r="G271" s="19">
        <v>9750</v>
      </c>
      <c r="H271" s="19">
        <v>9750</v>
      </c>
      <c r="I271" s="25" t="s">
        <v>60</v>
      </c>
      <c r="J271" s="27">
        <f>C271-D271</f>
        <v>3485</v>
      </c>
      <c r="K271" s="27">
        <f>C271-E271</f>
        <v>3485</v>
      </c>
    </row>
    <row r="272" spans="1:11" ht="29.25" thickBot="1" x14ac:dyDescent="0.3">
      <c r="A272" s="21" t="s">
        <v>568</v>
      </c>
      <c r="B272" s="20">
        <v>0</v>
      </c>
      <c r="C272" s="19">
        <v>7816</v>
      </c>
      <c r="D272" s="19">
        <v>4500</v>
      </c>
      <c r="E272" s="19">
        <v>4500</v>
      </c>
      <c r="F272" s="19">
        <v>4500</v>
      </c>
      <c r="G272" s="19">
        <v>3000</v>
      </c>
      <c r="H272" s="19">
        <v>3000</v>
      </c>
      <c r="I272" s="25" t="s">
        <v>272</v>
      </c>
      <c r="J272" s="27">
        <f>C272-D272</f>
        <v>3316</v>
      </c>
      <c r="K272" s="27">
        <f>C272-E272</f>
        <v>3316</v>
      </c>
    </row>
    <row r="273" spans="1:11" ht="29.25" thickBot="1" x14ac:dyDescent="0.3">
      <c r="A273" s="21" t="s">
        <v>576</v>
      </c>
      <c r="B273" s="20">
        <v>0</v>
      </c>
      <c r="C273" s="19">
        <v>2795</v>
      </c>
      <c r="D273" s="19">
        <v>2795</v>
      </c>
      <c r="E273" s="20">
        <v>0</v>
      </c>
      <c r="F273" s="20">
        <v>0</v>
      </c>
      <c r="G273" s="20">
        <v>0</v>
      </c>
      <c r="H273" s="20">
        <v>0</v>
      </c>
      <c r="I273" s="25" t="s">
        <v>25</v>
      </c>
      <c r="J273" s="27">
        <f>C273-D273</f>
        <v>0</v>
      </c>
      <c r="K273" s="27">
        <f>C273-E273</f>
        <v>2795</v>
      </c>
    </row>
    <row r="274" spans="1:11" ht="15.75" thickBot="1" x14ac:dyDescent="0.3">
      <c r="A274" s="21" t="s">
        <v>185</v>
      </c>
      <c r="B274" s="19">
        <v>175369</v>
      </c>
      <c r="C274" s="19">
        <v>50132</v>
      </c>
      <c r="D274" s="19">
        <v>47450</v>
      </c>
      <c r="E274" s="19">
        <v>47450</v>
      </c>
      <c r="F274" s="19">
        <v>47450</v>
      </c>
      <c r="G274" s="19">
        <v>47450</v>
      </c>
      <c r="H274" s="19">
        <v>47450</v>
      </c>
      <c r="I274" s="25" t="s">
        <v>186</v>
      </c>
      <c r="J274" s="27">
        <f>C274-D274</f>
        <v>2682</v>
      </c>
      <c r="K274" s="27">
        <f>C274-E274</f>
        <v>2682</v>
      </c>
    </row>
    <row r="275" spans="1:11" ht="29.25" thickBot="1" x14ac:dyDescent="0.3">
      <c r="A275" s="21" t="s">
        <v>69</v>
      </c>
      <c r="B275" s="20">
        <v>0</v>
      </c>
      <c r="C275" s="19">
        <v>99230</v>
      </c>
      <c r="D275" s="19">
        <v>99008</v>
      </c>
      <c r="E275" s="19">
        <v>96668</v>
      </c>
      <c r="F275" s="19">
        <v>96199</v>
      </c>
      <c r="G275" s="19">
        <v>96199</v>
      </c>
      <c r="H275" s="19">
        <v>96199</v>
      </c>
      <c r="I275" s="25" t="s">
        <v>70</v>
      </c>
      <c r="J275" s="27">
        <f>C275-D275</f>
        <v>222</v>
      </c>
      <c r="K275" s="27">
        <f>C275-E275</f>
        <v>2562</v>
      </c>
    </row>
    <row r="276" spans="1:11" ht="29.25" thickBot="1" x14ac:dyDescent="0.3">
      <c r="A276" s="21" t="s">
        <v>335</v>
      </c>
      <c r="B276" s="20">
        <v>0</v>
      </c>
      <c r="C276" s="19">
        <v>20000</v>
      </c>
      <c r="D276" s="19">
        <v>20000</v>
      </c>
      <c r="E276" s="19">
        <v>17500</v>
      </c>
      <c r="F276" s="19">
        <v>17500</v>
      </c>
      <c r="G276" s="20">
        <v>0</v>
      </c>
      <c r="H276" s="20">
        <v>0</v>
      </c>
      <c r="I276" s="25" t="s">
        <v>25</v>
      </c>
      <c r="J276" s="27">
        <f>C276-D276</f>
        <v>0</v>
      </c>
      <c r="K276" s="27">
        <f>C276-E276</f>
        <v>2500</v>
      </c>
    </row>
    <row r="277" spans="1:11" ht="29.25" thickBot="1" x14ac:dyDescent="0.3">
      <c r="A277" s="21" t="s">
        <v>566</v>
      </c>
      <c r="B277" s="20">
        <v>0</v>
      </c>
      <c r="C277" s="19">
        <v>61200</v>
      </c>
      <c r="D277" s="19">
        <v>59150</v>
      </c>
      <c r="E277" s="19">
        <v>59150</v>
      </c>
      <c r="F277" s="19">
        <v>59150</v>
      </c>
      <c r="G277" s="19">
        <v>59150</v>
      </c>
      <c r="H277" s="19">
        <v>59150</v>
      </c>
      <c r="I277" s="25" t="s">
        <v>567</v>
      </c>
      <c r="J277" s="27">
        <f>C277-D277</f>
        <v>2050</v>
      </c>
      <c r="K277" s="27">
        <f>C277-E277</f>
        <v>2050</v>
      </c>
    </row>
    <row r="278" spans="1:11" ht="29.25" thickBot="1" x14ac:dyDescent="0.3">
      <c r="A278" s="21" t="s">
        <v>334</v>
      </c>
      <c r="B278" s="19">
        <v>5156000</v>
      </c>
      <c r="C278" s="19">
        <v>321536</v>
      </c>
      <c r="D278" s="19">
        <v>319536</v>
      </c>
      <c r="E278" s="19">
        <v>319536</v>
      </c>
      <c r="F278" s="19">
        <v>259666</v>
      </c>
      <c r="G278" s="19">
        <v>219666</v>
      </c>
      <c r="H278" s="19">
        <v>219666</v>
      </c>
      <c r="I278" s="25" t="s">
        <v>149</v>
      </c>
      <c r="J278" s="27">
        <f>C278-D278</f>
        <v>2000</v>
      </c>
      <c r="K278" s="27">
        <f>C278-E278</f>
        <v>2000</v>
      </c>
    </row>
    <row r="279" spans="1:11" ht="15.75" thickBot="1" x14ac:dyDescent="0.3">
      <c r="A279" s="21" t="s">
        <v>453</v>
      </c>
      <c r="B279" s="19">
        <v>100000</v>
      </c>
      <c r="C279" s="19">
        <v>100000</v>
      </c>
      <c r="D279" s="19">
        <v>98287</v>
      </c>
      <c r="E279" s="19">
        <v>98287</v>
      </c>
      <c r="F279" s="19">
        <v>19750</v>
      </c>
      <c r="G279" s="19">
        <v>19750</v>
      </c>
      <c r="H279" s="19">
        <v>4387</v>
      </c>
      <c r="I279" s="25" t="s">
        <v>454</v>
      </c>
      <c r="J279" s="27">
        <f>C279-D279</f>
        <v>1713</v>
      </c>
      <c r="K279" s="27">
        <f>C279-E279</f>
        <v>1713</v>
      </c>
    </row>
    <row r="280" spans="1:11" ht="29.25" thickBot="1" x14ac:dyDescent="0.3">
      <c r="A280" s="21" t="s">
        <v>472</v>
      </c>
      <c r="B280" s="19">
        <v>50000</v>
      </c>
      <c r="C280" s="19">
        <v>101523</v>
      </c>
      <c r="D280" s="19">
        <v>99920</v>
      </c>
      <c r="E280" s="19">
        <v>99920</v>
      </c>
      <c r="F280" s="19">
        <v>99920</v>
      </c>
      <c r="G280" s="19">
        <v>99920</v>
      </c>
      <c r="H280" s="19">
        <v>59170</v>
      </c>
      <c r="I280" s="25" t="s">
        <v>473</v>
      </c>
      <c r="J280" s="27">
        <f>C280-D280</f>
        <v>1603</v>
      </c>
      <c r="K280" s="27">
        <f>C280-E280</f>
        <v>1603</v>
      </c>
    </row>
    <row r="281" spans="1:11" ht="29.25" thickBot="1" x14ac:dyDescent="0.3">
      <c r="A281" s="21" t="s">
        <v>50</v>
      </c>
      <c r="B281" s="19">
        <v>357505</v>
      </c>
      <c r="C281" s="19">
        <v>77590</v>
      </c>
      <c r="D281" s="19">
        <v>76159</v>
      </c>
      <c r="E281" s="19">
        <v>76159</v>
      </c>
      <c r="F281" s="19">
        <v>76159</v>
      </c>
      <c r="G281" s="19">
        <v>76159</v>
      </c>
      <c r="H281" s="19">
        <v>76159</v>
      </c>
      <c r="I281" s="25" t="s">
        <v>51</v>
      </c>
      <c r="J281" s="27">
        <f>C281-D281</f>
        <v>1431</v>
      </c>
      <c r="K281" s="27">
        <f>C281-E281</f>
        <v>1431</v>
      </c>
    </row>
    <row r="282" spans="1:11" ht="15.75" thickBot="1" x14ac:dyDescent="0.3">
      <c r="A282" s="21" t="s">
        <v>340</v>
      </c>
      <c r="B282" s="19">
        <v>100000</v>
      </c>
      <c r="C282" s="19">
        <v>100000</v>
      </c>
      <c r="D282" s="19">
        <v>98580</v>
      </c>
      <c r="E282" s="19">
        <v>98580</v>
      </c>
      <c r="F282" s="19">
        <v>83195</v>
      </c>
      <c r="G282" s="19">
        <v>83195</v>
      </c>
      <c r="H282" s="19">
        <v>83195</v>
      </c>
      <c r="I282" s="25" t="s">
        <v>309</v>
      </c>
      <c r="J282" s="27">
        <f>C282-D282</f>
        <v>1420</v>
      </c>
      <c r="K282" s="27">
        <f>C282-E282</f>
        <v>1420</v>
      </c>
    </row>
    <row r="283" spans="1:11" ht="29.25" thickBot="1" x14ac:dyDescent="0.3">
      <c r="A283" s="21" t="s">
        <v>341</v>
      </c>
      <c r="B283" s="20">
        <v>0</v>
      </c>
      <c r="C283" s="19">
        <v>23560</v>
      </c>
      <c r="D283" s="19">
        <v>22650</v>
      </c>
      <c r="E283" s="19">
        <v>22650</v>
      </c>
      <c r="F283" s="19">
        <v>14282</v>
      </c>
      <c r="G283" s="19">
        <v>14282</v>
      </c>
      <c r="H283" s="19">
        <v>14282</v>
      </c>
      <c r="I283" s="25" t="s">
        <v>342</v>
      </c>
      <c r="J283" s="27">
        <f>C283-D283</f>
        <v>910</v>
      </c>
      <c r="K283" s="27">
        <f>C283-E283</f>
        <v>910</v>
      </c>
    </row>
    <row r="284" spans="1:11" ht="15.75" thickBot="1" x14ac:dyDescent="0.3">
      <c r="A284" s="21" t="s">
        <v>108</v>
      </c>
      <c r="B284" s="20">
        <v>0</v>
      </c>
      <c r="C284" s="19">
        <v>30892</v>
      </c>
      <c r="D284" s="19">
        <v>30000</v>
      </c>
      <c r="E284" s="19">
        <v>30000</v>
      </c>
      <c r="F284" s="19">
        <v>30000</v>
      </c>
      <c r="G284" s="20">
        <v>0</v>
      </c>
      <c r="H284" s="20">
        <v>0</v>
      </c>
      <c r="I284" s="25" t="s">
        <v>25</v>
      </c>
      <c r="J284" s="27">
        <f>C284-D284</f>
        <v>892</v>
      </c>
      <c r="K284" s="27">
        <f>C284-E284</f>
        <v>892</v>
      </c>
    </row>
    <row r="285" spans="1:11" ht="29.25" thickBot="1" x14ac:dyDescent="0.3">
      <c r="A285" s="21" t="s">
        <v>71</v>
      </c>
      <c r="B285" s="20">
        <v>0</v>
      </c>
      <c r="C285" s="19">
        <v>20166</v>
      </c>
      <c r="D285" s="19">
        <v>19362</v>
      </c>
      <c r="E285" s="19">
        <v>19362</v>
      </c>
      <c r="F285" s="19">
        <v>18148</v>
      </c>
      <c r="G285" s="19">
        <v>18148</v>
      </c>
      <c r="H285" s="19">
        <v>18148</v>
      </c>
      <c r="I285" s="25" t="s">
        <v>72</v>
      </c>
      <c r="J285" s="27">
        <f>C285-D285</f>
        <v>804</v>
      </c>
      <c r="K285" s="27">
        <f>C285-E285</f>
        <v>804</v>
      </c>
    </row>
    <row r="286" spans="1:11" ht="29.25" thickBot="1" x14ac:dyDescent="0.3">
      <c r="A286" s="21" t="s">
        <v>165</v>
      </c>
      <c r="B286" s="19">
        <v>20000</v>
      </c>
      <c r="C286" s="19">
        <v>34081</v>
      </c>
      <c r="D286" s="19">
        <v>33741</v>
      </c>
      <c r="E286" s="19">
        <v>33315</v>
      </c>
      <c r="F286" s="19">
        <v>33315</v>
      </c>
      <c r="G286" s="19">
        <v>33315</v>
      </c>
      <c r="H286" s="19">
        <v>33315</v>
      </c>
      <c r="I286" s="25" t="s">
        <v>166</v>
      </c>
      <c r="J286" s="27">
        <f>C286-D286</f>
        <v>340</v>
      </c>
      <c r="K286" s="27">
        <f>C286-E286</f>
        <v>766</v>
      </c>
    </row>
    <row r="287" spans="1:11" ht="29.25" thickBot="1" x14ac:dyDescent="0.3">
      <c r="A287" s="21" t="s">
        <v>325</v>
      </c>
      <c r="B287" s="19">
        <v>800000</v>
      </c>
      <c r="C287" s="19">
        <v>520686</v>
      </c>
      <c r="D287" s="19">
        <v>519936</v>
      </c>
      <c r="E287" s="19">
        <v>519936</v>
      </c>
      <c r="F287" s="19">
        <v>505181</v>
      </c>
      <c r="G287" s="19">
        <v>468291</v>
      </c>
      <c r="H287" s="19">
        <v>435291</v>
      </c>
      <c r="I287" s="25" t="s">
        <v>326</v>
      </c>
      <c r="J287" s="27">
        <f>C287-D287</f>
        <v>750</v>
      </c>
      <c r="K287" s="27">
        <f>C287-E287</f>
        <v>750</v>
      </c>
    </row>
    <row r="288" spans="1:11" ht="15.75" thickBot="1" x14ac:dyDescent="0.3">
      <c r="A288" s="21" t="s">
        <v>371</v>
      </c>
      <c r="B288" s="20">
        <v>0</v>
      </c>
      <c r="C288" s="19">
        <v>10277</v>
      </c>
      <c r="D288" s="19">
        <v>9570</v>
      </c>
      <c r="E288" s="19">
        <v>9570</v>
      </c>
      <c r="F288" s="19">
        <v>9565</v>
      </c>
      <c r="G288" s="19">
        <v>9565</v>
      </c>
      <c r="H288" s="19">
        <v>9565</v>
      </c>
      <c r="I288" s="25" t="s">
        <v>372</v>
      </c>
      <c r="J288" s="27">
        <f>C288-D288</f>
        <v>707</v>
      </c>
      <c r="K288" s="27">
        <f>C288-E288</f>
        <v>707</v>
      </c>
    </row>
    <row r="289" spans="1:11" ht="29.25" thickBot="1" x14ac:dyDescent="0.3">
      <c r="A289" s="21" t="s">
        <v>564</v>
      </c>
      <c r="B289" s="20">
        <v>0</v>
      </c>
      <c r="C289" s="19">
        <v>519111</v>
      </c>
      <c r="D289" s="19">
        <v>519111</v>
      </c>
      <c r="E289" s="19">
        <v>518575</v>
      </c>
      <c r="F289" s="19">
        <v>356930</v>
      </c>
      <c r="G289" s="19">
        <v>211183</v>
      </c>
      <c r="H289" s="19">
        <v>206983</v>
      </c>
      <c r="I289" s="25" t="s">
        <v>565</v>
      </c>
      <c r="J289" s="27">
        <f>C289-D289</f>
        <v>0</v>
      </c>
      <c r="K289" s="27">
        <f>C289-E289</f>
        <v>536</v>
      </c>
    </row>
    <row r="290" spans="1:11" ht="29.25" thickBot="1" x14ac:dyDescent="0.3">
      <c r="A290" s="21" t="s">
        <v>116</v>
      </c>
      <c r="B290" s="20">
        <v>0</v>
      </c>
      <c r="C290" s="19">
        <v>44000</v>
      </c>
      <c r="D290" s="19">
        <v>43500</v>
      </c>
      <c r="E290" s="19">
        <v>43500</v>
      </c>
      <c r="F290" s="19">
        <v>43500</v>
      </c>
      <c r="G290" s="19">
        <v>17400</v>
      </c>
      <c r="H290" s="19">
        <v>17400</v>
      </c>
      <c r="I290" s="25" t="s">
        <v>117</v>
      </c>
      <c r="J290" s="27">
        <f>C290-D290</f>
        <v>500</v>
      </c>
      <c r="K290" s="27">
        <f>C290-E290</f>
        <v>500</v>
      </c>
    </row>
    <row r="291" spans="1:11" ht="29.25" thickBot="1" x14ac:dyDescent="0.3">
      <c r="A291" s="21" t="s">
        <v>308</v>
      </c>
      <c r="B291" s="19">
        <v>800000</v>
      </c>
      <c r="C291" s="19">
        <v>171047</v>
      </c>
      <c r="D291" s="19">
        <v>170547</v>
      </c>
      <c r="E291" s="19">
        <v>170547</v>
      </c>
      <c r="F291" s="19">
        <v>159763</v>
      </c>
      <c r="G291" s="19">
        <v>142342</v>
      </c>
      <c r="H291" s="19">
        <v>123046</v>
      </c>
      <c r="I291" s="25" t="s">
        <v>309</v>
      </c>
      <c r="J291" s="27">
        <f>C291-D291</f>
        <v>500</v>
      </c>
      <c r="K291" s="27">
        <f>C291-E291</f>
        <v>500</v>
      </c>
    </row>
    <row r="292" spans="1:11" ht="15.75" thickBot="1" x14ac:dyDescent="0.3">
      <c r="A292" s="21" t="s">
        <v>446</v>
      </c>
      <c r="B292" s="20">
        <v>0</v>
      </c>
      <c r="C292" s="19">
        <v>24413</v>
      </c>
      <c r="D292" s="19">
        <v>23995</v>
      </c>
      <c r="E292" s="19">
        <v>23995</v>
      </c>
      <c r="F292" s="19">
        <v>19206</v>
      </c>
      <c r="G292" s="19">
        <v>19206</v>
      </c>
      <c r="H292" s="19">
        <v>19206</v>
      </c>
      <c r="I292" s="25" t="s">
        <v>103</v>
      </c>
      <c r="J292" s="27">
        <f>C292-D292</f>
        <v>418</v>
      </c>
      <c r="K292" s="27">
        <f>C292-E292</f>
        <v>418</v>
      </c>
    </row>
    <row r="293" spans="1:11" ht="29.25" thickBot="1" x14ac:dyDescent="0.3">
      <c r="A293" s="21" t="s">
        <v>574</v>
      </c>
      <c r="B293" s="20">
        <v>0</v>
      </c>
      <c r="C293" s="19">
        <v>87790</v>
      </c>
      <c r="D293" s="19">
        <v>87438</v>
      </c>
      <c r="E293" s="19">
        <v>87428</v>
      </c>
      <c r="F293" s="19">
        <v>87428</v>
      </c>
      <c r="G293" s="19">
        <v>77990</v>
      </c>
      <c r="H293" s="19">
        <v>77990</v>
      </c>
      <c r="I293" s="25" t="s">
        <v>575</v>
      </c>
      <c r="J293" s="27">
        <f>C293-D293</f>
        <v>352</v>
      </c>
      <c r="K293" s="27">
        <f>C293-E293</f>
        <v>362</v>
      </c>
    </row>
    <row r="294" spans="1:11" ht="15.75" thickBot="1" x14ac:dyDescent="0.3">
      <c r="A294" s="21" t="s">
        <v>360</v>
      </c>
      <c r="B294" s="19">
        <v>100000</v>
      </c>
      <c r="C294" s="19">
        <v>90586</v>
      </c>
      <c r="D294" s="19">
        <v>90435</v>
      </c>
      <c r="E294" s="19">
        <v>90257</v>
      </c>
      <c r="F294" s="19">
        <v>90257</v>
      </c>
      <c r="G294" s="19">
        <v>78302</v>
      </c>
      <c r="H294" s="19">
        <v>78302</v>
      </c>
      <c r="I294" s="25" t="s">
        <v>361</v>
      </c>
      <c r="J294" s="27">
        <f>C294-D294</f>
        <v>151</v>
      </c>
      <c r="K294" s="27">
        <f>C294-E294</f>
        <v>329</v>
      </c>
    </row>
    <row r="295" spans="1:11" ht="29.25" thickBot="1" x14ac:dyDescent="0.3">
      <c r="A295" s="21" t="s">
        <v>500</v>
      </c>
      <c r="B295" s="19">
        <v>1500000</v>
      </c>
      <c r="C295" s="19">
        <v>57442</v>
      </c>
      <c r="D295" s="19">
        <v>57137</v>
      </c>
      <c r="E295" s="19">
        <v>57137</v>
      </c>
      <c r="F295" s="19">
        <v>54415</v>
      </c>
      <c r="G295" s="19">
        <v>54415</v>
      </c>
      <c r="H295" s="19">
        <v>54415</v>
      </c>
      <c r="I295" s="25" t="s">
        <v>186</v>
      </c>
      <c r="J295" s="27">
        <f>C295-D295</f>
        <v>305</v>
      </c>
      <c r="K295" s="27">
        <f>C295-E295</f>
        <v>305</v>
      </c>
    </row>
    <row r="296" spans="1:11" ht="29.25" thickBot="1" x14ac:dyDescent="0.3">
      <c r="A296" s="21" t="s">
        <v>384</v>
      </c>
      <c r="B296" s="19">
        <v>800000</v>
      </c>
      <c r="C296" s="19">
        <v>230847</v>
      </c>
      <c r="D296" s="19">
        <v>230597</v>
      </c>
      <c r="E296" s="19">
        <v>230597</v>
      </c>
      <c r="F296" s="19">
        <v>228945</v>
      </c>
      <c r="G296" s="19">
        <v>178545</v>
      </c>
      <c r="H296" s="19">
        <v>178545</v>
      </c>
      <c r="I296" s="25" t="s">
        <v>385</v>
      </c>
      <c r="J296" s="27">
        <f>C296-D296</f>
        <v>250</v>
      </c>
      <c r="K296" s="27">
        <f>C296-E296</f>
        <v>250</v>
      </c>
    </row>
    <row r="297" spans="1:11" ht="15.75" thickBot="1" x14ac:dyDescent="0.3">
      <c r="A297" s="21" t="s">
        <v>424</v>
      </c>
      <c r="B297" s="19">
        <v>100000</v>
      </c>
      <c r="C297" s="19">
        <v>33556</v>
      </c>
      <c r="D297" s="19">
        <v>33490</v>
      </c>
      <c r="E297" s="19">
        <v>33490</v>
      </c>
      <c r="F297" s="19">
        <v>28428</v>
      </c>
      <c r="G297" s="19">
        <v>28428</v>
      </c>
      <c r="H297" s="19">
        <v>28428</v>
      </c>
      <c r="I297" s="25" t="s">
        <v>425</v>
      </c>
      <c r="J297" s="27">
        <f>C297-D297</f>
        <v>66</v>
      </c>
      <c r="K297" s="27">
        <f>C297-E297</f>
        <v>66</v>
      </c>
    </row>
    <row r="298" spans="1:11" ht="29.25" thickBot="1" x14ac:dyDescent="0.3">
      <c r="A298" s="21" t="s">
        <v>542</v>
      </c>
      <c r="B298" s="20">
        <v>0</v>
      </c>
      <c r="C298" s="19">
        <v>83160</v>
      </c>
      <c r="D298" s="19">
        <v>83160</v>
      </c>
      <c r="E298" s="19">
        <v>83100</v>
      </c>
      <c r="F298" s="19">
        <v>83100</v>
      </c>
      <c r="G298" s="19">
        <v>83100</v>
      </c>
      <c r="H298" s="19">
        <v>83100</v>
      </c>
      <c r="I298" s="25" t="s">
        <v>543</v>
      </c>
      <c r="J298" s="27">
        <f>C298-D298</f>
        <v>0</v>
      </c>
      <c r="K298" s="27">
        <f>C298-E298</f>
        <v>60</v>
      </c>
    </row>
    <row r="299" spans="1:11" ht="29.25" thickBot="1" x14ac:dyDescent="0.3">
      <c r="A299" s="21" t="s">
        <v>512</v>
      </c>
      <c r="B299" s="20">
        <v>0</v>
      </c>
      <c r="C299" s="19">
        <v>152639</v>
      </c>
      <c r="D299" s="19">
        <v>152605</v>
      </c>
      <c r="E299" s="19">
        <v>152605</v>
      </c>
      <c r="F299" s="19">
        <v>152605</v>
      </c>
      <c r="G299" s="19">
        <v>152605</v>
      </c>
      <c r="H299" s="19">
        <v>152605</v>
      </c>
      <c r="I299" s="25" t="s">
        <v>172</v>
      </c>
      <c r="J299" s="27">
        <f>C299-D299</f>
        <v>34</v>
      </c>
      <c r="K299" s="27">
        <f>C299-E299</f>
        <v>34</v>
      </c>
    </row>
    <row r="300" spans="1:11" ht="15.75" thickBot="1" x14ac:dyDescent="0.3">
      <c r="A300" s="21" t="s">
        <v>483</v>
      </c>
      <c r="B300" s="19">
        <v>50000</v>
      </c>
      <c r="C300" s="19">
        <v>50000</v>
      </c>
      <c r="D300" s="19">
        <v>49980</v>
      </c>
      <c r="E300" s="19">
        <v>49980</v>
      </c>
      <c r="F300" s="19">
        <v>49975</v>
      </c>
      <c r="G300" s="19">
        <v>49975</v>
      </c>
      <c r="H300" s="19">
        <v>49975</v>
      </c>
      <c r="I300" s="25" t="s">
        <v>172</v>
      </c>
      <c r="J300" s="27">
        <f>C300-D300</f>
        <v>20</v>
      </c>
      <c r="K300" s="27">
        <f>C300-E300</f>
        <v>20</v>
      </c>
    </row>
    <row r="301" spans="1:11" ht="29.25" thickBot="1" x14ac:dyDescent="0.3">
      <c r="A301" s="21" t="s">
        <v>504</v>
      </c>
      <c r="B301" s="19">
        <v>50000</v>
      </c>
      <c r="C301" s="19">
        <v>99897</v>
      </c>
      <c r="D301" s="19">
        <v>99880</v>
      </c>
      <c r="E301" s="19">
        <v>99880</v>
      </c>
      <c r="F301" s="19">
        <v>91645</v>
      </c>
      <c r="G301" s="19">
        <v>91645</v>
      </c>
      <c r="H301" s="19">
        <v>91645</v>
      </c>
      <c r="I301" s="25" t="s">
        <v>505</v>
      </c>
      <c r="J301" s="27">
        <f>C301-D301</f>
        <v>17</v>
      </c>
      <c r="K301" s="27">
        <f>C301-E301</f>
        <v>17</v>
      </c>
    </row>
    <row r="302" spans="1:11" ht="29.25" thickBot="1" x14ac:dyDescent="0.3">
      <c r="A302" s="21" t="s">
        <v>367</v>
      </c>
      <c r="B302" s="19">
        <v>7834316</v>
      </c>
      <c r="C302" s="19">
        <v>267289</v>
      </c>
      <c r="D302" s="19">
        <v>267284</v>
      </c>
      <c r="E302" s="19">
        <v>267284</v>
      </c>
      <c r="F302" s="19">
        <v>267284</v>
      </c>
      <c r="G302" s="19">
        <v>245284</v>
      </c>
      <c r="H302" s="19">
        <v>241683</v>
      </c>
      <c r="I302" s="25" t="s">
        <v>130</v>
      </c>
      <c r="J302" s="27">
        <f>C302-D302</f>
        <v>5</v>
      </c>
      <c r="K302" s="27">
        <f>C302-E302</f>
        <v>5</v>
      </c>
    </row>
    <row r="303" spans="1:11" ht="29.25" thickBot="1" x14ac:dyDescent="0.3">
      <c r="A303" s="21" t="s">
        <v>531</v>
      </c>
      <c r="B303" s="20">
        <v>0</v>
      </c>
      <c r="C303" s="19">
        <v>2555</v>
      </c>
      <c r="D303" s="19">
        <v>2550</v>
      </c>
      <c r="E303" s="19">
        <v>2550</v>
      </c>
      <c r="F303" s="19">
        <v>2550</v>
      </c>
      <c r="G303" s="19">
        <v>2550</v>
      </c>
      <c r="H303" s="19">
        <v>2550</v>
      </c>
      <c r="I303" s="25" t="s">
        <v>532</v>
      </c>
      <c r="J303" s="27">
        <f>C303-D303</f>
        <v>5</v>
      </c>
      <c r="K303" s="27">
        <f>C303-E303</f>
        <v>5</v>
      </c>
    </row>
    <row r="304" spans="1:11" ht="29.25" thickBot="1" x14ac:dyDescent="0.3">
      <c r="A304" s="21" t="s">
        <v>502</v>
      </c>
      <c r="B304" s="19">
        <v>50000</v>
      </c>
      <c r="C304" s="19">
        <v>164979</v>
      </c>
      <c r="D304" s="19">
        <v>164977</v>
      </c>
      <c r="E304" s="19">
        <v>164977</v>
      </c>
      <c r="F304" s="19">
        <v>162481</v>
      </c>
      <c r="G304" s="19">
        <v>152477</v>
      </c>
      <c r="H304" s="19">
        <v>152477</v>
      </c>
      <c r="I304" s="25" t="s">
        <v>503</v>
      </c>
      <c r="J304" s="27">
        <f>C304-D304</f>
        <v>2</v>
      </c>
      <c r="K304" s="27">
        <f>C304-E304</f>
        <v>2</v>
      </c>
    </row>
    <row r="305" spans="1:11" ht="29.25" thickBot="1" x14ac:dyDescent="0.3">
      <c r="A305" s="21" t="s">
        <v>139</v>
      </c>
      <c r="B305" s="19">
        <v>1200000</v>
      </c>
      <c r="C305" s="19">
        <v>167638</v>
      </c>
      <c r="D305" s="19">
        <v>167637</v>
      </c>
      <c r="E305" s="19">
        <v>167637</v>
      </c>
      <c r="F305" s="19">
        <v>143800</v>
      </c>
      <c r="G305" s="19">
        <v>124800</v>
      </c>
      <c r="H305" s="19">
        <v>124800</v>
      </c>
      <c r="I305" s="25" t="s">
        <v>140</v>
      </c>
      <c r="J305" s="27">
        <f>C305-D305</f>
        <v>1</v>
      </c>
      <c r="K305" s="27">
        <f>C305-E305</f>
        <v>1</v>
      </c>
    </row>
    <row r="306" spans="1:11" ht="29.25" thickBot="1" x14ac:dyDescent="0.3">
      <c r="A306" s="21" t="s">
        <v>527</v>
      </c>
      <c r="B306" s="20">
        <v>0</v>
      </c>
      <c r="C306" s="19">
        <v>5365</v>
      </c>
      <c r="D306" s="19">
        <v>5364</v>
      </c>
      <c r="E306" s="19">
        <v>5364</v>
      </c>
      <c r="F306" s="19">
        <v>5364</v>
      </c>
      <c r="G306" s="19">
        <v>5364</v>
      </c>
      <c r="H306" s="19">
        <v>5364</v>
      </c>
      <c r="I306" s="25" t="s">
        <v>172</v>
      </c>
      <c r="J306" s="27">
        <f>C306-D306</f>
        <v>1</v>
      </c>
      <c r="K306" s="27">
        <f>C306-E306</f>
        <v>1</v>
      </c>
    </row>
    <row r="307" spans="1:11" ht="29.25" thickBot="1" x14ac:dyDescent="0.3">
      <c r="A307" s="21" t="s">
        <v>539</v>
      </c>
      <c r="B307" s="20">
        <v>0</v>
      </c>
      <c r="C307" s="19">
        <v>14715</v>
      </c>
      <c r="D307" s="19">
        <v>14714</v>
      </c>
      <c r="E307" s="19">
        <v>14714</v>
      </c>
      <c r="F307" s="19">
        <v>14714</v>
      </c>
      <c r="G307" s="19">
        <v>14714</v>
      </c>
      <c r="H307" s="19">
        <v>14714</v>
      </c>
      <c r="I307" s="25" t="s">
        <v>172</v>
      </c>
      <c r="J307" s="27">
        <f>C307-D307</f>
        <v>1</v>
      </c>
      <c r="K307" s="27">
        <f>C307-E307</f>
        <v>1</v>
      </c>
    </row>
    <row r="308" spans="1:11" ht="29.25" thickBot="1" x14ac:dyDescent="0.3">
      <c r="A308" s="21" t="s">
        <v>570</v>
      </c>
      <c r="B308" s="20">
        <v>0</v>
      </c>
      <c r="C308" s="19">
        <v>5098</v>
      </c>
      <c r="D308" s="19">
        <v>5097</v>
      </c>
      <c r="E308" s="19">
        <v>5097</v>
      </c>
      <c r="F308" s="19">
        <v>5097</v>
      </c>
      <c r="G308" s="19">
        <v>5097</v>
      </c>
      <c r="H308" s="19">
        <v>5097</v>
      </c>
      <c r="I308" s="25" t="s">
        <v>172</v>
      </c>
      <c r="J308" s="27">
        <f>C308-D308</f>
        <v>1</v>
      </c>
      <c r="K308" s="27">
        <f>C308-E308</f>
        <v>1</v>
      </c>
    </row>
    <row r="309" spans="1:11" ht="15.75" thickBot="1" x14ac:dyDescent="0.3">
      <c r="A309" s="21" t="s">
        <v>609</v>
      </c>
      <c r="B309" s="20">
        <v>0</v>
      </c>
      <c r="C309" s="19">
        <v>70059</v>
      </c>
      <c r="D309" s="19">
        <v>70058</v>
      </c>
      <c r="E309" s="19">
        <v>70058</v>
      </c>
      <c r="F309" s="19">
        <v>70030</v>
      </c>
      <c r="G309" s="19">
        <v>70030</v>
      </c>
      <c r="H309" s="19">
        <v>70030</v>
      </c>
      <c r="I309" s="25" t="s">
        <v>172</v>
      </c>
      <c r="J309" s="27">
        <f>C309-D309</f>
        <v>1</v>
      </c>
      <c r="K309" s="27">
        <f>C309-E309</f>
        <v>1</v>
      </c>
    </row>
    <row r="310" spans="1:11" ht="29.25" thickBot="1" x14ac:dyDescent="0.3">
      <c r="A310" s="21" t="s">
        <v>617</v>
      </c>
      <c r="B310" s="20">
        <v>0</v>
      </c>
      <c r="C310" s="19">
        <v>271707</v>
      </c>
      <c r="D310" s="19">
        <v>271706</v>
      </c>
      <c r="E310" s="19">
        <v>271706</v>
      </c>
      <c r="F310" s="19">
        <v>270843</v>
      </c>
      <c r="G310" s="19">
        <v>270843</v>
      </c>
      <c r="H310" s="19">
        <v>270843</v>
      </c>
      <c r="I310" s="25" t="s">
        <v>618</v>
      </c>
      <c r="J310" s="27">
        <f>C310-D310</f>
        <v>1</v>
      </c>
      <c r="K310" s="27">
        <f>C310-E310</f>
        <v>1</v>
      </c>
    </row>
    <row r="311" spans="1:11" ht="15.75" thickBot="1" x14ac:dyDescent="0.3">
      <c r="A311" s="21" t="s">
        <v>24</v>
      </c>
      <c r="B311" s="19">
        <v>7600000</v>
      </c>
      <c r="C311" s="20">
        <v>0</v>
      </c>
      <c r="D311" s="20">
        <v>0</v>
      </c>
      <c r="E311" s="20">
        <v>0</v>
      </c>
      <c r="F311" s="20">
        <v>0</v>
      </c>
      <c r="G311" s="20">
        <v>0</v>
      </c>
      <c r="H311" s="20">
        <v>0</v>
      </c>
      <c r="I311" s="25" t="s">
        <v>25</v>
      </c>
      <c r="J311" s="27">
        <f>C311-D311</f>
        <v>0</v>
      </c>
      <c r="K311" s="27">
        <f>C311-E311</f>
        <v>0</v>
      </c>
    </row>
    <row r="312" spans="1:11" ht="15.75" thickBot="1" x14ac:dyDescent="0.3">
      <c r="A312" s="21" t="s">
        <v>28</v>
      </c>
      <c r="B312" s="19">
        <v>3778561</v>
      </c>
      <c r="C312" s="20">
        <v>0</v>
      </c>
      <c r="D312" s="20">
        <v>0</v>
      </c>
      <c r="E312" s="20">
        <v>0</v>
      </c>
      <c r="F312" s="20">
        <v>0</v>
      </c>
      <c r="G312" s="20">
        <v>0</v>
      </c>
      <c r="H312" s="20">
        <v>0</v>
      </c>
      <c r="I312" s="25" t="s">
        <v>25</v>
      </c>
      <c r="J312" s="27">
        <f>C312-D312</f>
        <v>0</v>
      </c>
      <c r="K312" s="27">
        <f>C312-E312</f>
        <v>0</v>
      </c>
    </row>
    <row r="313" spans="1:11" ht="29.25" thickBot="1" x14ac:dyDescent="0.3">
      <c r="A313" s="21" t="s">
        <v>31</v>
      </c>
      <c r="B313" s="19">
        <v>4098</v>
      </c>
      <c r="C313" s="20">
        <v>0</v>
      </c>
      <c r="D313" s="20">
        <v>0</v>
      </c>
      <c r="E313" s="20">
        <v>0</v>
      </c>
      <c r="F313" s="20">
        <v>0</v>
      </c>
      <c r="G313" s="20">
        <v>0</v>
      </c>
      <c r="H313" s="20">
        <v>0</v>
      </c>
      <c r="I313" s="25" t="s">
        <v>25</v>
      </c>
      <c r="J313" s="27">
        <f>C313-D313</f>
        <v>0</v>
      </c>
      <c r="K313" s="27">
        <f>C313-E313</f>
        <v>0</v>
      </c>
    </row>
    <row r="314" spans="1:11" ht="29.25" thickBot="1" x14ac:dyDescent="0.3">
      <c r="A314" s="21" t="s">
        <v>32</v>
      </c>
      <c r="B314" s="19">
        <v>87917</v>
      </c>
      <c r="C314" s="20">
        <v>0</v>
      </c>
      <c r="D314" s="20">
        <v>0</v>
      </c>
      <c r="E314" s="20">
        <v>0</v>
      </c>
      <c r="F314" s="20">
        <v>0</v>
      </c>
      <c r="G314" s="20">
        <v>0</v>
      </c>
      <c r="H314" s="20">
        <v>0</v>
      </c>
      <c r="I314" s="25" t="s">
        <v>25</v>
      </c>
      <c r="J314" s="27">
        <f>C314-D314</f>
        <v>0</v>
      </c>
      <c r="K314" s="27">
        <f>C314-E314</f>
        <v>0</v>
      </c>
    </row>
    <row r="315" spans="1:11" ht="15.75" thickBot="1" x14ac:dyDescent="0.3">
      <c r="A315" s="21" t="s">
        <v>41</v>
      </c>
      <c r="B315" s="19">
        <v>100000</v>
      </c>
      <c r="C315" s="20">
        <v>0</v>
      </c>
      <c r="D315" s="20">
        <v>0</v>
      </c>
      <c r="E315" s="20">
        <v>0</v>
      </c>
      <c r="F315" s="20">
        <v>0</v>
      </c>
      <c r="G315" s="20">
        <v>0</v>
      </c>
      <c r="H315" s="20">
        <v>0</v>
      </c>
      <c r="I315" s="25" t="s">
        <v>25</v>
      </c>
      <c r="J315" s="27">
        <f>C315-D315</f>
        <v>0</v>
      </c>
      <c r="K315" s="27">
        <f>C315-E315</f>
        <v>0</v>
      </c>
    </row>
    <row r="316" spans="1:11" ht="29.25" thickBot="1" x14ac:dyDescent="0.3">
      <c r="A316" s="21" t="s">
        <v>47</v>
      </c>
      <c r="B316" s="19">
        <v>1792000</v>
      </c>
      <c r="C316" s="20">
        <v>0</v>
      </c>
      <c r="D316" s="20">
        <v>0</v>
      </c>
      <c r="E316" s="20">
        <v>0</v>
      </c>
      <c r="F316" s="20">
        <v>0</v>
      </c>
      <c r="G316" s="20">
        <v>0</v>
      </c>
      <c r="H316" s="20">
        <v>0</v>
      </c>
      <c r="I316" s="25" t="s">
        <v>25</v>
      </c>
      <c r="J316" s="27">
        <f>C316-D316</f>
        <v>0</v>
      </c>
      <c r="K316" s="27">
        <f>C316-E316</f>
        <v>0</v>
      </c>
    </row>
    <row r="317" spans="1:11" ht="15.75" thickBot="1" x14ac:dyDescent="0.3">
      <c r="A317" s="21" t="s">
        <v>52</v>
      </c>
      <c r="B317" s="19">
        <v>144908</v>
      </c>
      <c r="C317" s="20">
        <v>0</v>
      </c>
      <c r="D317" s="20">
        <v>0</v>
      </c>
      <c r="E317" s="20">
        <v>0</v>
      </c>
      <c r="F317" s="20">
        <v>0</v>
      </c>
      <c r="G317" s="20">
        <v>0</v>
      </c>
      <c r="H317" s="20">
        <v>0</v>
      </c>
      <c r="I317" s="25" t="s">
        <v>25</v>
      </c>
      <c r="J317" s="27">
        <f>C317-D317</f>
        <v>0</v>
      </c>
      <c r="K317" s="27">
        <f>C317-E317</f>
        <v>0</v>
      </c>
    </row>
    <row r="318" spans="1:11" ht="15.75" thickBot="1" x14ac:dyDescent="0.3">
      <c r="A318" s="21" t="s">
        <v>53</v>
      </c>
      <c r="B318" s="19">
        <v>17477</v>
      </c>
      <c r="C318" s="20">
        <v>0</v>
      </c>
      <c r="D318" s="20">
        <v>0</v>
      </c>
      <c r="E318" s="20">
        <v>0</v>
      </c>
      <c r="F318" s="20">
        <v>0</v>
      </c>
      <c r="G318" s="20">
        <v>0</v>
      </c>
      <c r="H318" s="20">
        <v>0</v>
      </c>
      <c r="I318" s="25" t="s">
        <v>25</v>
      </c>
      <c r="J318" s="27">
        <f>C318-D318</f>
        <v>0</v>
      </c>
      <c r="K318" s="27">
        <f>C318-E318</f>
        <v>0</v>
      </c>
    </row>
    <row r="319" spans="1:11" ht="15.75" thickBot="1" x14ac:dyDescent="0.3">
      <c r="A319" s="21" t="s">
        <v>62</v>
      </c>
      <c r="B319" s="19">
        <v>2878733</v>
      </c>
      <c r="C319" s="20">
        <v>0</v>
      </c>
      <c r="D319" s="20">
        <v>0</v>
      </c>
      <c r="E319" s="20">
        <v>0</v>
      </c>
      <c r="F319" s="20">
        <v>0</v>
      </c>
      <c r="G319" s="20">
        <v>0</v>
      </c>
      <c r="H319" s="20">
        <v>0</v>
      </c>
      <c r="I319" s="25" t="s">
        <v>25</v>
      </c>
      <c r="J319" s="27">
        <f>C319-D319</f>
        <v>0</v>
      </c>
      <c r="K319" s="27">
        <f>C319-E319</f>
        <v>0</v>
      </c>
    </row>
    <row r="320" spans="1:11" ht="15.75" thickBot="1" x14ac:dyDescent="0.3">
      <c r="A320" s="21" t="s">
        <v>73</v>
      </c>
      <c r="B320" s="19">
        <v>1023926</v>
      </c>
      <c r="C320" s="20">
        <v>0</v>
      </c>
      <c r="D320" s="20">
        <v>0</v>
      </c>
      <c r="E320" s="20">
        <v>0</v>
      </c>
      <c r="F320" s="20">
        <v>0</v>
      </c>
      <c r="G320" s="20">
        <v>0</v>
      </c>
      <c r="H320" s="20">
        <v>0</v>
      </c>
      <c r="I320" s="25" t="s">
        <v>25</v>
      </c>
      <c r="J320" s="27">
        <f>C320-D320</f>
        <v>0</v>
      </c>
      <c r="K320" s="27">
        <f>C320-E320</f>
        <v>0</v>
      </c>
    </row>
    <row r="321" spans="1:11" ht="15.75" thickBot="1" x14ac:dyDescent="0.3">
      <c r="A321" s="21" t="s">
        <v>74</v>
      </c>
      <c r="B321" s="19">
        <v>100000</v>
      </c>
      <c r="C321" s="20">
        <v>0</v>
      </c>
      <c r="D321" s="20">
        <v>0</v>
      </c>
      <c r="E321" s="20">
        <v>0</v>
      </c>
      <c r="F321" s="20">
        <v>0</v>
      </c>
      <c r="G321" s="20">
        <v>0</v>
      </c>
      <c r="H321" s="20">
        <v>0</v>
      </c>
      <c r="I321" s="25" t="s">
        <v>25</v>
      </c>
      <c r="J321" s="27">
        <f>C321-D321</f>
        <v>0</v>
      </c>
      <c r="K321" s="27">
        <f>C321-E321</f>
        <v>0</v>
      </c>
    </row>
    <row r="322" spans="1:11" ht="15.75" thickBot="1" x14ac:dyDescent="0.3">
      <c r="A322" s="21" t="s">
        <v>79</v>
      </c>
      <c r="B322" s="19">
        <v>60000</v>
      </c>
      <c r="C322" s="20">
        <v>0</v>
      </c>
      <c r="D322" s="20">
        <v>0</v>
      </c>
      <c r="E322" s="20">
        <v>0</v>
      </c>
      <c r="F322" s="20">
        <v>0</v>
      </c>
      <c r="G322" s="20">
        <v>0</v>
      </c>
      <c r="H322" s="20">
        <v>0</v>
      </c>
      <c r="I322" s="25" t="s">
        <v>25</v>
      </c>
      <c r="J322" s="27">
        <f>C322-D322</f>
        <v>0</v>
      </c>
      <c r="K322" s="27">
        <f>C322-E322</f>
        <v>0</v>
      </c>
    </row>
    <row r="323" spans="1:11" ht="29.25" thickBot="1" x14ac:dyDescent="0.3">
      <c r="A323" s="21" t="s">
        <v>107</v>
      </c>
      <c r="B323" s="19">
        <v>7946662</v>
      </c>
      <c r="C323" s="20">
        <v>0</v>
      </c>
      <c r="D323" s="20">
        <v>0</v>
      </c>
      <c r="E323" s="20">
        <v>0</v>
      </c>
      <c r="F323" s="20">
        <v>0</v>
      </c>
      <c r="G323" s="20">
        <v>0</v>
      </c>
      <c r="H323" s="20">
        <v>0</v>
      </c>
      <c r="I323" s="25" t="s">
        <v>25</v>
      </c>
      <c r="J323" s="27">
        <f>C323-D323</f>
        <v>0</v>
      </c>
      <c r="K323" s="27">
        <f>C323-E323</f>
        <v>0</v>
      </c>
    </row>
    <row r="324" spans="1:11" ht="43.5" thickBot="1" x14ac:dyDescent="0.3">
      <c r="A324" s="21" t="s">
        <v>121</v>
      </c>
      <c r="B324" s="19">
        <v>1000000</v>
      </c>
      <c r="C324" s="20">
        <v>0</v>
      </c>
      <c r="D324" s="20">
        <v>0</v>
      </c>
      <c r="E324" s="20">
        <v>0</v>
      </c>
      <c r="F324" s="20">
        <v>0</v>
      </c>
      <c r="G324" s="20">
        <v>0</v>
      </c>
      <c r="H324" s="20">
        <v>0</v>
      </c>
      <c r="I324" s="25" t="s">
        <v>25</v>
      </c>
      <c r="J324" s="27">
        <f>C324-D324</f>
        <v>0</v>
      </c>
      <c r="K324" s="27">
        <f>C324-E324</f>
        <v>0</v>
      </c>
    </row>
    <row r="325" spans="1:11" ht="29.25" thickBot="1" x14ac:dyDescent="0.3">
      <c r="A325" s="21" t="s">
        <v>141</v>
      </c>
      <c r="B325" s="19">
        <v>1950000</v>
      </c>
      <c r="C325" s="20">
        <v>0</v>
      </c>
      <c r="D325" s="20">
        <v>0</v>
      </c>
      <c r="E325" s="20">
        <v>0</v>
      </c>
      <c r="F325" s="20">
        <v>0</v>
      </c>
      <c r="G325" s="20">
        <v>0</v>
      </c>
      <c r="H325" s="20">
        <v>0</v>
      </c>
      <c r="I325" s="25" t="s">
        <v>25</v>
      </c>
      <c r="J325" s="27">
        <f>C325-D325</f>
        <v>0</v>
      </c>
      <c r="K325" s="27">
        <f>C325-E325</f>
        <v>0</v>
      </c>
    </row>
    <row r="326" spans="1:11" ht="29.25" thickBot="1" x14ac:dyDescent="0.3">
      <c r="A326" s="21" t="s">
        <v>155</v>
      </c>
      <c r="B326" s="19">
        <v>3500504</v>
      </c>
      <c r="C326" s="19">
        <v>261704</v>
      </c>
      <c r="D326" s="19">
        <v>261704</v>
      </c>
      <c r="E326" s="19">
        <v>261704</v>
      </c>
      <c r="F326" s="19">
        <v>134683</v>
      </c>
      <c r="G326" s="19">
        <v>134683</v>
      </c>
      <c r="H326" s="19">
        <v>91715</v>
      </c>
      <c r="I326" s="25" t="s">
        <v>156</v>
      </c>
      <c r="J326" s="27">
        <f>C326-D326</f>
        <v>0</v>
      </c>
      <c r="K326" s="27">
        <f>C326-E326</f>
        <v>0</v>
      </c>
    </row>
    <row r="327" spans="1:11" ht="29.25" thickBot="1" x14ac:dyDescent="0.3">
      <c r="A327" s="21" t="s">
        <v>157</v>
      </c>
      <c r="B327" s="19">
        <v>10763553</v>
      </c>
      <c r="C327" s="20">
        <v>0</v>
      </c>
      <c r="D327" s="20">
        <v>0</v>
      </c>
      <c r="E327" s="20">
        <v>0</v>
      </c>
      <c r="F327" s="20">
        <v>0</v>
      </c>
      <c r="G327" s="20">
        <v>0</v>
      </c>
      <c r="H327" s="20">
        <v>0</v>
      </c>
      <c r="I327" s="25" t="s">
        <v>25</v>
      </c>
      <c r="J327" s="27">
        <f>C327-D327</f>
        <v>0</v>
      </c>
      <c r="K327" s="27">
        <f>C327-E327</f>
        <v>0</v>
      </c>
    </row>
    <row r="328" spans="1:11" ht="29.25" thickBot="1" x14ac:dyDescent="0.3">
      <c r="A328" s="21" t="s">
        <v>171</v>
      </c>
      <c r="B328" s="20">
        <v>0</v>
      </c>
      <c r="C328" s="19">
        <v>28752</v>
      </c>
      <c r="D328" s="19">
        <v>28752</v>
      </c>
      <c r="E328" s="19">
        <v>28752</v>
      </c>
      <c r="F328" s="19">
        <v>28752</v>
      </c>
      <c r="G328" s="19">
        <v>28752</v>
      </c>
      <c r="H328" s="19">
        <v>28752</v>
      </c>
      <c r="I328" s="25" t="s">
        <v>172</v>
      </c>
      <c r="J328" s="27">
        <f>C328-D328</f>
        <v>0</v>
      </c>
      <c r="K328" s="27">
        <f>C328-E328</f>
        <v>0</v>
      </c>
    </row>
    <row r="329" spans="1:11" ht="29.25" thickBot="1" x14ac:dyDescent="0.3">
      <c r="A329" s="21" t="s">
        <v>173</v>
      </c>
      <c r="B329" s="19">
        <v>800000</v>
      </c>
      <c r="C329" s="20">
        <v>0</v>
      </c>
      <c r="D329" s="20">
        <v>0</v>
      </c>
      <c r="E329" s="20">
        <v>0</v>
      </c>
      <c r="F329" s="20">
        <v>0</v>
      </c>
      <c r="G329" s="20">
        <v>0</v>
      </c>
      <c r="H329" s="20">
        <v>0</v>
      </c>
      <c r="I329" s="25" t="s">
        <v>25</v>
      </c>
      <c r="J329" s="27">
        <f>C329-D329</f>
        <v>0</v>
      </c>
      <c r="K329" s="27">
        <f>C329-E329</f>
        <v>0</v>
      </c>
    </row>
    <row r="330" spans="1:11" ht="29.25" thickBot="1" x14ac:dyDescent="0.3">
      <c r="A330" s="21" t="s">
        <v>174</v>
      </c>
      <c r="B330" s="19">
        <v>4000000</v>
      </c>
      <c r="C330" s="19">
        <v>3978899</v>
      </c>
      <c r="D330" s="19">
        <v>3978899</v>
      </c>
      <c r="E330" s="19">
        <v>3978899</v>
      </c>
      <c r="F330" s="20">
        <v>0</v>
      </c>
      <c r="G330" s="20">
        <v>0</v>
      </c>
      <c r="H330" s="20">
        <v>0</v>
      </c>
      <c r="I330" s="25" t="s">
        <v>25</v>
      </c>
      <c r="J330" s="27">
        <f>C330-D330</f>
        <v>0</v>
      </c>
      <c r="K330" s="27">
        <f>C330-E330</f>
        <v>0</v>
      </c>
    </row>
    <row r="331" spans="1:11" ht="29.25" thickBot="1" x14ac:dyDescent="0.3">
      <c r="A331" s="21" t="s">
        <v>177</v>
      </c>
      <c r="B331" s="19">
        <v>12571000</v>
      </c>
      <c r="C331" s="20">
        <v>0</v>
      </c>
      <c r="D331" s="20">
        <v>0</v>
      </c>
      <c r="E331" s="20">
        <v>0</v>
      </c>
      <c r="F331" s="20">
        <v>0</v>
      </c>
      <c r="G331" s="20">
        <v>0</v>
      </c>
      <c r="H331" s="20">
        <v>0</v>
      </c>
      <c r="I331" s="25" t="s">
        <v>25</v>
      </c>
      <c r="J331" s="27">
        <f>C331-D331</f>
        <v>0</v>
      </c>
      <c r="K331" s="27">
        <f>C331-E331</f>
        <v>0</v>
      </c>
    </row>
    <row r="332" spans="1:11" ht="29.25" thickBot="1" x14ac:dyDescent="0.3">
      <c r="A332" s="21" t="s">
        <v>184</v>
      </c>
      <c r="B332" s="19">
        <v>250000</v>
      </c>
      <c r="C332" s="20">
        <v>0</v>
      </c>
      <c r="D332" s="20">
        <v>0</v>
      </c>
      <c r="E332" s="20">
        <v>0</v>
      </c>
      <c r="F332" s="20">
        <v>0</v>
      </c>
      <c r="G332" s="20">
        <v>0</v>
      </c>
      <c r="H332" s="20">
        <v>0</v>
      </c>
      <c r="I332" s="25" t="s">
        <v>25</v>
      </c>
      <c r="J332" s="27">
        <f>C332-D332</f>
        <v>0</v>
      </c>
      <c r="K332" s="27">
        <f>C332-E332</f>
        <v>0</v>
      </c>
    </row>
    <row r="333" spans="1:11" ht="29.25" thickBot="1" x14ac:dyDescent="0.3">
      <c r="A333" s="21" t="s">
        <v>187</v>
      </c>
      <c r="B333" s="19">
        <v>2800000</v>
      </c>
      <c r="C333" s="20">
        <v>0</v>
      </c>
      <c r="D333" s="20">
        <v>0</v>
      </c>
      <c r="E333" s="20">
        <v>0</v>
      </c>
      <c r="F333" s="20">
        <v>0</v>
      </c>
      <c r="G333" s="20">
        <v>0</v>
      </c>
      <c r="H333" s="20">
        <v>0</v>
      </c>
      <c r="I333" s="25" t="s">
        <v>25</v>
      </c>
      <c r="J333" s="27">
        <f>C333-D333</f>
        <v>0</v>
      </c>
      <c r="K333" s="27">
        <f>C333-E333</f>
        <v>0</v>
      </c>
    </row>
    <row r="334" spans="1:11" ht="29.25" thickBot="1" x14ac:dyDescent="0.3">
      <c r="A334" s="21" t="s">
        <v>194</v>
      </c>
      <c r="B334" s="19">
        <v>675842</v>
      </c>
      <c r="C334" s="20">
        <v>0</v>
      </c>
      <c r="D334" s="20">
        <v>0</v>
      </c>
      <c r="E334" s="20">
        <v>0</v>
      </c>
      <c r="F334" s="20">
        <v>0</v>
      </c>
      <c r="G334" s="20">
        <v>0</v>
      </c>
      <c r="H334" s="20">
        <v>0</v>
      </c>
      <c r="I334" s="25" t="s">
        <v>25</v>
      </c>
      <c r="J334" s="27">
        <f>C334-D334</f>
        <v>0</v>
      </c>
      <c r="K334" s="27">
        <f>C334-E334</f>
        <v>0</v>
      </c>
    </row>
    <row r="335" spans="1:11" ht="29.25" thickBot="1" x14ac:dyDescent="0.3">
      <c r="A335" s="21" t="s">
        <v>201</v>
      </c>
      <c r="B335" s="19">
        <v>276105</v>
      </c>
      <c r="C335" s="20">
        <v>0</v>
      </c>
      <c r="D335" s="20">
        <v>0</v>
      </c>
      <c r="E335" s="20">
        <v>0</v>
      </c>
      <c r="F335" s="20">
        <v>0</v>
      </c>
      <c r="G335" s="20">
        <v>0</v>
      </c>
      <c r="H335" s="20">
        <v>0</v>
      </c>
      <c r="I335" s="25" t="s">
        <v>25</v>
      </c>
      <c r="J335" s="27">
        <f>C335-D335</f>
        <v>0</v>
      </c>
      <c r="K335" s="27">
        <f>C335-E335</f>
        <v>0</v>
      </c>
    </row>
    <row r="336" spans="1:11" ht="29.25" thickBot="1" x14ac:dyDescent="0.3">
      <c r="A336" s="21" t="s">
        <v>218</v>
      </c>
      <c r="B336" s="19">
        <v>1000000</v>
      </c>
      <c r="C336" s="20">
        <v>0</v>
      </c>
      <c r="D336" s="20">
        <v>0</v>
      </c>
      <c r="E336" s="20">
        <v>0</v>
      </c>
      <c r="F336" s="20">
        <v>0</v>
      </c>
      <c r="G336" s="20">
        <v>0</v>
      </c>
      <c r="H336" s="20">
        <v>0</v>
      </c>
      <c r="I336" s="25" t="s">
        <v>25</v>
      </c>
      <c r="J336" s="27">
        <f>C336-D336</f>
        <v>0</v>
      </c>
      <c r="K336" s="27">
        <f>C336-E336</f>
        <v>0</v>
      </c>
    </row>
    <row r="337" spans="1:11" ht="29.25" thickBot="1" x14ac:dyDescent="0.3">
      <c r="A337" s="21" t="s">
        <v>234</v>
      </c>
      <c r="B337" s="19">
        <v>500000</v>
      </c>
      <c r="C337" s="20">
        <v>0</v>
      </c>
      <c r="D337" s="20">
        <v>0</v>
      </c>
      <c r="E337" s="20">
        <v>0</v>
      </c>
      <c r="F337" s="20">
        <v>0</v>
      </c>
      <c r="G337" s="20">
        <v>0</v>
      </c>
      <c r="H337" s="20">
        <v>0</v>
      </c>
      <c r="I337" s="25" t="s">
        <v>25</v>
      </c>
      <c r="J337" s="27">
        <f>C337-D337</f>
        <v>0</v>
      </c>
      <c r="K337" s="27">
        <f>C337-E337</f>
        <v>0</v>
      </c>
    </row>
    <row r="338" spans="1:11" ht="29.25" thickBot="1" x14ac:dyDescent="0.3">
      <c r="A338" s="21" t="s">
        <v>240</v>
      </c>
      <c r="B338" s="20">
        <v>0</v>
      </c>
      <c r="C338" s="19">
        <v>13758</v>
      </c>
      <c r="D338" s="19">
        <v>13758</v>
      </c>
      <c r="E338" s="19">
        <v>13758</v>
      </c>
      <c r="F338" s="19">
        <v>13213</v>
      </c>
      <c r="G338" s="19">
        <v>13213</v>
      </c>
      <c r="H338" s="19">
        <v>13213</v>
      </c>
      <c r="I338" s="25" t="s">
        <v>241</v>
      </c>
      <c r="J338" s="27">
        <f>C338-D338</f>
        <v>0</v>
      </c>
      <c r="K338" s="27">
        <f>C338-E338</f>
        <v>0</v>
      </c>
    </row>
    <row r="339" spans="1:11" ht="29.25" thickBot="1" x14ac:dyDescent="0.3">
      <c r="A339" s="21" t="s">
        <v>246</v>
      </c>
      <c r="B339" s="19">
        <v>500000</v>
      </c>
      <c r="C339" s="20">
        <v>0</v>
      </c>
      <c r="D339" s="20">
        <v>0</v>
      </c>
      <c r="E339" s="20">
        <v>0</v>
      </c>
      <c r="F339" s="20">
        <v>0</v>
      </c>
      <c r="G339" s="20">
        <v>0</v>
      </c>
      <c r="H339" s="20">
        <v>0</v>
      </c>
      <c r="I339" s="25" t="s">
        <v>25</v>
      </c>
      <c r="J339" s="27">
        <f>C339-D339</f>
        <v>0</v>
      </c>
      <c r="K339" s="27">
        <f>C339-E339</f>
        <v>0</v>
      </c>
    </row>
    <row r="340" spans="1:11" ht="29.25" thickBot="1" x14ac:dyDescent="0.3">
      <c r="A340" s="21" t="s">
        <v>254</v>
      </c>
      <c r="B340" s="19">
        <v>1315000</v>
      </c>
      <c r="C340" s="20">
        <v>0</v>
      </c>
      <c r="D340" s="20">
        <v>0</v>
      </c>
      <c r="E340" s="20">
        <v>0</v>
      </c>
      <c r="F340" s="20">
        <v>0</v>
      </c>
      <c r="G340" s="20">
        <v>0</v>
      </c>
      <c r="H340" s="20">
        <v>0</v>
      </c>
      <c r="I340" s="25" t="s">
        <v>25</v>
      </c>
      <c r="J340" s="27">
        <f>C340-D340</f>
        <v>0</v>
      </c>
      <c r="K340" s="27">
        <f>C340-E340</f>
        <v>0</v>
      </c>
    </row>
    <row r="341" spans="1:11" ht="29.25" thickBot="1" x14ac:dyDescent="0.3">
      <c r="A341" s="21" t="s">
        <v>255</v>
      </c>
      <c r="B341" s="19">
        <v>89896</v>
      </c>
      <c r="C341" s="20">
        <v>0</v>
      </c>
      <c r="D341" s="20">
        <v>0</v>
      </c>
      <c r="E341" s="20">
        <v>0</v>
      </c>
      <c r="F341" s="20">
        <v>0</v>
      </c>
      <c r="G341" s="20">
        <v>0</v>
      </c>
      <c r="H341" s="20">
        <v>0</v>
      </c>
      <c r="I341" s="25" t="s">
        <v>25</v>
      </c>
      <c r="J341" s="27">
        <f>C341-D341</f>
        <v>0</v>
      </c>
      <c r="K341" s="27">
        <f>C341-E341</f>
        <v>0</v>
      </c>
    </row>
    <row r="342" spans="1:11" ht="29.25" thickBot="1" x14ac:dyDescent="0.3">
      <c r="A342" s="21" t="s">
        <v>256</v>
      </c>
      <c r="B342" s="19">
        <v>800000</v>
      </c>
      <c r="C342" s="20">
        <v>0</v>
      </c>
      <c r="D342" s="20">
        <v>0</v>
      </c>
      <c r="E342" s="20">
        <v>0</v>
      </c>
      <c r="F342" s="20">
        <v>0</v>
      </c>
      <c r="G342" s="20">
        <v>0</v>
      </c>
      <c r="H342" s="20">
        <v>0</v>
      </c>
      <c r="I342" s="25" t="s">
        <v>25</v>
      </c>
      <c r="J342" s="27">
        <f>C342-D342</f>
        <v>0</v>
      </c>
      <c r="K342" s="27">
        <f>C342-E342</f>
        <v>0</v>
      </c>
    </row>
    <row r="343" spans="1:11" ht="29.25" thickBot="1" x14ac:dyDescent="0.3">
      <c r="A343" s="21" t="s">
        <v>264</v>
      </c>
      <c r="B343" s="19">
        <v>200000</v>
      </c>
      <c r="C343" s="20">
        <v>0</v>
      </c>
      <c r="D343" s="20">
        <v>0</v>
      </c>
      <c r="E343" s="20">
        <v>0</v>
      </c>
      <c r="F343" s="20">
        <v>0</v>
      </c>
      <c r="G343" s="20">
        <v>0</v>
      </c>
      <c r="H343" s="20">
        <v>0</v>
      </c>
      <c r="I343" s="25" t="s">
        <v>25</v>
      </c>
      <c r="J343" s="27">
        <f>C343-D343</f>
        <v>0</v>
      </c>
      <c r="K343" s="27">
        <f>C343-E343</f>
        <v>0</v>
      </c>
    </row>
    <row r="344" spans="1:11" ht="29.25" thickBot="1" x14ac:dyDescent="0.3">
      <c r="A344" s="21" t="s">
        <v>269</v>
      </c>
      <c r="B344" s="19">
        <v>40062</v>
      </c>
      <c r="C344" s="19">
        <v>20600</v>
      </c>
      <c r="D344" s="19">
        <v>20600</v>
      </c>
      <c r="E344" s="19">
        <v>20600</v>
      </c>
      <c r="F344" s="19">
        <v>17784</v>
      </c>
      <c r="G344" s="19">
        <v>17784</v>
      </c>
      <c r="H344" s="19">
        <v>17784</v>
      </c>
      <c r="I344" s="25" t="s">
        <v>270</v>
      </c>
      <c r="J344" s="27">
        <f>C344-D344</f>
        <v>0</v>
      </c>
      <c r="K344" s="27">
        <f>C344-E344</f>
        <v>0</v>
      </c>
    </row>
    <row r="345" spans="1:11" ht="29.25" thickBot="1" x14ac:dyDescent="0.3">
      <c r="A345" s="21" t="s">
        <v>281</v>
      </c>
      <c r="B345" s="19">
        <v>100000</v>
      </c>
      <c r="C345" s="19">
        <v>100000</v>
      </c>
      <c r="D345" s="19">
        <v>100000</v>
      </c>
      <c r="E345" s="19">
        <v>100000</v>
      </c>
      <c r="F345" s="19">
        <v>85263</v>
      </c>
      <c r="G345" s="19">
        <v>85263</v>
      </c>
      <c r="H345" s="19">
        <v>85263</v>
      </c>
      <c r="I345" s="25" t="s">
        <v>282</v>
      </c>
      <c r="J345" s="27">
        <f>C345-D345</f>
        <v>0</v>
      </c>
      <c r="K345" s="27">
        <f>C345-E345</f>
        <v>0</v>
      </c>
    </row>
    <row r="346" spans="1:11" ht="15.75" thickBot="1" x14ac:dyDescent="0.3">
      <c r="A346" s="21" t="s">
        <v>283</v>
      </c>
      <c r="B346" s="19">
        <v>100000</v>
      </c>
      <c r="C346" s="20">
        <v>0</v>
      </c>
      <c r="D346" s="20">
        <v>0</v>
      </c>
      <c r="E346" s="20">
        <v>0</v>
      </c>
      <c r="F346" s="20">
        <v>0</v>
      </c>
      <c r="G346" s="20">
        <v>0</v>
      </c>
      <c r="H346" s="20">
        <v>0</v>
      </c>
      <c r="I346" s="25" t="s">
        <v>25</v>
      </c>
      <c r="J346" s="27">
        <f>C346-D346</f>
        <v>0</v>
      </c>
      <c r="K346" s="27">
        <f>C346-E346</f>
        <v>0</v>
      </c>
    </row>
    <row r="347" spans="1:11" ht="29.25" thickBot="1" x14ac:dyDescent="0.3">
      <c r="A347" s="21" t="s">
        <v>291</v>
      </c>
      <c r="B347" s="19">
        <v>3860273</v>
      </c>
      <c r="C347" s="19">
        <v>58259</v>
      </c>
      <c r="D347" s="19">
        <v>58259</v>
      </c>
      <c r="E347" s="19">
        <v>58259</v>
      </c>
      <c r="F347" s="19">
        <v>50730</v>
      </c>
      <c r="G347" s="19">
        <v>50730</v>
      </c>
      <c r="H347" s="19">
        <v>50730</v>
      </c>
      <c r="I347" s="25" t="s">
        <v>292</v>
      </c>
      <c r="J347" s="27">
        <f>C347-D347</f>
        <v>0</v>
      </c>
      <c r="K347" s="27">
        <f>C347-E347</f>
        <v>0</v>
      </c>
    </row>
    <row r="348" spans="1:11" ht="29.25" thickBot="1" x14ac:dyDescent="0.3">
      <c r="A348" s="21" t="s">
        <v>295</v>
      </c>
      <c r="B348" s="19">
        <v>800000</v>
      </c>
      <c r="C348" s="20">
        <v>0</v>
      </c>
      <c r="D348" s="20">
        <v>0</v>
      </c>
      <c r="E348" s="20">
        <v>0</v>
      </c>
      <c r="F348" s="20">
        <v>0</v>
      </c>
      <c r="G348" s="20">
        <v>0</v>
      </c>
      <c r="H348" s="20">
        <v>0</v>
      </c>
      <c r="I348" s="25" t="s">
        <v>25</v>
      </c>
      <c r="J348" s="27">
        <f>C348-D348</f>
        <v>0</v>
      </c>
      <c r="K348" s="27">
        <f>C348-E348</f>
        <v>0</v>
      </c>
    </row>
    <row r="349" spans="1:11" ht="29.25" thickBot="1" x14ac:dyDescent="0.3">
      <c r="A349" s="21" t="s">
        <v>303</v>
      </c>
      <c r="B349" s="19">
        <v>200000</v>
      </c>
      <c r="C349" s="19">
        <v>154665</v>
      </c>
      <c r="D349" s="19">
        <v>154665</v>
      </c>
      <c r="E349" s="19">
        <v>154665</v>
      </c>
      <c r="F349" s="19">
        <v>154067</v>
      </c>
      <c r="G349" s="19">
        <v>154067</v>
      </c>
      <c r="H349" s="19">
        <v>154067</v>
      </c>
      <c r="I349" s="25" t="s">
        <v>304</v>
      </c>
      <c r="J349" s="27">
        <f>C349-D349</f>
        <v>0</v>
      </c>
      <c r="K349" s="27">
        <f>C349-E349</f>
        <v>0</v>
      </c>
    </row>
    <row r="350" spans="1:11" ht="15.75" thickBot="1" x14ac:dyDescent="0.3">
      <c r="A350" s="21" t="s">
        <v>315</v>
      </c>
      <c r="B350" s="19">
        <v>100000</v>
      </c>
      <c r="C350" s="20">
        <v>0</v>
      </c>
      <c r="D350" s="20">
        <v>0</v>
      </c>
      <c r="E350" s="20">
        <v>0</v>
      </c>
      <c r="F350" s="20">
        <v>0</v>
      </c>
      <c r="G350" s="20">
        <v>0</v>
      </c>
      <c r="H350" s="20">
        <v>0</v>
      </c>
      <c r="I350" s="25" t="s">
        <v>25</v>
      </c>
      <c r="J350" s="27">
        <f>C350-D350</f>
        <v>0</v>
      </c>
      <c r="K350" s="27">
        <f>C350-E350</f>
        <v>0</v>
      </c>
    </row>
    <row r="351" spans="1:11" ht="29.25" thickBot="1" x14ac:dyDescent="0.3">
      <c r="A351" s="21" t="s">
        <v>327</v>
      </c>
      <c r="B351" s="19">
        <v>200000</v>
      </c>
      <c r="C351" s="20">
        <v>0</v>
      </c>
      <c r="D351" s="20">
        <v>0</v>
      </c>
      <c r="E351" s="20">
        <v>0</v>
      </c>
      <c r="F351" s="20">
        <v>0</v>
      </c>
      <c r="G351" s="20">
        <v>0</v>
      </c>
      <c r="H351" s="20">
        <v>0</v>
      </c>
      <c r="I351" s="25" t="s">
        <v>25</v>
      </c>
      <c r="J351" s="27">
        <f>C351-D351</f>
        <v>0</v>
      </c>
      <c r="K351" s="27">
        <f>C351-E351</f>
        <v>0</v>
      </c>
    </row>
    <row r="352" spans="1:11" ht="29.25" thickBot="1" x14ac:dyDescent="0.3">
      <c r="A352" s="21" t="s">
        <v>338</v>
      </c>
      <c r="B352" s="19">
        <v>50000</v>
      </c>
      <c r="C352" s="20">
        <v>0</v>
      </c>
      <c r="D352" s="20">
        <v>0</v>
      </c>
      <c r="E352" s="20">
        <v>0</v>
      </c>
      <c r="F352" s="20">
        <v>0</v>
      </c>
      <c r="G352" s="20">
        <v>0</v>
      </c>
      <c r="H352" s="20">
        <v>0</v>
      </c>
      <c r="I352" s="25" t="s">
        <v>25</v>
      </c>
      <c r="J352" s="27">
        <f>C352-D352</f>
        <v>0</v>
      </c>
      <c r="K352" s="27">
        <f>C352-E352</f>
        <v>0</v>
      </c>
    </row>
    <row r="353" spans="1:11" ht="29.25" thickBot="1" x14ac:dyDescent="0.3">
      <c r="A353" s="21" t="s">
        <v>345</v>
      </c>
      <c r="B353" s="19">
        <v>2805112</v>
      </c>
      <c r="C353" s="19">
        <v>178134</v>
      </c>
      <c r="D353" s="19">
        <v>178134</v>
      </c>
      <c r="E353" s="19">
        <v>178134</v>
      </c>
      <c r="F353" s="19">
        <v>128619</v>
      </c>
      <c r="G353" s="19">
        <v>122424</v>
      </c>
      <c r="H353" s="19">
        <v>122424</v>
      </c>
      <c r="I353" s="25" t="s">
        <v>346</v>
      </c>
      <c r="J353" s="27">
        <f>C353-D353</f>
        <v>0</v>
      </c>
      <c r="K353" s="27">
        <f>C353-E353</f>
        <v>0</v>
      </c>
    </row>
    <row r="354" spans="1:11" ht="15.75" thickBot="1" x14ac:dyDescent="0.3">
      <c r="A354" s="21" t="s">
        <v>364</v>
      </c>
      <c r="B354" s="19">
        <v>100000</v>
      </c>
      <c r="C354" s="20">
        <v>0</v>
      </c>
      <c r="D354" s="20">
        <v>0</v>
      </c>
      <c r="E354" s="20">
        <v>0</v>
      </c>
      <c r="F354" s="20">
        <v>0</v>
      </c>
      <c r="G354" s="20">
        <v>0</v>
      </c>
      <c r="H354" s="20">
        <v>0</v>
      </c>
      <c r="I354" s="25" t="s">
        <v>25</v>
      </c>
      <c r="J354" s="27">
        <f>C354-D354</f>
        <v>0</v>
      </c>
      <c r="K354" s="27">
        <f>C354-E354</f>
        <v>0</v>
      </c>
    </row>
    <row r="355" spans="1:11" ht="29.25" thickBot="1" x14ac:dyDescent="0.3">
      <c r="A355" s="21" t="s">
        <v>368</v>
      </c>
      <c r="B355" s="19">
        <v>100000</v>
      </c>
      <c r="C355" s="20">
        <v>0</v>
      </c>
      <c r="D355" s="20">
        <v>0</v>
      </c>
      <c r="E355" s="20">
        <v>0</v>
      </c>
      <c r="F355" s="20">
        <v>0</v>
      </c>
      <c r="G355" s="20">
        <v>0</v>
      </c>
      <c r="H355" s="20">
        <v>0</v>
      </c>
      <c r="I355" s="25" t="s">
        <v>25</v>
      </c>
      <c r="J355" s="27">
        <f>C355-D355</f>
        <v>0</v>
      </c>
      <c r="K355" s="27">
        <f>C355-E355</f>
        <v>0</v>
      </c>
    </row>
    <row r="356" spans="1:11" ht="15.75" thickBot="1" x14ac:dyDescent="0.3">
      <c r="A356" s="21" t="s">
        <v>395</v>
      </c>
      <c r="B356" s="19">
        <v>50000</v>
      </c>
      <c r="C356" s="19">
        <v>50000</v>
      </c>
      <c r="D356" s="19">
        <v>50000</v>
      </c>
      <c r="E356" s="19">
        <v>50000</v>
      </c>
      <c r="F356" s="19">
        <v>47929</v>
      </c>
      <c r="G356" s="19">
        <v>47929</v>
      </c>
      <c r="H356" s="19">
        <v>44627</v>
      </c>
      <c r="I356" s="25" t="s">
        <v>396</v>
      </c>
      <c r="J356" s="27">
        <f>C356-D356</f>
        <v>0</v>
      </c>
      <c r="K356" s="27">
        <f>C356-E356</f>
        <v>0</v>
      </c>
    </row>
    <row r="357" spans="1:11" ht="15.75" thickBot="1" x14ac:dyDescent="0.3">
      <c r="A357" s="21" t="s">
        <v>397</v>
      </c>
      <c r="B357" s="19">
        <v>50000</v>
      </c>
      <c r="C357" s="20">
        <v>0</v>
      </c>
      <c r="D357" s="20">
        <v>0</v>
      </c>
      <c r="E357" s="20">
        <v>0</v>
      </c>
      <c r="F357" s="20">
        <v>0</v>
      </c>
      <c r="G357" s="20">
        <v>0</v>
      </c>
      <c r="H357" s="20">
        <v>0</v>
      </c>
      <c r="I357" s="25" t="s">
        <v>25</v>
      </c>
      <c r="J357" s="27">
        <f>C357-D357</f>
        <v>0</v>
      </c>
      <c r="K357" s="27">
        <f>C357-E357</f>
        <v>0</v>
      </c>
    </row>
    <row r="358" spans="1:11" ht="15.75" thickBot="1" x14ac:dyDescent="0.3">
      <c r="A358" s="21" t="s">
        <v>400</v>
      </c>
      <c r="B358" s="19">
        <v>50000</v>
      </c>
      <c r="C358" s="20">
        <v>0</v>
      </c>
      <c r="D358" s="20">
        <v>0</v>
      </c>
      <c r="E358" s="20">
        <v>0</v>
      </c>
      <c r="F358" s="20">
        <v>0</v>
      </c>
      <c r="G358" s="20">
        <v>0</v>
      </c>
      <c r="H358" s="20">
        <v>0</v>
      </c>
      <c r="I358" s="25" t="s">
        <v>25</v>
      </c>
      <c r="J358" s="27">
        <f>C358-D358</f>
        <v>0</v>
      </c>
      <c r="K358" s="27">
        <f>C358-E358</f>
        <v>0</v>
      </c>
    </row>
    <row r="359" spans="1:11" ht="15.75" thickBot="1" x14ac:dyDescent="0.3">
      <c r="A359" s="21" t="s">
        <v>404</v>
      </c>
      <c r="B359" s="19">
        <v>50000</v>
      </c>
      <c r="C359" s="19">
        <v>50000</v>
      </c>
      <c r="D359" s="19">
        <v>50000</v>
      </c>
      <c r="E359" s="19">
        <v>50000</v>
      </c>
      <c r="F359" s="19">
        <v>48542</v>
      </c>
      <c r="G359" s="19">
        <v>48542</v>
      </c>
      <c r="H359" s="19">
        <v>48542</v>
      </c>
      <c r="I359" s="25" t="s">
        <v>405</v>
      </c>
      <c r="J359" s="27">
        <f>C359-D359</f>
        <v>0</v>
      </c>
      <c r="K359" s="27">
        <f>C359-E359</f>
        <v>0</v>
      </c>
    </row>
    <row r="360" spans="1:11" ht="15.75" thickBot="1" x14ac:dyDescent="0.3">
      <c r="A360" s="21" t="s">
        <v>408</v>
      </c>
      <c r="B360" s="19">
        <v>50000</v>
      </c>
      <c r="C360" s="20">
        <v>0</v>
      </c>
      <c r="D360" s="20">
        <v>0</v>
      </c>
      <c r="E360" s="20">
        <v>0</v>
      </c>
      <c r="F360" s="20">
        <v>0</v>
      </c>
      <c r="G360" s="20">
        <v>0</v>
      </c>
      <c r="H360" s="20">
        <v>0</v>
      </c>
      <c r="I360" s="25" t="s">
        <v>25</v>
      </c>
      <c r="J360" s="27">
        <f>C360-D360</f>
        <v>0</v>
      </c>
      <c r="K360" s="27">
        <f>C360-E360</f>
        <v>0</v>
      </c>
    </row>
    <row r="361" spans="1:11" ht="15.75" thickBot="1" x14ac:dyDescent="0.3">
      <c r="A361" s="21" t="s">
        <v>409</v>
      </c>
      <c r="B361" s="19">
        <v>50000</v>
      </c>
      <c r="C361" s="20">
        <v>0</v>
      </c>
      <c r="D361" s="20">
        <v>0</v>
      </c>
      <c r="E361" s="20">
        <v>0</v>
      </c>
      <c r="F361" s="20">
        <v>0</v>
      </c>
      <c r="G361" s="20">
        <v>0</v>
      </c>
      <c r="H361" s="20">
        <v>0</v>
      </c>
      <c r="I361" s="25" t="s">
        <v>25</v>
      </c>
      <c r="J361" s="27">
        <f>C361-D361</f>
        <v>0</v>
      </c>
      <c r="K361" s="27">
        <f>C361-E361</f>
        <v>0</v>
      </c>
    </row>
    <row r="362" spans="1:11" ht="15.75" thickBot="1" x14ac:dyDescent="0.3">
      <c r="A362" s="21" t="s">
        <v>413</v>
      </c>
      <c r="B362" s="19">
        <v>50000</v>
      </c>
      <c r="C362" s="20">
        <v>0</v>
      </c>
      <c r="D362" s="20">
        <v>0</v>
      </c>
      <c r="E362" s="20">
        <v>0</v>
      </c>
      <c r="F362" s="20">
        <v>0</v>
      </c>
      <c r="G362" s="20">
        <v>0</v>
      </c>
      <c r="H362" s="20">
        <v>0</v>
      </c>
      <c r="I362" s="25" t="s">
        <v>25</v>
      </c>
      <c r="J362" s="27">
        <f>C362-D362</f>
        <v>0</v>
      </c>
      <c r="K362" s="27">
        <f>C362-E362</f>
        <v>0</v>
      </c>
    </row>
    <row r="363" spans="1:11" ht="15.75" thickBot="1" x14ac:dyDescent="0.3">
      <c r="A363" s="21" t="s">
        <v>423</v>
      </c>
      <c r="B363" s="19">
        <v>100000</v>
      </c>
      <c r="C363" s="20">
        <v>0</v>
      </c>
      <c r="D363" s="20">
        <v>0</v>
      </c>
      <c r="E363" s="20">
        <v>0</v>
      </c>
      <c r="F363" s="20">
        <v>0</v>
      </c>
      <c r="G363" s="20">
        <v>0</v>
      </c>
      <c r="H363" s="20">
        <v>0</v>
      </c>
      <c r="I363" s="25" t="s">
        <v>25</v>
      </c>
      <c r="J363" s="27">
        <f>C363-D363</f>
        <v>0</v>
      </c>
      <c r="K363" s="27">
        <f>C363-E363</f>
        <v>0</v>
      </c>
    </row>
    <row r="364" spans="1:11" ht="29.25" thickBot="1" x14ac:dyDescent="0.3">
      <c r="A364" s="21" t="s">
        <v>426</v>
      </c>
      <c r="B364" s="19">
        <v>100000</v>
      </c>
      <c r="C364" s="20">
        <v>0</v>
      </c>
      <c r="D364" s="20">
        <v>0</v>
      </c>
      <c r="E364" s="20">
        <v>0</v>
      </c>
      <c r="F364" s="20">
        <v>0</v>
      </c>
      <c r="G364" s="20">
        <v>0</v>
      </c>
      <c r="H364" s="20">
        <v>0</v>
      </c>
      <c r="I364" s="25" t="s">
        <v>25</v>
      </c>
      <c r="J364" s="27">
        <f>C364-D364</f>
        <v>0</v>
      </c>
      <c r="K364" s="27">
        <f>C364-E364</f>
        <v>0</v>
      </c>
    </row>
    <row r="365" spans="1:11" ht="15.75" thickBot="1" x14ac:dyDescent="0.3">
      <c r="A365" s="21" t="s">
        <v>427</v>
      </c>
      <c r="B365" s="19">
        <v>50000</v>
      </c>
      <c r="C365" s="20">
        <v>0</v>
      </c>
      <c r="D365" s="20">
        <v>0</v>
      </c>
      <c r="E365" s="20">
        <v>0</v>
      </c>
      <c r="F365" s="20">
        <v>0</v>
      </c>
      <c r="G365" s="20">
        <v>0</v>
      </c>
      <c r="H365" s="20">
        <v>0</v>
      </c>
      <c r="I365" s="25" t="s">
        <v>25</v>
      </c>
      <c r="J365" s="27">
        <f>C365-D365</f>
        <v>0</v>
      </c>
      <c r="K365" s="27">
        <f>C365-E365</f>
        <v>0</v>
      </c>
    </row>
    <row r="366" spans="1:11" ht="15.75" thickBot="1" x14ac:dyDescent="0.3">
      <c r="A366" s="21" t="s">
        <v>432</v>
      </c>
      <c r="B366" s="20">
        <v>0</v>
      </c>
      <c r="C366" s="19">
        <v>129991</v>
      </c>
      <c r="D366" s="19">
        <v>129991</v>
      </c>
      <c r="E366" s="19">
        <v>129991</v>
      </c>
      <c r="F366" s="19">
        <v>129329</v>
      </c>
      <c r="G366" s="19">
        <v>129329</v>
      </c>
      <c r="H366" s="19">
        <v>129329</v>
      </c>
      <c r="I366" s="25" t="s">
        <v>301</v>
      </c>
      <c r="J366" s="27">
        <f>C366-D366</f>
        <v>0</v>
      </c>
      <c r="K366" s="27">
        <f>C366-E366</f>
        <v>0</v>
      </c>
    </row>
    <row r="367" spans="1:11" ht="29.25" thickBot="1" x14ac:dyDescent="0.3">
      <c r="A367" s="21" t="s">
        <v>438</v>
      </c>
      <c r="B367" s="20">
        <v>0</v>
      </c>
      <c r="C367" s="19">
        <v>200000</v>
      </c>
      <c r="D367" s="19">
        <v>200000</v>
      </c>
      <c r="E367" s="19">
        <v>200000</v>
      </c>
      <c r="F367" s="20">
        <v>0</v>
      </c>
      <c r="G367" s="20">
        <v>0</v>
      </c>
      <c r="H367" s="20">
        <v>0</v>
      </c>
      <c r="I367" s="25" t="s">
        <v>25</v>
      </c>
      <c r="J367" s="27">
        <f>C367-D367</f>
        <v>0</v>
      </c>
      <c r="K367" s="27">
        <f>C367-E367</f>
        <v>0</v>
      </c>
    </row>
    <row r="368" spans="1:11" ht="15.75" thickBot="1" x14ac:dyDescent="0.3">
      <c r="A368" s="21" t="s">
        <v>439</v>
      </c>
      <c r="B368" s="19">
        <v>50000</v>
      </c>
      <c r="C368" s="19">
        <v>106670</v>
      </c>
      <c r="D368" s="19">
        <v>106670</v>
      </c>
      <c r="E368" s="19">
        <v>106670</v>
      </c>
      <c r="F368" s="19">
        <v>96622</v>
      </c>
      <c r="G368" s="19">
        <v>96622</v>
      </c>
      <c r="H368" s="19">
        <v>96622</v>
      </c>
      <c r="I368" s="25" t="s">
        <v>440</v>
      </c>
      <c r="J368" s="27">
        <f>C368-D368</f>
        <v>0</v>
      </c>
      <c r="K368" s="27">
        <f>C368-E368</f>
        <v>0</v>
      </c>
    </row>
    <row r="369" spans="1:11" ht="15.75" thickBot="1" x14ac:dyDescent="0.3">
      <c r="A369" s="21" t="s">
        <v>457</v>
      </c>
      <c r="B369" s="19">
        <v>50000</v>
      </c>
      <c r="C369" s="19">
        <v>306148</v>
      </c>
      <c r="D369" s="19">
        <v>306148</v>
      </c>
      <c r="E369" s="19">
        <v>306148</v>
      </c>
      <c r="F369" s="19">
        <v>268544</v>
      </c>
      <c r="G369" s="19">
        <v>268544</v>
      </c>
      <c r="H369" s="19">
        <v>268544</v>
      </c>
      <c r="I369" s="25" t="s">
        <v>458</v>
      </c>
      <c r="J369" s="27">
        <f>C369-D369</f>
        <v>0</v>
      </c>
      <c r="K369" s="27">
        <f>C369-E369</f>
        <v>0</v>
      </c>
    </row>
    <row r="370" spans="1:11" ht="15.75" thickBot="1" x14ac:dyDescent="0.3">
      <c r="A370" s="21" t="s">
        <v>459</v>
      </c>
      <c r="B370" s="19">
        <v>100000</v>
      </c>
      <c r="C370" s="19">
        <v>40486</v>
      </c>
      <c r="D370" s="19">
        <v>40486</v>
      </c>
      <c r="E370" s="19">
        <v>40486</v>
      </c>
      <c r="F370" s="19">
        <v>25381</v>
      </c>
      <c r="G370" s="19">
        <v>25381</v>
      </c>
      <c r="H370" s="19">
        <v>25381</v>
      </c>
      <c r="I370" s="25" t="s">
        <v>460</v>
      </c>
      <c r="J370" s="27">
        <f>C370-D370</f>
        <v>0</v>
      </c>
      <c r="K370" s="27">
        <f>C370-E370</f>
        <v>0</v>
      </c>
    </row>
    <row r="371" spans="1:11" ht="29.25" thickBot="1" x14ac:dyDescent="0.3">
      <c r="A371" s="21" t="s">
        <v>463</v>
      </c>
      <c r="B371" s="19">
        <v>50000</v>
      </c>
      <c r="C371" s="19">
        <v>490000</v>
      </c>
      <c r="D371" s="19">
        <v>490000</v>
      </c>
      <c r="E371" s="19">
        <v>490000</v>
      </c>
      <c r="F371" s="19">
        <v>474984</v>
      </c>
      <c r="G371" s="19">
        <v>369844</v>
      </c>
      <c r="H371" s="19">
        <v>369844</v>
      </c>
      <c r="I371" s="25" t="s">
        <v>464</v>
      </c>
      <c r="J371" s="27">
        <f>C371-D371</f>
        <v>0</v>
      </c>
      <c r="K371" s="27">
        <f>C371-E371</f>
        <v>0</v>
      </c>
    </row>
    <row r="372" spans="1:11" ht="29.25" thickBot="1" x14ac:dyDescent="0.3">
      <c r="A372" s="21" t="s">
        <v>465</v>
      </c>
      <c r="B372" s="19">
        <v>67202</v>
      </c>
      <c r="C372" s="20">
        <v>0</v>
      </c>
      <c r="D372" s="20">
        <v>0</v>
      </c>
      <c r="E372" s="20">
        <v>0</v>
      </c>
      <c r="F372" s="20">
        <v>0</v>
      </c>
      <c r="G372" s="20">
        <v>0</v>
      </c>
      <c r="H372" s="20">
        <v>0</v>
      </c>
      <c r="I372" s="25" t="s">
        <v>25</v>
      </c>
      <c r="J372" s="27">
        <f>C372-D372</f>
        <v>0</v>
      </c>
      <c r="K372" s="27">
        <f>C372-E372</f>
        <v>0</v>
      </c>
    </row>
    <row r="373" spans="1:11" ht="29.25" thickBot="1" x14ac:dyDescent="0.3">
      <c r="A373" s="21" t="s">
        <v>470</v>
      </c>
      <c r="B373" s="19">
        <v>50000</v>
      </c>
      <c r="C373" s="19">
        <v>870779</v>
      </c>
      <c r="D373" s="19">
        <v>870779</v>
      </c>
      <c r="E373" s="19">
        <v>870779</v>
      </c>
      <c r="F373" s="19">
        <v>646965</v>
      </c>
      <c r="G373" s="19">
        <v>391730</v>
      </c>
      <c r="H373" s="19">
        <v>391730</v>
      </c>
      <c r="I373" s="25" t="s">
        <v>471</v>
      </c>
      <c r="J373" s="27">
        <f>C373-D373</f>
        <v>0</v>
      </c>
      <c r="K373" s="27">
        <f>C373-E373</f>
        <v>0</v>
      </c>
    </row>
    <row r="374" spans="1:11" ht="29.25" thickBot="1" x14ac:dyDescent="0.3">
      <c r="A374" s="21" t="s">
        <v>474</v>
      </c>
      <c r="B374" s="19">
        <v>50000</v>
      </c>
      <c r="C374" s="20">
        <v>0</v>
      </c>
      <c r="D374" s="20">
        <v>0</v>
      </c>
      <c r="E374" s="20">
        <v>0</v>
      </c>
      <c r="F374" s="20">
        <v>0</v>
      </c>
      <c r="G374" s="20">
        <v>0</v>
      </c>
      <c r="H374" s="20">
        <v>0</v>
      </c>
      <c r="I374" s="25" t="s">
        <v>25</v>
      </c>
      <c r="J374" s="27">
        <f>C374-D374</f>
        <v>0</v>
      </c>
      <c r="K374" s="27">
        <f>C374-E374</f>
        <v>0</v>
      </c>
    </row>
    <row r="375" spans="1:11" ht="43.5" thickBot="1" x14ac:dyDescent="0.3">
      <c r="A375" s="21" t="s">
        <v>475</v>
      </c>
      <c r="B375" s="19">
        <v>800000</v>
      </c>
      <c r="C375" s="20">
        <v>0</v>
      </c>
      <c r="D375" s="20">
        <v>0</v>
      </c>
      <c r="E375" s="20">
        <v>0</v>
      </c>
      <c r="F375" s="20">
        <v>0</v>
      </c>
      <c r="G375" s="20">
        <v>0</v>
      </c>
      <c r="H375" s="20">
        <v>0</v>
      </c>
      <c r="I375" s="25" t="s">
        <v>25</v>
      </c>
      <c r="J375" s="27">
        <f>C375-D375</f>
        <v>0</v>
      </c>
      <c r="K375" s="27">
        <f>C375-E375</f>
        <v>0</v>
      </c>
    </row>
    <row r="376" spans="1:11" ht="29.25" thickBot="1" x14ac:dyDescent="0.3">
      <c r="A376" s="21" t="s">
        <v>476</v>
      </c>
      <c r="B376" s="19">
        <v>50000</v>
      </c>
      <c r="C376" s="19">
        <v>300000</v>
      </c>
      <c r="D376" s="19">
        <v>300000</v>
      </c>
      <c r="E376" s="19">
        <v>300000</v>
      </c>
      <c r="F376" s="20">
        <v>0</v>
      </c>
      <c r="G376" s="20">
        <v>0</v>
      </c>
      <c r="H376" s="20">
        <v>0</v>
      </c>
      <c r="I376" s="25" t="s">
        <v>25</v>
      </c>
      <c r="J376" s="27">
        <f>C376-D376</f>
        <v>0</v>
      </c>
      <c r="K376" s="27">
        <f>C376-E376</f>
        <v>0</v>
      </c>
    </row>
    <row r="377" spans="1:11" ht="29.25" thickBot="1" x14ac:dyDescent="0.3">
      <c r="A377" s="21" t="s">
        <v>477</v>
      </c>
      <c r="B377" s="19">
        <v>50000</v>
      </c>
      <c r="C377" s="19">
        <v>126982</v>
      </c>
      <c r="D377" s="19">
        <v>126982</v>
      </c>
      <c r="E377" s="19">
        <v>126982</v>
      </c>
      <c r="F377" s="19">
        <v>120317</v>
      </c>
      <c r="G377" s="19">
        <v>120317</v>
      </c>
      <c r="H377" s="19">
        <v>120317</v>
      </c>
      <c r="I377" s="25" t="s">
        <v>478</v>
      </c>
      <c r="J377" s="27">
        <f>C377-D377</f>
        <v>0</v>
      </c>
      <c r="K377" s="27">
        <f>C377-E377</f>
        <v>0</v>
      </c>
    </row>
    <row r="378" spans="1:11" ht="43.5" thickBot="1" x14ac:dyDescent="0.3">
      <c r="A378" s="21" t="s">
        <v>484</v>
      </c>
      <c r="B378" s="19">
        <v>50000</v>
      </c>
      <c r="C378" s="19">
        <v>278409</v>
      </c>
      <c r="D378" s="19">
        <v>278409</v>
      </c>
      <c r="E378" s="19">
        <v>278409</v>
      </c>
      <c r="F378" s="19">
        <v>202806</v>
      </c>
      <c r="G378" s="19">
        <v>202806</v>
      </c>
      <c r="H378" s="19">
        <v>202806</v>
      </c>
      <c r="I378" s="25" t="s">
        <v>485</v>
      </c>
      <c r="J378" s="27">
        <f>C378-D378</f>
        <v>0</v>
      </c>
      <c r="K378" s="27">
        <f>C378-E378</f>
        <v>0</v>
      </c>
    </row>
    <row r="379" spans="1:11" ht="29.25" thickBot="1" x14ac:dyDescent="0.3">
      <c r="A379" s="21" t="s">
        <v>491</v>
      </c>
      <c r="B379" s="19">
        <v>50000</v>
      </c>
      <c r="C379" s="20">
        <v>0</v>
      </c>
      <c r="D379" s="20">
        <v>0</v>
      </c>
      <c r="E379" s="20">
        <v>0</v>
      </c>
      <c r="F379" s="20">
        <v>0</v>
      </c>
      <c r="G379" s="20">
        <v>0</v>
      </c>
      <c r="H379" s="20">
        <v>0</v>
      </c>
      <c r="I379" s="25" t="s">
        <v>25</v>
      </c>
      <c r="J379" s="27">
        <f>C379-D379</f>
        <v>0</v>
      </c>
      <c r="K379" s="27">
        <f>C379-E379</f>
        <v>0</v>
      </c>
    </row>
    <row r="380" spans="1:11" ht="15.75" thickBot="1" x14ac:dyDescent="0.3">
      <c r="A380" s="21" t="s">
        <v>501</v>
      </c>
      <c r="B380" s="19">
        <v>50000</v>
      </c>
      <c r="C380" s="19">
        <v>282553</v>
      </c>
      <c r="D380" s="19">
        <v>282553</v>
      </c>
      <c r="E380" s="19">
        <v>282553</v>
      </c>
      <c r="F380" s="20">
        <v>0</v>
      </c>
      <c r="G380" s="20">
        <v>0</v>
      </c>
      <c r="H380" s="20">
        <v>0</v>
      </c>
      <c r="I380" s="25" t="s">
        <v>25</v>
      </c>
      <c r="J380" s="27">
        <f>C380-D380</f>
        <v>0</v>
      </c>
      <c r="K380" s="27">
        <f>C380-E380</f>
        <v>0</v>
      </c>
    </row>
    <row r="381" spans="1:11" ht="43.5" thickBot="1" x14ac:dyDescent="0.3">
      <c r="A381" s="21" t="s">
        <v>511</v>
      </c>
      <c r="B381" s="19">
        <v>50000</v>
      </c>
      <c r="C381" s="20">
        <v>0</v>
      </c>
      <c r="D381" s="20">
        <v>0</v>
      </c>
      <c r="E381" s="20">
        <v>0</v>
      </c>
      <c r="F381" s="20">
        <v>0</v>
      </c>
      <c r="G381" s="20">
        <v>0</v>
      </c>
      <c r="H381" s="20">
        <v>0</v>
      </c>
      <c r="I381" s="25" t="s">
        <v>25</v>
      </c>
      <c r="J381" s="27">
        <f>C381-D381</f>
        <v>0</v>
      </c>
      <c r="K381" s="27">
        <f>C381-E381</f>
        <v>0</v>
      </c>
    </row>
    <row r="382" spans="1:11" ht="29.25" thickBot="1" x14ac:dyDescent="0.3">
      <c r="A382" s="21" t="s">
        <v>517</v>
      </c>
      <c r="B382" s="19">
        <v>50000</v>
      </c>
      <c r="C382" s="19">
        <v>50000</v>
      </c>
      <c r="D382" s="19">
        <v>50000</v>
      </c>
      <c r="E382" s="19">
        <v>50000</v>
      </c>
      <c r="F382" s="19">
        <v>47967</v>
      </c>
      <c r="G382" s="19">
        <v>47967</v>
      </c>
      <c r="H382" s="19">
        <v>47967</v>
      </c>
      <c r="I382" s="25" t="s">
        <v>396</v>
      </c>
      <c r="J382" s="27">
        <f>C382-D382</f>
        <v>0</v>
      </c>
      <c r="K382" s="27">
        <f>C382-E382</f>
        <v>0</v>
      </c>
    </row>
    <row r="383" spans="1:11" ht="29.25" thickBot="1" x14ac:dyDescent="0.3">
      <c r="A383" s="21" t="s">
        <v>524</v>
      </c>
      <c r="B383" s="19">
        <v>100000</v>
      </c>
      <c r="C383" s="19">
        <v>50467</v>
      </c>
      <c r="D383" s="19">
        <v>50467</v>
      </c>
      <c r="E383" s="19">
        <v>50467</v>
      </c>
      <c r="F383" s="19">
        <v>48903</v>
      </c>
      <c r="G383" s="19">
        <v>48903</v>
      </c>
      <c r="H383" s="19">
        <v>48903</v>
      </c>
      <c r="I383" s="25" t="s">
        <v>70</v>
      </c>
      <c r="J383" s="27">
        <f>C383-D383</f>
        <v>0</v>
      </c>
      <c r="K383" s="27">
        <f>C383-E383</f>
        <v>0</v>
      </c>
    </row>
    <row r="384" spans="1:11" ht="29.25" thickBot="1" x14ac:dyDescent="0.3">
      <c r="A384" s="21" t="s">
        <v>525</v>
      </c>
      <c r="B384" s="19">
        <v>50000</v>
      </c>
      <c r="C384" s="20">
        <v>0</v>
      </c>
      <c r="D384" s="20">
        <v>0</v>
      </c>
      <c r="E384" s="20">
        <v>0</v>
      </c>
      <c r="F384" s="20">
        <v>0</v>
      </c>
      <c r="G384" s="20">
        <v>0</v>
      </c>
      <c r="H384" s="20">
        <v>0</v>
      </c>
      <c r="I384" s="25" t="s">
        <v>25</v>
      </c>
      <c r="J384" s="27">
        <f>C384-D384</f>
        <v>0</v>
      </c>
      <c r="K384" s="27">
        <f>C384-E384</f>
        <v>0</v>
      </c>
    </row>
    <row r="385" spans="1:11" ht="29.25" thickBot="1" x14ac:dyDescent="0.3">
      <c r="A385" s="21" t="s">
        <v>528</v>
      </c>
      <c r="B385" s="20">
        <v>0</v>
      </c>
      <c r="C385" s="19">
        <v>2936</v>
      </c>
      <c r="D385" s="19">
        <v>2936</v>
      </c>
      <c r="E385" s="19">
        <v>2936</v>
      </c>
      <c r="F385" s="19">
        <v>2936</v>
      </c>
      <c r="G385" s="19">
        <v>2936</v>
      </c>
      <c r="H385" s="19">
        <v>2936</v>
      </c>
      <c r="I385" s="25" t="s">
        <v>172</v>
      </c>
      <c r="J385" s="27">
        <f>C385-D385</f>
        <v>0</v>
      </c>
      <c r="K385" s="27">
        <f>C385-E385</f>
        <v>0</v>
      </c>
    </row>
    <row r="386" spans="1:11" ht="29.25" thickBot="1" x14ac:dyDescent="0.3">
      <c r="A386" s="21" t="s">
        <v>529</v>
      </c>
      <c r="B386" s="20">
        <v>0</v>
      </c>
      <c r="C386" s="19">
        <v>10692</v>
      </c>
      <c r="D386" s="19">
        <v>10692</v>
      </c>
      <c r="E386" s="19">
        <v>10692</v>
      </c>
      <c r="F386" s="19">
        <v>10692</v>
      </c>
      <c r="G386" s="19">
        <v>10692</v>
      </c>
      <c r="H386" s="19">
        <v>10692</v>
      </c>
      <c r="I386" s="25" t="s">
        <v>172</v>
      </c>
      <c r="J386" s="27">
        <f>C386-D386</f>
        <v>0</v>
      </c>
      <c r="K386" s="27">
        <f>C386-E386</f>
        <v>0</v>
      </c>
    </row>
    <row r="387" spans="1:11" ht="29.25" thickBot="1" x14ac:dyDescent="0.3">
      <c r="A387" s="21" t="s">
        <v>530</v>
      </c>
      <c r="B387" s="20">
        <v>0</v>
      </c>
      <c r="C387" s="19">
        <v>3546</v>
      </c>
      <c r="D387" s="19">
        <v>3546</v>
      </c>
      <c r="E387" s="19">
        <v>3546</v>
      </c>
      <c r="F387" s="19">
        <v>3546</v>
      </c>
      <c r="G387" s="19">
        <v>3546</v>
      </c>
      <c r="H387" s="19">
        <v>3546</v>
      </c>
      <c r="I387" s="25" t="s">
        <v>172</v>
      </c>
      <c r="J387" s="27">
        <f>C387-D387</f>
        <v>0</v>
      </c>
      <c r="K387" s="27">
        <f>C387-E387</f>
        <v>0</v>
      </c>
    </row>
    <row r="388" spans="1:11" ht="29.25" thickBot="1" x14ac:dyDescent="0.3">
      <c r="A388" s="21" t="s">
        <v>540</v>
      </c>
      <c r="B388" s="20">
        <v>0</v>
      </c>
      <c r="C388" s="19">
        <v>57400</v>
      </c>
      <c r="D388" s="19">
        <v>57400</v>
      </c>
      <c r="E388" s="19">
        <v>57400</v>
      </c>
      <c r="F388" s="19">
        <v>57400</v>
      </c>
      <c r="G388" s="19">
        <v>57400</v>
      </c>
      <c r="H388" s="19">
        <v>57400</v>
      </c>
      <c r="I388" s="25" t="s">
        <v>172</v>
      </c>
      <c r="J388" s="27">
        <f>C388-D388</f>
        <v>0</v>
      </c>
      <c r="K388" s="27">
        <f>C388-E388</f>
        <v>0</v>
      </c>
    </row>
    <row r="389" spans="1:11" ht="29.25" thickBot="1" x14ac:dyDescent="0.3">
      <c r="A389" s="21" t="s">
        <v>541</v>
      </c>
      <c r="B389" s="20">
        <v>0</v>
      </c>
      <c r="C389" s="19">
        <v>5898</v>
      </c>
      <c r="D389" s="19">
        <v>5898</v>
      </c>
      <c r="E389" s="19">
        <v>5898</v>
      </c>
      <c r="F389" s="19">
        <v>5898</v>
      </c>
      <c r="G389" s="19">
        <v>5898</v>
      </c>
      <c r="H389" s="19">
        <v>5898</v>
      </c>
      <c r="I389" s="25" t="s">
        <v>172</v>
      </c>
      <c r="J389" s="27">
        <f>C389-D389</f>
        <v>0</v>
      </c>
      <c r="K389" s="27">
        <f>C389-E389</f>
        <v>0</v>
      </c>
    </row>
    <row r="390" spans="1:11" ht="29.25" thickBot="1" x14ac:dyDescent="0.3">
      <c r="A390" s="21" t="s">
        <v>548</v>
      </c>
      <c r="B390" s="20">
        <v>0</v>
      </c>
      <c r="C390" s="19">
        <v>200000</v>
      </c>
      <c r="D390" s="19">
        <v>200000</v>
      </c>
      <c r="E390" s="19">
        <v>200000</v>
      </c>
      <c r="F390" s="19">
        <v>30838</v>
      </c>
      <c r="G390" s="19">
        <v>30838</v>
      </c>
      <c r="H390" s="19">
        <v>2762</v>
      </c>
      <c r="I390" s="25" t="s">
        <v>549</v>
      </c>
      <c r="J390" s="27">
        <f>C390-D390</f>
        <v>0</v>
      </c>
      <c r="K390" s="27">
        <f>C390-E390</f>
        <v>0</v>
      </c>
    </row>
    <row r="391" spans="1:11" ht="29.25" thickBot="1" x14ac:dyDescent="0.3">
      <c r="A391" s="21" t="s">
        <v>558</v>
      </c>
      <c r="B391" s="20">
        <v>0</v>
      </c>
      <c r="C391" s="19">
        <v>350000</v>
      </c>
      <c r="D391" s="19">
        <v>350000</v>
      </c>
      <c r="E391" s="19">
        <v>350000</v>
      </c>
      <c r="F391" s="19">
        <v>163264</v>
      </c>
      <c r="G391" s="19">
        <v>163264</v>
      </c>
      <c r="H391" s="19">
        <v>113827</v>
      </c>
      <c r="I391" s="25" t="s">
        <v>559</v>
      </c>
      <c r="J391" s="27">
        <f>C391-D391</f>
        <v>0</v>
      </c>
      <c r="K391" s="27">
        <f>C391-E391</f>
        <v>0</v>
      </c>
    </row>
    <row r="392" spans="1:11" ht="15.75" thickBot="1" x14ac:dyDescent="0.3">
      <c r="A392" s="21" t="s">
        <v>560</v>
      </c>
      <c r="B392" s="20">
        <v>0</v>
      </c>
      <c r="C392" s="19">
        <v>287709</v>
      </c>
      <c r="D392" s="19">
        <v>287709</v>
      </c>
      <c r="E392" s="19">
        <v>287709</v>
      </c>
      <c r="F392" s="19">
        <v>119392</v>
      </c>
      <c r="G392" s="19">
        <v>108741</v>
      </c>
      <c r="H392" s="19">
        <v>108741</v>
      </c>
      <c r="I392" s="25" t="s">
        <v>561</v>
      </c>
      <c r="J392" s="27">
        <f>C392-D392</f>
        <v>0</v>
      </c>
      <c r="K392" s="27">
        <f>C392-E392</f>
        <v>0</v>
      </c>
    </row>
    <row r="393" spans="1:11" ht="15.75" thickBot="1" x14ac:dyDescent="0.3">
      <c r="A393" s="21" t="s">
        <v>562</v>
      </c>
      <c r="B393" s="20">
        <v>0</v>
      </c>
      <c r="C393" s="19">
        <v>150000</v>
      </c>
      <c r="D393" s="19">
        <v>150000</v>
      </c>
      <c r="E393" s="19">
        <v>150000</v>
      </c>
      <c r="F393" s="20">
        <v>0</v>
      </c>
      <c r="G393" s="20">
        <v>0</v>
      </c>
      <c r="H393" s="20">
        <v>0</v>
      </c>
      <c r="I393" s="25" t="s">
        <v>25</v>
      </c>
      <c r="J393" s="27">
        <f>C393-D393</f>
        <v>0</v>
      </c>
      <c r="K393" s="27">
        <f>C393-E393</f>
        <v>0</v>
      </c>
    </row>
    <row r="394" spans="1:11" ht="29.25" thickBot="1" x14ac:dyDescent="0.3">
      <c r="A394" s="21" t="s">
        <v>571</v>
      </c>
      <c r="B394" s="20">
        <v>0</v>
      </c>
      <c r="C394" s="19">
        <v>4800</v>
      </c>
      <c r="D394" s="19">
        <v>4800</v>
      </c>
      <c r="E394" s="19">
        <v>4800</v>
      </c>
      <c r="F394" s="19">
        <v>4800</v>
      </c>
      <c r="G394" s="19">
        <v>4800</v>
      </c>
      <c r="H394" s="19">
        <v>4800</v>
      </c>
      <c r="I394" s="25" t="s">
        <v>172</v>
      </c>
      <c r="J394" s="27">
        <f>C394-D394</f>
        <v>0</v>
      </c>
      <c r="K394" s="27">
        <f>C394-E394</f>
        <v>0</v>
      </c>
    </row>
    <row r="395" spans="1:11" ht="29.25" thickBot="1" x14ac:dyDescent="0.3">
      <c r="A395" s="21" t="s">
        <v>572</v>
      </c>
      <c r="B395" s="20">
        <v>0</v>
      </c>
      <c r="C395" s="19">
        <v>12800</v>
      </c>
      <c r="D395" s="19">
        <v>12800</v>
      </c>
      <c r="E395" s="19">
        <v>12800</v>
      </c>
      <c r="F395" s="19">
        <v>12800</v>
      </c>
      <c r="G395" s="19">
        <v>12800</v>
      </c>
      <c r="H395" s="19">
        <v>12800</v>
      </c>
      <c r="I395" s="25" t="s">
        <v>172</v>
      </c>
      <c r="J395" s="27">
        <f>C395-D395</f>
        <v>0</v>
      </c>
      <c r="K395" s="27">
        <f>C395-E395</f>
        <v>0</v>
      </c>
    </row>
    <row r="396" spans="1:11" ht="29.25" thickBot="1" x14ac:dyDescent="0.3">
      <c r="A396" s="21" t="s">
        <v>573</v>
      </c>
      <c r="B396" s="20">
        <v>0</v>
      </c>
      <c r="C396" s="19">
        <v>157066</v>
      </c>
      <c r="D396" s="19">
        <v>157066</v>
      </c>
      <c r="E396" s="19">
        <v>157066</v>
      </c>
      <c r="F396" s="19">
        <v>157066</v>
      </c>
      <c r="G396" s="19">
        <v>157066</v>
      </c>
      <c r="H396" s="19">
        <v>157066</v>
      </c>
      <c r="I396" s="25" t="s">
        <v>172</v>
      </c>
      <c r="J396" s="27">
        <f>C396-D396</f>
        <v>0</v>
      </c>
      <c r="K396" s="27">
        <f>C396-E396</f>
        <v>0</v>
      </c>
    </row>
    <row r="397" spans="1:11" ht="29.25" thickBot="1" x14ac:dyDescent="0.3">
      <c r="A397" s="21" t="s">
        <v>581</v>
      </c>
      <c r="B397" s="20">
        <v>0</v>
      </c>
      <c r="C397" s="19">
        <v>3000</v>
      </c>
      <c r="D397" s="19">
        <v>3000</v>
      </c>
      <c r="E397" s="19">
        <v>3000</v>
      </c>
      <c r="F397" s="19">
        <v>3000</v>
      </c>
      <c r="G397" s="19">
        <v>3000</v>
      </c>
      <c r="H397" s="19">
        <v>3000</v>
      </c>
      <c r="I397" s="25" t="s">
        <v>172</v>
      </c>
      <c r="J397" s="27">
        <f>C397-D397</f>
        <v>0</v>
      </c>
      <c r="K397" s="27">
        <f>C397-E397</f>
        <v>0</v>
      </c>
    </row>
    <row r="398" spans="1:11" ht="29.25" thickBot="1" x14ac:dyDescent="0.3">
      <c r="A398" s="21" t="s">
        <v>586</v>
      </c>
      <c r="B398" s="20">
        <v>0</v>
      </c>
      <c r="C398" s="19">
        <v>400000</v>
      </c>
      <c r="D398" s="19">
        <v>400000</v>
      </c>
      <c r="E398" s="19">
        <v>400000</v>
      </c>
      <c r="F398" s="19">
        <v>371890</v>
      </c>
      <c r="G398" s="19">
        <v>285245</v>
      </c>
      <c r="H398" s="19">
        <v>268445</v>
      </c>
      <c r="I398" s="25" t="s">
        <v>587</v>
      </c>
      <c r="J398" s="27">
        <f>C398-D398</f>
        <v>0</v>
      </c>
      <c r="K398" s="27">
        <f>C398-E398</f>
        <v>0</v>
      </c>
    </row>
    <row r="399" spans="1:11" ht="29.25" thickBot="1" x14ac:dyDescent="0.3">
      <c r="A399" s="21" t="s">
        <v>596</v>
      </c>
      <c r="B399" s="20">
        <v>0</v>
      </c>
      <c r="C399" s="19">
        <v>45161</v>
      </c>
      <c r="D399" s="19">
        <v>45161</v>
      </c>
      <c r="E399" s="19">
        <v>45161</v>
      </c>
      <c r="F399" s="19">
        <v>30773</v>
      </c>
      <c r="G399" s="19">
        <v>30773</v>
      </c>
      <c r="H399" s="19">
        <v>22893</v>
      </c>
      <c r="I399" s="25" t="s">
        <v>597</v>
      </c>
      <c r="J399" s="27">
        <f>C399-D399</f>
        <v>0</v>
      </c>
      <c r="K399" s="27">
        <f>C399-E399</f>
        <v>0</v>
      </c>
    </row>
    <row r="400" spans="1:11" ht="29.25" thickBot="1" x14ac:dyDescent="0.3">
      <c r="A400" s="21" t="s">
        <v>602</v>
      </c>
      <c r="B400" s="20">
        <v>0</v>
      </c>
      <c r="C400" s="19">
        <v>206971</v>
      </c>
      <c r="D400" s="19">
        <v>206971</v>
      </c>
      <c r="E400" s="19">
        <v>206971</v>
      </c>
      <c r="F400" s="19">
        <v>142229</v>
      </c>
      <c r="G400" s="19">
        <v>110370</v>
      </c>
      <c r="H400" s="19">
        <v>110370</v>
      </c>
      <c r="I400" s="25" t="s">
        <v>603</v>
      </c>
      <c r="J400" s="27">
        <f>C400-D400</f>
        <v>0</v>
      </c>
      <c r="K400" s="27">
        <f>C400-E400</f>
        <v>0</v>
      </c>
    </row>
    <row r="401" spans="1:11" ht="29.25" thickBot="1" x14ac:dyDescent="0.3">
      <c r="A401" s="21" t="s">
        <v>619</v>
      </c>
      <c r="B401" s="20">
        <v>0</v>
      </c>
      <c r="C401" s="19">
        <v>123816</v>
      </c>
      <c r="D401" s="19">
        <v>123816</v>
      </c>
      <c r="E401" s="19">
        <v>123816</v>
      </c>
      <c r="F401" s="19">
        <v>113942</v>
      </c>
      <c r="G401" s="19">
        <v>113942</v>
      </c>
      <c r="H401" s="19">
        <v>113942</v>
      </c>
      <c r="I401" s="25" t="s">
        <v>620</v>
      </c>
      <c r="J401" s="27">
        <f>C401-D401</f>
        <v>0</v>
      </c>
      <c r="K401" s="27">
        <f>C401-E401</f>
        <v>0</v>
      </c>
    </row>
    <row r="402" spans="1:11" ht="15.75" thickBot="1" x14ac:dyDescent="0.3">
      <c r="A402" s="21" t="s">
        <v>621</v>
      </c>
      <c r="B402" s="20">
        <v>0</v>
      </c>
      <c r="C402" s="19">
        <v>140000</v>
      </c>
      <c r="D402" s="19">
        <v>140000</v>
      </c>
      <c r="E402" s="19">
        <v>140000</v>
      </c>
      <c r="F402" s="19">
        <v>131428</v>
      </c>
      <c r="G402" s="19">
        <v>131428</v>
      </c>
      <c r="H402" s="19">
        <v>131428</v>
      </c>
      <c r="I402" s="25" t="s">
        <v>622</v>
      </c>
      <c r="J402" s="27">
        <f>C402-D402</f>
        <v>0</v>
      </c>
      <c r="K402" s="27">
        <f>C402-E402</f>
        <v>0</v>
      </c>
    </row>
  </sheetData>
  <sortState xmlns:xlrd2="http://schemas.microsoft.com/office/spreadsheetml/2017/richdata2" ref="A4:K402">
    <sortCondition descending="1" ref="K3:K402"/>
  </sortState>
  <mergeCells count="9">
    <mergeCell ref="I1:I2"/>
    <mergeCell ref="J1:J2"/>
    <mergeCell ref="K1:K2"/>
    <mergeCell ref="A1:A2"/>
    <mergeCell ref="B1:B2"/>
    <mergeCell ref="C1:C2"/>
    <mergeCell ref="D1:D2"/>
    <mergeCell ref="E1:E2"/>
    <mergeCell ref="F1:H1"/>
  </mergeCells>
  <conditionalFormatting sqref="K3:K402">
    <cfRule type="top10" dxfId="0" priority="1"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Proyectos</vt:lpstr>
      <vt:lpstr>RESUMEN</vt:lpstr>
      <vt:lpstr>Ordenado Segun No Comprometido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GORE-PUNO</dc:creator>
  <cp:lastModifiedBy>GORE-PUNO</cp:lastModifiedBy>
  <dcterms:created xsi:type="dcterms:W3CDTF">2026-10-06T15:36:19Z</dcterms:created>
  <dcterms:modified xsi:type="dcterms:W3CDTF">2026-10-06T20:45:45Z</dcterms:modified>
</cp:coreProperties>
</file>